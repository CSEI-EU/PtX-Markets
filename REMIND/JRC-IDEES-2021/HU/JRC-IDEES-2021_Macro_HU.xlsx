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U103" i="59"/>
  <c r="W101" i="59"/>
  <c r="V101" i="59"/>
  <c r="U101" i="59"/>
  <c r="U100" i="59"/>
  <c r="Y67" i="59"/>
  <c r="Y97" i="59"/>
  <c r="W65" i="59"/>
  <c r="U115" i="59"/>
  <c r="V113" i="59"/>
  <c r="T112" i="59"/>
  <c r="V111" i="59"/>
  <c r="X110" i="59"/>
  <c r="Y93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Y99" i="59"/>
  <c r="W67" i="59"/>
  <c r="W98" i="59"/>
  <c r="U94" i="59"/>
  <c r="X20" i="59"/>
  <c r="U20" i="59"/>
  <c r="X13" i="59"/>
  <c r="V13" i="59"/>
  <c r="W5" i="59"/>
  <c r="T5" i="59"/>
  <c r="Y5" i="59"/>
  <c r="U5" i="59"/>
  <c r="T71" i="59" l="1"/>
  <c r="W74" i="59"/>
  <c r="U71" i="59"/>
  <c r="Y69" i="59"/>
  <c r="V94" i="59"/>
  <c r="Y70" i="59"/>
  <c r="W90" i="59"/>
  <c r="W80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T98" i="59"/>
  <c r="Y68" i="59"/>
  <c r="X102" i="59"/>
  <c r="Y105" i="59"/>
  <c r="L106" i="59"/>
  <c r="T106" i="59"/>
  <c r="U110" i="59"/>
  <c r="W117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4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<sst xmlns="http://schemas.openxmlformats.org/spreadsheetml/2006/main" count="722" uniqueCount="281">
  <si>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</si>
  <si>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</si>
  <si>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</si>
  <si>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</si>
  <si>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</si>
  <si>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</si>
  <si>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</si>
  <si>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</si>
  <si>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</si>
  <si>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</si>
  <si>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</si>
  <si>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</si>
  <si>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</si>
  <si>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</si>
  <si>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</si>
  <si>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</si>
  <si>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</si>
  <si>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</si>
  <si>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</si>
  <si>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</si>
  <si>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</si>
  <si>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</si>
  <si>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</si>
  <si>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</si>
  <si>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</si>
  <si>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</si>
  <si>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</si>
  <si>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</si>
  <si>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</si>
  <si>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</si>
  <si>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</si>
  <si>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</si>
  <si>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</si>
  <si>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</si>
  <si>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</si>
  <si>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</si>
  <si>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</si>
  <si>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</si>
  <si>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</si>
  <si>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</si>
  <si>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</si>
  <si>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</si>
  <si>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</si>
  <si>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</si>
  <si>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</si>
  <si>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</si>
  <si>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</si>
  <si>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</si>
  <si>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</si>
  <si>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</si>
  <si>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</si>
  <si>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</si>
  <si>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</si>
  <si>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</si>
  <si>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</si>
  <si>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</si>
  <si>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</si>
  <si>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</si>
  <si>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</si>
  <si>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</si>
  <si>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</si>
  <si>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</si>
  <si>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</si>
  <si>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</si>
  <si>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</si>
  <si>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</si>
  <si>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</si>
  <si>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</si>
  <si>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</si>
  <si>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</si>
  <si>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</si>
  <si>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</si>
  <si>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</si>
  <si>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</si>
  <si>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</si>
  <si>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</si>
  <si>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</si>
  <si>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</si>
  <si>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</si>
  <si>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</si>
  <si>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</si>
  <si>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</si>
  <si>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</si>
  <si>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</si>
  <si>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</si>
  <si>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</si>
  <si>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</si>
  <si>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</si>
  <si>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</si>
  <si>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</si>
  <si>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</si>
  <si>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</si>
  <si>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</si>
  <si>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</si>
  <si>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</si>
  <si>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</si>
  <si>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</si>
  <si>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</si>
  <si>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</si>
  <si>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</si>
  <si>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</si>
  <si>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</si>
  <si>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</si>
  <si>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</si>
  <si>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</si>
  <si>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</si>
  <si>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</si>
  <si>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</si>
  <si>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</si>
  <si>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</si>
  <si>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</si>
  <si>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</si>
  <si>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</si>
  <si>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</si>
  <si>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</si>
  <si>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</si>
  <si>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</si>
  <si>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</si>
  <si>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</si>
  <si>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</si>
  <si>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</si>
  <si>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</si>
  <si>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</si>
  <si>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</si>
  <si>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</si>
  <si>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</si>
  <si>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</si>
  <si>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</si>
  <si>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</si>
  <si>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</si>
  <si>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</si>
  <si>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</si>
  <si>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</si>
  <si>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</si>
  <si>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</si>
  <si>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</si>
  <si>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</si>
  <si>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</si>
  <si>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</si>
  <si>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</si>
  <si>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</si>
  <si>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</si>
  <si>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</si>
  <si>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</si>
  <si>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</si>
  <si>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</si>
  <si>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</si>
  <si>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</si>
  <si>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</si>
  <si>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</si>
  <si>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</si>
  <si>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</si>
  <si>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</si>
  <si>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</si>
  <si>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</si>
  <si>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</si>
  <si>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</si>
  <si>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</si>
  <si>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</si>
  <si>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</si>
  <si>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</si>
  <si>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</si>
  <si>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</si>
  <si>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</si>
  <si>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</si>
  <si>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</si>
  <si>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</si>
  <si>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</si>
  <si>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</si>
  <si>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</si>
  <si>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</si>
  <si>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</si>
  <si>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</si>
  <si>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</si>
  <si>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</si>
  <si>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</si>
  <si>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</si>
  <si>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</si>
  <si>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</si>
  <si>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</si>
  <si>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</si>
  <si>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</si>
  <si>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</si>
  <si>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</si>
  <si>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</si>
  <si>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</si>
  <si>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</si>
  <si>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</si>
  <si>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</si>
  <si>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</si>
  <si>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</si>
  <si>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</si>
  <si>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</si>
  <si>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</si>
  <si>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</si>
  <si>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</si>
  <si>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</si>
  <si>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</si>
  <si>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</si>
  <si>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</si>
  <si>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</si>
  <si>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</si>
  <si>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</si>
  <si>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</si>
  <si>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</si>
  <si>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</si>
  <si>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</si>
  <si>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</si>
  <si>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</si>
  <si>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</si>
  <si>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</si>
  <si>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</si>
  <si>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</si>
  <si>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</si>
  <si>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</si>
  <si>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</si>
  <si>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</si>
  <si>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</si>
  <si>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</si>
  <si>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</si>
  <si>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</si>
  <si>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</si>
  <si>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</si>
  <si>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</si>
  <si>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</si>
  <si>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</si>
  <si>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</si>
  <si>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</si>
  <si>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</si>
  <si>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</si>
  <si>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</si>
  <si>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</si>
  <si>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</si>
  <si>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</si>
  <si>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</si>
  <si>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</si>
  <si>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</si>
  <si>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</si>
  <si>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</si>
  <si>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</si>
  <si>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</si>
  <si>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</si>
  <si>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</si>
  <si>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</si>
  <si>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</si>
  <si>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</si>
  <si>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</si>
  <si>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</si>
  <si>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</si>
  <si>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</si>
  <si>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</si>
  <si>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</si>
  <si>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</si>
  <si>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</si>
  <si>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</si>
  <si>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</si>
  <si>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</si>
  <si>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</si>
  <si>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</si>
  <si>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</si>
  <si>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</si>
  <si>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</si>
  <si>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</si>
  <si>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</si>
  <si>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</si>
  <si>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</si>
  <si>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</si>
  <si>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</si>
  <si>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</si>
  <si>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</si>
  <si>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</si>
  <si>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</si>
  <si>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</si>
  <si>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</si>
  <si>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</si>
  <si>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</si>
  <si>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</si>
  <si>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</si>
  <si>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</si>
  <si>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HU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</si>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</sst>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45432.785578703704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52326.802439613522</v>
      </c>
      <c r="E2" s="19">
        <v>61287.230613704975</v>
      </c>
      <c r="F2" s="19">
        <v>73280.64392133271</v>
      </c>
      <c r="G2" s="19">
        <v>77029.420345251259</v>
      </c>
      <c r="H2" s="19">
        <v>85664.34943227758</v>
      </c>
      <c r="I2" s="19">
        <v>93025.854440280455</v>
      </c>
      <c r="J2" s="19">
        <v>94084.189912788017</v>
      </c>
      <c r="K2" s="19">
        <v>104590.15559079764</v>
      </c>
      <c r="L2" s="19">
        <v>110646.39606327449</v>
      </c>
      <c r="M2" s="19">
        <v>96615.675401975517</v>
      </c>
      <c r="N2" s="19">
        <v>101890.93137254901</v>
      </c>
      <c r="O2" s="19">
        <v>104321.27300622847</v>
      </c>
      <c r="P2" s="19">
        <v>102377.45279990185</v>
      </c>
      <c r="Q2" s="19">
        <v>104412.1266757838</v>
      </c>
      <c r="R2" s="19">
        <v>108520.54354696743</v>
      </c>
      <c r="S2" s="19">
        <v>115186.68083999999</v>
      </c>
      <c r="T2" s="19">
        <v>118724.85985206043</v>
      </c>
      <c r="U2" s="19">
        <v>129721.93151778956</v>
      </c>
      <c r="V2" s="19">
        <v>138945.39946757015</v>
      </c>
      <c r="W2" s="19">
        <v>149667.42520434238</v>
      </c>
      <c r="X2" s="19">
        <v>140794.62557934233</v>
      </c>
      <c r="Y2" s="19">
        <v>157233.85764472463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28053.148312506932</v>
      </c>
      <c r="E3" s="23">
        <v>32581.716414825372</v>
      </c>
      <c r="F3" s="23">
        <v>39394.82880146525</v>
      </c>
      <c r="G3" s="23">
        <v>42727.562290268455</v>
      </c>
      <c r="H3" s="23">
        <v>46336.595166921754</v>
      </c>
      <c r="I3" s="23">
        <v>50110.487622535082</v>
      </c>
      <c r="J3" s="23">
        <v>49327.202866794913</v>
      </c>
      <c r="K3" s="23">
        <v>55897.075558251665</v>
      </c>
      <c r="L3" s="23">
        <v>58334.520612650755</v>
      </c>
      <c r="M3" s="23">
        <v>50887.980499777834</v>
      </c>
      <c r="N3" s="23">
        <v>52856.09383173057</v>
      </c>
      <c r="O3" s="23">
        <v>54343.918901157456</v>
      </c>
      <c r="P3" s="23">
        <v>54225.244435743502</v>
      </c>
      <c r="Q3" s="23">
        <v>53665.668155214786</v>
      </c>
      <c r="R3" s="23">
        <v>53550.682066555877</v>
      </c>
      <c r="S3" s="23">
        <v>55641.106921999992</v>
      </c>
      <c r="T3" s="23">
        <v>58570.458508828648</v>
      </c>
      <c r="U3" s="23">
        <v>64007.392607320035</v>
      </c>
      <c r="V3" s="23">
        <v>67400.420957723909</v>
      </c>
      <c r="W3" s="23">
        <v>72551.109428659169</v>
      </c>
      <c r="X3" s="23">
        <v>68640.694119477295</v>
      </c>
      <c r="Y3" s="23">
        <v>74768.112442589889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43677</v>
      </c>
      <c r="E4" s="27">
        <v>51864.299999999988</v>
      </c>
      <c r="F4" s="27">
        <v>62292.100000000006</v>
      </c>
      <c r="G4" s="27">
        <v>64830.599999999991</v>
      </c>
      <c r="H4" s="27">
        <v>71808.100000000006</v>
      </c>
      <c r="I4" s="27">
        <v>78505.5</v>
      </c>
      <c r="J4" s="27">
        <v>80000</v>
      </c>
      <c r="K4" s="27">
        <v>88093.7</v>
      </c>
      <c r="L4" s="27">
        <v>92824</v>
      </c>
      <c r="M4" s="27">
        <v>80434.3</v>
      </c>
      <c r="N4" s="27">
        <v>84698.6</v>
      </c>
      <c r="O4" s="27">
        <v>86928.3</v>
      </c>
      <c r="P4" s="27">
        <v>84388.6</v>
      </c>
      <c r="Q4" s="27">
        <v>86341.3</v>
      </c>
      <c r="R4" s="27">
        <v>89788.800000000003</v>
      </c>
      <c r="S4" s="27">
        <v>95031.5</v>
      </c>
      <c r="T4" s="27">
        <v>98620.5</v>
      </c>
      <c r="U4" s="27">
        <v>107729.9</v>
      </c>
      <c r="V4" s="27">
        <v>114905.3</v>
      </c>
      <c r="W4" s="27">
        <v>123784.4</v>
      </c>
      <c r="X4" s="27">
        <v>116368.3</v>
      </c>
      <c r="Y4" s="27">
        <v>130313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2528.3000000000002</v>
      </c>
      <c r="E6" s="19">
        <v>2949.3</v>
      </c>
      <c r="F6" s="19">
        <v>3057.4</v>
      </c>
      <c r="G6" s="19">
        <v>2943.1</v>
      </c>
      <c r="H6" s="19">
        <v>3650.9</v>
      </c>
      <c r="I6" s="19">
        <v>3389.8</v>
      </c>
      <c r="J6" s="19">
        <v>3257.2</v>
      </c>
      <c r="K6" s="19">
        <v>3570.7</v>
      </c>
      <c r="L6" s="19">
        <v>3741.1</v>
      </c>
      <c r="M6" s="19">
        <v>2891.6</v>
      </c>
      <c r="N6" s="19">
        <v>3027.2</v>
      </c>
      <c r="O6" s="19">
        <v>4081.2</v>
      </c>
      <c r="P6" s="19">
        <v>3900.7</v>
      </c>
      <c r="Q6" s="19">
        <v>4004.8</v>
      </c>
      <c r="R6" s="19">
        <v>4182.6000000000004</v>
      </c>
      <c r="S6" s="19">
        <v>4274.3</v>
      </c>
      <c r="T6" s="19">
        <v>4522.5</v>
      </c>
      <c r="U6" s="19">
        <v>4768.7999999999993</v>
      </c>
      <c r="V6" s="19">
        <v>4743.3999999999996</v>
      </c>
      <c r="W6" s="19">
        <v>4883.8</v>
      </c>
      <c r="X6" s="19">
        <v>4674.2999999999993</v>
      </c>
      <c r="Y6" s="19">
        <v>5368.2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11642.5</v>
      </c>
      <c r="E7" s="23">
        <v>13480.999999999984</v>
      </c>
      <c r="F7" s="23">
        <v>15633.900000000007</v>
      </c>
      <c r="G7" s="23">
        <v>16381.599999999995</v>
      </c>
      <c r="H7" s="23">
        <v>18690.200000000012</v>
      </c>
      <c r="I7" s="23">
        <v>20250.400000000012</v>
      </c>
      <c r="J7" s="23">
        <v>20787.600000000006</v>
      </c>
      <c r="K7" s="23">
        <v>23022.099999999988</v>
      </c>
      <c r="L7" s="23">
        <v>23375.19999999999</v>
      </c>
      <c r="M7" s="23">
        <v>19845.900000000005</v>
      </c>
      <c r="N7" s="23">
        <v>21634.300000000003</v>
      </c>
      <c r="O7" s="23">
        <v>22141.300000000003</v>
      </c>
      <c r="P7" s="23">
        <v>21837.500000000004</v>
      </c>
      <c r="Q7" s="23">
        <v>22129.399999999994</v>
      </c>
      <c r="R7" s="23">
        <v>23552.099999999995</v>
      </c>
      <c r="S7" s="23">
        <v>25769.300000000003</v>
      </c>
      <c r="T7" s="23">
        <v>26126.899999999994</v>
      </c>
      <c r="U7" s="23">
        <v>27406.6</v>
      </c>
      <c r="V7" s="23">
        <v>28309.499999999971</v>
      </c>
      <c r="W7" s="23">
        <v>29128.500000000004</v>
      </c>
      <c r="X7" s="23">
        <v>26997.500000000004</v>
      </c>
      <c r="Y7" s="23">
        <v>29141.400000000009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2216.9</v>
      </c>
      <c r="E8" s="23">
        <v>2805.2</v>
      </c>
      <c r="F8" s="23">
        <v>3601.7</v>
      </c>
      <c r="G8" s="23">
        <v>3523.1</v>
      </c>
      <c r="H8" s="23">
        <v>3833</v>
      </c>
      <c r="I8" s="23">
        <v>4509.7</v>
      </c>
      <c r="J8" s="23">
        <v>4263.2</v>
      </c>
      <c r="K8" s="23">
        <v>4324.7</v>
      </c>
      <c r="L8" s="23">
        <v>4535.7</v>
      </c>
      <c r="M8" s="23">
        <v>3889.9</v>
      </c>
      <c r="N8" s="23">
        <v>3508</v>
      </c>
      <c r="O8" s="23">
        <v>3503</v>
      </c>
      <c r="P8" s="23">
        <v>3242.6</v>
      </c>
      <c r="Q8" s="23">
        <v>3480.7</v>
      </c>
      <c r="R8" s="23">
        <v>3747.6</v>
      </c>
      <c r="S8" s="23">
        <v>3988.6</v>
      </c>
      <c r="T8" s="23">
        <v>3509.6</v>
      </c>
      <c r="U8" s="23">
        <v>4565.0000000000009</v>
      </c>
      <c r="V8" s="23">
        <v>5819.7</v>
      </c>
      <c r="W8" s="23">
        <v>7087.9</v>
      </c>
      <c r="X8" s="23">
        <v>6627.1</v>
      </c>
      <c r="Y8" s="23">
        <v>8085.3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7671.5</v>
      </c>
      <c r="E9" s="23">
        <v>9307.7000000000025</v>
      </c>
      <c r="F9" s="23">
        <v>11269</v>
      </c>
      <c r="G9" s="23">
        <v>11142.4</v>
      </c>
      <c r="H9" s="23">
        <v>12528.5</v>
      </c>
      <c r="I9" s="23">
        <v>13683.2</v>
      </c>
      <c r="J9" s="23">
        <v>14309.4</v>
      </c>
      <c r="K9" s="23">
        <v>16321.4</v>
      </c>
      <c r="L9" s="23">
        <v>17383.5</v>
      </c>
      <c r="M9" s="23">
        <v>14248.3</v>
      </c>
      <c r="N9" s="23">
        <v>14970.7</v>
      </c>
      <c r="O9" s="23">
        <v>15627.8</v>
      </c>
      <c r="P9" s="23">
        <v>15250.5</v>
      </c>
      <c r="Q9" s="23">
        <v>16131.399999999998</v>
      </c>
      <c r="R9" s="23">
        <v>16986.500000000004</v>
      </c>
      <c r="S9" s="23">
        <v>17686.8</v>
      </c>
      <c r="T9" s="23">
        <v>18177</v>
      </c>
      <c r="U9" s="23">
        <v>19667.900000000001</v>
      </c>
      <c r="V9" s="23">
        <v>21297.9</v>
      </c>
      <c r="W9" s="23">
        <v>22802.2</v>
      </c>
      <c r="X9" s="23">
        <v>20757</v>
      </c>
      <c r="Y9" s="23">
        <v>22967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2213.1</v>
      </c>
      <c r="E10" s="23">
        <v>2520.4</v>
      </c>
      <c r="F10" s="23">
        <v>3155.5</v>
      </c>
      <c r="G10" s="23">
        <v>3420.3</v>
      </c>
      <c r="H10" s="23">
        <v>3627.8</v>
      </c>
      <c r="I10" s="23">
        <v>4035.7</v>
      </c>
      <c r="J10" s="23">
        <v>4125.8</v>
      </c>
      <c r="K10" s="23">
        <v>4718.1000000000004</v>
      </c>
      <c r="L10" s="23">
        <v>4959.3999999999996</v>
      </c>
      <c r="M10" s="23">
        <v>4503.8999999999996</v>
      </c>
      <c r="N10" s="23">
        <v>4504.8999999999996</v>
      </c>
      <c r="O10" s="23">
        <v>4575.2</v>
      </c>
      <c r="P10" s="23">
        <v>4470</v>
      </c>
      <c r="Q10" s="23">
        <v>4547.6000000000004</v>
      </c>
      <c r="R10" s="23">
        <v>4634.5</v>
      </c>
      <c r="S10" s="23">
        <v>4612.6000000000004</v>
      </c>
      <c r="T10" s="23">
        <v>4797.2</v>
      </c>
      <c r="U10" s="23">
        <v>5287.6</v>
      </c>
      <c r="V10" s="23">
        <v>5622</v>
      </c>
      <c r="W10" s="23">
        <v>6104.3</v>
      </c>
      <c r="X10" s="23">
        <v>6036.2</v>
      </c>
      <c r="Y10" s="23">
        <v>7021.3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1546.1</v>
      </c>
      <c r="E11" s="23">
        <v>1790.0999999999997</v>
      </c>
      <c r="F11" s="23">
        <v>2240.5</v>
      </c>
      <c r="G11" s="23">
        <v>2438.1</v>
      </c>
      <c r="H11" s="23">
        <v>2731.3</v>
      </c>
      <c r="I11" s="23">
        <v>3302</v>
      </c>
      <c r="J11" s="23">
        <v>3742</v>
      </c>
      <c r="K11" s="23">
        <v>3967.6</v>
      </c>
      <c r="L11" s="23">
        <v>4045.9</v>
      </c>
      <c r="M11" s="23">
        <v>4017.7</v>
      </c>
      <c r="N11" s="23">
        <v>4105.6000000000004</v>
      </c>
      <c r="O11" s="23">
        <v>4100.3</v>
      </c>
      <c r="P11" s="23">
        <v>3806.7</v>
      </c>
      <c r="Q11" s="23">
        <v>3442.2</v>
      </c>
      <c r="R11" s="23">
        <v>3449.8</v>
      </c>
      <c r="S11" s="23">
        <v>3354.6</v>
      </c>
      <c r="T11" s="23">
        <v>3377.6</v>
      </c>
      <c r="U11" s="23">
        <v>3870.2</v>
      </c>
      <c r="V11" s="23">
        <v>4036</v>
      </c>
      <c r="W11" s="23">
        <v>4651.7</v>
      </c>
      <c r="X11" s="23">
        <v>4600.1000000000004</v>
      </c>
      <c r="Y11" s="23">
        <v>5126.3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3764.9</v>
      </c>
      <c r="E12" s="23">
        <v>4349.2</v>
      </c>
      <c r="F12" s="23">
        <v>5047.1000000000013</v>
      </c>
      <c r="G12" s="23">
        <v>5276.3</v>
      </c>
      <c r="H12" s="23">
        <v>5615.8</v>
      </c>
      <c r="I12" s="23">
        <v>6186.2</v>
      </c>
      <c r="J12" s="23">
        <v>6282.5</v>
      </c>
      <c r="K12" s="23">
        <v>7104.8</v>
      </c>
      <c r="L12" s="23">
        <v>7652.5</v>
      </c>
      <c r="M12" s="23">
        <v>7170.7</v>
      </c>
      <c r="N12" s="23">
        <v>8184.7</v>
      </c>
      <c r="O12" s="23">
        <v>8161.6</v>
      </c>
      <c r="P12" s="23">
        <v>7683.9</v>
      </c>
      <c r="Q12" s="23">
        <v>7663.6</v>
      </c>
      <c r="R12" s="23">
        <v>7609.6</v>
      </c>
      <c r="S12" s="23">
        <v>7989.6</v>
      </c>
      <c r="T12" s="23">
        <v>8747.2000000000007</v>
      </c>
      <c r="U12" s="23">
        <v>9702.5999999999985</v>
      </c>
      <c r="V12" s="23">
        <v>10778.8</v>
      </c>
      <c r="W12" s="23">
        <v>12344.1</v>
      </c>
      <c r="X12" s="23">
        <v>11993.5</v>
      </c>
      <c r="Y12" s="23">
        <v>13641.4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3073.7</v>
      </c>
      <c r="E13" s="23">
        <v>3967.9</v>
      </c>
      <c r="F13" s="23">
        <v>4923.7999999999993</v>
      </c>
      <c r="G13" s="23">
        <v>5202.8</v>
      </c>
      <c r="H13" s="23">
        <v>5722.6</v>
      </c>
      <c r="I13" s="23">
        <v>6400.1</v>
      </c>
      <c r="J13" s="23">
        <v>6671.5</v>
      </c>
      <c r="K13" s="23">
        <v>7134.6</v>
      </c>
      <c r="L13" s="23">
        <v>7983.4</v>
      </c>
      <c r="M13" s="23">
        <v>7103.6</v>
      </c>
      <c r="N13" s="23">
        <v>7583.1</v>
      </c>
      <c r="O13" s="23">
        <v>7846.2</v>
      </c>
      <c r="P13" s="23">
        <v>7565.5</v>
      </c>
      <c r="Q13" s="23">
        <v>7825.9</v>
      </c>
      <c r="R13" s="23">
        <v>8007.7</v>
      </c>
      <c r="S13" s="23">
        <v>8699.2000000000007</v>
      </c>
      <c r="T13" s="23">
        <v>9301.4</v>
      </c>
      <c r="U13" s="23">
        <v>10702.7</v>
      </c>
      <c r="V13" s="23">
        <v>11525.6</v>
      </c>
      <c r="W13" s="23">
        <v>12482.7</v>
      </c>
      <c r="X13" s="23">
        <v>11401.5</v>
      </c>
      <c r="Y13" s="23">
        <v>13364.1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7669.2</v>
      </c>
      <c r="E14" s="23">
        <v>9033.4</v>
      </c>
      <c r="F14" s="23">
        <v>11307.4</v>
      </c>
      <c r="G14" s="23">
        <v>12558.8</v>
      </c>
      <c r="H14" s="23">
        <v>13356.8</v>
      </c>
      <c r="I14" s="23">
        <v>14469.7</v>
      </c>
      <c r="J14" s="23">
        <v>14307.1</v>
      </c>
      <c r="K14" s="23">
        <v>15379.9</v>
      </c>
      <c r="L14" s="23">
        <v>16339.6</v>
      </c>
      <c r="M14" s="23">
        <v>14380.1</v>
      </c>
      <c r="N14" s="23">
        <v>14690.1</v>
      </c>
      <c r="O14" s="23">
        <v>14437.9</v>
      </c>
      <c r="P14" s="23">
        <v>14263.1</v>
      </c>
      <c r="Q14" s="23">
        <v>14652.6</v>
      </c>
      <c r="R14" s="23">
        <v>15102.9</v>
      </c>
      <c r="S14" s="23">
        <v>15963.4</v>
      </c>
      <c r="T14" s="23">
        <v>17256.900000000001</v>
      </c>
      <c r="U14" s="23">
        <v>18592.400000000001</v>
      </c>
      <c r="V14" s="23">
        <v>19432.099999999999</v>
      </c>
      <c r="W14" s="23">
        <v>20644.800000000003</v>
      </c>
      <c r="X14" s="23">
        <v>20278.2</v>
      </c>
      <c r="Y14" s="23">
        <v>22067.9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1350.8</v>
      </c>
      <c r="E15" s="23">
        <v>1660.1</v>
      </c>
      <c r="F15" s="23">
        <v>2055.8000000000002</v>
      </c>
      <c r="G15" s="23">
        <v>1944.1</v>
      </c>
      <c r="H15" s="23">
        <v>2051.1999999999998</v>
      </c>
      <c r="I15" s="23">
        <v>2278.6999999999998</v>
      </c>
      <c r="J15" s="23">
        <v>2253.6999999999998</v>
      </c>
      <c r="K15" s="23">
        <v>2549.8000000000002</v>
      </c>
      <c r="L15" s="23">
        <v>2807.7</v>
      </c>
      <c r="M15" s="23">
        <v>2382.6</v>
      </c>
      <c r="N15" s="23">
        <v>2490.0000000000005</v>
      </c>
      <c r="O15" s="23">
        <v>2453.8000000000002</v>
      </c>
      <c r="P15" s="23">
        <v>2368.1</v>
      </c>
      <c r="Q15" s="23">
        <v>2463.1</v>
      </c>
      <c r="R15" s="23">
        <v>2515.5</v>
      </c>
      <c r="S15" s="23">
        <v>2693.1</v>
      </c>
      <c r="T15" s="23">
        <v>2804.2</v>
      </c>
      <c r="U15" s="23">
        <v>3166.1</v>
      </c>
      <c r="V15" s="23">
        <v>3340.3</v>
      </c>
      <c r="W15" s="23">
        <v>3654.4</v>
      </c>
      <c r="X15" s="23">
        <v>3002.9</v>
      </c>
      <c r="Y15" s="23">
        <v>3530.1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43677</v>
      </c>
      <c r="E16" s="30">
        <f t="shared" ref="E16:S16" si="0">SUM(E6:E15)</f>
        <v>51864.299999999988</v>
      </c>
      <c r="F16" s="30">
        <f t="shared" si="0"/>
        <v>62292.100000000013</v>
      </c>
      <c r="G16" s="30">
        <f t="shared" si="0"/>
        <v>64830.6</v>
      </c>
      <c r="H16" s="30">
        <f t="shared" si="0"/>
        <v>71808.10000000002</v>
      </c>
      <c r="I16" s="30">
        <f t="shared" si="0"/>
        <v>78505.5</v>
      </c>
      <c r="J16" s="30">
        <f t="shared" si="0"/>
        <v>80000.000000000015</v>
      </c>
      <c r="K16" s="30">
        <f t="shared" si="0"/>
        <v>88093.699999999983</v>
      </c>
      <c r="L16" s="30">
        <f t="shared" si="0"/>
        <v>92823.999999999985</v>
      </c>
      <c r="M16" s="30">
        <f t="shared" si="0"/>
        <v>80434.3</v>
      </c>
      <c r="N16" s="30">
        <f t="shared" si="0"/>
        <v>84698.6</v>
      </c>
      <c r="O16" s="30">
        <f t="shared" si="0"/>
        <v>86928.3</v>
      </c>
      <c r="P16" s="30">
        <f t="shared" si="0"/>
        <v>84388.6</v>
      </c>
      <c r="Q16" s="30">
        <f t="shared" si="0"/>
        <v>86341.299999999988</v>
      </c>
      <c r="R16" s="30">
        <f t="shared" si="0"/>
        <v>89788.800000000003</v>
      </c>
      <c r="S16" s="30">
        <f t="shared" si="0"/>
        <v>95031.5</v>
      </c>
      <c r="T16" s="30">
        <f t="shared" ref="T16:Y16" si="1">SUM(T6:T15)</f>
        <v>98620.499999999985</v>
      </c>
      <c r="U16" s="30">
        <f t="shared" si="1"/>
        <v>107729.90000000002</v>
      </c>
      <c r="V16" s="30">
        <f t="shared" si="1"/>
        <v>114905.29999999997</v>
      </c>
      <c r="W16" s="30">
        <f t="shared" si="1"/>
        <v>123784.40000000001</v>
      </c>
      <c r="X16" s="30">
        <f t="shared" si="1"/>
        <v>116368.29999999999</v>
      </c>
      <c r="Y16" s="30">
        <f t="shared" si="1"/>
        <v>130313.00000000003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2528.3000000000002</v>
      </c>
      <c r="E18" s="19">
        <v>2949.3</v>
      </c>
      <c r="F18" s="19">
        <v>3057.4</v>
      </c>
      <c r="G18" s="19">
        <v>2943.1</v>
      </c>
      <c r="H18" s="19">
        <v>3650.9</v>
      </c>
      <c r="I18" s="19">
        <v>3389.8</v>
      </c>
      <c r="J18" s="19">
        <v>3257.2</v>
      </c>
      <c r="K18" s="19">
        <v>3570.7</v>
      </c>
      <c r="L18" s="19">
        <v>3741.1</v>
      </c>
      <c r="M18" s="19">
        <v>2891.6</v>
      </c>
      <c r="N18" s="19">
        <v>3027.2</v>
      </c>
      <c r="O18" s="19">
        <v>4081.2</v>
      </c>
      <c r="P18" s="19">
        <v>3900.7</v>
      </c>
      <c r="Q18" s="19">
        <v>4004.8</v>
      </c>
      <c r="R18" s="19">
        <v>4182.6000000000004</v>
      </c>
      <c r="S18" s="19">
        <v>4274.3</v>
      </c>
      <c r="T18" s="19">
        <v>4522.5</v>
      </c>
      <c r="U18" s="19">
        <v>4768.7999999999993</v>
      </c>
      <c r="V18" s="19">
        <v>4743.3999999999996</v>
      </c>
      <c r="W18" s="19">
        <v>4883.8</v>
      </c>
      <c r="X18" s="19">
        <v>4674.2999999999993</v>
      </c>
      <c r="Y18" s="19">
        <v>5368.2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110.9</v>
      </c>
      <c r="E19" s="23">
        <v>116.9</v>
      </c>
      <c r="F19" s="23">
        <v>148.69999999999999</v>
      </c>
      <c r="G19" s="23">
        <v>150.30000000000001</v>
      </c>
      <c r="H19" s="23">
        <v>160.30000000000001</v>
      </c>
      <c r="I19" s="23">
        <v>187.8</v>
      </c>
      <c r="J19" s="23">
        <v>192.5</v>
      </c>
      <c r="K19" s="23">
        <v>169.7</v>
      </c>
      <c r="L19" s="23">
        <v>224.6</v>
      </c>
      <c r="M19" s="23">
        <v>204.6</v>
      </c>
      <c r="N19" s="23">
        <v>180.5</v>
      </c>
      <c r="O19" s="23">
        <v>208.4</v>
      </c>
      <c r="P19" s="23">
        <v>212.8</v>
      </c>
      <c r="Q19" s="23">
        <v>192.9</v>
      </c>
      <c r="R19" s="23">
        <v>179.7</v>
      </c>
      <c r="S19" s="23">
        <v>152.19999999999999</v>
      </c>
      <c r="T19" s="23">
        <v>143.4</v>
      </c>
      <c r="U19" s="23">
        <v>209.5</v>
      </c>
      <c r="V19" s="23">
        <v>323.89999999999998</v>
      </c>
      <c r="W19" s="23">
        <v>452.4</v>
      </c>
      <c r="X19" s="23">
        <v>296.7</v>
      </c>
      <c r="Y19" s="23">
        <v>444.6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9790.3000000000011</v>
      </c>
      <c r="E20" s="23">
        <v>11507.299999999981</v>
      </c>
      <c r="F20" s="23">
        <v>13316.200000000006</v>
      </c>
      <c r="G20" s="23">
        <v>14013.399999999992</v>
      </c>
      <c r="H20" s="23">
        <v>15900.100000000009</v>
      </c>
      <c r="I20" s="23">
        <v>17321.200000000015</v>
      </c>
      <c r="J20" s="23">
        <v>18140.700000000004</v>
      </c>
      <c r="K20" s="23">
        <v>19515.899999999987</v>
      </c>
      <c r="L20" s="23">
        <v>19788.599999999988</v>
      </c>
      <c r="M20" s="23">
        <v>16206.1</v>
      </c>
      <c r="N20" s="23">
        <v>18037.200000000004</v>
      </c>
      <c r="O20" s="23">
        <v>18834.500000000004</v>
      </c>
      <c r="P20" s="23">
        <v>18518.2</v>
      </c>
      <c r="Q20" s="23">
        <v>19133.3</v>
      </c>
      <c r="R20" s="23">
        <v>20655.799999999996</v>
      </c>
      <c r="S20" s="23">
        <v>22801.1</v>
      </c>
      <c r="T20" s="23">
        <v>22792.799999999996</v>
      </c>
      <c r="U20" s="23">
        <v>24295.3</v>
      </c>
      <c r="V20" s="23">
        <v>25174.699999999972</v>
      </c>
      <c r="W20" s="23">
        <v>25549.000000000004</v>
      </c>
      <c r="X20" s="23">
        <v>23873.200000000004</v>
      </c>
      <c r="Y20" s="23">
        <v>25765.80000000001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1302.4000000000001</v>
      </c>
      <c r="E21" s="23">
        <v>1351.2</v>
      </c>
      <c r="F21" s="23">
        <v>1558.1</v>
      </c>
      <c r="G21" s="23">
        <v>1584.3</v>
      </c>
      <c r="H21" s="23">
        <v>1890.6</v>
      </c>
      <c r="I21" s="23">
        <v>1885.5</v>
      </c>
      <c r="J21" s="23">
        <v>1589.1</v>
      </c>
      <c r="K21" s="23">
        <v>2377.3000000000002</v>
      </c>
      <c r="L21" s="23">
        <v>2340.4</v>
      </c>
      <c r="M21" s="23">
        <v>2481.1</v>
      </c>
      <c r="N21" s="23">
        <v>2383.3000000000002</v>
      </c>
      <c r="O21" s="23">
        <v>2052.1</v>
      </c>
      <c r="P21" s="23">
        <v>2130.6999999999998</v>
      </c>
      <c r="Q21" s="23">
        <v>1879.6</v>
      </c>
      <c r="R21" s="23">
        <v>1876.2</v>
      </c>
      <c r="S21" s="23">
        <v>1921.8</v>
      </c>
      <c r="T21" s="23">
        <v>2220.6999999999998</v>
      </c>
      <c r="U21" s="23">
        <v>1883.3</v>
      </c>
      <c r="V21" s="23">
        <v>1829.7</v>
      </c>
      <c r="W21" s="23">
        <v>2117.6999999999998</v>
      </c>
      <c r="X21" s="23">
        <v>1907.8</v>
      </c>
      <c r="Y21" s="23">
        <v>1919.7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438.9</v>
      </c>
      <c r="E22" s="23">
        <v>505.60000000000008</v>
      </c>
      <c r="F22" s="23">
        <v>610.9</v>
      </c>
      <c r="G22" s="23">
        <v>633.6</v>
      </c>
      <c r="H22" s="23">
        <v>739.2</v>
      </c>
      <c r="I22" s="23">
        <v>855.9</v>
      </c>
      <c r="J22" s="23">
        <v>865.3</v>
      </c>
      <c r="K22" s="23">
        <v>959.2</v>
      </c>
      <c r="L22" s="23">
        <v>1021.6</v>
      </c>
      <c r="M22" s="23">
        <v>954.1</v>
      </c>
      <c r="N22" s="23">
        <v>1033.3</v>
      </c>
      <c r="O22" s="23">
        <v>1046.3000000000002</v>
      </c>
      <c r="P22" s="23">
        <v>975.8</v>
      </c>
      <c r="Q22" s="23">
        <v>923.6</v>
      </c>
      <c r="R22" s="23">
        <v>840.4</v>
      </c>
      <c r="S22" s="23">
        <v>894.2</v>
      </c>
      <c r="T22" s="23">
        <v>970</v>
      </c>
      <c r="U22" s="23">
        <v>1018.5</v>
      </c>
      <c r="V22" s="23">
        <v>981.2</v>
      </c>
      <c r="W22" s="23">
        <v>1009.4</v>
      </c>
      <c r="X22" s="23">
        <v>919.8</v>
      </c>
      <c r="Y22" s="23">
        <v>1011.3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2216.9</v>
      </c>
      <c r="E23" s="23">
        <v>2805.2</v>
      </c>
      <c r="F23" s="23">
        <v>3601.7</v>
      </c>
      <c r="G23" s="23">
        <v>3523.1</v>
      </c>
      <c r="H23" s="23">
        <v>3833</v>
      </c>
      <c r="I23" s="23">
        <v>4509.7</v>
      </c>
      <c r="J23" s="23">
        <v>4263.2</v>
      </c>
      <c r="K23" s="23">
        <v>4324.7</v>
      </c>
      <c r="L23" s="23">
        <v>4535.7</v>
      </c>
      <c r="M23" s="23">
        <v>3889.9</v>
      </c>
      <c r="N23" s="23">
        <v>3508</v>
      </c>
      <c r="O23" s="23">
        <v>3503</v>
      </c>
      <c r="P23" s="23">
        <v>3242.6</v>
      </c>
      <c r="Q23" s="23">
        <v>3480.7</v>
      </c>
      <c r="R23" s="23">
        <v>3747.6</v>
      </c>
      <c r="S23" s="23">
        <v>3988.6</v>
      </c>
      <c r="T23" s="23">
        <v>3509.6</v>
      </c>
      <c r="U23" s="23">
        <v>4565.0000000000009</v>
      </c>
      <c r="V23" s="23">
        <v>5819.7</v>
      </c>
      <c r="W23" s="23">
        <v>7087.9</v>
      </c>
      <c r="X23" s="23">
        <v>6627.1</v>
      </c>
      <c r="Y23" s="23">
        <v>8085.3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4271.5999999999995</v>
      </c>
      <c r="E24" s="23">
        <v>5300.6000000000013</v>
      </c>
      <c r="F24" s="23">
        <v>6554.3</v>
      </c>
      <c r="G24" s="23">
        <v>6497.2</v>
      </c>
      <c r="H24" s="23">
        <v>7292.6999999999989</v>
      </c>
      <c r="I24" s="23">
        <v>8025.1</v>
      </c>
      <c r="J24" s="23">
        <v>8434.6</v>
      </c>
      <c r="K24" s="23">
        <v>9405.9999999999982</v>
      </c>
      <c r="L24" s="23">
        <v>10381.700000000001</v>
      </c>
      <c r="M24" s="23">
        <v>8040.2999999999975</v>
      </c>
      <c r="N24" s="23">
        <v>8388.9000000000015</v>
      </c>
      <c r="O24" s="23">
        <v>8758.0000000000018</v>
      </c>
      <c r="P24" s="23">
        <v>8661.2000000000007</v>
      </c>
      <c r="Q24" s="23">
        <v>9228.5</v>
      </c>
      <c r="R24" s="23">
        <v>9640.5000000000018</v>
      </c>
      <c r="S24" s="23">
        <v>9973.1999999999989</v>
      </c>
      <c r="T24" s="23">
        <v>10056.4</v>
      </c>
      <c r="U24" s="23">
        <v>11086.900000000001</v>
      </c>
      <c r="V24" s="23">
        <v>12112.5</v>
      </c>
      <c r="W24" s="23">
        <v>12812.200000000003</v>
      </c>
      <c r="X24" s="23">
        <v>12591.7</v>
      </c>
      <c r="Y24" s="23">
        <v>14019.100000000002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2492.6</v>
      </c>
      <c r="E25" s="23">
        <v>2969.4</v>
      </c>
      <c r="F25" s="23">
        <v>3416.5</v>
      </c>
      <c r="G25" s="23">
        <v>3319.3</v>
      </c>
      <c r="H25" s="23">
        <v>3750.9</v>
      </c>
      <c r="I25" s="23">
        <v>4106.3</v>
      </c>
      <c r="J25" s="23">
        <v>4347.2</v>
      </c>
      <c r="K25" s="23">
        <v>5121.8</v>
      </c>
      <c r="L25" s="23">
        <v>5227</v>
      </c>
      <c r="M25" s="23">
        <v>4646.1000000000004</v>
      </c>
      <c r="N25" s="23">
        <v>5078</v>
      </c>
      <c r="O25" s="23">
        <v>5433.9</v>
      </c>
      <c r="P25" s="23">
        <v>5281.1</v>
      </c>
      <c r="Q25" s="23">
        <v>5624.6</v>
      </c>
      <c r="R25" s="23">
        <v>5866</v>
      </c>
      <c r="S25" s="23">
        <v>6155.6</v>
      </c>
      <c r="T25" s="23">
        <v>6511</v>
      </c>
      <c r="U25" s="23">
        <v>6640.6</v>
      </c>
      <c r="V25" s="23">
        <v>6995.8</v>
      </c>
      <c r="W25" s="23">
        <v>7556.8</v>
      </c>
      <c r="X25" s="23">
        <v>6701.9</v>
      </c>
      <c r="Y25" s="23">
        <v>6859.7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907.3</v>
      </c>
      <c r="E26" s="23">
        <v>1037.7</v>
      </c>
      <c r="F26" s="23">
        <v>1298.1999999999998</v>
      </c>
      <c r="G26" s="23">
        <v>1325.9</v>
      </c>
      <c r="H26" s="23">
        <v>1484.9</v>
      </c>
      <c r="I26" s="23">
        <v>1551.8</v>
      </c>
      <c r="J26" s="23">
        <v>1527.6</v>
      </c>
      <c r="K26" s="23">
        <v>1793.6</v>
      </c>
      <c r="L26" s="23">
        <v>1774.8</v>
      </c>
      <c r="M26" s="23">
        <v>1561.9</v>
      </c>
      <c r="N26" s="23">
        <v>1503.8</v>
      </c>
      <c r="O26" s="23">
        <v>1435.9</v>
      </c>
      <c r="P26" s="23">
        <v>1308.2</v>
      </c>
      <c r="Q26" s="23">
        <v>1278.3000000000002</v>
      </c>
      <c r="R26" s="23">
        <v>1480</v>
      </c>
      <c r="S26" s="23">
        <v>1558</v>
      </c>
      <c r="T26" s="23">
        <v>1609.6</v>
      </c>
      <c r="U26" s="23">
        <v>1940.4</v>
      </c>
      <c r="V26" s="23">
        <v>2189.6</v>
      </c>
      <c r="W26" s="23">
        <v>2433.1999999999998</v>
      </c>
      <c r="X26" s="23">
        <v>1463.4</v>
      </c>
      <c r="Y26" s="23">
        <v>2088.1999999999998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2213.1</v>
      </c>
      <c r="E27" s="23">
        <v>2520.4</v>
      </c>
      <c r="F27" s="23">
        <v>3155.5</v>
      </c>
      <c r="G27" s="23">
        <v>3420.3</v>
      </c>
      <c r="H27" s="23">
        <v>3627.8</v>
      </c>
      <c r="I27" s="23">
        <v>4035.7</v>
      </c>
      <c r="J27" s="23">
        <v>4125.8</v>
      </c>
      <c r="K27" s="23">
        <v>4718.1000000000004</v>
      </c>
      <c r="L27" s="23">
        <v>4959.3999999999996</v>
      </c>
      <c r="M27" s="23">
        <v>4503.8999999999996</v>
      </c>
      <c r="N27" s="23">
        <v>4504.8999999999996</v>
      </c>
      <c r="O27" s="23">
        <v>4575.2</v>
      </c>
      <c r="P27" s="23">
        <v>4470</v>
      </c>
      <c r="Q27" s="23">
        <v>4547.6000000000004</v>
      </c>
      <c r="R27" s="23">
        <v>4634.5</v>
      </c>
      <c r="S27" s="23">
        <v>4612.6000000000004</v>
      </c>
      <c r="T27" s="23">
        <v>4797.2</v>
      </c>
      <c r="U27" s="23">
        <v>5287.6</v>
      </c>
      <c r="V27" s="23">
        <v>5622</v>
      </c>
      <c r="W27" s="23">
        <v>6104.3</v>
      </c>
      <c r="X27" s="23">
        <v>6036.2</v>
      </c>
      <c r="Y27" s="23">
        <v>7021.3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1546.1</v>
      </c>
      <c r="E28" s="23">
        <v>1790.0999999999997</v>
      </c>
      <c r="F28" s="23">
        <v>2240.5</v>
      </c>
      <c r="G28" s="23">
        <v>2438.1</v>
      </c>
      <c r="H28" s="23">
        <v>2731.3</v>
      </c>
      <c r="I28" s="23">
        <v>3302</v>
      </c>
      <c r="J28" s="23">
        <v>3742</v>
      </c>
      <c r="K28" s="23">
        <v>3967.6</v>
      </c>
      <c r="L28" s="23">
        <v>4045.9</v>
      </c>
      <c r="M28" s="23">
        <v>4017.7</v>
      </c>
      <c r="N28" s="23">
        <v>4105.6000000000004</v>
      </c>
      <c r="O28" s="23">
        <v>4100.3</v>
      </c>
      <c r="P28" s="23">
        <v>3806.7</v>
      </c>
      <c r="Q28" s="23">
        <v>3442.2</v>
      </c>
      <c r="R28" s="23">
        <v>3449.8</v>
      </c>
      <c r="S28" s="23">
        <v>3354.6</v>
      </c>
      <c r="T28" s="23">
        <v>3377.6</v>
      </c>
      <c r="U28" s="23">
        <v>3870.2</v>
      </c>
      <c r="V28" s="23">
        <v>4036</v>
      </c>
      <c r="W28" s="23">
        <v>4651.7</v>
      </c>
      <c r="X28" s="23">
        <v>4600.1000000000004</v>
      </c>
      <c r="Y28" s="23">
        <v>5126.3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3764.9</v>
      </c>
      <c r="E29" s="23">
        <v>4349.2</v>
      </c>
      <c r="F29" s="23">
        <v>5047.1000000000013</v>
      </c>
      <c r="G29" s="23">
        <v>5276.3</v>
      </c>
      <c r="H29" s="23">
        <v>5615.8</v>
      </c>
      <c r="I29" s="23">
        <v>6186.2</v>
      </c>
      <c r="J29" s="23">
        <v>6282.5</v>
      </c>
      <c r="K29" s="23">
        <v>7104.8</v>
      </c>
      <c r="L29" s="23">
        <v>7652.5</v>
      </c>
      <c r="M29" s="23">
        <v>7170.7</v>
      </c>
      <c r="N29" s="23">
        <v>8184.7</v>
      </c>
      <c r="O29" s="23">
        <v>8161.6</v>
      </c>
      <c r="P29" s="23">
        <v>7683.9</v>
      </c>
      <c r="Q29" s="23">
        <v>7663.6</v>
      </c>
      <c r="R29" s="23">
        <v>7609.6</v>
      </c>
      <c r="S29" s="23">
        <v>7989.6</v>
      </c>
      <c r="T29" s="23">
        <v>8747.2000000000007</v>
      </c>
      <c r="U29" s="23">
        <v>9702.5999999999985</v>
      </c>
      <c r="V29" s="23">
        <v>10778.8</v>
      </c>
      <c r="W29" s="23">
        <v>12344.1</v>
      </c>
      <c r="X29" s="23">
        <v>11993.5</v>
      </c>
      <c r="Y29" s="23">
        <v>13641.4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1936.9</v>
      </c>
      <c r="E30" s="23">
        <v>2542.6999999999998</v>
      </c>
      <c r="F30" s="23">
        <v>3106.5999999999995</v>
      </c>
      <c r="G30" s="23">
        <v>3276.8</v>
      </c>
      <c r="H30" s="23">
        <v>3560.5</v>
      </c>
      <c r="I30" s="23">
        <v>3943.1</v>
      </c>
      <c r="J30" s="23">
        <v>4147.0000000000009</v>
      </c>
      <c r="K30" s="23">
        <v>4406.7999999999993</v>
      </c>
      <c r="L30" s="23">
        <v>4995</v>
      </c>
      <c r="M30" s="23">
        <v>4444.8</v>
      </c>
      <c r="N30" s="23">
        <v>4840.7999999999993</v>
      </c>
      <c r="O30" s="23">
        <v>4856</v>
      </c>
      <c r="P30" s="23">
        <v>4677.6000000000004</v>
      </c>
      <c r="Q30" s="23">
        <v>4873.4999999999991</v>
      </c>
      <c r="R30" s="23">
        <v>4954.6000000000004</v>
      </c>
      <c r="S30" s="23">
        <v>5379.2000000000007</v>
      </c>
      <c r="T30" s="23">
        <v>5761.3000000000011</v>
      </c>
      <c r="U30" s="23">
        <v>6474.9</v>
      </c>
      <c r="V30" s="23">
        <v>7074.7999999999993</v>
      </c>
      <c r="W30" s="23">
        <v>7716.9000000000015</v>
      </c>
      <c r="X30" s="23">
        <v>7485.3</v>
      </c>
      <c r="Y30" s="23">
        <v>8503.6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1136.8</v>
      </c>
      <c r="E31" s="23">
        <v>1425.2</v>
      </c>
      <c r="F31" s="23">
        <v>1817.2</v>
      </c>
      <c r="G31" s="23">
        <v>1926</v>
      </c>
      <c r="H31" s="23">
        <v>2162.1</v>
      </c>
      <c r="I31" s="23">
        <v>2457</v>
      </c>
      <c r="J31" s="23">
        <v>2524.5</v>
      </c>
      <c r="K31" s="23">
        <v>2727.8</v>
      </c>
      <c r="L31" s="23">
        <v>2988.4</v>
      </c>
      <c r="M31" s="23">
        <v>2658.8</v>
      </c>
      <c r="N31" s="23">
        <v>2742.3</v>
      </c>
      <c r="O31" s="23">
        <v>2990.2</v>
      </c>
      <c r="P31" s="23">
        <v>2887.9</v>
      </c>
      <c r="Q31" s="23">
        <v>2952.4</v>
      </c>
      <c r="R31" s="23">
        <v>3053.1</v>
      </c>
      <c r="S31" s="23">
        <v>3320</v>
      </c>
      <c r="T31" s="23">
        <v>3540.1</v>
      </c>
      <c r="U31" s="23">
        <v>4227.8</v>
      </c>
      <c r="V31" s="23">
        <v>4450.8</v>
      </c>
      <c r="W31" s="23">
        <v>4765.8</v>
      </c>
      <c r="X31" s="23">
        <v>3916.2</v>
      </c>
      <c r="Y31" s="23">
        <v>4860.5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3753.6999999999994</v>
      </c>
      <c r="E32" s="23">
        <v>4474.1000000000004</v>
      </c>
      <c r="F32" s="23">
        <v>5506.1000000000013</v>
      </c>
      <c r="G32" s="23">
        <v>5787.9000000000015</v>
      </c>
      <c r="H32" s="23">
        <v>6218.7999999999993</v>
      </c>
      <c r="I32" s="23">
        <v>6687.0999999999985</v>
      </c>
      <c r="J32" s="23">
        <v>6741.4999999999991</v>
      </c>
      <c r="K32" s="23">
        <v>7432.8000000000011</v>
      </c>
      <c r="L32" s="23">
        <v>8041.6</v>
      </c>
      <c r="M32" s="23">
        <v>7164.8</v>
      </c>
      <c r="N32" s="23">
        <v>7380.2</v>
      </c>
      <c r="O32" s="23">
        <v>7189.3000000000011</v>
      </c>
      <c r="P32" s="23">
        <v>6813.0000000000009</v>
      </c>
      <c r="Q32" s="23">
        <v>7243.2</v>
      </c>
      <c r="R32" s="23">
        <v>7230.9</v>
      </c>
      <c r="S32" s="23">
        <v>7613.6</v>
      </c>
      <c r="T32" s="23">
        <v>8223.8000000000029</v>
      </c>
      <c r="U32" s="23">
        <v>8818.2000000000007</v>
      </c>
      <c r="V32" s="23">
        <v>9077.0000000000018</v>
      </c>
      <c r="W32" s="23">
        <v>9727.0000000000018</v>
      </c>
      <c r="X32" s="23">
        <v>9400.8000000000011</v>
      </c>
      <c r="Y32" s="23">
        <v>10000.000000000002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2117.3000000000002</v>
      </c>
      <c r="E33" s="23">
        <v>2501.6000000000004</v>
      </c>
      <c r="F33" s="23">
        <v>3183.3</v>
      </c>
      <c r="G33" s="23">
        <v>3705.1</v>
      </c>
      <c r="H33" s="23">
        <v>3854.1</v>
      </c>
      <c r="I33" s="23">
        <v>4225.6000000000013</v>
      </c>
      <c r="J33" s="23">
        <v>4146.1000000000013</v>
      </c>
      <c r="K33" s="23">
        <v>4333.7000000000007</v>
      </c>
      <c r="L33" s="23">
        <v>4516.2000000000007</v>
      </c>
      <c r="M33" s="23">
        <v>3882.5</v>
      </c>
      <c r="N33" s="23">
        <v>3942.9</v>
      </c>
      <c r="O33" s="23">
        <v>3814.2</v>
      </c>
      <c r="P33" s="23">
        <v>3745.1</v>
      </c>
      <c r="Q33" s="23">
        <v>3505.7</v>
      </c>
      <c r="R33" s="23">
        <v>3982.2</v>
      </c>
      <c r="S33" s="23">
        <v>4315.7</v>
      </c>
      <c r="T33" s="23">
        <v>4675.8</v>
      </c>
      <c r="U33" s="23">
        <v>4930.6000000000013</v>
      </c>
      <c r="V33" s="23">
        <v>5133.3999999999987</v>
      </c>
      <c r="W33" s="23">
        <v>5451</v>
      </c>
      <c r="X33" s="23">
        <v>5256.7</v>
      </c>
      <c r="Y33" s="23">
        <v>5582.4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1798.2</v>
      </c>
      <c r="E34" s="23">
        <v>2057.6999999999998</v>
      </c>
      <c r="F34" s="23">
        <v>2618</v>
      </c>
      <c r="G34" s="23">
        <v>3065.8</v>
      </c>
      <c r="H34" s="23">
        <v>3283.9</v>
      </c>
      <c r="I34" s="23">
        <v>3557</v>
      </c>
      <c r="J34" s="23">
        <v>3419.5</v>
      </c>
      <c r="K34" s="23">
        <v>3613.4</v>
      </c>
      <c r="L34" s="23">
        <v>3781.8</v>
      </c>
      <c r="M34" s="23">
        <v>3332.8</v>
      </c>
      <c r="N34" s="23">
        <v>3367</v>
      </c>
      <c r="O34" s="23">
        <v>3434.4</v>
      </c>
      <c r="P34" s="23">
        <v>3705</v>
      </c>
      <c r="Q34" s="23">
        <v>3903.7</v>
      </c>
      <c r="R34" s="23">
        <v>3889.8</v>
      </c>
      <c r="S34" s="23">
        <v>4034.1</v>
      </c>
      <c r="T34" s="23">
        <v>4357.3</v>
      </c>
      <c r="U34" s="23">
        <v>4843.6000000000004</v>
      </c>
      <c r="V34" s="23">
        <v>5221.7000000000007</v>
      </c>
      <c r="W34" s="23">
        <v>5466.8</v>
      </c>
      <c r="X34" s="23">
        <v>5620.7</v>
      </c>
      <c r="Y34" s="23">
        <v>6485.5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547.69999999999993</v>
      </c>
      <c r="E35" s="23">
        <v>688.3</v>
      </c>
      <c r="F35" s="23">
        <v>937.70000000000039</v>
      </c>
      <c r="G35" s="23">
        <v>828.00000000000011</v>
      </c>
      <c r="H35" s="23">
        <v>836.79999999999961</v>
      </c>
      <c r="I35" s="23">
        <v>929.19999999999959</v>
      </c>
      <c r="J35" s="23">
        <v>911.19999999999959</v>
      </c>
      <c r="K35" s="23">
        <v>1025.1000000000001</v>
      </c>
      <c r="L35" s="23">
        <v>1126.7</v>
      </c>
      <c r="M35" s="23">
        <v>882.2</v>
      </c>
      <c r="N35" s="23">
        <v>1014.5000000000003</v>
      </c>
      <c r="O35" s="23">
        <v>997.50000000000034</v>
      </c>
      <c r="P35" s="23">
        <v>951.99999999999989</v>
      </c>
      <c r="Q35" s="23">
        <v>1006.6999999999998</v>
      </c>
      <c r="R35" s="23">
        <v>1076.3</v>
      </c>
      <c r="S35" s="23">
        <v>1193.1999999999998</v>
      </c>
      <c r="T35" s="23">
        <v>1281.8999999999999</v>
      </c>
      <c r="U35" s="23">
        <v>1561.5</v>
      </c>
      <c r="V35" s="23">
        <v>1669</v>
      </c>
      <c r="W35" s="23">
        <v>1815.6</v>
      </c>
      <c r="X35" s="23">
        <v>1536.7</v>
      </c>
      <c r="Y35" s="23">
        <v>1888.8999999999996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794.3</v>
      </c>
      <c r="E36" s="23">
        <v>960.3</v>
      </c>
      <c r="F36" s="23">
        <v>1104.0999999999999</v>
      </c>
      <c r="G36" s="23">
        <v>1102.8</v>
      </c>
      <c r="H36" s="23">
        <v>1200.9000000000001</v>
      </c>
      <c r="I36" s="23">
        <v>1336.6</v>
      </c>
      <c r="J36" s="23">
        <v>1327.9</v>
      </c>
      <c r="K36" s="23">
        <v>1510.6</v>
      </c>
      <c r="L36" s="23">
        <v>1668.7</v>
      </c>
      <c r="M36" s="23">
        <v>1492.2</v>
      </c>
      <c r="N36" s="23">
        <v>1462.7</v>
      </c>
      <c r="O36" s="23">
        <v>1443.4</v>
      </c>
      <c r="P36" s="23">
        <v>1402.9</v>
      </c>
      <c r="Q36" s="23">
        <v>1443.3</v>
      </c>
      <c r="R36" s="23">
        <v>1426.6</v>
      </c>
      <c r="S36" s="23">
        <v>1481.4</v>
      </c>
      <c r="T36" s="23">
        <v>1501.7</v>
      </c>
      <c r="U36" s="23">
        <v>1583.7</v>
      </c>
      <c r="V36" s="23">
        <v>1634</v>
      </c>
      <c r="W36" s="23">
        <v>1811.3</v>
      </c>
      <c r="X36" s="23">
        <v>1440.2</v>
      </c>
      <c r="Y36" s="23">
        <v>1616.7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8.8000000000000007</v>
      </c>
      <c r="E37" s="23">
        <v>11.5</v>
      </c>
      <c r="F37" s="23">
        <v>14</v>
      </c>
      <c r="G37" s="23">
        <v>13.3</v>
      </c>
      <c r="H37" s="23">
        <v>13.5</v>
      </c>
      <c r="I37" s="23">
        <v>12.9</v>
      </c>
      <c r="J37" s="23">
        <v>14.6</v>
      </c>
      <c r="K37" s="23">
        <v>14.1</v>
      </c>
      <c r="L37" s="23">
        <v>12.3</v>
      </c>
      <c r="M37" s="23">
        <v>8.1999999999999993</v>
      </c>
      <c r="N37" s="23">
        <v>12.8</v>
      </c>
      <c r="O37" s="23">
        <v>12.9</v>
      </c>
      <c r="P37" s="23">
        <v>13.2</v>
      </c>
      <c r="Q37" s="23">
        <v>13.1</v>
      </c>
      <c r="R37" s="23">
        <v>12.6</v>
      </c>
      <c r="S37" s="23">
        <v>18.5</v>
      </c>
      <c r="T37" s="23">
        <v>20.6</v>
      </c>
      <c r="U37" s="23">
        <v>20.9</v>
      </c>
      <c r="V37" s="23">
        <v>37.299999999999997</v>
      </c>
      <c r="W37" s="23">
        <v>27.5</v>
      </c>
      <c r="X37" s="23">
        <v>26</v>
      </c>
      <c r="Y37" s="23">
        <v>24.5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43677</v>
      </c>
      <c r="E39" s="30">
        <f t="shared" ref="E39:S39" si="2">SUM(E18:E38)</f>
        <v>51864.299999999981</v>
      </c>
      <c r="F39" s="30">
        <f t="shared" si="2"/>
        <v>62292.1</v>
      </c>
      <c r="G39" s="30">
        <f t="shared" si="2"/>
        <v>64830.600000000006</v>
      </c>
      <c r="H39" s="30">
        <f t="shared" si="2"/>
        <v>71808.10000000002</v>
      </c>
      <c r="I39" s="30">
        <f t="shared" si="2"/>
        <v>78505.500000000015</v>
      </c>
      <c r="J39" s="30">
        <f t="shared" si="2"/>
        <v>80000</v>
      </c>
      <c r="K39" s="30">
        <f t="shared" si="2"/>
        <v>88093.7</v>
      </c>
      <c r="L39" s="30">
        <f t="shared" si="2"/>
        <v>92823.999999999985</v>
      </c>
      <c r="M39" s="30">
        <f t="shared" si="2"/>
        <v>80434.299999999988</v>
      </c>
      <c r="N39" s="30">
        <f t="shared" si="2"/>
        <v>84698.6</v>
      </c>
      <c r="O39" s="30">
        <f t="shared" si="2"/>
        <v>86928.299999999974</v>
      </c>
      <c r="P39" s="30">
        <f t="shared" si="2"/>
        <v>84388.599999999991</v>
      </c>
      <c r="Q39" s="30">
        <f t="shared" si="2"/>
        <v>86341.299999999974</v>
      </c>
      <c r="R39" s="30">
        <f t="shared" si="2"/>
        <v>89788.800000000017</v>
      </c>
      <c r="S39" s="30">
        <f t="shared" si="2"/>
        <v>95031.499999999985</v>
      </c>
      <c r="T39" s="30">
        <f t="shared" ref="T39:Y39" si="3">SUM(T18:T38)</f>
        <v>98620.500000000015</v>
      </c>
      <c r="U39" s="30">
        <f t="shared" si="3"/>
        <v>107729.90000000001</v>
      </c>
      <c r="V39" s="30">
        <f t="shared" si="3"/>
        <v>114905.29999999997</v>
      </c>
      <c r="W39" s="30">
        <f t="shared" si="3"/>
        <v>123784.40000000004</v>
      </c>
      <c r="X39" s="30">
        <f t="shared" si="3"/>
        <v>116368.3</v>
      </c>
      <c r="Y39" s="30">
        <f t="shared" si="3"/>
        <v>130313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1425.1</v>
      </c>
      <c r="E41" s="19">
        <v>1800.9</v>
      </c>
      <c r="F41" s="19">
        <v>2203.5</v>
      </c>
      <c r="G41" s="19">
        <v>2023</v>
      </c>
      <c r="H41" s="19">
        <v>2141.9</v>
      </c>
      <c r="I41" s="19">
        <v>2057.6000000000004</v>
      </c>
      <c r="J41" s="19">
        <v>2048.9</v>
      </c>
      <c r="K41" s="19">
        <v>2034.1</v>
      </c>
      <c r="L41" s="19">
        <v>1948.3</v>
      </c>
      <c r="M41" s="19">
        <v>2087.6</v>
      </c>
      <c r="N41" s="19">
        <v>1960.4</v>
      </c>
      <c r="O41" s="19">
        <v>1876.2</v>
      </c>
      <c r="P41" s="19">
        <v>1808</v>
      </c>
      <c r="Q41" s="19">
        <v>1971.9</v>
      </c>
      <c r="R41" s="19">
        <v>2031.0000000000002</v>
      </c>
      <c r="S41" s="19">
        <v>2102.9</v>
      </c>
      <c r="T41" s="19">
        <v>2178.1999999999998</v>
      </c>
      <c r="U41" s="19">
        <v>2281.3000000000002</v>
      </c>
      <c r="V41" s="19">
        <v>2468.8999999999996</v>
      </c>
      <c r="W41" s="19">
        <v>2483</v>
      </c>
      <c r="X41" s="19">
        <v>2437.4</v>
      </c>
      <c r="Y41" s="19">
        <v>2554.1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703.9</v>
      </c>
      <c r="E42" s="23">
        <v>819.5</v>
      </c>
      <c r="F42" s="23">
        <v>814.3</v>
      </c>
      <c r="G42" s="23">
        <v>678.7</v>
      </c>
      <c r="H42" s="23">
        <v>657.7</v>
      </c>
      <c r="I42" s="23">
        <v>577.9</v>
      </c>
      <c r="J42" s="23">
        <v>573.70000000000005</v>
      </c>
      <c r="K42" s="23">
        <v>550.20000000000005</v>
      </c>
      <c r="L42" s="23">
        <v>509.5</v>
      </c>
      <c r="M42" s="23">
        <v>419.7</v>
      </c>
      <c r="N42" s="23">
        <v>420.4</v>
      </c>
      <c r="O42" s="23">
        <v>462.5</v>
      </c>
      <c r="P42" s="23">
        <v>444.2</v>
      </c>
      <c r="Q42" s="23">
        <v>450.5</v>
      </c>
      <c r="R42" s="23">
        <v>455.5</v>
      </c>
      <c r="S42" s="23">
        <v>454.3</v>
      </c>
      <c r="T42" s="23">
        <v>474.6</v>
      </c>
      <c r="U42" s="23">
        <v>502.3</v>
      </c>
      <c r="V42" s="23">
        <v>519.9</v>
      </c>
      <c r="W42" s="23">
        <v>522.6</v>
      </c>
      <c r="X42" s="23">
        <v>437.9</v>
      </c>
      <c r="Y42" s="23">
        <v>462.3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575.9</v>
      </c>
      <c r="E43" s="23">
        <v>740.5</v>
      </c>
      <c r="F43" s="23">
        <v>827.3</v>
      </c>
      <c r="G43" s="23">
        <v>801.5</v>
      </c>
      <c r="H43" s="23">
        <v>838.4</v>
      </c>
      <c r="I43" s="23">
        <v>842</v>
      </c>
      <c r="J43" s="23">
        <v>802.9</v>
      </c>
      <c r="K43" s="23">
        <v>917.1</v>
      </c>
      <c r="L43" s="23">
        <v>899.8</v>
      </c>
      <c r="M43" s="23">
        <v>725.2</v>
      </c>
      <c r="N43" s="23">
        <v>772.8</v>
      </c>
      <c r="O43" s="23">
        <v>784.5</v>
      </c>
      <c r="P43" s="23">
        <v>766.4</v>
      </c>
      <c r="Q43" s="23">
        <v>800.4</v>
      </c>
      <c r="R43" s="23">
        <v>836.8</v>
      </c>
      <c r="S43" s="23">
        <v>879.8</v>
      </c>
      <c r="T43" s="23">
        <v>929</v>
      </c>
      <c r="U43" s="23">
        <v>997</v>
      </c>
      <c r="V43" s="23">
        <v>1048.5999999999999</v>
      </c>
      <c r="W43" s="23">
        <v>1131.9000000000001</v>
      </c>
      <c r="X43" s="23">
        <v>1087.7</v>
      </c>
      <c r="Y43" s="23">
        <v>1245.7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484.5</v>
      </c>
      <c r="E44" s="23">
        <v>564.70000000000005</v>
      </c>
      <c r="F44" s="23">
        <v>792.1</v>
      </c>
      <c r="G44" s="23">
        <v>754.6</v>
      </c>
      <c r="H44" s="23">
        <v>1193.0999999999999</v>
      </c>
      <c r="I44" s="23">
        <v>1378.5</v>
      </c>
      <c r="J44" s="23">
        <v>1518.7</v>
      </c>
      <c r="K44" s="23">
        <v>1317.8</v>
      </c>
      <c r="L44" s="23">
        <v>1497.7</v>
      </c>
      <c r="M44" s="23">
        <v>1037.4999999999998</v>
      </c>
      <c r="N44" s="23">
        <v>1154.0999999999999</v>
      </c>
      <c r="O44" s="23">
        <v>1055.2</v>
      </c>
      <c r="P44" s="23">
        <v>1121</v>
      </c>
      <c r="Q44" s="23">
        <v>827</v>
      </c>
      <c r="R44" s="23">
        <v>906.9</v>
      </c>
      <c r="S44" s="23">
        <v>801.9</v>
      </c>
      <c r="T44" s="23">
        <v>762.4</v>
      </c>
      <c r="U44" s="23">
        <v>861.4</v>
      </c>
      <c r="V44" s="23">
        <v>889.9</v>
      </c>
      <c r="W44" s="23">
        <v>842.3</v>
      </c>
      <c r="X44" s="23">
        <v>516.79999999999995</v>
      </c>
      <c r="Y44" s="23">
        <v>871.2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422.2</v>
      </c>
      <c r="E45" s="23">
        <v>539.20000000000005</v>
      </c>
      <c r="F45" s="23">
        <v>556.4</v>
      </c>
      <c r="G45" s="23">
        <v>522.5</v>
      </c>
      <c r="H45" s="23">
        <v>575.4</v>
      </c>
      <c r="I45" s="23">
        <v>574.4</v>
      </c>
      <c r="J45" s="23">
        <v>657.7</v>
      </c>
      <c r="K45" s="23">
        <v>822.4</v>
      </c>
      <c r="L45" s="23">
        <v>736.5</v>
      </c>
      <c r="M45" s="23">
        <v>432.8</v>
      </c>
      <c r="N45" s="23">
        <v>498.9</v>
      </c>
      <c r="O45" s="23">
        <v>556.20000000000005</v>
      </c>
      <c r="P45" s="23">
        <v>635.29999999999995</v>
      </c>
      <c r="Q45" s="23">
        <v>718.9</v>
      </c>
      <c r="R45" s="23">
        <v>936.7</v>
      </c>
      <c r="S45" s="23">
        <v>1265.2</v>
      </c>
      <c r="T45" s="23">
        <v>1275.8</v>
      </c>
      <c r="U45" s="23">
        <v>1581.8</v>
      </c>
      <c r="V45" s="23">
        <v>1501.4</v>
      </c>
      <c r="W45" s="23">
        <v>1262.4999999999998</v>
      </c>
      <c r="X45" s="23">
        <v>1376.8</v>
      </c>
      <c r="Y45" s="23">
        <v>1911.7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545.6</v>
      </c>
      <c r="E46" s="23">
        <v>707.9</v>
      </c>
      <c r="F46" s="23">
        <v>800.9</v>
      </c>
      <c r="G46" s="23">
        <v>918.4</v>
      </c>
      <c r="H46" s="23">
        <v>970.8</v>
      </c>
      <c r="I46" s="23">
        <v>1077.1999999999998</v>
      </c>
      <c r="J46" s="23">
        <v>1170.0999999999999</v>
      </c>
      <c r="K46" s="23">
        <v>1158.6999999999998</v>
      </c>
      <c r="L46" s="23">
        <v>1170.6999999999998</v>
      </c>
      <c r="M46" s="23">
        <v>1131.4000000000001</v>
      </c>
      <c r="N46" s="23">
        <v>1385.9</v>
      </c>
      <c r="O46" s="23">
        <v>1427.5</v>
      </c>
      <c r="P46" s="23">
        <v>1463.9</v>
      </c>
      <c r="Q46" s="23">
        <v>1263.9000000000001</v>
      </c>
      <c r="R46" s="23">
        <v>1375.4</v>
      </c>
      <c r="S46" s="23">
        <v>1454.8</v>
      </c>
      <c r="T46" s="23">
        <v>1403.6</v>
      </c>
      <c r="U46" s="23">
        <v>1650.4</v>
      </c>
      <c r="V46" s="23">
        <v>1525.9</v>
      </c>
      <c r="W46" s="23">
        <v>1637</v>
      </c>
      <c r="X46" s="23">
        <v>1618.2</v>
      </c>
      <c r="Y46" s="23">
        <v>1585.3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859.9</v>
      </c>
      <c r="E47" s="23">
        <v>1057.0000000000002</v>
      </c>
      <c r="F47" s="23">
        <v>1216.5000000000002</v>
      </c>
      <c r="G47" s="23">
        <v>1258.4000000000003</v>
      </c>
      <c r="H47" s="23">
        <v>1300.2</v>
      </c>
      <c r="I47" s="23">
        <v>1426.8</v>
      </c>
      <c r="J47" s="23">
        <v>1485.8</v>
      </c>
      <c r="K47" s="23">
        <v>1842.6</v>
      </c>
      <c r="L47" s="23">
        <v>1855.8</v>
      </c>
      <c r="M47" s="23">
        <v>1462.4</v>
      </c>
      <c r="N47" s="23">
        <v>1589.5</v>
      </c>
      <c r="O47" s="23">
        <v>1662.3</v>
      </c>
      <c r="P47" s="23">
        <v>1728.8</v>
      </c>
      <c r="Q47" s="23">
        <v>1791.4</v>
      </c>
      <c r="R47" s="23">
        <v>1927.9</v>
      </c>
      <c r="S47" s="23">
        <v>2142.8000000000002</v>
      </c>
      <c r="T47" s="23">
        <v>2279.1999999999998</v>
      </c>
      <c r="U47" s="23">
        <v>2350.3999999999996</v>
      </c>
      <c r="V47" s="23">
        <v>2624.5</v>
      </c>
      <c r="W47" s="23">
        <v>2801.9</v>
      </c>
      <c r="X47" s="23">
        <v>2649.7</v>
      </c>
      <c r="Y47" s="23">
        <v>2889.4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1006.8</v>
      </c>
      <c r="E48" s="23">
        <v>1125.5</v>
      </c>
      <c r="F48" s="23">
        <v>1203.4000000000001</v>
      </c>
      <c r="G48" s="23">
        <v>1285.9000000000001</v>
      </c>
      <c r="H48" s="23">
        <v>1511.6</v>
      </c>
      <c r="I48" s="23">
        <v>1599.5</v>
      </c>
      <c r="J48" s="23">
        <v>1762.8</v>
      </c>
      <c r="K48" s="23">
        <v>2037.4</v>
      </c>
      <c r="L48" s="23">
        <v>2161.4</v>
      </c>
      <c r="M48" s="23">
        <v>1325.3</v>
      </c>
      <c r="N48" s="23">
        <v>1534.1</v>
      </c>
      <c r="O48" s="23">
        <v>1735.3</v>
      </c>
      <c r="P48" s="23">
        <v>1678.5</v>
      </c>
      <c r="Q48" s="23">
        <v>1773.2</v>
      </c>
      <c r="R48" s="23">
        <v>1840.9</v>
      </c>
      <c r="S48" s="23">
        <v>2055.6999999999998</v>
      </c>
      <c r="T48" s="23">
        <v>2168.1999999999998</v>
      </c>
      <c r="U48" s="23">
        <v>2341.8000000000002</v>
      </c>
      <c r="V48" s="23">
        <v>2616</v>
      </c>
      <c r="W48" s="23">
        <v>2643.4</v>
      </c>
      <c r="X48" s="23">
        <v>2422.5</v>
      </c>
      <c r="Y48" s="23">
        <v>2811.3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791.2</v>
      </c>
      <c r="E49" s="23">
        <v>964.7</v>
      </c>
      <c r="F49" s="23">
        <v>1037</v>
      </c>
      <c r="G49" s="23">
        <v>1440.7</v>
      </c>
      <c r="H49" s="23">
        <v>1804.7</v>
      </c>
      <c r="I49" s="23">
        <v>2100.1</v>
      </c>
      <c r="J49" s="23">
        <v>1977.5999999999997</v>
      </c>
      <c r="K49" s="23">
        <v>1562.4</v>
      </c>
      <c r="L49" s="23">
        <v>1648</v>
      </c>
      <c r="M49" s="23">
        <v>1443.4</v>
      </c>
      <c r="N49" s="23">
        <v>1490.9</v>
      </c>
      <c r="O49" s="23">
        <v>1964.5</v>
      </c>
      <c r="P49" s="23">
        <v>1604.4</v>
      </c>
      <c r="Q49" s="23">
        <v>1702.9</v>
      </c>
      <c r="R49" s="23">
        <v>1709.6</v>
      </c>
      <c r="S49" s="23">
        <v>1794.5</v>
      </c>
      <c r="T49" s="23">
        <v>1882.3</v>
      </c>
      <c r="U49" s="23">
        <v>2229.6999999999998</v>
      </c>
      <c r="V49" s="23">
        <v>2196.6999999999998</v>
      </c>
      <c r="W49" s="23">
        <v>2269</v>
      </c>
      <c r="X49" s="23">
        <v>2106.5</v>
      </c>
      <c r="Y49" s="23">
        <v>2119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775.6</v>
      </c>
      <c r="E50" s="23">
        <v>749.3</v>
      </c>
      <c r="F50" s="23">
        <v>971.3</v>
      </c>
      <c r="G50" s="23">
        <v>1167.7</v>
      </c>
      <c r="H50" s="23">
        <v>1483</v>
      </c>
      <c r="I50" s="23">
        <v>1762.7</v>
      </c>
      <c r="J50" s="23">
        <v>1569.4</v>
      </c>
      <c r="K50" s="23">
        <v>1858</v>
      </c>
      <c r="L50" s="23">
        <v>1779.1</v>
      </c>
      <c r="M50" s="23">
        <v>672.8</v>
      </c>
      <c r="N50" s="23">
        <v>769.8</v>
      </c>
      <c r="O50" s="23">
        <v>757</v>
      </c>
      <c r="P50" s="23">
        <v>769.3</v>
      </c>
      <c r="Q50" s="23">
        <v>788.2</v>
      </c>
      <c r="R50" s="23">
        <v>933.2</v>
      </c>
      <c r="S50" s="23">
        <v>947.6</v>
      </c>
      <c r="T50" s="23">
        <v>1018.7</v>
      </c>
      <c r="U50" s="23">
        <v>1071.3</v>
      </c>
      <c r="V50" s="23">
        <v>1214.5</v>
      </c>
      <c r="W50" s="23">
        <v>1364.9</v>
      </c>
      <c r="X50" s="23">
        <v>1475.2</v>
      </c>
      <c r="Y50" s="23">
        <v>1664.6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458.7</v>
      </c>
      <c r="E51" s="23">
        <v>554.4</v>
      </c>
      <c r="F51" s="23">
        <v>679</v>
      </c>
      <c r="G51" s="23">
        <v>671.3</v>
      </c>
      <c r="H51" s="23">
        <v>738.4</v>
      </c>
      <c r="I51" s="23">
        <v>862.1</v>
      </c>
      <c r="J51" s="23">
        <v>906.9</v>
      </c>
      <c r="K51" s="23">
        <v>1040.3</v>
      </c>
      <c r="L51" s="23">
        <v>1147.0000000000002</v>
      </c>
      <c r="M51" s="23">
        <v>2094.4</v>
      </c>
      <c r="N51" s="23">
        <v>2304.9</v>
      </c>
      <c r="O51" s="23">
        <v>2518</v>
      </c>
      <c r="P51" s="23">
        <v>2780.1</v>
      </c>
      <c r="Q51" s="23">
        <v>2534.1999999999998</v>
      </c>
      <c r="R51" s="23">
        <v>2655.9</v>
      </c>
      <c r="S51" s="23">
        <v>3059.6</v>
      </c>
      <c r="T51" s="23">
        <v>2053</v>
      </c>
      <c r="U51" s="23">
        <v>1977.1</v>
      </c>
      <c r="V51" s="23">
        <v>1823.6</v>
      </c>
      <c r="W51" s="23">
        <v>1706</v>
      </c>
      <c r="X51" s="23">
        <v>1560.6</v>
      </c>
      <c r="Y51" s="23">
        <v>1590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1321.9</v>
      </c>
      <c r="E52" s="23">
        <v>1379.2</v>
      </c>
      <c r="F52" s="23">
        <v>1597.5</v>
      </c>
      <c r="G52" s="23">
        <v>1873.7</v>
      </c>
      <c r="H52" s="23">
        <v>2006.0000000000002</v>
      </c>
      <c r="I52" s="23">
        <v>2359.1000000000004</v>
      </c>
      <c r="J52" s="23">
        <v>2939</v>
      </c>
      <c r="K52" s="23">
        <v>3566.3</v>
      </c>
      <c r="L52" s="23">
        <v>3553.9</v>
      </c>
      <c r="M52" s="23">
        <v>2485.6999999999998</v>
      </c>
      <c r="N52" s="23">
        <v>3189.5</v>
      </c>
      <c r="O52" s="23">
        <v>3061.2</v>
      </c>
      <c r="P52" s="23">
        <v>2719.7</v>
      </c>
      <c r="Q52" s="23">
        <v>3453.9</v>
      </c>
      <c r="R52" s="23">
        <v>3960.8</v>
      </c>
      <c r="S52" s="23">
        <v>4676.1000000000004</v>
      </c>
      <c r="T52" s="23">
        <v>5070.5</v>
      </c>
      <c r="U52" s="23">
        <v>5038.6000000000004</v>
      </c>
      <c r="V52" s="23">
        <v>5215.3</v>
      </c>
      <c r="W52" s="23">
        <v>5129.2</v>
      </c>
      <c r="X52" s="23">
        <v>4488.6000000000013</v>
      </c>
      <c r="Y52" s="23">
        <v>4212.6000000000004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418.99999999999983</v>
      </c>
      <c r="E53" s="23">
        <v>504.49999999998312</v>
      </c>
      <c r="F53" s="23">
        <v>617.0000000000075</v>
      </c>
      <c r="G53" s="23">
        <v>616.99999999999682</v>
      </c>
      <c r="H53" s="23">
        <v>678.90000000000839</v>
      </c>
      <c r="I53" s="23">
        <v>703.30000000001326</v>
      </c>
      <c r="J53" s="23">
        <v>727.20000000000448</v>
      </c>
      <c r="K53" s="23">
        <v>808.59999999998672</v>
      </c>
      <c r="L53" s="23">
        <v>880.89999999998804</v>
      </c>
      <c r="M53" s="23">
        <v>887.900000000001</v>
      </c>
      <c r="N53" s="23">
        <v>966.00000000000296</v>
      </c>
      <c r="O53" s="23">
        <v>974.10000000000309</v>
      </c>
      <c r="P53" s="23">
        <v>998.60000000000161</v>
      </c>
      <c r="Q53" s="23">
        <v>1056.8999999999971</v>
      </c>
      <c r="R53" s="23">
        <v>1085.1999999999941</v>
      </c>
      <c r="S53" s="23">
        <v>1165.8999999999978</v>
      </c>
      <c r="T53" s="23">
        <v>1297.299999999997</v>
      </c>
      <c r="U53" s="23">
        <v>1412.2000000000014</v>
      </c>
      <c r="V53" s="23">
        <v>1529.4999999999695</v>
      </c>
      <c r="W53" s="23">
        <v>1755.3000000000018</v>
      </c>
      <c r="X53" s="23">
        <v>1695.3000000000006</v>
      </c>
      <c r="Y53" s="23">
        <v>1848.6000000000076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9790.2999999999993</v>
      </c>
      <c r="E54" s="30">
        <f t="shared" ref="E54:S54" si="4">SUM(E41:E53)</f>
        <v>11507.299999999983</v>
      </c>
      <c r="F54" s="30">
        <f t="shared" si="4"/>
        <v>13316.200000000006</v>
      </c>
      <c r="G54" s="30">
        <f t="shared" si="4"/>
        <v>14013.399999999998</v>
      </c>
      <c r="H54" s="30">
        <f t="shared" si="4"/>
        <v>15900.100000000009</v>
      </c>
      <c r="I54" s="30">
        <f t="shared" si="4"/>
        <v>17321.200000000015</v>
      </c>
      <c r="J54" s="30">
        <f t="shared" si="4"/>
        <v>18140.700000000004</v>
      </c>
      <c r="K54" s="30">
        <f t="shared" si="4"/>
        <v>19515.899999999987</v>
      </c>
      <c r="L54" s="30">
        <f t="shared" si="4"/>
        <v>19788.599999999988</v>
      </c>
      <c r="M54" s="30">
        <f t="shared" si="4"/>
        <v>16206.099999999999</v>
      </c>
      <c r="N54" s="30">
        <f t="shared" si="4"/>
        <v>18037.2</v>
      </c>
      <c r="O54" s="30">
        <f t="shared" si="4"/>
        <v>18834.5</v>
      </c>
      <c r="P54" s="30">
        <f t="shared" si="4"/>
        <v>18518.200000000004</v>
      </c>
      <c r="Q54" s="30">
        <f t="shared" si="4"/>
        <v>19133.3</v>
      </c>
      <c r="R54" s="30">
        <f t="shared" si="4"/>
        <v>20655.799999999992</v>
      </c>
      <c r="S54" s="30">
        <f t="shared" si="4"/>
        <v>22801.100000000002</v>
      </c>
      <c r="T54" s="30">
        <f t="shared" ref="T54:Y54" si="5">SUM(T41:T53)</f>
        <v>22792.799999999996</v>
      </c>
      <c r="U54" s="30">
        <f t="shared" si="5"/>
        <v>24295.3</v>
      </c>
      <c r="V54" s="30">
        <f t="shared" si="5"/>
        <v>25174.699999999968</v>
      </c>
      <c r="W54" s="30">
        <f t="shared" si="5"/>
        <v>25549.000000000004</v>
      </c>
      <c r="X54" s="30">
        <f t="shared" si="5"/>
        <v>23873.200000000001</v>
      </c>
      <c r="Y54" s="30">
        <f t="shared" si="5"/>
        <v>25765.800000000003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1425.1</v>
      </c>
      <c r="E56" s="19">
        <v>1800.9</v>
      </c>
      <c r="F56" s="19">
        <v>2203.5</v>
      </c>
      <c r="G56" s="19">
        <v>2023</v>
      </c>
      <c r="H56" s="19">
        <v>2141.9</v>
      </c>
      <c r="I56" s="19">
        <v>2057.6000000000004</v>
      </c>
      <c r="J56" s="19">
        <v>2048.9</v>
      </c>
      <c r="K56" s="19">
        <v>2034.1</v>
      </c>
      <c r="L56" s="19">
        <v>1948.3</v>
      </c>
      <c r="M56" s="19">
        <v>2087.6</v>
      </c>
      <c r="N56" s="19">
        <v>1960.4</v>
      </c>
      <c r="O56" s="19">
        <v>1876.2</v>
      </c>
      <c r="P56" s="19">
        <v>1808</v>
      </c>
      <c r="Q56" s="19">
        <v>1971.9</v>
      </c>
      <c r="R56" s="19">
        <v>2031.0000000000002</v>
      </c>
      <c r="S56" s="19">
        <v>2102.9</v>
      </c>
      <c r="T56" s="19">
        <v>2178.1999999999998</v>
      </c>
      <c r="U56" s="19">
        <v>2281.3000000000002</v>
      </c>
      <c r="V56" s="19">
        <v>2468.8999999999996</v>
      </c>
      <c r="W56" s="19">
        <v>2483</v>
      </c>
      <c r="X56" s="19">
        <v>2437.4</v>
      </c>
      <c r="Y56" s="19">
        <v>2554.1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703.9</v>
      </c>
      <c r="E57" s="23">
        <v>819.5</v>
      </c>
      <c r="F57" s="23">
        <v>814.3</v>
      </c>
      <c r="G57" s="23">
        <v>678.7</v>
      </c>
      <c r="H57" s="23">
        <v>657.7</v>
      </c>
      <c r="I57" s="23">
        <v>577.9</v>
      </c>
      <c r="J57" s="23">
        <v>573.70000000000005</v>
      </c>
      <c r="K57" s="23">
        <v>550.20000000000005</v>
      </c>
      <c r="L57" s="23">
        <v>509.5</v>
      </c>
      <c r="M57" s="23">
        <v>419.7</v>
      </c>
      <c r="N57" s="23">
        <v>420.4</v>
      </c>
      <c r="O57" s="23">
        <v>462.5</v>
      </c>
      <c r="P57" s="23">
        <v>444.2</v>
      </c>
      <c r="Q57" s="23">
        <v>450.5</v>
      </c>
      <c r="R57" s="23">
        <v>455.5</v>
      </c>
      <c r="S57" s="23">
        <v>454.3</v>
      </c>
      <c r="T57" s="23">
        <v>474.6</v>
      </c>
      <c r="U57" s="23">
        <v>502.3</v>
      </c>
      <c r="V57" s="23">
        <v>519.9</v>
      </c>
      <c r="W57" s="23">
        <v>522.6</v>
      </c>
      <c r="X57" s="23">
        <v>437.9</v>
      </c>
      <c r="Y57" s="23">
        <v>462.3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218.5</v>
      </c>
      <c r="E58" s="23">
        <v>264.89999999999998</v>
      </c>
      <c r="F58" s="23">
        <v>266.10000000000002</v>
      </c>
      <c r="G58" s="23">
        <v>259.7</v>
      </c>
      <c r="H58" s="23">
        <v>284.3</v>
      </c>
      <c r="I58" s="23">
        <v>270.20000000000005</v>
      </c>
      <c r="J58" s="23">
        <v>262</v>
      </c>
      <c r="K58" s="23">
        <v>294.2</v>
      </c>
      <c r="L58" s="23">
        <v>300.89999999999992</v>
      </c>
      <c r="M58" s="23">
        <v>216</v>
      </c>
      <c r="N58" s="23">
        <v>223.7</v>
      </c>
      <c r="O58" s="23">
        <v>220.7</v>
      </c>
      <c r="P58" s="23">
        <v>212.3</v>
      </c>
      <c r="Q58" s="23">
        <v>217.2</v>
      </c>
      <c r="R58" s="23">
        <v>231.2</v>
      </c>
      <c r="S58" s="23">
        <v>249.3</v>
      </c>
      <c r="T58" s="23">
        <v>258.2</v>
      </c>
      <c r="U58" s="23">
        <v>282.20000000000005</v>
      </c>
      <c r="V58" s="23">
        <v>299.2</v>
      </c>
      <c r="W58" s="23">
        <v>321.89999999999998</v>
      </c>
      <c r="X58" s="23">
        <v>324.8</v>
      </c>
      <c r="Y58" s="23">
        <v>425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154.6</v>
      </c>
      <c r="E59" s="23">
        <v>218.3</v>
      </c>
      <c r="F59" s="23">
        <v>249.3</v>
      </c>
      <c r="G59" s="23">
        <v>247.4</v>
      </c>
      <c r="H59" s="23">
        <v>236.9</v>
      </c>
      <c r="I59" s="23">
        <v>236.5</v>
      </c>
      <c r="J59" s="23">
        <v>226.3</v>
      </c>
      <c r="K59" s="23">
        <v>272.60000000000002</v>
      </c>
      <c r="L59" s="23">
        <v>274.39999999999998</v>
      </c>
      <c r="M59" s="23">
        <v>255.30000000000004</v>
      </c>
      <c r="N59" s="23">
        <v>292.50000000000006</v>
      </c>
      <c r="O59" s="23">
        <v>294.2</v>
      </c>
      <c r="P59" s="23">
        <v>298.60000000000002</v>
      </c>
      <c r="Q59" s="23">
        <v>316.89999999999998</v>
      </c>
      <c r="R59" s="23">
        <v>349</v>
      </c>
      <c r="S59" s="23">
        <v>365.7</v>
      </c>
      <c r="T59" s="23">
        <v>417.3</v>
      </c>
      <c r="U59" s="23">
        <v>431.3</v>
      </c>
      <c r="V59" s="23">
        <v>466.2</v>
      </c>
      <c r="W59" s="23">
        <v>522.9</v>
      </c>
      <c r="X59" s="23">
        <v>505.5</v>
      </c>
      <c r="Y59" s="23">
        <v>502.9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202.79999999999993</v>
      </c>
      <c r="E60" s="23">
        <v>257.3</v>
      </c>
      <c r="F60" s="23">
        <v>311.89999999999992</v>
      </c>
      <c r="G60" s="23">
        <v>294.40000000000009</v>
      </c>
      <c r="H60" s="23">
        <v>317.2</v>
      </c>
      <c r="I60" s="23">
        <v>335.29999999999995</v>
      </c>
      <c r="J60" s="23">
        <v>314.60000000000002</v>
      </c>
      <c r="K60" s="23">
        <v>350.29999999999995</v>
      </c>
      <c r="L60" s="23">
        <v>324.50000000000011</v>
      </c>
      <c r="M60" s="23">
        <v>253.89999999999998</v>
      </c>
      <c r="N60" s="23">
        <v>256.60000000000008</v>
      </c>
      <c r="O60" s="23">
        <v>269.60000000000008</v>
      </c>
      <c r="P60" s="23">
        <v>255.49999999999997</v>
      </c>
      <c r="Q60" s="23">
        <v>266.3</v>
      </c>
      <c r="R60" s="23">
        <v>256.60000000000002</v>
      </c>
      <c r="S60" s="23">
        <v>264.8</v>
      </c>
      <c r="T60" s="23">
        <v>253.50000000000003</v>
      </c>
      <c r="U60" s="23">
        <v>283.5</v>
      </c>
      <c r="V60" s="23">
        <v>283.19999999999982</v>
      </c>
      <c r="W60" s="23">
        <v>287.10000000000019</v>
      </c>
      <c r="X60" s="23">
        <v>257.40000000000009</v>
      </c>
      <c r="Y60" s="23">
        <v>317.80000000000018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484.5</v>
      </c>
      <c r="E61" s="23">
        <v>564.70000000000005</v>
      </c>
      <c r="F61" s="23">
        <v>792.1</v>
      </c>
      <c r="G61" s="23">
        <v>754.6</v>
      </c>
      <c r="H61" s="23">
        <v>1193.0999999999999</v>
      </c>
      <c r="I61" s="23">
        <v>1378.5</v>
      </c>
      <c r="J61" s="23">
        <v>1518.7</v>
      </c>
      <c r="K61" s="23">
        <v>1317.8</v>
      </c>
      <c r="L61" s="23">
        <v>1497.7</v>
      </c>
      <c r="M61" s="23">
        <v>1037.4999999999998</v>
      </c>
      <c r="N61" s="23">
        <v>1154.0999999999999</v>
      </c>
      <c r="O61" s="23">
        <v>1055.2</v>
      </c>
      <c r="P61" s="23">
        <v>1121</v>
      </c>
      <c r="Q61" s="23">
        <v>827</v>
      </c>
      <c r="R61" s="23">
        <v>906.9</v>
      </c>
      <c r="S61" s="23">
        <v>801.9</v>
      </c>
      <c r="T61" s="23">
        <v>762.4</v>
      </c>
      <c r="U61" s="23">
        <v>861.4</v>
      </c>
      <c r="V61" s="23">
        <v>889.9</v>
      </c>
      <c r="W61" s="23">
        <v>842.3</v>
      </c>
      <c r="X61" s="23">
        <v>516.79999999999995</v>
      </c>
      <c r="Y61" s="23">
        <v>871.2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422.2</v>
      </c>
      <c r="E62" s="23">
        <v>539.20000000000005</v>
      </c>
      <c r="F62" s="23">
        <v>556.4</v>
      </c>
      <c r="G62" s="23">
        <v>522.5</v>
      </c>
      <c r="H62" s="23">
        <v>575.4</v>
      </c>
      <c r="I62" s="23">
        <v>574.4</v>
      </c>
      <c r="J62" s="23">
        <v>657.7</v>
      </c>
      <c r="K62" s="23">
        <v>822.4</v>
      </c>
      <c r="L62" s="23">
        <v>736.5</v>
      </c>
      <c r="M62" s="23">
        <v>432.8</v>
      </c>
      <c r="N62" s="23">
        <v>498.9</v>
      </c>
      <c r="O62" s="23">
        <v>556.20000000000005</v>
      </c>
      <c r="P62" s="23">
        <v>635.29999999999995</v>
      </c>
      <c r="Q62" s="23">
        <v>718.9</v>
      </c>
      <c r="R62" s="23">
        <v>936.7</v>
      </c>
      <c r="S62" s="23">
        <v>1265.2</v>
      </c>
      <c r="T62" s="23">
        <v>1275.8</v>
      </c>
      <c r="U62" s="23">
        <v>1581.8</v>
      </c>
      <c r="V62" s="23">
        <v>1501.4</v>
      </c>
      <c r="W62" s="23">
        <v>1262.4999999999998</v>
      </c>
      <c r="X62" s="23">
        <v>1376.8</v>
      </c>
      <c r="Y62" s="23">
        <v>1911.7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545.6</v>
      </c>
      <c r="E63" s="23">
        <v>707.9</v>
      </c>
      <c r="F63" s="23">
        <v>800.9</v>
      </c>
      <c r="G63" s="23">
        <v>918.4</v>
      </c>
      <c r="H63" s="23">
        <v>970.8</v>
      </c>
      <c r="I63" s="23">
        <v>1077.1999999999998</v>
      </c>
      <c r="J63" s="23">
        <v>1170.0999999999999</v>
      </c>
      <c r="K63" s="23">
        <v>1158.6999999999998</v>
      </c>
      <c r="L63" s="23">
        <v>1170.6999999999998</v>
      </c>
      <c r="M63" s="23">
        <v>1131.4000000000001</v>
      </c>
      <c r="N63" s="23">
        <v>1385.9</v>
      </c>
      <c r="O63" s="23">
        <v>1427.5</v>
      </c>
      <c r="P63" s="23">
        <v>1463.9</v>
      </c>
      <c r="Q63" s="23">
        <v>1263.9000000000001</v>
      </c>
      <c r="R63" s="23">
        <v>1375.4</v>
      </c>
      <c r="S63" s="23">
        <v>1454.8</v>
      </c>
      <c r="T63" s="23">
        <v>1403.6</v>
      </c>
      <c r="U63" s="23">
        <v>1650.4</v>
      </c>
      <c r="V63" s="23">
        <v>1525.9</v>
      </c>
      <c r="W63" s="23">
        <v>1637</v>
      </c>
      <c r="X63" s="23">
        <v>1618.2</v>
      </c>
      <c r="Y63" s="23">
        <v>1585.3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384.7</v>
      </c>
      <c r="E64" s="23">
        <v>500.8</v>
      </c>
      <c r="F64" s="23">
        <v>588.90000000000009</v>
      </c>
      <c r="G64" s="23">
        <v>620.20000000000005</v>
      </c>
      <c r="H64" s="23">
        <v>664.6</v>
      </c>
      <c r="I64" s="23">
        <v>721</v>
      </c>
      <c r="J64" s="23">
        <v>712</v>
      </c>
      <c r="K64" s="23">
        <v>870.4</v>
      </c>
      <c r="L64" s="23">
        <v>901.5</v>
      </c>
      <c r="M64" s="23">
        <v>847.2</v>
      </c>
      <c r="N64" s="23">
        <v>975.9</v>
      </c>
      <c r="O64" s="23">
        <v>1078.3</v>
      </c>
      <c r="P64" s="23">
        <v>1182.3</v>
      </c>
      <c r="Q64" s="23">
        <v>1197</v>
      </c>
      <c r="R64" s="23">
        <v>1293.7</v>
      </c>
      <c r="S64" s="23">
        <v>1426.8</v>
      </c>
      <c r="T64" s="23">
        <v>1532.5</v>
      </c>
      <c r="U64" s="23">
        <v>1537.1</v>
      </c>
      <c r="V64" s="23">
        <v>1748</v>
      </c>
      <c r="W64" s="23">
        <v>1821.4</v>
      </c>
      <c r="X64" s="23">
        <v>1776.9</v>
      </c>
      <c r="Y64" s="23">
        <v>1879.1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475.20000000000005</v>
      </c>
      <c r="E65" s="23">
        <v>556.20000000000005</v>
      </c>
      <c r="F65" s="23">
        <v>627.6</v>
      </c>
      <c r="G65" s="23">
        <v>638.20000000000016</v>
      </c>
      <c r="H65" s="23">
        <v>635.6</v>
      </c>
      <c r="I65" s="23">
        <v>705.79999999999984</v>
      </c>
      <c r="J65" s="23">
        <v>773.8</v>
      </c>
      <c r="K65" s="23">
        <v>972.2</v>
      </c>
      <c r="L65" s="23">
        <v>954.29999999999984</v>
      </c>
      <c r="M65" s="23">
        <v>615.19999999999993</v>
      </c>
      <c r="N65" s="23">
        <v>613.6</v>
      </c>
      <c r="O65" s="23">
        <v>584</v>
      </c>
      <c r="P65" s="23">
        <v>546.49999999999989</v>
      </c>
      <c r="Q65" s="23">
        <v>594.4</v>
      </c>
      <c r="R65" s="23">
        <v>634.20000000000005</v>
      </c>
      <c r="S65" s="23">
        <v>716.00000000000034</v>
      </c>
      <c r="T65" s="23">
        <v>746.6999999999997</v>
      </c>
      <c r="U65" s="23">
        <v>813.29999999999973</v>
      </c>
      <c r="V65" s="23">
        <v>876.50000000000011</v>
      </c>
      <c r="W65" s="23">
        <v>980.50000000000034</v>
      </c>
      <c r="X65" s="23">
        <v>872.8</v>
      </c>
      <c r="Y65" s="23">
        <v>1010.3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296.8</v>
      </c>
      <c r="E66" s="23">
        <v>308.79999999999995</v>
      </c>
      <c r="F66" s="23">
        <v>286.60000000000002</v>
      </c>
      <c r="G66" s="23">
        <v>400.5</v>
      </c>
      <c r="H66" s="23">
        <v>518.20000000000005</v>
      </c>
      <c r="I66" s="23">
        <v>520.79999999999995</v>
      </c>
      <c r="J66" s="23">
        <v>628.5</v>
      </c>
      <c r="K66" s="23">
        <v>657.2</v>
      </c>
      <c r="L66" s="23">
        <v>717.2</v>
      </c>
      <c r="M66" s="23">
        <v>278.3</v>
      </c>
      <c r="N66" s="23">
        <v>417.3</v>
      </c>
      <c r="O66" s="23">
        <v>455.8</v>
      </c>
      <c r="P66" s="23">
        <v>393.8</v>
      </c>
      <c r="Q66" s="23">
        <v>423.8</v>
      </c>
      <c r="R66" s="23">
        <v>477</v>
      </c>
      <c r="S66" s="23">
        <v>572.6</v>
      </c>
      <c r="T66" s="23">
        <v>616.50000000000011</v>
      </c>
      <c r="U66" s="23">
        <v>721.3</v>
      </c>
      <c r="V66" s="23">
        <v>790.4</v>
      </c>
      <c r="W66" s="23">
        <v>682.5</v>
      </c>
      <c r="X66" s="23">
        <v>577.20000000000005</v>
      </c>
      <c r="Y66" s="23">
        <v>676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710</v>
      </c>
      <c r="E67" s="23">
        <v>816.7</v>
      </c>
      <c r="F67" s="23">
        <v>916.8</v>
      </c>
      <c r="G67" s="23">
        <v>885.4</v>
      </c>
      <c r="H67" s="23">
        <v>993.40000000000009</v>
      </c>
      <c r="I67" s="23">
        <v>1078.7</v>
      </c>
      <c r="J67" s="23">
        <v>1134.3</v>
      </c>
      <c r="K67" s="23">
        <v>1380.2</v>
      </c>
      <c r="L67" s="23">
        <v>1444.2</v>
      </c>
      <c r="M67" s="23">
        <v>1047</v>
      </c>
      <c r="N67" s="23">
        <v>1116.8</v>
      </c>
      <c r="O67" s="23">
        <v>1279.5</v>
      </c>
      <c r="P67" s="23">
        <v>1284.7</v>
      </c>
      <c r="Q67" s="23">
        <v>1349.4000000000003</v>
      </c>
      <c r="R67" s="23">
        <v>1363.9000000000003</v>
      </c>
      <c r="S67" s="23">
        <v>1483.1</v>
      </c>
      <c r="T67" s="23">
        <v>1551.7</v>
      </c>
      <c r="U67" s="23">
        <v>1620.5</v>
      </c>
      <c r="V67" s="23">
        <v>1825.6</v>
      </c>
      <c r="W67" s="23">
        <v>1960.8999999999996</v>
      </c>
      <c r="X67" s="23">
        <v>1845.2999999999997</v>
      </c>
      <c r="Y67" s="23">
        <v>2135.3000000000002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791.2</v>
      </c>
      <c r="E68" s="23">
        <v>964.7</v>
      </c>
      <c r="F68" s="23">
        <v>1037</v>
      </c>
      <c r="G68" s="23">
        <v>1440.7</v>
      </c>
      <c r="H68" s="23">
        <v>1804.7</v>
      </c>
      <c r="I68" s="23">
        <v>2100.1</v>
      </c>
      <c r="J68" s="23">
        <v>1977.5999999999997</v>
      </c>
      <c r="K68" s="23">
        <v>1562.4</v>
      </c>
      <c r="L68" s="23">
        <v>1648</v>
      </c>
      <c r="M68" s="23">
        <v>1443.4</v>
      </c>
      <c r="N68" s="23">
        <v>1490.9</v>
      </c>
      <c r="O68" s="23">
        <v>1964.5</v>
      </c>
      <c r="P68" s="23">
        <v>1604.4</v>
      </c>
      <c r="Q68" s="23">
        <v>1702.9</v>
      </c>
      <c r="R68" s="23">
        <v>1709.6</v>
      </c>
      <c r="S68" s="23">
        <v>1794.5</v>
      </c>
      <c r="T68" s="23">
        <v>1882.3</v>
      </c>
      <c r="U68" s="23">
        <v>2229.6999999999998</v>
      </c>
      <c r="V68" s="23">
        <v>2196.6999999999998</v>
      </c>
      <c r="W68" s="23">
        <v>2269</v>
      </c>
      <c r="X68" s="23">
        <v>2106.5</v>
      </c>
      <c r="Y68" s="23">
        <v>2119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775.6</v>
      </c>
      <c r="E69" s="23">
        <v>749.3</v>
      </c>
      <c r="F69" s="23">
        <v>971.3</v>
      </c>
      <c r="G69" s="23">
        <v>1167.7</v>
      </c>
      <c r="H69" s="23">
        <v>1483</v>
      </c>
      <c r="I69" s="23">
        <v>1762.7</v>
      </c>
      <c r="J69" s="23">
        <v>1569.4</v>
      </c>
      <c r="K69" s="23">
        <v>1858</v>
      </c>
      <c r="L69" s="23">
        <v>1779.1</v>
      </c>
      <c r="M69" s="23">
        <v>672.8</v>
      </c>
      <c r="N69" s="23">
        <v>769.8</v>
      </c>
      <c r="O69" s="23">
        <v>757</v>
      </c>
      <c r="P69" s="23">
        <v>769.3</v>
      </c>
      <c r="Q69" s="23">
        <v>788.2</v>
      </c>
      <c r="R69" s="23">
        <v>933.2</v>
      </c>
      <c r="S69" s="23">
        <v>947.6</v>
      </c>
      <c r="T69" s="23">
        <v>1018.7</v>
      </c>
      <c r="U69" s="23">
        <v>1071.3</v>
      </c>
      <c r="V69" s="23">
        <v>1214.5</v>
      </c>
      <c r="W69" s="23">
        <v>1364.9</v>
      </c>
      <c r="X69" s="23">
        <v>1475.2</v>
      </c>
      <c r="Y69" s="23">
        <v>1664.6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458.7</v>
      </c>
      <c r="E70" s="23">
        <v>554.4</v>
      </c>
      <c r="F70" s="23">
        <v>679</v>
      </c>
      <c r="G70" s="23">
        <v>671.3</v>
      </c>
      <c r="H70" s="23">
        <v>738.4</v>
      </c>
      <c r="I70" s="23">
        <v>862.1</v>
      </c>
      <c r="J70" s="23">
        <v>906.9</v>
      </c>
      <c r="K70" s="23">
        <v>1040.3</v>
      </c>
      <c r="L70" s="23">
        <v>1147.0000000000002</v>
      </c>
      <c r="M70" s="23">
        <v>2094.4</v>
      </c>
      <c r="N70" s="23">
        <v>2304.9</v>
      </c>
      <c r="O70" s="23">
        <v>2518</v>
      </c>
      <c r="P70" s="23">
        <v>2780.1</v>
      </c>
      <c r="Q70" s="23">
        <v>2534.1999999999998</v>
      </c>
      <c r="R70" s="23">
        <v>2655.9</v>
      </c>
      <c r="S70" s="23">
        <v>3059.6</v>
      </c>
      <c r="T70" s="23">
        <v>2053</v>
      </c>
      <c r="U70" s="23">
        <v>1977.1</v>
      </c>
      <c r="V70" s="23">
        <v>1823.6</v>
      </c>
      <c r="W70" s="23">
        <v>1706</v>
      </c>
      <c r="X70" s="23">
        <v>1560.6</v>
      </c>
      <c r="Y70" s="23">
        <v>1590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1279.4000000000001</v>
      </c>
      <c r="E71" s="23">
        <v>1331.8</v>
      </c>
      <c r="F71" s="23">
        <v>1520.3</v>
      </c>
      <c r="G71" s="23">
        <v>1784.1</v>
      </c>
      <c r="H71" s="23">
        <v>1907.4000000000003</v>
      </c>
      <c r="I71" s="23">
        <v>2267.3999999999996</v>
      </c>
      <c r="J71" s="23">
        <v>2851.6</v>
      </c>
      <c r="K71" s="23">
        <v>3445</v>
      </c>
      <c r="L71" s="23">
        <v>3359.8</v>
      </c>
      <c r="M71" s="23">
        <v>2375.6000000000004</v>
      </c>
      <c r="N71" s="23">
        <v>3062</v>
      </c>
      <c r="O71" s="23">
        <v>2923</v>
      </c>
      <c r="P71" s="23">
        <v>2597</v>
      </c>
      <c r="Q71" s="23">
        <v>3322.7</v>
      </c>
      <c r="R71" s="23">
        <v>3783.8</v>
      </c>
      <c r="S71" s="23">
        <v>4513.5</v>
      </c>
      <c r="T71" s="23">
        <v>4910.6000000000004</v>
      </c>
      <c r="U71" s="23">
        <v>4868.1000000000004</v>
      </c>
      <c r="V71" s="23">
        <v>5016.0000000000009</v>
      </c>
      <c r="W71" s="23">
        <v>4870.7</v>
      </c>
      <c r="X71" s="23">
        <v>4242.6000000000004</v>
      </c>
      <c r="Y71" s="23">
        <v>3963.7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42.499999999999943</v>
      </c>
      <c r="E72" s="23">
        <v>47.399999999999984</v>
      </c>
      <c r="F72" s="23">
        <v>77.199999999999989</v>
      </c>
      <c r="G72" s="23">
        <v>89.600000000000094</v>
      </c>
      <c r="H72" s="23">
        <v>98.600000000000023</v>
      </c>
      <c r="I72" s="23">
        <v>91.700000000000401</v>
      </c>
      <c r="J72" s="23">
        <v>87.400000000000048</v>
      </c>
      <c r="K72" s="23">
        <v>121.30000000000025</v>
      </c>
      <c r="L72" s="23">
        <v>194.10000000000034</v>
      </c>
      <c r="M72" s="23">
        <v>110.0999999999995</v>
      </c>
      <c r="N72" s="23">
        <v>127.49999999999994</v>
      </c>
      <c r="O72" s="23">
        <v>138.1999999999997</v>
      </c>
      <c r="P72" s="23">
        <v>122.7</v>
      </c>
      <c r="Q72" s="23">
        <v>131.20000000000024</v>
      </c>
      <c r="R72" s="23">
        <v>176.99999999999991</v>
      </c>
      <c r="S72" s="23">
        <v>162.60000000000036</v>
      </c>
      <c r="T72" s="23">
        <v>159.9</v>
      </c>
      <c r="U72" s="23">
        <v>170.50000000000023</v>
      </c>
      <c r="V72" s="23">
        <v>199.29999999999984</v>
      </c>
      <c r="W72" s="23">
        <v>258.50000000000045</v>
      </c>
      <c r="X72" s="23">
        <v>246.00000000000048</v>
      </c>
      <c r="Y72" s="23">
        <v>248.90000000000055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262.3</v>
      </c>
      <c r="E73" s="23">
        <v>321.10000000000002</v>
      </c>
      <c r="F73" s="23">
        <v>378.8</v>
      </c>
      <c r="G73" s="23">
        <v>363.6</v>
      </c>
      <c r="H73" s="23">
        <v>397.1</v>
      </c>
      <c r="I73" s="23">
        <v>404.6</v>
      </c>
      <c r="J73" s="23">
        <v>431.3</v>
      </c>
      <c r="K73" s="23">
        <v>472</v>
      </c>
      <c r="L73" s="23">
        <v>510.1</v>
      </c>
      <c r="M73" s="23">
        <v>474.3</v>
      </c>
      <c r="N73" s="23">
        <v>526.40000000000009</v>
      </c>
      <c r="O73" s="23">
        <v>547.29999999999995</v>
      </c>
      <c r="P73" s="23">
        <v>573.79999999999995</v>
      </c>
      <c r="Q73" s="23">
        <v>619.6</v>
      </c>
      <c r="R73" s="23">
        <v>634.40000000000009</v>
      </c>
      <c r="S73" s="23">
        <v>727.7</v>
      </c>
      <c r="T73" s="23">
        <v>827.3</v>
      </c>
      <c r="U73" s="23">
        <v>843.7</v>
      </c>
      <c r="V73" s="23">
        <v>799.4</v>
      </c>
      <c r="W73" s="23">
        <v>915.2</v>
      </c>
      <c r="X73" s="23">
        <v>898.6</v>
      </c>
      <c r="Y73" s="23">
        <v>949.8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156.69999999999987</v>
      </c>
      <c r="E74" s="23">
        <v>183.39999999998304</v>
      </c>
      <c r="F74" s="23">
        <v>238.20000000000746</v>
      </c>
      <c r="G74" s="23">
        <v>253.39999999999682</v>
      </c>
      <c r="H74" s="23">
        <v>281.80000000000837</v>
      </c>
      <c r="I74" s="23">
        <v>298.70000000001323</v>
      </c>
      <c r="J74" s="23">
        <v>295.90000000000452</v>
      </c>
      <c r="K74" s="23">
        <v>336.59999999998684</v>
      </c>
      <c r="L74" s="23">
        <v>370.79999999998813</v>
      </c>
      <c r="M74" s="23">
        <v>413.60000000000105</v>
      </c>
      <c r="N74" s="23">
        <v>439.60000000000292</v>
      </c>
      <c r="O74" s="23">
        <v>426.80000000000314</v>
      </c>
      <c r="P74" s="23">
        <v>424.80000000000166</v>
      </c>
      <c r="Q74" s="23">
        <v>437.29999999999717</v>
      </c>
      <c r="R74" s="23">
        <v>450.79999999999399</v>
      </c>
      <c r="S74" s="23">
        <v>438.19999999999777</v>
      </c>
      <c r="T74" s="23">
        <v>469.99999999999687</v>
      </c>
      <c r="U74" s="23">
        <v>568.50000000000148</v>
      </c>
      <c r="V74" s="23">
        <v>730.09999999996955</v>
      </c>
      <c r="W74" s="23">
        <v>840.10000000000184</v>
      </c>
      <c r="X74" s="23">
        <v>796.70000000000061</v>
      </c>
      <c r="Y74" s="23">
        <v>898.80000000000757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9790.2999999999993</v>
      </c>
      <c r="E75" s="30">
        <f t="shared" ref="E75:S75" si="6">SUM(E56:E74)</f>
        <v>11507.299999999981</v>
      </c>
      <c r="F75" s="30">
        <f t="shared" si="6"/>
        <v>13316.200000000006</v>
      </c>
      <c r="G75" s="30">
        <f t="shared" si="6"/>
        <v>14013.399999999998</v>
      </c>
      <c r="H75" s="30">
        <f t="shared" si="6"/>
        <v>15900.100000000009</v>
      </c>
      <c r="I75" s="30">
        <f t="shared" si="6"/>
        <v>17321.200000000015</v>
      </c>
      <c r="J75" s="30">
        <f t="shared" si="6"/>
        <v>18140.700000000004</v>
      </c>
      <c r="K75" s="30">
        <f t="shared" si="6"/>
        <v>19515.899999999987</v>
      </c>
      <c r="L75" s="30">
        <f t="shared" si="6"/>
        <v>19788.599999999988</v>
      </c>
      <c r="M75" s="30">
        <f t="shared" si="6"/>
        <v>16206.1</v>
      </c>
      <c r="N75" s="30">
        <f t="shared" si="6"/>
        <v>18037.2</v>
      </c>
      <c r="O75" s="30">
        <f t="shared" si="6"/>
        <v>18834.5</v>
      </c>
      <c r="P75" s="30">
        <f t="shared" si="6"/>
        <v>18518.200000000004</v>
      </c>
      <c r="Q75" s="30">
        <f t="shared" si="6"/>
        <v>19133.299999999996</v>
      </c>
      <c r="R75" s="30">
        <f t="shared" si="6"/>
        <v>20655.799999999996</v>
      </c>
      <c r="S75" s="30">
        <f t="shared" si="6"/>
        <v>22801.100000000002</v>
      </c>
      <c r="T75" s="30">
        <f t="shared" ref="T75:Y75" si="7">SUM(T56:T74)</f>
        <v>22792.799999999996</v>
      </c>
      <c r="U75" s="30">
        <f t="shared" si="7"/>
        <v>24295.3</v>
      </c>
      <c r="V75" s="30">
        <f t="shared" si="7"/>
        <v>25174.699999999968</v>
      </c>
      <c r="W75" s="30">
        <f t="shared" si="7"/>
        <v>25549.000000000004</v>
      </c>
      <c r="X75" s="30">
        <f t="shared" si="7"/>
        <v>23873.200000000001</v>
      </c>
      <c r="Y75" s="30">
        <f t="shared" si="7"/>
        <v>25765.800000000007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82509.66183574879</v>
      </c>
      <c r="E2" s="19">
        <v>85871.335155322158</v>
      </c>
      <c r="F2" s="19">
        <v>89943.594178919288</v>
      </c>
      <c r="G2" s="19">
        <v>93607.26740217676</v>
      </c>
      <c r="H2" s="19">
        <v>98291.911273596517</v>
      </c>
      <c r="I2" s="19">
        <v>102513.47670976963</v>
      </c>
      <c r="J2" s="19">
        <v>106559.0589432775</v>
      </c>
      <c r="K2" s="19">
        <v>106854.4003338724</v>
      </c>
      <c r="L2" s="19">
        <v>107926.64461887874</v>
      </c>
      <c r="M2" s="19">
        <v>100806.18866477</v>
      </c>
      <c r="N2" s="19">
        <v>101890.93137254902</v>
      </c>
      <c r="O2" s="19">
        <v>103792.96680519005</v>
      </c>
      <c r="P2" s="19">
        <v>102495.32242068564</v>
      </c>
      <c r="Q2" s="19">
        <v>104343.2601241019</v>
      </c>
      <c r="R2" s="19">
        <v>108758.72515505701</v>
      </c>
      <c r="S2" s="19">
        <v>112791</v>
      </c>
      <c r="T2" s="19">
        <v>115273.56919049696</v>
      </c>
      <c r="U2" s="19">
        <v>120197.4829674489</v>
      </c>
      <c r="V2" s="19">
        <v>126643.27202323329</v>
      </c>
      <c r="W2" s="19">
        <v>132803.97629447051</v>
      </c>
      <c r="X2" s="19">
        <v>126780.32811005665</v>
      </c>
      <c r="Y2" s="19">
        <v>135764.11974780652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44168.448393278537</v>
      </c>
      <c r="E3" s="23">
        <v>46172.630078403417</v>
      </c>
      <c r="F3" s="23">
        <v>49812.645476399433</v>
      </c>
      <c r="G3" s="23">
        <v>53991.890380313198</v>
      </c>
      <c r="H3" s="23">
        <v>55079.993303998468</v>
      </c>
      <c r="I3" s="23">
        <v>56651.465872131375</v>
      </c>
      <c r="J3" s="23">
        <v>57520.410078355933</v>
      </c>
      <c r="K3" s="23">
        <v>58119.567832153203</v>
      </c>
      <c r="L3" s="23">
        <v>57378.028871365103</v>
      </c>
      <c r="M3" s="23">
        <v>53520.661856499013</v>
      </c>
      <c r="N3" s="23">
        <v>52856.09383173057</v>
      </c>
      <c r="O3" s="23">
        <v>53308.66463396584</v>
      </c>
      <c r="P3" s="23">
        <v>52115.103879656221</v>
      </c>
      <c r="Q3" s="23">
        <v>52040.949705411833</v>
      </c>
      <c r="R3" s="23">
        <v>53296.457962076769</v>
      </c>
      <c r="S3" s="23">
        <v>55314.2</v>
      </c>
      <c r="T3" s="23">
        <v>57922.307883611036</v>
      </c>
      <c r="U3" s="23">
        <v>60822.715237485303</v>
      </c>
      <c r="V3" s="23">
        <v>63929.072330194344</v>
      </c>
      <c r="W3" s="23">
        <v>67124.124003015386</v>
      </c>
      <c r="X3" s="23">
        <v>66347.717019290605</v>
      </c>
      <c r="Y3" s="23">
        <v>69385.851909936144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68713.422692089865</v>
      </c>
      <c r="E4" s="27">
        <v>71636.762938714615</v>
      </c>
      <c r="F4" s="27">
        <v>75107.732375176347</v>
      </c>
      <c r="G4" s="27">
        <v>78301.608773370681</v>
      </c>
      <c r="H4" s="27">
        <v>82209.209140449704</v>
      </c>
      <c r="I4" s="27">
        <v>85680.374566171173</v>
      </c>
      <c r="J4" s="27">
        <v>89021.431909732273</v>
      </c>
      <c r="K4" s="27">
        <v>89209.713516086238</v>
      </c>
      <c r="L4" s="27">
        <v>89954.452950867329</v>
      </c>
      <c r="M4" s="27">
        <v>83972.91879815422</v>
      </c>
      <c r="N4" s="27">
        <v>85060.10544815466</v>
      </c>
      <c r="O4" s="27">
        <v>86721.036722233854</v>
      </c>
      <c r="P4" s="27">
        <v>85650.227856323647</v>
      </c>
      <c r="Q4" s="27">
        <v>87730.066959976422</v>
      </c>
      <c r="R4" s="27">
        <v>91651.15139637432</v>
      </c>
      <c r="S4" s="27">
        <v>95031.5</v>
      </c>
      <c r="T4" s="27">
        <v>97214.774362715136</v>
      </c>
      <c r="U4" s="27">
        <v>101295.60327967504</v>
      </c>
      <c r="V4" s="27">
        <v>106931.42373228361</v>
      </c>
      <c r="W4" s="27">
        <v>111911.68892223961</v>
      </c>
      <c r="X4" s="27">
        <v>106509.75690122282</v>
      </c>
      <c r="Y4" s="27">
        <v>114472.32031483337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3977.5659178151159</v>
      </c>
      <c r="E6" s="19">
        <v>4073.6750507603697</v>
      </c>
      <c r="F6" s="19">
        <v>3686.412578222024</v>
      </c>
      <c r="G6" s="19">
        <v>3554.6403207884437</v>
      </c>
      <c r="H6" s="19">
        <v>4179.7179099693185</v>
      </c>
      <c r="I6" s="19">
        <v>3699.6049156352997</v>
      </c>
      <c r="J6" s="19">
        <v>3624.5076002047495</v>
      </c>
      <c r="K6" s="19">
        <v>3615.9353512440634</v>
      </c>
      <c r="L6" s="19">
        <v>3625.4482023451887</v>
      </c>
      <c r="M6" s="19">
        <v>3018.8127701334224</v>
      </c>
      <c r="N6" s="19">
        <v>3040.1205121767512</v>
      </c>
      <c r="O6" s="19">
        <v>4071.4691886391524</v>
      </c>
      <c r="P6" s="19">
        <v>3959.0163102499823</v>
      </c>
      <c r="Q6" s="19">
        <v>4069.2156842821869</v>
      </c>
      <c r="R6" s="19">
        <v>4269.3532582067619</v>
      </c>
      <c r="S6" s="19">
        <v>4274.3</v>
      </c>
      <c r="T6" s="19">
        <v>4458.0367880448712</v>
      </c>
      <c r="U6" s="19">
        <v>4483.9777343162323</v>
      </c>
      <c r="V6" s="19">
        <v>4414.2308086025105</v>
      </c>
      <c r="W6" s="19">
        <v>4415.3730709074307</v>
      </c>
      <c r="X6" s="19">
        <v>4278.3005052354101</v>
      </c>
      <c r="Y6" s="19">
        <v>4715.6485532071893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18316.185262098043</v>
      </c>
      <c r="E7" s="23">
        <v>18620.422934018403</v>
      </c>
      <c r="F7" s="23">
        <v>18850.332179847363</v>
      </c>
      <c r="G7" s="23">
        <v>19785.496883907428</v>
      </c>
      <c r="H7" s="23">
        <v>21397.398910106713</v>
      </c>
      <c r="I7" s="23">
        <v>22101.150328509386</v>
      </c>
      <c r="J7" s="23">
        <v>23131.773974584386</v>
      </c>
      <c r="K7" s="23">
        <v>23313.755076000758</v>
      </c>
      <c r="L7" s="23">
        <v>22652.58261459443</v>
      </c>
      <c r="M7" s="23">
        <v>20718.998601048173</v>
      </c>
      <c r="N7" s="23">
        <v>21726.638212402715</v>
      </c>
      <c r="O7" s="23">
        <v>22088.508464769206</v>
      </c>
      <c r="P7" s="23">
        <v>22163.975357008741</v>
      </c>
      <c r="Q7" s="23">
        <v>22485.342979363319</v>
      </c>
      <c r="R7" s="23">
        <v>24040.605095541396</v>
      </c>
      <c r="S7" s="23">
        <v>25769.300000000003</v>
      </c>
      <c r="T7" s="23">
        <v>25754.490073536654</v>
      </c>
      <c r="U7" s="23">
        <v>25769.708139010079</v>
      </c>
      <c r="V7" s="23">
        <v>26344.956587286055</v>
      </c>
      <c r="W7" s="23">
        <v>26334.656311873361</v>
      </c>
      <c r="X7" s="23">
        <v>24710.313392399505</v>
      </c>
      <c r="Y7" s="23">
        <v>25599.009118220638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3487.665974450947</v>
      </c>
      <c r="E8" s="23">
        <v>3874.6391524744818</v>
      </c>
      <c r="F8" s="23">
        <v>4342.6938519599216</v>
      </c>
      <c r="G8" s="23">
        <v>4255.1572539736217</v>
      </c>
      <c r="H8" s="23">
        <v>4388.1943490406193</v>
      </c>
      <c r="I8" s="23">
        <v>4921.856241678126</v>
      </c>
      <c r="J8" s="23">
        <v>4743.9521064696328</v>
      </c>
      <c r="K8" s="23">
        <v>4379.4873872140479</v>
      </c>
      <c r="L8" s="23">
        <v>4395.4840585328038</v>
      </c>
      <c r="M8" s="23">
        <v>4061.0318835737999</v>
      </c>
      <c r="N8" s="23">
        <v>3522.9726336931958</v>
      </c>
      <c r="O8" s="23">
        <v>3494.647791777651</v>
      </c>
      <c r="P8" s="23">
        <v>3291.0775726450615</v>
      </c>
      <c r="Q8" s="23">
        <v>3536.6857351880262</v>
      </c>
      <c r="R8" s="23">
        <v>3825.3307202351789</v>
      </c>
      <c r="S8" s="23">
        <v>3988.6</v>
      </c>
      <c r="T8" s="23">
        <v>3459.5745519783927</v>
      </c>
      <c r="U8" s="23">
        <v>4292.3499323002861</v>
      </c>
      <c r="V8" s="23">
        <v>5415.8407549066142</v>
      </c>
      <c r="W8" s="23">
        <v>6408.0680595611575</v>
      </c>
      <c r="X8" s="23">
        <v>6065.6622977227798</v>
      </c>
      <c r="Y8" s="23">
        <v>7102.461392505139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12068.938392800956</v>
      </c>
      <c r="E9" s="23">
        <v>12856.116797193334</v>
      </c>
      <c r="F9" s="23">
        <v>13587.421777976055</v>
      </c>
      <c r="G9" s="23">
        <v>13457.654959176771</v>
      </c>
      <c r="H9" s="23">
        <v>14343.201905023583</v>
      </c>
      <c r="I9" s="23">
        <v>14933.752428350032</v>
      </c>
      <c r="J9" s="23">
        <v>15923.040972114037</v>
      </c>
      <c r="K9" s="23">
        <v>16528.167373846823</v>
      </c>
      <c r="L9" s="23">
        <v>16846.109119100689</v>
      </c>
      <c r="M9" s="23">
        <v>14875.138329192157</v>
      </c>
      <c r="N9" s="23">
        <v>15034.597037408988</v>
      </c>
      <c r="O9" s="23">
        <v>15590.538612715609</v>
      </c>
      <c r="P9" s="23">
        <v>15478.498279659383</v>
      </c>
      <c r="Q9" s="23">
        <v>16390.867431439689</v>
      </c>
      <c r="R9" s="23">
        <v>17338.82492242365</v>
      </c>
      <c r="S9" s="23">
        <v>17686.8</v>
      </c>
      <c r="T9" s="23">
        <v>17917.907063856634</v>
      </c>
      <c r="U9" s="23">
        <v>18493.21122310817</v>
      </c>
      <c r="V9" s="23">
        <v>19819.927971188477</v>
      </c>
      <c r="W9" s="23">
        <v>20615.139816832267</v>
      </c>
      <c r="X9" s="23">
        <v>18998.498938273413</v>
      </c>
      <c r="Y9" s="23">
        <v>20175.161193977408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3481.6877477817634</v>
      </c>
      <c r="E10" s="23">
        <v>3481.2635533639968</v>
      </c>
      <c r="F10" s="23">
        <v>3804.695130038463</v>
      </c>
      <c r="G10" s="23">
        <v>4130.9966665056281</v>
      </c>
      <c r="H10" s="23">
        <v>4153.2719695928927</v>
      </c>
      <c r="I10" s="23">
        <v>4404.5358304411411</v>
      </c>
      <c r="J10" s="23">
        <v>4591.0577971646671</v>
      </c>
      <c r="K10" s="23">
        <v>4777.8711683156289</v>
      </c>
      <c r="L10" s="23">
        <v>4806.0858610330451</v>
      </c>
      <c r="M10" s="23">
        <v>4702.0441400622212</v>
      </c>
      <c r="N10" s="23">
        <v>4524.1275420537277</v>
      </c>
      <c r="O10" s="23">
        <v>4564.2913436885838</v>
      </c>
      <c r="P10" s="23">
        <v>4536.8274686126642</v>
      </c>
      <c r="Q10" s="23">
        <v>4620.746415761505</v>
      </c>
      <c r="R10" s="23">
        <v>4730.6263269639066</v>
      </c>
      <c r="S10" s="23">
        <v>4612.6000000000004</v>
      </c>
      <c r="T10" s="23">
        <v>4728.8212448001896</v>
      </c>
      <c r="U10" s="23">
        <v>4971.7917857680159</v>
      </c>
      <c r="V10" s="23">
        <v>5231.8601859348391</v>
      </c>
      <c r="W10" s="23">
        <v>5518.809500131093</v>
      </c>
      <c r="X10" s="23">
        <v>5524.8224353811229</v>
      </c>
      <c r="Y10" s="23">
        <v>6167.7998559356283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2432.3516455855515</v>
      </c>
      <c r="E11" s="23">
        <v>2472.5479633696596</v>
      </c>
      <c r="F11" s="23">
        <v>2701.4480871022583</v>
      </c>
      <c r="G11" s="23">
        <v>2944.7074737910043</v>
      </c>
      <c r="H11" s="23">
        <v>3126.9176168887666</v>
      </c>
      <c r="I11" s="23">
        <v>3603.780586296466</v>
      </c>
      <c r="J11" s="23">
        <v>4163.9774775777269</v>
      </c>
      <c r="K11" s="23">
        <v>4017.8634720351602</v>
      </c>
      <c r="L11" s="23">
        <v>3920.8256614012985</v>
      </c>
      <c r="M11" s="23">
        <v>4194.4543043868625</v>
      </c>
      <c r="N11" s="23">
        <v>4123.1232739141351</v>
      </c>
      <c r="O11" s="23">
        <v>4090.5236484801321</v>
      </c>
      <c r="P11" s="23">
        <v>3863.6109898809464</v>
      </c>
      <c r="Q11" s="23">
        <v>3497.5664773362323</v>
      </c>
      <c r="R11" s="23">
        <v>3521.3539114812997</v>
      </c>
      <c r="S11" s="23">
        <v>3354.6</v>
      </c>
      <c r="T11" s="23">
        <v>3329.4560652958226</v>
      </c>
      <c r="U11" s="23">
        <v>3639.0476906875283</v>
      </c>
      <c r="V11" s="23">
        <v>3755.9209730403791</v>
      </c>
      <c r="W11" s="23">
        <v>4205.5348118145903</v>
      </c>
      <c r="X11" s="23">
        <v>4210.3866149227506</v>
      </c>
      <c r="Y11" s="23">
        <v>4503.1536042446287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5923.0067333710904</v>
      </c>
      <c r="E12" s="23">
        <v>6007.2652937195262</v>
      </c>
      <c r="F12" s="23">
        <v>6085.4624594571796</v>
      </c>
      <c r="G12" s="23">
        <v>6372.6508526981979</v>
      </c>
      <c r="H12" s="23">
        <v>6429.2256262307092</v>
      </c>
      <c r="I12" s="23">
        <v>6751.5770632789818</v>
      </c>
      <c r="J12" s="23">
        <v>6990.9643246611622</v>
      </c>
      <c r="K12" s="23">
        <v>7194.8070360206184</v>
      </c>
      <c r="L12" s="23">
        <v>7415.9317763349163</v>
      </c>
      <c r="M12" s="23">
        <v>7486.1670807842484</v>
      </c>
      <c r="N12" s="23">
        <v>8219.6334421290485</v>
      </c>
      <c r="O12" s="23">
        <v>8142.1402847195204</v>
      </c>
      <c r="P12" s="23">
        <v>7798.7759700386696</v>
      </c>
      <c r="Q12" s="23">
        <v>7786.8660902079928</v>
      </c>
      <c r="R12" s="23">
        <v>7767.4342642495503</v>
      </c>
      <c r="S12" s="23">
        <v>7989.6</v>
      </c>
      <c r="T12" s="23">
        <v>8622.5183841649759</v>
      </c>
      <c r="U12" s="23">
        <v>9123.1006469083786</v>
      </c>
      <c r="V12" s="23">
        <v>10030.803018881972</v>
      </c>
      <c r="W12" s="23">
        <v>11160.122594002298</v>
      </c>
      <c r="X12" s="23">
        <v>10977.429157208757</v>
      </c>
      <c r="Y12" s="23">
        <v>11983.1690648114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4835.5987665974453</v>
      </c>
      <c r="E13" s="23">
        <v>5480.6005607812258</v>
      </c>
      <c r="F13" s="23">
        <v>5936.7953989172502</v>
      </c>
      <c r="G13" s="23">
        <v>6283.8784482342135</v>
      </c>
      <c r="H13" s="23">
        <v>6551.4951687502862</v>
      </c>
      <c r="I13" s="23">
        <v>6985.0260842992157</v>
      </c>
      <c r="J13" s="23">
        <v>7423.8310373222357</v>
      </c>
      <c r="K13" s="23">
        <v>7224.9845568056389</v>
      </c>
      <c r="L13" s="23">
        <v>7736.6023839519339</v>
      </c>
      <c r="M13" s="23">
        <v>7416.115089887875</v>
      </c>
      <c r="N13" s="23">
        <v>7615.4657293497357</v>
      </c>
      <c r="O13" s="23">
        <v>7827.4922934187289</v>
      </c>
      <c r="P13" s="23">
        <v>7678.6058643823517</v>
      </c>
      <c r="Q13" s="23">
        <v>7951.7766239572429</v>
      </c>
      <c r="R13" s="23">
        <v>8173.7914421035439</v>
      </c>
      <c r="S13" s="23">
        <v>8699.2000000000007</v>
      </c>
      <c r="T13" s="23">
        <v>9168.8188790095228</v>
      </c>
      <c r="U13" s="23">
        <v>10063.468482021965</v>
      </c>
      <c r="V13" s="23">
        <v>10725.77868356645</v>
      </c>
      <c r="W13" s="23">
        <v>11285.428852986648</v>
      </c>
      <c r="X13" s="23">
        <v>10435.582485172439</v>
      </c>
      <c r="Y13" s="23">
        <v>11739.577294049439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12065.319992448556</v>
      </c>
      <c r="E14" s="23">
        <v>12477.244160830951</v>
      </c>
      <c r="F14" s="23">
        <v>13633.721981745181</v>
      </c>
      <c r="G14" s="23">
        <v>15168.36562152761</v>
      </c>
      <c r="H14" s="23">
        <v>15291.477767092549</v>
      </c>
      <c r="I14" s="23">
        <v>15792.133237290724</v>
      </c>
      <c r="J14" s="23">
        <v>15920.481605946632</v>
      </c>
      <c r="K14" s="23">
        <v>15574.739997367064</v>
      </c>
      <c r="L14" s="23">
        <v>15834.480085279582</v>
      </c>
      <c r="M14" s="23">
        <v>15012.736725617522</v>
      </c>
      <c r="N14" s="23">
        <v>14752.799397439116</v>
      </c>
      <c r="O14" s="23">
        <v>14403.475693093505</v>
      </c>
      <c r="P14" s="23">
        <v>14476.336435697829</v>
      </c>
      <c r="Q14" s="23">
        <v>14888.281496082993</v>
      </c>
      <c r="R14" s="23">
        <v>15416.156295933366</v>
      </c>
      <c r="S14" s="23">
        <v>15963.4</v>
      </c>
      <c r="T14" s="23">
        <v>17010.922066912448</v>
      </c>
      <c r="U14" s="23">
        <v>17481.94674289153</v>
      </c>
      <c r="V14" s="23">
        <v>18083.605535237351</v>
      </c>
      <c r="W14" s="23">
        <v>18664.665623954654</v>
      </c>
      <c r="X14" s="23">
        <v>18560.262136633228</v>
      </c>
      <c r="Y14" s="23">
        <v>19385.354626750297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2125.1022591403939</v>
      </c>
      <c r="E15" s="23">
        <v>2292.9874722026548</v>
      </c>
      <c r="F15" s="23">
        <v>2478.7489299106555</v>
      </c>
      <c r="G15" s="23">
        <v>2348.0602927677664</v>
      </c>
      <c r="H15" s="23">
        <v>2348.30791775427</v>
      </c>
      <c r="I15" s="23">
        <v>2486.9578503918096</v>
      </c>
      <c r="J15" s="23">
        <v>2507.8450136870447</v>
      </c>
      <c r="K15" s="23">
        <v>2582.1020972364281</v>
      </c>
      <c r="L15" s="23">
        <v>2720.9031882934391</v>
      </c>
      <c r="M15" s="23">
        <v>2487.4198734679389</v>
      </c>
      <c r="N15" s="23">
        <v>2500.6276675872459</v>
      </c>
      <c r="O15" s="23">
        <v>2447.9494009317732</v>
      </c>
      <c r="P15" s="23">
        <v>2403.5036081480202</v>
      </c>
      <c r="Q15" s="23">
        <v>2502.718026357235</v>
      </c>
      <c r="R15" s="23">
        <v>2567.6751592356686</v>
      </c>
      <c r="S15" s="23">
        <v>2693.1</v>
      </c>
      <c r="T15" s="23">
        <v>2764.2292451156281</v>
      </c>
      <c r="U15" s="23">
        <v>2977.0009026628554</v>
      </c>
      <c r="V15" s="23">
        <v>3108.4992136389442</v>
      </c>
      <c r="W15" s="23">
        <v>3303.890280176116</v>
      </c>
      <c r="X15" s="23">
        <v>2748.4989382734129</v>
      </c>
      <c r="Y15" s="23">
        <v>3100.985611131608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68713.422692089851</v>
      </c>
      <c r="E16" s="30">
        <f t="shared" ref="E16:S16" si="0">SUM(E6:E15)</f>
        <v>71636.762938714601</v>
      </c>
      <c r="F16" s="30">
        <f t="shared" si="0"/>
        <v>75107.732375176347</v>
      </c>
      <c r="G16" s="30">
        <f t="shared" si="0"/>
        <v>78301.608773370681</v>
      </c>
      <c r="H16" s="30">
        <f t="shared" si="0"/>
        <v>82209.20914044969</v>
      </c>
      <c r="I16" s="30">
        <f t="shared" si="0"/>
        <v>85680.374566171187</v>
      </c>
      <c r="J16" s="30">
        <f t="shared" si="0"/>
        <v>89021.431909732259</v>
      </c>
      <c r="K16" s="30">
        <f t="shared" si="0"/>
        <v>89209.713516086253</v>
      </c>
      <c r="L16" s="30">
        <f t="shared" si="0"/>
        <v>89954.452950867315</v>
      </c>
      <c r="M16" s="30">
        <f t="shared" si="0"/>
        <v>83972.91879815422</v>
      </c>
      <c r="N16" s="30">
        <f t="shared" si="0"/>
        <v>85060.10544815466</v>
      </c>
      <c r="O16" s="30">
        <f t="shared" si="0"/>
        <v>86721.036722233868</v>
      </c>
      <c r="P16" s="30">
        <f t="shared" si="0"/>
        <v>85650.227856323647</v>
      </c>
      <c r="Q16" s="30">
        <f t="shared" si="0"/>
        <v>87730.066959976422</v>
      </c>
      <c r="R16" s="30">
        <f t="shared" si="0"/>
        <v>91651.151396374335</v>
      </c>
      <c r="S16" s="30">
        <f t="shared" si="0"/>
        <v>95031.5</v>
      </c>
      <c r="T16" s="30">
        <f t="shared" ref="T16:Y16" si="1">SUM(T6:T15)</f>
        <v>97214.774362715121</v>
      </c>
      <c r="U16" s="30">
        <f t="shared" si="1"/>
        <v>101295.60327967505</v>
      </c>
      <c r="V16" s="30">
        <f t="shared" si="1"/>
        <v>106931.4237322836</v>
      </c>
      <c r="W16" s="30">
        <f t="shared" si="1"/>
        <v>111911.68892223961</v>
      </c>
      <c r="X16" s="30">
        <f t="shared" si="1"/>
        <v>106509.75690122283</v>
      </c>
      <c r="Y16" s="30">
        <f t="shared" si="1"/>
        <v>114472.32031483337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3977.5659178151159</v>
      </c>
      <c r="E18" s="19">
        <v>4073.6750507603697</v>
      </c>
      <c r="F18" s="19">
        <v>3686.412578222024</v>
      </c>
      <c r="G18" s="19">
        <v>3554.6403207884437</v>
      </c>
      <c r="H18" s="19">
        <v>4179.7179099693185</v>
      </c>
      <c r="I18" s="19">
        <v>3699.6049156352997</v>
      </c>
      <c r="J18" s="19">
        <v>3624.5076002047495</v>
      </c>
      <c r="K18" s="19">
        <v>3615.9353512440634</v>
      </c>
      <c r="L18" s="19">
        <v>3625.4482023451887</v>
      </c>
      <c r="M18" s="19">
        <v>3018.8127701334224</v>
      </c>
      <c r="N18" s="19">
        <v>3040.1205121767512</v>
      </c>
      <c r="O18" s="19">
        <v>4071.4691886391524</v>
      </c>
      <c r="P18" s="19">
        <v>3959.0163102499823</v>
      </c>
      <c r="Q18" s="19">
        <v>4069.2156842821869</v>
      </c>
      <c r="R18" s="19">
        <v>4269.3532582067619</v>
      </c>
      <c r="S18" s="19">
        <v>4274.3</v>
      </c>
      <c r="T18" s="19">
        <v>4458.0367880448712</v>
      </c>
      <c r="U18" s="19">
        <v>4483.9777343162323</v>
      </c>
      <c r="V18" s="19">
        <v>4414.2308086025105</v>
      </c>
      <c r="W18" s="19">
        <v>4415.3730709074307</v>
      </c>
      <c r="X18" s="19">
        <v>4278.3005052354101</v>
      </c>
      <c r="Y18" s="19">
        <v>4715.6485532071893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174.46982568749607</v>
      </c>
      <c r="E19" s="23">
        <v>161.46631859556072</v>
      </c>
      <c r="F19" s="23">
        <v>179.29271615804765</v>
      </c>
      <c r="G19" s="23">
        <v>181.53050872022803</v>
      </c>
      <c r="H19" s="23">
        <v>183.51879836973944</v>
      </c>
      <c r="I19" s="23">
        <v>204.96365660402068</v>
      </c>
      <c r="J19" s="23">
        <v>214.20782053279328</v>
      </c>
      <c r="K19" s="23">
        <v>171.84984151738246</v>
      </c>
      <c r="L19" s="23">
        <v>217.656749685047</v>
      </c>
      <c r="M19" s="23">
        <v>213.601152569269</v>
      </c>
      <c r="N19" s="23">
        <v>181.27039919658549</v>
      </c>
      <c r="O19" s="23">
        <v>207.90311156336355</v>
      </c>
      <c r="P19" s="23">
        <v>215.98140611203021</v>
      </c>
      <c r="Q19" s="23">
        <v>196.00272310678034</v>
      </c>
      <c r="R19" s="23">
        <v>183.42724154826064</v>
      </c>
      <c r="S19" s="23">
        <v>152.19999999999999</v>
      </c>
      <c r="T19" s="23">
        <v>141.35599235061019</v>
      </c>
      <c r="U19" s="23">
        <v>196.98736272002407</v>
      </c>
      <c r="V19" s="23">
        <v>301.42289473929105</v>
      </c>
      <c r="W19" s="23">
        <v>409.00830854632085</v>
      </c>
      <c r="X19" s="23">
        <v>271.56403309658049</v>
      </c>
      <c r="Y19" s="23">
        <v>390.55499920940287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15402.271726134291</v>
      </c>
      <c r="E20" s="23">
        <v>15894.280307739033</v>
      </c>
      <c r="F20" s="23">
        <v>16055.801391417592</v>
      </c>
      <c r="G20" s="23">
        <v>16925.213778443394</v>
      </c>
      <c r="H20" s="23">
        <v>18203.164354077951</v>
      </c>
      <c r="I20" s="23">
        <v>18904.241154257539</v>
      </c>
      <c r="J20" s="23">
        <v>20186.388623061008</v>
      </c>
      <c r="K20" s="23">
        <v>19763.136841892057</v>
      </c>
      <c r="L20" s="23">
        <v>19176.858222695988</v>
      </c>
      <c r="M20" s="23">
        <v>16919.069592633579</v>
      </c>
      <c r="N20" s="23">
        <v>18114.185287471759</v>
      </c>
      <c r="O20" s="23">
        <v>18789.592873033453</v>
      </c>
      <c r="P20" s="23">
        <v>18795.051102743411</v>
      </c>
      <c r="Q20" s="23">
        <v>19441.051850798132</v>
      </c>
      <c r="R20" s="23">
        <v>21084.231585823938</v>
      </c>
      <c r="S20" s="23">
        <v>22801.100000000002</v>
      </c>
      <c r="T20" s="23">
        <v>22467.913964079406</v>
      </c>
      <c r="U20" s="23">
        <v>22844.234241010981</v>
      </c>
      <c r="V20" s="23">
        <v>23427.696660059348</v>
      </c>
      <c r="W20" s="23">
        <v>23098.482040340303</v>
      </c>
      <c r="X20" s="23">
        <v>21850.699275097024</v>
      </c>
      <c r="Y20" s="23">
        <v>22633.742686976238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2048.9585299855266</v>
      </c>
      <c r="E21" s="23">
        <v>1866.3241204989019</v>
      </c>
      <c r="F21" s="23">
        <v>1878.654882621749</v>
      </c>
      <c r="G21" s="23">
        <v>1913.4982366297888</v>
      </c>
      <c r="H21" s="23">
        <v>2164.4456656134084</v>
      </c>
      <c r="I21" s="23">
        <v>2057.8220155850959</v>
      </c>
      <c r="J21" s="23">
        <v>1768.2994680969443</v>
      </c>
      <c r="K21" s="23">
        <v>2407.4167839674328</v>
      </c>
      <c r="L21" s="23">
        <v>2268.0492295765093</v>
      </c>
      <c r="M21" s="23">
        <v>2590.253272920886</v>
      </c>
      <c r="N21" s="23">
        <v>2393.4722570926438</v>
      </c>
      <c r="O21" s="23">
        <v>2047.2071748521034</v>
      </c>
      <c r="P21" s="23">
        <v>2162.5544267053697</v>
      </c>
      <c r="Q21" s="23">
        <v>1909.832650863164</v>
      </c>
      <c r="R21" s="23">
        <v>1915.1151396374325</v>
      </c>
      <c r="S21" s="23">
        <v>1921.8</v>
      </c>
      <c r="T21" s="23">
        <v>2189.0463892119942</v>
      </c>
      <c r="U21" s="23">
        <v>1770.8176621032044</v>
      </c>
      <c r="V21" s="23">
        <v>1702.7276026689747</v>
      </c>
      <c r="W21" s="23">
        <v>1914.581996040105</v>
      </c>
      <c r="X21" s="23">
        <v>1746.1741231602841</v>
      </c>
      <c r="Y21" s="23">
        <v>1686.3437516470776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690.48518029073057</v>
      </c>
      <c r="E22" s="23">
        <v>698.35218718490592</v>
      </c>
      <c r="F22" s="23">
        <v>736.58318964997534</v>
      </c>
      <c r="G22" s="23">
        <v>765.25436011401507</v>
      </c>
      <c r="H22" s="23">
        <v>846.27009204561068</v>
      </c>
      <c r="I22" s="23">
        <v>934.12350206273322</v>
      </c>
      <c r="J22" s="23">
        <v>962.87806289364164</v>
      </c>
      <c r="K22" s="23">
        <v>971.35160862388489</v>
      </c>
      <c r="L22" s="23">
        <v>990.01841263688345</v>
      </c>
      <c r="M22" s="23">
        <v>996.07458292443573</v>
      </c>
      <c r="N22" s="23">
        <v>1037.7102686417272</v>
      </c>
      <c r="O22" s="23">
        <v>1043.8053053202846</v>
      </c>
      <c r="P22" s="23">
        <v>990.38842144792795</v>
      </c>
      <c r="Q22" s="23">
        <v>938.45575459524264</v>
      </c>
      <c r="R22" s="23">
        <v>857.83112853176544</v>
      </c>
      <c r="S22" s="23">
        <v>894.2</v>
      </c>
      <c r="T22" s="23">
        <v>956.17372789464343</v>
      </c>
      <c r="U22" s="23">
        <v>957.66887317586873</v>
      </c>
      <c r="V22" s="23">
        <v>913.10942981843903</v>
      </c>
      <c r="W22" s="23">
        <v>912.5839669466319</v>
      </c>
      <c r="X22" s="23">
        <v>841.8759610456176</v>
      </c>
      <c r="Y22" s="23">
        <v>888.36768038791968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3487.665974450947</v>
      </c>
      <c r="E23" s="23">
        <v>3874.6391524744818</v>
      </c>
      <c r="F23" s="23">
        <v>4342.6938519599216</v>
      </c>
      <c r="G23" s="23">
        <v>4255.1572539736217</v>
      </c>
      <c r="H23" s="23">
        <v>4388.1943490406193</v>
      </c>
      <c r="I23" s="23">
        <v>4921.856241678126</v>
      </c>
      <c r="J23" s="23">
        <v>4743.9521064696328</v>
      </c>
      <c r="K23" s="23">
        <v>4379.4873872140479</v>
      </c>
      <c r="L23" s="23">
        <v>4395.4840585328038</v>
      </c>
      <c r="M23" s="23">
        <v>4061.0318835737999</v>
      </c>
      <c r="N23" s="23">
        <v>3522.9726336931958</v>
      </c>
      <c r="O23" s="23">
        <v>3494.647791777651</v>
      </c>
      <c r="P23" s="23">
        <v>3291.0775726450615</v>
      </c>
      <c r="Q23" s="23">
        <v>3536.6857351880262</v>
      </c>
      <c r="R23" s="23">
        <v>3825.3307202351789</v>
      </c>
      <c r="S23" s="23">
        <v>3988.6</v>
      </c>
      <c r="T23" s="23">
        <v>3459.5745519783927</v>
      </c>
      <c r="U23" s="23">
        <v>4292.3499323002861</v>
      </c>
      <c r="V23" s="23">
        <v>5415.8407549066142</v>
      </c>
      <c r="W23" s="23">
        <v>6408.0680595611575</v>
      </c>
      <c r="X23" s="23">
        <v>6065.6622977227798</v>
      </c>
      <c r="Y23" s="23">
        <v>7102.461392505139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6720.1560631804159</v>
      </c>
      <c r="E24" s="23">
        <v>7321.3718421525182</v>
      </c>
      <c r="F24" s="23">
        <v>7902.7454573953728</v>
      </c>
      <c r="G24" s="23">
        <v>7847.2389970529966</v>
      </c>
      <c r="H24" s="23">
        <v>8349.0177222145885</v>
      </c>
      <c r="I24" s="23">
        <v>8758.5401523585006</v>
      </c>
      <c r="J24" s="23">
        <v>9385.7521198228478</v>
      </c>
      <c r="K24" s="23">
        <v>9525.1597484531485</v>
      </c>
      <c r="L24" s="23">
        <v>10060.761701715284</v>
      </c>
      <c r="M24" s="23">
        <v>8394.0241788987933</v>
      </c>
      <c r="N24" s="23">
        <v>8424.7049962339952</v>
      </c>
      <c r="O24" s="23">
        <v>8737.1182872933696</v>
      </c>
      <c r="P24" s="23">
        <v>8790.6868168116362</v>
      </c>
      <c r="Q24" s="23">
        <v>9376.9369113059729</v>
      </c>
      <c r="R24" s="23">
        <v>9840.4581087702118</v>
      </c>
      <c r="S24" s="23">
        <v>9973.1999999999989</v>
      </c>
      <c r="T24" s="23">
        <v>9913.057192989374</v>
      </c>
      <c r="U24" s="23">
        <v>10424.721678952914</v>
      </c>
      <c r="V24" s="23">
        <v>11271.950640721405</v>
      </c>
      <c r="W24" s="23">
        <v>11583.325045882344</v>
      </c>
      <c r="X24" s="23">
        <v>11524.950574796807</v>
      </c>
      <c r="Y24" s="23">
        <v>12314.956341467703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3921.402051475678</v>
      </c>
      <c r="E25" s="23">
        <v>4101.4378651638835</v>
      </c>
      <c r="F25" s="23">
        <v>4119.391827531741</v>
      </c>
      <c r="G25" s="23">
        <v>4009.0100971061402</v>
      </c>
      <c r="H25" s="23">
        <v>4294.2025003434537</v>
      </c>
      <c r="I25" s="23">
        <v>4481.5881954903625</v>
      </c>
      <c r="J25" s="23">
        <v>4837.4246099748516</v>
      </c>
      <c r="K25" s="23">
        <v>5186.6854347892131</v>
      </c>
      <c r="L25" s="23">
        <v>5065.4133152437253</v>
      </c>
      <c r="M25" s="23">
        <v>4850.5000730795737</v>
      </c>
      <c r="N25" s="23">
        <v>5099.6736128546318</v>
      </c>
      <c r="O25" s="23">
        <v>5420.9439439739017</v>
      </c>
      <c r="P25" s="23">
        <v>5360.0535893714414</v>
      </c>
      <c r="Q25" s="23">
        <v>5715.0695509922061</v>
      </c>
      <c r="R25" s="23">
        <v>5987.6694430834559</v>
      </c>
      <c r="S25" s="23">
        <v>6155.6</v>
      </c>
      <c r="T25" s="23">
        <v>6418.19293022889</v>
      </c>
      <c r="U25" s="23">
        <v>6243.9822476305098</v>
      </c>
      <c r="V25" s="23">
        <v>6510.3250602566613</v>
      </c>
      <c r="W25" s="23">
        <v>6831.9937798913288</v>
      </c>
      <c r="X25" s="23">
        <v>6134.1253569598011</v>
      </c>
      <c r="Y25" s="23">
        <v>6025.8437428626648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1427.3802781448619</v>
      </c>
      <c r="E26" s="23">
        <v>1433.307089876932</v>
      </c>
      <c r="F26" s="23">
        <v>1565.2844930489407</v>
      </c>
      <c r="G26" s="23">
        <v>1601.4058650176337</v>
      </c>
      <c r="H26" s="23">
        <v>1699.9816824655402</v>
      </c>
      <c r="I26" s="23">
        <v>1693.6240805011678</v>
      </c>
      <c r="J26" s="23">
        <v>1699.8642423163376</v>
      </c>
      <c r="K26" s="23">
        <v>1816.3221906044619</v>
      </c>
      <c r="L26" s="23">
        <v>1719.9341021416803</v>
      </c>
      <c r="M26" s="23">
        <v>1630.614077213789</v>
      </c>
      <c r="N26" s="23">
        <v>1510.2184283203615</v>
      </c>
      <c r="O26" s="23">
        <v>1432.4763814483383</v>
      </c>
      <c r="P26" s="23">
        <v>1327.757873476306</v>
      </c>
      <c r="Q26" s="23">
        <v>1298.8609691415102</v>
      </c>
      <c r="R26" s="23">
        <v>1510.697370569982</v>
      </c>
      <c r="S26" s="23">
        <v>1558</v>
      </c>
      <c r="T26" s="23">
        <v>1586.6569406383692</v>
      </c>
      <c r="U26" s="23">
        <v>1824.507296524748</v>
      </c>
      <c r="V26" s="23">
        <v>2037.6522702104098</v>
      </c>
      <c r="W26" s="23">
        <v>2199.8209910585938</v>
      </c>
      <c r="X26" s="23">
        <v>1339.4230065168047</v>
      </c>
      <c r="Y26" s="23">
        <v>1834.3611096470422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3481.6877477817634</v>
      </c>
      <c r="E27" s="23">
        <v>3481.2635533639968</v>
      </c>
      <c r="F27" s="23">
        <v>3804.695130038463</v>
      </c>
      <c r="G27" s="23">
        <v>4130.9966665056281</v>
      </c>
      <c r="H27" s="23">
        <v>4153.2719695928927</v>
      </c>
      <c r="I27" s="23">
        <v>4404.5358304411411</v>
      </c>
      <c r="J27" s="23">
        <v>4591.0577971646671</v>
      </c>
      <c r="K27" s="23">
        <v>4777.8711683156289</v>
      </c>
      <c r="L27" s="23">
        <v>4806.0858610330451</v>
      </c>
      <c r="M27" s="23">
        <v>4702.0441400622212</v>
      </c>
      <c r="N27" s="23">
        <v>4524.1275420537277</v>
      </c>
      <c r="O27" s="23">
        <v>4564.2913436885838</v>
      </c>
      <c r="P27" s="23">
        <v>4536.8274686126642</v>
      </c>
      <c r="Q27" s="23">
        <v>4620.746415761505</v>
      </c>
      <c r="R27" s="23">
        <v>4730.6263269639066</v>
      </c>
      <c r="S27" s="23">
        <v>4612.6000000000004</v>
      </c>
      <c r="T27" s="23">
        <v>4728.8212448001896</v>
      </c>
      <c r="U27" s="23">
        <v>4971.7917857680159</v>
      </c>
      <c r="V27" s="23">
        <v>5231.8601859348391</v>
      </c>
      <c r="W27" s="23">
        <v>5518.809500131093</v>
      </c>
      <c r="X27" s="23">
        <v>5524.8224353811229</v>
      </c>
      <c r="Y27" s="23">
        <v>6167.7998559356283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2432.3516455855515</v>
      </c>
      <c r="E28" s="23">
        <v>2472.5479633696596</v>
      </c>
      <c r="F28" s="23">
        <v>2701.4480871022583</v>
      </c>
      <c r="G28" s="23">
        <v>2944.7074737910043</v>
      </c>
      <c r="H28" s="23">
        <v>3126.9176168887666</v>
      </c>
      <c r="I28" s="23">
        <v>3603.780586296466</v>
      </c>
      <c r="J28" s="23">
        <v>4163.9774775777269</v>
      </c>
      <c r="K28" s="23">
        <v>4017.8634720351602</v>
      </c>
      <c r="L28" s="23">
        <v>3920.8256614012985</v>
      </c>
      <c r="M28" s="23">
        <v>4194.4543043868625</v>
      </c>
      <c r="N28" s="23">
        <v>4123.1232739141351</v>
      </c>
      <c r="O28" s="23">
        <v>4090.5236484801321</v>
      </c>
      <c r="P28" s="23">
        <v>3863.6109898809464</v>
      </c>
      <c r="Q28" s="23">
        <v>3497.5664773362323</v>
      </c>
      <c r="R28" s="23">
        <v>3521.3539114812997</v>
      </c>
      <c r="S28" s="23">
        <v>3354.6</v>
      </c>
      <c r="T28" s="23">
        <v>3329.4560652958226</v>
      </c>
      <c r="U28" s="23">
        <v>3639.0476906875283</v>
      </c>
      <c r="V28" s="23">
        <v>3755.9209730403791</v>
      </c>
      <c r="W28" s="23">
        <v>4205.5348118145903</v>
      </c>
      <c r="X28" s="23">
        <v>4210.3866149227506</v>
      </c>
      <c r="Y28" s="23">
        <v>4503.1536042446287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5923.0067333710904</v>
      </c>
      <c r="E29" s="23">
        <v>6007.2652937195262</v>
      </c>
      <c r="F29" s="23">
        <v>6085.4624594571796</v>
      </c>
      <c r="G29" s="23">
        <v>6372.6508526981979</v>
      </c>
      <c r="H29" s="23">
        <v>6429.2256262307092</v>
      </c>
      <c r="I29" s="23">
        <v>6751.5770632789818</v>
      </c>
      <c r="J29" s="23">
        <v>6990.9643246611622</v>
      </c>
      <c r="K29" s="23">
        <v>7194.8070360206184</v>
      </c>
      <c r="L29" s="23">
        <v>7415.9317763349163</v>
      </c>
      <c r="M29" s="23">
        <v>7486.1670807842484</v>
      </c>
      <c r="N29" s="23">
        <v>8219.6334421290485</v>
      </c>
      <c r="O29" s="23">
        <v>8142.1402847195204</v>
      </c>
      <c r="P29" s="23">
        <v>7798.7759700386696</v>
      </c>
      <c r="Q29" s="23">
        <v>7786.8660902079928</v>
      </c>
      <c r="R29" s="23">
        <v>7767.4342642495503</v>
      </c>
      <c r="S29" s="23">
        <v>7989.6</v>
      </c>
      <c r="T29" s="23">
        <v>8622.5183841649759</v>
      </c>
      <c r="U29" s="23">
        <v>9123.1006469083786</v>
      </c>
      <c r="V29" s="23">
        <v>10030.803018881972</v>
      </c>
      <c r="W29" s="23">
        <v>11160.122594002298</v>
      </c>
      <c r="X29" s="23">
        <v>10977.429157208757</v>
      </c>
      <c r="Y29" s="23">
        <v>11983.1690648114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3047.1650619847715</v>
      </c>
      <c r="E30" s="23">
        <v>3512.0650837718749</v>
      </c>
      <c r="F30" s="23">
        <v>3745.7347143012162</v>
      </c>
      <c r="G30" s="23">
        <v>3957.6791149330879</v>
      </c>
      <c r="H30" s="23">
        <v>4076.2238402710996</v>
      </c>
      <c r="I30" s="23">
        <v>4303.4728133935778</v>
      </c>
      <c r="J30" s="23">
        <v>4614.6484766207468</v>
      </c>
      <c r="K30" s="23">
        <v>4462.627469645262</v>
      </c>
      <c r="L30" s="23">
        <v>4840.5853280356623</v>
      </c>
      <c r="M30" s="23">
        <v>4640.3441003904536</v>
      </c>
      <c r="N30" s="23">
        <v>4861.4612101431076</v>
      </c>
      <c r="O30" s="23">
        <v>4844.4218318219455</v>
      </c>
      <c r="P30" s="23">
        <v>4747.5311335978968</v>
      </c>
      <c r="Q30" s="23">
        <v>4951.8883932653907</v>
      </c>
      <c r="R30" s="23">
        <v>5057.3656704229952</v>
      </c>
      <c r="S30" s="23">
        <v>5379.2000000000007</v>
      </c>
      <c r="T30" s="23">
        <v>5679.1790706385673</v>
      </c>
      <c r="U30" s="23">
        <v>6088.1788776891826</v>
      </c>
      <c r="V30" s="23">
        <v>6583.8428394613657</v>
      </c>
      <c r="W30" s="23">
        <v>6976.7378784728198</v>
      </c>
      <c r="X30" s="23">
        <v>6851.156915867321</v>
      </c>
      <c r="Y30" s="23">
        <v>7469.9133856884346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1788.4337046126739</v>
      </c>
      <c r="E31" s="23">
        <v>1968.5354770093509</v>
      </c>
      <c r="F31" s="23">
        <v>2191.060684616034</v>
      </c>
      <c r="G31" s="23">
        <v>2326.1993333011255</v>
      </c>
      <c r="H31" s="23">
        <v>2475.2713284791866</v>
      </c>
      <c r="I31" s="23">
        <v>2681.5532709056379</v>
      </c>
      <c r="J31" s="23">
        <v>2809.1825607014889</v>
      </c>
      <c r="K31" s="23">
        <v>2762.3570871603765</v>
      </c>
      <c r="L31" s="23">
        <v>2896.0170559162711</v>
      </c>
      <c r="M31" s="23">
        <v>2775.7709894974214</v>
      </c>
      <c r="N31" s="23">
        <v>2754.0045192066282</v>
      </c>
      <c r="O31" s="23">
        <v>2983.0704615967834</v>
      </c>
      <c r="P31" s="23">
        <v>2931.0747307844549</v>
      </c>
      <c r="Q31" s="23">
        <v>2999.8882306918522</v>
      </c>
      <c r="R31" s="23">
        <v>3116.4257716805487</v>
      </c>
      <c r="S31" s="23">
        <v>3320</v>
      </c>
      <c r="T31" s="23">
        <v>3489.639808370956</v>
      </c>
      <c r="U31" s="23">
        <v>3975.2896043327814</v>
      </c>
      <c r="V31" s="23">
        <v>4141.9358441050845</v>
      </c>
      <c r="W31" s="23">
        <v>4308.6909745138282</v>
      </c>
      <c r="X31" s="23">
        <v>3584.4255693051182</v>
      </c>
      <c r="Y31" s="23">
        <v>4269.6639083610044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5905.3866968724424</v>
      </c>
      <c r="E32" s="23">
        <v>6179.7814886945962</v>
      </c>
      <c r="F32" s="23">
        <v>6638.8945826350136</v>
      </c>
      <c r="G32" s="23">
        <v>6990.5550992801591</v>
      </c>
      <c r="H32" s="23">
        <v>7119.5677061867464</v>
      </c>
      <c r="I32" s="23">
        <v>7298.2559535503005</v>
      </c>
      <c r="J32" s="23">
        <v>7501.72479024325</v>
      </c>
      <c r="K32" s="23">
        <v>7526.9622983523896</v>
      </c>
      <c r="L32" s="23">
        <v>7793.0031979843006</v>
      </c>
      <c r="M32" s="23">
        <v>7480.0075167561026</v>
      </c>
      <c r="N32" s="23">
        <v>7411.6997238262611</v>
      </c>
      <c r="O32" s="23">
        <v>7172.1585410868029</v>
      </c>
      <c r="P32" s="23">
        <v>6914.8558263217201</v>
      </c>
      <c r="Q32" s="23">
        <v>7359.7041161587931</v>
      </c>
      <c r="R32" s="23">
        <v>7380.8794708476235</v>
      </c>
      <c r="S32" s="23">
        <v>7613.6</v>
      </c>
      <c r="T32" s="23">
        <v>8106.5788695463616</v>
      </c>
      <c r="U32" s="23">
        <v>8291.5224913494822</v>
      </c>
      <c r="V32" s="23">
        <v>8447.0997701406159</v>
      </c>
      <c r="W32" s="23">
        <v>8794.0402679709623</v>
      </c>
      <c r="X32" s="23">
        <v>8604.3787068902402</v>
      </c>
      <c r="Y32" s="23">
        <v>8784.4129376833771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3330.9735070165507</v>
      </c>
      <c r="E33" s="23">
        <v>3455.2963438721531</v>
      </c>
      <c r="F33" s="23">
        <v>3838.2145483921531</v>
      </c>
      <c r="G33" s="23">
        <v>4474.9746364558669</v>
      </c>
      <c r="H33" s="23">
        <v>4412.3505976095621</v>
      </c>
      <c r="I33" s="23">
        <v>4611.7914129177316</v>
      </c>
      <c r="J33" s="23">
        <v>4613.646985511763</v>
      </c>
      <c r="K33" s="23">
        <v>4388.6014035585176</v>
      </c>
      <c r="L33" s="23">
        <v>4376.5868785735056</v>
      </c>
      <c r="M33" s="23">
        <v>4053.3063286910406</v>
      </c>
      <c r="N33" s="23">
        <v>3959.7288476023095</v>
      </c>
      <c r="O33" s="23">
        <v>3805.1057971448236</v>
      </c>
      <c r="P33" s="23">
        <v>3801.090056532727</v>
      </c>
      <c r="Q33" s="23">
        <v>3562.0878506762042</v>
      </c>
      <c r="R33" s="23">
        <v>4064.7966682998531</v>
      </c>
      <c r="S33" s="23">
        <v>4315.7</v>
      </c>
      <c r="T33" s="23">
        <v>4609.1516668966742</v>
      </c>
      <c r="U33" s="23">
        <v>4636.1140364074026</v>
      </c>
      <c r="V33" s="23">
        <v>4777.1666806257381</v>
      </c>
      <c r="W33" s="23">
        <v>4928.1704020468496</v>
      </c>
      <c r="X33" s="23">
        <v>4811.3604744819504</v>
      </c>
      <c r="Y33" s="23">
        <v>4903.8106783323674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2828.9597885595622</v>
      </c>
      <c r="E34" s="23">
        <v>2842.1663282642021</v>
      </c>
      <c r="F34" s="23">
        <v>3156.6128507180151</v>
      </c>
      <c r="G34" s="23">
        <v>3702.8358857915837</v>
      </c>
      <c r="H34" s="23">
        <v>3759.5594632962402</v>
      </c>
      <c r="I34" s="23">
        <v>3882.085870822692</v>
      </c>
      <c r="J34" s="23">
        <v>3805.1098301916186</v>
      </c>
      <c r="K34" s="23">
        <v>3659.1762954561568</v>
      </c>
      <c r="L34" s="23">
        <v>3664.8900087217753</v>
      </c>
      <c r="M34" s="23">
        <v>3479.4228801703798</v>
      </c>
      <c r="N34" s="23">
        <v>3381.3708260105445</v>
      </c>
      <c r="O34" s="23">
        <v>3426.21135486188</v>
      </c>
      <c r="P34" s="23">
        <v>3760.3905528433829</v>
      </c>
      <c r="Q34" s="23">
        <v>3966.4895292479955</v>
      </c>
      <c r="R34" s="23">
        <v>3970.480156785889</v>
      </c>
      <c r="S34" s="23">
        <v>4034.1</v>
      </c>
      <c r="T34" s="23">
        <v>4295.1915304694121</v>
      </c>
      <c r="U34" s="23">
        <v>4554.3102151346475</v>
      </c>
      <c r="V34" s="23">
        <v>4859.3390844709984</v>
      </c>
      <c r="W34" s="23">
        <v>4942.4549539368409</v>
      </c>
      <c r="X34" s="23">
        <v>5144.5229552610381</v>
      </c>
      <c r="Y34" s="23">
        <v>5697.1310107345525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861.65124913473028</v>
      </c>
      <c r="E35" s="23">
        <v>950.70373900191987</v>
      </c>
      <c r="F35" s="23">
        <v>1130.6172154768083</v>
      </c>
      <c r="G35" s="23">
        <v>1000.0483115126335</v>
      </c>
      <c r="H35" s="23">
        <v>958.00705225076661</v>
      </c>
      <c r="I35" s="23">
        <v>1014.1226289481147</v>
      </c>
      <c r="J35" s="23">
        <v>1013.9541094518501</v>
      </c>
      <c r="K35" s="23">
        <v>1038.0864616350548</v>
      </c>
      <c r="L35" s="23">
        <v>1091.8693671867429</v>
      </c>
      <c r="M35" s="23">
        <v>921.01142129329969</v>
      </c>
      <c r="N35" s="23">
        <v>1018.8300276173741</v>
      </c>
      <c r="O35" s="23">
        <v>995.12165923443001</v>
      </c>
      <c r="P35" s="23">
        <v>966.23260629066124</v>
      </c>
      <c r="Q35" s="23">
        <v>1022.8923864779457</v>
      </c>
      <c r="R35" s="23">
        <v>1098.6240405030212</v>
      </c>
      <c r="S35" s="23">
        <v>1193.1999999999998</v>
      </c>
      <c r="T35" s="23">
        <v>1263.6279399877767</v>
      </c>
      <c r="U35" s="23">
        <v>1468.2375507747856</v>
      </c>
      <c r="V35" s="23">
        <v>1553.1794112994037</v>
      </c>
      <c r="W35" s="23">
        <v>1641.4577475612293</v>
      </c>
      <c r="X35" s="23">
        <v>1406.5131434429231</v>
      </c>
      <c r="Y35" s="23">
        <v>1659.2877597990125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1249.6066956138695</v>
      </c>
      <c r="E36" s="23">
        <v>1326.3995359051921</v>
      </c>
      <c r="F36" s="23">
        <v>1331.2514318096867</v>
      </c>
      <c r="G36" s="23">
        <v>1331.9484033045073</v>
      </c>
      <c r="H36" s="23">
        <v>1374.8454458029951</v>
      </c>
      <c r="I36" s="23">
        <v>1458.7562482264859</v>
      </c>
      <c r="J36" s="23">
        <v>1477.6444929116685</v>
      </c>
      <c r="K36" s="23">
        <v>1529.7370099950381</v>
      </c>
      <c r="L36" s="23">
        <v>1617.114061440062</v>
      </c>
      <c r="M36" s="23">
        <v>1557.8477021694193</v>
      </c>
      <c r="N36" s="23">
        <v>1468.943007783078</v>
      </c>
      <c r="O36" s="23">
        <v>1439.9584991869431</v>
      </c>
      <c r="P36" s="23">
        <v>1423.8736589970263</v>
      </c>
      <c r="Q36" s="23">
        <v>1466.514931363484</v>
      </c>
      <c r="R36" s="23">
        <v>1456.1897762534704</v>
      </c>
      <c r="S36" s="23">
        <v>1481.4</v>
      </c>
      <c r="T36" s="23">
        <v>1480.2949352364806</v>
      </c>
      <c r="U36" s="23">
        <v>1489.111629306454</v>
      </c>
      <c r="V36" s="23">
        <v>1520.6082432973189</v>
      </c>
      <c r="W36" s="23">
        <v>1637.5701796418014</v>
      </c>
      <c r="X36" s="23">
        <v>1318.1884747748406</v>
      </c>
      <c r="Y36" s="23">
        <v>1420.1760396352713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13.844314391794098</v>
      </c>
      <c r="E37" s="23">
        <v>15.884197295542755</v>
      </c>
      <c r="F37" s="23">
        <v>16.880282624160508</v>
      </c>
      <c r="G37" s="23">
        <v>16.063577950625632</v>
      </c>
      <c r="H37" s="23">
        <v>15.455419700508312</v>
      </c>
      <c r="I37" s="23">
        <v>14.078973217209088</v>
      </c>
      <c r="J37" s="23">
        <v>16.246411323526139</v>
      </c>
      <c r="K37" s="23">
        <v>14.278625606335254</v>
      </c>
      <c r="L37" s="23">
        <v>11.919759666634365</v>
      </c>
      <c r="M37" s="23">
        <v>8.560750005219969</v>
      </c>
      <c r="N37" s="23">
        <v>12.854632186793873</v>
      </c>
      <c r="O37" s="23">
        <v>12.869242510400143</v>
      </c>
      <c r="P37" s="23">
        <v>13.397342860332701</v>
      </c>
      <c r="Q37" s="23">
        <v>13.310708515805196</v>
      </c>
      <c r="R37" s="23">
        <v>12.861342479176873</v>
      </c>
      <c r="S37" s="23">
        <v>18.5</v>
      </c>
      <c r="T37" s="23">
        <v>20.306369891370778</v>
      </c>
      <c r="U37" s="23">
        <v>19.651722581615765</v>
      </c>
      <c r="V37" s="23">
        <v>34.711559042221538</v>
      </c>
      <c r="W37" s="23">
        <v>24.862352973085375</v>
      </c>
      <c r="X37" s="23">
        <v>23.797320055649116</v>
      </c>
      <c r="Y37" s="23">
        <v>21.521811697324267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68713.422692089851</v>
      </c>
      <c r="E39" s="30">
        <f t="shared" ref="E39:S39" si="2">SUM(E18:E38)</f>
        <v>71636.762938714601</v>
      </c>
      <c r="F39" s="30">
        <f t="shared" si="2"/>
        <v>75107.732375176332</v>
      </c>
      <c r="G39" s="30">
        <f t="shared" si="2"/>
        <v>78301.608773370695</v>
      </c>
      <c r="H39" s="30">
        <f t="shared" si="2"/>
        <v>82209.209140449704</v>
      </c>
      <c r="I39" s="30">
        <f t="shared" si="2"/>
        <v>85680.374566171187</v>
      </c>
      <c r="J39" s="30">
        <f t="shared" si="2"/>
        <v>89021.431909732273</v>
      </c>
      <c r="K39" s="30">
        <f t="shared" si="2"/>
        <v>89209.713516086253</v>
      </c>
      <c r="L39" s="30">
        <f t="shared" si="2"/>
        <v>89954.452950867329</v>
      </c>
      <c r="M39" s="30">
        <f t="shared" si="2"/>
        <v>83972.918798154205</v>
      </c>
      <c r="N39" s="30">
        <f t="shared" si="2"/>
        <v>85060.105448154645</v>
      </c>
      <c r="O39" s="30">
        <f t="shared" si="2"/>
        <v>86721.036722233854</v>
      </c>
      <c r="P39" s="30">
        <f t="shared" si="2"/>
        <v>85650.227856323661</v>
      </c>
      <c r="Q39" s="30">
        <f t="shared" si="2"/>
        <v>87730.066959976437</v>
      </c>
      <c r="R39" s="30">
        <f t="shared" si="2"/>
        <v>91651.151396374335</v>
      </c>
      <c r="S39" s="30">
        <f t="shared" si="2"/>
        <v>95031.5</v>
      </c>
      <c r="T39" s="30">
        <f t="shared" ref="T39:Y39" si="3">SUM(T18:T38)</f>
        <v>97214.774362715136</v>
      </c>
      <c r="U39" s="30">
        <f t="shared" si="3"/>
        <v>101295.60327967504</v>
      </c>
      <c r="V39" s="30">
        <f t="shared" si="3"/>
        <v>106931.42373228361</v>
      </c>
      <c r="W39" s="30">
        <f t="shared" si="3"/>
        <v>111911.68892223963</v>
      </c>
      <c r="X39" s="30">
        <f t="shared" si="3"/>
        <v>106509.75690122281</v>
      </c>
      <c r="Y39" s="30">
        <f t="shared" si="3"/>
        <v>114472.32031483339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2241.9923226983828</v>
      </c>
      <c r="E41" s="19">
        <v>2487.4652964819957</v>
      </c>
      <c r="F41" s="19">
        <v>2656.8359115955486</v>
      </c>
      <c r="G41" s="19">
        <v>2443.3547514372672</v>
      </c>
      <c r="H41" s="19">
        <v>2452.1454412236112</v>
      </c>
      <c r="I41" s="19">
        <v>2245.6507978084824</v>
      </c>
      <c r="J41" s="19">
        <v>2279.9501479981304</v>
      </c>
      <c r="K41" s="19">
        <v>2059.8689606983362</v>
      </c>
      <c r="L41" s="19">
        <v>1888.0705494718482</v>
      </c>
      <c r="M41" s="19">
        <v>2179.441672060635</v>
      </c>
      <c r="N41" s="19">
        <v>1968.7672608586493</v>
      </c>
      <c r="O41" s="19">
        <v>1871.7265734893604</v>
      </c>
      <c r="P41" s="19">
        <v>1835.0299917789032</v>
      </c>
      <c r="Q41" s="19">
        <v>2003.6172612455166</v>
      </c>
      <c r="R41" s="19">
        <v>2073.1259186673201</v>
      </c>
      <c r="S41" s="19">
        <v>2102.9</v>
      </c>
      <c r="T41" s="19">
        <v>2147.1521794846517</v>
      </c>
      <c r="U41" s="19">
        <v>2145.0466375808637</v>
      </c>
      <c r="V41" s="19">
        <v>2297.5701908670444</v>
      </c>
      <c r="W41" s="19">
        <v>2244.8444520789449</v>
      </c>
      <c r="X41" s="19">
        <v>2230.9072270630445</v>
      </c>
      <c r="Y41" s="19">
        <v>2243.6269084137107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1107.3878295890756</v>
      </c>
      <c r="E42" s="23">
        <v>1131.9217116258512</v>
      </c>
      <c r="F42" s="23">
        <v>981.82958148956436</v>
      </c>
      <c r="G42" s="23">
        <v>819.72559060824187</v>
      </c>
      <c r="H42" s="23">
        <v>752.9651508906901</v>
      </c>
      <c r="I42" s="23">
        <v>630.71617226551416</v>
      </c>
      <c r="J42" s="23">
        <v>638.39494358266757</v>
      </c>
      <c r="K42" s="23">
        <v>557.17019919189067</v>
      </c>
      <c r="L42" s="23">
        <v>493.74939432115514</v>
      </c>
      <c r="M42" s="23">
        <v>438.16424112083183</v>
      </c>
      <c r="N42" s="23">
        <v>422.19432588501127</v>
      </c>
      <c r="O42" s="23">
        <v>461.39726054729198</v>
      </c>
      <c r="P42" s="23">
        <v>450.84088625452921</v>
      </c>
      <c r="Q42" s="23">
        <v>457.74612109696494</v>
      </c>
      <c r="R42" s="23">
        <v>464.94773803690998</v>
      </c>
      <c r="S42" s="23">
        <v>454.3</v>
      </c>
      <c r="T42" s="23">
        <v>467.83510439051321</v>
      </c>
      <c r="U42" s="23">
        <v>472.29953362419133</v>
      </c>
      <c r="V42" s="23">
        <v>483.82143555096462</v>
      </c>
      <c r="W42" s="23">
        <v>472.47511504488784</v>
      </c>
      <c r="X42" s="23">
        <v>400.80178662956723</v>
      </c>
      <c r="Y42" s="23">
        <v>406.10341010910241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906.0159838902523</v>
      </c>
      <c r="E43" s="23">
        <v>1022.8041823782096</v>
      </c>
      <c r="F43" s="23">
        <v>997.50412964057057</v>
      </c>
      <c r="G43" s="23">
        <v>968.0419343929658</v>
      </c>
      <c r="H43" s="23">
        <v>959.83880569675318</v>
      </c>
      <c r="I43" s="23">
        <v>918.95313557287227</v>
      </c>
      <c r="J43" s="23">
        <v>893.4413460040505</v>
      </c>
      <c r="K43" s="23">
        <v>928.71826550142282</v>
      </c>
      <c r="L43" s="23">
        <v>871.9837193526505</v>
      </c>
      <c r="M43" s="23">
        <v>757.10437851042946</v>
      </c>
      <c r="N43" s="23">
        <v>776.09841827768014</v>
      </c>
      <c r="O43" s="23">
        <v>782.62951545805527</v>
      </c>
      <c r="P43" s="23">
        <v>777.85784607265009</v>
      </c>
      <c r="Q43" s="23">
        <v>813.27412946950221</v>
      </c>
      <c r="R43" s="23">
        <v>854.15645925200067</v>
      </c>
      <c r="S43" s="23">
        <v>879.8</v>
      </c>
      <c r="T43" s="23">
        <v>915.75813733414827</v>
      </c>
      <c r="U43" s="23">
        <v>937.45298630961338</v>
      </c>
      <c r="V43" s="23">
        <v>975.83219334245314</v>
      </c>
      <c r="W43" s="23">
        <v>1023.3344483721942</v>
      </c>
      <c r="X43" s="23">
        <v>995.55173171267484</v>
      </c>
      <c r="Y43" s="23">
        <v>1094.2743196472181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762.22390032093642</v>
      </c>
      <c r="E44" s="23">
        <v>779.98314893852137</v>
      </c>
      <c r="F44" s="23">
        <v>955.06227618553839</v>
      </c>
      <c r="G44" s="23">
        <v>911.39668583023331</v>
      </c>
      <c r="H44" s="23">
        <v>1365.9156477538122</v>
      </c>
      <c r="I44" s="23">
        <v>1504.4856263505992</v>
      </c>
      <c r="J44" s="23">
        <v>1689.9606080163799</v>
      </c>
      <c r="K44" s="23">
        <v>1334.4945265268509</v>
      </c>
      <c r="L44" s="23">
        <v>1451.4003294892916</v>
      </c>
      <c r="M44" s="23">
        <v>1083.1436744409411</v>
      </c>
      <c r="N44" s="23">
        <v>1159.0258599045944</v>
      </c>
      <c r="O44" s="23">
        <v>1052.6840850367621</v>
      </c>
      <c r="P44" s="23">
        <v>1137.7591929115877</v>
      </c>
      <c r="Q44" s="23">
        <v>840.30198034892339</v>
      </c>
      <c r="R44" s="23">
        <v>925.71043606075455</v>
      </c>
      <c r="S44" s="23">
        <v>801.9</v>
      </c>
      <c r="T44" s="23">
        <v>751.53283520296509</v>
      </c>
      <c r="U44" s="23">
        <v>809.9518579810441</v>
      </c>
      <c r="V44" s="23">
        <v>828.14521157300135</v>
      </c>
      <c r="W44" s="23">
        <v>761.51126942653855</v>
      </c>
      <c r="X44" s="23">
        <v>473.01750018305626</v>
      </c>
      <c r="Y44" s="23">
        <v>765.29805513097563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664.21244729721229</v>
      </c>
      <c r="E45" s="23">
        <v>744.76166797883957</v>
      </c>
      <c r="F45" s="23">
        <v>670.8706608630647</v>
      </c>
      <c r="G45" s="23">
        <v>631.0691337745784</v>
      </c>
      <c r="H45" s="23">
        <v>658.74433301277645</v>
      </c>
      <c r="I45" s="23">
        <v>626.89629581123256</v>
      </c>
      <c r="J45" s="23">
        <v>731.86744708788638</v>
      </c>
      <c r="K45" s="23">
        <v>832.81856018795133</v>
      </c>
      <c r="L45" s="23">
        <v>713.73195077042351</v>
      </c>
      <c r="M45" s="23">
        <v>451.84056125112227</v>
      </c>
      <c r="N45" s="23">
        <v>501.02937484308308</v>
      </c>
      <c r="O45" s="23">
        <v>554.87385149492718</v>
      </c>
      <c r="P45" s="23">
        <v>644.79787266434573</v>
      </c>
      <c r="Q45" s="23">
        <v>730.46323297804236</v>
      </c>
      <c r="R45" s="23">
        <v>956.12853176547435</v>
      </c>
      <c r="S45" s="23">
        <v>1265.2</v>
      </c>
      <c r="T45" s="23">
        <v>1257.6148887092641</v>
      </c>
      <c r="U45" s="23">
        <v>1487.3251090717617</v>
      </c>
      <c r="V45" s="23">
        <v>1397.2100468094216</v>
      </c>
      <c r="W45" s="23">
        <v>1141.408022855283</v>
      </c>
      <c r="X45" s="23">
        <v>1260.1596251006811</v>
      </c>
      <c r="Y45" s="23">
        <v>1679.3162212969307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858.34749229123406</v>
      </c>
      <c r="E46" s="23">
        <v>977.7759361317145</v>
      </c>
      <c r="F46" s="23">
        <v>965.67273954929647</v>
      </c>
      <c r="G46" s="23">
        <v>1109.2323300642543</v>
      </c>
      <c r="H46" s="23">
        <v>1111.4164033521088</v>
      </c>
      <c r="I46" s="23">
        <v>1175.6488333005914</v>
      </c>
      <c r="J46" s="23">
        <v>1302.0497184697215</v>
      </c>
      <c r="K46" s="23">
        <v>1173.3789709262878</v>
      </c>
      <c r="L46" s="23">
        <v>1134.5091578641341</v>
      </c>
      <c r="M46" s="23">
        <v>1181.1747019397408</v>
      </c>
      <c r="N46" s="23">
        <v>1391.8152146623147</v>
      </c>
      <c r="O46" s="23">
        <v>1424.0964095811012</v>
      </c>
      <c r="P46" s="23">
        <v>1485.7856222152304</v>
      </c>
      <c r="Q46" s="23">
        <v>1284.2293506203198</v>
      </c>
      <c r="R46" s="23">
        <v>1403.9278131634819</v>
      </c>
      <c r="S46" s="23">
        <v>1454.8</v>
      </c>
      <c r="T46" s="23">
        <v>1383.5932417246613</v>
      </c>
      <c r="U46" s="23">
        <v>1551.8278922822326</v>
      </c>
      <c r="V46" s="23">
        <v>1420.0098644108807</v>
      </c>
      <c r="W46" s="23">
        <v>1479.988066070573</v>
      </c>
      <c r="X46" s="23">
        <v>1481.108589001977</v>
      </c>
      <c r="Y46" s="23">
        <v>1392.5929830109455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1352.8097665345165</v>
      </c>
      <c r="E47" s="23">
        <v>1459.9649166424952</v>
      </c>
      <c r="F47" s="23">
        <v>1466.7759865922328</v>
      </c>
      <c r="G47" s="23">
        <v>1519.8801874486692</v>
      </c>
      <c r="H47" s="23">
        <v>1488.5286440445116</v>
      </c>
      <c r="I47" s="23">
        <v>1557.1999214196842</v>
      </c>
      <c r="J47" s="23">
        <v>1653.3505441435025</v>
      </c>
      <c r="K47" s="23">
        <v>1865.9429462576836</v>
      </c>
      <c r="L47" s="23">
        <v>1798.4300804341506</v>
      </c>
      <c r="M47" s="23">
        <v>1526.7366838577661</v>
      </c>
      <c r="N47" s="23">
        <v>1596.2842078835049</v>
      </c>
      <c r="O47" s="23">
        <v>1658.3365755843533</v>
      </c>
      <c r="P47" s="23">
        <v>1754.645934616907</v>
      </c>
      <c r="Q47" s="23">
        <v>1820.2139874208724</v>
      </c>
      <c r="R47" s="23">
        <v>1967.8874734607218</v>
      </c>
      <c r="S47" s="23">
        <v>2142.8000000000002</v>
      </c>
      <c r="T47" s="23">
        <v>2246.7125367190424</v>
      </c>
      <c r="U47" s="23">
        <v>2210.0195576952005</v>
      </c>
      <c r="V47" s="23">
        <v>2442.372297756312</v>
      </c>
      <c r="W47" s="23">
        <v>2533.1573380104696</v>
      </c>
      <c r="X47" s="23">
        <v>2425.2214981328257</v>
      </c>
      <c r="Y47" s="23">
        <v>2538.1682742142343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1583.9154238248066</v>
      </c>
      <c r="E48" s="23">
        <v>1554.5794831420324</v>
      </c>
      <c r="F48" s="23">
        <v>1450.9808649939112</v>
      </c>
      <c r="G48" s="23">
        <v>1553.0943523841731</v>
      </c>
      <c r="H48" s="23">
        <v>1730.5490680954344</v>
      </c>
      <c r="I48" s="23">
        <v>1745.6835396066617</v>
      </c>
      <c r="J48" s="23">
        <v>1961.5872521309504</v>
      </c>
      <c r="K48" s="23">
        <v>2063.2107666913084</v>
      </c>
      <c r="L48" s="23">
        <v>2094.5828084116679</v>
      </c>
      <c r="M48" s="23">
        <v>1383.6051197461006</v>
      </c>
      <c r="N48" s="23">
        <v>1540.6477529500376</v>
      </c>
      <c r="O48" s="23">
        <v>1731.1625215734393</v>
      </c>
      <c r="P48" s="23">
        <v>1703.5939387173059</v>
      </c>
      <c r="Q48" s="23">
        <v>1801.721247345479</v>
      </c>
      <c r="R48" s="23">
        <v>1879.0829658664054</v>
      </c>
      <c r="S48" s="23">
        <v>2055.6999999999998</v>
      </c>
      <c r="T48" s="23">
        <v>2137.2947183723359</v>
      </c>
      <c r="U48" s="23">
        <v>2201.9332029486986</v>
      </c>
      <c r="V48" s="23">
        <v>2434.4621569558058</v>
      </c>
      <c r="W48" s="23">
        <v>2389.8597763292319</v>
      </c>
      <c r="X48" s="23">
        <v>2217.2695321080764</v>
      </c>
      <c r="Y48" s="23">
        <v>2469.5620091709275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1244.7297212258511</v>
      </c>
      <c r="E49" s="23">
        <v>1332.4769679139215</v>
      </c>
      <c r="F49" s="23">
        <v>1250.3466486610318</v>
      </c>
      <c r="G49" s="23">
        <v>1740.0599062756653</v>
      </c>
      <c r="H49" s="23">
        <v>2066.103402482026</v>
      </c>
      <c r="I49" s="23">
        <v>2292.0350118961865</v>
      </c>
      <c r="J49" s="23">
        <v>2200.6097968085815</v>
      </c>
      <c r="K49" s="23">
        <v>1582.1932373998725</v>
      </c>
      <c r="L49" s="23">
        <v>1597.053978098653</v>
      </c>
      <c r="M49" s="23">
        <v>1506.9007996993298</v>
      </c>
      <c r="N49" s="23">
        <v>1497.2633693196083</v>
      </c>
      <c r="O49" s="23">
        <v>1959.8160396652002</v>
      </c>
      <c r="P49" s="23">
        <v>1628.3861276604382</v>
      </c>
      <c r="Q49" s="23">
        <v>1730.2904985927228</v>
      </c>
      <c r="R49" s="23">
        <v>1745.0596113016495</v>
      </c>
      <c r="S49" s="23">
        <v>1794.5</v>
      </c>
      <c r="T49" s="23">
        <v>1855.4699051712241</v>
      </c>
      <c r="U49" s="23">
        <v>2096.52850910185</v>
      </c>
      <c r="V49" s="23">
        <v>2044.2595642908325</v>
      </c>
      <c r="W49" s="23">
        <v>2051.3701416702079</v>
      </c>
      <c r="X49" s="23">
        <v>1928.0405652778795</v>
      </c>
      <c r="Y49" s="23">
        <v>1861.4171014951071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1220.1875275313071</v>
      </c>
      <c r="E50" s="23">
        <v>1034.9590463956683</v>
      </c>
      <c r="F50" s="23">
        <v>1171.1298937747929</v>
      </c>
      <c r="G50" s="23">
        <v>1410.3338325522971</v>
      </c>
      <c r="H50" s="23">
        <v>1697.8064752484315</v>
      </c>
      <c r="I50" s="23">
        <v>1923.7989217034465</v>
      </c>
      <c r="J50" s="23">
        <v>1746.3779404891727</v>
      </c>
      <c r="K50" s="23">
        <v>1881.5380408915535</v>
      </c>
      <c r="L50" s="23">
        <v>1724.1011725942437</v>
      </c>
      <c r="M50" s="23">
        <v>702.39909798926772</v>
      </c>
      <c r="N50" s="23">
        <v>773.08561385890027</v>
      </c>
      <c r="O50" s="23">
        <v>755.19508374983786</v>
      </c>
      <c r="P50" s="23">
        <v>780.80120170105658</v>
      </c>
      <c r="Q50" s="23">
        <v>800.87789711127141</v>
      </c>
      <c r="R50" s="23">
        <v>952.55593663236971</v>
      </c>
      <c r="S50" s="23">
        <v>947.6</v>
      </c>
      <c r="T50" s="23">
        <v>1004.179563511622</v>
      </c>
      <c r="U50" s="23">
        <v>1007.3153302241612</v>
      </c>
      <c r="V50" s="23">
        <v>1130.2195296723341</v>
      </c>
      <c r="W50" s="23">
        <v>1233.9863844714264</v>
      </c>
      <c r="X50" s="23">
        <v>1350.223328695907</v>
      </c>
      <c r="Y50" s="23">
        <v>1462.2533776067746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721.63488767226727</v>
      </c>
      <c r="E51" s="23">
        <v>765.75643309990471</v>
      </c>
      <c r="F51" s="23">
        <v>818.69370727178466</v>
      </c>
      <c r="G51" s="23">
        <v>810.78796077105164</v>
      </c>
      <c r="H51" s="23">
        <v>845.35421532261762</v>
      </c>
      <c r="I51" s="23">
        <v>940.89014035317484</v>
      </c>
      <c r="J51" s="23">
        <v>1009.1692074867025</v>
      </c>
      <c r="K51" s="23">
        <v>1053.4790225723805</v>
      </c>
      <c r="L51" s="23">
        <v>1111.5418160674485</v>
      </c>
      <c r="M51" s="23">
        <v>2186.5408306015493</v>
      </c>
      <c r="N51" s="23">
        <v>2314.7376349485312</v>
      </c>
      <c r="O51" s="23">
        <v>2511.9963287742294</v>
      </c>
      <c r="P51" s="23">
        <v>2821.6630974250711</v>
      </c>
      <c r="Q51" s="23">
        <v>2574.9616428056124</v>
      </c>
      <c r="R51" s="23">
        <v>2710.9872611464966</v>
      </c>
      <c r="S51" s="23">
        <v>3059.6</v>
      </c>
      <c r="T51" s="23">
        <v>2023.7367663584569</v>
      </c>
      <c r="U51" s="23">
        <v>1859.0153452685422</v>
      </c>
      <c r="V51" s="23">
        <v>1697.0509133886114</v>
      </c>
      <c r="W51" s="23">
        <v>1542.3699698939508</v>
      </c>
      <c r="X51" s="23">
        <v>1428.3883722633082</v>
      </c>
      <c r="Y51" s="23">
        <v>1396.7216570916567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2079.6362721037067</v>
      </c>
      <c r="E52" s="23">
        <v>1904.99868782718</v>
      </c>
      <c r="F52" s="23">
        <v>1926.1608208640293</v>
      </c>
      <c r="G52" s="23">
        <v>2263.032030532876</v>
      </c>
      <c r="H52" s="23">
        <v>2296.5608829051612</v>
      </c>
      <c r="I52" s="23">
        <v>2574.7058695130204</v>
      </c>
      <c r="J52" s="23">
        <v>3270.4248547837892</v>
      </c>
      <c r="K52" s="23">
        <v>3611.4796099201008</v>
      </c>
      <c r="L52" s="23">
        <v>3444.0352747359243</v>
      </c>
      <c r="M52" s="23">
        <v>2595.0556448750335</v>
      </c>
      <c r="N52" s="23">
        <v>3203.1132312327391</v>
      </c>
      <c r="O52" s="23">
        <v>3053.9011761889083</v>
      </c>
      <c r="P52" s="23">
        <v>2760.3601043368822</v>
      </c>
      <c r="Q52" s="23">
        <v>3509.4546673846999</v>
      </c>
      <c r="R52" s="23">
        <v>4042.9528009145843</v>
      </c>
      <c r="S52" s="23">
        <v>4676.1000000000004</v>
      </c>
      <c r="T52" s="23">
        <v>4998.2256569997835</v>
      </c>
      <c r="U52" s="23">
        <v>4737.6636076425457</v>
      </c>
      <c r="V52" s="23">
        <v>4853.383213750617</v>
      </c>
      <c r="W52" s="23">
        <v>4637.2356679836184</v>
      </c>
      <c r="X52" s="23">
        <v>4108.3327231456406</v>
      </c>
      <c r="Y52" s="23">
        <v>3700.5217941284991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659.1781511547415</v>
      </c>
      <c r="E53" s="23">
        <v>696.83282918270015</v>
      </c>
      <c r="F53" s="23">
        <v>743.93816993622568</v>
      </c>
      <c r="G53" s="23">
        <v>745.20508237112517</v>
      </c>
      <c r="H53" s="23">
        <v>777.23588405001647</v>
      </c>
      <c r="I53" s="23">
        <v>767.5768886560727</v>
      </c>
      <c r="J53" s="23">
        <v>809.20481605947134</v>
      </c>
      <c r="K53" s="23">
        <v>818.84373512641832</v>
      </c>
      <c r="L53" s="23">
        <v>853.66799108439591</v>
      </c>
      <c r="M53" s="23">
        <v>926.96218654083168</v>
      </c>
      <c r="N53" s="23">
        <v>970.12302284710313</v>
      </c>
      <c r="O53" s="23">
        <v>971.77745188998597</v>
      </c>
      <c r="P53" s="23">
        <v>1013.5292863885043</v>
      </c>
      <c r="Q53" s="23">
        <v>1073.8998343782041</v>
      </c>
      <c r="R53" s="23">
        <v>1107.7086395557671</v>
      </c>
      <c r="S53" s="23">
        <v>1165.8999999999978</v>
      </c>
      <c r="T53" s="23">
        <v>1278.8084301007402</v>
      </c>
      <c r="U53" s="23">
        <v>1327.8546712802781</v>
      </c>
      <c r="V53" s="23">
        <v>1423.3600416910667</v>
      </c>
      <c r="W53" s="23">
        <v>1586.9413881329747</v>
      </c>
      <c r="X53" s="23">
        <v>1551.6767957823831</v>
      </c>
      <c r="Y53" s="23">
        <v>1623.8865756601554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15402.271726134291</v>
      </c>
      <c r="E54" s="30">
        <f t="shared" ref="E54:S54" si="4">SUM(E41:E53)</f>
        <v>15894.280307739033</v>
      </c>
      <c r="F54" s="30">
        <f t="shared" si="4"/>
        <v>16055.801391417592</v>
      </c>
      <c r="G54" s="30">
        <f t="shared" si="4"/>
        <v>16925.213778443394</v>
      </c>
      <c r="H54" s="30">
        <f t="shared" si="4"/>
        <v>18203.164354077951</v>
      </c>
      <c r="I54" s="30">
        <f t="shared" si="4"/>
        <v>18904.241154257539</v>
      </c>
      <c r="J54" s="30">
        <f t="shared" si="4"/>
        <v>20186.388623061008</v>
      </c>
      <c r="K54" s="30">
        <f t="shared" si="4"/>
        <v>19763.136841892057</v>
      </c>
      <c r="L54" s="30">
        <f t="shared" si="4"/>
        <v>19176.858222695988</v>
      </c>
      <c r="M54" s="30">
        <f t="shared" si="4"/>
        <v>16919.069592633579</v>
      </c>
      <c r="N54" s="30">
        <f t="shared" si="4"/>
        <v>18114.185287471759</v>
      </c>
      <c r="O54" s="30">
        <f t="shared" si="4"/>
        <v>18789.592873033453</v>
      </c>
      <c r="P54" s="30">
        <f t="shared" si="4"/>
        <v>18795.051102743411</v>
      </c>
      <c r="Q54" s="30">
        <f t="shared" si="4"/>
        <v>19441.051850798132</v>
      </c>
      <c r="R54" s="30">
        <f t="shared" si="4"/>
        <v>21084.231585823938</v>
      </c>
      <c r="S54" s="30">
        <f t="shared" si="4"/>
        <v>22801.100000000002</v>
      </c>
      <c r="T54" s="30">
        <f t="shared" ref="T54:Y54" si="5">SUM(T41:T53)</f>
        <v>22467.913964079406</v>
      </c>
      <c r="U54" s="30">
        <f t="shared" si="5"/>
        <v>22844.234241010981</v>
      </c>
      <c r="V54" s="30">
        <f t="shared" si="5"/>
        <v>23427.696660059348</v>
      </c>
      <c r="W54" s="30">
        <f t="shared" si="5"/>
        <v>23098.482040340303</v>
      </c>
      <c r="X54" s="30">
        <f t="shared" si="5"/>
        <v>21850.699275097024</v>
      </c>
      <c r="Y54" s="30">
        <f t="shared" si="5"/>
        <v>22633.742686976238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2241.9923226983828</v>
      </c>
      <c r="E56" s="19">
        <v>2487.4652964819957</v>
      </c>
      <c r="F56" s="19">
        <v>2656.8359115955486</v>
      </c>
      <c r="G56" s="19">
        <v>2443.3547514372672</v>
      </c>
      <c r="H56" s="19">
        <v>2452.1454412236112</v>
      </c>
      <c r="I56" s="19">
        <v>2245.6507978084824</v>
      </c>
      <c r="J56" s="19">
        <v>2279.9501479981304</v>
      </c>
      <c r="K56" s="19">
        <v>2059.8689606983362</v>
      </c>
      <c r="L56" s="19">
        <v>1888.0705494718482</v>
      </c>
      <c r="M56" s="19">
        <v>2179.441672060635</v>
      </c>
      <c r="N56" s="19">
        <v>1968.7672608586493</v>
      </c>
      <c r="O56" s="19">
        <v>1871.7265734893604</v>
      </c>
      <c r="P56" s="19">
        <v>1835.0299917789032</v>
      </c>
      <c r="Q56" s="19">
        <v>2003.6172612455166</v>
      </c>
      <c r="R56" s="19">
        <v>2073.1259186673201</v>
      </c>
      <c r="S56" s="19">
        <v>2102.9</v>
      </c>
      <c r="T56" s="19">
        <v>2147.1521794846517</v>
      </c>
      <c r="U56" s="19">
        <v>2145.0466375808637</v>
      </c>
      <c r="V56" s="19">
        <v>2297.5701908670444</v>
      </c>
      <c r="W56" s="19">
        <v>2244.8444520789449</v>
      </c>
      <c r="X56" s="19">
        <v>2230.9072270630445</v>
      </c>
      <c r="Y56" s="19">
        <v>2243.6269084137107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1107.3878295890756</v>
      </c>
      <c r="E57" s="23">
        <v>1131.9217116258512</v>
      </c>
      <c r="F57" s="23">
        <v>981.82958148956436</v>
      </c>
      <c r="G57" s="23">
        <v>819.72559060824187</v>
      </c>
      <c r="H57" s="23">
        <v>752.9651508906901</v>
      </c>
      <c r="I57" s="23">
        <v>630.71617226551416</v>
      </c>
      <c r="J57" s="23">
        <v>638.39494358266757</v>
      </c>
      <c r="K57" s="23">
        <v>557.17019919189067</v>
      </c>
      <c r="L57" s="23">
        <v>493.74939432115514</v>
      </c>
      <c r="M57" s="23">
        <v>438.16424112083183</v>
      </c>
      <c r="N57" s="23">
        <v>422.19432588501127</v>
      </c>
      <c r="O57" s="23">
        <v>461.39726054729198</v>
      </c>
      <c r="P57" s="23">
        <v>450.84088625452921</v>
      </c>
      <c r="Q57" s="23">
        <v>457.74612109696494</v>
      </c>
      <c r="R57" s="23">
        <v>464.94773803690998</v>
      </c>
      <c r="S57" s="23">
        <v>454.3</v>
      </c>
      <c r="T57" s="23">
        <v>467.83510439051321</v>
      </c>
      <c r="U57" s="23">
        <v>472.29953362419133</v>
      </c>
      <c r="V57" s="23">
        <v>483.82143555096462</v>
      </c>
      <c r="W57" s="23">
        <v>472.47511504488784</v>
      </c>
      <c r="X57" s="23">
        <v>400.80178662956723</v>
      </c>
      <c r="Y57" s="23">
        <v>406.10341010910241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343.74803347806937</v>
      </c>
      <c r="E58" s="23">
        <v>365.88903161645874</v>
      </c>
      <c r="F58" s="23">
        <v>320.84594330636514</v>
      </c>
      <c r="G58" s="23">
        <v>313.6624957727426</v>
      </c>
      <c r="H58" s="23">
        <v>325.47969043366766</v>
      </c>
      <c r="I58" s="23">
        <v>294.89446227053458</v>
      </c>
      <c r="J58" s="23">
        <v>291.54518950437318</v>
      </c>
      <c r="K58" s="23">
        <v>297.92706761587459</v>
      </c>
      <c r="L58" s="23">
        <v>291.59802306425036</v>
      </c>
      <c r="M58" s="23">
        <v>225.50268306433091</v>
      </c>
      <c r="N58" s="23">
        <v>224.6547828270148</v>
      </c>
      <c r="O58" s="23">
        <v>220.17378465467533</v>
      </c>
      <c r="P58" s="23">
        <v>215.47393100368427</v>
      </c>
      <c r="Q58" s="23">
        <v>220.69357936128921</v>
      </c>
      <c r="R58" s="23">
        <v>235.99542707822962</v>
      </c>
      <c r="S58" s="23">
        <v>249.3</v>
      </c>
      <c r="T58" s="23">
        <v>254.51964591999686</v>
      </c>
      <c r="U58" s="23">
        <v>265.34526854219951</v>
      </c>
      <c r="V58" s="23">
        <v>278.43695617781998</v>
      </c>
      <c r="W58" s="23">
        <v>291.0251426194975</v>
      </c>
      <c r="X58" s="23">
        <v>297.2834443874936</v>
      </c>
      <c r="Y58" s="23">
        <v>373.33754985154343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243.21943238310993</v>
      </c>
      <c r="E59" s="23">
        <v>301.52350170582469</v>
      </c>
      <c r="F59" s="23">
        <v>300.58960415737249</v>
      </c>
      <c r="G59" s="23">
        <v>298.80670563795348</v>
      </c>
      <c r="H59" s="23">
        <v>271.21399459632732</v>
      </c>
      <c r="I59" s="23">
        <v>258.11450898216663</v>
      </c>
      <c r="J59" s="23">
        <v>251.81937551465515</v>
      </c>
      <c r="K59" s="23">
        <v>276.05342838914828</v>
      </c>
      <c r="L59" s="23">
        <v>265.91724004263978</v>
      </c>
      <c r="M59" s="23">
        <v>266.53164345520224</v>
      </c>
      <c r="N59" s="23">
        <v>293.7484308310319</v>
      </c>
      <c r="O59" s="23">
        <v>293.49853849300172</v>
      </c>
      <c r="P59" s="23">
        <v>303.06413470419278</v>
      </c>
      <c r="Q59" s="23">
        <v>321.99721592814245</v>
      </c>
      <c r="R59" s="23">
        <v>356.23877184386737</v>
      </c>
      <c r="S59" s="23">
        <v>365.7</v>
      </c>
      <c r="T59" s="23">
        <v>411.35185221694303</v>
      </c>
      <c r="U59" s="23">
        <v>405.54009327516172</v>
      </c>
      <c r="V59" s="23">
        <v>433.84795778776629</v>
      </c>
      <c r="W59" s="23">
        <v>472.74634071368519</v>
      </c>
      <c r="X59" s="23">
        <v>462.67481877425496</v>
      </c>
      <c r="Y59" s="23">
        <v>441.76812663609695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319.04851802907297</v>
      </c>
      <c r="E60" s="23">
        <v>355.39164905592617</v>
      </c>
      <c r="F60" s="23">
        <v>376.06858217683293</v>
      </c>
      <c r="G60" s="23">
        <v>355.57273298226977</v>
      </c>
      <c r="H60" s="23">
        <v>363.1451206667582</v>
      </c>
      <c r="I60" s="23">
        <v>365.94416432017101</v>
      </c>
      <c r="J60" s="23">
        <v>350.0767809850222</v>
      </c>
      <c r="K60" s="23">
        <v>354.73776949639989</v>
      </c>
      <c r="L60" s="23">
        <v>314.46845624576036</v>
      </c>
      <c r="M60" s="23">
        <v>265.07005199089633</v>
      </c>
      <c r="N60" s="23">
        <v>257.6952046196335</v>
      </c>
      <c r="O60" s="23">
        <v>268.95719231037828</v>
      </c>
      <c r="P60" s="23">
        <v>259.31978036477307</v>
      </c>
      <c r="Q60" s="23">
        <v>270.58333418007049</v>
      </c>
      <c r="R60" s="23">
        <v>261.92226032990362</v>
      </c>
      <c r="S60" s="23">
        <v>264.8</v>
      </c>
      <c r="T60" s="23">
        <v>249.88663919720841</v>
      </c>
      <c r="U60" s="23">
        <v>266.56762449225215</v>
      </c>
      <c r="V60" s="23">
        <v>263.54727937686687</v>
      </c>
      <c r="W60" s="23">
        <v>259.56296503901149</v>
      </c>
      <c r="X60" s="23">
        <v>235.59346855092633</v>
      </c>
      <c r="Y60" s="23">
        <v>279.16864315957781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762.22390032093642</v>
      </c>
      <c r="E61" s="23">
        <v>779.98314893852137</v>
      </c>
      <c r="F61" s="23">
        <v>955.06227618553839</v>
      </c>
      <c r="G61" s="23">
        <v>911.39668583023331</v>
      </c>
      <c r="H61" s="23">
        <v>1365.9156477538122</v>
      </c>
      <c r="I61" s="23">
        <v>1504.4856263505992</v>
      </c>
      <c r="J61" s="23">
        <v>1689.9606080163799</v>
      </c>
      <c r="K61" s="23">
        <v>1334.4945265268509</v>
      </c>
      <c r="L61" s="23">
        <v>1451.4003294892916</v>
      </c>
      <c r="M61" s="23">
        <v>1083.1436744409411</v>
      </c>
      <c r="N61" s="23">
        <v>1159.0258599045944</v>
      </c>
      <c r="O61" s="23">
        <v>1052.6840850367621</v>
      </c>
      <c r="P61" s="23">
        <v>1137.7591929115877</v>
      </c>
      <c r="Q61" s="23">
        <v>840.30198034892339</v>
      </c>
      <c r="R61" s="23">
        <v>925.71043606075455</v>
      </c>
      <c r="S61" s="23">
        <v>801.9</v>
      </c>
      <c r="T61" s="23">
        <v>751.53283520296509</v>
      </c>
      <c r="U61" s="23">
        <v>809.9518579810441</v>
      </c>
      <c r="V61" s="23">
        <v>828.14521157300135</v>
      </c>
      <c r="W61" s="23">
        <v>761.51126942653855</v>
      </c>
      <c r="X61" s="23">
        <v>473.01750018305626</v>
      </c>
      <c r="Y61" s="23">
        <v>765.29805513097563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664.21244729721229</v>
      </c>
      <c r="E62" s="23">
        <v>744.76166797883957</v>
      </c>
      <c r="F62" s="23">
        <v>670.8706608630647</v>
      </c>
      <c r="G62" s="23">
        <v>631.0691337745784</v>
      </c>
      <c r="H62" s="23">
        <v>658.74433301277645</v>
      </c>
      <c r="I62" s="23">
        <v>626.89629581123256</v>
      </c>
      <c r="J62" s="23">
        <v>731.86744708788638</v>
      </c>
      <c r="K62" s="23">
        <v>832.81856018795133</v>
      </c>
      <c r="L62" s="23">
        <v>713.73195077042351</v>
      </c>
      <c r="M62" s="23">
        <v>451.84056125112227</v>
      </c>
      <c r="N62" s="23">
        <v>501.02937484308308</v>
      </c>
      <c r="O62" s="23">
        <v>554.87385149492718</v>
      </c>
      <c r="P62" s="23">
        <v>644.79787266434573</v>
      </c>
      <c r="Q62" s="23">
        <v>730.46323297804236</v>
      </c>
      <c r="R62" s="23">
        <v>956.12853176547435</v>
      </c>
      <c r="S62" s="23">
        <v>1265.2</v>
      </c>
      <c r="T62" s="23">
        <v>1257.6148887092641</v>
      </c>
      <c r="U62" s="23">
        <v>1487.3251090717617</v>
      </c>
      <c r="V62" s="23">
        <v>1397.2100468094216</v>
      </c>
      <c r="W62" s="23">
        <v>1141.408022855283</v>
      </c>
      <c r="X62" s="23">
        <v>1260.1596251006811</v>
      </c>
      <c r="Y62" s="23">
        <v>1679.3162212969307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858.34749229123406</v>
      </c>
      <c r="E63" s="23">
        <v>977.7759361317145</v>
      </c>
      <c r="F63" s="23">
        <v>965.67273954929647</v>
      </c>
      <c r="G63" s="23">
        <v>1109.2323300642543</v>
      </c>
      <c r="H63" s="23">
        <v>1111.4164033521088</v>
      </c>
      <c r="I63" s="23">
        <v>1175.6488333005914</v>
      </c>
      <c r="J63" s="23">
        <v>1302.0497184697215</v>
      </c>
      <c r="K63" s="23">
        <v>1173.3789709262878</v>
      </c>
      <c r="L63" s="23">
        <v>1134.5091578641341</v>
      </c>
      <c r="M63" s="23">
        <v>1181.1747019397408</v>
      </c>
      <c r="N63" s="23">
        <v>1391.8152146623147</v>
      </c>
      <c r="O63" s="23">
        <v>1424.0964095811012</v>
      </c>
      <c r="P63" s="23">
        <v>1485.7856222152304</v>
      </c>
      <c r="Q63" s="23">
        <v>1284.2293506203198</v>
      </c>
      <c r="R63" s="23">
        <v>1403.9278131634819</v>
      </c>
      <c r="S63" s="23">
        <v>1454.8</v>
      </c>
      <c r="T63" s="23">
        <v>1383.5932417246613</v>
      </c>
      <c r="U63" s="23">
        <v>1551.8278922822326</v>
      </c>
      <c r="V63" s="23">
        <v>1420.0098644108807</v>
      </c>
      <c r="W63" s="23">
        <v>1479.988066070573</v>
      </c>
      <c r="X63" s="23">
        <v>1481.108589001977</v>
      </c>
      <c r="Y63" s="23">
        <v>1392.5929830109455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605.21678937763511</v>
      </c>
      <c r="E64" s="23">
        <v>691.72226135720109</v>
      </c>
      <c r="F64" s="23">
        <v>710.05703124058027</v>
      </c>
      <c r="G64" s="23">
        <v>749.07000338180592</v>
      </c>
      <c r="H64" s="23">
        <v>760.86458762650545</v>
      </c>
      <c r="I64" s="23">
        <v>786.89454958199633</v>
      </c>
      <c r="J64" s="23">
        <v>792.29074399661715</v>
      </c>
      <c r="K64" s="23">
        <v>881.42664735845426</v>
      </c>
      <c r="L64" s="23">
        <v>873.6311658106406</v>
      </c>
      <c r="M64" s="23">
        <v>884.47163468565338</v>
      </c>
      <c r="N64" s="23">
        <v>980.06527742907349</v>
      </c>
      <c r="O64" s="23">
        <v>1075.7290076716647</v>
      </c>
      <c r="P64" s="23">
        <v>1199.9756411947994</v>
      </c>
      <c r="Q64" s="23">
        <v>1216.2532895739557</v>
      </c>
      <c r="R64" s="23">
        <v>1320.5332353421525</v>
      </c>
      <c r="S64" s="23">
        <v>1426.8</v>
      </c>
      <c r="T64" s="23">
        <v>1510.6559154624135</v>
      </c>
      <c r="U64" s="23">
        <v>1445.294869866105</v>
      </c>
      <c r="V64" s="23">
        <v>1626.6971905041087</v>
      </c>
      <c r="W64" s="23">
        <v>1646.7014438246435</v>
      </c>
      <c r="X64" s="23">
        <v>1626.3637694954969</v>
      </c>
      <c r="Y64" s="23">
        <v>1650.679035120083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747.59297715688137</v>
      </c>
      <c r="E65" s="23">
        <v>768.24265528529406</v>
      </c>
      <c r="F65" s="23">
        <v>756.71895535165254</v>
      </c>
      <c r="G65" s="23">
        <v>770.81018406686326</v>
      </c>
      <c r="H65" s="23">
        <v>727.66405641800611</v>
      </c>
      <c r="I65" s="23">
        <v>770.30537183768786</v>
      </c>
      <c r="J65" s="23">
        <v>861.05980014688532</v>
      </c>
      <c r="K65" s="23">
        <v>984.51629889922935</v>
      </c>
      <c r="L65" s="23">
        <v>924.79891462350997</v>
      </c>
      <c r="M65" s="23">
        <v>642.26504917211275</v>
      </c>
      <c r="N65" s="23">
        <v>616.21893045443142</v>
      </c>
      <c r="O65" s="23">
        <v>582.60756791268864</v>
      </c>
      <c r="P65" s="23">
        <v>554.67029342210753</v>
      </c>
      <c r="Q65" s="23">
        <v>603.96069784691667</v>
      </c>
      <c r="R65" s="23">
        <v>647.35423811856936</v>
      </c>
      <c r="S65" s="23">
        <v>716.00000000000023</v>
      </c>
      <c r="T65" s="23">
        <v>736.05662125662889</v>
      </c>
      <c r="U65" s="23">
        <v>764.7246878290955</v>
      </c>
      <c r="V65" s="23">
        <v>815.67510725220336</v>
      </c>
      <c r="W65" s="23">
        <v>886.45589418582608</v>
      </c>
      <c r="X65" s="23">
        <v>798.85772863732882</v>
      </c>
      <c r="Y65" s="23">
        <v>887.48923909415134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466.93096721414639</v>
      </c>
      <c r="E66" s="23">
        <v>426.52522824900893</v>
      </c>
      <c r="F66" s="23">
        <v>345.56350000602873</v>
      </c>
      <c r="G66" s="23">
        <v>483.71902024252375</v>
      </c>
      <c r="H66" s="23">
        <v>593.25914731877094</v>
      </c>
      <c r="I66" s="23">
        <v>568.39761639709241</v>
      </c>
      <c r="J66" s="23">
        <v>699.37462444083417</v>
      </c>
      <c r="K66" s="23">
        <v>665.52572684280346</v>
      </c>
      <c r="L66" s="23">
        <v>695.02858804147695</v>
      </c>
      <c r="M66" s="23">
        <v>290.54350322594115</v>
      </c>
      <c r="N66" s="23">
        <v>419.08109465227216</v>
      </c>
      <c r="O66" s="23">
        <v>454.71323536747173</v>
      </c>
      <c r="P66" s="23">
        <v>399.68739533325891</v>
      </c>
      <c r="Q66" s="23">
        <v>430.616661755591</v>
      </c>
      <c r="R66" s="23">
        <v>486.89367956883876</v>
      </c>
      <c r="S66" s="23">
        <v>572.6</v>
      </c>
      <c r="T66" s="23">
        <v>607.71247757427602</v>
      </c>
      <c r="U66" s="23">
        <v>678.21949751767715</v>
      </c>
      <c r="V66" s="23">
        <v>735.55003396707525</v>
      </c>
      <c r="W66" s="23">
        <v>617.03839651384612</v>
      </c>
      <c r="X66" s="23">
        <v>528.30050523541047</v>
      </c>
      <c r="Y66" s="23">
        <v>593.82631458739615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1116.9844566106601</v>
      </c>
      <c r="E67" s="23">
        <v>1128.0542548930234</v>
      </c>
      <c r="F67" s="23">
        <v>1105.4173649878824</v>
      </c>
      <c r="G67" s="23">
        <v>1069.3753321416493</v>
      </c>
      <c r="H67" s="23">
        <v>1137.2899207766636</v>
      </c>
      <c r="I67" s="23">
        <v>1177.2859232095693</v>
      </c>
      <c r="J67" s="23">
        <v>1262.2126276901163</v>
      </c>
      <c r="K67" s="23">
        <v>1397.6850398485049</v>
      </c>
      <c r="L67" s="23">
        <v>1399.5542203701909</v>
      </c>
      <c r="M67" s="23">
        <v>1093.0616165201595</v>
      </c>
      <c r="N67" s="23">
        <v>1121.5666582977653</v>
      </c>
      <c r="O67" s="23">
        <v>1276.4492862059676</v>
      </c>
      <c r="P67" s="23">
        <v>1303.9065433840469</v>
      </c>
      <c r="Q67" s="23">
        <v>1371.1045855898881</v>
      </c>
      <c r="R67" s="23">
        <v>1392.1892862975667</v>
      </c>
      <c r="S67" s="23">
        <v>1483.1</v>
      </c>
      <c r="T67" s="23">
        <v>1529.58224079806</v>
      </c>
      <c r="U67" s="23">
        <v>1523.7137054310215</v>
      </c>
      <c r="V67" s="23">
        <v>1698.9121229887305</v>
      </c>
      <c r="W67" s="23">
        <v>1772.8213798153856</v>
      </c>
      <c r="X67" s="23">
        <v>1688.9690268726658</v>
      </c>
      <c r="Y67" s="23">
        <v>1875.7356945835313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1244.7297212258511</v>
      </c>
      <c r="E68" s="23">
        <v>1332.4769679139215</v>
      </c>
      <c r="F68" s="23">
        <v>1250.3466486610318</v>
      </c>
      <c r="G68" s="23">
        <v>1740.0599062756653</v>
      </c>
      <c r="H68" s="23">
        <v>2066.103402482026</v>
      </c>
      <c r="I68" s="23">
        <v>2292.0350118961865</v>
      </c>
      <c r="J68" s="23">
        <v>2200.6097968085815</v>
      </c>
      <c r="K68" s="23">
        <v>1582.1932373998725</v>
      </c>
      <c r="L68" s="23">
        <v>1597.053978098653</v>
      </c>
      <c r="M68" s="23">
        <v>1506.9007996993298</v>
      </c>
      <c r="N68" s="23">
        <v>1497.2633693196083</v>
      </c>
      <c r="O68" s="23">
        <v>1959.8160396652002</v>
      </c>
      <c r="P68" s="23">
        <v>1628.3861276604382</v>
      </c>
      <c r="Q68" s="23">
        <v>1730.2904985927228</v>
      </c>
      <c r="R68" s="23">
        <v>1745.0596113016495</v>
      </c>
      <c r="S68" s="23">
        <v>1794.5</v>
      </c>
      <c r="T68" s="23">
        <v>1855.4699051712241</v>
      </c>
      <c r="U68" s="23">
        <v>2096.52850910185</v>
      </c>
      <c r="V68" s="23">
        <v>2044.2595642908325</v>
      </c>
      <c r="W68" s="23">
        <v>2051.3701416702079</v>
      </c>
      <c r="X68" s="23">
        <v>1928.0405652778795</v>
      </c>
      <c r="Y68" s="23">
        <v>1861.4171014951071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1220.1875275313071</v>
      </c>
      <c r="E69" s="23">
        <v>1034.9590463956683</v>
      </c>
      <c r="F69" s="23">
        <v>1171.1298937747929</v>
      </c>
      <c r="G69" s="23">
        <v>1410.3338325522971</v>
      </c>
      <c r="H69" s="23">
        <v>1697.8064752484315</v>
      </c>
      <c r="I69" s="23">
        <v>1923.7989217034465</v>
      </c>
      <c r="J69" s="23">
        <v>1746.3779404891727</v>
      </c>
      <c r="K69" s="23">
        <v>1881.5380408915535</v>
      </c>
      <c r="L69" s="23">
        <v>1724.1011725942437</v>
      </c>
      <c r="M69" s="23">
        <v>702.39909798926772</v>
      </c>
      <c r="N69" s="23">
        <v>773.08561385890027</v>
      </c>
      <c r="O69" s="23">
        <v>755.19508374983786</v>
      </c>
      <c r="P69" s="23">
        <v>780.80120170105658</v>
      </c>
      <c r="Q69" s="23">
        <v>800.87789711127141</v>
      </c>
      <c r="R69" s="23">
        <v>952.55593663236971</v>
      </c>
      <c r="S69" s="23">
        <v>947.6</v>
      </c>
      <c r="T69" s="23">
        <v>1004.179563511622</v>
      </c>
      <c r="U69" s="23">
        <v>1007.3153302241612</v>
      </c>
      <c r="V69" s="23">
        <v>1130.2195296723341</v>
      </c>
      <c r="W69" s="23">
        <v>1233.9863844714264</v>
      </c>
      <c r="X69" s="23">
        <v>1350.223328695907</v>
      </c>
      <c r="Y69" s="23">
        <v>1462.2533776067746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721.63488767226727</v>
      </c>
      <c r="E70" s="23">
        <v>765.75643309990471</v>
      </c>
      <c r="F70" s="23">
        <v>818.69370727178466</v>
      </c>
      <c r="G70" s="23">
        <v>810.78796077105164</v>
      </c>
      <c r="H70" s="23">
        <v>845.35421532261762</v>
      </c>
      <c r="I70" s="23">
        <v>940.89014035317484</v>
      </c>
      <c r="J70" s="23">
        <v>1009.1692074867025</v>
      </c>
      <c r="K70" s="23">
        <v>1053.4790225723805</v>
      </c>
      <c r="L70" s="23">
        <v>1111.5418160674485</v>
      </c>
      <c r="M70" s="23">
        <v>2186.5408306015493</v>
      </c>
      <c r="N70" s="23">
        <v>2314.7376349485312</v>
      </c>
      <c r="O70" s="23">
        <v>2511.9963287742294</v>
      </c>
      <c r="P70" s="23">
        <v>2821.6630974250711</v>
      </c>
      <c r="Q70" s="23">
        <v>2574.9616428056124</v>
      </c>
      <c r="R70" s="23">
        <v>2710.9872611464966</v>
      </c>
      <c r="S70" s="23">
        <v>3059.6</v>
      </c>
      <c r="T70" s="23">
        <v>2023.7367663584569</v>
      </c>
      <c r="U70" s="23">
        <v>1859.0153452685422</v>
      </c>
      <c r="V70" s="23">
        <v>1697.0509133886114</v>
      </c>
      <c r="W70" s="23">
        <v>1542.3699698939508</v>
      </c>
      <c r="X70" s="23">
        <v>1428.3883722633082</v>
      </c>
      <c r="Y70" s="23">
        <v>1396.7216570916567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2012.7745264615194</v>
      </c>
      <c r="E71" s="23">
        <v>1839.5281702785951</v>
      </c>
      <c r="F71" s="23">
        <v>1833.0781195365157</v>
      </c>
      <c r="G71" s="23">
        <v>2154.8142422339242</v>
      </c>
      <c r="H71" s="23">
        <v>2183.6790767962634</v>
      </c>
      <c r="I71" s="23">
        <v>2474.6251064108437</v>
      </c>
      <c r="J71" s="23">
        <v>3173.1689404224066</v>
      </c>
      <c r="K71" s="23">
        <v>3488.6429229663086</v>
      </c>
      <c r="L71" s="23">
        <v>3255.9356526795232</v>
      </c>
      <c r="M71" s="23">
        <v>2480.1119161464098</v>
      </c>
      <c r="N71" s="23">
        <v>3075.069043434597</v>
      </c>
      <c r="O71" s="23">
        <v>2916.0306866588853</v>
      </c>
      <c r="P71" s="23">
        <v>2635.8257127487896</v>
      </c>
      <c r="Q71" s="23">
        <v>3376.1443653027422</v>
      </c>
      <c r="R71" s="23">
        <v>3862.2815613261473</v>
      </c>
      <c r="S71" s="23">
        <v>4513.5</v>
      </c>
      <c r="T71" s="23">
        <v>4840.6048538138521</v>
      </c>
      <c r="U71" s="23">
        <v>4577.3469234241011</v>
      </c>
      <c r="V71" s="23">
        <v>4667.913677098747</v>
      </c>
      <c r="W71" s="23">
        <v>4403.5295500366155</v>
      </c>
      <c r="X71" s="23">
        <v>3883.1734641575754</v>
      </c>
      <c r="Y71" s="23">
        <v>3481.8777561095594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66.861745642187316</v>
      </c>
      <c r="E72" s="23">
        <v>65.470517548584894</v>
      </c>
      <c r="F72" s="23">
        <v>93.082701327513632</v>
      </c>
      <c r="G72" s="23">
        <v>108.21778829895175</v>
      </c>
      <c r="H72" s="23">
        <v>112.88180610889776</v>
      </c>
      <c r="I72" s="23">
        <v>100.08076310217666</v>
      </c>
      <c r="J72" s="23">
        <v>97.255914361382565</v>
      </c>
      <c r="K72" s="23">
        <v>122.8366869537922</v>
      </c>
      <c r="L72" s="23">
        <v>188.09962205640113</v>
      </c>
      <c r="M72" s="23">
        <v>114.94372872862368</v>
      </c>
      <c r="N72" s="23">
        <v>128.04418779814205</v>
      </c>
      <c r="O72" s="23">
        <v>137.87048953002295</v>
      </c>
      <c r="P72" s="23">
        <v>124.5343915880926</v>
      </c>
      <c r="Q72" s="23">
        <v>133.31030208195762</v>
      </c>
      <c r="R72" s="23">
        <v>180.67123958843695</v>
      </c>
      <c r="S72" s="23">
        <v>162.60000000000036</v>
      </c>
      <c r="T72" s="23">
        <v>157.62080318593144</v>
      </c>
      <c r="U72" s="23">
        <v>160.31668421844461</v>
      </c>
      <c r="V72" s="23">
        <v>185.46953665186993</v>
      </c>
      <c r="W72" s="23">
        <v>233.70611794700289</v>
      </c>
      <c r="X72" s="23">
        <v>225.15925898806518</v>
      </c>
      <c r="Y72" s="23">
        <v>218.64403801893968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412.65496192813544</v>
      </c>
      <c r="E73" s="23">
        <v>443.51441318250255</v>
      </c>
      <c r="F73" s="23">
        <v>456.73221843085719</v>
      </c>
      <c r="G73" s="23">
        <v>439.1516498381564</v>
      </c>
      <c r="H73" s="23">
        <v>454.61830837569266</v>
      </c>
      <c r="I73" s="23">
        <v>441.57771811494553</v>
      </c>
      <c r="J73" s="23">
        <v>479.93679478334411</v>
      </c>
      <c r="K73" s="23">
        <v>477.97952384327942</v>
      </c>
      <c r="L73" s="23">
        <v>494.33084601221049</v>
      </c>
      <c r="M73" s="23">
        <v>495.16630822875993</v>
      </c>
      <c r="N73" s="23">
        <v>528.64674868189809</v>
      </c>
      <c r="O73" s="23">
        <v>545.99507177844941</v>
      </c>
      <c r="P73" s="23">
        <v>582.37843433779562</v>
      </c>
      <c r="Q73" s="23">
        <v>629.56603025899994</v>
      </c>
      <c r="R73" s="23">
        <v>647.55838641188961</v>
      </c>
      <c r="S73" s="23">
        <v>727.7</v>
      </c>
      <c r="T73" s="23">
        <v>815.50775782189544</v>
      </c>
      <c r="U73" s="23">
        <v>793.30901158417328</v>
      </c>
      <c r="V73" s="23">
        <v>743.92547716761123</v>
      </c>
      <c r="W73" s="23">
        <v>827.41910694428122</v>
      </c>
      <c r="X73" s="23">
        <v>822.47199238485757</v>
      </c>
      <c r="Y73" s="23">
        <v>834.34354082116693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246.52318922660606</v>
      </c>
      <c r="E74" s="23">
        <v>253.3184160001976</v>
      </c>
      <c r="F74" s="23">
        <v>287.20595150536849</v>
      </c>
      <c r="G74" s="23">
        <v>306.05343253296877</v>
      </c>
      <c r="H74" s="23">
        <v>322.6175756743238</v>
      </c>
      <c r="I74" s="23">
        <v>325.99917054112717</v>
      </c>
      <c r="J74" s="23">
        <v>329.26802127612723</v>
      </c>
      <c r="K74" s="23">
        <v>340.8642112831389</v>
      </c>
      <c r="L74" s="23">
        <v>359.33714507218542</v>
      </c>
      <c r="M74" s="23">
        <v>431.79587831207175</v>
      </c>
      <c r="N74" s="23">
        <v>441.47627416520504</v>
      </c>
      <c r="O74" s="23">
        <v>425.78238011153655</v>
      </c>
      <c r="P74" s="23">
        <v>431.15085205070864</v>
      </c>
      <c r="Q74" s="23">
        <v>444.33380411920416</v>
      </c>
      <c r="R74" s="23">
        <v>460.15025314387753</v>
      </c>
      <c r="S74" s="23">
        <v>438.19999999999777</v>
      </c>
      <c r="T74" s="23">
        <v>463.30067227884479</v>
      </c>
      <c r="U74" s="23">
        <v>534.54565969610485</v>
      </c>
      <c r="V74" s="23">
        <v>679.43456452345549</v>
      </c>
      <c r="W74" s="23">
        <v>759.52228118869346</v>
      </c>
      <c r="X74" s="23">
        <v>729.20480339752555</v>
      </c>
      <c r="Y74" s="23">
        <v>789.54303483898843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15402.27172613429</v>
      </c>
      <c r="E75" s="30">
        <f t="shared" ref="E75:S75" si="6">SUM(E56:E74)</f>
        <v>15894.280307739034</v>
      </c>
      <c r="F75" s="30">
        <f t="shared" si="6"/>
        <v>16055.801391417592</v>
      </c>
      <c r="G75" s="30">
        <f t="shared" si="6"/>
        <v>16925.213778443398</v>
      </c>
      <c r="H75" s="30">
        <f t="shared" si="6"/>
        <v>18203.164354077951</v>
      </c>
      <c r="I75" s="30">
        <f t="shared" si="6"/>
        <v>18904.241154257539</v>
      </c>
      <c r="J75" s="30">
        <f t="shared" si="6"/>
        <v>20186.388623061008</v>
      </c>
      <c r="K75" s="30">
        <f t="shared" si="6"/>
        <v>19763.136841892057</v>
      </c>
      <c r="L75" s="30">
        <f t="shared" si="6"/>
        <v>19176.858222695988</v>
      </c>
      <c r="M75" s="30">
        <f t="shared" si="6"/>
        <v>16919.069592633579</v>
      </c>
      <c r="N75" s="30">
        <f t="shared" si="6"/>
        <v>18114.185287471759</v>
      </c>
      <c r="O75" s="30">
        <f t="shared" si="6"/>
        <v>18789.592873033449</v>
      </c>
      <c r="P75" s="30">
        <f t="shared" si="6"/>
        <v>18795.051102743411</v>
      </c>
      <c r="Q75" s="30">
        <f t="shared" si="6"/>
        <v>19441.051850798132</v>
      </c>
      <c r="R75" s="30">
        <f t="shared" si="6"/>
        <v>21084.231585823934</v>
      </c>
      <c r="S75" s="30">
        <f t="shared" si="6"/>
        <v>22801.100000000002</v>
      </c>
      <c r="T75" s="30">
        <f t="shared" ref="T75:Y75" si="7">SUM(T56:T74)</f>
        <v>22467.913964079406</v>
      </c>
      <c r="U75" s="30">
        <f t="shared" si="7"/>
        <v>22844.234241010981</v>
      </c>
      <c r="V75" s="30">
        <f t="shared" si="7"/>
        <v>23427.696660059348</v>
      </c>
      <c r="W75" s="30">
        <f t="shared" si="7"/>
        <v>23098.482040340303</v>
      </c>
      <c r="X75" s="30">
        <f t="shared" si="7"/>
        <v>21850.69927509702</v>
      </c>
      <c r="Y75" s="30">
        <f t="shared" si="7"/>
        <v>22633.742686976231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10221644</v>
      </c>
      <c r="E3" s="42">
        <v>10200298</v>
      </c>
      <c r="F3" s="42">
        <v>10174853</v>
      </c>
      <c r="G3" s="42">
        <v>10142362</v>
      </c>
      <c r="H3" s="42">
        <v>10116742</v>
      </c>
      <c r="I3" s="42">
        <v>10097549</v>
      </c>
      <c r="J3" s="42">
        <v>10076581</v>
      </c>
      <c r="K3" s="42">
        <v>10066158</v>
      </c>
      <c r="L3" s="42">
        <v>10045401</v>
      </c>
      <c r="M3" s="42">
        <v>10030975</v>
      </c>
      <c r="N3" s="42">
        <v>10014324</v>
      </c>
      <c r="O3" s="42">
        <v>9985722</v>
      </c>
      <c r="P3" s="42">
        <v>9931925</v>
      </c>
      <c r="Q3" s="42">
        <v>9908798</v>
      </c>
      <c r="R3" s="42">
        <v>9877365</v>
      </c>
      <c r="S3" s="42">
        <v>9855571</v>
      </c>
      <c r="T3" s="42">
        <v>9830485</v>
      </c>
      <c r="U3" s="42">
        <v>9797561</v>
      </c>
      <c r="V3" s="42">
        <v>9778371</v>
      </c>
      <c r="W3" s="42">
        <v>9772756</v>
      </c>
      <c r="X3" s="42">
        <v>9769526</v>
      </c>
      <c r="Y3" s="42">
        <v>9730772</v>
      </c>
    </row>
    <row r="4" spans="1:25" x14ac:dyDescent="0.25">
      <c r="A4" s="43" t="s">
        <v>239</v>
      </c>
      <c r="B4" s="44"/>
      <c r="C4" s="44"/>
      <c r="D4" s="45">
        <v>4009997</v>
      </c>
      <c r="E4" s="45">
        <v>4032644</v>
      </c>
      <c r="F4" s="45">
        <v>4054011</v>
      </c>
      <c r="G4" s="45">
        <v>4072884</v>
      </c>
      <c r="H4" s="45">
        <v>4094839</v>
      </c>
      <c r="I4" s="45">
        <v>4119767</v>
      </c>
      <c r="J4" s="45">
        <v>4124279</v>
      </c>
      <c r="K4" s="45">
        <v>4125632</v>
      </c>
      <c r="L4" s="45">
        <v>4125162</v>
      </c>
      <c r="M4" s="45">
        <v>4130758</v>
      </c>
      <c r="N4" s="45">
        <v>4140443</v>
      </c>
      <c r="O4" s="45">
        <v>4152413</v>
      </c>
      <c r="P4" s="45">
        <v>4164329</v>
      </c>
      <c r="Q4" s="45">
        <v>4187996</v>
      </c>
      <c r="R4" s="45">
        <v>4203134</v>
      </c>
      <c r="S4" s="45">
        <v>4228044</v>
      </c>
      <c r="T4" s="45">
        <v>4248265</v>
      </c>
      <c r="U4" s="45">
        <v>4246884</v>
      </c>
      <c r="V4" s="45">
        <v>4247111</v>
      </c>
      <c r="W4" s="45">
        <v>4247178</v>
      </c>
      <c r="X4" s="45">
        <v>4232897</v>
      </c>
      <c r="Y4" s="45">
        <v>4219762</v>
      </c>
    </row>
    <row r="5" spans="1:25" x14ac:dyDescent="0.25">
      <c r="A5" s="46" t="s">
        <v>240</v>
      </c>
      <c r="B5" s="47"/>
      <c r="C5" s="47"/>
      <c r="D5" s="48">
        <f>D3/D4</f>
        <v>2.5490403110027264</v>
      </c>
      <c r="E5" s="48">
        <f t="shared" ref="E5:S5" si="0">E3/E4</f>
        <v>2.5294318070228861</v>
      </c>
      <c r="F5" s="48">
        <f t="shared" si="0"/>
        <v>2.5098237276613209</v>
      </c>
      <c r="G5" s="48">
        <f t="shared" si="0"/>
        <v>2.490216269356063</v>
      </c>
      <c r="H5" s="48">
        <f t="shared" si="0"/>
        <v>2.4706080019263275</v>
      </c>
      <c r="I5" s="48">
        <f t="shared" si="0"/>
        <v>2.4510000201467705</v>
      </c>
      <c r="J5" s="48">
        <f t="shared" si="0"/>
        <v>2.4432345629381524</v>
      </c>
      <c r="K5" s="48">
        <f t="shared" si="0"/>
        <v>2.4399069039604115</v>
      </c>
      <c r="L5" s="48">
        <f t="shared" si="0"/>
        <v>2.4351530921694713</v>
      </c>
      <c r="M5" s="48">
        <f t="shared" si="0"/>
        <v>2.4283618164027039</v>
      </c>
      <c r="N5" s="48">
        <f t="shared" si="0"/>
        <v>2.4186600322719092</v>
      </c>
      <c r="O5" s="48">
        <f t="shared" si="0"/>
        <v>2.4047998115794358</v>
      </c>
      <c r="P5" s="48">
        <f t="shared" si="0"/>
        <v>2.385000080445133</v>
      </c>
      <c r="Q5" s="48">
        <f t="shared" si="0"/>
        <v>2.3659998720151596</v>
      </c>
      <c r="R5" s="48">
        <f t="shared" si="0"/>
        <v>2.3500000237917704</v>
      </c>
      <c r="S5" s="48">
        <f t="shared" si="0"/>
        <v>2.3310001031209704</v>
      </c>
      <c r="T5" s="48">
        <f t="shared" ref="T5:Y5" si="1">T3/T4</f>
        <v>2.3139999505680553</v>
      </c>
      <c r="U5" s="48">
        <f t="shared" si="1"/>
        <v>2.3069999086388986</v>
      </c>
      <c r="V5" s="48">
        <f t="shared" si="1"/>
        <v>2.3023582383413101</v>
      </c>
      <c r="W5" s="48">
        <f t="shared" si="1"/>
        <v>2.3009998639096358</v>
      </c>
      <c r="X5" s="48">
        <f t="shared" si="1"/>
        <v>2.3079999347964288</v>
      </c>
      <c r="Y5" s="48">
        <f t="shared" si="1"/>
        <v>2.3060001962195971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2502.9499999999998</v>
      </c>
      <c r="E8" s="42">
        <v>2856.12</v>
      </c>
      <c r="F8" s="42">
        <v>2650.18</v>
      </c>
      <c r="G8" s="42">
        <v>3110.57</v>
      </c>
      <c r="H8" s="42">
        <v>2892.42</v>
      </c>
      <c r="I8" s="42">
        <v>3042.39</v>
      </c>
      <c r="J8" s="42">
        <v>2825.8</v>
      </c>
      <c r="K8" s="42">
        <v>2572.6</v>
      </c>
      <c r="L8" s="42">
        <v>2553.4299999999998</v>
      </c>
      <c r="M8" s="42">
        <v>2618.66</v>
      </c>
      <c r="N8" s="42">
        <v>2950.73</v>
      </c>
      <c r="O8" s="42">
        <v>2815.26</v>
      </c>
      <c r="P8" s="42">
        <v>2768.77</v>
      </c>
      <c r="Q8" s="42">
        <v>2688.69</v>
      </c>
      <c r="R8" s="42">
        <v>2277.6799999999998</v>
      </c>
      <c r="S8" s="42">
        <v>2598.04</v>
      </c>
      <c r="T8" s="42">
        <v>2707.02</v>
      </c>
      <c r="U8" s="42">
        <v>2742.93</v>
      </c>
      <c r="V8" s="42">
        <v>2468.6999999999998</v>
      </c>
      <c r="W8" s="42">
        <v>2381.2199999999998</v>
      </c>
      <c r="X8" s="42">
        <v>2546.56</v>
      </c>
      <c r="Y8" s="42">
        <v>2803.43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2693.8438095238093</v>
      </c>
      <c r="E9" s="45">
        <f t="shared" si="2"/>
        <v>2693.8438095238093</v>
      </c>
      <c r="F9" s="45">
        <f t="shared" si="2"/>
        <v>2693.8438095238093</v>
      </c>
      <c r="G9" s="45">
        <f t="shared" si="2"/>
        <v>2693.8438095238093</v>
      </c>
      <c r="H9" s="45">
        <f t="shared" si="2"/>
        <v>2693.8438095238093</v>
      </c>
      <c r="I9" s="45">
        <f t="shared" si="2"/>
        <v>2693.8438095238093</v>
      </c>
      <c r="J9" s="45">
        <f t="shared" si="2"/>
        <v>2693.8438095238093</v>
      </c>
      <c r="K9" s="45">
        <f t="shared" si="2"/>
        <v>2693.8438095238093</v>
      </c>
      <c r="L9" s="45">
        <f t="shared" si="2"/>
        <v>2693.8438095238093</v>
      </c>
      <c r="M9" s="45">
        <f t="shared" si="2"/>
        <v>2693.8438095238093</v>
      </c>
      <c r="N9" s="45">
        <f t="shared" si="2"/>
        <v>2693.8438095238093</v>
      </c>
      <c r="O9" s="45">
        <f t="shared" si="2"/>
        <v>2693.8438095238093</v>
      </c>
      <c r="P9" s="45">
        <f t="shared" si="2"/>
        <v>2693.8438095238093</v>
      </c>
      <c r="Q9" s="45">
        <f t="shared" si="2"/>
        <v>2693.8438095238093</v>
      </c>
      <c r="R9" s="45">
        <f t="shared" si="2"/>
        <v>2693.8438095238093</v>
      </c>
      <c r="S9" s="45">
        <f t="shared" si="2"/>
        <v>2693.8438095238093</v>
      </c>
      <c r="T9" s="45">
        <f t="shared" si="2"/>
        <v>2693.8438095238093</v>
      </c>
      <c r="U9" s="45">
        <f t="shared" si="2"/>
        <v>2693.8438095238093</v>
      </c>
      <c r="V9" s="45">
        <f t="shared" si="2"/>
        <v>2693.8438095238093</v>
      </c>
      <c r="W9" s="45">
        <f t="shared" si="2"/>
        <v>2693.8438095238093</v>
      </c>
      <c r="X9" s="45">
        <f>AVERAGE($D8:$X8)</f>
        <v>2693.8438095238093</v>
      </c>
      <c r="Y9" s="45">
        <f t="shared" ref="Y9" si="3">AVERAGE($D8:$X8)</f>
        <v>2693.8438095238093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0.92913701646364055</v>
      </c>
      <c r="E10" s="53">
        <f t="shared" si="4"/>
        <v>1.0602396434056347</v>
      </c>
      <c r="F10" s="53">
        <f t="shared" si="4"/>
        <v>0.98379126162792341</v>
      </c>
      <c r="G10" s="53">
        <f t="shared" si="4"/>
        <v>1.1546957507346558</v>
      </c>
      <c r="H10" s="53">
        <f t="shared" si="4"/>
        <v>1.0737148121855264</v>
      </c>
      <c r="I10" s="53">
        <f t="shared" si="4"/>
        <v>1.12938619130179</v>
      </c>
      <c r="J10" s="53">
        <f t="shared" si="4"/>
        <v>1.0489843509151024</v>
      </c>
      <c r="K10" s="53">
        <f t="shared" si="4"/>
        <v>0.9549922645495762</v>
      </c>
      <c r="L10" s="53">
        <f t="shared" si="4"/>
        <v>0.94787603905341844</v>
      </c>
      <c r="M10" s="53">
        <f t="shared" si="4"/>
        <v>0.9720905090124361</v>
      </c>
      <c r="N10" s="53">
        <f t="shared" si="4"/>
        <v>1.0953604620906363</v>
      </c>
      <c r="O10" s="53">
        <f t="shared" si="4"/>
        <v>1.0450717261509135</v>
      </c>
      <c r="P10" s="53">
        <f t="shared" si="4"/>
        <v>1.0278138584766112</v>
      </c>
      <c r="Q10" s="53">
        <f t="shared" si="4"/>
        <v>0.99808681947127431</v>
      </c>
      <c r="R10" s="53">
        <f t="shared" si="4"/>
        <v>0.84551301450644434</v>
      </c>
      <c r="S10" s="53">
        <f t="shared" si="4"/>
        <v>0.96443601919862432</v>
      </c>
      <c r="T10" s="53">
        <f t="shared" ref="T10:Y10" si="5">IF(T8=0,0,T8/T9)</f>
        <v>1.0048912228799634</v>
      </c>
      <c r="U10" s="53">
        <f t="shared" si="5"/>
        <v>1.0182216171192446</v>
      </c>
      <c r="V10" s="53">
        <f t="shared" si="5"/>
        <v>0.91642284206388036</v>
      </c>
      <c r="W10" s="53">
        <f t="shared" si="5"/>
        <v>0.88394879895465361</v>
      </c>
      <c r="X10" s="53">
        <f t="shared" si="5"/>
        <v>0.94532577983805055</v>
      </c>
      <c r="Y10" s="53">
        <f t="shared" si="5"/>
        <v>1.0406802317523978</v>
      </c>
    </row>
    <row r="11" spans="1:25" x14ac:dyDescent="0.25">
      <c r="A11" s="43" t="s">
        <v>251</v>
      </c>
      <c r="B11" s="44"/>
      <c r="C11" s="44"/>
      <c r="D11" s="45">
        <v>109.11</v>
      </c>
      <c r="E11" s="45">
        <v>64.86</v>
      </c>
      <c r="F11" s="45">
        <v>93.72</v>
      </c>
      <c r="G11" s="45">
        <v>145.96</v>
      </c>
      <c r="H11" s="45">
        <v>41.74</v>
      </c>
      <c r="I11" s="45">
        <v>41.63</v>
      </c>
      <c r="J11" s="45">
        <v>100.52</v>
      </c>
      <c r="K11" s="45">
        <v>135.75</v>
      </c>
      <c r="L11" s="45">
        <v>68.67</v>
      </c>
      <c r="M11" s="45">
        <v>73.040000000000006</v>
      </c>
      <c r="N11" s="45">
        <v>98.76</v>
      </c>
      <c r="O11" s="45">
        <v>91.91</v>
      </c>
      <c r="P11" s="45">
        <v>180.49</v>
      </c>
      <c r="Q11" s="45">
        <v>115.08</v>
      </c>
      <c r="R11" s="45">
        <v>49.78</v>
      </c>
      <c r="S11" s="45">
        <v>199.47</v>
      </c>
      <c r="T11" s="45">
        <v>63.55</v>
      </c>
      <c r="U11" s="45">
        <v>143.47</v>
      </c>
      <c r="V11" s="45">
        <v>125.31</v>
      </c>
      <c r="W11" s="45">
        <v>149.79</v>
      </c>
      <c r="X11" s="45">
        <v>70.48</v>
      </c>
      <c r="Y11" s="45">
        <v>166.58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103.0042857142857</v>
      </c>
      <c r="E12" s="45">
        <f t="shared" ref="E12" si="7">AVERAGE($D11:$X11)</f>
        <v>103.0042857142857</v>
      </c>
      <c r="F12" s="45">
        <f t="shared" ref="F12" si="8">AVERAGE($D11:$X11)</f>
        <v>103.0042857142857</v>
      </c>
      <c r="G12" s="45">
        <f t="shared" ref="G12" si="9">AVERAGE($D11:$X11)</f>
        <v>103.0042857142857</v>
      </c>
      <c r="H12" s="45">
        <f t="shared" ref="H12" si="10">AVERAGE($D11:$X11)</f>
        <v>103.0042857142857</v>
      </c>
      <c r="I12" s="45">
        <f t="shared" ref="I12" si="11">AVERAGE($D11:$X11)</f>
        <v>103.0042857142857</v>
      </c>
      <c r="J12" s="45">
        <f t="shared" ref="J12" si="12">AVERAGE($D11:$X11)</f>
        <v>103.0042857142857</v>
      </c>
      <c r="K12" s="45">
        <f t="shared" ref="K12" si="13">AVERAGE($D11:$X11)</f>
        <v>103.0042857142857</v>
      </c>
      <c r="L12" s="45">
        <f t="shared" ref="L12" si="14">AVERAGE($D11:$X11)</f>
        <v>103.0042857142857</v>
      </c>
      <c r="M12" s="45">
        <f t="shared" ref="M12" si="15">AVERAGE($D11:$X11)</f>
        <v>103.0042857142857</v>
      </c>
      <c r="N12" s="45">
        <f t="shared" ref="N12" si="16">AVERAGE($D11:$X11)</f>
        <v>103.0042857142857</v>
      </c>
      <c r="O12" s="45">
        <f t="shared" ref="O12" si="17">AVERAGE($D11:$X11)</f>
        <v>103.0042857142857</v>
      </c>
      <c r="P12" s="45">
        <f t="shared" ref="P12" si="18">AVERAGE($D11:$X11)</f>
        <v>103.0042857142857</v>
      </c>
      <c r="Q12" s="45">
        <f t="shared" ref="Q12" si="19">AVERAGE($D11:$X11)</f>
        <v>103.0042857142857</v>
      </c>
      <c r="R12" s="45">
        <f t="shared" ref="R12" si="20">AVERAGE($D11:$X11)</f>
        <v>103.0042857142857</v>
      </c>
      <c r="S12" s="45">
        <f t="shared" ref="S12" si="21">AVERAGE($D11:$X11)</f>
        <v>103.0042857142857</v>
      </c>
      <c r="T12" s="45">
        <f t="shared" ref="T12" si="22">AVERAGE($D11:$X11)</f>
        <v>103.0042857142857</v>
      </c>
      <c r="U12" s="45">
        <f t="shared" ref="U12" si="23">AVERAGE($D11:$X11)</f>
        <v>103.0042857142857</v>
      </c>
      <c r="V12" s="45">
        <f t="shared" ref="V12" si="24">AVERAGE($D11:$X11)</f>
        <v>103.0042857142857</v>
      </c>
      <c r="W12" s="45">
        <f t="shared" ref="W12" si="25">AVERAGE($D11:$X11)</f>
        <v>103.0042857142857</v>
      </c>
      <c r="X12" s="45">
        <f>AVERAGE($D11:$X11)</f>
        <v>103.0042857142857</v>
      </c>
      <c r="Y12" s="45">
        <f t="shared" ref="Y12" si="26">AVERAGE($D11:$X11)</f>
        <v>103.0042857142857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1.0592763130521616</v>
      </c>
      <c r="E13" s="55">
        <f t="shared" si="27"/>
        <v>0.62968253748110348</v>
      </c>
      <c r="F13" s="55">
        <f t="shared" ref="F13" si="28">IF(F11=0,0,F11/F12)</f>
        <v>0.90986505415863428</v>
      </c>
      <c r="G13" s="55">
        <f t="shared" ref="G13" si="29">IF(G11=0,0,G11/G12)</f>
        <v>1.4170284176802632</v>
      </c>
      <c r="H13" s="55">
        <f t="shared" ref="H13" si="30">IF(H11=0,0,H11/H12)</f>
        <v>0.40522585745392015</v>
      </c>
      <c r="I13" s="55">
        <f t="shared" ref="I13" si="31">IF(I11=0,0,I11/I12)</f>
        <v>0.40415794072368705</v>
      </c>
      <c r="J13" s="55">
        <f t="shared" ref="J13" si="32">IF(J11=0,0,J11/J12)</f>
        <v>0.97588172475486468</v>
      </c>
      <c r="K13" s="55">
        <f t="shared" ref="K13" si="33">IF(K11=0,0,K11/K12)</f>
        <v>1.3179063284468056</v>
      </c>
      <c r="L13" s="55">
        <f t="shared" ref="L13" si="34">IF(L11=0,0,L11/L12)</f>
        <v>0.66667128968281497</v>
      </c>
      <c r="M13" s="55">
        <f t="shared" ref="M13" si="35">IF(M11=0,0,M11/M12)</f>
        <v>0.70909670887480425</v>
      </c>
      <c r="N13" s="55">
        <f t="shared" ref="N13" si="36">IF(N11=0,0,N11/N12)</f>
        <v>0.95879505707113455</v>
      </c>
      <c r="O13" s="55">
        <f t="shared" ref="O13" si="37">IF(O11=0,0,O11/O12)</f>
        <v>0.89229296977934358</v>
      </c>
      <c r="P13" s="55">
        <f t="shared" ref="P13" si="38">IF(P11=0,0,P11/P12)</f>
        <v>1.7522571876343567</v>
      </c>
      <c r="Q13" s="55">
        <f t="shared" ref="Q13" si="39">IF(Q11=0,0,Q11/Q12)</f>
        <v>1.1172350665020874</v>
      </c>
      <c r="R13" s="55">
        <f t="shared" ref="R13" si="40">IF(R11=0,0,R11/R12)</f>
        <v>0.48328086210005139</v>
      </c>
      <c r="S13" s="55">
        <f t="shared" ref="S13:Y13" si="41">IF(S11=0,0,S11/S12)</f>
        <v>1.9365213652691291</v>
      </c>
      <c r="T13" s="55">
        <f t="shared" si="41"/>
        <v>0.61696462005741792</v>
      </c>
      <c r="U13" s="55">
        <f t="shared" si="41"/>
        <v>1.3928546662413495</v>
      </c>
      <c r="V13" s="55">
        <f t="shared" si="41"/>
        <v>1.2165513224137694</v>
      </c>
      <c r="W13" s="55">
        <f t="shared" si="41"/>
        <v>1.4542113365601987</v>
      </c>
      <c r="X13" s="55">
        <f t="shared" si="41"/>
        <v>0.68424337406210578</v>
      </c>
      <c r="Y13" s="55">
        <f t="shared" si="41"/>
        <v>1.6172142629294208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82509.66183574879</v>
      </c>
      <c r="E16" s="42">
        <v>85871.335155322158</v>
      </c>
      <c r="F16" s="42">
        <v>89943.594178919288</v>
      </c>
      <c r="G16" s="42">
        <v>93607.26740217676</v>
      </c>
      <c r="H16" s="42">
        <v>98291.911273596517</v>
      </c>
      <c r="I16" s="42">
        <v>102513.47670976963</v>
      </c>
      <c r="J16" s="42">
        <v>106559.0589432775</v>
      </c>
      <c r="K16" s="42">
        <v>106854.4003338724</v>
      </c>
      <c r="L16" s="42">
        <v>107926.64461887874</v>
      </c>
      <c r="M16" s="42">
        <v>100806.18866477</v>
      </c>
      <c r="N16" s="42">
        <v>101890.93137254902</v>
      </c>
      <c r="O16" s="42">
        <v>103792.96680519005</v>
      </c>
      <c r="P16" s="42">
        <v>102495.32242068564</v>
      </c>
      <c r="Q16" s="42">
        <v>104343.2601241019</v>
      </c>
      <c r="R16" s="42">
        <v>108758.72515505701</v>
      </c>
      <c r="S16" s="42">
        <v>112791</v>
      </c>
      <c r="T16" s="42">
        <v>115273.56919049696</v>
      </c>
      <c r="U16" s="42">
        <v>120197.4829674489</v>
      </c>
      <c r="V16" s="42">
        <v>126643.27202323329</v>
      </c>
      <c r="W16" s="42">
        <v>132803.97629447051</v>
      </c>
      <c r="X16" s="42">
        <v>126780.32811005665</v>
      </c>
      <c r="Y16" s="42">
        <v>135764.11974780652</v>
      </c>
    </row>
    <row r="17" spans="1:25" x14ac:dyDescent="0.25">
      <c r="A17" s="46" t="s">
        <v>141</v>
      </c>
      <c r="B17" s="47"/>
      <c r="C17" s="47"/>
      <c r="D17" s="57">
        <v>44168.448393278537</v>
      </c>
      <c r="E17" s="57">
        <v>46172.630078403417</v>
      </c>
      <c r="F17" s="57">
        <v>49812.645476399433</v>
      </c>
      <c r="G17" s="57">
        <v>53991.890380313198</v>
      </c>
      <c r="H17" s="57">
        <v>55079.993303998468</v>
      </c>
      <c r="I17" s="57">
        <v>56651.465872131375</v>
      </c>
      <c r="J17" s="57">
        <v>57520.410078355933</v>
      </c>
      <c r="K17" s="57">
        <v>58119.567832153203</v>
      </c>
      <c r="L17" s="57">
        <v>57378.028871365103</v>
      </c>
      <c r="M17" s="57">
        <v>53520.661856499013</v>
      </c>
      <c r="N17" s="57">
        <v>52856.09383173057</v>
      </c>
      <c r="O17" s="57">
        <v>53308.66463396584</v>
      </c>
      <c r="P17" s="57">
        <v>52115.103879656221</v>
      </c>
      <c r="Q17" s="57">
        <v>52040.949705411833</v>
      </c>
      <c r="R17" s="57">
        <v>53296.457962076769</v>
      </c>
      <c r="S17" s="57">
        <v>55314.2</v>
      </c>
      <c r="T17" s="57">
        <v>57922.307883611036</v>
      </c>
      <c r="U17" s="57">
        <v>60822.715237485303</v>
      </c>
      <c r="V17" s="57">
        <v>63929.072330194344</v>
      </c>
      <c r="W17" s="57">
        <v>67124.124003015386</v>
      </c>
      <c r="X17" s="57">
        <v>66347.717019290605</v>
      </c>
      <c r="Y17" s="57">
        <v>69385.851909936144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8072.0539509836963</v>
      </c>
      <c r="E20" s="42">
        <f t="shared" ref="E20:S20" si="42">1000000*E16/E$3</f>
        <v>8418.5123959439388</v>
      </c>
      <c r="F20" s="42">
        <f t="shared" si="42"/>
        <v>8839.7929856008031</v>
      </c>
      <c r="G20" s="42">
        <f t="shared" si="42"/>
        <v>9229.3360661132738</v>
      </c>
      <c r="H20" s="42">
        <f t="shared" si="42"/>
        <v>9715.7673165527503</v>
      </c>
      <c r="I20" s="42">
        <f t="shared" si="42"/>
        <v>10152.312874121199</v>
      </c>
      <c r="J20" s="42">
        <f t="shared" si="42"/>
        <v>10574.922083519945</v>
      </c>
      <c r="K20" s="42">
        <f t="shared" si="42"/>
        <v>10615.211914403928</v>
      </c>
      <c r="L20" s="42">
        <f t="shared" si="42"/>
        <v>10743.886144403667</v>
      </c>
      <c r="M20" s="42">
        <f t="shared" si="42"/>
        <v>10049.490569438165</v>
      </c>
      <c r="N20" s="42">
        <f t="shared" si="42"/>
        <v>10174.519156015826</v>
      </c>
      <c r="O20" s="42">
        <f t="shared" si="42"/>
        <v>10394.137429941475</v>
      </c>
      <c r="P20" s="42">
        <f t="shared" si="42"/>
        <v>10319.78417282507</v>
      </c>
      <c r="Q20" s="42">
        <f t="shared" si="42"/>
        <v>10530.365047718391</v>
      </c>
      <c r="R20" s="42">
        <f t="shared" si="42"/>
        <v>11010.904745856513</v>
      </c>
      <c r="S20" s="42">
        <f t="shared" si="42"/>
        <v>11444.39018297367</v>
      </c>
      <c r="T20" s="42">
        <f t="shared" ref="T20:Y20" si="43">1000000*T16/T$3</f>
        <v>11726.13245333236</v>
      </c>
      <c r="U20" s="42">
        <f t="shared" si="43"/>
        <v>12268.102537707997</v>
      </c>
      <c r="V20" s="42">
        <f t="shared" si="43"/>
        <v>12951.367055231723</v>
      </c>
      <c r="W20" s="42">
        <f t="shared" si="43"/>
        <v>13589.20414000621</v>
      </c>
      <c r="X20" s="42">
        <f t="shared" si="43"/>
        <v>12977.121726279929</v>
      </c>
      <c r="Y20" s="42">
        <f t="shared" si="43"/>
        <v>13952.039956111039</v>
      </c>
    </row>
    <row r="21" spans="1:25" x14ac:dyDescent="0.25">
      <c r="A21" s="46" t="s">
        <v>141</v>
      </c>
      <c r="B21" s="47"/>
      <c r="C21" s="47"/>
      <c r="D21" s="57">
        <f>1000000*D17/D$3</f>
        <v>4321.0708955700802</v>
      </c>
      <c r="E21" s="57">
        <f t="shared" ref="E21:S21" si="44">1000000*E17/E$3</f>
        <v>4526.5961914449381</v>
      </c>
      <c r="F21" s="57">
        <f t="shared" si="44"/>
        <v>4895.662421501268</v>
      </c>
      <c r="G21" s="57">
        <f t="shared" si="44"/>
        <v>5323.4039940906459</v>
      </c>
      <c r="H21" s="57">
        <f t="shared" si="44"/>
        <v>5444.4398506948646</v>
      </c>
      <c r="I21" s="57">
        <f t="shared" si="44"/>
        <v>5610.4175252956311</v>
      </c>
      <c r="J21" s="57">
        <f t="shared" si="44"/>
        <v>5708.3260759136392</v>
      </c>
      <c r="K21" s="57">
        <f t="shared" si="44"/>
        <v>5773.758750076564</v>
      </c>
      <c r="L21" s="57">
        <f t="shared" si="44"/>
        <v>5711.8704242234935</v>
      </c>
      <c r="M21" s="57">
        <f t="shared" si="44"/>
        <v>5335.539352505516</v>
      </c>
      <c r="N21" s="57">
        <f t="shared" si="44"/>
        <v>5278.0491056341461</v>
      </c>
      <c r="O21" s="57">
        <f t="shared" si="44"/>
        <v>5338.4887576447491</v>
      </c>
      <c r="P21" s="57">
        <f t="shared" si="44"/>
        <v>5247.2309124017975</v>
      </c>
      <c r="Q21" s="57">
        <f t="shared" si="44"/>
        <v>5251.9942081180616</v>
      </c>
      <c r="R21" s="57">
        <f t="shared" si="44"/>
        <v>5395.8174029284901</v>
      </c>
      <c r="S21" s="57">
        <f t="shared" si="44"/>
        <v>5612.4804945345122</v>
      </c>
      <c r="T21" s="57">
        <f t="shared" ref="T21:Y21" si="45">1000000*T17/T$3</f>
        <v>5892.110906390787</v>
      </c>
      <c r="U21" s="57">
        <f t="shared" si="45"/>
        <v>6207.944532061123</v>
      </c>
      <c r="V21" s="57">
        <f t="shared" si="45"/>
        <v>6537.8039276883992</v>
      </c>
      <c r="W21" s="57">
        <f t="shared" si="45"/>
        <v>6868.4948240819058</v>
      </c>
      <c r="X21" s="57">
        <f t="shared" si="45"/>
        <v>6791.2933564320938</v>
      </c>
      <c r="Y21" s="57">
        <f t="shared" si="45"/>
        <v>7130.5598271068466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68713.422692089865</v>
      </c>
      <c r="E23" s="60">
        <v>71636.762938714615</v>
      </c>
      <c r="F23" s="60">
        <v>75107.732375176347</v>
      </c>
      <c r="G23" s="60">
        <v>78301.608773370681</v>
      </c>
      <c r="H23" s="60">
        <v>82209.209140449704</v>
      </c>
      <c r="I23" s="60">
        <v>85680.374566171173</v>
      </c>
      <c r="J23" s="60">
        <v>89021.431909732273</v>
      </c>
      <c r="K23" s="60">
        <v>89209.713516086238</v>
      </c>
      <c r="L23" s="60">
        <v>89954.452950867329</v>
      </c>
      <c r="M23" s="60">
        <v>83972.91879815422</v>
      </c>
      <c r="N23" s="60">
        <v>85060.10544815466</v>
      </c>
      <c r="O23" s="60">
        <v>86721.036722233854</v>
      </c>
      <c r="P23" s="60">
        <v>85650.227856323647</v>
      </c>
      <c r="Q23" s="60">
        <v>87730.066959976422</v>
      </c>
      <c r="R23" s="60">
        <v>91651.15139637432</v>
      </c>
      <c r="S23" s="60">
        <v>95031.5</v>
      </c>
      <c r="T23" s="60">
        <v>97214.774362715136</v>
      </c>
      <c r="U23" s="60">
        <v>101295.60327967504</v>
      </c>
      <c r="V23" s="60">
        <v>106931.42373228361</v>
      </c>
      <c r="W23" s="60">
        <v>111911.68892223961</v>
      </c>
      <c r="X23" s="60">
        <v>106509.75690122282</v>
      </c>
      <c r="Y23" s="60">
        <v>114472.32031483337</v>
      </c>
    </row>
    <row r="24" spans="1:25" x14ac:dyDescent="0.25">
      <c r="A24" s="61" t="s">
        <v>33</v>
      </c>
      <c r="B24" s="62"/>
      <c r="C24" s="62"/>
      <c r="D24" s="63">
        <v>3977.5659178151159</v>
      </c>
      <c r="E24" s="63">
        <v>4073.6750507603697</v>
      </c>
      <c r="F24" s="63">
        <v>3686.412578222024</v>
      </c>
      <c r="G24" s="63">
        <v>3554.6403207884437</v>
      </c>
      <c r="H24" s="63">
        <v>4179.7179099693185</v>
      </c>
      <c r="I24" s="63">
        <v>3699.6049156352997</v>
      </c>
      <c r="J24" s="63">
        <v>3624.5076002047495</v>
      </c>
      <c r="K24" s="63">
        <v>3615.9353512440634</v>
      </c>
      <c r="L24" s="63">
        <v>3625.4482023451887</v>
      </c>
      <c r="M24" s="63">
        <v>3018.8127701334224</v>
      </c>
      <c r="N24" s="63">
        <v>3040.1205121767512</v>
      </c>
      <c r="O24" s="63">
        <v>4071.4691886391524</v>
      </c>
      <c r="P24" s="63">
        <v>3959.0163102499823</v>
      </c>
      <c r="Q24" s="63">
        <v>4069.2156842821869</v>
      </c>
      <c r="R24" s="63">
        <v>4269.3532582067619</v>
      </c>
      <c r="S24" s="63">
        <v>4274.3</v>
      </c>
      <c r="T24" s="63">
        <v>4458.0367880448712</v>
      </c>
      <c r="U24" s="63">
        <v>4483.9777343162323</v>
      </c>
      <c r="V24" s="63">
        <v>4414.2308086025105</v>
      </c>
      <c r="W24" s="63">
        <v>4415.3730709074307</v>
      </c>
      <c r="X24" s="63">
        <v>4278.3005052354101</v>
      </c>
      <c r="Y24" s="63">
        <v>4715.6485532071893</v>
      </c>
    </row>
    <row r="25" spans="1:25" x14ac:dyDescent="0.25">
      <c r="A25" s="64" t="s">
        <v>56</v>
      </c>
      <c r="B25" s="65"/>
      <c r="C25" s="65"/>
      <c r="D25" s="66">
        <v>174.46982568749607</v>
      </c>
      <c r="E25" s="66">
        <v>161.46631859556072</v>
      </c>
      <c r="F25" s="66">
        <v>179.29271615804765</v>
      </c>
      <c r="G25" s="66">
        <v>181.53050872022803</v>
      </c>
      <c r="H25" s="66">
        <v>183.51879836973944</v>
      </c>
      <c r="I25" s="66">
        <v>204.96365660402068</v>
      </c>
      <c r="J25" s="66">
        <v>214.20782053279328</v>
      </c>
      <c r="K25" s="66">
        <v>171.84984151738246</v>
      </c>
      <c r="L25" s="66">
        <v>217.656749685047</v>
      </c>
      <c r="M25" s="66">
        <v>213.601152569269</v>
      </c>
      <c r="N25" s="66">
        <v>181.27039919658549</v>
      </c>
      <c r="O25" s="66">
        <v>207.90311156336355</v>
      </c>
      <c r="P25" s="66">
        <v>215.98140611203021</v>
      </c>
      <c r="Q25" s="66">
        <v>196.00272310678034</v>
      </c>
      <c r="R25" s="66">
        <v>183.42724154826064</v>
      </c>
      <c r="S25" s="66">
        <v>152.19999999999999</v>
      </c>
      <c r="T25" s="66">
        <v>141.35599235061019</v>
      </c>
      <c r="U25" s="66">
        <v>196.98736272002407</v>
      </c>
      <c r="V25" s="66">
        <v>301.42289473929105</v>
      </c>
      <c r="W25" s="66">
        <v>409.00830854632085</v>
      </c>
      <c r="X25" s="66">
        <v>271.56403309658049</v>
      </c>
      <c r="Y25" s="66">
        <v>390.55499920940287</v>
      </c>
    </row>
    <row r="26" spans="1:25" x14ac:dyDescent="0.25">
      <c r="A26" s="67" t="s">
        <v>146</v>
      </c>
      <c r="B26" s="44"/>
      <c r="C26" s="44"/>
      <c r="D26" s="45">
        <v>43869.013907243097</v>
      </c>
      <c r="E26" s="45">
        <v>46019.696404646456</v>
      </c>
      <c r="F26" s="45">
        <v>49252.082906302385</v>
      </c>
      <c r="G26" s="45">
        <v>51777.622107348187</v>
      </c>
      <c r="H26" s="45">
        <v>53412.785639052992</v>
      </c>
      <c r="I26" s="45">
        <v>56217.885752952236</v>
      </c>
      <c r="J26" s="45">
        <v>58813.344312643276</v>
      </c>
      <c r="K26" s="45">
        <v>59212.751521534381</v>
      </c>
      <c r="L26" s="45">
        <v>60630.29363310396</v>
      </c>
      <c r="M26" s="45">
        <v>57601.946004635327</v>
      </c>
      <c r="N26" s="45">
        <v>58249.560632688925</v>
      </c>
      <c r="O26" s="45">
        <v>58535.998962479665</v>
      </c>
      <c r="P26" s="45">
        <v>57657.697889918505</v>
      </c>
      <c r="Q26" s="45">
        <v>59021.612119857338</v>
      </c>
      <c r="R26" s="45">
        <v>60833.843704066625</v>
      </c>
      <c r="S26" s="45">
        <v>62331.7</v>
      </c>
      <c r="T26" s="45">
        <v>64962.147349328712</v>
      </c>
      <c r="U26" s="45">
        <v>68241.782006920403</v>
      </c>
      <c r="V26" s="45">
        <v>72348.9395758303</v>
      </c>
      <c r="W26" s="45">
        <v>76425.697728032988</v>
      </c>
      <c r="X26" s="45">
        <v>73026.561470308283</v>
      </c>
      <c r="Y26" s="45">
        <v>78733.111966127311</v>
      </c>
    </row>
    <row r="27" spans="1:25" x14ac:dyDescent="0.25">
      <c r="A27" s="68" t="s">
        <v>148</v>
      </c>
      <c r="B27" s="69"/>
      <c r="C27" s="69"/>
      <c r="D27" s="70">
        <v>18275.753571203826</v>
      </c>
      <c r="E27" s="70">
        <v>18962.692854873687</v>
      </c>
      <c r="F27" s="70">
        <v>20449.015517802669</v>
      </c>
      <c r="G27" s="70">
        <v>21778.829895164017</v>
      </c>
      <c r="H27" s="70">
        <v>22243.66900215231</v>
      </c>
      <c r="I27" s="70">
        <v>22981.468142230369</v>
      </c>
      <c r="J27" s="70">
        <v>23471.724567689667</v>
      </c>
      <c r="K27" s="70">
        <v>23615.834084395796</v>
      </c>
      <c r="L27" s="70">
        <v>23711.69686985173</v>
      </c>
      <c r="M27" s="70">
        <v>22414.862297204185</v>
      </c>
      <c r="N27" s="70">
        <v>22381.521466231483</v>
      </c>
      <c r="O27" s="70">
        <v>22252.01767775018</v>
      </c>
      <c r="P27" s="70">
        <v>22130.380504836237</v>
      </c>
      <c r="Q27" s="70">
        <v>22925.104402694658</v>
      </c>
      <c r="R27" s="70">
        <v>24013.147150089826</v>
      </c>
      <c r="S27" s="70">
        <v>24870.2</v>
      </c>
      <c r="T27" s="70">
        <v>26279.399877767486</v>
      </c>
      <c r="U27" s="70">
        <v>27018.673837821574</v>
      </c>
      <c r="V27" s="70">
        <v>28184.762277003825</v>
      </c>
      <c r="W27" s="70">
        <v>29337.938142465802</v>
      </c>
      <c r="X27" s="70">
        <v>27440.323643552761</v>
      </c>
      <c r="Y27" s="70">
        <v>28904.847239059018</v>
      </c>
    </row>
    <row r="28" spans="1:25" x14ac:dyDescent="0.25">
      <c r="A28" s="68" t="s">
        <v>150</v>
      </c>
      <c r="B28" s="71"/>
      <c r="C28" s="71"/>
      <c r="D28" s="70">
        <v>17936.095903341517</v>
      </c>
      <c r="E28" s="70">
        <v>18783.96110443514</v>
      </c>
      <c r="F28" s="70">
        <v>19876.532789948997</v>
      </c>
      <c r="G28" s="70">
        <v>21080.245422484182</v>
      </c>
      <c r="H28" s="70">
        <v>21651.211246966159</v>
      </c>
      <c r="I28" s="70">
        <v>23217.754785759502</v>
      </c>
      <c r="J28" s="70">
        <v>24663.721540960985</v>
      </c>
      <c r="K28" s="70">
        <v>24759.541868778419</v>
      </c>
      <c r="L28" s="70">
        <v>25508.479503827893</v>
      </c>
      <c r="M28" s="70">
        <v>25365.189067295851</v>
      </c>
      <c r="N28" s="70">
        <v>25964.147627416518</v>
      </c>
      <c r="O28" s="70">
        <v>26077.275312004309</v>
      </c>
      <c r="P28" s="70">
        <v>25315.091294771988</v>
      </c>
      <c r="Q28" s="70">
        <v>25336.781247142262</v>
      </c>
      <c r="R28" s="70">
        <v>25662.257063530949</v>
      </c>
      <c r="S28" s="70">
        <v>26155.9</v>
      </c>
      <c r="T28" s="70">
        <v>27350.215878398365</v>
      </c>
      <c r="U28" s="70">
        <v>29306.17195727396</v>
      </c>
      <c r="V28" s="70">
        <v>31299.682663763186</v>
      </c>
      <c r="W28" s="70">
        <v>33832.328291549515</v>
      </c>
      <c r="X28" s="70">
        <v>32490.206487515559</v>
      </c>
      <c r="Y28" s="70">
        <v>35835.397670373692</v>
      </c>
    </row>
    <row r="29" spans="1:25" x14ac:dyDescent="0.25">
      <c r="A29" s="68" t="s">
        <v>152</v>
      </c>
      <c r="B29" s="71"/>
      <c r="C29" s="71"/>
      <c r="D29" s="70">
        <v>7657.164432697753</v>
      </c>
      <c r="E29" s="70">
        <v>8273.0424453376218</v>
      </c>
      <c r="F29" s="70">
        <v>8926.5345985507156</v>
      </c>
      <c r="G29" s="70">
        <v>8918.5467896999799</v>
      </c>
      <c r="H29" s="70">
        <v>9517.9053899345217</v>
      </c>
      <c r="I29" s="70">
        <v>10018.662824962361</v>
      </c>
      <c r="J29" s="70">
        <v>10677.898203992618</v>
      </c>
      <c r="K29" s="70">
        <v>10837.375568360172</v>
      </c>
      <c r="L29" s="70">
        <v>11410.117259424354</v>
      </c>
      <c r="M29" s="70">
        <v>9821.8946401353005</v>
      </c>
      <c r="N29" s="70">
        <v>9903.8915390409275</v>
      </c>
      <c r="O29" s="70">
        <v>10206.705972725191</v>
      </c>
      <c r="P29" s="70">
        <v>10212.226090310272</v>
      </c>
      <c r="Q29" s="70">
        <v>10759.72647002042</v>
      </c>
      <c r="R29" s="70">
        <v>11158.439490445855</v>
      </c>
      <c r="S29" s="70">
        <v>11305.599999999997</v>
      </c>
      <c r="T29" s="70">
        <v>11332.531593162863</v>
      </c>
      <c r="U29" s="70">
        <v>11916.936211824888</v>
      </c>
      <c r="V29" s="70">
        <v>12864.4946350633</v>
      </c>
      <c r="W29" s="70">
        <v>13255.43129401767</v>
      </c>
      <c r="X29" s="70">
        <v>13096.031339239951</v>
      </c>
      <c r="Y29" s="70">
        <v>13992.867056694611</v>
      </c>
    </row>
    <row r="30" spans="1:25" x14ac:dyDescent="0.25">
      <c r="A30" s="64" t="s">
        <v>154</v>
      </c>
      <c r="B30" s="65"/>
      <c r="C30" s="65"/>
      <c r="D30" s="66">
        <v>2811.1824303064632</v>
      </c>
      <c r="E30" s="66">
        <v>2646.3072694374232</v>
      </c>
      <c r="F30" s="66">
        <v>2833.7171588072874</v>
      </c>
      <c r="G30" s="66">
        <v>2824.8949224600219</v>
      </c>
      <c r="H30" s="66">
        <v>3530.3613133672206</v>
      </c>
      <c r="I30" s="66">
        <v>3562.3076419356948</v>
      </c>
      <c r="J30" s="66">
        <v>3458.2600761133244</v>
      </c>
      <c r="K30" s="66">
        <v>3741.9113104942835</v>
      </c>
      <c r="L30" s="66">
        <v>3719.4495590658007</v>
      </c>
      <c r="M30" s="66">
        <v>3673.3969473618272</v>
      </c>
      <c r="N30" s="66">
        <v>3552.498116997238</v>
      </c>
      <c r="O30" s="66">
        <v>3099.8912598888655</v>
      </c>
      <c r="P30" s="66">
        <v>3300.3136196169571</v>
      </c>
      <c r="Q30" s="66">
        <v>2750.1346312120872</v>
      </c>
      <c r="R30" s="66">
        <v>2840.8255756981871</v>
      </c>
      <c r="S30" s="66">
        <v>2723.7</v>
      </c>
      <c r="T30" s="66">
        <v>2940.5792244149593</v>
      </c>
      <c r="U30" s="66">
        <v>2580.7695200842486</v>
      </c>
      <c r="V30" s="66">
        <v>2530.8728142419759</v>
      </c>
      <c r="W30" s="66">
        <v>2676.0932654666435</v>
      </c>
      <c r="X30" s="66">
        <v>2219.1916233433403</v>
      </c>
      <c r="Y30" s="66">
        <v>2451.6418067780533</v>
      </c>
    </row>
    <row r="31" spans="1:25" x14ac:dyDescent="0.25">
      <c r="A31" s="64" t="s">
        <v>37</v>
      </c>
      <c r="B31" s="65"/>
      <c r="C31" s="65"/>
      <c r="D31" s="66">
        <v>3487.665974450947</v>
      </c>
      <c r="E31" s="66">
        <v>3874.6391524744818</v>
      </c>
      <c r="F31" s="66">
        <v>4342.6938519599216</v>
      </c>
      <c r="G31" s="66">
        <v>4255.1572539736217</v>
      </c>
      <c r="H31" s="66">
        <v>4388.1943490406193</v>
      </c>
      <c r="I31" s="66">
        <v>4921.856241678126</v>
      </c>
      <c r="J31" s="66">
        <v>4743.9521064696328</v>
      </c>
      <c r="K31" s="66">
        <v>4379.4873872140479</v>
      </c>
      <c r="L31" s="66">
        <v>4395.4840585328038</v>
      </c>
      <c r="M31" s="66">
        <v>4061.0318835737999</v>
      </c>
      <c r="N31" s="66">
        <v>3522.9726336931958</v>
      </c>
      <c r="O31" s="66">
        <v>3494.647791777651</v>
      </c>
      <c r="P31" s="66">
        <v>3291.0775726450615</v>
      </c>
      <c r="Q31" s="66">
        <v>3536.6857351880262</v>
      </c>
      <c r="R31" s="66">
        <v>3825.3307202351789</v>
      </c>
      <c r="S31" s="66">
        <v>3988.6</v>
      </c>
      <c r="T31" s="66">
        <v>3459.5745519783927</v>
      </c>
      <c r="U31" s="66">
        <v>4292.3499323002861</v>
      </c>
      <c r="V31" s="66">
        <v>5415.8407549066142</v>
      </c>
      <c r="W31" s="66">
        <v>6408.0680595611575</v>
      </c>
      <c r="X31" s="66">
        <v>6065.6622977227798</v>
      </c>
      <c r="Y31" s="66">
        <v>7102.461392505139</v>
      </c>
    </row>
    <row r="32" spans="1:25" x14ac:dyDescent="0.25">
      <c r="A32" s="64" t="s">
        <v>58</v>
      </c>
      <c r="B32" s="65"/>
      <c r="C32" s="65"/>
      <c r="D32" s="66">
        <v>14393.52463658675</v>
      </c>
      <c r="E32" s="66">
        <v>14860.978742800313</v>
      </c>
      <c r="F32" s="66">
        <v>14813.533163726686</v>
      </c>
      <c r="G32" s="66">
        <v>15707.763660080192</v>
      </c>
      <c r="H32" s="66">
        <v>16514.631130649814</v>
      </c>
      <c r="I32" s="66">
        <v>17073.756357365812</v>
      </c>
      <c r="J32" s="66">
        <v>18167.159993768502</v>
      </c>
      <c r="K32" s="66">
        <v>18087.778104082066</v>
      </c>
      <c r="L32" s="66">
        <v>17366.120748134512</v>
      </c>
      <c r="M32" s="66">
        <v>15404.130039880569</v>
      </c>
      <c r="N32" s="66">
        <v>16513.683153401958</v>
      </c>
      <c r="O32" s="66">
        <v>17311.126407885153</v>
      </c>
      <c r="P32" s="66">
        <v>17226.141057781115</v>
      </c>
      <c r="Q32" s="66">
        <v>18156.416066330006</v>
      </c>
      <c r="R32" s="66">
        <v>19698.370896619304</v>
      </c>
      <c r="S32" s="66">
        <v>21561.000000000004</v>
      </c>
      <c r="T32" s="66">
        <v>21253.080456597596</v>
      </c>
      <c r="U32" s="66">
        <v>21499.736723333834</v>
      </c>
      <c r="V32" s="66">
        <v>21920.116883962888</v>
      </c>
      <c r="W32" s="66">
        <v>21577.448489725073</v>
      </c>
      <c r="X32" s="66">
        <v>20648.47697151644</v>
      </c>
      <c r="Y32" s="66">
        <v>21078.901597006276</v>
      </c>
    </row>
    <row r="33" spans="1:25" x14ac:dyDescent="0.25">
      <c r="A33" s="72" t="s">
        <v>158</v>
      </c>
      <c r="B33" s="65"/>
      <c r="C33" s="65"/>
      <c r="D33" s="66">
        <v>466.93096721414639</v>
      </c>
      <c r="E33" s="66">
        <v>426.52522824900893</v>
      </c>
      <c r="F33" s="66">
        <v>345.56350000602873</v>
      </c>
      <c r="G33" s="66">
        <v>483.71902024252375</v>
      </c>
      <c r="H33" s="66">
        <v>593.25914731877094</v>
      </c>
      <c r="I33" s="66">
        <v>568.39761639709241</v>
      </c>
      <c r="J33" s="66">
        <v>699.37462444083417</v>
      </c>
      <c r="K33" s="66">
        <v>665.52572684280346</v>
      </c>
      <c r="L33" s="66">
        <v>695.02858804147695</v>
      </c>
      <c r="M33" s="66">
        <v>290.54350322594115</v>
      </c>
      <c r="N33" s="66">
        <v>419.08109465227216</v>
      </c>
      <c r="O33" s="66">
        <v>454.71323536747173</v>
      </c>
      <c r="P33" s="66">
        <v>399.68739533325891</v>
      </c>
      <c r="Q33" s="66">
        <v>430.616661755591</v>
      </c>
      <c r="R33" s="66">
        <v>486.89367956883876</v>
      </c>
      <c r="S33" s="66">
        <v>572.6</v>
      </c>
      <c r="T33" s="66">
        <v>607.71247757427602</v>
      </c>
      <c r="U33" s="66">
        <v>678.21949751767715</v>
      </c>
      <c r="V33" s="66">
        <v>735.55003396707525</v>
      </c>
      <c r="W33" s="66">
        <v>617.03839651384612</v>
      </c>
      <c r="X33" s="66">
        <v>528.30050523541047</v>
      </c>
      <c r="Y33" s="66">
        <v>593.82631458739615</v>
      </c>
    </row>
    <row r="34" spans="1:25" x14ac:dyDescent="0.25">
      <c r="A34" s="73" t="s">
        <v>5</v>
      </c>
      <c r="B34" s="65"/>
      <c r="C34" s="65"/>
      <c r="D34" s="66">
        <v>235.8532784395334</v>
      </c>
      <c r="E34" s="66">
        <v>215.44378180760611</v>
      </c>
      <c r="F34" s="66">
        <v>174.54889503630326</v>
      </c>
      <c r="G34" s="66">
        <v>244.33315581623268</v>
      </c>
      <c r="H34" s="66">
        <v>299.66338641918009</v>
      </c>
      <c r="I34" s="66">
        <v>287.10548388834519</v>
      </c>
      <c r="J34" s="66">
        <v>353.26377904624604</v>
      </c>
      <c r="K34" s="66">
        <v>378.98828719562408</v>
      </c>
      <c r="L34" s="66">
        <v>395.7888981744037</v>
      </c>
      <c r="M34" s="66">
        <v>158.86881923972226</v>
      </c>
      <c r="N34" s="66">
        <v>185.94718197150181</v>
      </c>
      <c r="O34" s="66">
        <v>205.08140278384835</v>
      </c>
      <c r="P34" s="66">
        <v>150.63916042280286</v>
      </c>
      <c r="Q34" s="66">
        <v>174.37558886649828</v>
      </c>
      <c r="R34" s="66">
        <v>376.89667385557846</v>
      </c>
      <c r="S34" s="66">
        <v>411.33233139376523</v>
      </c>
      <c r="T34" s="66">
        <v>428.97440679784802</v>
      </c>
      <c r="U34" s="66">
        <v>405.54366124956312</v>
      </c>
      <c r="V34" s="66">
        <v>442.65536273191708</v>
      </c>
      <c r="W34" s="66">
        <v>313.89287621399632</v>
      </c>
      <c r="X34" s="66">
        <v>257.34323536337268</v>
      </c>
      <c r="Y34" s="66">
        <v>181.66869102771653</v>
      </c>
    </row>
    <row r="35" spans="1:25" x14ac:dyDescent="0.25">
      <c r="A35" s="74" t="s">
        <v>270</v>
      </c>
      <c r="B35" s="44"/>
      <c r="C35" s="44"/>
      <c r="D35" s="45">
        <v>210.09236841432602</v>
      </c>
      <c r="E35" s="45">
        <v>170.40412203916296</v>
      </c>
      <c r="F35" s="45">
        <v>144.3443631359311</v>
      </c>
      <c r="G35" s="45">
        <v>206.3292801810851</v>
      </c>
      <c r="H35" s="45">
        <v>261.33483580220496</v>
      </c>
      <c r="I35" s="45">
        <v>246.11583544214523</v>
      </c>
      <c r="J35" s="45">
        <v>287.7531082135921</v>
      </c>
      <c r="K35" s="45">
        <v>303.20048322069482</v>
      </c>
      <c r="L35" s="45">
        <v>307.50974461153572</v>
      </c>
      <c r="M35" s="45">
        <v>145.87429414862152</v>
      </c>
      <c r="N35" s="45">
        <v>177.21892987766057</v>
      </c>
      <c r="O35" s="45">
        <v>187.07875178286193</v>
      </c>
      <c r="P35" s="45">
        <v>146.22575918277462</v>
      </c>
      <c r="Q35" s="45">
        <v>150.08147356888938</v>
      </c>
      <c r="R35" s="45">
        <v>325.2152872549367</v>
      </c>
      <c r="S35" s="45">
        <v>375.09227080242175</v>
      </c>
      <c r="T35" s="45">
        <v>359.15952055975038</v>
      </c>
      <c r="U35" s="45">
        <v>349.16622153860664</v>
      </c>
      <c r="V35" s="45">
        <v>377.6216765489832</v>
      </c>
      <c r="W35" s="45">
        <v>258.36622239454022</v>
      </c>
      <c r="X35" s="45">
        <v>207.26600227792682</v>
      </c>
      <c r="Y35" s="45">
        <v>146.32014134743716</v>
      </c>
    </row>
    <row r="36" spans="1:25" x14ac:dyDescent="0.25">
      <c r="A36" s="74" t="s">
        <v>15</v>
      </c>
      <c r="B36" s="44"/>
      <c r="C36" s="44"/>
      <c r="D36" s="45">
        <v>25.76091002520738</v>
      </c>
      <c r="E36" s="45">
        <v>45.039659768443158</v>
      </c>
      <c r="F36" s="45">
        <v>30.20453190037216</v>
      </c>
      <c r="G36" s="45">
        <v>38.00387563514758</v>
      </c>
      <c r="H36" s="45">
        <v>38.328550616975122</v>
      </c>
      <c r="I36" s="45">
        <v>40.989648446199965</v>
      </c>
      <c r="J36" s="45">
        <v>65.510670832653943</v>
      </c>
      <c r="K36" s="45">
        <v>75.787803974929261</v>
      </c>
      <c r="L36" s="45">
        <v>88.279153562867975</v>
      </c>
      <c r="M36" s="45">
        <v>12.994525091100741</v>
      </c>
      <c r="N36" s="45">
        <v>8.7282520938412347</v>
      </c>
      <c r="O36" s="45">
        <v>18.002651000986418</v>
      </c>
      <c r="P36" s="45">
        <v>4.4134012400282359</v>
      </c>
      <c r="Q36" s="45">
        <v>24.294115297608897</v>
      </c>
      <c r="R36" s="45">
        <v>51.681386600641758</v>
      </c>
      <c r="S36" s="45">
        <v>36.240060591343479</v>
      </c>
      <c r="T36" s="45">
        <v>69.814886238097642</v>
      </c>
      <c r="U36" s="45">
        <v>56.37743971095648</v>
      </c>
      <c r="V36" s="45">
        <v>65.033686182933877</v>
      </c>
      <c r="W36" s="45">
        <v>55.526653819456101</v>
      </c>
      <c r="X36" s="45">
        <v>50.077233085445869</v>
      </c>
      <c r="Y36" s="45">
        <v>35.348549680279376</v>
      </c>
    </row>
    <row r="37" spans="1:25" x14ac:dyDescent="0.25">
      <c r="A37" s="73" t="s">
        <v>269</v>
      </c>
      <c r="B37" s="65"/>
      <c r="C37" s="65"/>
      <c r="D37" s="66">
        <v>231.07768877461297</v>
      </c>
      <c r="E37" s="66">
        <v>211.08144644140282</v>
      </c>
      <c r="F37" s="66">
        <v>171.01460496972547</v>
      </c>
      <c r="G37" s="66">
        <v>239.38586442629105</v>
      </c>
      <c r="H37" s="66">
        <v>293.59576089959086</v>
      </c>
      <c r="I37" s="66">
        <v>281.29213250874722</v>
      </c>
      <c r="J37" s="66">
        <v>346.11084539458813</v>
      </c>
      <c r="K37" s="66">
        <v>286.53743964717938</v>
      </c>
      <c r="L37" s="66">
        <v>299.23968986707325</v>
      </c>
      <c r="M37" s="66">
        <v>131.67468398621895</v>
      </c>
      <c r="N37" s="66">
        <v>233.13391268077038</v>
      </c>
      <c r="O37" s="66">
        <v>249.63183258362335</v>
      </c>
      <c r="P37" s="66">
        <v>249.04823491045602</v>
      </c>
      <c r="Q37" s="66">
        <v>256.24107288909272</v>
      </c>
      <c r="R37" s="66">
        <v>109.99700571326031</v>
      </c>
      <c r="S37" s="66">
        <v>161.26766860623474</v>
      </c>
      <c r="T37" s="66">
        <v>178.738070776428</v>
      </c>
      <c r="U37" s="66">
        <v>272.6758362681141</v>
      </c>
      <c r="V37" s="66">
        <v>292.89467123515817</v>
      </c>
      <c r="W37" s="66">
        <v>303.14552029984986</v>
      </c>
      <c r="X37" s="66">
        <v>270.95726987203784</v>
      </c>
      <c r="Y37" s="66">
        <v>412.15762355967968</v>
      </c>
    </row>
    <row r="38" spans="1:25" x14ac:dyDescent="0.25">
      <c r="A38" s="74" t="s">
        <v>14</v>
      </c>
      <c r="B38" s="44"/>
      <c r="C38" s="44"/>
      <c r="D38" s="45">
        <v>93.637297254501007</v>
      </c>
      <c r="E38" s="45">
        <v>85.534420264268846</v>
      </c>
      <c r="F38" s="45">
        <v>77.400365678473378</v>
      </c>
      <c r="G38" s="45">
        <v>80.348904462043379</v>
      </c>
      <c r="H38" s="45">
        <v>80.147427983977209</v>
      </c>
      <c r="I38" s="45">
        <v>76.788714059173628</v>
      </c>
      <c r="J38" s="45">
        <v>82.178972016286878</v>
      </c>
      <c r="K38" s="45">
        <v>76.312912416089333</v>
      </c>
      <c r="L38" s="45">
        <v>79.695875946829304</v>
      </c>
      <c r="M38" s="45">
        <v>47.669873594487584</v>
      </c>
      <c r="N38" s="45">
        <v>53.253565072308149</v>
      </c>
      <c r="O38" s="45">
        <v>59.85273303344934</v>
      </c>
      <c r="P38" s="45">
        <v>39.619293964182418</v>
      </c>
      <c r="Q38" s="45">
        <v>52.496429155637081</v>
      </c>
      <c r="R38" s="45">
        <v>33.998802285304123</v>
      </c>
      <c r="S38" s="45">
        <v>19.507067442493891</v>
      </c>
      <c r="T38" s="45">
        <v>11.495228310571207</v>
      </c>
      <c r="U38" s="45">
        <v>109.07033450724565</v>
      </c>
      <c r="V38" s="45">
        <v>117.15786849406328</v>
      </c>
      <c r="W38" s="45">
        <v>121.25820811993995</v>
      </c>
      <c r="X38" s="45">
        <v>108.38290794881515</v>
      </c>
      <c r="Y38" s="45">
        <v>214.86304942387187</v>
      </c>
    </row>
    <row r="39" spans="1:25" x14ac:dyDescent="0.25">
      <c r="A39" s="74" t="s">
        <v>19</v>
      </c>
      <c r="B39" s="44"/>
      <c r="C39" s="44"/>
      <c r="D39" s="45">
        <v>113.08385983336555</v>
      </c>
      <c r="E39" s="45">
        <v>103.29818005963233</v>
      </c>
      <c r="F39" s="45">
        <v>83.690432081123816</v>
      </c>
      <c r="G39" s="45">
        <v>117.14968105499692</v>
      </c>
      <c r="H39" s="45">
        <v>143.67869978837706</v>
      </c>
      <c r="I39" s="45">
        <v>137.6576001496791</v>
      </c>
      <c r="J39" s="45">
        <v>169.37831832646091</v>
      </c>
      <c r="K39" s="45">
        <v>140.22452723109006</v>
      </c>
      <c r="L39" s="45">
        <v>219.54381392024396</v>
      </c>
      <c r="M39" s="45">
        <v>84.004810391731368</v>
      </c>
      <c r="N39" s="45">
        <v>179.88034760846222</v>
      </c>
      <c r="O39" s="45">
        <v>189.77909955017401</v>
      </c>
      <c r="P39" s="45">
        <v>209.4289409462736</v>
      </c>
      <c r="Q39" s="45">
        <v>203.74464373345563</v>
      </c>
      <c r="R39" s="45">
        <v>75.998203427956184</v>
      </c>
      <c r="S39" s="45">
        <v>141.76060116374083</v>
      </c>
      <c r="T39" s="45">
        <v>167.2428424658568</v>
      </c>
      <c r="U39" s="45">
        <v>163.60550176086844</v>
      </c>
      <c r="V39" s="45">
        <v>175.73680274109489</v>
      </c>
      <c r="W39" s="45">
        <v>181.88731217990991</v>
      </c>
      <c r="X39" s="45">
        <v>162.57436192322268</v>
      </c>
      <c r="Y39" s="45">
        <v>197.29457413580781</v>
      </c>
    </row>
    <row r="40" spans="1:25" x14ac:dyDescent="0.25">
      <c r="A40" s="75" t="s">
        <v>273</v>
      </c>
      <c r="B40" s="76"/>
      <c r="C40" s="76"/>
      <c r="D40" s="45">
        <v>49.030763476498031</v>
      </c>
      <c r="E40" s="45">
        <v>37.043403651364834</v>
      </c>
      <c r="F40" s="45">
        <v>30.973004096084235</v>
      </c>
      <c r="G40" s="45">
        <v>53.633508785280128</v>
      </c>
      <c r="H40" s="45">
        <v>65.940160742519836</v>
      </c>
      <c r="I40" s="45">
        <v>59.592947308712723</v>
      </c>
      <c r="J40" s="45">
        <v>77.479377073727164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64.053096356867513</v>
      </c>
      <c r="E41" s="45">
        <v>66.254776408267503</v>
      </c>
      <c r="F41" s="45">
        <v>52.717427985039578</v>
      </c>
      <c r="G41" s="45">
        <v>63.51617226971679</v>
      </c>
      <c r="H41" s="45">
        <v>77.738539045857223</v>
      </c>
      <c r="I41" s="45">
        <v>78.064652840966374</v>
      </c>
      <c r="J41" s="45">
        <v>91.898941252733749</v>
      </c>
      <c r="K41" s="45">
        <v>140.22452723109006</v>
      </c>
      <c r="L41" s="45">
        <v>219.54381392024396</v>
      </c>
      <c r="M41" s="45">
        <v>84.004810391731368</v>
      </c>
      <c r="N41" s="45">
        <v>179.88034760846222</v>
      </c>
      <c r="O41" s="45">
        <v>189.77909955017401</v>
      </c>
      <c r="P41" s="45">
        <v>209.4289409462736</v>
      </c>
      <c r="Q41" s="45">
        <v>203.74464373345563</v>
      </c>
      <c r="R41" s="45">
        <v>75.998203427956184</v>
      </c>
      <c r="S41" s="45">
        <v>141.76060116374083</v>
      </c>
      <c r="T41" s="45">
        <v>167.2428424658568</v>
      </c>
      <c r="U41" s="45">
        <v>163.60550176086844</v>
      </c>
      <c r="V41" s="45">
        <v>175.73680274109489</v>
      </c>
      <c r="W41" s="45">
        <v>181.88731217990991</v>
      </c>
      <c r="X41" s="45">
        <v>162.57436192322268</v>
      </c>
      <c r="Y41" s="45">
        <v>197.29457413580781</v>
      </c>
    </row>
    <row r="42" spans="1:25" x14ac:dyDescent="0.25">
      <c r="A42" s="74" t="s">
        <v>13</v>
      </c>
      <c r="B42" s="44"/>
      <c r="C42" s="44"/>
      <c r="D42" s="45">
        <v>24.356531686746408</v>
      </c>
      <c r="E42" s="45">
        <v>22.248846117501628</v>
      </c>
      <c r="F42" s="45">
        <v>9.9238072101282739</v>
      </c>
      <c r="G42" s="45">
        <v>41.887278909250782</v>
      </c>
      <c r="H42" s="45">
        <v>69.769633127236602</v>
      </c>
      <c r="I42" s="45">
        <v>66.845818299894489</v>
      </c>
      <c r="J42" s="45">
        <v>94.553555051840348</v>
      </c>
      <c r="K42" s="45">
        <v>70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1522.5599395884465</v>
      </c>
      <c r="E43" s="66">
        <v>1722.5376041105542</v>
      </c>
      <c r="F43" s="66">
        <v>1636.5434004123613</v>
      </c>
      <c r="G43" s="66">
        <v>1740.3014638388327</v>
      </c>
      <c r="H43" s="66">
        <v>1770.1607363648852</v>
      </c>
      <c r="I43" s="66">
        <v>1802.5451291118238</v>
      </c>
      <c r="J43" s="66">
        <v>2033.9171655576079</v>
      </c>
      <c r="K43" s="66">
        <v>2006.1975311142392</v>
      </c>
      <c r="L43" s="66">
        <v>1848.2411086345576</v>
      </c>
      <c r="M43" s="66">
        <v>1633.0152631908632</v>
      </c>
      <c r="N43" s="66">
        <v>1892.8445895053978</v>
      </c>
      <c r="O43" s="66">
        <v>1978.9702610760282</v>
      </c>
      <c r="P43" s="66">
        <v>2130.5834948795764</v>
      </c>
      <c r="Q43" s="66">
        <v>2014.692583598362</v>
      </c>
      <c r="R43" s="66">
        <v>2360.0563449289562</v>
      </c>
      <c r="S43" s="66">
        <v>2720</v>
      </c>
      <c r="T43" s="66">
        <v>2641.2081304339254</v>
      </c>
      <c r="U43" s="66">
        <v>3039.1530013539941</v>
      </c>
      <c r="V43" s="66">
        <v>2817.2199112203025</v>
      </c>
      <c r="W43" s="66">
        <v>2621.396088925856</v>
      </c>
      <c r="X43" s="66">
        <v>2741.268214102658</v>
      </c>
      <c r="Y43" s="66">
        <v>3071.9092043078763</v>
      </c>
    </row>
    <row r="44" spans="1:25" x14ac:dyDescent="0.25">
      <c r="A44" s="73" t="s">
        <v>272</v>
      </c>
      <c r="B44" s="65"/>
      <c r="C44" s="65"/>
      <c r="D44" s="66">
        <v>664.21244729721229</v>
      </c>
      <c r="E44" s="66">
        <v>744.76166797883957</v>
      </c>
      <c r="F44" s="66">
        <v>670.8706608630647</v>
      </c>
      <c r="G44" s="66">
        <v>631.0691337745784</v>
      </c>
      <c r="H44" s="66">
        <v>658.74433301277645</v>
      </c>
      <c r="I44" s="66">
        <v>626.89629581123256</v>
      </c>
      <c r="J44" s="66">
        <v>731.86744708788638</v>
      </c>
      <c r="K44" s="66">
        <v>832.81856018795133</v>
      </c>
      <c r="L44" s="66">
        <v>713.73195077042351</v>
      </c>
      <c r="M44" s="66">
        <v>451.84056125112227</v>
      </c>
      <c r="N44" s="66">
        <v>501.02937484308308</v>
      </c>
      <c r="O44" s="66">
        <v>554.87385149492718</v>
      </c>
      <c r="P44" s="66">
        <v>644.79787266434573</v>
      </c>
      <c r="Q44" s="66">
        <v>730.46323297804236</v>
      </c>
      <c r="R44" s="66">
        <v>956.12853176547435</v>
      </c>
      <c r="S44" s="66">
        <v>1265.2</v>
      </c>
      <c r="T44" s="66">
        <v>1257.6148887092641</v>
      </c>
      <c r="U44" s="66">
        <v>1487.3251090717617</v>
      </c>
      <c r="V44" s="66">
        <v>1397.2100468094216</v>
      </c>
      <c r="W44" s="66">
        <v>1141.408022855283</v>
      </c>
      <c r="X44" s="66">
        <v>1260.1596251006811</v>
      </c>
      <c r="Y44" s="66">
        <v>1679.3162212969307</v>
      </c>
    </row>
    <row r="45" spans="1:25" x14ac:dyDescent="0.25">
      <c r="A45" s="74" t="s">
        <v>20</v>
      </c>
      <c r="B45" s="44"/>
      <c r="C45" s="44"/>
      <c r="D45" s="45">
        <v>535.37440628591185</v>
      </c>
      <c r="E45" s="45">
        <v>515.37111451554028</v>
      </c>
      <c r="F45" s="45">
        <v>543.48593061506745</v>
      </c>
      <c r="G45" s="45">
        <v>527.11742822944041</v>
      </c>
      <c r="H45" s="45">
        <v>384.67974242567897</v>
      </c>
      <c r="I45" s="45">
        <v>341.15051969750789</v>
      </c>
      <c r="J45" s="45">
        <v>368.60769785193622</v>
      </c>
      <c r="K45" s="45">
        <v>393.20893964750366</v>
      </c>
      <c r="L45" s="45">
        <v>404.45782798051511</v>
      </c>
      <c r="M45" s="45">
        <v>197.44293432822153</v>
      </c>
      <c r="N45" s="45">
        <v>261.00326742969639</v>
      </c>
      <c r="O45" s="45">
        <v>388.57233148870915</v>
      </c>
      <c r="P45" s="45">
        <v>347.78379769274807</v>
      </c>
      <c r="Q45" s="45">
        <v>434.29682689006904</v>
      </c>
      <c r="R45" s="45">
        <v>586.9495062358211</v>
      </c>
      <c r="S45" s="45">
        <v>937.93521890373313</v>
      </c>
      <c r="T45" s="45">
        <v>1045.0644821289468</v>
      </c>
      <c r="U45" s="45">
        <v>1178.4038460577615</v>
      </c>
      <c r="V45" s="45">
        <v>1108.6308790838145</v>
      </c>
      <c r="W45" s="45">
        <v>836.14256037603468</v>
      </c>
      <c r="X45" s="45">
        <v>894.27490555326744</v>
      </c>
      <c r="Y45" s="45">
        <v>1102.737432024127</v>
      </c>
    </row>
    <row r="46" spans="1:25" x14ac:dyDescent="0.25">
      <c r="A46" s="74" t="s">
        <v>12</v>
      </c>
      <c r="B46" s="44"/>
      <c r="C46" s="44"/>
      <c r="D46" s="45">
        <v>128.83804101130045</v>
      </c>
      <c r="E46" s="45">
        <v>229.39055346329928</v>
      </c>
      <c r="F46" s="45">
        <v>127.38473024799725</v>
      </c>
      <c r="G46" s="45">
        <v>103.951705545138</v>
      </c>
      <c r="H46" s="45">
        <v>274.06459058709748</v>
      </c>
      <c r="I46" s="45">
        <v>285.74577611372467</v>
      </c>
      <c r="J46" s="45">
        <v>363.25974923595015</v>
      </c>
      <c r="K46" s="45">
        <v>439.60962054044768</v>
      </c>
      <c r="L46" s="45">
        <v>309.2741227899084</v>
      </c>
      <c r="M46" s="45">
        <v>254.39762692290074</v>
      </c>
      <c r="N46" s="45">
        <v>240.02610741338668</v>
      </c>
      <c r="O46" s="45">
        <v>166.30152000621803</v>
      </c>
      <c r="P46" s="45">
        <v>297.01407497159767</v>
      </c>
      <c r="Q46" s="45">
        <v>296.16640608797331</v>
      </c>
      <c r="R46" s="45">
        <v>369.17902552965325</v>
      </c>
      <c r="S46" s="45">
        <v>327.26478109626692</v>
      </c>
      <c r="T46" s="45">
        <v>212.55040658031726</v>
      </c>
      <c r="U46" s="45">
        <v>308.92126301400026</v>
      </c>
      <c r="V46" s="45">
        <v>288.57916772560702</v>
      </c>
      <c r="W46" s="45">
        <v>305.2654624792483</v>
      </c>
      <c r="X46" s="45">
        <v>365.88471954741362</v>
      </c>
      <c r="Y46" s="45">
        <v>576.57878927280376</v>
      </c>
    </row>
    <row r="47" spans="1:25" x14ac:dyDescent="0.25">
      <c r="A47" s="73" t="s">
        <v>11</v>
      </c>
      <c r="B47" s="65"/>
      <c r="C47" s="65"/>
      <c r="D47" s="66">
        <v>858.34749229123406</v>
      </c>
      <c r="E47" s="66">
        <v>977.7759361317145</v>
      </c>
      <c r="F47" s="66">
        <v>965.67273954929647</v>
      </c>
      <c r="G47" s="66">
        <v>1109.2323300642543</v>
      </c>
      <c r="H47" s="66">
        <v>1111.4164033521088</v>
      </c>
      <c r="I47" s="66">
        <v>1175.6488333005914</v>
      </c>
      <c r="J47" s="66">
        <v>1302.0497184697215</v>
      </c>
      <c r="K47" s="66">
        <v>1173.3789709262878</v>
      </c>
      <c r="L47" s="66">
        <v>1134.5091578641341</v>
      </c>
      <c r="M47" s="66">
        <v>1181.1747019397408</v>
      </c>
      <c r="N47" s="66">
        <v>1391.8152146623147</v>
      </c>
      <c r="O47" s="66">
        <v>1424.0964095811012</v>
      </c>
      <c r="P47" s="66">
        <v>1485.7856222152304</v>
      </c>
      <c r="Q47" s="66">
        <v>1284.2293506203198</v>
      </c>
      <c r="R47" s="66">
        <v>1403.9278131634819</v>
      </c>
      <c r="S47" s="66">
        <v>1454.8</v>
      </c>
      <c r="T47" s="66">
        <v>1383.5932417246613</v>
      </c>
      <c r="U47" s="66">
        <v>1551.8278922822326</v>
      </c>
      <c r="V47" s="66">
        <v>1420.0098644108807</v>
      </c>
      <c r="W47" s="66">
        <v>1479.988066070573</v>
      </c>
      <c r="X47" s="66">
        <v>1481.108589001977</v>
      </c>
      <c r="Y47" s="66">
        <v>1392.5929830109455</v>
      </c>
    </row>
    <row r="48" spans="1:25" x14ac:dyDescent="0.25">
      <c r="A48" s="72" t="s">
        <v>4</v>
      </c>
      <c r="B48" s="65"/>
      <c r="C48" s="65"/>
      <c r="D48" s="66">
        <v>747.59297715688137</v>
      </c>
      <c r="E48" s="66">
        <v>768.24265528529406</v>
      </c>
      <c r="F48" s="66">
        <v>756.71895535165254</v>
      </c>
      <c r="G48" s="66">
        <v>770.81018406686326</v>
      </c>
      <c r="H48" s="66">
        <v>727.66405641800611</v>
      </c>
      <c r="I48" s="66">
        <v>770.30537183768786</v>
      </c>
      <c r="J48" s="66">
        <v>861.05980014688532</v>
      </c>
      <c r="K48" s="66">
        <v>984.51629889922935</v>
      </c>
      <c r="L48" s="66">
        <v>924.79891462350997</v>
      </c>
      <c r="M48" s="66">
        <v>642.26504917211275</v>
      </c>
      <c r="N48" s="66">
        <v>616.21893045443142</v>
      </c>
      <c r="O48" s="66">
        <v>582.60756791268864</v>
      </c>
      <c r="P48" s="66">
        <v>554.67029342210753</v>
      </c>
      <c r="Q48" s="66">
        <v>603.96069784691667</v>
      </c>
      <c r="R48" s="66">
        <v>647.35423811856936</v>
      </c>
      <c r="S48" s="66">
        <v>716.00000000000023</v>
      </c>
      <c r="T48" s="66">
        <v>736.05662125662889</v>
      </c>
      <c r="U48" s="66">
        <v>764.7246878290955</v>
      </c>
      <c r="V48" s="66">
        <v>815.67510725220336</v>
      </c>
      <c r="W48" s="66">
        <v>886.45589418582608</v>
      </c>
      <c r="X48" s="66">
        <v>798.85772863732882</v>
      </c>
      <c r="Y48" s="66">
        <v>887.48923909415134</v>
      </c>
    </row>
    <row r="49" spans="1:25" x14ac:dyDescent="0.25">
      <c r="A49" s="77" t="s">
        <v>10</v>
      </c>
      <c r="B49" s="44"/>
      <c r="C49" s="44"/>
      <c r="D49" s="45">
        <v>335.06778408809976</v>
      </c>
      <c r="E49" s="45">
        <v>324.70955047139518</v>
      </c>
      <c r="F49" s="45">
        <v>317.73275511970024</v>
      </c>
      <c r="G49" s="45">
        <v>289.8016313781107</v>
      </c>
      <c r="H49" s="45">
        <v>292.1821053439279</v>
      </c>
      <c r="I49" s="45">
        <v>296.87966610813532</v>
      </c>
      <c r="J49" s="45">
        <v>363.30871703613519</v>
      </c>
      <c r="K49" s="45">
        <v>394.21040784651007</v>
      </c>
      <c r="L49" s="45">
        <v>380.36816797288952</v>
      </c>
      <c r="M49" s="45">
        <v>309.63661252981655</v>
      </c>
      <c r="N49" s="45">
        <v>247.73598726291868</v>
      </c>
      <c r="O49" s="45">
        <v>186.78202098800901</v>
      </c>
      <c r="P49" s="45">
        <v>176.36087461287664</v>
      </c>
      <c r="Q49" s="45">
        <v>184.37014836100113</v>
      </c>
      <c r="R49" s="45">
        <v>204.60579963773048</v>
      </c>
      <c r="S49" s="45">
        <v>228.01883025710399</v>
      </c>
      <c r="T49" s="45">
        <v>246.01113770998276</v>
      </c>
      <c r="U49" s="45">
        <v>301.96189462523421</v>
      </c>
      <c r="V49" s="45">
        <v>177.06435454490202</v>
      </c>
      <c r="W49" s="45">
        <v>306.04682186686517</v>
      </c>
      <c r="X49" s="45">
        <v>256.59086971833858</v>
      </c>
      <c r="Y49" s="45">
        <v>275.70410065380997</v>
      </c>
    </row>
    <row r="50" spans="1:25" x14ac:dyDescent="0.25">
      <c r="A50" s="77" t="s">
        <v>18</v>
      </c>
      <c r="B50" s="44"/>
      <c r="C50" s="44"/>
      <c r="D50" s="45">
        <v>112.5533277437639</v>
      </c>
      <c r="E50" s="45">
        <v>106.37312858518534</v>
      </c>
      <c r="F50" s="45">
        <v>104.61407718577469</v>
      </c>
      <c r="G50" s="45">
        <v>87.87451213223811</v>
      </c>
      <c r="H50" s="45">
        <v>84.093760225046239</v>
      </c>
      <c r="I50" s="45">
        <v>105.70281211517293</v>
      </c>
      <c r="J50" s="45">
        <v>108.70425368792084</v>
      </c>
      <c r="K50" s="45">
        <v>126.43223281903815</v>
      </c>
      <c r="L50" s="45">
        <v>129.33514304589414</v>
      </c>
      <c r="M50" s="45">
        <v>92.31073634425104</v>
      </c>
      <c r="N50" s="45">
        <v>105.72635871722426</v>
      </c>
      <c r="O50" s="45">
        <v>112.64306408572737</v>
      </c>
      <c r="P50" s="45">
        <v>99.600087152046413</v>
      </c>
      <c r="Q50" s="45">
        <v>122.56429367006319</v>
      </c>
      <c r="R50" s="45">
        <v>124.40829149093436</v>
      </c>
      <c r="S50" s="45">
        <v>126.4912260027895</v>
      </c>
      <c r="T50" s="45">
        <v>142.43237130890185</v>
      </c>
      <c r="U50" s="45">
        <v>141.85951358588963</v>
      </c>
      <c r="V50" s="45">
        <v>138.16990590821419</v>
      </c>
      <c r="W50" s="45">
        <v>132.59468250178406</v>
      </c>
      <c r="X50" s="45">
        <v>102.7312106670891</v>
      </c>
      <c r="Y50" s="45">
        <v>110.80737216374347</v>
      </c>
    </row>
    <row r="51" spans="1:25" x14ac:dyDescent="0.25">
      <c r="A51" s="77" t="s">
        <v>9</v>
      </c>
      <c r="B51" s="44"/>
      <c r="C51" s="44"/>
      <c r="D51" s="45">
        <v>299.97186532501769</v>
      </c>
      <c r="E51" s="45">
        <v>337.15997622871356</v>
      </c>
      <c r="F51" s="45">
        <v>334.37212304617759</v>
      </c>
      <c r="G51" s="45">
        <v>393.13404055651444</v>
      </c>
      <c r="H51" s="45">
        <v>351.38819084903196</v>
      </c>
      <c r="I51" s="45">
        <v>367.72289361437959</v>
      </c>
      <c r="J51" s="45">
        <v>389.04682942282932</v>
      </c>
      <c r="K51" s="45">
        <v>463.87365823368111</v>
      </c>
      <c r="L51" s="45">
        <v>415.09560360472631</v>
      </c>
      <c r="M51" s="45">
        <v>240.31770029804517</v>
      </c>
      <c r="N51" s="45">
        <v>262.7565844742885</v>
      </c>
      <c r="O51" s="45">
        <v>283.1824828389523</v>
      </c>
      <c r="P51" s="45">
        <v>278.70933165718452</v>
      </c>
      <c r="Q51" s="45">
        <v>297.02625581585232</v>
      </c>
      <c r="R51" s="45">
        <v>318.34014698990455</v>
      </c>
      <c r="S51" s="45">
        <v>361.4899437401067</v>
      </c>
      <c r="T51" s="45">
        <v>347.61311223774425</v>
      </c>
      <c r="U51" s="45">
        <v>320.90327961797163</v>
      </c>
      <c r="V51" s="45">
        <v>500.44084679908713</v>
      </c>
      <c r="W51" s="45">
        <v>447.81438981717679</v>
      </c>
      <c r="X51" s="45">
        <v>439.53564825190114</v>
      </c>
      <c r="Y51" s="45">
        <v>500.97776627659789</v>
      </c>
    </row>
    <row r="52" spans="1:25" x14ac:dyDescent="0.25">
      <c r="A52" s="72" t="s">
        <v>3</v>
      </c>
      <c r="B52" s="65"/>
      <c r="C52" s="65"/>
      <c r="D52" s="66">
        <v>562.26795041218293</v>
      </c>
      <c r="E52" s="66">
        <v>656.91515076175085</v>
      </c>
      <c r="F52" s="66">
        <v>676.65818633420542</v>
      </c>
      <c r="G52" s="66">
        <v>654.37943862022325</v>
      </c>
      <c r="H52" s="66">
        <v>634.35911526308553</v>
      </c>
      <c r="I52" s="66">
        <v>624.05867330233764</v>
      </c>
      <c r="J52" s="66">
        <v>601.89615649967732</v>
      </c>
      <c r="K52" s="66">
        <v>630.79119788554817</v>
      </c>
      <c r="L52" s="66">
        <v>580.38569628840014</v>
      </c>
      <c r="M52" s="66">
        <v>531.60169544609857</v>
      </c>
      <c r="N52" s="66">
        <v>551.4436354506654</v>
      </c>
      <c r="O52" s="66">
        <v>562.45573080337999</v>
      </c>
      <c r="P52" s="66">
        <v>562.38391506896585</v>
      </c>
      <c r="Q52" s="66">
        <v>592.58055010821295</v>
      </c>
      <c r="R52" s="66">
        <v>618.16103217377099</v>
      </c>
      <c r="S52" s="66">
        <v>630.5</v>
      </c>
      <c r="T52" s="66">
        <v>661.23849141415144</v>
      </c>
      <c r="U52" s="66">
        <v>672.10771776741387</v>
      </c>
      <c r="V52" s="66">
        <v>697.39523716463316</v>
      </c>
      <c r="W52" s="66">
        <v>732.30930575269667</v>
      </c>
      <c r="X52" s="66">
        <v>698.26828732518129</v>
      </c>
      <c r="Y52" s="66">
        <v>720.93676979567476</v>
      </c>
    </row>
    <row r="53" spans="1:25" x14ac:dyDescent="0.25">
      <c r="A53" s="73" t="s">
        <v>21</v>
      </c>
      <c r="B53" s="65"/>
      <c r="C53" s="65"/>
      <c r="D53" s="66">
        <v>243.21943238310993</v>
      </c>
      <c r="E53" s="66">
        <v>301.52350170582469</v>
      </c>
      <c r="F53" s="66">
        <v>300.58960415737249</v>
      </c>
      <c r="G53" s="66">
        <v>298.80670563795348</v>
      </c>
      <c r="H53" s="66">
        <v>271.21399459632732</v>
      </c>
      <c r="I53" s="66">
        <v>258.11450898216663</v>
      </c>
      <c r="J53" s="66">
        <v>251.81937551465515</v>
      </c>
      <c r="K53" s="66">
        <v>276.05342838914828</v>
      </c>
      <c r="L53" s="66">
        <v>265.91724004263978</v>
      </c>
      <c r="M53" s="66">
        <v>266.53164345520224</v>
      </c>
      <c r="N53" s="66">
        <v>293.7484308310319</v>
      </c>
      <c r="O53" s="66">
        <v>293.49853849300172</v>
      </c>
      <c r="P53" s="66">
        <v>303.06413470419278</v>
      </c>
      <c r="Q53" s="66">
        <v>321.99721592814245</v>
      </c>
      <c r="R53" s="66">
        <v>356.23877184386737</v>
      </c>
      <c r="S53" s="66">
        <v>365.7</v>
      </c>
      <c r="T53" s="66">
        <v>411.35185221694303</v>
      </c>
      <c r="U53" s="66">
        <v>405.54009327516172</v>
      </c>
      <c r="V53" s="66">
        <v>433.84795778776629</v>
      </c>
      <c r="W53" s="66">
        <v>472.74634071368519</v>
      </c>
      <c r="X53" s="66">
        <v>462.67481877425496</v>
      </c>
      <c r="Y53" s="66">
        <v>441.76812663609695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7.0882247817220216</v>
      </c>
      <c r="Y54" s="45">
        <v>6.5412642297548151</v>
      </c>
    </row>
    <row r="55" spans="1:25" x14ac:dyDescent="0.25">
      <c r="A55" s="74" t="s">
        <v>17</v>
      </c>
      <c r="B55" s="44"/>
      <c r="C55" s="44"/>
      <c r="D55" s="45">
        <v>243.21943238310993</v>
      </c>
      <c r="E55" s="45">
        <v>301.52350170582469</v>
      </c>
      <c r="F55" s="45">
        <v>300.58960415737249</v>
      </c>
      <c r="G55" s="45">
        <v>298.80670563795348</v>
      </c>
      <c r="H55" s="45">
        <v>271.21399459632732</v>
      </c>
      <c r="I55" s="45">
        <v>258.11450898216663</v>
      </c>
      <c r="J55" s="45">
        <v>251.81937551465515</v>
      </c>
      <c r="K55" s="45">
        <v>276.05342838914828</v>
      </c>
      <c r="L55" s="45">
        <v>265.91724004263978</v>
      </c>
      <c r="M55" s="45">
        <v>266.53164345520224</v>
      </c>
      <c r="N55" s="45">
        <v>293.7484308310319</v>
      </c>
      <c r="O55" s="45">
        <v>293.49853849300172</v>
      </c>
      <c r="P55" s="45">
        <v>303.06413470419278</v>
      </c>
      <c r="Q55" s="45">
        <v>321.99721592814245</v>
      </c>
      <c r="R55" s="45">
        <v>356.23877184386737</v>
      </c>
      <c r="S55" s="45">
        <v>365.7</v>
      </c>
      <c r="T55" s="45">
        <v>411.35185221694303</v>
      </c>
      <c r="U55" s="45">
        <v>405.54009327516172</v>
      </c>
      <c r="V55" s="45">
        <v>433.84795778776629</v>
      </c>
      <c r="W55" s="45">
        <v>472.74634071368519</v>
      </c>
      <c r="X55" s="45">
        <v>455.58659399253293</v>
      </c>
      <c r="Y55" s="45">
        <v>435.22686240634215</v>
      </c>
    </row>
    <row r="56" spans="1:25" x14ac:dyDescent="0.25">
      <c r="A56" s="73" t="s">
        <v>16</v>
      </c>
      <c r="B56" s="65"/>
      <c r="C56" s="65"/>
      <c r="D56" s="66">
        <v>319.04851802907297</v>
      </c>
      <c r="E56" s="66">
        <v>355.39164905592617</v>
      </c>
      <c r="F56" s="66">
        <v>376.06858217683293</v>
      </c>
      <c r="G56" s="66">
        <v>355.57273298226977</v>
      </c>
      <c r="H56" s="66">
        <v>363.1451206667582</v>
      </c>
      <c r="I56" s="66">
        <v>365.94416432017101</v>
      </c>
      <c r="J56" s="66">
        <v>350.0767809850222</v>
      </c>
      <c r="K56" s="66">
        <v>354.73776949639989</v>
      </c>
      <c r="L56" s="66">
        <v>314.46845624576036</v>
      </c>
      <c r="M56" s="66">
        <v>265.07005199089633</v>
      </c>
      <c r="N56" s="66">
        <v>257.6952046196335</v>
      </c>
      <c r="O56" s="66">
        <v>268.95719231037828</v>
      </c>
      <c r="P56" s="66">
        <v>259.31978036477307</v>
      </c>
      <c r="Q56" s="66">
        <v>270.58333418007049</v>
      </c>
      <c r="R56" s="66">
        <v>261.92226032990362</v>
      </c>
      <c r="S56" s="66">
        <v>264.8</v>
      </c>
      <c r="T56" s="66">
        <v>249.88663919720841</v>
      </c>
      <c r="U56" s="66">
        <v>266.56762449225215</v>
      </c>
      <c r="V56" s="66">
        <v>263.54727937686687</v>
      </c>
      <c r="W56" s="66">
        <v>259.56296503901149</v>
      </c>
      <c r="X56" s="66">
        <v>235.59346855092633</v>
      </c>
      <c r="Y56" s="66">
        <v>279.16864315957781</v>
      </c>
    </row>
    <row r="57" spans="1:25" x14ac:dyDescent="0.25">
      <c r="A57" s="72" t="s">
        <v>2</v>
      </c>
      <c r="B57" s="65"/>
      <c r="C57" s="65"/>
      <c r="D57" s="66">
        <v>2241.9923226983828</v>
      </c>
      <c r="E57" s="66">
        <v>2487.4652964819957</v>
      </c>
      <c r="F57" s="66">
        <v>2656.8359115955486</v>
      </c>
      <c r="G57" s="66">
        <v>2443.3547514372672</v>
      </c>
      <c r="H57" s="66">
        <v>2452.1454412236112</v>
      </c>
      <c r="I57" s="66">
        <v>2245.6507978084824</v>
      </c>
      <c r="J57" s="66">
        <v>2279.9501479981304</v>
      </c>
      <c r="K57" s="66">
        <v>2059.8689606983362</v>
      </c>
      <c r="L57" s="66">
        <v>1888.0705494718482</v>
      </c>
      <c r="M57" s="66">
        <v>2179.441672060635</v>
      </c>
      <c r="N57" s="66">
        <v>1968.7672608586493</v>
      </c>
      <c r="O57" s="66">
        <v>1871.7265734893604</v>
      </c>
      <c r="P57" s="66">
        <v>1835.0299917789032</v>
      </c>
      <c r="Q57" s="66">
        <v>2003.6172612455166</v>
      </c>
      <c r="R57" s="66">
        <v>2073.1259186673201</v>
      </c>
      <c r="S57" s="66">
        <v>2102.9</v>
      </c>
      <c r="T57" s="66">
        <v>2147.1521794846517</v>
      </c>
      <c r="U57" s="66">
        <v>2145.0466375808637</v>
      </c>
      <c r="V57" s="66">
        <v>2297.5701908670444</v>
      </c>
      <c r="W57" s="66">
        <v>2244.8444520789449</v>
      </c>
      <c r="X57" s="66">
        <v>2230.9072270630445</v>
      </c>
      <c r="Y57" s="66">
        <v>2243.6269084137107</v>
      </c>
    </row>
    <row r="58" spans="1:25" x14ac:dyDescent="0.25">
      <c r="A58" s="72" t="s">
        <v>275</v>
      </c>
      <c r="B58" s="65"/>
      <c r="C58" s="65"/>
      <c r="D58" s="66">
        <v>2079.6362721037067</v>
      </c>
      <c r="E58" s="66">
        <v>1904.99868782718</v>
      </c>
      <c r="F58" s="66">
        <v>1926.1608208640293</v>
      </c>
      <c r="G58" s="66">
        <v>2263.032030532876</v>
      </c>
      <c r="H58" s="66">
        <v>2296.5608829051612</v>
      </c>
      <c r="I58" s="66">
        <v>2574.7058695130204</v>
      </c>
      <c r="J58" s="66">
        <v>3270.4248547837892</v>
      </c>
      <c r="K58" s="66">
        <v>3611.4796099201008</v>
      </c>
      <c r="L58" s="66">
        <v>3444.0352747359243</v>
      </c>
      <c r="M58" s="66">
        <v>2595.0556448750335</v>
      </c>
      <c r="N58" s="66">
        <v>3203.1132312327391</v>
      </c>
      <c r="O58" s="66">
        <v>3053.9011761889083</v>
      </c>
      <c r="P58" s="66">
        <v>2760.3601043368822</v>
      </c>
      <c r="Q58" s="66">
        <v>3509.4546673846999</v>
      </c>
      <c r="R58" s="66">
        <v>4042.9528009145843</v>
      </c>
      <c r="S58" s="66">
        <v>4676.1000000000004</v>
      </c>
      <c r="T58" s="66">
        <v>4998.2256569997835</v>
      </c>
      <c r="U58" s="66">
        <v>4737.6636076425457</v>
      </c>
      <c r="V58" s="66">
        <v>4853.383213750617</v>
      </c>
      <c r="W58" s="66">
        <v>4637.2356679836184</v>
      </c>
      <c r="X58" s="66">
        <v>4108.3327231456406</v>
      </c>
      <c r="Y58" s="66">
        <v>3700.5217941284991</v>
      </c>
    </row>
    <row r="59" spans="1:25" x14ac:dyDescent="0.25">
      <c r="A59" s="72" t="s">
        <v>276</v>
      </c>
      <c r="B59" s="65"/>
      <c r="C59" s="65"/>
      <c r="D59" s="66">
        <v>4303.5365930400858</v>
      </c>
      <c r="E59" s="66">
        <v>4261.2467023025183</v>
      </c>
      <c r="F59" s="66">
        <v>4345.5876146954915</v>
      </c>
      <c r="G59" s="66">
        <v>5030.5570317406637</v>
      </c>
      <c r="H59" s="66">
        <v>5746.5540138297383</v>
      </c>
      <c r="I59" s="66">
        <v>6334.0099971623767</v>
      </c>
      <c r="J59" s="66">
        <v>6218.369572474573</v>
      </c>
      <c r="K59" s="66">
        <v>5914.8953407123108</v>
      </c>
      <c r="L59" s="66">
        <v>5832.251187130536</v>
      </c>
      <c r="M59" s="66">
        <v>5488.9023448103053</v>
      </c>
      <c r="N59" s="66">
        <v>5706.653276424805</v>
      </c>
      <c r="O59" s="66">
        <v>6503.4567383952353</v>
      </c>
      <c r="P59" s="66">
        <v>6534.7569701706134</v>
      </c>
      <c r="Q59" s="66">
        <v>6477.2346240994948</v>
      </c>
      <c r="R59" s="66">
        <v>6800.7920953780822</v>
      </c>
      <c r="S59" s="66">
        <v>7284.7999999999993</v>
      </c>
      <c r="T59" s="66">
        <v>6412.9684758393632</v>
      </c>
      <c r="U59" s="66">
        <v>6486.5728900255754</v>
      </c>
      <c r="V59" s="66">
        <v>6570.4421303405088</v>
      </c>
      <c r="W59" s="66">
        <v>6600.5478758509707</v>
      </c>
      <c r="X59" s="66">
        <v>6395.6212931097598</v>
      </c>
      <c r="Y59" s="66">
        <v>6596.1278307770699</v>
      </c>
    </row>
    <row r="60" spans="1:25" x14ac:dyDescent="0.25">
      <c r="A60" s="72" t="s">
        <v>1</v>
      </c>
      <c r="B60" s="65"/>
      <c r="C60" s="65"/>
      <c r="D60" s="66">
        <v>1107.3878295890756</v>
      </c>
      <c r="E60" s="66">
        <v>1131.9217116258512</v>
      </c>
      <c r="F60" s="66">
        <v>981.82958148956436</v>
      </c>
      <c r="G60" s="66">
        <v>819.72559060824187</v>
      </c>
      <c r="H60" s="66">
        <v>752.9651508906901</v>
      </c>
      <c r="I60" s="66">
        <v>630.71617226551416</v>
      </c>
      <c r="J60" s="66">
        <v>638.39494358266757</v>
      </c>
      <c r="K60" s="66">
        <v>557.17019919189067</v>
      </c>
      <c r="L60" s="66">
        <v>493.74939432115514</v>
      </c>
      <c r="M60" s="66">
        <v>438.16424112083183</v>
      </c>
      <c r="N60" s="66">
        <v>422.19432588501127</v>
      </c>
      <c r="O60" s="66">
        <v>461.39726054729198</v>
      </c>
      <c r="P60" s="66">
        <v>450.84088625452921</v>
      </c>
      <c r="Q60" s="66">
        <v>457.74612109696494</v>
      </c>
      <c r="R60" s="66">
        <v>464.94773803690998</v>
      </c>
      <c r="S60" s="66">
        <v>454.3</v>
      </c>
      <c r="T60" s="66">
        <v>467.83510439051321</v>
      </c>
      <c r="U60" s="66">
        <v>472.29953362419133</v>
      </c>
      <c r="V60" s="66">
        <v>483.82143555096462</v>
      </c>
      <c r="W60" s="66">
        <v>472.47511504488784</v>
      </c>
      <c r="X60" s="66">
        <v>400.80178662956723</v>
      </c>
      <c r="Y60" s="66">
        <v>406.10341010910241</v>
      </c>
    </row>
    <row r="61" spans="1:25" x14ac:dyDescent="0.25">
      <c r="A61" s="72" t="s">
        <v>0</v>
      </c>
      <c r="B61" s="65"/>
      <c r="C61" s="65"/>
      <c r="D61" s="66">
        <v>343.74803347806937</v>
      </c>
      <c r="E61" s="66">
        <v>365.88903161645874</v>
      </c>
      <c r="F61" s="66">
        <v>320.84594330636514</v>
      </c>
      <c r="G61" s="66">
        <v>313.6624957727426</v>
      </c>
      <c r="H61" s="66">
        <v>325.47969043366766</v>
      </c>
      <c r="I61" s="66">
        <v>294.89446227053458</v>
      </c>
      <c r="J61" s="66">
        <v>291.54518950437318</v>
      </c>
      <c r="K61" s="66">
        <v>297.92706761587459</v>
      </c>
      <c r="L61" s="66">
        <v>291.59802306425036</v>
      </c>
      <c r="M61" s="66">
        <v>225.50268306433091</v>
      </c>
      <c r="N61" s="66">
        <v>224.6547828270148</v>
      </c>
      <c r="O61" s="66">
        <v>220.17378465467533</v>
      </c>
      <c r="P61" s="66">
        <v>215.47393100368427</v>
      </c>
      <c r="Q61" s="66">
        <v>220.69357936128921</v>
      </c>
      <c r="R61" s="66">
        <v>235.99542707822962</v>
      </c>
      <c r="S61" s="66">
        <v>249.3</v>
      </c>
      <c r="T61" s="66">
        <v>254.51964591999686</v>
      </c>
      <c r="U61" s="66">
        <v>265.34526854219951</v>
      </c>
      <c r="V61" s="66">
        <v>278.43695617781998</v>
      </c>
      <c r="W61" s="66">
        <v>291.0251426194975</v>
      </c>
      <c r="X61" s="66">
        <v>297.2834443874936</v>
      </c>
      <c r="Y61" s="66">
        <v>373.33754985154343</v>
      </c>
    </row>
    <row r="62" spans="1:25" x14ac:dyDescent="0.25">
      <c r="A62" s="78" t="s">
        <v>277</v>
      </c>
      <c r="B62" s="79"/>
      <c r="C62" s="79"/>
      <c r="D62" s="80">
        <v>1017.8717513057705</v>
      </c>
      <c r="E62" s="80">
        <v>1135.2366745397037</v>
      </c>
      <c r="F62" s="80">
        <v>1166.7892496714376</v>
      </c>
      <c r="G62" s="80">
        <v>1188.2216532199623</v>
      </c>
      <c r="H62" s="80">
        <v>1215.4828960021982</v>
      </c>
      <c r="I62" s="80">
        <v>1228.4722676969418</v>
      </c>
      <c r="J62" s="80">
        <v>1272.2275387799614</v>
      </c>
      <c r="K62" s="80">
        <v>1359.4061712017337</v>
      </c>
      <c r="L62" s="80">
        <v>1367.9620118228511</v>
      </c>
      <c r="M62" s="80">
        <v>1379.6379429144133</v>
      </c>
      <c r="N62" s="80">
        <v>1508.7120261109717</v>
      </c>
      <c r="O62" s="80">
        <v>1621.724079450114</v>
      </c>
      <c r="P62" s="80">
        <v>1782.3540755325951</v>
      </c>
      <c r="Q62" s="80">
        <v>1845.8193198329557</v>
      </c>
      <c r="R62" s="80">
        <v>1968.0916217540421</v>
      </c>
      <c r="S62" s="80">
        <v>2154.5</v>
      </c>
      <c r="T62" s="80">
        <v>2326.163673284309</v>
      </c>
      <c r="U62" s="80">
        <v>2238.6038814502781</v>
      </c>
      <c r="V62" s="80">
        <v>2370.6226676717197</v>
      </c>
      <c r="W62" s="80">
        <v>2474.1205507689247</v>
      </c>
      <c r="X62" s="80">
        <v>2448.8357618803543</v>
      </c>
      <c r="Y62" s="80">
        <v>2485.0225759412497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5.7886301714861373E-2</v>
      </c>
      <c r="E66" s="83">
        <f t="shared" ref="E66:S66" si="49">E24/E$23</f>
        <v>5.6865705311746235E-2</v>
      </c>
      <c r="F66" s="83">
        <f t="shared" si="49"/>
        <v>4.9081665251291894E-2</v>
      </c>
      <c r="G66" s="83">
        <f t="shared" si="49"/>
        <v>4.5396772511746002E-2</v>
      </c>
      <c r="H66" s="83">
        <f t="shared" si="49"/>
        <v>5.0842453706476012E-2</v>
      </c>
      <c r="I66" s="83">
        <f t="shared" si="49"/>
        <v>4.3179140315009773E-2</v>
      </c>
      <c r="J66" s="83">
        <f t="shared" si="49"/>
        <v>4.0715000000000001E-2</v>
      </c>
      <c r="K66" s="83">
        <f t="shared" si="49"/>
        <v>4.0532977954155634E-2</v>
      </c>
      <c r="L66" s="83">
        <f t="shared" si="49"/>
        <v>4.0303154356631912E-2</v>
      </c>
      <c r="M66" s="83">
        <f t="shared" si="49"/>
        <v>3.5949837320645543E-2</v>
      </c>
      <c r="N66" s="83">
        <f t="shared" si="49"/>
        <v>3.574085049811921E-2</v>
      </c>
      <c r="O66" s="83">
        <f t="shared" si="49"/>
        <v>4.6949037310058984E-2</v>
      </c>
      <c r="P66" s="83">
        <f t="shared" si="49"/>
        <v>4.6223068044735902E-2</v>
      </c>
      <c r="Q66" s="83">
        <f t="shared" si="49"/>
        <v>4.6383364623882199E-2</v>
      </c>
      <c r="R66" s="83">
        <f t="shared" si="49"/>
        <v>4.6582647278947939E-2</v>
      </c>
      <c r="S66" s="83">
        <f t="shared" si="49"/>
        <v>4.497771791458622E-2</v>
      </c>
      <c r="T66" s="83">
        <f t="shared" ref="T66:Y66" si="50">T24/T$23</f>
        <v>4.5857605670220694E-2</v>
      </c>
      <c r="U66" s="83">
        <f t="shared" si="50"/>
        <v>4.4266262198331192E-2</v>
      </c>
      <c r="V66" s="83">
        <f t="shared" si="50"/>
        <v>4.1280950487053249E-2</v>
      </c>
      <c r="W66" s="83">
        <f t="shared" si="50"/>
        <v>3.9454083067010058E-2</v>
      </c>
      <c r="X66" s="83">
        <f t="shared" si="50"/>
        <v>4.0168155760632401E-2</v>
      </c>
      <c r="Y66" s="83">
        <f t="shared" si="50"/>
        <v>4.1194662082831332E-2</v>
      </c>
    </row>
    <row r="67" spans="1:25" x14ac:dyDescent="0.25">
      <c r="A67" s="64" t="s">
        <v>56</v>
      </c>
      <c r="B67" s="65"/>
      <c r="C67" s="65"/>
      <c r="D67" s="83">
        <f t="shared" si="46"/>
        <v>2.5390938022300065E-3</v>
      </c>
      <c r="E67" s="83">
        <f t="shared" ref="E67:S67" si="51">E25/E$23</f>
        <v>2.253958888869608E-3</v>
      </c>
      <c r="F67" s="83">
        <f t="shared" si="51"/>
        <v>2.3871405844400808E-3</v>
      </c>
      <c r="G67" s="83">
        <f t="shared" si="51"/>
        <v>2.3183496682122333E-3</v>
      </c>
      <c r="H67" s="83">
        <f t="shared" si="51"/>
        <v>2.2323386915960733E-3</v>
      </c>
      <c r="I67" s="83">
        <f t="shared" si="51"/>
        <v>2.3921890822935971E-3</v>
      </c>
      <c r="J67" s="83">
        <f t="shared" si="51"/>
        <v>2.40625E-3</v>
      </c>
      <c r="K67" s="83">
        <f t="shared" si="51"/>
        <v>1.9263579574929877E-3</v>
      </c>
      <c r="L67" s="83">
        <f t="shared" si="51"/>
        <v>2.4196328535723522E-3</v>
      </c>
      <c r="M67" s="83">
        <f t="shared" si="51"/>
        <v>2.5436909378213027E-3</v>
      </c>
      <c r="N67" s="83">
        <f t="shared" si="51"/>
        <v>2.1310859919762546E-3</v>
      </c>
      <c r="O67" s="83">
        <f t="shared" si="51"/>
        <v>2.3973780690523111E-3</v>
      </c>
      <c r="P67" s="83">
        <f t="shared" si="51"/>
        <v>2.5216676186119928E-3</v>
      </c>
      <c r="Q67" s="83">
        <f t="shared" si="51"/>
        <v>2.234156770861685E-3</v>
      </c>
      <c r="R67" s="83">
        <f t="shared" si="51"/>
        <v>2.0013631989735914E-3</v>
      </c>
      <c r="S67" s="83">
        <f t="shared" si="51"/>
        <v>1.601574214865597E-3</v>
      </c>
      <c r="T67" s="83">
        <f t="shared" ref="T67:Y67" si="52">T25/T$23</f>
        <v>1.4540587403227526E-3</v>
      </c>
      <c r="U67" s="83">
        <f t="shared" si="52"/>
        <v>1.9446783112209332E-3</v>
      </c>
      <c r="V67" s="83">
        <f t="shared" si="52"/>
        <v>2.8188429950576689E-3</v>
      </c>
      <c r="W67" s="83">
        <f t="shared" si="52"/>
        <v>3.6547416314172058E-3</v>
      </c>
      <c r="X67" s="83">
        <f t="shared" si="52"/>
        <v>2.5496634392699726E-3</v>
      </c>
      <c r="Y67" s="83">
        <f t="shared" si="52"/>
        <v>3.4117854703674998E-3</v>
      </c>
    </row>
    <row r="68" spans="1:25" x14ac:dyDescent="0.25">
      <c r="A68" s="64" t="s">
        <v>146</v>
      </c>
      <c r="B68" s="65"/>
      <c r="C68" s="65"/>
      <c r="D68" s="83">
        <f t="shared" si="46"/>
        <v>0.63843441628316966</v>
      </c>
      <c r="E68" s="83">
        <f t="shared" ref="E68:S68" si="53">E26/E$23</f>
        <v>0.64240334873892047</v>
      </c>
      <c r="F68" s="83">
        <f t="shared" si="53"/>
        <v>0.65575249509969968</v>
      </c>
      <c r="G68" s="83">
        <f t="shared" si="53"/>
        <v>0.66125872658898743</v>
      </c>
      <c r="H68" s="83">
        <f t="shared" si="53"/>
        <v>0.6497177894972852</v>
      </c>
      <c r="I68" s="83">
        <f t="shared" si="53"/>
        <v>0.65613492048327848</v>
      </c>
      <c r="J68" s="83">
        <f t="shared" si="53"/>
        <v>0.66066500000000006</v>
      </c>
      <c r="K68" s="83">
        <f t="shared" si="53"/>
        <v>0.6637478048941069</v>
      </c>
      <c r="L68" s="83">
        <f t="shared" si="53"/>
        <v>0.67401103162975073</v>
      </c>
      <c r="M68" s="83">
        <f t="shared" si="53"/>
        <v>0.68595860223809979</v>
      </c>
      <c r="N68" s="83">
        <f t="shared" si="53"/>
        <v>0.68480470751582667</v>
      </c>
      <c r="O68" s="83">
        <f t="shared" si="53"/>
        <v>0.67499191862719043</v>
      </c>
      <c r="P68" s="83">
        <f t="shared" si="53"/>
        <v>0.67317623470468768</v>
      </c>
      <c r="Q68" s="83">
        <f t="shared" si="53"/>
        <v>0.672763787434287</v>
      </c>
      <c r="R68" s="83">
        <f t="shared" si="53"/>
        <v>0.66375427670266218</v>
      </c>
      <c r="S68" s="83">
        <f t="shared" si="53"/>
        <v>0.6559056733819838</v>
      </c>
      <c r="T68" s="83">
        <f t="shared" ref="T68:Y68" si="54">T26/T$23</f>
        <v>0.66823327807098942</v>
      </c>
      <c r="U68" s="83">
        <f t="shared" si="54"/>
        <v>0.67368947710895477</v>
      </c>
      <c r="V68" s="83">
        <f t="shared" si="54"/>
        <v>0.67659194136388801</v>
      </c>
      <c r="W68" s="83">
        <f t="shared" si="54"/>
        <v>0.68291077066253902</v>
      </c>
      <c r="X68" s="83">
        <f t="shared" si="54"/>
        <v>0.68563259925598308</v>
      </c>
      <c r="Y68" s="83">
        <f t="shared" si="54"/>
        <v>0.68779170151865121</v>
      </c>
    </row>
    <row r="69" spans="1:25" x14ac:dyDescent="0.25">
      <c r="A69" s="68" t="s">
        <v>148</v>
      </c>
      <c r="B69" s="69"/>
      <c r="C69" s="69"/>
      <c r="D69" s="84">
        <f t="shared" si="46"/>
        <v>0.2659706481672276</v>
      </c>
      <c r="E69" s="84">
        <f t="shared" ref="E69:S69" si="55">E27/E$23</f>
        <v>0.26470616589831547</v>
      </c>
      <c r="F69" s="84">
        <f t="shared" si="55"/>
        <v>0.27226245382640812</v>
      </c>
      <c r="G69" s="84">
        <f t="shared" si="55"/>
        <v>0.27814026092616762</v>
      </c>
      <c r="H69" s="84">
        <f t="shared" si="55"/>
        <v>0.27057393246722861</v>
      </c>
      <c r="I69" s="84">
        <f t="shared" si="55"/>
        <v>0.26822324550509197</v>
      </c>
      <c r="J69" s="84">
        <f t="shared" si="55"/>
        <v>0.26366374999999992</v>
      </c>
      <c r="K69" s="84">
        <f t="shared" si="55"/>
        <v>0.26472267596888316</v>
      </c>
      <c r="L69" s="84">
        <f t="shared" si="55"/>
        <v>0.26359669912953548</v>
      </c>
      <c r="M69" s="84">
        <f t="shared" si="55"/>
        <v>0.26692965563198784</v>
      </c>
      <c r="N69" s="84">
        <f t="shared" si="55"/>
        <v>0.26312595485639667</v>
      </c>
      <c r="O69" s="84">
        <f t="shared" si="55"/>
        <v>0.25659307728323233</v>
      </c>
      <c r="P69" s="84">
        <f t="shared" si="55"/>
        <v>0.25838087134992166</v>
      </c>
      <c r="Q69" s="84">
        <f t="shared" si="55"/>
        <v>0.26131411039676267</v>
      </c>
      <c r="R69" s="84">
        <f t="shared" si="55"/>
        <v>0.26200595174453833</v>
      </c>
      <c r="S69" s="84">
        <f t="shared" si="55"/>
        <v>0.26170480314422062</v>
      </c>
      <c r="T69" s="84">
        <f t="shared" ref="T69:Y69" si="56">T27/T$23</f>
        <v>0.27032310726471681</v>
      </c>
      <c r="U69" s="84">
        <f t="shared" si="56"/>
        <v>0.26673096327017848</v>
      </c>
      <c r="V69" s="84">
        <f t="shared" si="56"/>
        <v>0.26357792025259064</v>
      </c>
      <c r="W69" s="84">
        <f t="shared" si="56"/>
        <v>0.26215258142383041</v>
      </c>
      <c r="X69" s="84">
        <f t="shared" si="56"/>
        <v>0.25763201834176491</v>
      </c>
      <c r="Y69" s="84">
        <f t="shared" si="56"/>
        <v>0.25250512228250444</v>
      </c>
    </row>
    <row r="70" spans="1:25" x14ac:dyDescent="0.25">
      <c r="A70" s="68" t="s">
        <v>150</v>
      </c>
      <c r="B70" s="71"/>
      <c r="C70" s="71"/>
      <c r="D70" s="84">
        <f t="shared" si="46"/>
        <v>0.2610275431004877</v>
      </c>
      <c r="E70" s="84">
        <f t="shared" ref="E70:S70" si="57">E28/E$23</f>
        <v>0.26221119344134597</v>
      </c>
      <c r="F70" s="84">
        <f t="shared" si="57"/>
        <v>0.26464029949223089</v>
      </c>
      <c r="G70" s="84">
        <f t="shared" si="57"/>
        <v>0.269218548031331</v>
      </c>
      <c r="H70" s="84">
        <f t="shared" si="57"/>
        <v>0.26336722458886946</v>
      </c>
      <c r="I70" s="84">
        <f t="shared" si="57"/>
        <v>0.27098101406907799</v>
      </c>
      <c r="J70" s="84">
        <f t="shared" si="57"/>
        <v>0.27705374999999999</v>
      </c>
      <c r="K70" s="84">
        <f t="shared" si="57"/>
        <v>0.27754311602305276</v>
      </c>
      <c r="L70" s="84">
        <f t="shared" si="57"/>
        <v>0.28357105920882536</v>
      </c>
      <c r="M70" s="84">
        <f t="shared" si="57"/>
        <v>0.30206392049163111</v>
      </c>
      <c r="N70" s="84">
        <f t="shared" si="57"/>
        <v>0.30524471478867415</v>
      </c>
      <c r="O70" s="84">
        <f t="shared" si="57"/>
        <v>0.30070299315642895</v>
      </c>
      <c r="P70" s="84">
        <f t="shared" si="57"/>
        <v>0.29556361878263177</v>
      </c>
      <c r="Q70" s="84">
        <f t="shared" si="57"/>
        <v>0.28880385169090578</v>
      </c>
      <c r="R70" s="84">
        <f t="shared" si="57"/>
        <v>0.27999928721622297</v>
      </c>
      <c r="S70" s="84">
        <f t="shared" si="57"/>
        <v>0.27523400135744464</v>
      </c>
      <c r="T70" s="84">
        <f t="shared" ref="T70:Y70" si="58">T28/T$23</f>
        <v>0.28133805851724547</v>
      </c>
      <c r="U70" s="84">
        <f t="shared" si="58"/>
        <v>0.28931336611284336</v>
      </c>
      <c r="V70" s="84">
        <f t="shared" si="58"/>
        <v>0.29270799519256296</v>
      </c>
      <c r="W70" s="84">
        <f t="shared" si="58"/>
        <v>0.30231273084492066</v>
      </c>
      <c r="X70" s="84">
        <f t="shared" si="58"/>
        <v>0.3050444150168044</v>
      </c>
      <c r="Y70" s="84">
        <f t="shared" si="58"/>
        <v>0.31304858302701954</v>
      </c>
    </row>
    <row r="71" spans="1:25" x14ac:dyDescent="0.25">
      <c r="A71" s="68" t="s">
        <v>152</v>
      </c>
      <c r="B71" s="71"/>
      <c r="C71" s="71"/>
      <c r="D71" s="84">
        <f t="shared" si="46"/>
        <v>0.11143622501545435</v>
      </c>
      <c r="E71" s="84">
        <f t="shared" ref="E71:S71" si="59">E29/E$23</f>
        <v>0.11548598939925894</v>
      </c>
      <c r="F71" s="84">
        <f t="shared" si="59"/>
        <v>0.11884974178106061</v>
      </c>
      <c r="G71" s="84">
        <f t="shared" si="59"/>
        <v>0.11389991763148878</v>
      </c>
      <c r="H71" s="84">
        <f t="shared" si="59"/>
        <v>0.11577663244118706</v>
      </c>
      <c r="I71" s="84">
        <f t="shared" si="59"/>
        <v>0.11693066090910845</v>
      </c>
      <c r="J71" s="84">
        <f t="shared" si="59"/>
        <v>0.11994750000000007</v>
      </c>
      <c r="K71" s="84">
        <f t="shared" si="59"/>
        <v>0.12148201290217106</v>
      </c>
      <c r="L71" s="84">
        <f t="shared" si="59"/>
        <v>0.12684327329139006</v>
      </c>
      <c r="M71" s="84">
        <f t="shared" si="59"/>
        <v>0.11696502611448099</v>
      </c>
      <c r="N71" s="84">
        <f t="shared" si="59"/>
        <v>0.11643403787075587</v>
      </c>
      <c r="O71" s="84">
        <f t="shared" si="59"/>
        <v>0.11769584818752932</v>
      </c>
      <c r="P71" s="84">
        <f t="shared" si="59"/>
        <v>0.11923174457213417</v>
      </c>
      <c r="Q71" s="84">
        <f t="shared" si="59"/>
        <v>0.12264582534661855</v>
      </c>
      <c r="R71" s="84">
        <f t="shared" si="59"/>
        <v>0.12174903774190095</v>
      </c>
      <c r="S71" s="84">
        <f t="shared" si="59"/>
        <v>0.1189668688803186</v>
      </c>
      <c r="T71" s="84">
        <f t="shared" ref="T71:Y71" si="60">T29/T$23</f>
        <v>0.11657211228902711</v>
      </c>
      <c r="U71" s="84">
        <f t="shared" si="60"/>
        <v>0.11764514772593315</v>
      </c>
      <c r="V71" s="84">
        <f t="shared" si="60"/>
        <v>0.12030602591873456</v>
      </c>
      <c r="W71" s="84">
        <f t="shared" si="60"/>
        <v>0.11844545839378794</v>
      </c>
      <c r="X71" s="84">
        <f t="shared" si="60"/>
        <v>0.12295616589741365</v>
      </c>
      <c r="Y71" s="84">
        <f t="shared" si="60"/>
        <v>0.12223799620912733</v>
      </c>
    </row>
    <row r="72" spans="1:25" x14ac:dyDescent="0.25">
      <c r="A72" s="64" t="s">
        <v>154</v>
      </c>
      <c r="B72" s="65"/>
      <c r="C72" s="65"/>
      <c r="D72" s="83">
        <f t="shared" si="46"/>
        <v>4.091169265288367E-2</v>
      </c>
      <c r="E72" s="83">
        <f t="shared" ref="E72:S72" si="61">E30/E$23</f>
        <v>3.694063160979711E-2</v>
      </c>
      <c r="F72" s="83">
        <f t="shared" si="61"/>
        <v>3.7728700750175377E-2</v>
      </c>
      <c r="G72" s="83">
        <f t="shared" si="61"/>
        <v>3.6077099394421774E-2</v>
      </c>
      <c r="H72" s="83">
        <f t="shared" si="61"/>
        <v>4.2943623351683162E-2</v>
      </c>
      <c r="I72" s="83">
        <f t="shared" si="61"/>
        <v>4.1576704816859961E-2</v>
      </c>
      <c r="J72" s="83">
        <f t="shared" si="61"/>
        <v>3.88475E-2</v>
      </c>
      <c r="K72" s="83">
        <f t="shared" si="61"/>
        <v>4.1945110717338474E-2</v>
      </c>
      <c r="L72" s="83">
        <f t="shared" si="61"/>
        <v>4.1348142721709905E-2</v>
      </c>
      <c r="M72" s="83">
        <f t="shared" si="61"/>
        <v>4.3745019226872114E-2</v>
      </c>
      <c r="N72" s="83">
        <f t="shared" si="61"/>
        <v>4.1764562814497516E-2</v>
      </c>
      <c r="O72" s="83">
        <f t="shared" si="61"/>
        <v>3.5745551218648017E-2</v>
      </c>
      <c r="P72" s="83">
        <f t="shared" si="61"/>
        <v>3.8532455805641984E-2</v>
      </c>
      <c r="Q72" s="83">
        <f t="shared" si="61"/>
        <v>3.1347686449011078E-2</v>
      </c>
      <c r="R72" s="83">
        <f t="shared" si="61"/>
        <v>3.099607077942906E-2</v>
      </c>
      <c r="S72" s="83">
        <f t="shared" si="61"/>
        <v>2.8661022923977836E-2</v>
      </c>
      <c r="T72" s="83">
        <f t="shared" ref="T72:Y72" si="62">T30/T$23</f>
        <v>3.0248274952976304E-2</v>
      </c>
      <c r="U72" s="83">
        <f t="shared" si="62"/>
        <v>2.5477606495504037E-2</v>
      </c>
      <c r="V72" s="83">
        <f t="shared" si="62"/>
        <v>2.3668185888727499E-2</v>
      </c>
      <c r="W72" s="83">
        <f t="shared" si="62"/>
        <v>2.3912544714842901E-2</v>
      </c>
      <c r="X72" s="83">
        <f t="shared" si="62"/>
        <v>2.0835571199373022E-2</v>
      </c>
      <c r="Y72" s="83">
        <f t="shared" si="62"/>
        <v>2.1416896242124731E-2</v>
      </c>
    </row>
    <row r="73" spans="1:25" x14ac:dyDescent="0.25">
      <c r="A73" s="64" t="s">
        <v>37</v>
      </c>
      <c r="B73" s="65"/>
      <c r="C73" s="65"/>
      <c r="D73" s="83">
        <f t="shared" si="46"/>
        <v>5.0756691164686216E-2</v>
      </c>
      <c r="E73" s="83">
        <f t="shared" ref="E73:S73" si="63">E31/E$23</f>
        <v>5.4087300898691397E-2</v>
      </c>
      <c r="F73" s="83">
        <f t="shared" si="63"/>
        <v>5.7819530887544324E-2</v>
      </c>
      <c r="G73" s="83">
        <f t="shared" si="63"/>
        <v>5.4343165110302856E-2</v>
      </c>
      <c r="H73" s="83">
        <f t="shared" si="63"/>
        <v>5.3378379319324695E-2</v>
      </c>
      <c r="I73" s="83">
        <f t="shared" si="63"/>
        <v>5.7444382877632774E-2</v>
      </c>
      <c r="J73" s="83">
        <f t="shared" si="63"/>
        <v>5.3289999999999997E-2</v>
      </c>
      <c r="K73" s="83">
        <f t="shared" si="63"/>
        <v>4.909204630978152E-2</v>
      </c>
      <c r="L73" s="83">
        <f t="shared" si="63"/>
        <v>4.8863440489528571E-2</v>
      </c>
      <c r="M73" s="83">
        <f t="shared" si="63"/>
        <v>4.8361209086173432E-2</v>
      </c>
      <c r="N73" s="83">
        <f t="shared" si="63"/>
        <v>4.141744963907313E-2</v>
      </c>
      <c r="O73" s="83">
        <f t="shared" si="63"/>
        <v>4.0297578579127857E-2</v>
      </c>
      <c r="P73" s="83">
        <f t="shared" si="63"/>
        <v>3.8424621335109245E-2</v>
      </c>
      <c r="Q73" s="83">
        <f t="shared" si="63"/>
        <v>4.031326838951927E-2</v>
      </c>
      <c r="R73" s="83">
        <f t="shared" si="63"/>
        <v>4.173794504437079E-2</v>
      </c>
      <c r="S73" s="83">
        <f t="shared" si="63"/>
        <v>4.1971346343054668E-2</v>
      </c>
      <c r="T73" s="83">
        <f t="shared" ref="T73:Y73" si="64">T31/T$23</f>
        <v>3.558692158324081E-2</v>
      </c>
      <c r="U73" s="83">
        <f t="shared" si="64"/>
        <v>4.2374493989133941E-2</v>
      </c>
      <c r="V73" s="83">
        <f t="shared" si="64"/>
        <v>5.0647794314100394E-2</v>
      </c>
      <c r="W73" s="83">
        <f t="shared" si="64"/>
        <v>5.7260042460923991E-2</v>
      </c>
      <c r="X73" s="83">
        <f t="shared" si="64"/>
        <v>5.6949358201503333E-2</v>
      </c>
      <c r="Y73" s="83">
        <f t="shared" si="64"/>
        <v>6.2045229562668343E-2</v>
      </c>
    </row>
    <row r="74" spans="1:25" x14ac:dyDescent="0.25">
      <c r="A74" s="64" t="s">
        <v>58</v>
      </c>
      <c r="B74" s="65"/>
      <c r="C74" s="65"/>
      <c r="D74" s="83">
        <f t="shared" si="46"/>
        <v>0.20947180438216914</v>
      </c>
      <c r="E74" s="83">
        <f t="shared" ref="E74:S74" si="65">E32/E$23</f>
        <v>0.20744905455197504</v>
      </c>
      <c r="F74" s="83">
        <f t="shared" si="65"/>
        <v>0.19723046742684869</v>
      </c>
      <c r="G74" s="83">
        <f t="shared" si="65"/>
        <v>0.20060588672632981</v>
      </c>
      <c r="H74" s="83">
        <f t="shared" si="65"/>
        <v>0.20088541543363489</v>
      </c>
      <c r="I74" s="83">
        <f t="shared" si="65"/>
        <v>0.19927266242492564</v>
      </c>
      <c r="J74" s="83">
        <f t="shared" si="65"/>
        <v>0.20407625000000001</v>
      </c>
      <c r="K74" s="83">
        <f t="shared" si="65"/>
        <v>0.20275570216712432</v>
      </c>
      <c r="L74" s="83">
        <f t="shared" si="65"/>
        <v>0.19305459794880639</v>
      </c>
      <c r="M74" s="83">
        <f t="shared" si="65"/>
        <v>0.18344164119038769</v>
      </c>
      <c r="N74" s="83">
        <f t="shared" si="65"/>
        <v>0.19414134354050716</v>
      </c>
      <c r="O74" s="83">
        <f t="shared" si="65"/>
        <v>0.19961853619592237</v>
      </c>
      <c r="P74" s="83">
        <f t="shared" si="65"/>
        <v>0.20112195249121326</v>
      </c>
      <c r="Q74" s="83">
        <f t="shared" si="65"/>
        <v>0.20695773633243886</v>
      </c>
      <c r="R74" s="83">
        <f t="shared" si="65"/>
        <v>0.2149276969956164</v>
      </c>
      <c r="S74" s="83">
        <f t="shared" si="65"/>
        <v>0.22688266522153186</v>
      </c>
      <c r="T74" s="83">
        <f t="shared" ref="T74:Y74" si="66">T32/T$23</f>
        <v>0.21861986098225011</v>
      </c>
      <c r="U74" s="83">
        <f t="shared" si="66"/>
        <v>0.21224748189685499</v>
      </c>
      <c r="V74" s="83">
        <f t="shared" si="66"/>
        <v>0.20499228495117283</v>
      </c>
      <c r="W74" s="83">
        <f t="shared" si="66"/>
        <v>0.19280781746326681</v>
      </c>
      <c r="X74" s="83">
        <f t="shared" si="66"/>
        <v>0.19386465214323834</v>
      </c>
      <c r="Y74" s="83">
        <f t="shared" si="66"/>
        <v>0.18413972512335686</v>
      </c>
    </row>
    <row r="75" spans="1:25" x14ac:dyDescent="0.25">
      <c r="A75" s="85" t="s">
        <v>158</v>
      </c>
      <c r="B75" s="86"/>
      <c r="C75" s="86"/>
      <c r="D75" s="87">
        <f t="shared" si="46"/>
        <v>6.795338507681388E-3</v>
      </c>
      <c r="E75" s="87">
        <f t="shared" ref="E75:S75" si="67">E33/E$23</f>
        <v>5.9539991863381946E-3</v>
      </c>
      <c r="F75" s="87">
        <f t="shared" si="67"/>
        <v>4.6009044485576826E-3</v>
      </c>
      <c r="G75" s="87">
        <f t="shared" si="67"/>
        <v>6.1776383374517593E-3</v>
      </c>
      <c r="H75" s="87">
        <f t="shared" si="67"/>
        <v>7.2164560822525594E-3</v>
      </c>
      <c r="I75" s="87">
        <f t="shared" si="67"/>
        <v>6.6339301068078019E-3</v>
      </c>
      <c r="J75" s="87">
        <f t="shared" si="67"/>
        <v>7.8562500000000004E-3</v>
      </c>
      <c r="K75" s="87">
        <f t="shared" si="67"/>
        <v>7.4602383598373094E-3</v>
      </c>
      <c r="L75" s="87">
        <f t="shared" si="67"/>
        <v>7.7264500560199961E-3</v>
      </c>
      <c r="M75" s="87">
        <f t="shared" si="67"/>
        <v>3.4599667057461803E-3</v>
      </c>
      <c r="N75" s="87">
        <f t="shared" si="67"/>
        <v>4.9268819083196176E-3</v>
      </c>
      <c r="O75" s="87">
        <f t="shared" si="67"/>
        <v>5.2434017460366768E-3</v>
      </c>
      <c r="P75" s="87">
        <f t="shared" si="67"/>
        <v>4.666507087450201E-3</v>
      </c>
      <c r="Q75" s="87">
        <f t="shared" si="67"/>
        <v>4.9084273690574503E-3</v>
      </c>
      <c r="R75" s="87">
        <f t="shared" si="67"/>
        <v>5.3124665882604508E-3</v>
      </c>
      <c r="S75" s="87">
        <f t="shared" si="67"/>
        <v>6.0253705350331206E-3</v>
      </c>
      <c r="T75" s="87">
        <f t="shared" ref="T75:Y75" si="68">T33/T$23</f>
        <v>6.2512357978310807E-3</v>
      </c>
      <c r="U75" s="87">
        <f t="shared" si="68"/>
        <v>6.6954485245043398E-3</v>
      </c>
      <c r="V75" s="87">
        <f t="shared" si="68"/>
        <v>6.8787079447162145E-3</v>
      </c>
      <c r="W75" s="87">
        <f t="shared" si="68"/>
        <v>5.5136188405000954E-3</v>
      </c>
      <c r="X75" s="87">
        <f t="shared" si="68"/>
        <v>4.9601137079427994E-3</v>
      </c>
      <c r="Y75" s="87">
        <f t="shared" si="68"/>
        <v>5.1875100719038008E-3</v>
      </c>
    </row>
    <row r="76" spans="1:25" x14ac:dyDescent="0.25">
      <c r="A76" s="88" t="s">
        <v>5</v>
      </c>
      <c r="B76" s="44"/>
      <c r="C76" s="44"/>
      <c r="D76" s="89">
        <f t="shared" si="46"/>
        <v>3.4324193032329374E-3</v>
      </c>
      <c r="E76" s="89">
        <f t="shared" ref="E76:S76" si="69">E34/E$23</f>
        <v>3.0074471956796633E-3</v>
      </c>
      <c r="F76" s="89">
        <f t="shared" si="69"/>
        <v>2.323980361494617E-3</v>
      </c>
      <c r="G76" s="89">
        <f t="shared" si="69"/>
        <v>3.1204104186851279E-3</v>
      </c>
      <c r="H76" s="89">
        <f t="shared" si="69"/>
        <v>3.6451316045045807E-3</v>
      </c>
      <c r="I76" s="89">
        <f t="shared" si="69"/>
        <v>3.3508896913914971E-3</v>
      </c>
      <c r="J76" s="89">
        <f t="shared" si="69"/>
        <v>3.9683003459712431E-3</v>
      </c>
      <c r="K76" s="89">
        <f t="shared" si="69"/>
        <v>4.248284993396881E-3</v>
      </c>
      <c r="L76" s="89">
        <f t="shared" si="69"/>
        <v>4.3998811086159526E-3</v>
      </c>
      <c r="M76" s="89">
        <f t="shared" si="69"/>
        <v>1.8919054084757419E-3</v>
      </c>
      <c r="N76" s="89">
        <f t="shared" si="69"/>
        <v>2.1860680866994603E-3</v>
      </c>
      <c r="O76" s="89">
        <f t="shared" si="69"/>
        <v>2.3648403032902033E-3</v>
      </c>
      <c r="P76" s="89">
        <f t="shared" si="69"/>
        <v>1.7587712746718748E-3</v>
      </c>
      <c r="Q76" s="89">
        <f t="shared" si="69"/>
        <v>1.9876377040274076E-3</v>
      </c>
      <c r="R76" s="89">
        <f t="shared" si="69"/>
        <v>4.1122961153599686E-3</v>
      </c>
      <c r="S76" s="89">
        <f t="shared" si="69"/>
        <v>4.3283788153797974E-3</v>
      </c>
      <c r="T76" s="89">
        <f t="shared" ref="T76:Y76" si="70">T34/T$23</f>
        <v>4.4126462218316165E-3</v>
      </c>
      <c r="U76" s="89">
        <f t="shared" si="70"/>
        <v>4.0035662765131631E-3</v>
      </c>
      <c r="V76" s="89">
        <f t="shared" si="70"/>
        <v>4.1396190874645128E-3</v>
      </c>
      <c r="W76" s="89">
        <f t="shared" si="70"/>
        <v>2.8048265488344183E-3</v>
      </c>
      <c r="X76" s="89">
        <f t="shared" si="70"/>
        <v>2.4161470540396864E-3</v>
      </c>
      <c r="Y76" s="89">
        <f t="shared" si="70"/>
        <v>1.5870097725639953E-3</v>
      </c>
    </row>
    <row r="77" spans="1:25" x14ac:dyDescent="0.25">
      <c r="A77" s="88" t="s">
        <v>269</v>
      </c>
      <c r="B77" s="44"/>
      <c r="C77" s="44"/>
      <c r="D77" s="89">
        <f>D37/D$23</f>
        <v>3.3629192044484506E-3</v>
      </c>
      <c r="E77" s="89">
        <f t="shared" ref="E77:S77" si="71">E37/E$23</f>
        <v>2.9465519906585308E-3</v>
      </c>
      <c r="F77" s="89">
        <f t="shared" si="71"/>
        <v>2.2769240870630656E-3</v>
      </c>
      <c r="G77" s="89">
        <f t="shared" si="71"/>
        <v>3.0572279187666314E-3</v>
      </c>
      <c r="H77" s="89">
        <f t="shared" si="71"/>
        <v>3.5713244777479782E-3</v>
      </c>
      <c r="I77" s="89">
        <f t="shared" si="71"/>
        <v>3.2830404154163047E-3</v>
      </c>
      <c r="J77" s="89">
        <f t="shared" si="71"/>
        <v>3.8879496540287569E-3</v>
      </c>
      <c r="K77" s="89">
        <f t="shared" si="71"/>
        <v>3.2119533664404284E-3</v>
      </c>
      <c r="L77" s="89">
        <f t="shared" si="71"/>
        <v>3.326568947404043E-3</v>
      </c>
      <c r="M77" s="89">
        <f t="shared" si="71"/>
        <v>1.5680612972704391E-3</v>
      </c>
      <c r="N77" s="89">
        <f t="shared" si="71"/>
        <v>2.7408138216201577E-3</v>
      </c>
      <c r="O77" s="89">
        <f t="shared" si="71"/>
        <v>2.8785614427464731E-3</v>
      </c>
      <c r="P77" s="89">
        <f t="shared" si="71"/>
        <v>2.9077358127783254E-3</v>
      </c>
      <c r="Q77" s="89">
        <f t="shared" si="71"/>
        <v>2.9207896650300423E-3</v>
      </c>
      <c r="R77" s="89">
        <f t="shared" si="71"/>
        <v>1.2001704729004828E-3</v>
      </c>
      <c r="S77" s="89">
        <f t="shared" si="71"/>
        <v>1.6969917196533227E-3</v>
      </c>
      <c r="T77" s="89">
        <f t="shared" ref="T77:Y77" si="72">T37/T$23</f>
        <v>1.8385895759994641E-3</v>
      </c>
      <c r="U77" s="89">
        <f t="shared" si="72"/>
        <v>2.6918822479911771E-3</v>
      </c>
      <c r="V77" s="89">
        <f t="shared" si="72"/>
        <v>2.7390888572517012E-3</v>
      </c>
      <c r="W77" s="89">
        <f t="shared" si="72"/>
        <v>2.7087922916656775E-3</v>
      </c>
      <c r="X77" s="89">
        <f t="shared" si="72"/>
        <v>2.5439666539031134E-3</v>
      </c>
      <c r="Y77" s="89">
        <f t="shared" si="72"/>
        <v>3.6005002993398059E-3</v>
      </c>
    </row>
    <row r="78" spans="1:25" x14ac:dyDescent="0.25">
      <c r="A78" s="68" t="s">
        <v>271</v>
      </c>
      <c r="B78" s="44"/>
      <c r="C78" s="44"/>
      <c r="D78" s="89">
        <f>D43/D$23</f>
        <v>2.2158115255168625E-2</v>
      </c>
      <c r="E78" s="89">
        <f t="shared" ref="E78:S78" si="73">E43/E$23</f>
        <v>2.4045441662183819E-2</v>
      </c>
      <c r="F78" s="89">
        <f t="shared" si="73"/>
        <v>2.178927986052806E-2</v>
      </c>
      <c r="G78" s="89">
        <f t="shared" si="73"/>
        <v>2.2225615681483745E-2</v>
      </c>
      <c r="H78" s="89">
        <f t="shared" si="73"/>
        <v>2.1532389800036484E-2</v>
      </c>
      <c r="I78" s="89">
        <f t="shared" si="73"/>
        <v>2.103801644470769E-2</v>
      </c>
      <c r="J78" s="89">
        <f t="shared" si="73"/>
        <v>2.2847499999999996E-2</v>
      </c>
      <c r="K78" s="89">
        <f t="shared" si="73"/>
        <v>2.2488554800172998E-2</v>
      </c>
      <c r="L78" s="89">
        <f t="shared" si="73"/>
        <v>2.0546410411100578E-2</v>
      </c>
      <c r="M78" s="89">
        <f t="shared" si="73"/>
        <v>1.9446927492375768E-2</v>
      </c>
      <c r="N78" s="89">
        <f t="shared" si="73"/>
        <v>2.2253024253057311E-2</v>
      </c>
      <c r="O78" s="89">
        <f t="shared" si="73"/>
        <v>2.2819956216790161E-2</v>
      </c>
      <c r="P78" s="89">
        <f t="shared" si="73"/>
        <v>2.4875397861796503E-2</v>
      </c>
      <c r="Q78" s="89">
        <f t="shared" si="73"/>
        <v>2.296467623257931E-2</v>
      </c>
      <c r="R78" s="89">
        <f t="shared" si="73"/>
        <v>2.5750427670266224E-2</v>
      </c>
      <c r="S78" s="89">
        <f t="shared" si="73"/>
        <v>2.8622088465403577E-2</v>
      </c>
      <c r="T78" s="89">
        <f t="shared" ref="T78:Y78" si="74">T43/T$23</f>
        <v>2.7168793506421079E-2</v>
      </c>
      <c r="U78" s="89">
        <f t="shared" si="74"/>
        <v>3.0002812589633891E-2</v>
      </c>
      <c r="V78" s="89">
        <f t="shared" si="74"/>
        <v>2.6346043219938508E-2</v>
      </c>
      <c r="W78" s="89">
        <f t="shared" si="74"/>
        <v>2.3423791689421283E-2</v>
      </c>
      <c r="X78" s="89">
        <f t="shared" si="74"/>
        <v>2.5737249749287393E-2</v>
      </c>
      <c r="Y78" s="89">
        <f t="shared" si="74"/>
        <v>2.6835388641194662E-2</v>
      </c>
    </row>
    <row r="79" spans="1:25" x14ac:dyDescent="0.25">
      <c r="A79" s="88" t="s">
        <v>272</v>
      </c>
      <c r="B79" s="44"/>
      <c r="C79" s="44"/>
      <c r="D79" s="89">
        <f>D44/D$23</f>
        <v>9.6664148178675271E-3</v>
      </c>
      <c r="E79" s="89">
        <f t="shared" ref="E79:S79" si="75">E44/E$23</f>
        <v>1.0396361273554259E-2</v>
      </c>
      <c r="F79" s="89">
        <f t="shared" si="75"/>
        <v>8.932111776613726E-3</v>
      </c>
      <c r="G79" s="89">
        <f t="shared" si="75"/>
        <v>8.0594657461137177E-3</v>
      </c>
      <c r="H79" s="89">
        <f t="shared" si="75"/>
        <v>8.0130236004016253E-3</v>
      </c>
      <c r="I79" s="89">
        <f t="shared" si="75"/>
        <v>7.3166848182611407E-3</v>
      </c>
      <c r="J79" s="89">
        <f t="shared" si="75"/>
        <v>8.2212499999999994E-3</v>
      </c>
      <c r="K79" s="89">
        <f t="shared" si="75"/>
        <v>9.3355143443855804E-3</v>
      </c>
      <c r="L79" s="89">
        <f t="shared" si="75"/>
        <v>7.934370421442731E-3</v>
      </c>
      <c r="M79" s="89">
        <f t="shared" si="75"/>
        <v>5.3807890414910055E-3</v>
      </c>
      <c r="N79" s="89">
        <f t="shared" si="75"/>
        <v>5.8902980686811818E-3</v>
      </c>
      <c r="O79" s="89">
        <f t="shared" si="75"/>
        <v>6.3983765931232995E-3</v>
      </c>
      <c r="P79" s="89">
        <f t="shared" si="75"/>
        <v>7.5282680362039412E-3</v>
      </c>
      <c r="Q79" s="89">
        <f t="shared" si="75"/>
        <v>8.3262586965913189E-3</v>
      </c>
      <c r="R79" s="89">
        <f t="shared" si="75"/>
        <v>1.0432258811789443E-2</v>
      </c>
      <c r="S79" s="89">
        <f t="shared" si="75"/>
        <v>1.3313480267069341E-2</v>
      </c>
      <c r="T79" s="89">
        <f t="shared" ref="T79:Y79" si="76">T44/T$23</f>
        <v>1.2936458444238267E-2</v>
      </c>
      <c r="U79" s="89">
        <f t="shared" si="76"/>
        <v>1.4683017435270989E-2</v>
      </c>
      <c r="V79" s="89">
        <f t="shared" si="76"/>
        <v>1.306641208020866E-2</v>
      </c>
      <c r="W79" s="89">
        <f t="shared" si="76"/>
        <v>1.0199185034624718E-2</v>
      </c>
      <c r="X79" s="89">
        <f t="shared" si="76"/>
        <v>1.1831400819639026E-2</v>
      </c>
      <c r="Y79" s="89">
        <f t="shared" si="76"/>
        <v>1.4670063616062863E-2</v>
      </c>
    </row>
    <row r="80" spans="1:25" x14ac:dyDescent="0.25">
      <c r="A80" s="88" t="s">
        <v>11</v>
      </c>
      <c r="B80" s="44"/>
      <c r="C80" s="44"/>
      <c r="D80" s="89">
        <f>D47/D$23</f>
        <v>1.2491700437301096E-2</v>
      </c>
      <c r="E80" s="89">
        <f t="shared" ref="E80:S80" si="77">E47/E$23</f>
        <v>1.364908038862956E-2</v>
      </c>
      <c r="F80" s="89">
        <f t="shared" si="77"/>
        <v>1.2857168083914331E-2</v>
      </c>
      <c r="G80" s="89">
        <f t="shared" si="77"/>
        <v>1.4166149935370027E-2</v>
      </c>
      <c r="H80" s="89">
        <f t="shared" si="77"/>
        <v>1.3519366199634859E-2</v>
      </c>
      <c r="I80" s="89">
        <f t="shared" si="77"/>
        <v>1.3721331626446552E-2</v>
      </c>
      <c r="J80" s="89">
        <f t="shared" si="77"/>
        <v>1.4626249999999999E-2</v>
      </c>
      <c r="K80" s="89">
        <f t="shared" si="77"/>
        <v>1.3153040455787418E-2</v>
      </c>
      <c r="L80" s="89">
        <f t="shared" si="77"/>
        <v>1.2612039989657847E-2</v>
      </c>
      <c r="M80" s="89">
        <f t="shared" si="77"/>
        <v>1.4066138450884761E-2</v>
      </c>
      <c r="N80" s="89">
        <f t="shared" si="77"/>
        <v>1.6362726184376127E-2</v>
      </c>
      <c r="O80" s="89">
        <f t="shared" si="77"/>
        <v>1.6421579623666863E-2</v>
      </c>
      <c r="P80" s="89">
        <f t="shared" si="77"/>
        <v>1.7347129825592559E-2</v>
      </c>
      <c r="Q80" s="89">
        <f t="shared" si="77"/>
        <v>1.4638417535987994E-2</v>
      </c>
      <c r="R80" s="89">
        <f t="shared" si="77"/>
        <v>1.5318168858476781E-2</v>
      </c>
      <c r="S80" s="89">
        <f t="shared" si="77"/>
        <v>1.5308608198334236E-2</v>
      </c>
      <c r="T80" s="89">
        <f t="shared" ref="T80:Y80" si="78">T47/T$23</f>
        <v>1.4232335062182811E-2</v>
      </c>
      <c r="U80" s="89">
        <f t="shared" si="78"/>
        <v>1.5319795154362903E-2</v>
      </c>
      <c r="V80" s="89">
        <f t="shared" si="78"/>
        <v>1.3279631139729848E-2</v>
      </c>
      <c r="W80" s="89">
        <f t="shared" si="78"/>
        <v>1.3224606654796566E-2</v>
      </c>
      <c r="X80" s="89">
        <f t="shared" si="78"/>
        <v>1.3905848929648365E-2</v>
      </c>
      <c r="Y80" s="89">
        <f t="shared" si="78"/>
        <v>1.2165325025131799E-2</v>
      </c>
    </row>
    <row r="81" spans="1:25" x14ac:dyDescent="0.25">
      <c r="A81" s="68" t="s">
        <v>4</v>
      </c>
      <c r="B81" s="44"/>
      <c r="C81" s="44"/>
      <c r="D81" s="89">
        <f>D48/D$23</f>
        <v>1.0879868122810634E-2</v>
      </c>
      <c r="E81" s="89">
        <f t="shared" ref="E81:S81" si="79">E48/E$23</f>
        <v>1.0724139726170026E-2</v>
      </c>
      <c r="F81" s="89">
        <f t="shared" si="79"/>
        <v>1.0075113858739711E-2</v>
      </c>
      <c r="G81" s="89">
        <f t="shared" si="79"/>
        <v>9.8441168213775632E-3</v>
      </c>
      <c r="H81" s="89">
        <f t="shared" si="79"/>
        <v>8.8513691352368317E-3</v>
      </c>
      <c r="I81" s="89">
        <f t="shared" si="79"/>
        <v>8.9904528982045831E-3</v>
      </c>
      <c r="J81" s="89">
        <f t="shared" si="79"/>
        <v>9.6724999999999988E-3</v>
      </c>
      <c r="K81" s="89">
        <f t="shared" si="79"/>
        <v>1.1035976465967486E-2</v>
      </c>
      <c r="L81" s="89">
        <f t="shared" si="79"/>
        <v>1.0280746358700335E-2</v>
      </c>
      <c r="M81" s="89">
        <f t="shared" si="79"/>
        <v>7.6484783233023712E-3</v>
      </c>
      <c r="N81" s="89">
        <f t="shared" si="79"/>
        <v>7.2445117156599995E-3</v>
      </c>
      <c r="O81" s="89">
        <f t="shared" si="79"/>
        <v>6.7181803854440957E-3</v>
      </c>
      <c r="P81" s="89">
        <f t="shared" si="79"/>
        <v>6.4759932028733728E-3</v>
      </c>
      <c r="Q81" s="89">
        <f t="shared" si="79"/>
        <v>6.8843068149309775E-3</v>
      </c>
      <c r="R81" s="89">
        <f t="shared" si="79"/>
        <v>7.0632417406179841E-3</v>
      </c>
      <c r="S81" s="89">
        <f t="shared" si="79"/>
        <v>7.5343438754518263E-3</v>
      </c>
      <c r="T81" s="89">
        <f t="shared" ref="T81:Y81" si="80">T48/T$23</f>
        <v>7.5714481269107308E-3</v>
      </c>
      <c r="U81" s="89">
        <f t="shared" si="80"/>
        <v>7.549436136114483E-3</v>
      </c>
      <c r="V81" s="89">
        <f t="shared" si="80"/>
        <v>7.6280206396049629E-3</v>
      </c>
      <c r="W81" s="89">
        <f t="shared" si="80"/>
        <v>7.9210304367917147E-3</v>
      </c>
      <c r="X81" s="89">
        <f t="shared" si="80"/>
        <v>7.5003244010611132E-3</v>
      </c>
      <c r="Y81" s="89">
        <f t="shared" si="80"/>
        <v>7.7528719314266413E-3</v>
      </c>
    </row>
    <row r="82" spans="1:25" x14ac:dyDescent="0.25">
      <c r="A82" s="68" t="s">
        <v>3</v>
      </c>
      <c r="B82" s="44"/>
      <c r="C82" s="44"/>
      <c r="D82" s="89">
        <f>D52/D$23</f>
        <v>8.182796437484258E-3</v>
      </c>
      <c r="E82" s="89">
        <f t="shared" ref="E82:S82" si="81">E52/E$23</f>
        <v>9.170084239062324E-3</v>
      </c>
      <c r="F82" s="89">
        <f t="shared" si="81"/>
        <v>9.0091680967570517E-3</v>
      </c>
      <c r="G82" s="89">
        <f t="shared" si="81"/>
        <v>8.3571646722381127E-3</v>
      </c>
      <c r="H82" s="89">
        <f t="shared" si="81"/>
        <v>7.7163996819300312E-3</v>
      </c>
      <c r="I82" s="89">
        <f t="shared" si="81"/>
        <v>7.2835661195712392E-3</v>
      </c>
      <c r="J82" s="89">
        <f t="shared" si="81"/>
        <v>6.7612499999999999E-3</v>
      </c>
      <c r="K82" s="89">
        <f t="shared" si="81"/>
        <v>7.0708802105031348E-3</v>
      </c>
      <c r="L82" s="89">
        <f t="shared" si="81"/>
        <v>6.4519951736619853E-3</v>
      </c>
      <c r="M82" s="89">
        <f t="shared" si="81"/>
        <v>6.3306325783900642E-3</v>
      </c>
      <c r="N82" s="89">
        <f t="shared" si="81"/>
        <v>6.4829879124330275E-3</v>
      </c>
      <c r="O82" s="89">
        <f t="shared" si="81"/>
        <v>6.4858049680023662E-3</v>
      </c>
      <c r="P82" s="89">
        <f t="shared" si="81"/>
        <v>6.5660527606809446E-3</v>
      </c>
      <c r="Q82" s="89">
        <f t="shared" si="81"/>
        <v>6.7545890552956692E-3</v>
      </c>
      <c r="R82" s="89">
        <f t="shared" si="81"/>
        <v>6.7447164902526818E-3</v>
      </c>
      <c r="S82" s="89">
        <f t="shared" si="81"/>
        <v>6.6346421975871156E-3</v>
      </c>
      <c r="T82" s="89">
        <f t="shared" ref="T82:Y82" si="82">T52/T$23</f>
        <v>6.8018312622629175E-3</v>
      </c>
      <c r="U82" s="89">
        <f t="shared" si="82"/>
        <v>6.6351124432492744E-3</v>
      </c>
      <c r="V82" s="89">
        <f t="shared" si="82"/>
        <v>6.5218923757215715E-3</v>
      </c>
      <c r="W82" s="89">
        <f t="shared" si="82"/>
        <v>6.5436355469671477E-3</v>
      </c>
      <c r="X82" s="89">
        <f t="shared" si="82"/>
        <v>6.5559091264545417E-3</v>
      </c>
      <c r="Y82" s="89">
        <f t="shared" si="82"/>
        <v>6.2979134852240385E-3</v>
      </c>
    </row>
    <row r="83" spans="1:25" x14ac:dyDescent="0.25">
      <c r="A83" s="88" t="s">
        <v>21</v>
      </c>
      <c r="B83" s="44"/>
      <c r="C83" s="44"/>
      <c r="D83" s="89">
        <f>D53/D$23</f>
        <v>3.539620395173661E-3</v>
      </c>
      <c r="E83" s="89">
        <f t="shared" ref="E83:S83" si="83">E53/E$23</f>
        <v>4.2090609532954276E-3</v>
      </c>
      <c r="F83" s="89">
        <f t="shared" si="83"/>
        <v>4.0021126274439297E-3</v>
      </c>
      <c r="G83" s="89">
        <f t="shared" si="83"/>
        <v>3.8160991877292513E-3</v>
      </c>
      <c r="H83" s="89">
        <f t="shared" si="83"/>
        <v>3.2990707176488443E-3</v>
      </c>
      <c r="I83" s="89">
        <f t="shared" si="83"/>
        <v>3.0125277846775067E-3</v>
      </c>
      <c r="J83" s="89">
        <f t="shared" si="83"/>
        <v>2.8287499999999997E-3</v>
      </c>
      <c r="K83" s="89">
        <f t="shared" si="83"/>
        <v>3.0944324054955124E-3</v>
      </c>
      <c r="L83" s="89">
        <f t="shared" si="83"/>
        <v>2.9561320348185814E-3</v>
      </c>
      <c r="M83" s="89">
        <f t="shared" si="83"/>
        <v>3.1740190441142649E-3</v>
      </c>
      <c r="N83" s="89">
        <f t="shared" si="83"/>
        <v>3.4534218983548726E-3</v>
      </c>
      <c r="O83" s="89">
        <f t="shared" si="83"/>
        <v>3.3843984065028308E-3</v>
      </c>
      <c r="P83" s="89">
        <f t="shared" si="83"/>
        <v>3.538392626492204E-3</v>
      </c>
      <c r="Q83" s="89">
        <f t="shared" si="83"/>
        <v>3.6703176811097352E-3</v>
      </c>
      <c r="R83" s="89">
        <f t="shared" si="83"/>
        <v>3.8868990341779821E-3</v>
      </c>
      <c r="S83" s="89">
        <f t="shared" si="83"/>
        <v>3.8481977028669441E-3</v>
      </c>
      <c r="T83" s="89">
        <f t="shared" ref="T83:Y83" si="84">T53/T$23</f>
        <v>4.2313717736170474E-3</v>
      </c>
      <c r="U83" s="89">
        <f t="shared" si="84"/>
        <v>4.0035310531245276E-3</v>
      </c>
      <c r="V83" s="89">
        <f t="shared" si="84"/>
        <v>4.0572541040317552E-3</v>
      </c>
      <c r="W83" s="89">
        <f t="shared" si="84"/>
        <v>4.2242802808754578E-3</v>
      </c>
      <c r="X83" s="89">
        <f t="shared" si="84"/>
        <v>4.3439665269665358E-3</v>
      </c>
      <c r="Y83" s="89">
        <f t="shared" si="84"/>
        <v>3.8591698449118661E-3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4.6431760423105966E-3</v>
      </c>
      <c r="E84" s="89">
        <f t="shared" ref="E84:S84" si="86">E56/E$23</f>
        <v>4.9610232857668956E-3</v>
      </c>
      <c r="F84" s="89">
        <f t="shared" si="86"/>
        <v>5.0070554693131212E-3</v>
      </c>
      <c r="G84" s="89">
        <f t="shared" si="86"/>
        <v>4.5410654845088605E-3</v>
      </c>
      <c r="H84" s="89">
        <f t="shared" si="86"/>
        <v>4.4173289642811869E-3</v>
      </c>
      <c r="I84" s="89">
        <f t="shared" si="86"/>
        <v>4.2710383348937321E-3</v>
      </c>
      <c r="J84" s="89">
        <f t="shared" si="86"/>
        <v>3.9325000000000002E-3</v>
      </c>
      <c r="K84" s="89">
        <f t="shared" si="86"/>
        <v>3.9764478050076215E-3</v>
      </c>
      <c r="L84" s="89">
        <f t="shared" si="86"/>
        <v>3.4958631388434039E-3</v>
      </c>
      <c r="M84" s="89">
        <f t="shared" si="86"/>
        <v>3.1566135342757998E-3</v>
      </c>
      <c r="N84" s="89">
        <f t="shared" si="86"/>
        <v>3.0295660140781553E-3</v>
      </c>
      <c r="O84" s="89">
        <f t="shared" si="86"/>
        <v>3.1014065614995358E-3</v>
      </c>
      <c r="P84" s="89">
        <f t="shared" si="86"/>
        <v>3.0276601341887406E-3</v>
      </c>
      <c r="Q84" s="89">
        <f t="shared" si="86"/>
        <v>3.0842713741859339E-3</v>
      </c>
      <c r="R84" s="89">
        <f t="shared" si="86"/>
        <v>2.8578174560746996E-3</v>
      </c>
      <c r="S84" s="89">
        <f t="shared" si="86"/>
        <v>2.7864444947201718E-3</v>
      </c>
      <c r="T84" s="89">
        <f t="shared" ref="T84:Y84" si="87">T56/T$23</f>
        <v>2.5704594886458705E-3</v>
      </c>
      <c r="U84" s="89">
        <f t="shared" si="87"/>
        <v>2.6315813901247472E-3</v>
      </c>
      <c r="V84" s="89">
        <f t="shared" si="87"/>
        <v>2.4646382716898159E-3</v>
      </c>
      <c r="W84" s="89">
        <f t="shared" si="87"/>
        <v>2.3193552660916899E-3</v>
      </c>
      <c r="X84" s="89">
        <f t="shared" si="87"/>
        <v>2.2119425994880054E-3</v>
      </c>
      <c r="Y84" s="89">
        <f t="shared" si="87"/>
        <v>2.4387436403121728E-3</v>
      </c>
    </row>
    <row r="85" spans="1:25" x14ac:dyDescent="0.25">
      <c r="A85" s="68" t="s">
        <v>2</v>
      </c>
      <c r="B85" s="44"/>
      <c r="C85" s="44"/>
      <c r="D85" s="89">
        <f t="shared" si="85"/>
        <v>3.2628156695743753E-2</v>
      </c>
      <c r="E85" s="89">
        <f t="shared" ref="E85:S85" si="88">E57/E$23</f>
        <v>3.4723306783278673E-2</v>
      </c>
      <c r="F85" s="89">
        <f t="shared" si="88"/>
        <v>3.5373666965795018E-2</v>
      </c>
      <c r="G85" s="89">
        <f t="shared" si="88"/>
        <v>3.1204400391173306E-2</v>
      </c>
      <c r="H85" s="89">
        <f t="shared" si="88"/>
        <v>2.9828111313347654E-2</v>
      </c>
      <c r="I85" s="89">
        <f t="shared" si="88"/>
        <v>2.6209628624746038E-2</v>
      </c>
      <c r="J85" s="89">
        <f t="shared" si="88"/>
        <v>2.5611249999999999E-2</v>
      </c>
      <c r="K85" s="89">
        <f t="shared" si="88"/>
        <v>2.309018692596633E-2</v>
      </c>
      <c r="L85" s="89">
        <f t="shared" si="88"/>
        <v>2.0989183831767649E-2</v>
      </c>
      <c r="M85" s="89">
        <f t="shared" si="88"/>
        <v>2.5954101670555969E-2</v>
      </c>
      <c r="N85" s="89">
        <f t="shared" si="88"/>
        <v>2.3145600989862878E-2</v>
      </c>
      <c r="O85" s="89">
        <f t="shared" si="88"/>
        <v>2.1583304861592829E-2</v>
      </c>
      <c r="P85" s="89">
        <f t="shared" si="88"/>
        <v>2.1424694804748508E-2</v>
      </c>
      <c r="Q85" s="89">
        <f t="shared" si="88"/>
        <v>2.283843305579138E-2</v>
      </c>
      <c r="R85" s="89">
        <f t="shared" si="88"/>
        <v>2.2619747674542931E-2</v>
      </c>
      <c r="S85" s="89">
        <f t="shared" si="88"/>
        <v>2.2128452144815142E-2</v>
      </c>
      <c r="T85" s="89">
        <f t="shared" ref="T85:Y85" si="89">T57/T$23</f>
        <v>2.2086685831039184E-2</v>
      </c>
      <c r="U85" s="89">
        <f t="shared" si="89"/>
        <v>2.117610802571988E-2</v>
      </c>
      <c r="V85" s="89">
        <f t="shared" si="89"/>
        <v>2.1486389226606603E-2</v>
      </c>
      <c r="W85" s="89">
        <f t="shared" si="89"/>
        <v>2.0059070448295583E-2</v>
      </c>
      <c r="X85" s="89">
        <f t="shared" si="89"/>
        <v>2.0945566790955956E-2</v>
      </c>
      <c r="Y85" s="89">
        <f t="shared" si="89"/>
        <v>1.9599732950664934E-2</v>
      </c>
    </row>
    <row r="86" spans="1:25" x14ac:dyDescent="0.25">
      <c r="A86" s="68" t="s">
        <v>275</v>
      </c>
      <c r="B86" s="44"/>
      <c r="C86" s="44"/>
      <c r="D86" s="89">
        <f t="shared" si="85"/>
        <v>3.0265357052911144E-2</v>
      </c>
      <c r="E86" s="89">
        <f t="shared" ref="E86:S86" si="90">E58/E$23</f>
        <v>2.6592473049862817E-2</v>
      </c>
      <c r="F86" s="89">
        <f t="shared" si="90"/>
        <v>2.5645306547700267E-2</v>
      </c>
      <c r="G86" s="89">
        <f t="shared" si="90"/>
        <v>2.8901475537786173E-2</v>
      </c>
      <c r="H86" s="89">
        <f t="shared" si="90"/>
        <v>2.7935567157465521E-2</v>
      </c>
      <c r="I86" s="89">
        <f t="shared" si="90"/>
        <v>3.0050123876671064E-2</v>
      </c>
      <c r="J86" s="89">
        <f t="shared" si="90"/>
        <v>3.6737499999999999E-2</v>
      </c>
      <c r="K86" s="89">
        <f t="shared" si="90"/>
        <v>4.0483031136165248E-2</v>
      </c>
      <c r="L86" s="89">
        <f t="shared" si="90"/>
        <v>3.8286434542790661E-2</v>
      </c>
      <c r="M86" s="89">
        <f t="shared" si="90"/>
        <v>3.0903482718193601E-2</v>
      </c>
      <c r="N86" s="89">
        <f t="shared" si="90"/>
        <v>3.765705690530894E-2</v>
      </c>
      <c r="O86" s="89">
        <f t="shared" si="90"/>
        <v>3.5215229102605251E-2</v>
      </c>
      <c r="P86" s="89">
        <f t="shared" si="90"/>
        <v>3.2228286759112011E-2</v>
      </c>
      <c r="Q86" s="89">
        <f t="shared" si="90"/>
        <v>4.0002872321820496E-2</v>
      </c>
      <c r="R86" s="89">
        <f t="shared" si="90"/>
        <v>4.4112406001639404E-2</v>
      </c>
      <c r="S86" s="89">
        <f t="shared" si="90"/>
        <v>4.9205789659218263E-2</v>
      </c>
      <c r="T86" s="89">
        <f t="shared" ref="T86:Y86" si="91">T58/T$23</f>
        <v>5.1414259712737213E-2</v>
      </c>
      <c r="U86" s="89">
        <f t="shared" si="91"/>
        <v>4.6770673694118352E-2</v>
      </c>
      <c r="V86" s="89">
        <f t="shared" si="91"/>
        <v>4.5387810657994021E-2</v>
      </c>
      <c r="W86" s="89">
        <f t="shared" si="91"/>
        <v>4.1436562280868998E-2</v>
      </c>
      <c r="X86" s="89">
        <f t="shared" si="91"/>
        <v>3.8572360342120672E-2</v>
      </c>
      <c r="Y86" s="89">
        <f t="shared" si="91"/>
        <v>3.2326782439204074E-2</v>
      </c>
    </row>
    <row r="87" spans="1:25" x14ac:dyDescent="0.25">
      <c r="A87" s="68" t="s">
        <v>276</v>
      </c>
      <c r="B87" s="44"/>
      <c r="C87" s="44"/>
      <c r="D87" s="89">
        <f t="shared" si="85"/>
        <v>6.2630217276827618E-2</v>
      </c>
      <c r="E87" s="89">
        <f t="shared" ref="E87:S87" si="92">E59/E$23</f>
        <v>5.9484076715582791E-2</v>
      </c>
      <c r="F87" s="89">
        <f t="shared" si="92"/>
        <v>5.7858059047615984E-2</v>
      </c>
      <c r="G87" s="89">
        <f t="shared" si="92"/>
        <v>6.4245896228015797E-2</v>
      </c>
      <c r="H87" s="89">
        <f t="shared" si="92"/>
        <v>6.9901584918693013E-2</v>
      </c>
      <c r="I87" s="89">
        <f t="shared" si="92"/>
        <v>7.3926030660272202E-2</v>
      </c>
      <c r="J87" s="89">
        <f t="shared" si="92"/>
        <v>6.9852499999999998E-2</v>
      </c>
      <c r="K87" s="89">
        <f t="shared" si="92"/>
        <v>6.6303265727288105E-2</v>
      </c>
      <c r="L87" s="89">
        <f t="shared" si="92"/>
        <v>6.4835602861328973E-2</v>
      </c>
      <c r="M87" s="89">
        <f t="shared" si="92"/>
        <v>6.5365148947650428E-2</v>
      </c>
      <c r="N87" s="89">
        <f t="shared" si="92"/>
        <v>6.7089656735766584E-2</v>
      </c>
      <c r="O87" s="89">
        <f t="shared" si="92"/>
        <v>7.4992838925873398E-2</v>
      </c>
      <c r="P87" s="89">
        <f t="shared" si="92"/>
        <v>7.6295850387374603E-2</v>
      </c>
      <c r="Q87" s="89">
        <f t="shared" si="92"/>
        <v>7.3831410923856838E-2</v>
      </c>
      <c r="R87" s="89">
        <f t="shared" si="92"/>
        <v>7.4203018639295765E-2</v>
      </c>
      <c r="S87" s="89">
        <f t="shared" si="92"/>
        <v>7.6656687519401454E-2</v>
      </c>
      <c r="T87" s="89">
        <f t="shared" ref="T87:Y87" si="93">T59/T$23</f>
        <v>6.596701497153229E-2</v>
      </c>
      <c r="U87" s="89">
        <f t="shared" si="93"/>
        <v>6.4036075407106111E-2</v>
      </c>
      <c r="V87" s="89">
        <f t="shared" si="93"/>
        <v>6.1445381544628495E-2</v>
      </c>
      <c r="W87" s="89">
        <f t="shared" si="93"/>
        <v>5.8979968396663869E-2</v>
      </c>
      <c r="X87" s="89">
        <f t="shared" si="93"/>
        <v>6.0047280917569466E-2</v>
      </c>
      <c r="Y87" s="89">
        <f t="shared" si="93"/>
        <v>5.7622033104908953E-2</v>
      </c>
    </row>
    <row r="88" spans="1:25" x14ac:dyDescent="0.25">
      <c r="A88" s="68" t="s">
        <v>1</v>
      </c>
      <c r="B88" s="44"/>
      <c r="C88" s="44"/>
      <c r="D88" s="89">
        <f t="shared" si="85"/>
        <v>1.6116033610367012E-2</v>
      </c>
      <c r="E88" s="89">
        <f t="shared" ref="E88:S88" si="94">E60/E$23</f>
        <v>1.5800849524624842E-2</v>
      </c>
      <c r="F88" s="89">
        <f t="shared" si="94"/>
        <v>1.3072283644314446E-2</v>
      </c>
      <c r="G88" s="89">
        <f t="shared" si="94"/>
        <v>1.046882182179403E-2</v>
      </c>
      <c r="H88" s="89">
        <f t="shared" si="94"/>
        <v>9.1591338581580618E-3</v>
      </c>
      <c r="I88" s="89">
        <f t="shared" si="94"/>
        <v>7.3612676818821613E-3</v>
      </c>
      <c r="J88" s="89">
        <f t="shared" si="94"/>
        <v>7.1712499999999997E-3</v>
      </c>
      <c r="K88" s="89">
        <f t="shared" si="94"/>
        <v>6.2456225587073774E-3</v>
      </c>
      <c r="L88" s="89">
        <f t="shared" si="94"/>
        <v>5.488882185641644E-3</v>
      </c>
      <c r="M88" s="89">
        <f t="shared" si="94"/>
        <v>5.2179231994310881E-3</v>
      </c>
      <c r="N88" s="89">
        <f t="shared" si="94"/>
        <v>4.9634822771568825E-3</v>
      </c>
      <c r="O88" s="89">
        <f t="shared" si="94"/>
        <v>5.3204767607326967E-3</v>
      </c>
      <c r="P88" s="89">
        <f t="shared" si="94"/>
        <v>5.2637441550161986E-3</v>
      </c>
      <c r="Q88" s="89">
        <f t="shared" si="94"/>
        <v>5.217665242473764E-3</v>
      </c>
      <c r="R88" s="89">
        <f t="shared" si="94"/>
        <v>5.0730157881606619E-3</v>
      </c>
      <c r="S88" s="89">
        <f t="shared" si="94"/>
        <v>4.7805201433208993E-3</v>
      </c>
      <c r="T88" s="89">
        <f t="shared" ref="T88:Y88" si="95">T60/T$23</f>
        <v>4.8123868769677711E-3</v>
      </c>
      <c r="U88" s="89">
        <f t="shared" si="95"/>
        <v>4.6625867099106188E-3</v>
      </c>
      <c r="V88" s="89">
        <f t="shared" si="95"/>
        <v>4.5245954712271764E-3</v>
      </c>
      <c r="W88" s="89">
        <f t="shared" si="95"/>
        <v>4.2218567121543584E-3</v>
      </c>
      <c r="X88" s="89">
        <f t="shared" si="95"/>
        <v>3.7630523089191813E-3</v>
      </c>
      <c r="Y88" s="89">
        <f t="shared" si="95"/>
        <v>3.5476122873389451E-3</v>
      </c>
    </row>
    <row r="89" spans="1:25" x14ac:dyDescent="0.25">
      <c r="A89" s="68" t="s">
        <v>0</v>
      </c>
      <c r="B89" s="44"/>
      <c r="C89" s="44"/>
      <c r="D89" s="89">
        <f t="shared" si="85"/>
        <v>5.0026329647182731E-3</v>
      </c>
      <c r="E89" s="89">
        <f t="shared" ref="E89:S89" si="96">E61/E$23</f>
        <v>5.1075595351715922E-3</v>
      </c>
      <c r="F89" s="89">
        <f t="shared" si="96"/>
        <v>4.2718097479455663E-3</v>
      </c>
      <c r="G89" s="89">
        <f t="shared" si="96"/>
        <v>4.0058244100779575E-3</v>
      </c>
      <c r="H89" s="89">
        <f t="shared" si="96"/>
        <v>3.9591633812898546E-3</v>
      </c>
      <c r="I89" s="89">
        <f t="shared" si="96"/>
        <v>3.4417970715427582E-3</v>
      </c>
      <c r="J89" s="89">
        <f t="shared" si="96"/>
        <v>3.2749999999999997E-3</v>
      </c>
      <c r="K89" s="89">
        <f t="shared" si="96"/>
        <v>3.3396258756301527E-3</v>
      </c>
      <c r="L89" s="89">
        <f t="shared" si="96"/>
        <v>3.2416185469275184E-3</v>
      </c>
      <c r="M89" s="89">
        <f t="shared" si="96"/>
        <v>2.6854215179345129E-3</v>
      </c>
      <c r="N89" s="89">
        <f t="shared" si="96"/>
        <v>2.6411298415794354E-3</v>
      </c>
      <c r="O89" s="89">
        <f t="shared" si="96"/>
        <v>2.5388739915539593E-3</v>
      </c>
      <c r="P89" s="89">
        <f t="shared" si="96"/>
        <v>2.5157426477036E-3</v>
      </c>
      <c r="Q89" s="89">
        <f t="shared" si="96"/>
        <v>2.5155979814990045E-3</v>
      </c>
      <c r="R89" s="89">
        <f t="shared" si="96"/>
        <v>2.5749313945614598E-3</v>
      </c>
      <c r="S89" s="89">
        <f t="shared" si="96"/>
        <v>2.6233406817739381E-3</v>
      </c>
      <c r="T89" s="89">
        <f t="shared" ref="T89:Y89" si="97">T61/T$23</f>
        <v>2.6181169229521246E-3</v>
      </c>
      <c r="U89" s="89">
        <f t="shared" si="97"/>
        <v>2.6195141738737343E-3</v>
      </c>
      <c r="V89" s="89">
        <f t="shared" si="97"/>
        <v>2.6038833717852874E-3</v>
      </c>
      <c r="W89" s="89">
        <f t="shared" si="97"/>
        <v>2.6004892377391657E-3</v>
      </c>
      <c r="X89" s="89">
        <f t="shared" si="97"/>
        <v>2.7911381364168764E-3</v>
      </c>
      <c r="Y89" s="89">
        <f t="shared" si="97"/>
        <v>3.2613783736081584E-3</v>
      </c>
    </row>
    <row r="90" spans="1:25" x14ac:dyDescent="0.25">
      <c r="A90" s="90" t="s">
        <v>278</v>
      </c>
      <c r="B90" s="47"/>
      <c r="C90" s="47"/>
      <c r="D90" s="91">
        <f t="shared" si="85"/>
        <v>1.4813288458456395E-2</v>
      </c>
      <c r="E90" s="91">
        <f t="shared" ref="E90:S90" si="98">E62/E$23</f>
        <v>1.5847124129700008E-2</v>
      </c>
      <c r="F90" s="91">
        <f t="shared" si="98"/>
        <v>1.5534875208894868E-2</v>
      </c>
      <c r="G90" s="91">
        <f t="shared" si="98"/>
        <v>1.5174932824931438E-2</v>
      </c>
      <c r="H90" s="91">
        <f t="shared" si="98"/>
        <v>1.4785240105224898E-2</v>
      </c>
      <c r="I90" s="91">
        <f t="shared" si="98"/>
        <v>1.4337848940520089E-2</v>
      </c>
      <c r="J90" s="91">
        <f t="shared" si="98"/>
        <v>1.429125E-2</v>
      </c>
      <c r="K90" s="91">
        <f t="shared" si="98"/>
        <v>1.5238320106886191E-2</v>
      </c>
      <c r="L90" s="91">
        <f t="shared" si="98"/>
        <v>1.5207273980867018E-2</v>
      </c>
      <c r="M90" s="91">
        <f t="shared" si="98"/>
        <v>1.6429558036807679E-2</v>
      </c>
      <c r="N90" s="91">
        <f t="shared" si="98"/>
        <v>1.773701100136248E-2</v>
      </c>
      <c r="O90" s="91">
        <f t="shared" si="98"/>
        <v>1.8700469237290962E-2</v>
      </c>
      <c r="P90" s="91">
        <f t="shared" si="98"/>
        <v>2.0809682824457332E-2</v>
      </c>
      <c r="Q90" s="91">
        <f t="shared" si="98"/>
        <v>2.1039757335133941E-2</v>
      </c>
      <c r="R90" s="91">
        <f t="shared" si="98"/>
        <v>2.1473725008018817E-2</v>
      </c>
      <c r="S90" s="91">
        <f t="shared" si="98"/>
        <v>2.2671429999526472E-2</v>
      </c>
      <c r="T90" s="91">
        <f t="shared" ref="T90:Y90" si="99">T62/T$23</f>
        <v>2.3928087973595753E-2</v>
      </c>
      <c r="U90" s="91">
        <f t="shared" si="99"/>
        <v>2.2099714192624329E-2</v>
      </c>
      <c r="V90" s="91">
        <f t="shared" si="99"/>
        <v>2.2169560498950004E-2</v>
      </c>
      <c r="W90" s="91">
        <f t="shared" si="99"/>
        <v>2.2107793873864554E-2</v>
      </c>
      <c r="X90" s="91">
        <f t="shared" si="99"/>
        <v>2.299165666251032E-2</v>
      </c>
      <c r="Y90" s="91">
        <f t="shared" si="99"/>
        <v>2.1708501837882633E-2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4.074278387257757E-2</v>
      </c>
      <c r="F93" s="92">
        <f t="shared" ref="F93:F94" si="101">IF(E16=0,"",F16/E16-1)</f>
        <v>4.7422798495345697E-2</v>
      </c>
      <c r="G93" s="92">
        <f t="shared" ref="G93:G94" si="102">IF(F16=0,"",G16/F16-1)</f>
        <v>4.0733008911891577E-2</v>
      </c>
      <c r="H93" s="92">
        <f t="shared" ref="H93:H94" si="103">IF(G16=0,"",H16/G16-1)</f>
        <v>5.0045728301121306E-2</v>
      </c>
      <c r="I93" s="92">
        <f t="shared" ref="I93:I94" si="104">IF(H16=0,"",I16/H16-1)</f>
        <v>4.2949265931174541E-2</v>
      </c>
      <c r="J93" s="92">
        <f t="shared" ref="J93:J94" si="105">IF(I16=0,"",J16/I16-1)</f>
        <v>3.9463906242898084E-2</v>
      </c>
      <c r="K93" s="92">
        <f t="shared" ref="K93:K94" si="106">IF(J16=0,"",K16/J16-1)</f>
        <v>2.7716216108113478E-3</v>
      </c>
      <c r="L93" s="92">
        <f t="shared" ref="L93:L94" si="107">IF(K16=0,"",L16/K16-1)</f>
        <v>1.0034629193145461E-2</v>
      </c>
      <c r="M93" s="92">
        <f t="shared" ref="M93:M94" si="108">IF(L16=0,"",M16/L16-1)</f>
        <v>-6.5974959003434197E-2</v>
      </c>
      <c r="N93" s="92">
        <f t="shared" ref="N93:N94" si="109">IF(M16=0,"",N16/M16-1)</f>
        <v>1.076067572980377E-2</v>
      </c>
      <c r="O93" s="92">
        <f t="shared" ref="O93:O94" si="110">IF(N16=0,"",O16/N16-1)</f>
        <v>1.866736722315876E-2</v>
      </c>
      <c r="P93" s="92">
        <f t="shared" ref="P93:P94" si="111">IF(O16=0,"",P16/O16-1)</f>
        <v>-1.2502238103858976E-2</v>
      </c>
      <c r="Q93" s="92">
        <f t="shared" ref="Q93:Q94" si="112">IF(P16=0,"",Q16/P16-1)</f>
        <v>1.8029483295164628E-2</v>
      </c>
      <c r="R93" s="92">
        <f t="shared" ref="R93:R94" si="113">IF(Q16=0,"",R16/Q16-1)</f>
        <v>4.2316724872344613E-2</v>
      </c>
      <c r="S93" s="92">
        <f t="shared" ref="S93:S94" si="114">IF(R16=0,"",S16/R16-1)</f>
        <v>3.7075414769658144E-2</v>
      </c>
      <c r="T93" s="92">
        <f t="shared" ref="T93:T94" si="115">IF(S16=0,"",T16/S16-1)</f>
        <v>2.201034825914272E-2</v>
      </c>
      <c r="U93" s="92">
        <f t="shared" ref="U93:U94" si="116">IF(T16=0,"",U16/T16-1)</f>
        <v>4.2715028358450979E-2</v>
      </c>
      <c r="V93" s="92">
        <f t="shared" ref="V93:V94" si="117">IF(U16=0,"",V16/U16-1)</f>
        <v>5.3626655872070161E-2</v>
      </c>
      <c r="W93" s="92">
        <f t="shared" ref="W93:W94" si="118">IF(V16=0,"",W16/V16-1)</f>
        <v>4.86461236575364E-2</v>
      </c>
      <c r="X93" s="92">
        <f t="shared" ref="X93:X94" si="119">IF(W16=0,"",X16/W16-1)</f>
        <v>-4.5357438478027423E-2</v>
      </c>
      <c r="Y93" s="92">
        <f t="shared" ref="Y93:Y94" si="120">IF(X16=0,"",Y16/X16-1)</f>
        <v>7.0861085246215261E-2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4.5375868024149835E-2</v>
      </c>
      <c r="F94" s="93">
        <f t="shared" si="101"/>
        <v>7.8834915659235616E-2</v>
      </c>
      <c r="G94" s="93">
        <f t="shared" si="102"/>
        <v>8.3899276256946376E-2</v>
      </c>
      <c r="H94" s="93">
        <f t="shared" si="103"/>
        <v>2.0153080694541137E-2</v>
      </c>
      <c r="I94" s="93">
        <f t="shared" si="104"/>
        <v>2.8530732737377162E-2</v>
      </c>
      <c r="J94" s="93">
        <f t="shared" si="105"/>
        <v>1.5338424043357612E-2</v>
      </c>
      <c r="K94" s="93">
        <f t="shared" si="106"/>
        <v>1.0416437452046567E-2</v>
      </c>
      <c r="L94" s="93">
        <f t="shared" si="107"/>
        <v>-1.2758851940015026E-2</v>
      </c>
      <c r="M94" s="93">
        <f t="shared" si="108"/>
        <v>-6.7227248665405748E-2</v>
      </c>
      <c r="N94" s="93">
        <f t="shared" si="109"/>
        <v>-1.2417036742749965E-2</v>
      </c>
      <c r="O94" s="93">
        <f t="shared" si="110"/>
        <v>8.5623202440203716E-3</v>
      </c>
      <c r="P94" s="93">
        <f t="shared" si="111"/>
        <v>-2.2389620195984783E-2</v>
      </c>
      <c r="Q94" s="93">
        <f t="shared" si="112"/>
        <v>-1.4228921890978574E-3</v>
      </c>
      <c r="R94" s="93">
        <f t="shared" si="113"/>
        <v>2.4125390942555613E-2</v>
      </c>
      <c r="S94" s="93">
        <f t="shared" si="114"/>
        <v>3.785883931271683E-2</v>
      </c>
      <c r="T94" s="93">
        <f t="shared" si="115"/>
        <v>4.7150783770009141E-2</v>
      </c>
      <c r="U94" s="93">
        <f t="shared" si="116"/>
        <v>5.0074098561513347E-2</v>
      </c>
      <c r="V94" s="93">
        <f t="shared" si="117"/>
        <v>5.1072318632604974E-2</v>
      </c>
      <c r="W94" s="93">
        <f t="shared" si="118"/>
        <v>4.9978070326416768E-2</v>
      </c>
      <c r="X94" s="93">
        <f t="shared" si="119"/>
        <v>-1.1566735436128739E-2</v>
      </c>
      <c r="Y94" s="93">
        <f t="shared" si="120"/>
        <v>4.5791099183747352E-2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4.2920729601667373E-2</v>
      </c>
      <c r="F95" s="92">
        <f t="shared" ref="F95:F96" si="122">IF(E20=0,"",F20/E20-1)</f>
        <v>5.0042165390151272E-2</v>
      </c>
      <c r="G95" s="92">
        <f t="shared" ref="G95:G96" si="123">IF(F20=0,"",G20/F20-1)</f>
        <v>4.4066991291198843E-2</v>
      </c>
      <c r="H95" s="92">
        <f t="shared" ref="H95:H96" si="124">IF(G20=0,"",H20/G20-1)</f>
        <v>5.2704901734532461E-2</v>
      </c>
      <c r="I95" s="92">
        <f t="shared" ref="I95:I96" si="125">IF(H20=0,"",I20/H20-1)</f>
        <v>4.4931660397496964E-2</v>
      </c>
      <c r="J95" s="92">
        <f t="shared" ref="J95:J96" si="126">IF(I20=0,"",J20/I20-1)</f>
        <v>4.1626889816999357E-2</v>
      </c>
      <c r="K95" s="92">
        <f t="shared" ref="K95:K96" si="127">IF(J20=0,"",K20/J20-1)</f>
        <v>3.8099411575591713E-3</v>
      </c>
      <c r="L95" s="92">
        <f t="shared" ref="L95:L96" si="128">IF(K20=0,"",L20/K20-1)</f>
        <v>1.2121682641600184E-2</v>
      </c>
      <c r="M95" s="92">
        <f t="shared" ref="M95:M96" si="129">IF(L20=0,"",M20/L20-1)</f>
        <v>-6.4631695238803522E-2</v>
      </c>
      <c r="N95" s="92">
        <f t="shared" ref="N95:N96" si="130">IF(M20=0,"",N20/M20-1)</f>
        <v>1.2441286024775122E-2</v>
      </c>
      <c r="O95" s="92">
        <f t="shared" ref="O95:O96" si="131">IF(N20=0,"",O20/N20-1)</f>
        <v>2.1585125602303856E-2</v>
      </c>
      <c r="P95" s="92">
        <f t="shared" ref="P95:P96" si="132">IF(O20=0,"",P20/O20-1)</f>
        <v>-7.1533840703531526E-3</v>
      </c>
      <c r="Q95" s="92">
        <f t="shared" ref="Q95:Q96" si="133">IF(P20=0,"",Q20/P20-1)</f>
        <v>2.0405550287363683E-2</v>
      </c>
      <c r="R95" s="92">
        <f t="shared" ref="R95:R96" si="134">IF(Q20=0,"",R20/Q20-1)</f>
        <v>4.5633716966178683E-2</v>
      </c>
      <c r="S95" s="92">
        <f t="shared" ref="S95:S96" si="135">IF(R20=0,"",S20/R20-1)</f>
        <v>3.9368739183787804E-2</v>
      </c>
      <c r="T95" s="92">
        <f t="shared" ref="T95:T96" si="136">IF(S20=0,"",T20/S20-1)</f>
        <v>2.4618373356218859E-2</v>
      </c>
      <c r="U95" s="92">
        <f t="shared" ref="U95:U96" si="137">IF(T20=0,"",U20/T20-1)</f>
        <v>4.6218997314977361E-2</v>
      </c>
      <c r="V95" s="92">
        <f t="shared" ref="V95:V96" si="138">IF(U20=0,"",V20/U20-1)</f>
        <v>5.5694392464001874E-2</v>
      </c>
      <c r="W95" s="92">
        <f t="shared" ref="W95:W96" si="139">IF(V20=0,"",W20/V20-1)</f>
        <v>4.924863005228719E-2</v>
      </c>
      <c r="X95" s="92">
        <f t="shared" ref="X95:X96" si="140">IF(W20=0,"",X20/W20-1)</f>
        <v>-4.5041814621382348E-2</v>
      </c>
      <c r="Y95" s="92">
        <f t="shared" ref="Y95:Y96" si="141">IF(X20=0,"",Y20/X20-1)</f>
        <v>7.5125921633054205E-2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4.7563509334123788E-2</v>
      </c>
      <c r="F96" s="93">
        <f t="shared" si="122"/>
        <v>8.1532837135737557E-2</v>
      </c>
      <c r="G96" s="93">
        <f t="shared" si="123"/>
        <v>8.7371541532516472E-2</v>
      </c>
      <c r="H96" s="93">
        <f t="shared" si="124"/>
        <v>2.2736552915874286E-2</v>
      </c>
      <c r="I96" s="93">
        <f t="shared" si="125"/>
        <v>3.0485721057159409E-2</v>
      </c>
      <c r="J96" s="93">
        <f t="shared" si="126"/>
        <v>1.7451205757248678E-2</v>
      </c>
      <c r="K96" s="93">
        <f t="shared" si="127"/>
        <v>1.1462672820850006E-2</v>
      </c>
      <c r="L96" s="93">
        <f t="shared" si="128"/>
        <v>-1.0718897088010437E-2</v>
      </c>
      <c r="M96" s="93">
        <f t="shared" si="129"/>
        <v>-6.5885785875322678E-2</v>
      </c>
      <c r="N96" s="93">
        <f t="shared" si="130"/>
        <v>-1.07749644549755E-2</v>
      </c>
      <c r="O96" s="93">
        <f t="shared" si="131"/>
        <v>1.1451134841865329E-2</v>
      </c>
      <c r="P96" s="93">
        <f t="shared" si="132"/>
        <v>-1.7094321892552444E-2</v>
      </c>
      <c r="Q96" s="93">
        <f t="shared" si="133"/>
        <v>9.0777322282620254E-4</v>
      </c>
      <c r="R96" s="93">
        <f t="shared" si="134"/>
        <v>2.7384492273072158E-2</v>
      </c>
      <c r="S96" s="93">
        <f t="shared" si="135"/>
        <v>4.0153896143415135E-2</v>
      </c>
      <c r="T96" s="93">
        <f t="shared" si="136"/>
        <v>4.9822963683986421E-2</v>
      </c>
      <c r="U96" s="93">
        <f t="shared" si="137"/>
        <v>5.3602797144869152E-2</v>
      </c>
      <c r="V96" s="93">
        <f t="shared" si="138"/>
        <v>5.3135042351571737E-2</v>
      </c>
      <c r="W96" s="93">
        <f t="shared" si="139"/>
        <v>5.0581341999718088E-2</v>
      </c>
      <c r="X96" s="93">
        <f t="shared" si="140"/>
        <v>-1.1239939699617008E-2</v>
      </c>
      <c r="Y96" s="93">
        <f t="shared" si="141"/>
        <v>4.9956091258144486E-2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4.2543947486424427E-2</v>
      </c>
      <c r="F97" s="89">
        <f t="shared" ref="F97:F106" si="143">IF(E23=0,"",F23/E23-1)</f>
        <v>4.8452348962656933E-2</v>
      </c>
      <c r="G97" s="89">
        <f t="shared" ref="G97:G106" si="144">IF(F23=0,"",G23/F23-1)</f>
        <v>4.2523935914352551E-2</v>
      </c>
      <c r="H97" s="89">
        <f t="shared" ref="H97:H106" si="145">IF(G23=0,"",H23/G23-1)</f>
        <v>4.9904471035695286E-2</v>
      </c>
      <c r="I97" s="89">
        <f t="shared" ref="I97:I106" si="146">IF(H23=0,"",I23/H23-1)</f>
        <v>4.2223559404289901E-2</v>
      </c>
      <c r="J97" s="89">
        <f t="shared" ref="J97:J106" si="147">IF(I23=0,"",J23/I23-1)</f>
        <v>3.8994429710164091E-2</v>
      </c>
      <c r="K97" s="89">
        <f t="shared" ref="K97:K106" si="148">IF(J23=0,"",K23/J23-1)</f>
        <v>2.1150143545756173E-3</v>
      </c>
      <c r="L97" s="89">
        <f t="shared" ref="L97:L106" si="149">IF(K23=0,"",L23/K23-1)</f>
        <v>8.3481877188944509E-3</v>
      </c>
      <c r="M97" s="89">
        <f t="shared" ref="M97:M106" si="150">IF(L23=0,"",M23/L23-1)</f>
        <v>-6.6495142335868507E-2</v>
      </c>
      <c r="N97" s="89">
        <f t="shared" ref="N97:N106" si="151">IF(M23=0,"",N23/M23-1)</f>
        <v>1.2946872224528949E-2</v>
      </c>
      <c r="O97" s="89">
        <f t="shared" ref="O97:O106" si="152">IF(N23=0,"",O23/N23-1)</f>
        <v>1.9526560252050906E-2</v>
      </c>
      <c r="P97" s="89">
        <f t="shared" ref="P97:P106" si="153">IF(O23=0,"",P23/O23-1)</f>
        <v>-1.2347740598858237E-2</v>
      </c>
      <c r="Q97" s="89">
        <f t="shared" ref="Q97:Q106" si="154">IF(P23=0,"",Q23/P23-1)</f>
        <v>2.4282937193601528E-2</v>
      </c>
      <c r="R97" s="89">
        <f t="shared" ref="R97:R106" si="155">IF(Q23=0,"",R23/Q23-1)</f>
        <v>4.4694875682549595E-2</v>
      </c>
      <c r="S97" s="89">
        <f t="shared" ref="S97:S106" si="156">IF(R23=0,"",S23/R23-1)</f>
        <v>3.6882772907088635E-2</v>
      </c>
      <c r="T97" s="89">
        <f t="shared" ref="T97:T106" si="157">IF(S23=0,"",T23/S23-1)</f>
        <v>2.29742176301031E-2</v>
      </c>
      <c r="U97" s="89">
        <f t="shared" ref="U97:U106" si="158">IF(T23=0,"",U23/T23-1)</f>
        <v>4.1977456037022076E-2</v>
      </c>
      <c r="V97" s="89">
        <f t="shared" ref="V97:V106" si="159">IF(U23=0,"",V23/U23-1)</f>
        <v>5.5637365000415606E-2</v>
      </c>
      <c r="W97" s="89">
        <f t="shared" ref="W97:W106" si="160">IF(V23=0,"",W23/V23-1)</f>
        <v>4.6574383994219648E-2</v>
      </c>
      <c r="X97" s="89">
        <f t="shared" ref="X97:X106" si="161">IF(W23=0,"",X23/W23-1)</f>
        <v>-4.8269596080980026E-2</v>
      </c>
      <c r="Y97" s="89">
        <f t="shared" ref="Y97:Y106" si="162">IF(X23=0,"",Y23/X23-1)</f>
        <v>7.4759004670295504E-2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2.4162800801060369E-2</v>
      </c>
      <c r="F98" s="83">
        <f t="shared" si="143"/>
        <v>-9.5064644998147707E-2</v>
      </c>
      <c r="G98" s="83">
        <f t="shared" si="144"/>
        <v>-3.5745390576204739E-2</v>
      </c>
      <c r="H98" s="83">
        <f t="shared" si="145"/>
        <v>0.17584833703856373</v>
      </c>
      <c r="I98" s="83">
        <f t="shared" si="146"/>
        <v>-0.11486731991861698</v>
      </c>
      <c r="J98" s="83">
        <f t="shared" si="147"/>
        <v>-2.0298739228389873E-2</v>
      </c>
      <c r="K98" s="83">
        <f t="shared" si="148"/>
        <v>-2.3650795932119717E-3</v>
      </c>
      <c r="L98" s="83">
        <f t="shared" si="149"/>
        <v>2.630813379407515E-3</v>
      </c>
      <c r="M98" s="83">
        <f t="shared" si="150"/>
        <v>-0.16732701678632533</v>
      </c>
      <c r="N98" s="83">
        <f t="shared" si="151"/>
        <v>7.0583185065786758E-3</v>
      </c>
      <c r="O98" s="83">
        <f t="shared" si="152"/>
        <v>0.33924598460208655</v>
      </c>
      <c r="P98" s="83">
        <f t="shared" si="153"/>
        <v>-2.7619729679633442E-2</v>
      </c>
      <c r="Q98" s="83">
        <f t="shared" si="154"/>
        <v>2.7835039160332808E-2</v>
      </c>
      <c r="R98" s="83">
        <f t="shared" si="155"/>
        <v>4.918332903749234E-2</v>
      </c>
      <c r="S98" s="83">
        <f t="shared" si="156"/>
        <v>1.1586630325635117E-3</v>
      </c>
      <c r="T98" s="83">
        <f t="shared" si="157"/>
        <v>4.2986404334012907E-2</v>
      </c>
      <c r="U98" s="83">
        <f t="shared" si="158"/>
        <v>5.818917049075667E-3</v>
      </c>
      <c r="V98" s="83">
        <f t="shared" si="159"/>
        <v>-1.5554699386650217E-2</v>
      </c>
      <c r="W98" s="83">
        <f t="shared" si="160"/>
        <v>2.5876814204961462E-4</v>
      </c>
      <c r="X98" s="83">
        <f t="shared" si="161"/>
        <v>-3.1044390467292904E-2</v>
      </c>
      <c r="Y98" s="83">
        <f t="shared" si="162"/>
        <v>0.10222471456518556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-7.453155318230642E-2</v>
      </c>
      <c r="F99" s="83">
        <f t="shared" si="143"/>
        <v>0.11040319564811729</v>
      </c>
      <c r="G99" s="83">
        <f t="shared" si="144"/>
        <v>1.2481224057132145E-2</v>
      </c>
      <c r="H99" s="83">
        <f t="shared" si="145"/>
        <v>1.0952922809111643E-2</v>
      </c>
      <c r="I99" s="83">
        <f t="shared" si="146"/>
        <v>0.11685374155009343</v>
      </c>
      <c r="J99" s="83">
        <f t="shared" si="147"/>
        <v>4.5101478388589911E-2</v>
      </c>
      <c r="K99" s="83">
        <f t="shared" si="148"/>
        <v>-0.19774244894539783</v>
      </c>
      <c r="L99" s="83">
        <f t="shared" si="149"/>
        <v>0.26655193722149129</v>
      </c>
      <c r="M99" s="83">
        <f t="shared" si="150"/>
        <v>-1.8632994941101155E-2</v>
      </c>
      <c r="N99" s="83">
        <f t="shared" si="151"/>
        <v>-0.15136038819921127</v>
      </c>
      <c r="O99" s="83">
        <f t="shared" si="152"/>
        <v>0.14692256697628392</v>
      </c>
      <c r="P99" s="83">
        <f t="shared" si="153"/>
        <v>3.8856054091352954E-2</v>
      </c>
      <c r="Q99" s="83">
        <f t="shared" si="154"/>
        <v>-9.2501865623038304E-2</v>
      </c>
      <c r="R99" s="83">
        <f t="shared" si="155"/>
        <v>-6.4159728799628502E-2</v>
      </c>
      <c r="S99" s="83">
        <f t="shared" si="156"/>
        <v>-0.17024320534223703</v>
      </c>
      <c r="T99" s="83">
        <f t="shared" si="157"/>
        <v>-7.1248407683244364E-2</v>
      </c>
      <c r="U99" s="83">
        <f t="shared" si="158"/>
        <v>0.3935550905505969</v>
      </c>
      <c r="V99" s="83">
        <f t="shared" si="159"/>
        <v>0.53016361342783203</v>
      </c>
      <c r="W99" s="83">
        <f t="shared" si="160"/>
        <v>0.35692515626619326</v>
      </c>
      <c r="X99" s="83">
        <f t="shared" si="161"/>
        <v>-0.33604274675553336</v>
      </c>
      <c r="Y99" s="83">
        <f t="shared" si="162"/>
        <v>0.43816909314534969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4.9025093245787854E-2</v>
      </c>
      <c r="F100" s="83">
        <f t="shared" si="143"/>
        <v>7.0239196565615947E-2</v>
      </c>
      <c r="G100" s="83">
        <f t="shared" si="144"/>
        <v>5.1277815109878944E-2</v>
      </c>
      <c r="H100" s="83">
        <f t="shared" si="145"/>
        <v>3.1580506503653183E-2</v>
      </c>
      <c r="I100" s="83">
        <f t="shared" si="146"/>
        <v>5.2517390365206529E-2</v>
      </c>
      <c r="J100" s="83">
        <f t="shared" si="147"/>
        <v>4.6167843648491136E-2</v>
      </c>
      <c r="K100" s="83">
        <f t="shared" si="148"/>
        <v>6.7910984073260572E-3</v>
      </c>
      <c r="L100" s="83">
        <f t="shared" si="149"/>
        <v>2.3939811529515742E-2</v>
      </c>
      <c r="M100" s="83">
        <f t="shared" si="150"/>
        <v>-4.994776450851901E-2</v>
      </c>
      <c r="N100" s="83">
        <f t="shared" si="151"/>
        <v>1.1242929674658564E-2</v>
      </c>
      <c r="O100" s="83">
        <f t="shared" si="152"/>
        <v>4.9174333107329105E-3</v>
      </c>
      <c r="P100" s="83">
        <f t="shared" si="153"/>
        <v>-1.5004460300133138E-2</v>
      </c>
      <c r="Q100" s="83">
        <f t="shared" si="154"/>
        <v>2.3655370919297702E-2</v>
      </c>
      <c r="R100" s="83">
        <f t="shared" si="155"/>
        <v>3.0704542270535207E-2</v>
      </c>
      <c r="S100" s="83">
        <f t="shared" si="156"/>
        <v>2.4622088704765455E-2</v>
      </c>
      <c r="T100" s="83">
        <f t="shared" si="157"/>
        <v>4.2200795892438636E-2</v>
      </c>
      <c r="U100" s="83">
        <f t="shared" si="158"/>
        <v>5.0485317856808543E-2</v>
      </c>
      <c r="V100" s="83">
        <f t="shared" si="159"/>
        <v>6.0185379808712858E-2</v>
      </c>
      <c r="W100" s="83">
        <f t="shared" si="160"/>
        <v>5.6348554327181999E-2</v>
      </c>
      <c r="X100" s="83">
        <f t="shared" si="161"/>
        <v>-4.4476352310459877E-2</v>
      </c>
      <c r="Y100" s="83">
        <f t="shared" si="162"/>
        <v>7.8143491640904506E-2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3.7587466967831995E-2</v>
      </c>
      <c r="F101" s="84">
        <f t="shared" si="143"/>
        <v>7.8381413141276335E-2</v>
      </c>
      <c r="G101" s="84">
        <f t="shared" si="144"/>
        <v>6.5030728555300232E-2</v>
      </c>
      <c r="H101" s="84">
        <f t="shared" si="145"/>
        <v>2.1343621729260631E-2</v>
      </c>
      <c r="I101" s="84">
        <f t="shared" si="146"/>
        <v>3.3168949781021695E-2</v>
      </c>
      <c r="J101" s="84">
        <f t="shared" si="147"/>
        <v>2.1332685206408186E-2</v>
      </c>
      <c r="K101" s="84">
        <f t="shared" si="148"/>
        <v>6.1397072162521216E-3</v>
      </c>
      <c r="L101" s="84">
        <f t="shared" si="149"/>
        <v>4.0592589325174622E-3</v>
      </c>
      <c r="M101" s="84">
        <f t="shared" si="150"/>
        <v>-5.4691765830407801E-2</v>
      </c>
      <c r="N101" s="84">
        <f t="shared" si="151"/>
        <v>-1.4874430425058094E-3</v>
      </c>
      <c r="O101" s="84">
        <f t="shared" si="152"/>
        <v>-5.7861923585800223E-3</v>
      </c>
      <c r="P101" s="84">
        <f t="shared" si="153"/>
        <v>-5.466343532324669E-3</v>
      </c>
      <c r="Q101" s="84">
        <f t="shared" si="154"/>
        <v>3.5910991123028646E-2</v>
      </c>
      <c r="R101" s="84">
        <f t="shared" si="155"/>
        <v>4.7460754301615227E-2</v>
      </c>
      <c r="S101" s="84">
        <f t="shared" si="156"/>
        <v>3.5690983966129908E-2</v>
      </c>
      <c r="T101" s="84">
        <f t="shared" si="157"/>
        <v>5.6662185176133972E-2</v>
      </c>
      <c r="U101" s="84">
        <f t="shared" si="158"/>
        <v>2.8131310589003089E-2</v>
      </c>
      <c r="V101" s="84">
        <f t="shared" si="159"/>
        <v>4.3158611195414309E-2</v>
      </c>
      <c r="W101" s="84">
        <f t="shared" si="160"/>
        <v>4.0914869322948411E-2</v>
      </c>
      <c r="X101" s="84">
        <f t="shared" si="161"/>
        <v>-6.4681249571737931E-2</v>
      </c>
      <c r="Y101" s="84">
        <f t="shared" si="162"/>
        <v>5.3371221656503876E-2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4.7271446677293216E-2</v>
      </c>
      <c r="F102" s="84">
        <f t="shared" si="143"/>
        <v>5.8165137770429309E-2</v>
      </c>
      <c r="G102" s="84">
        <f t="shared" si="144"/>
        <v>6.0559487172927362E-2</v>
      </c>
      <c r="H102" s="84">
        <f t="shared" si="145"/>
        <v>2.708534995863876E-2</v>
      </c>
      <c r="I102" s="84">
        <f t="shared" si="146"/>
        <v>7.2353621278941294E-2</v>
      </c>
      <c r="J102" s="84">
        <f t="shared" si="147"/>
        <v>6.2278491979265826E-2</v>
      </c>
      <c r="K102" s="84">
        <f t="shared" si="148"/>
        <v>3.8850717503560173E-3</v>
      </c>
      <c r="L102" s="84">
        <f t="shared" si="149"/>
        <v>3.0248444782166262E-2</v>
      </c>
      <c r="M102" s="84">
        <f t="shared" si="150"/>
        <v>-5.6173648653006225E-3</v>
      </c>
      <c r="N102" s="84">
        <f t="shared" si="151"/>
        <v>2.3613408066132768E-2</v>
      </c>
      <c r="O102" s="84">
        <f t="shared" si="152"/>
        <v>4.3570729226765081E-3</v>
      </c>
      <c r="P102" s="84">
        <f t="shared" si="153"/>
        <v>-2.9227900849037702E-2</v>
      </c>
      <c r="Q102" s="84">
        <f t="shared" si="154"/>
        <v>8.5679929484405726E-4</v>
      </c>
      <c r="R102" s="84">
        <f t="shared" si="155"/>
        <v>1.284598123233982E-2</v>
      </c>
      <c r="S102" s="84">
        <f t="shared" si="156"/>
        <v>1.9236146502895624E-2</v>
      </c>
      <c r="T102" s="84">
        <f t="shared" si="157"/>
        <v>4.5661433114454697E-2</v>
      </c>
      <c r="U102" s="84">
        <f t="shared" si="158"/>
        <v>7.151519708553522E-2</v>
      </c>
      <c r="V102" s="84">
        <f t="shared" si="159"/>
        <v>6.8023579108032362E-2</v>
      </c>
      <c r="W102" s="84">
        <f t="shared" si="160"/>
        <v>8.0916016146018954E-2</v>
      </c>
      <c r="X102" s="84">
        <f t="shared" si="161"/>
        <v>-3.9669803167793893E-2</v>
      </c>
      <c r="Y102" s="84">
        <f t="shared" si="162"/>
        <v>0.10295998531568373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8.0431603376562855E-2</v>
      </c>
      <c r="F103" s="84">
        <f t="shared" si="143"/>
        <v>7.8990547616660356E-2</v>
      </c>
      <c r="G103" s="84">
        <f t="shared" si="144"/>
        <v>-8.9483872633311368E-4</v>
      </c>
      <c r="H103" s="84">
        <f t="shared" si="145"/>
        <v>6.7203616728987781E-2</v>
      </c>
      <c r="I103" s="84">
        <f t="shared" si="146"/>
        <v>5.2612146739492216E-2</v>
      </c>
      <c r="J103" s="84">
        <f t="shared" si="147"/>
        <v>6.5800735142789168E-2</v>
      </c>
      <c r="K103" s="84">
        <f t="shared" si="148"/>
        <v>1.4935276710909662E-2</v>
      </c>
      <c r="L103" s="84">
        <f t="shared" si="149"/>
        <v>5.2848744370944223E-2</v>
      </c>
      <c r="M103" s="84">
        <f t="shared" si="150"/>
        <v>-0.13919424166979866</v>
      </c>
      <c r="N103" s="84">
        <f t="shared" si="151"/>
        <v>8.3483789950833387E-3</v>
      </c>
      <c r="O103" s="84">
        <f t="shared" si="152"/>
        <v>3.0575297850403027E-2</v>
      </c>
      <c r="P103" s="84">
        <f t="shared" si="153"/>
        <v>5.4083242917291052E-4</v>
      </c>
      <c r="Q103" s="84">
        <f t="shared" si="154"/>
        <v>5.361224623000016E-2</v>
      </c>
      <c r="R103" s="84">
        <f t="shared" si="155"/>
        <v>3.705605542449053E-2</v>
      </c>
      <c r="S103" s="84">
        <f t="shared" si="156"/>
        <v>1.3188269711024159E-2</v>
      </c>
      <c r="T103" s="84">
        <f t="shared" si="157"/>
        <v>2.382146295894616E-3</v>
      </c>
      <c r="U103" s="84">
        <f t="shared" si="158"/>
        <v>5.1568761477321479E-2</v>
      </c>
      <c r="V103" s="84">
        <f t="shared" si="159"/>
        <v>7.9513593628047774E-2</v>
      </c>
      <c r="W103" s="84">
        <f t="shared" si="160"/>
        <v>3.0388808114454546E-2</v>
      </c>
      <c r="X103" s="84">
        <f t="shared" si="161"/>
        <v>-1.2025256005789631E-2</v>
      </c>
      <c r="Y103" s="84">
        <f t="shared" si="162"/>
        <v>6.8481488339711794E-2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-5.8649755025349193E-2</v>
      </c>
      <c r="F104" s="83">
        <f t="shared" si="143"/>
        <v>7.0819398614169859E-2</v>
      </c>
      <c r="G104" s="83">
        <f t="shared" si="144"/>
        <v>-3.1133087223774725E-3</v>
      </c>
      <c r="H104" s="83">
        <f t="shared" si="145"/>
        <v>0.24973190517573407</v>
      </c>
      <c r="I104" s="83">
        <f t="shared" si="146"/>
        <v>9.0490252222950041E-3</v>
      </c>
      <c r="J104" s="83">
        <f t="shared" si="147"/>
        <v>-2.9207911354290794E-2</v>
      </c>
      <c r="K104" s="83">
        <f t="shared" si="148"/>
        <v>8.202137148104538E-2</v>
      </c>
      <c r="L104" s="83">
        <f t="shared" si="149"/>
        <v>-6.0027482119867637E-3</v>
      </c>
      <c r="M104" s="83">
        <f t="shared" si="150"/>
        <v>-1.238156640455701E-2</v>
      </c>
      <c r="N104" s="83">
        <f t="shared" si="151"/>
        <v>-3.2911997286712125E-2</v>
      </c>
      <c r="O104" s="83">
        <f t="shared" si="152"/>
        <v>-0.12740523490859446</v>
      </c>
      <c r="P104" s="83">
        <f t="shared" si="153"/>
        <v>6.4654642026145348E-2</v>
      </c>
      <c r="Q104" s="83">
        <f t="shared" si="154"/>
        <v>-0.16670506255363848</v>
      </c>
      <c r="R104" s="83">
        <f t="shared" si="155"/>
        <v>3.297691082349985E-2</v>
      </c>
      <c r="S104" s="83">
        <f t="shared" si="156"/>
        <v>-4.1229414681470344E-2</v>
      </c>
      <c r="T104" s="83">
        <f t="shared" si="157"/>
        <v>7.9626693253647352E-2</v>
      </c>
      <c r="U104" s="83">
        <f t="shared" si="158"/>
        <v>-0.1223601463763645</v>
      </c>
      <c r="V104" s="83">
        <f t="shared" si="159"/>
        <v>-1.9334041825108006E-2</v>
      </c>
      <c r="W104" s="83">
        <f t="shared" si="160"/>
        <v>5.7379592687340386E-2</v>
      </c>
      <c r="X104" s="83">
        <f t="shared" si="161"/>
        <v>-0.17073457342437992</v>
      </c>
      <c r="Y104" s="83">
        <f t="shared" si="162"/>
        <v>0.10474543116944246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0.11095477057101344</v>
      </c>
      <c r="F105" s="83">
        <f t="shared" si="143"/>
        <v>0.12079955863413083</v>
      </c>
      <c r="G105" s="83">
        <f t="shared" si="144"/>
        <v>-2.0157211392369589E-2</v>
      </c>
      <c r="H105" s="83">
        <f t="shared" si="145"/>
        <v>3.1264906824010508E-2</v>
      </c>
      <c r="I105" s="83">
        <f t="shared" si="146"/>
        <v>0.12161309417714827</v>
      </c>
      <c r="J105" s="83">
        <f t="shared" si="147"/>
        <v>-3.6145739833278068E-2</v>
      </c>
      <c r="K105" s="83">
        <f t="shared" si="148"/>
        <v>-7.6827234144826395E-2</v>
      </c>
      <c r="L105" s="83">
        <f t="shared" si="149"/>
        <v>3.6526355494157503E-3</v>
      </c>
      <c r="M105" s="83">
        <f t="shared" si="150"/>
        <v>-7.6089952893753199E-2</v>
      </c>
      <c r="N105" s="83">
        <f t="shared" si="151"/>
        <v>-0.13249323455375084</v>
      </c>
      <c r="O105" s="83">
        <f t="shared" si="152"/>
        <v>-8.0400402900238088E-3</v>
      </c>
      <c r="P105" s="83">
        <f t="shared" si="153"/>
        <v>-5.8251998845651243E-2</v>
      </c>
      <c r="Q105" s="83">
        <f t="shared" si="154"/>
        <v>7.462849389647408E-2</v>
      </c>
      <c r="R105" s="83">
        <f t="shared" si="155"/>
        <v>8.1614541596189305E-2</v>
      </c>
      <c r="S105" s="83">
        <f t="shared" si="156"/>
        <v>4.2681088696765901E-2</v>
      </c>
      <c r="T105" s="83">
        <f t="shared" si="157"/>
        <v>-0.13263436995978717</v>
      </c>
      <c r="U105" s="83">
        <f t="shared" si="158"/>
        <v>0.24071612500608275</v>
      </c>
      <c r="V105" s="83">
        <f t="shared" si="159"/>
        <v>0.26174259795362143</v>
      </c>
      <c r="W105" s="83">
        <f t="shared" si="160"/>
        <v>0.18320836035579724</v>
      </c>
      <c r="X105" s="83">
        <f t="shared" si="161"/>
        <v>-5.343354013344026E-2</v>
      </c>
      <c r="Y105" s="83">
        <f t="shared" si="162"/>
        <v>0.1709292479358111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3.2476694764904668E-2</v>
      </c>
      <c r="F106" s="83">
        <f t="shared" si="143"/>
        <v>-3.1926281501891696E-3</v>
      </c>
      <c r="G106" s="83">
        <f t="shared" si="144"/>
        <v>6.0365780834998439E-2</v>
      </c>
      <c r="H106" s="83">
        <f t="shared" si="145"/>
        <v>5.1367431292603349E-2</v>
      </c>
      <c r="I106" s="83">
        <f t="shared" si="146"/>
        <v>3.3856355754643852E-2</v>
      </c>
      <c r="J106" s="83">
        <f t="shared" si="147"/>
        <v>6.404001635709089E-2</v>
      </c>
      <c r="K106" s="83">
        <f t="shared" si="148"/>
        <v>-4.3695266466340366E-3</v>
      </c>
      <c r="L106" s="83">
        <f t="shared" si="149"/>
        <v>-3.9897512662690704E-2</v>
      </c>
      <c r="M106" s="83">
        <f t="shared" si="150"/>
        <v>-0.11297806439959845</v>
      </c>
      <c r="N106" s="83">
        <f t="shared" si="151"/>
        <v>7.2029586263476553E-2</v>
      </c>
      <c r="O106" s="83">
        <f t="shared" si="152"/>
        <v>4.8289848307941696E-2</v>
      </c>
      <c r="P106" s="83">
        <f t="shared" si="153"/>
        <v>-4.9092905973655565E-3</v>
      </c>
      <c r="Q106" s="83">
        <f t="shared" si="154"/>
        <v>5.4003679955278328E-2</v>
      </c>
      <c r="R106" s="83">
        <f t="shared" si="155"/>
        <v>8.4926167403090114E-2</v>
      </c>
      <c r="S106" s="83">
        <f t="shared" si="156"/>
        <v>9.4557520170379661E-2</v>
      </c>
      <c r="T106" s="83">
        <f t="shared" si="157"/>
        <v>-1.4281320133686215E-2</v>
      </c>
      <c r="U106" s="83">
        <f t="shared" si="158"/>
        <v>1.160567133973589E-2</v>
      </c>
      <c r="V106" s="83">
        <f t="shared" si="159"/>
        <v>1.955280504308754E-2</v>
      </c>
      <c r="W106" s="83">
        <f t="shared" si="160"/>
        <v>-1.5632598861209379E-2</v>
      </c>
      <c r="X106" s="83">
        <f t="shared" si="161"/>
        <v>-4.3052890088047135E-2</v>
      </c>
      <c r="Y106" s="83">
        <f t="shared" si="162"/>
        <v>2.0845344965809476E-2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-8.6534716697439285E-2</v>
      </c>
      <c r="F107" s="87">
        <f t="shared" ref="F107:F108" si="164">IF(E33=0,"",F33/E33-1)</f>
        <v>-0.18981697419247168</v>
      </c>
      <c r="G107" s="87">
        <f t="shared" ref="G107:G108" si="165">IF(F33=0,"",G33/F33-1)</f>
        <v>0.39979778024613344</v>
      </c>
      <c r="H107" s="87">
        <f t="shared" ref="H107:H108" si="166">IF(G33=0,"",H33/G33-1)</f>
        <v>0.22645404148327009</v>
      </c>
      <c r="I107" s="87">
        <f t="shared" ref="I107:I108" si="167">IF(H33=0,"",I33/H33-1)</f>
        <v>-4.190669631313737E-2</v>
      </c>
      <c r="J107" s="87">
        <f t="shared" ref="J107:J108" si="168">IF(I33=0,"",J33/I33-1)</f>
        <v>0.23043201495806231</v>
      </c>
      <c r="K107" s="87">
        <f t="shared" ref="K107:K108" si="169">IF(J33=0,"",K33/J33-1)</f>
        <v>-4.8398807184480974E-2</v>
      </c>
      <c r="L107" s="87">
        <f t="shared" ref="L107:L108" si="170">IF(K33=0,"",L33/K33-1)</f>
        <v>4.4330158863478575E-2</v>
      </c>
      <c r="M107" s="87">
        <f t="shared" ref="M107:M108" si="171">IF(L33=0,"",M33/L33-1)</f>
        <v>-0.58196898915386419</v>
      </c>
      <c r="N107" s="87">
        <f t="shared" ref="N107:N108" si="172">IF(M33=0,"",N33/M33-1)</f>
        <v>0.44240394295230123</v>
      </c>
      <c r="O107" s="87">
        <f t="shared" ref="O107:O108" si="173">IF(N33=0,"",O33/N33-1)</f>
        <v>8.5024452713060139E-2</v>
      </c>
      <c r="P107" s="87">
        <f t="shared" ref="P107:P108" si="174">IF(O33=0,"",P33/O33-1)</f>
        <v>-0.12101218032447258</v>
      </c>
      <c r="Q107" s="87">
        <f t="shared" ref="Q107:Q108" si="175">IF(P33=0,"",Q33/P33-1)</f>
        <v>7.7383642275091757E-2</v>
      </c>
      <c r="R107" s="87">
        <f t="shared" ref="R107:R108" si="176">IF(Q33=0,"",R33/Q33-1)</f>
        <v>0.13068936437296852</v>
      </c>
      <c r="S107" s="87">
        <f t="shared" ref="S107:S108" si="177">IF(R33=0,"",S33/R33-1)</f>
        <v>0.17602676729559774</v>
      </c>
      <c r="T107" s="87">
        <f t="shared" ref="T107:T108" si="178">IF(S33=0,"",T33/S33-1)</f>
        <v>6.1321127443723311E-2</v>
      </c>
      <c r="U107" s="87">
        <f t="shared" ref="U107:U108" si="179">IF(T33=0,"",U33/T33-1)</f>
        <v>0.11602035920808218</v>
      </c>
      <c r="V107" s="87">
        <f t="shared" ref="V107:V108" si="180">IF(U33=0,"",V33/U33-1)</f>
        <v>8.4530947074260121E-2</v>
      </c>
      <c r="W107" s="87">
        <f t="shared" ref="W107:W108" si="181">IF(V33=0,"",W33/V33-1)</f>
        <v>-0.16111974982049138</v>
      </c>
      <c r="X107" s="87">
        <f t="shared" ref="X107:X108" si="182">IF(W33=0,"",X33/W33-1)</f>
        <v>-0.14381259218192655</v>
      </c>
      <c r="Y107" s="87">
        <f t="shared" ref="Y107:Y108" si="183">IF(X33=0,"",Y33/X33-1)</f>
        <v>0.12403132062648203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-8.6534716697439285E-2</v>
      </c>
      <c r="F108" s="89">
        <f t="shared" si="164"/>
        <v>-0.18981697419247157</v>
      </c>
      <c r="G108" s="89">
        <f t="shared" si="165"/>
        <v>0.39979778024613366</v>
      </c>
      <c r="H108" s="89">
        <f t="shared" si="166"/>
        <v>0.22645404148326986</v>
      </c>
      <c r="I108" s="89">
        <f t="shared" si="167"/>
        <v>-4.1906696313137259E-2</v>
      </c>
      <c r="J108" s="89">
        <f t="shared" si="168"/>
        <v>0.23043201495806231</v>
      </c>
      <c r="K108" s="89">
        <f t="shared" si="169"/>
        <v>7.2819546399095714E-2</v>
      </c>
      <c r="L108" s="89">
        <f t="shared" si="170"/>
        <v>4.4330158863478353E-2</v>
      </c>
      <c r="M108" s="89">
        <f t="shared" si="171"/>
        <v>-0.59860213368158455</v>
      </c>
      <c r="N108" s="89">
        <f t="shared" si="172"/>
        <v>0.17044479125208412</v>
      </c>
      <c r="O108" s="89">
        <f t="shared" si="173"/>
        <v>0.10290137559212398</v>
      </c>
      <c r="P108" s="89">
        <f t="shared" si="174"/>
        <v>-0.26546650072618483</v>
      </c>
      <c r="Q108" s="89">
        <f t="shared" si="175"/>
        <v>0.15757143346440428</v>
      </c>
      <c r="R108" s="89">
        <f t="shared" si="176"/>
        <v>1.161407317994092</v>
      </c>
      <c r="S108" s="89">
        <f t="shared" si="177"/>
        <v>9.1366307868723906E-2</v>
      </c>
      <c r="T108" s="89">
        <f t="shared" si="178"/>
        <v>4.2890077092418322E-2</v>
      </c>
      <c r="U108" s="89">
        <f t="shared" si="179"/>
        <v>-5.4620381022699394E-2</v>
      </c>
      <c r="V108" s="89">
        <f t="shared" si="180"/>
        <v>9.1510988898224177E-2</v>
      </c>
      <c r="W108" s="89">
        <f t="shared" si="181"/>
        <v>-0.29088653918760377</v>
      </c>
      <c r="X108" s="89">
        <f t="shared" si="182"/>
        <v>-0.18015585932594069</v>
      </c>
      <c r="Y108" s="89">
        <f t="shared" si="183"/>
        <v>-0.29406074820191996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-8.6534716697439173E-2</v>
      </c>
      <c r="F109" s="89">
        <f t="shared" ref="F109" si="185">IF(E37=0,"",F37/E37-1)</f>
        <v>-0.18981697419247168</v>
      </c>
      <c r="G109" s="89">
        <f t="shared" ref="G109" si="186">IF(F37=0,"",G37/F37-1)</f>
        <v>0.39979778024613322</v>
      </c>
      <c r="H109" s="89">
        <f t="shared" ref="H109" si="187">IF(G37=0,"",H37/G37-1)</f>
        <v>0.22645404148327009</v>
      </c>
      <c r="I109" s="89">
        <f t="shared" ref="I109" si="188">IF(H37=0,"",I37/H37-1)</f>
        <v>-4.190669631313737E-2</v>
      </c>
      <c r="J109" s="89">
        <f t="shared" ref="J109" si="189">IF(I37=0,"",J37/I37-1)</f>
        <v>0.23043201495806231</v>
      </c>
      <c r="K109" s="89">
        <f t="shared" ref="K109" si="190">IF(J37=0,"",K37/J37-1)</f>
        <v>-0.1721223317330357</v>
      </c>
      <c r="L109" s="89">
        <f t="shared" ref="L109" si="191">IF(K37=0,"",L37/K37-1)</f>
        <v>4.4330158863478575E-2</v>
      </c>
      <c r="M109" s="89">
        <f t="shared" ref="M109" si="192">IF(L37=0,"",M37/L37-1)</f>
        <v>-0.55996918709309318</v>
      </c>
      <c r="N109" s="89">
        <f t="shared" ref="N109" si="193">IF(M37=0,"",N37/M37-1)</f>
        <v>0.77052950212639315</v>
      </c>
      <c r="O109" s="89">
        <f t="shared" ref="O109" si="194">IF(N37=0,"",O37/N37-1)</f>
        <v>7.0765851750806963E-2</v>
      </c>
      <c r="P109" s="89">
        <f t="shared" ref="P109" si="195">IF(O37=0,"",P37/O37-1)</f>
        <v>-2.3378335492202362E-3</v>
      </c>
      <c r="Q109" s="89">
        <f t="shared" ref="Q109" si="196">IF(P37=0,"",Q37/P37-1)</f>
        <v>2.8881304785086437E-2</v>
      </c>
      <c r="R109" s="89">
        <f t="shared" ref="R109" si="197">IF(Q37=0,"",R37/Q37-1)</f>
        <v>-0.57072843758787395</v>
      </c>
      <c r="S109" s="89">
        <f t="shared" ref="S109" si="198">IF(R37=0,"",S37/R37-1)</f>
        <v>0.46610962326216909</v>
      </c>
      <c r="T109" s="89">
        <f t="shared" ref="T109" si="199">IF(S37=0,"",T37/S37-1)</f>
        <v>0.10833170914655277</v>
      </c>
      <c r="U109" s="89">
        <f t="shared" ref="U109" si="200">IF(T37=0,"",U37/T37-1)</f>
        <v>0.52556103511482344</v>
      </c>
      <c r="V109" s="89">
        <f t="shared" ref="V109" si="201">IF(U37=0,"",V37/U37-1)</f>
        <v>7.4149712874313822E-2</v>
      </c>
      <c r="W109" s="89">
        <f t="shared" ref="W109" si="202">IF(V37=0,"",W37/V37-1)</f>
        <v>3.49984143496469E-2</v>
      </c>
      <c r="X109" s="89">
        <f t="shared" ref="X109" si="203">IF(W37=0,"",X37/W37-1)</f>
        <v>-0.10618085464688276</v>
      </c>
      <c r="Y109" s="89">
        <f t="shared" ref="Y109" si="204">IF(X37=0,"",Y37/X37-1)</f>
        <v>0.52111668291581559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0.13134304884979597</v>
      </c>
      <c r="F110" s="89">
        <f t="shared" ref="F110:F111" si="206">IF(E43=0,"",F43/E43-1)</f>
        <v>-4.9922976132992236E-2</v>
      </c>
      <c r="G110" s="89">
        <f t="shared" ref="G110:G111" si="207">IF(F43=0,"",G43/F43-1)</f>
        <v>6.3400740487742357E-2</v>
      </c>
      <c r="H110" s="89">
        <f t="shared" ref="H110:H111" si="208">IF(G43=0,"",H43/G43-1)</f>
        <v>1.7157528822729251E-2</v>
      </c>
      <c r="I110" s="89">
        <f t="shared" ref="I110:I111" si="209">IF(H43=0,"",I43/H43-1)</f>
        <v>1.8294605727975588E-2</v>
      </c>
      <c r="J110" s="89">
        <f t="shared" ref="J110:J111" si="210">IF(I43=0,"",J43/I43-1)</f>
        <v>0.12835852634646039</v>
      </c>
      <c r="K110" s="89">
        <f t="shared" ref="K110:K111" si="211">IF(J43=0,"",K43/J43-1)</f>
        <v>-1.3628693888214083E-2</v>
      </c>
      <c r="L110" s="89">
        <f t="shared" ref="L110:L111" si="212">IF(K43=0,"",L43/K43-1)</f>
        <v>-7.8734232312584251E-2</v>
      </c>
      <c r="M110" s="89">
        <f t="shared" ref="M110:M111" si="213">IF(L43=0,"",M43/L43-1)</f>
        <v>-0.11644900897302235</v>
      </c>
      <c r="N110" s="89">
        <f t="shared" ref="N110:N111" si="214">IF(M43=0,"",N43/M43-1)</f>
        <v>0.1591101639839152</v>
      </c>
      <c r="O110" s="89">
        <f t="shared" ref="O110:O111" si="215">IF(N43=0,"",O43/N43-1)</f>
        <v>4.5500656550538698E-2</v>
      </c>
      <c r="P110" s="89">
        <f t="shared" ref="P110:P111" si="216">IF(O43=0,"",P43/O43-1)</f>
        <v>7.6612184015898865E-2</v>
      </c>
      <c r="Q110" s="89">
        <f t="shared" ref="Q110:Q111" si="217">IF(P43=0,"",Q43/P43-1)</f>
        <v>-5.4393977781079461E-2</v>
      </c>
      <c r="R110" s="89">
        <f t="shared" ref="R110:R111" si="218">IF(Q43=0,"",R43/Q43-1)</f>
        <v>0.17142256051479254</v>
      </c>
      <c r="S110" s="89">
        <f t="shared" ref="S110:S111" si="219">IF(R43=0,"",S43/R43-1)</f>
        <v>0.15251485662384856</v>
      </c>
      <c r="T110" s="89">
        <f t="shared" ref="T110:T111" si="220">IF(S43=0,"",T43/S43-1)</f>
        <v>-2.8967599105174546E-2</v>
      </c>
      <c r="U110" s="89">
        <f t="shared" ref="U110:U111" si="221">IF(T43=0,"",U43/T43-1)</f>
        <v>0.15066774417913442</v>
      </c>
      <c r="V110" s="89">
        <f t="shared" ref="V110:V111" si="222">IF(U43=0,"",V43/U43-1)</f>
        <v>-7.3024651945728491E-2</v>
      </c>
      <c r="W110" s="89">
        <f t="shared" ref="W110:W111" si="223">IF(V43=0,"",W43/V43-1)</f>
        <v>-6.9509597569762938E-2</v>
      </c>
      <c r="X110" s="89">
        <f t="shared" ref="X110:X111" si="224">IF(W43=0,"",X43/W43-1)</f>
        <v>4.5728352797657745E-2</v>
      </c>
      <c r="Y110" s="89">
        <f t="shared" ref="Y110:Y111" si="225">IF(X43=0,"",Y43/X43-1)</f>
        <v>0.1206160668643117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0.12127026677894248</v>
      </c>
      <c r="F111" s="89">
        <f t="shared" si="206"/>
        <v>-9.9214299409773443E-2</v>
      </c>
      <c r="G111" s="89">
        <f t="shared" si="207"/>
        <v>-5.9328167723540437E-2</v>
      </c>
      <c r="H111" s="89">
        <f t="shared" si="208"/>
        <v>4.3854464997623799E-2</v>
      </c>
      <c r="I111" s="89">
        <f t="shared" si="209"/>
        <v>-4.8346582437964081E-2</v>
      </c>
      <c r="J111" s="89">
        <f t="shared" si="210"/>
        <v>0.16744579921439207</v>
      </c>
      <c r="K111" s="89">
        <f t="shared" si="211"/>
        <v>0.13793633464878274</v>
      </c>
      <c r="L111" s="89">
        <f t="shared" si="212"/>
        <v>-0.14299226159255174</v>
      </c>
      <c r="M111" s="89">
        <f t="shared" si="213"/>
        <v>-0.3669324166258886</v>
      </c>
      <c r="N111" s="89">
        <f t="shared" si="214"/>
        <v>0.10886320930498061</v>
      </c>
      <c r="O111" s="89">
        <f t="shared" si="215"/>
        <v>0.10746770420139051</v>
      </c>
      <c r="P111" s="89">
        <f t="shared" si="216"/>
        <v>0.16206209920894188</v>
      </c>
      <c r="Q111" s="89">
        <f t="shared" si="217"/>
        <v>0.13285614600389728</v>
      </c>
      <c r="R111" s="89">
        <f t="shared" si="218"/>
        <v>0.30893450703523007</v>
      </c>
      <c r="S111" s="89">
        <f t="shared" si="219"/>
        <v>0.32325305433970342</v>
      </c>
      <c r="T111" s="89">
        <f t="shared" si="220"/>
        <v>-5.9951875519570486E-3</v>
      </c>
      <c r="U111" s="89">
        <f t="shared" si="221"/>
        <v>0.18265545551727502</v>
      </c>
      <c r="V111" s="89">
        <f t="shared" si="222"/>
        <v>-6.0588678099155469E-2</v>
      </c>
      <c r="W111" s="89">
        <f t="shared" si="223"/>
        <v>-0.1830805787134665</v>
      </c>
      <c r="X111" s="89">
        <f t="shared" si="224"/>
        <v>0.10403957206147507</v>
      </c>
      <c r="Y111" s="89">
        <f t="shared" si="225"/>
        <v>0.33262182651087624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0.13913763937456558</v>
      </c>
      <c r="F112" s="89">
        <f t="shared" ref="F112:F113" si="227">IF(E47=0,"",F47/E47-1)</f>
        <v>-1.2378292546552983E-2</v>
      </c>
      <c r="G112" s="89">
        <f t="shared" ref="G112:G113" si="228">IF(F47=0,"",G47/F47-1)</f>
        <v>0.14866277635833502</v>
      </c>
      <c r="H112" s="89">
        <f t="shared" ref="H112:H113" si="229">IF(G47=0,"",H47/G47-1)</f>
        <v>1.9689953390811255E-3</v>
      </c>
      <c r="I112" s="89">
        <f t="shared" ref="I112:I113" si="230">IF(H47=0,"",I47/H47-1)</f>
        <v>5.77933074901118E-2</v>
      </c>
      <c r="J112" s="89">
        <f t="shared" ref="J112:J113" si="231">IF(I47=0,"",J47/I47-1)</f>
        <v>0.1075158513229364</v>
      </c>
      <c r="K112" s="89">
        <f t="shared" ref="K112:K113" si="232">IF(J47=0,"",K47/J47-1)</f>
        <v>-9.8821685315256924E-2</v>
      </c>
      <c r="L112" s="89">
        <f t="shared" ref="L112:L113" si="233">IF(K47=0,"",L47/K47-1)</f>
        <v>-3.3126393113615427E-2</v>
      </c>
      <c r="M112" s="89">
        <f t="shared" ref="M112:M113" si="234">IF(L47=0,"",M47/L47-1)</f>
        <v>4.1132805100895675E-2</v>
      </c>
      <c r="N112" s="89">
        <f t="shared" ref="N112:N113" si="235">IF(M47=0,"",N47/M47-1)</f>
        <v>0.178331378395302</v>
      </c>
      <c r="O112" s="89">
        <f t="shared" ref="O112:O113" si="236">IF(N47=0,"",O47/N47-1)</f>
        <v>2.3193592496126403E-2</v>
      </c>
      <c r="P112" s="89">
        <f t="shared" ref="P112:P113" si="237">IF(O47=0,"",P47/O47-1)</f>
        <v>4.3318143504255557E-2</v>
      </c>
      <c r="Q112" s="89">
        <f t="shared" ref="Q112:Q113" si="238">IF(P47=0,"",Q47/P47-1)</f>
        <v>-0.13565636157819361</v>
      </c>
      <c r="R112" s="89">
        <f t="shared" ref="R112:R113" si="239">IF(Q47=0,"",R47/Q47-1)</f>
        <v>9.320645294810026E-2</v>
      </c>
      <c r="S112" s="89">
        <f t="shared" ref="S112:S113" si="240">IF(R47=0,"",S47/R47-1)</f>
        <v>3.6235614366729729E-2</v>
      </c>
      <c r="T112" s="89">
        <f t="shared" ref="T112:T113" si="241">IF(S47=0,"",T47/S47-1)</f>
        <v>-4.8946080750164045E-2</v>
      </c>
      <c r="U112" s="89">
        <f t="shared" ref="U112:U113" si="242">IF(T47=0,"",U47/T47-1)</f>
        <v>0.12159256455160561</v>
      </c>
      <c r="V112" s="89">
        <f t="shared" ref="V112:V113" si="243">IF(U47=0,"",V47/U47-1)</f>
        <v>-8.4943716069886155E-2</v>
      </c>
      <c r="W112" s="89">
        <f t="shared" ref="W112:W113" si="244">IF(V47=0,"",W47/V47-1)</f>
        <v>4.2237876766141769E-2</v>
      </c>
      <c r="X112" s="89">
        <f t="shared" ref="X112:X113" si="245">IF(W47=0,"",X47/W47-1)</f>
        <v>7.5711619376694905E-4</v>
      </c>
      <c r="Y112" s="89">
        <f t="shared" ref="Y112:Y113" si="246">IF(X47=0,"",Y47/X47-1)</f>
        <v>-5.9763076555160888E-2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2.7621551779343889E-2</v>
      </c>
      <c r="F113" s="89">
        <f t="shared" si="227"/>
        <v>-1.500007823616889E-2</v>
      </c>
      <c r="G113" s="89">
        <f t="shared" si="228"/>
        <v>1.8621482408435863E-2</v>
      </c>
      <c r="H113" s="89">
        <f t="shared" si="229"/>
        <v>-5.5975035800921003E-2</v>
      </c>
      <c r="I113" s="89">
        <f t="shared" si="230"/>
        <v>5.8600277207022655E-2</v>
      </c>
      <c r="J113" s="89">
        <f t="shared" si="231"/>
        <v>0.11781616957011232</v>
      </c>
      <c r="K113" s="89">
        <f t="shared" si="232"/>
        <v>0.1433773806781875</v>
      </c>
      <c r="L113" s="89">
        <f t="shared" si="233"/>
        <v>-6.0656572514328433E-2</v>
      </c>
      <c r="M113" s="89">
        <f t="shared" si="234"/>
        <v>-0.30550843105867842</v>
      </c>
      <c r="N113" s="89">
        <f t="shared" si="235"/>
        <v>-4.0553535882506875E-2</v>
      </c>
      <c r="O113" s="89">
        <f t="shared" si="236"/>
        <v>-5.4544514750554662E-2</v>
      </c>
      <c r="P113" s="89">
        <f t="shared" si="237"/>
        <v>-4.7952131124338382E-2</v>
      </c>
      <c r="Q113" s="89">
        <f t="shared" si="238"/>
        <v>8.8864330773342548E-2</v>
      </c>
      <c r="R113" s="89">
        <f t="shared" si="239"/>
        <v>7.1848284874078683E-2</v>
      </c>
      <c r="S113" s="89">
        <f t="shared" si="240"/>
        <v>0.10604049195837306</v>
      </c>
      <c r="T113" s="89">
        <f t="shared" si="241"/>
        <v>2.8012040861213228E-2</v>
      </c>
      <c r="U113" s="89">
        <f t="shared" si="242"/>
        <v>3.8948181083573674E-2</v>
      </c>
      <c r="V113" s="89">
        <f t="shared" si="243"/>
        <v>6.6625833105697474E-2</v>
      </c>
      <c r="W113" s="89">
        <f t="shared" si="244"/>
        <v>8.6775710456660438E-2</v>
      </c>
      <c r="X113" s="89">
        <f t="shared" si="245"/>
        <v>-9.8818414004627542E-2</v>
      </c>
      <c r="Y113" s="89">
        <f t="shared" si="246"/>
        <v>0.11094780369466783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0.1683311315898135</v>
      </c>
      <c r="F114" s="89">
        <f t="shared" ref="F114:F115" si="248">IF(E52=0,"",F52/E52-1)</f>
        <v>3.0054163843779236E-2</v>
      </c>
      <c r="G114" s="89">
        <f t="shared" ref="G114:G115" si="249">IF(F52=0,"",G52/F52-1)</f>
        <v>-3.2924670334186334E-2</v>
      </c>
      <c r="H114" s="89">
        <f t="shared" ref="H114:H115" si="250">IF(G52=0,"",H52/G52-1)</f>
        <v>-3.059436494421508E-2</v>
      </c>
      <c r="I114" s="89">
        <f t="shared" ref="I114:I115" si="251">IF(H52=0,"",I52/H52-1)</f>
        <v>-1.6237556476942916E-2</v>
      </c>
      <c r="J114" s="89">
        <f t="shared" ref="J114:J115" si="252">IF(I52=0,"",J52/I52-1)</f>
        <v>-3.5513514595322704E-2</v>
      </c>
      <c r="K114" s="89">
        <f t="shared" ref="K114:K115" si="253">IF(J52=0,"",K52/J52-1)</f>
        <v>4.8006688651925922E-2</v>
      </c>
      <c r="L114" s="89">
        <f t="shared" ref="L114:L115" si="254">IF(K52=0,"",L52/K52-1)</f>
        <v>-7.9908378186173912E-2</v>
      </c>
      <c r="M114" s="89">
        <f t="shared" ref="M114:M115" si="255">IF(L52=0,"",M52/L52-1)</f>
        <v>-8.4054450608066378E-2</v>
      </c>
      <c r="N114" s="89">
        <f t="shared" ref="N114:N115" si="256">IF(M52=0,"",N52/M52-1)</f>
        <v>3.7324824534120893E-2</v>
      </c>
      <c r="O114" s="89">
        <f t="shared" ref="O114:O115" si="257">IF(N52=0,"",O52/N52-1)</f>
        <v>1.9969575573603349E-2</v>
      </c>
      <c r="P114" s="89">
        <f t="shared" ref="P114:P115" si="258">IF(O52=0,"",P52/O52-1)</f>
        <v>-1.2768246544769823E-4</v>
      </c>
      <c r="Q114" s="89">
        <f t="shared" ref="Q114:Q115" si="259">IF(P52=0,"",Q52/P52-1)</f>
        <v>5.3693987737085447E-2</v>
      </c>
      <c r="R114" s="89">
        <f t="shared" ref="R114:R115" si="260">IF(Q52=0,"",R52/Q52-1)</f>
        <v>4.3167940731241972E-2</v>
      </c>
      <c r="S114" s="89">
        <f t="shared" ref="S114:S115" si="261">IF(R52=0,"",S52/R52-1)</f>
        <v>1.9960766182298695E-2</v>
      </c>
      <c r="T114" s="89">
        <f t="shared" ref="T114:T115" si="262">IF(S52=0,"",T52/S52-1)</f>
        <v>4.8752563702064045E-2</v>
      </c>
      <c r="U114" s="89">
        <f t="shared" ref="U114:U115" si="263">IF(T52=0,"",U52/T52-1)</f>
        <v>1.6437679436986485E-2</v>
      </c>
      <c r="V114" s="89">
        <f t="shared" ref="V114:V115" si="264">IF(U52=0,"",V52/U52-1)</f>
        <v>3.7624206252561132E-2</v>
      </c>
      <c r="W114" s="89">
        <f t="shared" ref="W114:W115" si="265">IF(V52=0,"",W52/V52-1)</f>
        <v>5.0063531735622391E-2</v>
      </c>
      <c r="X114" s="89">
        <f t="shared" ref="X114:X115" si="266">IF(W52=0,"",X52/W52-1)</f>
        <v>-4.6484481570975844E-2</v>
      </c>
      <c r="Y114" s="89">
        <f t="shared" ref="Y114:Y115" si="267">IF(X52=0,"",Y52/X52-1)</f>
        <v>3.2463857921041228E-2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0.23971797299023545</v>
      </c>
      <c r="F115" s="89">
        <f t="shared" si="248"/>
        <v>-3.0972628772510946E-3</v>
      </c>
      <c r="G115" s="89">
        <f t="shared" si="249"/>
        <v>-5.9313379263961075E-3</v>
      </c>
      <c r="H115" s="89">
        <f t="shared" si="250"/>
        <v>-9.2343011455233603E-2</v>
      </c>
      <c r="I115" s="89">
        <f t="shared" si="251"/>
        <v>-4.8299445733461788E-2</v>
      </c>
      <c r="J115" s="89">
        <f t="shared" si="252"/>
        <v>-2.4388917509268748E-2</v>
      </c>
      <c r="K115" s="89">
        <f t="shared" si="253"/>
        <v>9.6235854866071557E-2</v>
      </c>
      <c r="L115" s="89">
        <f t="shared" si="254"/>
        <v>-3.6718212143410422E-2</v>
      </c>
      <c r="M115" s="89">
        <f t="shared" si="255"/>
        <v>2.3105061276356142E-3</v>
      </c>
      <c r="N115" s="89">
        <f t="shared" si="256"/>
        <v>0.1021146570928797</v>
      </c>
      <c r="O115" s="89">
        <f t="shared" si="257"/>
        <v>-8.5070186527713698E-4</v>
      </c>
      <c r="P115" s="89">
        <f t="shared" si="258"/>
        <v>3.2591631496042828E-2</v>
      </c>
      <c r="Q115" s="89">
        <f t="shared" si="259"/>
        <v>6.2472193360753048E-2</v>
      </c>
      <c r="R115" s="89">
        <f t="shared" si="260"/>
        <v>0.10634115520851695</v>
      </c>
      <c r="S115" s="89">
        <f t="shared" si="261"/>
        <v>2.655867048710614E-2</v>
      </c>
      <c r="T115" s="89">
        <f t="shared" si="262"/>
        <v>0.1248341597400684</v>
      </c>
      <c r="U115" s="89">
        <f t="shared" si="263"/>
        <v>-1.4128437517563985E-2</v>
      </c>
      <c r="V115" s="89">
        <f t="shared" si="264"/>
        <v>6.9802875183040181E-2</v>
      </c>
      <c r="W115" s="89">
        <f t="shared" si="265"/>
        <v>8.9659020464831984E-2</v>
      </c>
      <c r="X115" s="89">
        <f t="shared" si="266"/>
        <v>-2.1304283231945664E-2</v>
      </c>
      <c r="Y115" s="89">
        <f t="shared" si="267"/>
        <v>-4.5186578758587337E-2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0.11391098523623744</v>
      </c>
      <c r="F116" s="89">
        <f t="shared" ref="F116:F122" si="269">IF(E56=0,"",F56/E56-1)</f>
        <v>5.8180694948329892E-2</v>
      </c>
      <c r="G116" s="89">
        <f t="shared" ref="G116:G122" si="270">IF(F56=0,"",G56/F56-1)</f>
        <v>-5.4500296397867465E-2</v>
      </c>
      <c r="H116" s="89">
        <f t="shared" ref="H116:H122" si="271">IF(G56=0,"",H56/G56-1)</f>
        <v>2.1296311505601295E-2</v>
      </c>
      <c r="I116" s="89">
        <f t="shared" ref="I116:I122" si="272">IF(H56=0,"",I56/H56-1)</f>
        <v>7.7077826304634556E-3</v>
      </c>
      <c r="J116" s="89">
        <f t="shared" ref="J116:J122" si="273">IF(I56=0,"",J56/I56-1)</f>
        <v>-4.336012124862354E-2</v>
      </c>
      <c r="K116" s="89">
        <f t="shared" ref="K116:K122" si="274">IF(J56=0,"",K56/J56-1)</f>
        <v>1.3314189242322527E-2</v>
      </c>
      <c r="L116" s="89">
        <f t="shared" ref="L116:L122" si="275">IF(K56=0,"",L56/K56-1)</f>
        <v>-0.11351853880066809</v>
      </c>
      <c r="M116" s="89">
        <f t="shared" ref="M116:M122" si="276">IF(L56=0,"",M56/L56-1)</f>
        <v>-0.15708540323757836</v>
      </c>
      <c r="N116" s="89">
        <f t="shared" ref="N116:N122" si="277">IF(M56=0,"",N56/M56-1)</f>
        <v>-2.7822257987545562E-2</v>
      </c>
      <c r="O116" s="89">
        <f t="shared" ref="O116:O122" si="278">IF(N56=0,"",O56/N56-1)</f>
        <v>4.3702744516987968E-2</v>
      </c>
      <c r="P116" s="89">
        <f t="shared" ref="P116:P122" si="279">IF(O56=0,"",P56/O56-1)</f>
        <v>-3.5832512463483734E-2</v>
      </c>
      <c r="Q116" s="89">
        <f t="shared" ref="Q116:Q122" si="280">IF(P56=0,"",Q56/P56-1)</f>
        <v>4.3434996742066856E-2</v>
      </c>
      <c r="R116" s="89">
        <f t="shared" ref="R116:R122" si="281">IF(Q56=0,"",R56/Q56-1)</f>
        <v>-3.2008896173934431E-2</v>
      </c>
      <c r="S116" s="89">
        <f t="shared" ref="S116:S122" si="282">IF(R56=0,"",S56/R56-1)</f>
        <v>1.0986999220576887E-2</v>
      </c>
      <c r="T116" s="89">
        <f t="shared" ref="T116:T122" si="283">IF(S56=0,"",T56/S56-1)</f>
        <v>-5.6319338379122397E-2</v>
      </c>
      <c r="U116" s="89">
        <f t="shared" ref="U116:U122" si="284">IF(T56=0,"",U56/T56-1)</f>
        <v>6.6754210423708438E-2</v>
      </c>
      <c r="V116" s="89">
        <f t="shared" ref="V116:V122" si="285">IF(U56=0,"",V56/U56-1)</f>
        <v>-1.1330502423684496E-2</v>
      </c>
      <c r="W116" s="89">
        <f t="shared" ref="W116:W122" si="286">IF(V56=0,"",W56/V56-1)</f>
        <v>-1.5118024922419648E-2</v>
      </c>
      <c r="X116" s="89">
        <f t="shared" ref="X116:X122" si="287">IF(W56=0,"",X56/W56-1)</f>
        <v>-9.2345595160244098E-2</v>
      </c>
      <c r="Y116" s="89">
        <f t="shared" ref="Y116:Y122" si="288">IF(X56=0,"",Y56/X56-1)</f>
        <v>0.18495917937229311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0.10948876644152383</v>
      </c>
      <c r="F117" s="89">
        <f t="shared" si="269"/>
        <v>6.8089639422544979E-2</v>
      </c>
      <c r="G117" s="89">
        <f t="shared" si="270"/>
        <v>-8.0351654095971781E-2</v>
      </c>
      <c r="H117" s="89">
        <f t="shared" si="271"/>
        <v>3.5977951139403164E-3</v>
      </c>
      <c r="I117" s="89">
        <f t="shared" si="272"/>
        <v>-8.42097862319654E-2</v>
      </c>
      <c r="J117" s="89">
        <f t="shared" si="273"/>
        <v>1.5273679337464596E-2</v>
      </c>
      <c r="K117" s="89">
        <f t="shared" si="274"/>
        <v>-9.652894713203819E-2</v>
      </c>
      <c r="L117" s="89">
        <f t="shared" si="275"/>
        <v>-8.3402592351430438E-2</v>
      </c>
      <c r="M117" s="89">
        <f t="shared" si="276"/>
        <v>0.15432215849682751</v>
      </c>
      <c r="N117" s="89">
        <f t="shared" si="277"/>
        <v>-9.6664395245226187E-2</v>
      </c>
      <c r="O117" s="89">
        <f t="shared" si="278"/>
        <v>-4.9290075723306126E-2</v>
      </c>
      <c r="P117" s="89">
        <f t="shared" si="279"/>
        <v>-1.9605738482435298E-2</v>
      </c>
      <c r="Q117" s="89">
        <f t="shared" si="280"/>
        <v>9.1871669793899491E-2</v>
      </c>
      <c r="R117" s="89">
        <f t="shared" si="281"/>
        <v>3.4691584448915513E-2</v>
      </c>
      <c r="S117" s="89">
        <f t="shared" si="282"/>
        <v>1.4361926144756287E-2</v>
      </c>
      <c r="T117" s="89">
        <f t="shared" si="283"/>
        <v>2.1043406478982174E-2</v>
      </c>
      <c r="U117" s="89">
        <f t="shared" si="284"/>
        <v>-9.8062071422122532E-4</v>
      </c>
      <c r="V117" s="89">
        <f t="shared" si="285"/>
        <v>7.110500565068989E-2</v>
      </c>
      <c r="W117" s="89">
        <f t="shared" si="286"/>
        <v>-2.2948477917099974E-2</v>
      </c>
      <c r="X117" s="89">
        <f t="shared" si="287"/>
        <v>-6.2085482149968341E-3</v>
      </c>
      <c r="Y117" s="89">
        <f t="shared" si="288"/>
        <v>5.7015734210568159E-3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-8.3975061706279885E-2</v>
      </c>
      <c r="F118" s="89">
        <f t="shared" si="269"/>
        <v>1.1108738904689996E-2</v>
      </c>
      <c r="G118" s="89">
        <f t="shared" si="270"/>
        <v>0.17489256661223873</v>
      </c>
      <c r="H118" s="89">
        <f t="shared" si="271"/>
        <v>1.4815898281559159E-2</v>
      </c>
      <c r="I118" s="89">
        <f t="shared" si="272"/>
        <v>0.12111370035006619</v>
      </c>
      <c r="J118" s="89">
        <f t="shared" si="273"/>
        <v>0.27021299539832766</v>
      </c>
      <c r="K118" s="89">
        <f t="shared" si="274"/>
        <v>0.10428454108567453</v>
      </c>
      <c r="L118" s="89">
        <f t="shared" si="275"/>
        <v>-4.6364469212074821E-2</v>
      </c>
      <c r="M118" s="89">
        <f t="shared" si="276"/>
        <v>-0.24650723994863477</v>
      </c>
      <c r="N118" s="89">
        <f t="shared" si="277"/>
        <v>0.23431389132582048</v>
      </c>
      <c r="O118" s="89">
        <f t="shared" si="278"/>
        <v>-4.6583446875652745E-2</v>
      </c>
      <c r="P118" s="89">
        <f t="shared" si="279"/>
        <v>-9.6120029731396994E-2</v>
      </c>
      <c r="Q118" s="89">
        <f t="shared" si="280"/>
        <v>0.27137566648311329</v>
      </c>
      <c r="R118" s="89">
        <f t="shared" si="281"/>
        <v>0.15201738848145752</v>
      </c>
      <c r="S118" s="89">
        <f t="shared" si="282"/>
        <v>0.15660514239547574</v>
      </c>
      <c r="T118" s="89">
        <f t="shared" si="283"/>
        <v>6.888767498551851E-2</v>
      </c>
      <c r="U118" s="89">
        <f t="shared" si="284"/>
        <v>-5.2130909494318756E-2</v>
      </c>
      <c r="V118" s="89">
        <f t="shared" si="285"/>
        <v>2.4425458557546964E-2</v>
      </c>
      <c r="W118" s="89">
        <f t="shared" si="286"/>
        <v>-4.4535437703457803E-2</v>
      </c>
      <c r="X118" s="89">
        <f t="shared" si="287"/>
        <v>-0.11405565356309733</v>
      </c>
      <c r="Y118" s="89">
        <f t="shared" si="288"/>
        <v>-9.9264338236191185E-2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-9.8267761463818326E-3</v>
      </c>
      <c r="F119" s="89">
        <f t="shared" si="269"/>
        <v>1.979254389270646E-2</v>
      </c>
      <c r="G119" s="89">
        <f t="shared" si="270"/>
        <v>0.1576241184802738</v>
      </c>
      <c r="H119" s="89">
        <f t="shared" si="271"/>
        <v>0.14232956262525986</v>
      </c>
      <c r="I119" s="89">
        <f t="shared" si="272"/>
        <v>0.10222752312409455</v>
      </c>
      <c r="J119" s="89">
        <f t="shared" si="273"/>
        <v>-1.8257063809436702E-2</v>
      </c>
      <c r="K119" s="89">
        <f t="shared" si="274"/>
        <v>-4.8802861944002518E-2</v>
      </c>
      <c r="L119" s="89">
        <f t="shared" si="275"/>
        <v>-1.397220894390705E-2</v>
      </c>
      <c r="M119" s="89">
        <f t="shared" si="276"/>
        <v>-5.8870722694157163E-2</v>
      </c>
      <c r="N119" s="89">
        <f t="shared" si="277"/>
        <v>3.9671125105801952E-2</v>
      </c>
      <c r="O119" s="89">
        <f t="shared" si="278"/>
        <v>0.13962710250194577</v>
      </c>
      <c r="P119" s="89">
        <f t="shared" si="279"/>
        <v>4.8128607653505906E-3</v>
      </c>
      <c r="Q119" s="89">
        <f t="shared" si="280"/>
        <v>-8.8025226238240828E-3</v>
      </c>
      <c r="R119" s="89">
        <f t="shared" si="281"/>
        <v>4.9953026261353006E-2</v>
      </c>
      <c r="S119" s="89">
        <f t="shared" si="282"/>
        <v>7.1169342899168431E-2</v>
      </c>
      <c r="T119" s="89">
        <f t="shared" si="283"/>
        <v>-0.11967816881185978</v>
      </c>
      <c r="U119" s="89">
        <f t="shared" si="284"/>
        <v>1.1477432715210512E-2</v>
      </c>
      <c r="V119" s="89">
        <f t="shared" si="285"/>
        <v>1.2929668984973386E-2</v>
      </c>
      <c r="W119" s="89">
        <f t="shared" si="286"/>
        <v>4.5819969057245835E-3</v>
      </c>
      <c r="X119" s="89">
        <f t="shared" si="287"/>
        <v>-3.1046904983594414E-2</v>
      </c>
      <c r="Y119" s="89">
        <f t="shared" si="288"/>
        <v>3.1350595740139209E-2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2.2154733311345431E-2</v>
      </c>
      <c r="F120" s="89">
        <f t="shared" si="269"/>
        <v>-0.13259939145499733</v>
      </c>
      <c r="G120" s="89">
        <f t="shared" si="270"/>
        <v>-0.1651039996527599</v>
      </c>
      <c r="H120" s="89">
        <f t="shared" si="271"/>
        <v>-8.1442424736325569E-2</v>
      </c>
      <c r="I120" s="89">
        <f t="shared" si="272"/>
        <v>-0.16235675513078707</v>
      </c>
      <c r="J120" s="89">
        <f t="shared" si="273"/>
        <v>1.217468594403015E-2</v>
      </c>
      <c r="K120" s="89">
        <f t="shared" si="274"/>
        <v>-0.12723275020780123</v>
      </c>
      <c r="L120" s="89">
        <f t="shared" si="275"/>
        <v>-0.11382662777499564</v>
      </c>
      <c r="M120" s="89">
        <f t="shared" si="276"/>
        <v>-0.11257766356705323</v>
      </c>
      <c r="N120" s="89">
        <f t="shared" si="277"/>
        <v>-3.6447326680445813E-2</v>
      </c>
      <c r="O120" s="89">
        <f t="shared" si="278"/>
        <v>9.285519074682691E-2</v>
      </c>
      <c r="P120" s="89">
        <f t="shared" si="279"/>
        <v>-2.2879143842859384E-2</v>
      </c>
      <c r="Q120" s="89">
        <f t="shared" si="280"/>
        <v>1.5316345639816875E-2</v>
      </c>
      <c r="R120" s="89">
        <f t="shared" si="281"/>
        <v>1.5732775457903969E-2</v>
      </c>
      <c r="S120" s="89">
        <f t="shared" si="282"/>
        <v>-2.2900935236004338E-2</v>
      </c>
      <c r="T120" s="89">
        <f t="shared" si="283"/>
        <v>2.9793318050876483E-2</v>
      </c>
      <c r="U120" s="89">
        <f t="shared" si="284"/>
        <v>9.5427410037864924E-3</v>
      </c>
      <c r="V120" s="89">
        <f t="shared" si="285"/>
        <v>2.4395327766597585E-2</v>
      </c>
      <c r="W120" s="89">
        <f t="shared" si="286"/>
        <v>-2.345146302407175E-2</v>
      </c>
      <c r="X120" s="89">
        <f t="shared" si="287"/>
        <v>-0.15169757333888634</v>
      </c>
      <c r="Y120" s="89">
        <f t="shared" si="288"/>
        <v>1.3227544527976587E-2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6.4410544881857268E-2</v>
      </c>
      <c r="F121" s="89">
        <f t="shared" si="269"/>
        <v>-0.12310587204841328</v>
      </c>
      <c r="G121" s="89">
        <f t="shared" si="270"/>
        <v>-2.2389086362121446E-2</v>
      </c>
      <c r="H121" s="89">
        <f t="shared" si="271"/>
        <v>3.767487289741811E-2</v>
      </c>
      <c r="I121" s="89">
        <f t="shared" si="272"/>
        <v>-9.3969697840075583E-2</v>
      </c>
      <c r="J121" s="89">
        <f t="shared" si="273"/>
        <v>-1.1357530217331768E-2</v>
      </c>
      <c r="K121" s="89">
        <f t="shared" si="274"/>
        <v>2.1889841922449804E-2</v>
      </c>
      <c r="L121" s="89">
        <f t="shared" si="275"/>
        <v>-2.1243603685531687E-2</v>
      </c>
      <c r="M121" s="89">
        <f t="shared" si="276"/>
        <v>-0.22666593999972384</v>
      </c>
      <c r="N121" s="89">
        <f t="shared" si="277"/>
        <v>-3.7600450060908397E-3</v>
      </c>
      <c r="O121" s="89">
        <f t="shared" si="278"/>
        <v>-1.9946150782776173E-2</v>
      </c>
      <c r="P121" s="89">
        <f t="shared" si="279"/>
        <v>-2.1346109203520314E-2</v>
      </c>
      <c r="Q121" s="89">
        <f t="shared" si="280"/>
        <v>2.4224036445112729E-2</v>
      </c>
      <c r="R121" s="89">
        <f t="shared" si="281"/>
        <v>6.9335264583707312E-2</v>
      </c>
      <c r="S121" s="89">
        <f t="shared" si="282"/>
        <v>5.6376401384083064E-2</v>
      </c>
      <c r="T121" s="89">
        <f t="shared" si="283"/>
        <v>2.0937207862000928E-2</v>
      </c>
      <c r="U121" s="89">
        <f t="shared" si="284"/>
        <v>4.2533544249882649E-2</v>
      </c>
      <c r="V121" s="89">
        <f t="shared" si="285"/>
        <v>4.9338311956892644E-2</v>
      </c>
      <c r="W121" s="89">
        <f t="shared" si="286"/>
        <v>4.5210185510138334E-2</v>
      </c>
      <c r="X121" s="89">
        <f t="shared" si="287"/>
        <v>2.1504333651950258E-2</v>
      </c>
      <c r="Y121" s="89">
        <f t="shared" si="288"/>
        <v>0.25583027544889858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0.11530423462815653</v>
      </c>
      <c r="F122" s="91">
        <f t="shared" si="269"/>
        <v>2.7793829991025643E-2</v>
      </c>
      <c r="G122" s="91">
        <f t="shared" si="270"/>
        <v>1.8368701592476944E-2</v>
      </c>
      <c r="H122" s="91">
        <f t="shared" si="271"/>
        <v>2.2942893447835067E-2</v>
      </c>
      <c r="I122" s="91">
        <f t="shared" si="272"/>
        <v>1.0686593564966262E-2</v>
      </c>
      <c r="J122" s="91">
        <f t="shared" si="273"/>
        <v>3.5617630314967563E-2</v>
      </c>
      <c r="K122" s="91">
        <f t="shared" si="274"/>
        <v>6.8524402879515334E-2</v>
      </c>
      <c r="L122" s="91">
        <f t="shared" si="275"/>
        <v>6.2938074008842548E-3</v>
      </c>
      <c r="M122" s="91">
        <f t="shared" si="276"/>
        <v>8.5352743648221541E-3</v>
      </c>
      <c r="N122" s="91">
        <f t="shared" si="277"/>
        <v>9.3556489845369128E-2</v>
      </c>
      <c r="O122" s="91">
        <f t="shared" si="278"/>
        <v>7.4906311730314146E-2</v>
      </c>
      <c r="P122" s="91">
        <f t="shared" si="279"/>
        <v>9.9048906110432045E-2</v>
      </c>
      <c r="Q122" s="91">
        <f t="shared" si="280"/>
        <v>3.5607540146811889E-2</v>
      </c>
      <c r="R122" s="91">
        <f t="shared" si="281"/>
        <v>6.6242833525088418E-2</v>
      </c>
      <c r="S122" s="91">
        <f t="shared" si="282"/>
        <v>9.4715294849852194E-2</v>
      </c>
      <c r="T122" s="91">
        <f t="shared" si="283"/>
        <v>7.9676803566632204E-2</v>
      </c>
      <c r="U122" s="91">
        <f t="shared" si="284"/>
        <v>-3.7641285881833575E-2</v>
      </c>
      <c r="V122" s="91">
        <f t="shared" si="285"/>
        <v>5.8973714517064568E-2</v>
      </c>
      <c r="W122" s="91">
        <f t="shared" si="286"/>
        <v>4.365852250913238E-2</v>
      </c>
      <c r="X122" s="91">
        <f t="shared" si="287"/>
        <v>-1.0219707718248427E-2</v>
      </c>
      <c r="Y122" s="91">
        <f t="shared" si="288"/>
        <v>1.4777150278591611E-2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52EDA9-65B7-44B5-8D8F-3AF4A18EF314}"/>
</file>

<file path=customXml/itemProps2.xml><?xml version="1.0" encoding="utf-8"?>
<ds:datastoreItem xmlns:ds="http://schemas.openxmlformats.org/officeDocument/2006/customXml" ds:itemID="{2CE409A3-D5F3-41BA-A41D-904BB2E07C70}"/>
</file>

<file path=customXml/itemProps3.xml><?xml version="1.0" encoding="utf-8"?>
<ds:datastoreItem xmlns:ds="http://schemas.openxmlformats.org/officeDocument/2006/customXml" ds:itemID="{E940952D-3067-441D-BF27-50AB7AC57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2024-05-20T16:51:14Z</dcterms:created>
  <dcterms:modified xsi:type="dcterms:W3CDTF">2024-05-20T16:51:14Z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