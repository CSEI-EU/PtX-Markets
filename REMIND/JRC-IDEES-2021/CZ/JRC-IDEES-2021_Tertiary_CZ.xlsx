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K5" i="29" s="1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L12" i="29"/>
  <c r="L11" i="29" s="1"/>
  <c r="K12" i="29"/>
  <c r="K11" i="29" s="1"/>
  <c r="J12" i="29"/>
  <c r="J11" i="29" s="1"/>
  <c r="I12" i="29"/>
  <c r="H12" i="29"/>
  <c r="G12" i="29"/>
  <c r="G4" i="29" s="1"/>
  <c r="F12" i="29"/>
  <c r="F4" i="29" s="1"/>
  <c r="E12" i="29"/>
  <c r="E4" i="29" s="1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P6" i="29"/>
  <c r="O6" i="29"/>
  <c r="H6" i="29"/>
  <c r="G6" i="29"/>
  <c r="F6" i="29"/>
  <c r="E6" i="29"/>
  <c r="T5" i="29"/>
  <c r="S5" i="29"/>
  <c r="Q5" i="29"/>
  <c r="L5" i="29"/>
  <c r="J5" i="29"/>
  <c r="I5" i="29"/>
  <c r="D5" i="29"/>
  <c r="U4" i="29"/>
  <c r="P4" i="29"/>
  <c r="N4" i="29"/>
  <c r="M4" i="29"/>
  <c r="H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V6" i="29"/>
  <c r="W4" i="29"/>
  <c r="U6" i="29"/>
  <c r="V4" i="29"/>
  <c r="R5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27" i="24" l="1"/>
  <c r="W3" i="31"/>
  <c r="U19" i="25"/>
  <c r="V3" i="32"/>
  <c r="U15" i="24"/>
  <c r="U19" i="23"/>
  <c r="W3" i="29"/>
  <c r="W3" i="8"/>
  <c r="W3" i="12" s="1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R90" i="6" l="1"/>
  <c r="T90" i="6"/>
  <c r="G90" i="6"/>
  <c r="L90" i="6"/>
  <c r="V90" i="6"/>
  <c r="S90" i="6"/>
  <c r="S89" i="6"/>
  <c r="S92" i="6"/>
  <c r="S94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6" i="25" l="1"/>
  <c r="O16" i="24"/>
  <c r="J16" i="13"/>
  <c r="L19" i="24"/>
  <c r="C4" i="24"/>
  <c r="Q16" i="24"/>
  <c r="K16" i="12"/>
  <c r="I19" i="12"/>
  <c r="I19" i="15" s="1"/>
  <c r="I19" i="13"/>
  <c r="K19" i="12"/>
  <c r="G16" i="12"/>
  <c r="H29" i="24"/>
  <c r="F4" i="24"/>
  <c r="H29" i="23"/>
  <c r="P19" i="13"/>
  <c r="G29" i="12"/>
  <c r="G29" i="15" s="1"/>
  <c r="G29" i="13"/>
  <c r="G19" i="23"/>
  <c r="F16" i="12"/>
  <c r="G19" i="24"/>
  <c r="C16" i="12"/>
  <c r="O29" i="13"/>
  <c r="O4" i="13"/>
  <c r="O29" i="12"/>
  <c r="O29" i="15" s="1"/>
  <c r="E4" i="13"/>
  <c r="E19" i="24"/>
  <c r="I4" i="23"/>
  <c r="K4" i="24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O19" i="24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N16" i="12"/>
  <c r="N16" i="15" s="1"/>
  <c r="E16" i="12"/>
  <c r="E16" i="15" s="1"/>
  <c r="I16" i="14"/>
  <c r="Q4" i="23"/>
  <c r="J29" i="24"/>
  <c r="P16" i="13"/>
  <c r="P16" i="16" s="1"/>
  <c r="C29" i="12"/>
  <c r="G16" i="24"/>
  <c r="I4" i="12"/>
  <c r="L16" i="13"/>
  <c r="L16" i="16" s="1"/>
  <c r="B29" i="13"/>
  <c r="L4" i="24"/>
  <c r="Q29" i="23"/>
  <c r="G16" i="25"/>
  <c r="G16" i="28" s="1"/>
  <c r="Q4" i="24"/>
  <c r="D4" i="23"/>
  <c r="C29" i="13"/>
  <c r="B29" i="12"/>
  <c r="H19" i="24"/>
  <c r="H19" i="27" s="1"/>
  <c r="Q4" i="12"/>
  <c r="B4" i="14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P4" i="13"/>
  <c r="P4" i="16" s="1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C15" i="15"/>
  <c r="E9" i="16"/>
  <c r="C21" i="15"/>
  <c r="M32" i="15"/>
  <c r="M5" i="15"/>
  <c r="M9" i="15"/>
  <c r="M13" i="15"/>
  <c r="B57" i="6" l="1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1" i="4"/>
  <c r="B4" i="4"/>
  <c r="B33" i="4"/>
  <c r="B26" i="4"/>
  <c r="B43" i="4"/>
  <c r="B35" i="4"/>
  <c r="B21" i="4"/>
  <c r="B38" i="4"/>
  <c r="B8" i="4"/>
  <c r="B37" i="4"/>
  <c r="B25" i="4"/>
  <c r="B29" i="4"/>
  <c r="B39" i="4"/>
  <c r="B44" i="4"/>
  <c r="B20" i="4"/>
  <c r="B23" i="4"/>
  <c r="B12" i="4"/>
  <c r="B42" i="4"/>
  <c r="B9" i="4"/>
  <c r="B7" i="4"/>
  <c r="B14" i="4"/>
  <c r="B10" i="4"/>
  <c r="B16" i="4"/>
  <c r="B15" i="4"/>
  <c r="B28" i="4"/>
  <c r="B17" i="4"/>
  <c r="B22" i="4"/>
  <c r="B45" i="4"/>
  <c r="B13" i="4"/>
  <c r="B24" i="4"/>
  <c r="B30" i="4"/>
  <c r="B27" i="4"/>
  <c r="B34" i="4"/>
  <c r="B36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<sst xmlns="http://schemas.openxmlformats.org/spreadsheetml/2006/main" count="2099" uniqueCount="1055">
  <si>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</si>
  <si>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</si>
  <si>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</si>
  <si>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</si>
  <si>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</si>
  <si>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</si>
  <si>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</si>
  <si>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</si>
  <si>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</si>
  <si>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</si>
  <si>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</si>
  <si>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</si>
  <si>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</si>
  <si>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</si>
  <si>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</si>
  <si>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</si>
  <si>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</si>
  <si>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</si>
  <si>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</si>
  <si>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</si>
  <si>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</si>
  <si>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</si>
  <si>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</si>
  <si>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</si>
  <si>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</si>
  <si>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</si>
  <si>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</si>
  <si>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</si>
  <si>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</si>
  <si>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</si>
  <si>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</si>
  <si>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</si>
  <si>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</si>
  <si>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</si>
  <si>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</si>
  <si>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</si>
  <si>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</si>
  <si>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</si>
  <si>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</si>
  <si>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</si>
  <si>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</si>
  <si>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</si>
  <si>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</si>
  <si>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</si>
  <si>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</si>
  <si>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</si>
  <si>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</si>
  <si>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</si>
  <si>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</si>
  <si>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</si>
  <si>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</si>
  <si>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</si>
  <si>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</si>
  <si>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</si>
  <si>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</si>
  <si>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</si>
  <si>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</si>
  <si>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</si>
  <si>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</si>
  <si>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</si>
  <si>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</si>
  <si>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</si>
  <si>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</si>
  <si>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</si>
  <si>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</si>
  <si>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</si>
  <si>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</si>
  <si>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</si>
  <si>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</si>
  <si>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</si>
  <si>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</si>
  <si>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</si>
  <si>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</si>
  <si>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</si>
  <si>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</si>
  <si>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</si>
  <si>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</si>
  <si>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</si>
  <si>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</si>
  <si>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</si>
  <si>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</si>
  <si>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</si>
  <si>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</si>
  <si>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</si>
  <si>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</si>
  <si>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</si>
  <si>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</si>
  <si>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</si>
  <si>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</si>
  <si>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</si>
  <si>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</si>
  <si>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</si>
  <si>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</si>
  <si>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</si>
  <si>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</si>
  <si>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</si>
  <si>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</si>
  <si>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</si>
  <si>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</si>
  <si>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</si>
  <si>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</si>
  <si>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</si>
  <si>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</si>
  <si>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</si>
  <si>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</si>
  <si>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</si>
  <si>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</si>
  <si>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</si>
  <si>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</si>
  <si>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</si>
  <si>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</si>
  <si>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</si>
  <si>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</si>
  <si>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</si>
  <si>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</si>
  <si>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</si>
  <si>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</si>
  <si>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</si>
  <si>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</si>
  <si>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</si>
  <si>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</si>
  <si>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</si>
  <si>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</si>
  <si>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</si>
  <si>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</si>
  <si>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</si>
  <si>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</si>
  <si>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</si>
  <si>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</si>
  <si>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</si>
  <si>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</si>
  <si>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</si>
  <si>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</si>
  <si>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</si>
  <si>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</si>
  <si>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</si>
  <si>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</si>
  <si>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</si>
  <si>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</si>
  <si>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</si>
  <si>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</si>
  <si>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</si>
  <si>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</si>
  <si>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</si>
  <si>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</si>
  <si>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</si>
  <si>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</si>
  <si>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</si>
  <si>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</si>
  <si>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</si>
  <si>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</si>
  <si>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</si>
  <si>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</si>
  <si>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</si>
  <si>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</si>
  <si>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</si>
  <si>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</si>
  <si>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</si>
  <si>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</si>
  <si>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</si>
  <si>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</si>
  <si>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</si>
  <si>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</si>
  <si>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</si>
  <si>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</si>
  <si>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</si>
  <si>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</si>
  <si>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</si>
  <si>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</si>
  <si>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</si>
  <si>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</si>
  <si>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</si>
  <si>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</si>
  <si>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</si>
  <si>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</si>
  <si>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</si>
  <si>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</si>
  <si>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</si>
  <si>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</si>
  <si>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</si>
  <si>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</si>
  <si>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</si>
  <si>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</si>
  <si>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</si>
  <si>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CZ</t>
  </si>
  <si>
    <t>Czechia</t>
  </si>
  <si>
    <t>CZ - Services sector summary</t>
  </si>
  <si>
    <t>Macro.number.CZ.Population</t>
  </si>
  <si>
    <t>Macro.Meuro2015.CZ.GDP</t>
  </si>
  <si>
    <t>Macro.Meuro2015.CZ.VA</t>
  </si>
  <si>
    <t>Macro.number.CZ.Employees</t>
  </si>
  <si>
    <t>NUM.number.CZ.Ser.Bld</t>
  </si>
  <si>
    <t>SurfaceArea.ksqm.CZ.Ser.Bld</t>
  </si>
  <si>
    <t>NUM.number.CZ.Ser.BldNew</t>
  </si>
  <si>
    <t>SurfaceArea.ksqm.CZ.Ser.BldNew</t>
  </si>
  <si>
    <t>HDD.Celsius.CZ.Actual</t>
  </si>
  <si>
    <t>HDD.Celsius.CZ.Mean</t>
  </si>
  <si>
    <t>HDD.ratio.CZ.Relative</t>
  </si>
  <si>
    <t>FEC.ktoe.CZ.ES.Ser</t>
  </si>
  <si>
    <t>FEC.ktoe.CZ.ES.Ser.Solids</t>
  </si>
  <si>
    <t>FEC.ktoe.CZ.ES.Ser.LPG</t>
  </si>
  <si>
    <t>FEC.ktoe.CZ.ES.Ser.Oil</t>
  </si>
  <si>
    <t>FEC.ktoe.CZ.ES.Ser.NG</t>
  </si>
  <si>
    <t>FEC.ktoe.CZ.ES.Ser.Biomass_Waste</t>
  </si>
  <si>
    <t>FEC.ktoe.CZ.ES.Ser.Biogas</t>
  </si>
  <si>
    <t>FEC.ktoe.CZ.ES.Ser.LiqBio</t>
  </si>
  <si>
    <t>FEC.ktoe.CZ.ES.Ser.Solar</t>
  </si>
  <si>
    <t>FEC.ktoe.CZ.ES.Ser.Geo</t>
  </si>
  <si>
    <t>FEC.ktoe.CZ.ES.Ser.Ambient</t>
  </si>
  <si>
    <t>FEC.ktoe.CZ.ES.Ser.Steam_Distr</t>
  </si>
  <si>
    <t>FEC.ktoe.CZ.ES.Ser.Elec</t>
  </si>
  <si>
    <t>FEC.ktoe.CZ.Ser</t>
  </si>
  <si>
    <t>FEC.ktoe.CZ.Ser.Bld.Thermal</t>
  </si>
  <si>
    <t>FEC.ktoe.CZ.Ser.Bld.Thermal.SH</t>
  </si>
  <si>
    <t>FEC.ktoe.CZ.Ser.Bld.Thermal.SC</t>
  </si>
  <si>
    <t>FEC.ktoe.CZ.Ser.Bld.Thermal.HW</t>
  </si>
  <si>
    <t>FEC.ktoe.CZ.Ser.Bld.Thermal.CA</t>
  </si>
  <si>
    <t>FEC.ktoe.CZ.Ser.SEU</t>
  </si>
  <si>
    <t>EMI.ktCO2.CZ.ES.Ser</t>
  </si>
  <si>
    <t>EMI.ktCO2.CZ.ES.Ser.Solids</t>
  </si>
  <si>
    <t>EMI.ktCO2.CZ.ES.Ser.LPG</t>
  </si>
  <si>
    <t>EMI.ktCO2.CZ.ES.Ser.Oil</t>
  </si>
  <si>
    <t>EMI.ktCO2.CZ.ES.Ser.NG</t>
  </si>
  <si>
    <t>EMI.ktCO2.CZ.ES.Ser.Biomass_Waste</t>
  </si>
  <si>
    <t>EMI.ktCO2.CZ.ES.Ser.Biogas</t>
  </si>
  <si>
    <t>EMI.ktCO2.CZ.ES.Ser.LiqBio</t>
  </si>
  <si>
    <t>EMI.ktCO2.CZ.ES.Ser.Solar</t>
  </si>
  <si>
    <t>EMI.ktCO2.CZ.ES.Ser.Geo</t>
  </si>
  <si>
    <t>EMI.ktCO2.CZ.ES.Ser.Ambient</t>
  </si>
  <si>
    <t>EMI.ktCO2.CZ.ES.Ser.Steam_Distr</t>
  </si>
  <si>
    <t>EMI.ktCO2.CZ.ES.Ser.Elec</t>
  </si>
  <si>
    <t>EMI.ktCO2.CZ.Ser</t>
  </si>
  <si>
    <t>EMI.ktCO2.CZ.Ser.Bld.Thermal</t>
  </si>
  <si>
    <t>EMI.ktCO2.CZ.Ser.Bld.Thermal.SH</t>
  </si>
  <si>
    <t>EMI.ktCO2.CZ.Ser.Bld.Thermal.SC</t>
  </si>
  <si>
    <t>EMI.ktCO2.CZ.Ser.Bld.Thermal.HW</t>
  </si>
  <si>
    <t>EMI.ktCO2.CZ.Ser.Bld.Thermal.CA</t>
  </si>
  <si>
    <t>EMI.ktCO2.CZ.Ser.SEU</t>
  </si>
  <si>
    <t>Eff.ratio.CZ.Ser.Bld.Thermal</t>
  </si>
  <si>
    <t>Eff.ratio.CZ.Ser.Bld.Thermal.SH</t>
  </si>
  <si>
    <t>Eff.ratio.CZ.Ser.Bld.Thermal.SC</t>
  </si>
  <si>
    <t>Eff.ratio.CZ.Ser.Bld.Thermal.HW</t>
  </si>
  <si>
    <t>Eff.ratio.CZ.Ser.Bld.Thermal.CA</t>
  </si>
  <si>
    <t>CZ - Number of buildings</t>
  </si>
  <si>
    <t>NUM.number.CZ.Ser.Bld.Thermal</t>
  </si>
  <si>
    <t>NUM.number.CZ.Ser.Bld.Thermal.SH</t>
  </si>
  <si>
    <t>NUM.number.CZ.Ser.Bld.Thermal.SH.Solids</t>
  </si>
  <si>
    <t>NUM.number.CZ.Ser.Bld.Thermal.SH.LPG</t>
  </si>
  <si>
    <t>NUM.number.CZ.Ser.Bld.Thermal.SH.Oil</t>
  </si>
  <si>
    <t>NUM.number.CZ.Ser.Bld.Thermal.SH.GasHP</t>
  </si>
  <si>
    <t>NUM.number.CZ.Ser.Bld.Thermal.SH.GasTH</t>
  </si>
  <si>
    <t>NUM.number.CZ.Ser.Bld.Thermal.SH.Biomass</t>
  </si>
  <si>
    <t>NUM.number.CZ.Ser.Bld.Thermal.SH.Geo</t>
  </si>
  <si>
    <t>NUM.number.CZ.Ser.Bld.Thermal.SH.DistrHeat</t>
  </si>
  <si>
    <t>NUM.number.CZ.Ser.Bld.Thermal.SH.AdvElc</t>
  </si>
  <si>
    <t>NUM.number.CZ.Ser.Bld.Thermal.SH.ConvElc</t>
  </si>
  <si>
    <t>NUM.number.CZ.Ser.Bld.Thermal.SC</t>
  </si>
  <si>
    <t>NUM.number.CZ.Ser.Bld.Thermal.SC.GasHP</t>
  </si>
  <si>
    <t>NUM.number.CZ.Ser.Bld.Thermal.SC.AC</t>
  </si>
  <si>
    <t>NUM.number.CZ.Ser.Bld.Thermal.HW</t>
  </si>
  <si>
    <t>NUM.number.CZ.Ser.Bld.Thermal.HW.Solids</t>
  </si>
  <si>
    <t>NUM.number.CZ.Ser.Bld.Thermal.HW.LPG</t>
  </si>
  <si>
    <t>NUM.number.CZ.Ser.Bld.Thermal.HW.Oil</t>
  </si>
  <si>
    <t>NUM.number.CZ.Ser.Bld.Thermal.HW.Gas</t>
  </si>
  <si>
    <t>NUM.number.CZ.Ser.Bld.Thermal.HW.Biomass</t>
  </si>
  <si>
    <t>NUM.number.CZ.Ser.Bld.Thermal.HW.DistrHeat</t>
  </si>
  <si>
    <t>NUM.number.CZ.Ser.Bld.Thermal.HW.Elc</t>
  </si>
  <si>
    <t>NUM.number.CZ.Ser.Bld.Thermal.HW.Solar</t>
  </si>
  <si>
    <t>NUM.number.CZ.Ser.Bld.Thermal.CA</t>
  </si>
  <si>
    <t>NUM.number.CZ.Ser.Bld.Thermal.CA.LPG</t>
  </si>
  <si>
    <t>NUM.number.CZ.Ser.Bld.Thermal.CA.Gas</t>
  </si>
  <si>
    <t>NUM.number.CZ.Ser.Bld.Thermal.CA.Biomass</t>
  </si>
  <si>
    <t>NUM.number.CZ.Ser.Bld.Thermal.CA.Elc</t>
  </si>
  <si>
    <t>CZ - Final energy consumption</t>
  </si>
  <si>
    <t>FEC.ktoe.CZ.Ser.Bld.Thermal.SH.Solids.Solids</t>
  </si>
  <si>
    <t>FEC.ktoe.CZ.Ser.Bld.Thermal.SH.LPG.LPG</t>
  </si>
  <si>
    <t>FEC.ktoe.CZ.Ser.Bld.Thermal.SH.Oil.Oil_LiqBio</t>
  </si>
  <si>
    <t>FEC.ktoe.CZ.Ser.Bld.Thermal.SH.GasHP.NG_Biogas</t>
  </si>
  <si>
    <t>FEC.ktoe.CZ.Ser.Bld.Thermal.SH.GasTH.NG_Biogas</t>
  </si>
  <si>
    <t>FEC.ktoe.CZ.Ser.Bld.Thermal.SH.Biomass.Biomass_Waste</t>
  </si>
  <si>
    <t>FEC.ktoe.CZ.Ser.Bld.Thermal.SH.Geo.Geo</t>
  </si>
  <si>
    <t>FEC.ktoe.CZ.Ser.Bld.Thermal.SH.DistrHeat.Steam_Distr</t>
  </si>
  <si>
    <t>FEC.ktoe.CZ.Ser.Bld.Thermal.SH.AdvElc.Elec</t>
  </si>
  <si>
    <t>FEC.ktoe.CZ.Ser.Bld.Thermal.SH.ConvElc.Elec</t>
  </si>
  <si>
    <t>FEC.ktoe.CZ.Ser.Bld.Thermal.SH.TotalCirculation.Elec</t>
  </si>
  <si>
    <t>FEC.ktoe.CZ.Ser.Bld.Thermal.SC.GasHP.NG_Biogas</t>
  </si>
  <si>
    <t>FEC.ktoe.CZ.Ser.Bld.Thermal.SC.AC.Elec</t>
  </si>
  <si>
    <t>FEC.ktoe.CZ.Ser.Bld.Thermal.HW.Solids.Solids</t>
  </si>
  <si>
    <t>FEC.ktoe.CZ.Ser.Bld.Thermal.HW.LPG.LPG</t>
  </si>
  <si>
    <t>FEC.ktoe.CZ.Ser.Bld.Thermal.HW.Oil.Oil_LiqBio</t>
  </si>
  <si>
    <t>FEC.ktoe.CZ.Ser.Bld.Thermal.HW.Gas.NG_Biogas</t>
  </si>
  <si>
    <t>FEC.ktoe.CZ.Ser.Bld.Thermal.HW.Biomass.Biomass_Waste</t>
  </si>
  <si>
    <t>FEC.ktoe.CZ.Ser.Bld.Thermal.HW.DistrHeat.Steam_Distr</t>
  </si>
  <si>
    <t>FEC.ktoe.CZ.Ser.Bld.Thermal.HW.Elc.Elec</t>
  </si>
  <si>
    <t>FEC.ktoe.CZ.Ser.Bld.Thermal.HW.TotalSolar.Solar</t>
  </si>
  <si>
    <t>FEC.ktoe.CZ.Ser.Bld.Thermal.CA.LPG</t>
  </si>
  <si>
    <t>FEC.ktoe.CZ.Ser.Bld.Thermal.CA.Gas.NG_Biogas</t>
  </si>
  <si>
    <t>FEC.ktoe.CZ.Ser.Bld.Thermal.CA.Biomass.Biomass_Waste</t>
  </si>
  <si>
    <t>FEC.ktoe.CZ.Ser.Bld.Thermal.CA.Elc.Elec</t>
  </si>
  <si>
    <t>CZ - Thermal energy service</t>
  </si>
  <si>
    <t>TES.ktoe.CZ.Ser.Bld.Thermal</t>
  </si>
  <si>
    <t>TES.ktoe.CZ.Ser.Bld.Thermal.SH</t>
  </si>
  <si>
    <t>TES.ktoe.CZ.Ser.Bld.Thermal.SH.Solids.Solids</t>
  </si>
  <si>
    <t>TES.ktoe.CZ.Ser.Bld.Thermal.SH.LPG.LPG</t>
  </si>
  <si>
    <t>TES.ktoe.CZ.Ser.Bld.Thermal.SH.Oil.Oil_LiqBio</t>
  </si>
  <si>
    <t>TES.ktoe.CZ.Ser.Bld.Thermal.SH.GasHP.NG_Biogas</t>
  </si>
  <si>
    <t>TES.ktoe.CZ.Ser.Bld.Thermal.SH.GasTH.NG_Biogas</t>
  </si>
  <si>
    <t>TES.ktoe.CZ.Ser.Bld.Thermal.SH.Biomass.Biomass_Waste</t>
  </si>
  <si>
    <t>TES.ktoe.CZ.Ser.Bld.Thermal.SH.Geo.Geo</t>
  </si>
  <si>
    <t>TES.ktoe.CZ.Ser.Bld.Thermal.SH.DistrHeat.Steam_Distr</t>
  </si>
  <si>
    <t>TES.ktoe.CZ.Ser.Bld.Thermal.SH.AdvElc.Elec</t>
  </si>
  <si>
    <t>TES.ktoe.CZ.Ser.Bld.Thermal.SH.ConvElc.Elec</t>
  </si>
  <si>
    <t>TES.ktoe.CZ.Ser.Bld.Thermal.SH.TotalCirculation.Elec</t>
  </si>
  <si>
    <t>TES.ktoe.CZ.Ser.Bld.Thermal.SC</t>
  </si>
  <si>
    <t>TES.ktoe.CZ.Ser.Bld.Thermal.SC.GasHP.NG_Biogas</t>
  </si>
  <si>
    <t>TES.ktoe.CZ.Ser.Bld.Thermal.SC.AC.Elec</t>
  </si>
  <si>
    <t>TES.ktoe.CZ.Ser.Bld.Thermal.HW</t>
  </si>
  <si>
    <t>TES.ktoe.CZ.Ser.Bld.Thermal.HW.Solids.Solids</t>
  </si>
  <si>
    <t>TES.ktoe.CZ.Ser.Bld.Thermal.HW.LPG.LPG</t>
  </si>
  <si>
    <t>TES.ktoe.CZ.Ser.Bld.Thermal.HW.Oil.Oil_LiqBio</t>
  </si>
  <si>
    <t>TES.ktoe.CZ.Ser.Bld.Thermal.HW.Gas.NG_Biogas</t>
  </si>
  <si>
    <t>TES.ktoe.CZ.Ser.Bld.Thermal.HW.Biomass.Biomass_Waste</t>
  </si>
  <si>
    <t>TES.ktoe.CZ.Ser.Bld.Thermal.HW.DistrHeat.Steam_Distr</t>
  </si>
  <si>
    <t>TES.ktoe.CZ.Ser.Bld.Thermal.HW.Elc.Elec</t>
  </si>
  <si>
    <t>TES.ktoe.CZ.Ser.Bld.Thermal.HW.TotalSolar.Solar</t>
  </si>
  <si>
    <t>TES.ktoe.CZ.Ser.Bld.Thermal.CA</t>
  </si>
  <si>
    <t>TES.ktoe.CZ.Ser.Bld.Thermal.CA.LPG</t>
  </si>
  <si>
    <t>TES.ktoe.CZ.Ser.Bld.Thermal.CA.Gas.NG_Biogas</t>
  </si>
  <si>
    <t>TES.ktoe.CZ.Ser.Bld.Thermal.CA.Biomass.Biomass_Waste</t>
  </si>
  <si>
    <t>TES.ktoe.CZ.Ser.Bld.Thermal.CA.Elc.Elec</t>
  </si>
  <si>
    <t>CZ - System efficiency indicator of total stock</t>
  </si>
  <si>
    <t>Eff.ratio.CZ.Ser.Bld.Thermal.SH.Solids.Solids</t>
  </si>
  <si>
    <t>Eff.ratio.CZ.Ser.Bld.Thermal.SH.LPG.LPG</t>
  </si>
  <si>
    <t>Eff.ratio.CZ.Ser.Bld.Thermal.SH.Oil.Oil_LiqBio</t>
  </si>
  <si>
    <t>Eff.ratio.CZ.Ser.Bld.Thermal.SH.GasHP.NG_Biogas</t>
  </si>
  <si>
    <t>Eff.ratio.CZ.Ser.Bld.Thermal.SH.GasTH.NG_Biogas</t>
  </si>
  <si>
    <t>Eff.ratio.CZ.Ser.Bld.Thermal.SH.Biomass.Biomass_Waste</t>
  </si>
  <si>
    <t>Eff.ratio.CZ.Ser.Bld.Thermal.SH.Geo.Geo</t>
  </si>
  <si>
    <t>Eff.ratio.CZ.Ser.Bld.Thermal.SH.DistrHeat.Steam_Distr</t>
  </si>
  <si>
    <t>Eff.ratio.CZ.Ser.Bld.Thermal.SH.AdvElc.Elec</t>
  </si>
  <si>
    <t>Eff.ratio.CZ.Ser.Bld.Thermal.SH.ConvElc.Elec</t>
  </si>
  <si>
    <t>Eff.ratio.CZ.Ser.Bld.Thermal.SH.TotalCirculation.Elec</t>
  </si>
  <si>
    <t>Eff.ratio.CZ.Ser.Bld.Thermal.SC.GasHP.NG_Biogas</t>
  </si>
  <si>
    <t>Eff.ratio.CZ.Ser.Bld.Thermal.SC.AC.Elec</t>
  </si>
  <si>
    <t>Eff.ratio.CZ.Ser.Bld.Thermal.HW.Solids.Solids</t>
  </si>
  <si>
    <t>Eff.ratio.CZ.Ser.Bld.Thermal.HW.LPG.LPG</t>
  </si>
  <si>
    <t>Eff.ratio.CZ.Ser.Bld.Thermal.HW.Oil.Oil_LiqBio</t>
  </si>
  <si>
    <t>Eff.ratio.CZ.Ser.Bld.Thermal.HW.Gas.NG_Biogas</t>
  </si>
  <si>
    <t>Eff.ratio.CZ.Ser.Bld.Thermal.HW.Biomass.Biomass_Waste</t>
  </si>
  <si>
    <t>Eff.ratio.CZ.Ser.Bld.Thermal.HW.DistrHeat.Steam_Distr</t>
  </si>
  <si>
    <t>Eff.ratio.CZ.Ser.Bld.Thermal.HW.Elc.Elec</t>
  </si>
  <si>
    <t>Eff.ratio.CZ.Ser.Bld.Thermal.HW.TotalSolar.Solar</t>
  </si>
  <si>
    <t>Eff.ratio.CZ.Ser.Bld.Thermal.CA.LPG</t>
  </si>
  <si>
    <t>Eff.ratio.CZ.Ser.Bld.Thermal.CA.Gas.NG_Biogas</t>
  </si>
  <si>
    <t>Eff.ratio.CZ.Ser.Bld.Thermal.CA.Biomass.Biomass_Waste</t>
  </si>
  <si>
    <t>Eff.ratio.CZ.Ser.Bld.Thermal.CA.Elc.Elec</t>
  </si>
  <si>
    <t>CZ - CO2 emissions</t>
  </si>
  <si>
    <t>EMI.ktCO2.CZ.Ser.Bld.Thermal.SH.Solids.Solids</t>
  </si>
  <si>
    <t>EMI.ktCO2.CZ.Ser.Bld.Thermal.SH.LPG.LPG</t>
  </si>
  <si>
    <t>EMI.ktCO2.CZ.Ser.Bld.Thermal.SH.Oil.Oil_LiqBio</t>
  </si>
  <si>
    <t>EMI.ktCO2.CZ.Ser.Bld.Thermal.SH.GasHP.NG_Biogas</t>
  </si>
  <si>
    <t>EMI.ktCO2.CZ.Ser.Bld.Thermal.SH.GasTH.NG_Biogas</t>
  </si>
  <si>
    <t>EMI.ktCO2.CZ.Ser.Bld.Thermal.SH.Biomass.Biomass_Waste</t>
  </si>
  <si>
    <t>EMI.ktCO2.CZ.Ser.Bld.Thermal.SH.Geo.Geo</t>
  </si>
  <si>
    <t>EMI.ktCO2.CZ.Ser.Bld.Thermal.SH.DistrHeat.Steam_Distr</t>
  </si>
  <si>
    <t>EMI.ktCO2.CZ.Ser.Bld.Thermal.SH.AdvElc.Elec</t>
  </si>
  <si>
    <t>EMI.ktCO2.CZ.Ser.Bld.Thermal.SH.ConvElc.Elec</t>
  </si>
  <si>
    <t>EMI.ktCO2.CZ.Ser.Bld.Thermal.SH.TotalCirculation.Elec</t>
  </si>
  <si>
    <t>EMI.ktCO2.CZ.Ser.Bld.Thermal.SC.GasHP.NG_Biogas</t>
  </si>
  <si>
    <t>EMI.ktCO2.CZ.Ser.Bld.Thermal.SC.AC.Elec</t>
  </si>
  <si>
    <t>EMI.ktCO2.CZ.Ser.Bld.Thermal.HW.Solids.Solids</t>
  </si>
  <si>
    <t>EMI.ktCO2.CZ.Ser.Bld.Thermal.HW.LPG.LPG</t>
  </si>
  <si>
    <t>EMI.ktCO2.CZ.Ser.Bld.Thermal.HW.Oil.Oil_LiqBio</t>
  </si>
  <si>
    <t>EMI.ktCO2.CZ.Ser.Bld.Thermal.HW.Gas.NG_Biogas</t>
  </si>
  <si>
    <t>EMI.ktCO2.CZ.Ser.Bld.Thermal.HW.Biomass.Biomass_Waste</t>
  </si>
  <si>
    <t>EMI.ktCO2.CZ.Ser.Bld.Thermal.HW.DistrHeat.Steam_Distr</t>
  </si>
  <si>
    <t>EMI.ktCO2.CZ.Ser.Bld.Thermal.HW.Elc.Elec</t>
  </si>
  <si>
    <t>EMI.ktCO2.CZ.Ser.Bld.Thermal.HW.TotalSolar.Solar</t>
  </si>
  <si>
    <t>EMI.ktCO2.CZ.Ser.Bld.Thermal.CA.LPG</t>
  </si>
  <si>
    <t>EMI.ktCO2.CZ.Ser.Bld.Thermal.CA.Gas.NG_Biogas</t>
  </si>
  <si>
    <t>EMI.ktCO2.CZ.Ser.Bld.Thermal.CA.Biomass.Biomass_Waste</t>
  </si>
  <si>
    <t>EMI.ktCO2.CZ.Ser.Bld.Thermal.CA.Elc.Elec</t>
  </si>
  <si>
    <t>CZ - Final energy consumption per building</t>
  </si>
  <si>
    <t>FEC_per_building.kWh.CZ.Ser.Bld.Thermal</t>
  </si>
  <si>
    <t>FEC_per_building.kWh.CZ.Ser.Bld.Thermal.SH</t>
  </si>
  <si>
    <t>FEC_per_building.kWh.CZ.Ser.Bld.Thermal.SH.Solids.Solids</t>
  </si>
  <si>
    <t>FEC_per_building.kWh.CZ.Ser.Bld.Thermal.SH.LPG.LPG</t>
  </si>
  <si>
    <t>FEC_per_building.kWh.CZ.Ser.Bld.Thermal.SH.Oil.Oil_LiqBio</t>
  </si>
  <si>
    <t>FEC_per_building.kWh.CZ.Ser.Bld.Thermal.SH.GasHP.NG_Biogas</t>
  </si>
  <si>
    <t>FEC_per_building.kWh.CZ.Ser.Bld.Thermal.SH.GasTH.NG_Biogas</t>
  </si>
  <si>
    <t>FEC_per_building.kWh.CZ.Ser.Bld.Thermal.SH.Biomass.Biomass_Waste</t>
  </si>
  <si>
    <t>FEC_per_building.kWh.CZ.Ser.Bld.Thermal.SH.Geo.Geo</t>
  </si>
  <si>
    <t>FEC_per_building.kWh.CZ.Ser.Bld.Thermal.SH.DistrHeat.Steam_Distr</t>
  </si>
  <si>
    <t>FEC_per_building.kWh.CZ.Ser.Bld.Thermal.SH.AdvElc.Elec</t>
  </si>
  <si>
    <t>FEC_per_building.kWh.CZ.Ser.Bld.Thermal.SH.ConvElc.Elec</t>
  </si>
  <si>
    <t>FEC_per_building.kWh.CZ.Ser.Bld.Thermal.SH.TotalCirculation.Elec</t>
  </si>
  <si>
    <t>FEC_per_building.kWh.CZ.Ser.Bld.Thermal.SC</t>
  </si>
  <si>
    <t>FEC_per_building.kWh.CZ.Ser.Bld.Thermal.SC.GasHP.NG_Biogas</t>
  </si>
  <si>
    <t>FEC_per_building.kWh.CZ.Ser.Bld.Thermal.SC.AC.Elec</t>
  </si>
  <si>
    <t>FEC_per_building.kWh.CZ.Ser.Bld.Thermal.HW</t>
  </si>
  <si>
    <t>FEC_per_building.kWh.CZ.Ser.Bld.Thermal.HW.Solids.Solids</t>
  </si>
  <si>
    <t>FEC_per_building.kWh.CZ.Ser.Bld.Thermal.HW.LPG.LPG</t>
  </si>
  <si>
    <t>FEC_per_building.kWh.CZ.Ser.Bld.Thermal.HW.Oil.Oil_LiqBio</t>
  </si>
  <si>
    <t>FEC_per_building.kWh.CZ.Ser.Bld.Thermal.HW.Gas.NG_Biogas</t>
  </si>
  <si>
    <t>FEC_per_building.kWh.CZ.Ser.Bld.Thermal.HW.Biomass.Biomass_Waste</t>
  </si>
  <si>
    <t>FEC_per_building.kWh.CZ.Ser.Bld.Thermal.HW.DistrHeat.Steam_Distr</t>
  </si>
  <si>
    <t>FEC_per_building.kWh.CZ.Ser.Bld.Thermal.HW.Elc.Elec</t>
  </si>
  <si>
    <t>FEC_per_building.kWh.CZ.Ser.Bld.Thermal.HW.TotalSolar.Solar</t>
  </si>
  <si>
    <t>FEC_per_building.kWh.CZ.Ser.Bld.Thermal.CA</t>
  </si>
  <si>
    <t>FEC_per_building.kWh.CZ.Ser.Bld.Thermal.CA.LPG</t>
  </si>
  <si>
    <t>FEC_per_building.kWh.CZ.Ser.Bld.Thermal.CA.Gas.NG_Biogas</t>
  </si>
  <si>
    <t>FEC_per_building.kWh.CZ.Ser.Bld.Thermal.CA.Biomass.Biomass_Waste</t>
  </si>
  <si>
    <t>FEC_per_building.kWh.CZ.Ser.Bld.Thermal.CA.Elc.Elec</t>
  </si>
  <si>
    <t>CZ - Thermal energy service per building</t>
  </si>
  <si>
    <t>TES_per_building.kWh.CZ.Ser.Bld.Thermal</t>
  </si>
  <si>
    <t>TES_per_building.kWh.CZ.Ser.Bld.Thermal.SH</t>
  </si>
  <si>
    <t>TES_per_building.kWh.CZ.Ser.Bld.Thermal.SH.Solids.Solids</t>
  </si>
  <si>
    <t>TES_per_building.kWh.CZ.Ser.Bld.Thermal.SH.LPG.LPG</t>
  </si>
  <si>
    <t>TES_per_building.kWh.CZ.Ser.Bld.Thermal.SH.Oil.Oil_LiqBio</t>
  </si>
  <si>
    <t>TES_per_building.kWh.CZ.Ser.Bld.Thermal.SH.GasHP.NG_Biogas</t>
  </si>
  <si>
    <t>TES_per_building.kWh.CZ.Ser.Bld.Thermal.SH.GasTH.NG_Biogas</t>
  </si>
  <si>
    <t>TES_per_building.kWh.CZ.Ser.Bld.Thermal.SH.Biomass.Biomass_Waste</t>
  </si>
  <si>
    <t>TES_per_building.kWh.CZ.Ser.Bld.Thermal.SH.Geo.Geo</t>
  </si>
  <si>
    <t>TES_per_building.kWh.CZ.Ser.Bld.Thermal.SH.DistrHeat.Steam_Distr</t>
  </si>
  <si>
    <t>TES_per_building.kWh.CZ.Ser.Bld.Thermal.SH.AdvElc.Elec</t>
  </si>
  <si>
    <t>TES_per_building.kWh.CZ.Ser.Bld.Thermal.SH.ConvElc.Elec</t>
  </si>
  <si>
    <t>TES_per_building.kWh.CZ.Ser.Bld.Thermal.SH.TotalCirculation.Elec</t>
  </si>
  <si>
    <t>TES_per_building.kWh.CZ.Ser.Bld.Thermal.SC</t>
  </si>
  <si>
    <t>TES_per_building.kWh.CZ.Ser.Bld.Thermal.SC.GasHP.NG_Biogas</t>
  </si>
  <si>
    <t>TES_per_building.kWh.CZ.Ser.Bld.Thermal.SC.AC.Elec</t>
  </si>
  <si>
    <t>TES_per_building.kWh.CZ.Ser.Bld.Thermal.HW</t>
  </si>
  <si>
    <t>TES_per_building.kWh.CZ.Ser.Bld.Thermal.HW.Solids.Solids</t>
  </si>
  <si>
    <t>TES_per_building.kWh.CZ.Ser.Bld.Thermal.HW.LPG.LPG</t>
  </si>
  <si>
    <t>TES_per_building.kWh.CZ.Ser.Bld.Thermal.HW.Oil.Oil_LiqBio</t>
  </si>
  <si>
    <t>TES_per_building.kWh.CZ.Ser.Bld.Thermal.HW.Gas.NG_Biogas</t>
  </si>
  <si>
    <t>TES_per_building.kWh.CZ.Ser.Bld.Thermal.HW.Biomass.Biomass_Waste</t>
  </si>
  <si>
    <t>TES_per_building.kWh.CZ.Ser.Bld.Thermal.HW.DistrHeat.Steam_Distr</t>
  </si>
  <si>
    <t>TES_per_building.kWh.CZ.Ser.Bld.Thermal.HW.Elc.Elec</t>
  </si>
  <si>
    <t>TES_per_building.kWh.CZ.Ser.Bld.Thermal.HW.TotalSolar.Solar</t>
  </si>
  <si>
    <t>TES_per_building.kWh.CZ.Ser.Bld.Thermal.CA</t>
  </si>
  <si>
    <t>TES_per_building.kWh.CZ.Ser.Bld.Thermal.CA.LPG</t>
  </si>
  <si>
    <t>TES_per_building.kWh.CZ.Ser.Bld.Thermal.CA.Gas.NG_Biogas</t>
  </si>
  <si>
    <t>TES_per_building.kWh.CZ.Ser.Bld.Thermal.CA.Biomass.Biomass_Waste</t>
  </si>
  <si>
    <t>TES_per_building.kWh.CZ.Ser.Bld.Thermal.CA.Elc.Elec</t>
  </si>
  <si>
    <t>CZ - CO2 emissions per building</t>
  </si>
  <si>
    <t>EMI_per_building.kgCO2.CZ.Ser.Bld.Thermal</t>
  </si>
  <si>
    <t>EMI_per_building.kgCO2.CZ.Ser.Bld.Thermal.SH</t>
  </si>
  <si>
    <t>EMI_per_building.kgCO2.CZ.Ser.Bld.Thermal.SH.Solids.Solids</t>
  </si>
  <si>
    <t>EMI_per_building.kgCO2.CZ.Ser.Bld.Thermal.SH.LPG.LPG</t>
  </si>
  <si>
    <t>EMI_per_building.kgCO2.CZ.Ser.Bld.Thermal.SH.Oil.Oil_LiqBio</t>
  </si>
  <si>
    <t>EMI_per_building.kgCO2.CZ.Ser.Bld.Thermal.SH.GasHP.NG_Biogas</t>
  </si>
  <si>
    <t>EMI_per_building.kgCO2.CZ.Ser.Bld.Thermal.SH.GasTH.NG_Biogas</t>
  </si>
  <si>
    <t>EMI_per_building.kgCO2.CZ.Ser.Bld.Thermal.SH.Biomass.Biomass_Waste</t>
  </si>
  <si>
    <t>EMI_per_building.kgCO2.CZ.Ser.Bld.Thermal.SH.Geo.Geo</t>
  </si>
  <si>
    <t>EMI_per_building.kgCO2.CZ.Ser.Bld.Thermal.SH.DistrHeat.Steam_Distr</t>
  </si>
  <si>
    <t>EMI_per_building.kgCO2.CZ.Ser.Bld.Thermal.SH.AdvElc.Elec</t>
  </si>
  <si>
    <t>EMI_per_building.kgCO2.CZ.Ser.Bld.Thermal.SH.ConvElc.Elec</t>
  </si>
  <si>
    <t>EMI_per_building.kgCO2.CZ.Ser.Bld.Thermal.SH.TotalCirculation.Elec</t>
  </si>
  <si>
    <t>EMI_per_building.kgCO2.CZ.Ser.Bld.Thermal.SC</t>
  </si>
  <si>
    <t>EMI_per_building.kgCO2.CZ.Ser.Bld.Thermal.SC.GasHP.NG_Biogas</t>
  </si>
  <si>
    <t>EMI_per_building.kgCO2.CZ.Ser.Bld.Thermal.SC.AC.Elec</t>
  </si>
  <si>
    <t>EMI_per_building.kgCO2.CZ.Ser.Bld.Thermal.HW</t>
  </si>
  <si>
    <t>EMI_per_building.kgCO2.CZ.Ser.Bld.Thermal.HW.Solids.Solids</t>
  </si>
  <si>
    <t>EMI_per_building.kgCO2.CZ.Ser.Bld.Thermal.HW.LPG.LPG</t>
  </si>
  <si>
    <t>EMI_per_building.kgCO2.CZ.Ser.Bld.Thermal.HW.Oil.Oil_LiqBio</t>
  </si>
  <si>
    <t>EMI_per_building.kgCO2.CZ.Ser.Bld.Thermal.HW.Gas.NG_Biogas</t>
  </si>
  <si>
    <t>EMI_per_building.kgCO2.CZ.Ser.Bld.Thermal.HW.Biomass.Biomass_Waste</t>
  </si>
  <si>
    <t>EMI_per_building.kgCO2.CZ.Ser.Bld.Thermal.HW.DistrHeat.Steam_Distr</t>
  </si>
  <si>
    <t>EMI_per_building.kgCO2.CZ.Ser.Bld.Thermal.HW.Elc.Elec</t>
  </si>
  <si>
    <t>EMI_per_building.kgCO2.CZ.Ser.Bld.Thermal.HW.TotalSolar.Solar</t>
  </si>
  <si>
    <t>EMI_per_building.kgCO2.CZ.Ser.Bld.Thermal.CA</t>
  </si>
  <si>
    <t>EMI_per_building.kgCO2.CZ.Ser.Bld.Thermal.CA.LPG</t>
  </si>
  <si>
    <t>EMI_per_building.kgCO2.CZ.Ser.Bld.Thermal.CA.Gas.NG_Biogas</t>
  </si>
  <si>
    <t>EMI_per_building.kgCO2.CZ.Ser.Bld.Thermal.CA.Biomass.Biomass_Waste</t>
  </si>
  <si>
    <t>EMI_per_building.kgCO2.CZ.Ser.Bld.Thermal.CA.Elc.Elec</t>
  </si>
  <si>
    <t>CZ - Final energy consumption per useful surface area</t>
  </si>
  <si>
    <t>FEC_per_sqm.kWh.CZ.Ser.Bld.Thermal</t>
  </si>
  <si>
    <t>FEC_per_sqm.kWh.CZ.Ser.Bld.Thermal.SH</t>
  </si>
  <si>
    <t>FEC_per_sqm.kWh.CZ.Ser.Bld.Thermal.SH.Solids.Solids</t>
  </si>
  <si>
    <t>FEC_per_sqm.kWh.CZ.Ser.Bld.Thermal.SH.LPG.LPG</t>
  </si>
  <si>
    <t>FEC_per_sqm.kWh.CZ.Ser.Bld.Thermal.SH.Oil.Oil_LiqBio</t>
  </si>
  <si>
    <t>FEC_per_sqm.kWh.CZ.Ser.Bld.Thermal.SH.GasHP.NG_Biogas</t>
  </si>
  <si>
    <t>FEC_per_sqm.kWh.CZ.Ser.Bld.Thermal.SH.GasTH.NG_Biogas</t>
  </si>
  <si>
    <t>FEC_per_sqm.kWh.CZ.Ser.Bld.Thermal.SH.Biomass.Biomass_Waste</t>
  </si>
  <si>
    <t>FEC_per_sqm.kWh.CZ.Ser.Bld.Thermal.SH.Geo.Geo</t>
  </si>
  <si>
    <t>FEC_per_sqm.kWh.CZ.Ser.Bld.Thermal.SH.DistrHeat.Steam_Distr</t>
  </si>
  <si>
    <t>FEC_per_sqm.kWh.CZ.Ser.Bld.Thermal.SH.AdvElc.Elec</t>
  </si>
  <si>
    <t>FEC_per_sqm.kWh.CZ.Ser.Bld.Thermal.SH.ConvElc.Elec</t>
  </si>
  <si>
    <t>FEC_per_sqm.kWh.CZ.Ser.Bld.Thermal.SH.TotalCirculation.Elec</t>
  </si>
  <si>
    <t>FEC_per_sqm.kWh.CZ.Ser.Bld.Thermal.SC</t>
  </si>
  <si>
    <t>FEC_per_sqm.kWh.CZ.Ser.Bld.Thermal.SC.GasHP.NG_Biogas</t>
  </si>
  <si>
    <t>FEC_per_sqm.kWh.CZ.Ser.Bld.Thermal.SC.AC.Elec</t>
  </si>
  <si>
    <t>FEC_per_sqm.kWh.CZ.Ser.Bld.Thermal.HW</t>
  </si>
  <si>
    <t>FEC_per_sqm.kWh.CZ.Ser.Bld.Thermal.HW.Solids.Solids</t>
  </si>
  <si>
    <t>FEC_per_sqm.kWh.CZ.Ser.Bld.Thermal.HW.LPG.LPG</t>
  </si>
  <si>
    <t>FEC_per_sqm.kWh.CZ.Ser.Bld.Thermal.HW.Oil.Oil_LiqBio</t>
  </si>
  <si>
    <t>FEC_per_sqm.kWh.CZ.Ser.Bld.Thermal.HW.Gas.NG_Biogas</t>
  </si>
  <si>
    <t>FEC_per_sqm.kWh.CZ.Ser.Bld.Thermal.HW.Biomass.Biomass_Waste</t>
  </si>
  <si>
    <t>FEC_per_sqm.kWh.CZ.Ser.Bld.Thermal.HW.DistrHeat.Steam_Distr</t>
  </si>
  <si>
    <t>FEC_per_sqm.kWh.CZ.Ser.Bld.Thermal.HW.Elc.Elec</t>
  </si>
  <si>
    <t>FEC_per_sqm.kWh.CZ.Ser.Bld.Thermal.HW.TotalSolar.Solar</t>
  </si>
  <si>
    <t>FEC_per_sqm.kWh.CZ.Ser.Bld.Thermal.CA</t>
  </si>
  <si>
    <t>FEC_per_sqm.kWh.CZ.Ser.Bld.Thermal.CA.LPG</t>
  </si>
  <si>
    <t>FEC_per_sqm.kWh.CZ.Ser.Bld.Thermal.CA.Gas.NG_Biogas</t>
  </si>
  <si>
    <t>FEC_per_sqm.kWh.CZ.Ser.Bld.Thermal.CA.Biomass.Biomass_Waste</t>
  </si>
  <si>
    <t>FEC_per_sqm.kWh.CZ.Ser.Bld.Thermal.CA.Elc.Elec</t>
  </si>
  <si>
    <t>CZ - Thermal energy service per useful surface area</t>
  </si>
  <si>
    <t>TES_per_sqm.kWh.CZ.Ser.Bld.Thermal</t>
  </si>
  <si>
    <t>TES_per_sqm.kWh.CZ.Ser.Bld.Thermal.SH</t>
  </si>
  <si>
    <t>TES_per_sqm.kWh.CZ.Ser.Bld.Thermal.SH.Solids.Solids</t>
  </si>
  <si>
    <t>TES_per_sqm.kWh.CZ.Ser.Bld.Thermal.SH.LPG.LPG</t>
  </si>
  <si>
    <t>TES_per_sqm.kWh.CZ.Ser.Bld.Thermal.SH.Oil.Oil_LiqBio</t>
  </si>
  <si>
    <t>TES_per_sqm.kWh.CZ.Ser.Bld.Thermal.SH.GasHP.NG_Biogas</t>
  </si>
  <si>
    <t>TES_per_sqm.kWh.CZ.Ser.Bld.Thermal.SH.GasTH.NG_Biogas</t>
  </si>
  <si>
    <t>TES_per_sqm.kWh.CZ.Ser.Bld.Thermal.SH.Biomass.Biomass_Waste</t>
  </si>
  <si>
    <t>TES_per_sqm.kWh.CZ.Ser.Bld.Thermal.SH.Geo.Geo</t>
  </si>
  <si>
    <t>TES_per_sqm.kWh.CZ.Ser.Bld.Thermal.SH.DistrHeat.Steam_Distr</t>
  </si>
  <si>
    <t>TES_per_sqm.kWh.CZ.Ser.Bld.Thermal.SH.AdvElc.Elec</t>
  </si>
  <si>
    <t>TES_per_sqm.kWh.CZ.Ser.Bld.Thermal.SH.ConvElc.Elec</t>
  </si>
  <si>
    <t>TES_per_sqm.kWh.CZ.Ser.Bld.Thermal.SH.TotalCirculation.Elec</t>
  </si>
  <si>
    <t>TES_per_sqm.kWh.CZ.Ser.Bld.Thermal.SC</t>
  </si>
  <si>
    <t>TES_per_sqm.kWh.CZ.Ser.Bld.Thermal.SC.GasHP.NG_Biogas</t>
  </si>
  <si>
    <t>TES_per_sqm.kWh.CZ.Ser.Bld.Thermal.SC.AC.Elec</t>
  </si>
  <si>
    <t>TES_per_sqm.kWh.CZ.Ser.Bld.Thermal.HW</t>
  </si>
  <si>
    <t>TES_per_sqm.kWh.CZ.Ser.Bld.Thermal.HW.Solids.Solids</t>
  </si>
  <si>
    <t>TES_per_sqm.kWh.CZ.Ser.Bld.Thermal.HW.LPG.LPG</t>
  </si>
  <si>
    <t>TES_per_sqm.kWh.CZ.Ser.Bld.Thermal.HW.Oil.Oil_LiqBio</t>
  </si>
  <si>
    <t>TES_per_sqm.kWh.CZ.Ser.Bld.Thermal.HW.Gas.NG_Biogas</t>
  </si>
  <si>
    <t>TES_per_sqm.kWh.CZ.Ser.Bld.Thermal.HW.Biomass.Biomass_Waste</t>
  </si>
  <si>
    <t>TES_per_sqm.kWh.CZ.Ser.Bld.Thermal.HW.DistrHeat.Steam_Distr</t>
  </si>
  <si>
    <t>TES_per_sqm.kWh.CZ.Ser.Bld.Thermal.HW.Elc.Elec</t>
  </si>
  <si>
    <t>TES_per_sqm.kWh.CZ.Ser.Bld.Thermal.HW.TotalSolar.Solar</t>
  </si>
  <si>
    <t>TES_per_sqm.kWh.CZ.Ser.Bld.Thermal.CA</t>
  </si>
  <si>
    <t>TES_per_sqm.kWh.CZ.Ser.Bld.Thermal.CA.LPG</t>
  </si>
  <si>
    <t>TES_per_sqm.kWh.CZ.Ser.Bld.Thermal.CA.Gas.NG_Biogas</t>
  </si>
  <si>
    <t>TES_per_sqm.kWh.CZ.Ser.Bld.Thermal.CA.Biomass.Biomass_Waste</t>
  </si>
  <si>
    <t>TES_per_sqm.kWh.CZ.Ser.Bld.Thermal.CA.Elc.Elec</t>
  </si>
  <si>
    <t>CZ - CO2 emissions per useful surface area</t>
  </si>
  <si>
    <t>EMI_per_sqm.kgCO2.CZ.Ser.Bld.Thermal</t>
  </si>
  <si>
    <t>EMI_per_sqm.kgCO2.CZ.Ser.Bld.Thermal.SH</t>
  </si>
  <si>
    <t>EMI_per_sqm.kgCO2.CZ.Ser.Bld.Thermal.SH.Solids.Solids</t>
  </si>
  <si>
    <t>EMI_per_sqm.kgCO2.CZ.Ser.Bld.Thermal.SH.LPG.LPG</t>
  </si>
  <si>
    <t>EMI_per_sqm.kgCO2.CZ.Ser.Bld.Thermal.SH.Oil.Oil_LiqBio</t>
  </si>
  <si>
    <t>EMI_per_sqm.kgCO2.CZ.Ser.Bld.Thermal.SH.GasHP.NG_Biogas</t>
  </si>
  <si>
    <t>EMI_per_sqm.kgCO2.CZ.Ser.Bld.Thermal.SH.GasTH.NG_Biogas</t>
  </si>
  <si>
    <t>EMI_per_sqm.kgCO2.CZ.Ser.Bld.Thermal.SH.Biomass.Biomass_Waste</t>
  </si>
  <si>
    <t>EMI_per_sqm.kgCO2.CZ.Ser.Bld.Thermal.SH.Geo.Geo</t>
  </si>
  <si>
    <t>EMI_per_sqm.kgCO2.CZ.Ser.Bld.Thermal.SH.DistrHeat.Steam_Distr</t>
  </si>
  <si>
    <t>EMI_per_sqm.kgCO2.CZ.Ser.Bld.Thermal.SH.AdvElc.Elec</t>
  </si>
  <si>
    <t>EMI_per_sqm.kgCO2.CZ.Ser.Bld.Thermal.SH.ConvElc.Elec</t>
  </si>
  <si>
    <t>EMI_per_sqm.kgCO2.CZ.Ser.Bld.Thermal.SH.TotalCirculation.Elec</t>
  </si>
  <si>
    <t>EMI_per_sqm.kgCO2.CZ.Ser.Bld.Thermal.SC</t>
  </si>
  <si>
    <t>EMI_per_sqm.kgCO2.CZ.Ser.Bld.Thermal.SC.GasHP.NG_Biogas</t>
  </si>
  <si>
    <t>EMI_per_sqm.kgCO2.CZ.Ser.Bld.Thermal.SC.AC.Elec</t>
  </si>
  <si>
    <t>EMI_per_sqm.kgCO2.CZ.Ser.Bld.Thermal.HW</t>
  </si>
  <si>
    <t>EMI_per_sqm.kgCO2.CZ.Ser.Bld.Thermal.HW.Solids.Solids</t>
  </si>
  <si>
    <t>EMI_per_sqm.kgCO2.CZ.Ser.Bld.Thermal.HW.LPG.LPG</t>
  </si>
  <si>
    <t>EMI_per_sqm.kgCO2.CZ.Ser.Bld.Thermal.HW.Oil.Oil_LiqBio</t>
  </si>
  <si>
    <t>EMI_per_sqm.kgCO2.CZ.Ser.Bld.Thermal.HW.Gas.NG_Biogas</t>
  </si>
  <si>
    <t>EMI_per_sqm.kgCO2.CZ.Ser.Bld.Thermal.HW.Biomass.Biomass_Waste</t>
  </si>
  <si>
    <t>EMI_per_sqm.kgCO2.CZ.Ser.Bld.Thermal.HW.DistrHeat.Steam_Distr</t>
  </si>
  <si>
    <t>EMI_per_sqm.kgCO2.CZ.Ser.Bld.Thermal.HW.Elc.Elec</t>
  </si>
  <si>
    <t>EMI_per_sqm.kgCO2.CZ.Ser.Bld.Thermal.HW.TotalSolar.Solar</t>
  </si>
  <si>
    <t>EMI_per_sqm.kgCO2.CZ.Ser.Bld.Thermal.CA</t>
  </si>
  <si>
    <t>EMI_per_sqm.kgCO2.CZ.Ser.Bld.Thermal.CA.LPG</t>
  </si>
  <si>
    <t>EMI_per_sqm.kgCO2.CZ.Ser.Bld.Thermal.CA.Gas.NG_Biogas</t>
  </si>
  <si>
    <t>EMI_per_sqm.kgCO2.CZ.Ser.Bld.Thermal.CA.Biomass.Biomass_Waste</t>
  </si>
  <si>
    <t>EMI_per_sqm.kgCO2.CZ.Ser.Bld.Thermal.CA.Elc.Elec</t>
  </si>
  <si>
    <t>CZ - Number of new and renovated buildings</t>
  </si>
  <si>
    <t>NUM.number.CZ.Ser.BldNew.Thermal</t>
  </si>
  <si>
    <t>NUM.number.CZ.Ser.BldNew.Thermal.SH</t>
  </si>
  <si>
    <t>NUM.number.CZ.Ser.BldNew.Thermal.SH.Solids</t>
  </si>
  <si>
    <t>NUM.number.CZ.Ser.BldNew.Thermal.SH.LPG</t>
  </si>
  <si>
    <t>NUM.number.CZ.Ser.BldNew.Thermal.SH.Oil</t>
  </si>
  <si>
    <t>NUM.number.CZ.Ser.BldNew.Thermal.SH.GasHP</t>
  </si>
  <si>
    <t>NUM.number.CZ.Ser.BldNew.Thermal.SH.GasTH</t>
  </si>
  <si>
    <t>NUM.number.CZ.Ser.BldNew.Thermal.SH.Biomass</t>
  </si>
  <si>
    <t>NUM.number.CZ.Ser.BldNew.Thermal.SH.Geo</t>
  </si>
  <si>
    <t>NUM.number.CZ.Ser.BldNew.Thermal.SH.DistrHeat</t>
  </si>
  <si>
    <t>NUM.number.CZ.Ser.BldNew.Thermal.SH.AdvElc</t>
  </si>
  <si>
    <t>NUM.number.CZ.Ser.BldNew.Thermal.SH.ConvElc</t>
  </si>
  <si>
    <t>NUM.number.CZ.Ser.BldNew.Thermal.SC</t>
  </si>
  <si>
    <t>NUM.number.CZ.Ser.BldNew.Thermal.SC.GasHP</t>
  </si>
  <si>
    <t>NUM.number.CZ.Ser.BldNew.Thermal.SC.AC</t>
  </si>
  <si>
    <t>NUM.number.CZ.Ser.BldNew.Thermal.HW</t>
  </si>
  <si>
    <t>NUM.number.CZ.Ser.BldNew.Thermal.HW.Solids</t>
  </si>
  <si>
    <t>NUM.number.CZ.Ser.BldNew.Thermal.HW.LPG</t>
  </si>
  <si>
    <t>NUM.number.CZ.Ser.BldNew.Thermal.HW.Oil</t>
  </si>
  <si>
    <t>NUM.number.CZ.Ser.BldNew.Thermal.HW.Gas</t>
  </si>
  <si>
    <t>NUM.number.CZ.Ser.BldNew.Thermal.HW.Biomass</t>
  </si>
  <si>
    <t>NUM.number.CZ.Ser.BldNew.Thermal.HW.DistrHeat</t>
  </si>
  <si>
    <t>NUM.number.CZ.Ser.BldNew.Thermal.HW.Elc</t>
  </si>
  <si>
    <t>NUM.number.CZ.Ser.BldNew.Thermal.HW.Solar</t>
  </si>
  <si>
    <t>NUM.number.CZ.Ser.BldNew.Thermal.CA</t>
  </si>
  <si>
    <t>NUM.number.CZ.Ser.BldNew.Thermal.CA.LPG</t>
  </si>
  <si>
    <t>NUM.number.CZ.Ser.BldNew.Thermal.CA.Gas</t>
  </si>
  <si>
    <t>NUM.number.CZ.Ser.BldNew.Thermal.CA.Biomass</t>
  </si>
  <si>
    <t>NUM.number.CZ.Ser.BldNew.Thermal.CA.Elc</t>
  </si>
  <si>
    <t>CZ - Final energy consumption in new and renovated buildings</t>
  </si>
  <si>
    <t>FEC.ktoe.CZ.Ser.BldNew.Thermal</t>
  </si>
  <si>
    <t>FEC.ktoe.CZ.Ser.BldNew.Thermal.SH</t>
  </si>
  <si>
    <t>FEC.ktoe.CZ.Ser.BldNew.Thermal.SH.Solids.Solids</t>
  </si>
  <si>
    <t>FEC.ktoe.CZ.Ser.BldNew.Thermal.SH.LPG.LPG</t>
  </si>
  <si>
    <t>FEC.ktoe.CZ.Ser.BldNew.Thermal.SH.Oil.Oil_LiqBio</t>
  </si>
  <si>
    <t>FEC.ktoe.CZ.Ser.BldNew.Thermal.SH.GasHP.NG_Biogas</t>
  </si>
  <si>
    <t>FEC.ktoe.CZ.Ser.BldNew.Thermal.SH.GasTH.NG_Biogas</t>
  </si>
  <si>
    <t>FEC.ktoe.CZ.Ser.BldNew.Thermal.SH.Biomass.Biomass_Waste</t>
  </si>
  <si>
    <t>FEC.ktoe.CZ.Ser.BldNew.Thermal.SH.Geo.Geo</t>
  </si>
  <si>
    <t>FEC.ktoe.CZ.Ser.BldNew.Thermal.SH.DistrHeat.Steam_Distr</t>
  </si>
  <si>
    <t>FEC.ktoe.CZ.Ser.BldNew.Thermal.SH.AdvElc.Elec</t>
  </si>
  <si>
    <t>FEC.ktoe.CZ.Ser.BldNew.Thermal.SH.ConvElc.Elec</t>
  </si>
  <si>
    <t>FEC.ktoe.CZ.Ser.BldNew.Thermal.SH.TotalCirculation.Elec</t>
  </si>
  <si>
    <t>FEC.ktoe.CZ.Ser.BldNew.Thermal.SC</t>
  </si>
  <si>
    <t>FEC.ktoe.CZ.Ser.BldNew.Thermal.SC.GasHP.NG_Biogas</t>
  </si>
  <si>
    <t>FEC.ktoe.CZ.Ser.BldNew.Thermal.SC.AC.Elec</t>
  </si>
  <si>
    <t>FEC.ktoe.CZ.Ser.BldNew.Thermal.HW</t>
  </si>
  <si>
    <t>FEC.ktoe.CZ.Ser.BldNew.Thermal.HW.Solids.Solids</t>
  </si>
  <si>
    <t>FEC.ktoe.CZ.Ser.BldNew.Thermal.HW.LPG.LPG</t>
  </si>
  <si>
    <t>FEC.ktoe.CZ.Ser.BldNew.Thermal.HW.Oil.Oil_LiqBio</t>
  </si>
  <si>
    <t>FEC.ktoe.CZ.Ser.BldNew.Thermal.HW.Gas.NG_Biogas</t>
  </si>
  <si>
    <t>FEC.ktoe.CZ.Ser.BldNew.Thermal.HW.Biomass.Biomass_Waste</t>
  </si>
  <si>
    <t>FEC.ktoe.CZ.Ser.BldNew.Thermal.HW.DistrHeat.Steam_Distr</t>
  </si>
  <si>
    <t>FEC.ktoe.CZ.Ser.BldNew.Thermal.HW.Elc.Elec</t>
  </si>
  <si>
    <t>FEC.ktoe.CZ.Ser.BldNew.Thermal.HW.TotalSolar.Solar</t>
  </si>
  <si>
    <t>FEC.ktoe.CZ.Ser.BldNew.Thermal.CA</t>
  </si>
  <si>
    <t>FEC.ktoe.CZ.Ser.BldNew.Thermal.CA.LPG</t>
  </si>
  <si>
    <t>FEC.ktoe.CZ.Ser.BldNew.Thermal.CA.Gas.NG_Biogas</t>
  </si>
  <si>
    <t>FEC.ktoe.CZ.Ser.BldNew.Thermal.CA.Biomass.Biomass_Waste</t>
  </si>
  <si>
    <t>FEC.ktoe.CZ.Ser.BldNew.Thermal.CA.Elc.Elec</t>
  </si>
  <si>
    <t>CZ - Thermal energy service in new and renovated buildings</t>
  </si>
  <si>
    <t>TES.ktoe.CZ.Ser.BldNew.Thermal</t>
  </si>
  <si>
    <t>TES.ktoe.CZ.Ser.BldNew.Thermal.SH</t>
  </si>
  <si>
    <t>TES.ktoe.CZ.Ser.BldNew.Thermal.SH.Solids.Solids</t>
  </si>
  <si>
    <t>TES.ktoe.CZ.Ser.BldNew.Thermal.SH.LPG.LPG</t>
  </si>
  <si>
    <t>TES.ktoe.CZ.Ser.BldNew.Thermal.SH.Oil.Oil_LiqBio</t>
  </si>
  <si>
    <t>TES.ktoe.CZ.Ser.BldNew.Thermal.SH.GasHP.NG_Biogas</t>
  </si>
  <si>
    <t>TES.ktoe.CZ.Ser.BldNew.Thermal.SH.GasTH.NG_Biogas</t>
  </si>
  <si>
    <t>TES.ktoe.CZ.Ser.BldNew.Thermal.SH.Biomass.Biomass_Waste</t>
  </si>
  <si>
    <t>TES.ktoe.CZ.Ser.BldNew.Thermal.SH.Geo.Geo</t>
  </si>
  <si>
    <t>TES.ktoe.CZ.Ser.BldNew.Thermal.SH.DistrHeat.Steam_Distr</t>
  </si>
  <si>
    <t>TES.ktoe.CZ.Ser.BldNew.Thermal.SH.AdvElc.Elec</t>
  </si>
  <si>
    <t>TES.ktoe.CZ.Ser.BldNew.Thermal.SH.ConvElc.Elec</t>
  </si>
  <si>
    <t>TES.ktoe.CZ.Ser.BldNew.Thermal.SH.TotalCirculation.Elec</t>
  </si>
  <si>
    <t>TES.ktoe.CZ.Ser.BldNew.Thermal.SC</t>
  </si>
  <si>
    <t>TES.ktoe.CZ.Ser.BldNew.Thermal.SC.GasHP.NG_Biogas</t>
  </si>
  <si>
    <t>TES.ktoe.CZ.Ser.BldNew.Thermal.SC.AC.Elec</t>
  </si>
  <si>
    <t>TES.ktoe.CZ.Ser.BldNew.Thermal.HW</t>
  </si>
  <si>
    <t>TES.ktoe.CZ.Ser.BldNew.Thermal.HW.Solids.Solids</t>
  </si>
  <si>
    <t>TES.ktoe.CZ.Ser.BldNew.Thermal.HW.LPG.LPG</t>
  </si>
  <si>
    <t>TES.ktoe.CZ.Ser.BldNew.Thermal.HW.Oil.Oil_LiqBio</t>
  </si>
  <si>
    <t>TES.ktoe.CZ.Ser.BldNew.Thermal.HW.Gas.NG_Biogas</t>
  </si>
  <si>
    <t>TES.ktoe.CZ.Ser.BldNew.Thermal.HW.Biomass.Biomass_Waste</t>
  </si>
  <si>
    <t>TES.ktoe.CZ.Ser.BldNew.Thermal.HW.DistrHeat.Steam_Distr</t>
  </si>
  <si>
    <t>TES.ktoe.CZ.Ser.BldNew.Thermal.HW.Elc.Elec</t>
  </si>
  <si>
    <t>TES.ktoe.CZ.Ser.BldNew.Thermal.HW.TotalSolar.Solar</t>
  </si>
  <si>
    <t>TES.ktoe.CZ.Ser.BldNew.Thermal.CA</t>
  </si>
  <si>
    <t>TES.ktoe.CZ.Ser.BldNew.Thermal.CA.LPG</t>
  </si>
  <si>
    <t>TES.ktoe.CZ.Ser.BldNew.Thermal.CA.Gas.NG_Biogas</t>
  </si>
  <si>
    <t>TES.ktoe.CZ.Ser.BldNew.Thermal.CA.Biomass.Biomass_Waste</t>
  </si>
  <si>
    <t>TES.ktoe.CZ.Ser.BldNew.Thermal.CA.Elc.Elec</t>
  </si>
  <si>
    <t>CZ - System efficiency indicator of new and renovated buildings</t>
  </si>
  <si>
    <t>Eff.ratio.CZ.Ser.BldNew.Thermal</t>
  </si>
  <si>
    <t>Eff.ratio.CZ.Ser.BldNew.Thermal.SH</t>
  </si>
  <si>
    <t>Eff.ratio.CZ.Ser.BldNew.Thermal.SH.Solids.Solids</t>
  </si>
  <si>
    <t>Eff.ratio.CZ.Ser.BldNew.Thermal.SH.LPG.LPG</t>
  </si>
  <si>
    <t>Eff.ratio.CZ.Ser.BldNew.Thermal.SH.Oil.Oil_LiqBio</t>
  </si>
  <si>
    <t>Eff.ratio.CZ.Ser.BldNew.Thermal.SH.GasHP.NG_Biogas</t>
  </si>
  <si>
    <t>Eff.ratio.CZ.Ser.BldNew.Thermal.SH.GasTH.NG_Biogas</t>
  </si>
  <si>
    <t>Eff.ratio.CZ.Ser.BldNew.Thermal.SH.Biomass.Biomass_Waste</t>
  </si>
  <si>
    <t>Eff.ratio.CZ.Ser.BldNew.Thermal.SH.Geo.Geo</t>
  </si>
  <si>
    <t>Eff.ratio.CZ.Ser.BldNew.Thermal.SH.DistrHeat.Steam_Distr</t>
  </si>
  <si>
    <t>Eff.ratio.CZ.Ser.BldNew.Thermal.SH.AdvElc.Elec</t>
  </si>
  <si>
    <t>Eff.ratio.CZ.Ser.BldNew.Thermal.SH.ConvElc.Elec</t>
  </si>
  <si>
    <t>Eff.ratio.CZ.Ser.BldNew.Thermal.SH.TotalCirculation.Elec</t>
  </si>
  <si>
    <t>Eff.ratio.CZ.Ser.BldNew.Thermal.SC</t>
  </si>
  <si>
    <t>Eff.ratio.CZ.Ser.BldNew.Thermal.SC.GasHP.NG_Biogas</t>
  </si>
  <si>
    <t>Eff.ratio.CZ.Ser.BldNew.Thermal.SC.AC.Elec</t>
  </si>
  <si>
    <t>Eff.ratio.CZ.Ser.BldNew.Thermal.HW</t>
  </si>
  <si>
    <t>Eff.ratio.CZ.Ser.BldNew.Thermal.HW.Solids.Solids</t>
  </si>
  <si>
    <t>Eff.ratio.CZ.Ser.BldNew.Thermal.HW.LPG.LPG</t>
  </si>
  <si>
    <t>Eff.ratio.CZ.Ser.BldNew.Thermal.HW.Oil.Oil_LiqBio</t>
  </si>
  <si>
    <t>Eff.ratio.CZ.Ser.BldNew.Thermal.HW.Gas.NG_Biogas</t>
  </si>
  <si>
    <t>Eff.ratio.CZ.Ser.BldNew.Thermal.HW.Biomass.Biomass_Waste</t>
  </si>
  <si>
    <t>Eff.ratio.CZ.Ser.BldNew.Thermal.HW.DistrHeat.Steam_Distr</t>
  </si>
  <si>
    <t>Eff.ratio.CZ.Ser.BldNew.Thermal.HW.Elc.Elec</t>
  </si>
  <si>
    <t>Eff.ratio.CZ.Ser.BldNew.Thermal.HW.TotalSolar.Solar</t>
  </si>
  <si>
    <t>Eff.ratio.CZ.Ser.BldNew.Thermal.CA</t>
  </si>
  <si>
    <t>Eff.ratio.CZ.Ser.BldNew.Thermal.CA.LPG</t>
  </si>
  <si>
    <t>Eff.ratio.CZ.Ser.BldNew.Thermal.CA.Gas.NG_Biogas</t>
  </si>
  <si>
    <t>Eff.ratio.CZ.Ser.BldNew.Thermal.CA.Biomass.Biomass_Waste</t>
  </si>
  <si>
    <t>Eff.ratio.CZ.Ser.BldNew.Thermal.CA.Elc.Elec</t>
  </si>
  <si>
    <t>CZ - CO2 emissions in new and renovated buildings</t>
  </si>
  <si>
    <t>EMI.ktCO2.CZ.Ser.BldNew.Thermal</t>
  </si>
  <si>
    <t>EMI.ktCO2.CZ.Ser.BldNew.Thermal.SH</t>
  </si>
  <si>
    <t>EMI.ktCO2.CZ.Ser.BldNew.Thermal.SH.Solids.Solids</t>
  </si>
  <si>
    <t>EMI.ktCO2.CZ.Ser.BldNew.Thermal.SH.LPG.LPG</t>
  </si>
  <si>
    <t>EMI.ktCO2.CZ.Ser.BldNew.Thermal.SH.Oil.Oil_LiqBio</t>
  </si>
  <si>
    <t>EMI.ktCO2.CZ.Ser.BldNew.Thermal.SH.GasHP.NG_Biogas</t>
  </si>
  <si>
    <t>EMI.ktCO2.CZ.Ser.BldNew.Thermal.SH.GasTH.NG_Biogas</t>
  </si>
  <si>
    <t>EMI.ktCO2.CZ.Ser.BldNew.Thermal.SH.Biomass.Biomass_Waste</t>
  </si>
  <si>
    <t>EMI.ktCO2.CZ.Ser.BldNew.Thermal.SH.Geo.Geo</t>
  </si>
  <si>
    <t>EMI.ktCO2.CZ.Ser.BldNew.Thermal.SH.DistrHeat.Steam_Distr</t>
  </si>
  <si>
    <t>EMI.ktCO2.CZ.Ser.BldNew.Thermal.SH.AdvElc.Elec</t>
  </si>
  <si>
    <t>EMI.ktCO2.CZ.Ser.BldNew.Thermal.SH.ConvElc.Elec</t>
  </si>
  <si>
    <t>EMI.ktCO2.CZ.Ser.BldNew.Thermal.SH.TotalCirculation.Elec</t>
  </si>
  <si>
    <t>EMI.ktCO2.CZ.Ser.BldNew.Thermal.SC</t>
  </si>
  <si>
    <t>EMI.ktCO2.CZ.Ser.BldNew.Thermal.SC.GasHP.NG_Biogas</t>
  </si>
  <si>
    <t>EMI.ktCO2.CZ.Ser.BldNew.Thermal.SC.AC.Elec</t>
  </si>
  <si>
    <t>EMI.ktCO2.CZ.Ser.BldNew.Thermal.HW</t>
  </si>
  <si>
    <t>EMI.ktCO2.CZ.Ser.BldNew.Thermal.HW.Solids.Solids</t>
  </si>
  <si>
    <t>EMI.ktCO2.CZ.Ser.BldNew.Thermal.HW.LPG.LPG</t>
  </si>
  <si>
    <t>EMI.ktCO2.CZ.Ser.BldNew.Thermal.HW.Oil.Oil_LiqBio</t>
  </si>
  <si>
    <t>EMI.ktCO2.CZ.Ser.BldNew.Thermal.HW.Gas.NG_Biogas</t>
  </si>
  <si>
    <t>EMI.ktCO2.CZ.Ser.BldNew.Thermal.HW.Biomass.Biomass_Waste</t>
  </si>
  <si>
    <t>EMI.ktCO2.CZ.Ser.BldNew.Thermal.HW.DistrHeat.Steam_Distr</t>
  </si>
  <si>
    <t>EMI.ktCO2.CZ.Ser.BldNew.Thermal.HW.Elc.Elec</t>
  </si>
  <si>
    <t>EMI.ktCO2.CZ.Ser.BldNew.Thermal.HW.TotalSolar.Solar</t>
  </si>
  <si>
    <t>EMI.ktCO2.CZ.Ser.BldNew.Thermal.CA</t>
  </si>
  <si>
    <t>EMI.ktCO2.CZ.Ser.BldNew.Thermal.CA.LPG</t>
  </si>
  <si>
    <t>EMI.ktCO2.CZ.Ser.BldNew.Thermal.CA.Gas.NG_Biogas</t>
  </si>
  <si>
    <t>EMI.ktCO2.CZ.Ser.BldNew.Thermal.CA.Biomass.Biomass_Waste</t>
  </si>
  <si>
    <t>EMI.ktCO2.CZ.Ser.BldNew.Thermal.CA.Elc.Elec</t>
  </si>
  <si>
    <t>CZ - Final energy consumption of new and renovated buildings (per building)</t>
  </si>
  <si>
    <t>FEC_per_building.kWh.CZ.Ser.BldNew.Thermal</t>
  </si>
  <si>
    <t>FEC_per_building.kWh.CZ.Ser.BldNew.Thermal.SH</t>
  </si>
  <si>
    <t>FEC_per_building.kWh.CZ.Ser.BldNew.Thermal.SH.Solids.Solids</t>
  </si>
  <si>
    <t>FEC_per_building.kWh.CZ.Ser.BldNew.Thermal.SH.LPG.LPG</t>
  </si>
  <si>
    <t>FEC_per_building.kWh.CZ.Ser.BldNew.Thermal.SH.Oil.Oil_LiqBio</t>
  </si>
  <si>
    <t>FEC_per_building.kWh.CZ.Ser.BldNew.Thermal.SH.GasHP.NG_Biogas</t>
  </si>
  <si>
    <t>FEC_per_building.kWh.CZ.Ser.BldNew.Thermal.SH.GasTH.NG_Biogas</t>
  </si>
  <si>
    <t>FEC_per_building.kWh.CZ.Ser.BldNew.Thermal.SH.Biomass.Biomass_Waste</t>
  </si>
  <si>
    <t>FEC_per_building.kWh.CZ.Ser.BldNew.Thermal.SH.Geo.Geo</t>
  </si>
  <si>
    <t>FEC_per_building.kWh.CZ.Ser.BldNew.Thermal.SH.DistrHeat.Steam_Distr</t>
  </si>
  <si>
    <t>FEC_per_building.kWh.CZ.Ser.BldNew.Thermal.SH.AdvElc.Elec</t>
  </si>
  <si>
    <t>FEC_per_building.kWh.CZ.Ser.BldNew.Thermal.SH.ConvElc.Elec</t>
  </si>
  <si>
    <t>FEC_per_building.kWh.CZ.Ser.BldNew.Thermal.SH.TotalCirculation.Elec</t>
  </si>
  <si>
    <t>FEC_per_building.kWh.CZ.Ser.BldNew.Thermal.SC</t>
  </si>
  <si>
    <t>FEC_per_building.kWh.CZ.Ser.BldNew.Thermal.SC.GasHP.NG_Biogas</t>
  </si>
  <si>
    <t>FEC_per_building.kWh.CZ.Ser.BldNew.Thermal.SC.AC.Elec</t>
  </si>
  <si>
    <t>FEC_per_building.kWh.CZ.Ser.BldNew.Thermal.HW</t>
  </si>
  <si>
    <t>FEC_per_building.kWh.CZ.Ser.BldNew.Thermal.HW.Solids.Solids</t>
  </si>
  <si>
    <t>FEC_per_building.kWh.CZ.Ser.BldNew.Thermal.HW.LPG.LPG</t>
  </si>
  <si>
    <t>FEC_per_building.kWh.CZ.Ser.BldNew.Thermal.HW.Oil.Oil_LiqBio</t>
  </si>
  <si>
    <t>FEC_per_building.kWh.CZ.Ser.BldNew.Thermal.HW.Gas.NG_Biogas</t>
  </si>
  <si>
    <t>FEC_per_building.kWh.CZ.Ser.BldNew.Thermal.HW.Biomass.Biomass_Waste</t>
  </si>
  <si>
    <t>FEC_per_building.kWh.CZ.Ser.BldNew.Thermal.HW.DistrHeat.Steam_Distr</t>
  </si>
  <si>
    <t>FEC_per_building.kWh.CZ.Ser.BldNew.Thermal.HW.Elc.Elec</t>
  </si>
  <si>
    <t>FEC_per_building.kWh.CZ.Ser.BldNew.Thermal.HW.TotalSolar.Solar</t>
  </si>
  <si>
    <t>FEC_per_building.kWh.CZ.Ser.BldNew.Thermal.CA</t>
  </si>
  <si>
    <t>FEC_per_building.kWh.CZ.Ser.BldNew.Thermal.CA.LPG</t>
  </si>
  <si>
    <t>FEC_per_building.kWh.CZ.Ser.BldNew.Thermal.CA.Gas.NG_Biogas</t>
  </si>
  <si>
    <t>FEC_per_building.kWh.CZ.Ser.BldNew.Thermal.CA.Biomass.Biomass_Waste</t>
  </si>
  <si>
    <t>FEC_per_building.kWh.CZ.Ser.BldNew.Thermal.CA.Elc.Elec</t>
  </si>
  <si>
    <t>CZ - Thermal energy service of new and renovated buildings (per building)</t>
  </si>
  <si>
    <t>TES_per_building.kWh.CZ.Ser.BldNew.Thermal</t>
  </si>
  <si>
    <t>TES_per_building.kWh.CZ.Ser.BldNew.Thermal.SH</t>
  </si>
  <si>
    <t>TES_per_building.kWh.CZ.Ser.BldNew.Thermal.SH.Solids.Solids</t>
  </si>
  <si>
    <t>TES_per_building.kWh.CZ.Ser.BldNew.Thermal.SH.LPG.LPG</t>
  </si>
  <si>
    <t>TES_per_building.kWh.CZ.Ser.BldNew.Thermal.SH.Oil.Oil_LiqBio</t>
  </si>
  <si>
    <t>TES_per_building.kWh.CZ.Ser.BldNew.Thermal.SH.GasHP.NG_Biogas</t>
  </si>
  <si>
    <t>TES_per_building.kWh.CZ.Ser.BldNew.Thermal.SH.GasTH.NG_Biogas</t>
  </si>
  <si>
    <t>TES_per_building.kWh.CZ.Ser.BldNew.Thermal.SH.Biomass.Biomass_Waste</t>
  </si>
  <si>
    <t>TES_per_building.kWh.CZ.Ser.BldNew.Thermal.SH.Geo.Geo</t>
  </si>
  <si>
    <t>TES_per_building.kWh.CZ.Ser.BldNew.Thermal.SH.DistrHeat.Steam_Distr</t>
  </si>
  <si>
    <t>TES_per_building.kWh.CZ.Ser.BldNew.Thermal.SH.AdvElc.Elec</t>
  </si>
  <si>
    <t>TES_per_building.kWh.CZ.Ser.BldNew.Thermal.SH.ConvElc.Elec</t>
  </si>
  <si>
    <t>TES_per_building.kWh.CZ.Ser.BldNew.Thermal.SH.TotalCirculation.Elec</t>
  </si>
  <si>
    <t>TES_per_building.kWh.CZ.Ser.BldNew.Thermal.SC</t>
  </si>
  <si>
    <t>TES_per_building.kWh.CZ.Ser.BldNew.Thermal.SC.GasHP.NG_Biogas</t>
  </si>
  <si>
    <t>TES_per_building.kWh.CZ.Ser.BldNew.Thermal.SC.AC.Elec</t>
  </si>
  <si>
    <t>TES_per_building.kWh.CZ.Ser.BldNew.Thermal.HW</t>
  </si>
  <si>
    <t>TES_per_building.kWh.CZ.Ser.BldNew.Thermal.HW.Solids.Solids</t>
  </si>
  <si>
    <t>TES_per_building.kWh.CZ.Ser.BldNew.Thermal.HW.LPG.LPG</t>
  </si>
  <si>
    <t>TES_per_building.kWh.CZ.Ser.BldNew.Thermal.HW.Oil.Oil_LiqBio</t>
  </si>
  <si>
    <t>TES_per_building.kWh.CZ.Ser.BldNew.Thermal.HW.Gas.NG_Biogas</t>
  </si>
  <si>
    <t>TES_per_building.kWh.CZ.Ser.BldNew.Thermal.HW.Biomass.Biomass_Waste</t>
  </si>
  <si>
    <t>TES_per_building.kWh.CZ.Ser.BldNew.Thermal.HW.DistrHeat.Steam_Distr</t>
  </si>
  <si>
    <t>TES_per_building.kWh.CZ.Ser.BldNew.Thermal.HW.Elc.Elec</t>
  </si>
  <si>
    <t>TES_per_building.kWh.CZ.Ser.BldNew.Thermal.HW.TotalSolar.Solar</t>
  </si>
  <si>
    <t>TES_per_building.kWh.CZ.Ser.BldNew.Thermal.CA</t>
  </si>
  <si>
    <t>TES_per_building.kWh.CZ.Ser.BldNew.Thermal.CA.LPG</t>
  </si>
  <si>
    <t>TES_per_building.kWh.CZ.Ser.BldNew.Thermal.CA.Gas.NG_Biogas</t>
  </si>
  <si>
    <t>TES_per_building.kWh.CZ.Ser.BldNew.Thermal.CA.Biomass.Biomass_Waste</t>
  </si>
  <si>
    <t>TES_per_building.kWh.CZ.Ser.BldNew.Thermal.CA.Elc.Elec</t>
  </si>
  <si>
    <t>CZ - CO2 emissions in new and renovated buildings (per building)</t>
  </si>
  <si>
    <t>EMI_per_building.kgCO2.CZ.Ser.BldNew.Thermal</t>
  </si>
  <si>
    <t>EMI_per_building.kgCO2.CZ.Ser.BldNew.Thermal.SH</t>
  </si>
  <si>
    <t>EMI_per_building.kgCO2.CZ.Ser.BldNew.Thermal.SH.Solids.Solids</t>
  </si>
  <si>
    <t>EMI_per_building.kgCO2.CZ.Ser.BldNew.Thermal.SH.LPG.LPG</t>
  </si>
  <si>
    <t>EMI_per_building.kgCO2.CZ.Ser.BldNew.Thermal.SH.Oil.Oil_LiqBio</t>
  </si>
  <si>
    <t>EMI_per_building.kgCO2.CZ.Ser.BldNew.Thermal.SH.GasHP.NG_Biogas</t>
  </si>
  <si>
    <t>EMI_per_building.kgCO2.CZ.Ser.BldNew.Thermal.SH.GasTH.NG_Biogas</t>
  </si>
  <si>
    <t>EMI_per_building.kgCO2.CZ.Ser.BldNew.Thermal.SH.Biomass.Biomass_Waste</t>
  </si>
  <si>
    <t>EMI_per_building.kgCO2.CZ.Ser.BldNew.Thermal.SH.Geo.Geo</t>
  </si>
  <si>
    <t>EMI_per_building.kgCO2.CZ.Ser.BldNew.Thermal.SH.DistrHeat.Steam_Distr</t>
  </si>
  <si>
    <t>EMI_per_building.kgCO2.CZ.Ser.BldNew.Thermal.SH.AdvElc.Elec</t>
  </si>
  <si>
    <t>EMI_per_building.kgCO2.CZ.Ser.BldNew.Thermal.SH.ConvElc.Elec</t>
  </si>
  <si>
    <t>EMI_per_building.kgCO2.CZ.Ser.BldNew.Thermal.SH.TotalCirculation.Elec</t>
  </si>
  <si>
    <t>EMI_per_building.kgCO2.CZ.Ser.BldNew.Thermal.SC</t>
  </si>
  <si>
    <t>EMI_per_building.kgCO2.CZ.Ser.BldNew.Thermal.SC.GasHP.NG_Biogas</t>
  </si>
  <si>
    <t>EMI_per_building.kgCO2.CZ.Ser.BldNew.Thermal.SC.AC.Elec</t>
  </si>
  <si>
    <t>EMI_per_building.kgCO2.CZ.Ser.BldNew.Thermal.HW</t>
  </si>
  <si>
    <t>EMI_per_building.kgCO2.CZ.Ser.BldNew.Thermal.HW.Solids.Solids</t>
  </si>
  <si>
    <t>EMI_per_building.kgCO2.CZ.Ser.BldNew.Thermal.HW.LPG.LPG</t>
  </si>
  <si>
    <t>EMI_per_building.kgCO2.CZ.Ser.BldNew.Thermal.HW.Oil.Oil_LiqBio</t>
  </si>
  <si>
    <t>EMI_per_building.kgCO2.CZ.Ser.BldNew.Thermal.HW.Gas.NG_Biogas</t>
  </si>
  <si>
    <t>EMI_per_building.kgCO2.CZ.Ser.BldNew.Thermal.HW.Biomass.Biomass_Waste</t>
  </si>
  <si>
    <t>EMI_per_building.kgCO2.CZ.Ser.BldNew.Thermal.HW.DistrHeat.Steam_Distr</t>
  </si>
  <si>
    <t>EMI_per_building.kgCO2.CZ.Ser.BldNew.Thermal.HW.Elc.Elec</t>
  </si>
  <si>
    <t>EMI_per_building.kgCO2.CZ.Ser.BldNew.Thermal.HW.TotalSolar.Solar</t>
  </si>
  <si>
    <t>EMI_per_building.kgCO2.CZ.Ser.BldNew.Thermal.CA</t>
  </si>
  <si>
    <t>EMI_per_building.kgCO2.CZ.Ser.BldNew.Thermal.CA.LPG</t>
  </si>
  <si>
    <t>EMI_per_building.kgCO2.CZ.Ser.BldNew.Thermal.CA.Gas.NG_Biogas</t>
  </si>
  <si>
    <t>EMI_per_building.kgCO2.CZ.Ser.BldNew.Thermal.CA.Biomass.Biomass_Waste</t>
  </si>
  <si>
    <t>EMI_per_building.kgCO2.CZ.Ser.BldNew.Thermal.CA.Elc.Elec</t>
  </si>
  <si>
    <t>CZ - Final energy consumption in new and renovated buildings per surface area</t>
  </si>
  <si>
    <t>FEC_per_sqm.kWh.CZ.Ser.BldNew.Thermal</t>
  </si>
  <si>
    <t>FEC_per_sqm.kWh.CZ.Ser.BldNew.Thermal.SH</t>
  </si>
  <si>
    <t>FEC_per_sqm.kWh.CZ.Ser.BldNew.Thermal.SH.Solids.Solids</t>
  </si>
  <si>
    <t>FEC_per_sqm.kWh.CZ.Ser.BldNew.Thermal.SH.LPG.LPG</t>
  </si>
  <si>
    <t>FEC_per_sqm.kWh.CZ.Ser.BldNew.Thermal.SH.Oil.Oil_LiqBio</t>
  </si>
  <si>
    <t>FEC_per_sqm.kWh.CZ.Ser.BldNew.Thermal.SH.GasHP.NG_Biogas</t>
  </si>
  <si>
    <t>FEC_per_sqm.kWh.CZ.Ser.BldNew.Thermal.SH.GasTH.NG_Biogas</t>
  </si>
  <si>
    <t>FEC_per_sqm.kWh.CZ.Ser.BldNew.Thermal.SH.Biomass.Biomass_Waste</t>
  </si>
  <si>
    <t>FEC_per_sqm.kWh.CZ.Ser.BldNew.Thermal.SH.Geo.Geo</t>
  </si>
  <si>
    <t>FEC_per_sqm.kWh.CZ.Ser.BldNew.Thermal.SH.DistrHeat.Steam_Distr</t>
  </si>
  <si>
    <t>FEC_per_sqm.kWh.CZ.Ser.BldNew.Thermal.SH.AdvElc.Elec</t>
  </si>
  <si>
    <t>FEC_per_sqm.kWh.CZ.Ser.BldNew.Thermal.SH.ConvElc.Elec</t>
  </si>
  <si>
    <t>FEC_per_sqm.kWh.CZ.Ser.BldNew.Thermal.SH.TotalCirculation.Elec</t>
  </si>
  <si>
    <t>FEC_per_sqm.kWh.CZ.Ser.BldNew.Thermal.SC</t>
  </si>
  <si>
    <t>FEC_per_sqm.kWh.CZ.Ser.BldNew.Thermal.SC.GasHP.NG_Biogas</t>
  </si>
  <si>
    <t>FEC_per_sqm.kWh.CZ.Ser.BldNew.Thermal.SC.AC.Elec</t>
  </si>
  <si>
    <t>FEC_per_sqm.kWh.CZ.Ser.BldNew.Thermal.HW</t>
  </si>
  <si>
    <t>FEC_per_sqm.kWh.CZ.Ser.BldNew.Thermal.HW.Solids.Solids</t>
  </si>
  <si>
    <t>FEC_per_sqm.kWh.CZ.Ser.BldNew.Thermal.HW.LPG.LPG</t>
  </si>
  <si>
    <t>FEC_per_sqm.kWh.CZ.Ser.BldNew.Thermal.HW.Oil.Oil_LiqBio</t>
  </si>
  <si>
    <t>FEC_per_sqm.kWh.CZ.Ser.BldNew.Thermal.HW.Gas.NG_Biogas</t>
  </si>
  <si>
    <t>FEC_per_sqm.kWh.CZ.Ser.BldNew.Thermal.HW.Biomass.Biomass_Waste</t>
  </si>
  <si>
    <t>FEC_per_sqm.kWh.CZ.Ser.BldNew.Thermal.HW.DistrHeat.Steam_Distr</t>
  </si>
  <si>
    <t>FEC_per_sqm.kWh.CZ.Ser.BldNew.Thermal.HW.Elc.Elec</t>
  </si>
  <si>
    <t>FEC_per_sqm.kWh.CZ.Ser.BldNew.Thermal.HW.TotalSolar.Solar</t>
  </si>
  <si>
    <t>FEC_per_sqm.kWh.CZ.Ser.BldNew.Thermal.CA</t>
  </si>
  <si>
    <t>FEC_per_sqm.kWh.CZ.Ser.BldNew.Thermal.CA.LPG</t>
  </si>
  <si>
    <t>FEC_per_sqm.kWh.CZ.Ser.BldNew.Thermal.CA.Gas.NG_Biogas</t>
  </si>
  <si>
    <t>FEC_per_sqm.kWh.CZ.Ser.BldNew.Thermal.CA.Biomass.Biomass_Waste</t>
  </si>
  <si>
    <t>FEC_per_sqm.kWh.CZ.Ser.BldNew.Thermal.CA.Elc.Elec</t>
  </si>
  <si>
    <t>CZ - Thermal energy service in new and renovated buildings per surface area</t>
  </si>
  <si>
    <t>TES_per_sqm.kWh.CZ.Ser.BldNew.Thermal</t>
  </si>
  <si>
    <t>TES_per_sqm.kWh.CZ.Ser.BldNew.Thermal.SH</t>
  </si>
  <si>
    <t>TES_per_sqm.kWh.CZ.Ser.BldNew.Thermal.SH.Solids.Solids</t>
  </si>
  <si>
    <t>TES_per_sqm.kWh.CZ.Ser.BldNew.Thermal.SH.LPG.LPG</t>
  </si>
  <si>
    <t>TES_per_sqm.kWh.CZ.Ser.BldNew.Thermal.SH.Oil.Oil_LiqBio</t>
  </si>
  <si>
    <t>TES_per_sqm.kWh.CZ.Ser.BldNew.Thermal.SH.GasHP.NG_Biogas</t>
  </si>
  <si>
    <t>TES_per_sqm.kWh.CZ.Ser.BldNew.Thermal.SH.GasTH.NG_Biogas</t>
  </si>
  <si>
    <t>TES_per_sqm.kWh.CZ.Ser.BldNew.Thermal.SH.Biomass.Biomass_Waste</t>
  </si>
  <si>
    <t>TES_per_sqm.kWh.CZ.Ser.BldNew.Thermal.SH.Geo.Geo</t>
  </si>
  <si>
    <t>TES_per_sqm.kWh.CZ.Ser.BldNew.Thermal.SH.DistrHeat.Steam_Distr</t>
  </si>
  <si>
    <t>TES_per_sqm.kWh.CZ.Ser.BldNew.Thermal.SH.AdvElc.Elec</t>
  </si>
  <si>
    <t>TES_per_sqm.kWh.CZ.Ser.BldNew.Thermal.SH.ConvElc.Elec</t>
  </si>
  <si>
    <t>TES_per_sqm.kWh.CZ.Ser.BldNew.Thermal.SH.TotalCirculation.Elec</t>
  </si>
  <si>
    <t>TES_per_sqm.kWh.CZ.Ser.BldNew.Thermal.SC</t>
  </si>
  <si>
    <t>TES_per_sqm.kWh.CZ.Ser.BldNew.Thermal.SC.GasHP.NG_Biogas</t>
  </si>
  <si>
    <t>TES_per_sqm.kWh.CZ.Ser.BldNew.Thermal.SC.AC.Elec</t>
  </si>
  <si>
    <t>TES_per_sqm.kWh.CZ.Ser.BldNew.Thermal.HW</t>
  </si>
  <si>
    <t>TES_per_sqm.kWh.CZ.Ser.BldNew.Thermal.HW.Solids.Solids</t>
  </si>
  <si>
    <t>TES_per_sqm.kWh.CZ.Ser.BldNew.Thermal.HW.LPG.LPG</t>
  </si>
  <si>
    <t>TES_per_sqm.kWh.CZ.Ser.BldNew.Thermal.HW.Oil.Oil_LiqBio</t>
  </si>
  <si>
    <t>TES_per_sqm.kWh.CZ.Ser.BldNew.Thermal.HW.Gas.NG_Biogas</t>
  </si>
  <si>
    <t>TES_per_sqm.kWh.CZ.Ser.BldNew.Thermal.HW.Biomass.Biomass_Waste</t>
  </si>
  <si>
    <t>TES_per_sqm.kWh.CZ.Ser.BldNew.Thermal.HW.DistrHeat.Steam_Distr</t>
  </si>
  <si>
    <t>TES_per_sqm.kWh.CZ.Ser.BldNew.Thermal.HW.Elc.Elec</t>
  </si>
  <si>
    <t>TES_per_sqm.kWh.CZ.Ser.BldNew.Thermal.HW.TotalSolar.Solar</t>
  </si>
  <si>
    <t>TES_per_sqm.kWh.CZ.Ser.BldNew.Thermal.CA</t>
  </si>
  <si>
    <t>TES_per_sqm.kWh.CZ.Ser.BldNew.Thermal.CA.LPG</t>
  </si>
  <si>
    <t>TES_per_sqm.kWh.CZ.Ser.BldNew.Thermal.CA.Gas.NG_Biogas</t>
  </si>
  <si>
    <t>TES_per_sqm.kWh.CZ.Ser.BldNew.Thermal.CA.Biomass.Biomass_Waste</t>
  </si>
  <si>
    <t>TES_per_sqm.kWh.CZ.Ser.BldNew.Thermal.CA.Elc.Elec</t>
  </si>
  <si>
    <t>CZ - CO2 emissions in new and renovated buildings per surface area</t>
  </si>
  <si>
    <t>EMI_per_sqm.kgCO2.CZ.Ser.BldNew.Thermal</t>
  </si>
  <si>
    <t>EMI_per_sqm.kgCO2.CZ.Ser.BldNew.Thermal.SH</t>
  </si>
  <si>
    <t>EMI_per_sqm.kgCO2.CZ.Ser.BldNew.Thermal.SH.Solids.Solids</t>
  </si>
  <si>
    <t>EMI_per_sqm.kgCO2.CZ.Ser.BldNew.Thermal.SH.LPG.LPG</t>
  </si>
  <si>
    <t>EMI_per_sqm.kgCO2.CZ.Ser.BldNew.Thermal.SH.Oil.Oil_LiqBio</t>
  </si>
  <si>
    <t>EMI_per_sqm.kgCO2.CZ.Ser.BldNew.Thermal.SH.GasHP.NG_Biogas</t>
  </si>
  <si>
    <t>EMI_per_sqm.kgCO2.CZ.Ser.BldNew.Thermal.SH.GasTH.NG_Biogas</t>
  </si>
  <si>
    <t>EMI_per_sqm.kgCO2.CZ.Ser.BldNew.Thermal.SH.Biomass.Biomass_Waste</t>
  </si>
  <si>
    <t>EMI_per_sqm.kgCO2.CZ.Ser.BldNew.Thermal.SH.Geo.Geo</t>
  </si>
  <si>
    <t>EMI_per_sqm.kgCO2.CZ.Ser.BldNew.Thermal.SH.DistrHeat.Steam_Distr</t>
  </si>
  <si>
    <t>EMI_per_sqm.kgCO2.CZ.Ser.BldNew.Thermal.SH.AdvElc.Elec</t>
  </si>
  <si>
    <t>EMI_per_sqm.kgCO2.CZ.Ser.BldNew.Thermal.SH.ConvElc.Elec</t>
  </si>
  <si>
    <t>EMI_per_sqm.kgCO2.CZ.Ser.BldNew.Thermal.SH.TotalCirculation.Elec</t>
  </si>
  <si>
    <t>EMI_per_sqm.kgCO2.CZ.Ser.BldNew.Thermal.SC</t>
  </si>
  <si>
    <t>EMI_per_sqm.kgCO2.CZ.Ser.BldNew.Thermal.SC.GasHP.NG_Biogas</t>
  </si>
  <si>
    <t>EMI_per_sqm.kgCO2.CZ.Ser.BldNew.Thermal.SC.AC.Elec</t>
  </si>
  <si>
    <t>EMI_per_sqm.kgCO2.CZ.Ser.BldNew.Thermal.HW</t>
  </si>
  <si>
    <t>EMI_per_sqm.kgCO2.CZ.Ser.BldNew.Thermal.HW.Solids.Solids</t>
  </si>
  <si>
    <t>EMI_per_sqm.kgCO2.CZ.Ser.BldNew.Thermal.HW.LPG.LPG</t>
  </si>
  <si>
    <t>EMI_per_sqm.kgCO2.CZ.Ser.BldNew.Thermal.HW.Oil.Oil_LiqBio</t>
  </si>
  <si>
    <t>EMI_per_sqm.kgCO2.CZ.Ser.BldNew.Thermal.HW.Gas.NG_Biogas</t>
  </si>
  <si>
    <t>EMI_per_sqm.kgCO2.CZ.Ser.BldNew.Thermal.HW.Biomass.Biomass_Waste</t>
  </si>
  <si>
    <t>EMI_per_sqm.kgCO2.CZ.Ser.BldNew.Thermal.HW.DistrHeat.Steam_Distr</t>
  </si>
  <si>
    <t>EMI_per_sqm.kgCO2.CZ.Ser.BldNew.Thermal.HW.Elc.Elec</t>
  </si>
  <si>
    <t>EMI_per_sqm.kgCO2.CZ.Ser.BldNew.Thermal.HW.TotalSolar.Solar</t>
  </si>
  <si>
    <t>EMI_per_sqm.kgCO2.CZ.Ser.BldNew.Thermal.CA</t>
  </si>
  <si>
    <t>EMI_per_sqm.kgCO2.CZ.Ser.BldNew.Thermal.CA.LPG</t>
  </si>
  <si>
    <t>EMI_per_sqm.kgCO2.CZ.Ser.BldNew.Thermal.CA.Gas.NG_Biogas</t>
  </si>
  <si>
    <t>EMI_per_sqm.kgCO2.CZ.Ser.BldNew.Thermal.CA.Biomass.Biomass_Waste</t>
  </si>
  <si>
    <t>EMI_per_sqm.kgCO2.CZ.Ser.BldNew.Thermal.CA.Elc.Elec</t>
  </si>
  <si>
    <t>FEC.ktoe.CZ.Ser.SEU.VE</t>
  </si>
  <si>
    <t>FEC.ktoe.CZ.Ser.SEU.SL</t>
  </si>
  <si>
    <t>FEC.ktoe.CZ.Ser.SEU.BL</t>
  </si>
  <si>
    <t>FEC.ktoe.CZ.Ser.SEU.CR</t>
  </si>
  <si>
    <t>FEC.ktoe.CZ.Ser.SEU.BT</t>
  </si>
  <si>
    <t>FEC.ktoe.CZ.Ser.SEU.IT</t>
  </si>
  <si>
    <t>Size.MW.CZ.Ser.SEU</t>
  </si>
  <si>
    <t>Size.MW.CZ.Ser.SEU.VE</t>
  </si>
  <si>
    <t>Size.MW.CZ.Ser.SEU.SL</t>
  </si>
  <si>
    <t>Size.MW.CZ.Ser.SEU.BL</t>
  </si>
  <si>
    <t>Size.MW.CZ.Ser.SEU.CR</t>
  </si>
  <si>
    <t>Size.MW.CZ.Ser.SEU.BT</t>
  </si>
  <si>
    <t>Size.MW.CZ.Ser.SEU.IT</t>
  </si>
  <si>
    <t>NUM.Msqm.CZ.Ser.SEU.VE</t>
  </si>
  <si>
    <t>NUM.k.CZ.Ser.SEU.SL</t>
  </si>
  <si>
    <t>NUM.M.CZ.Ser.SEU.BL</t>
  </si>
  <si>
    <t>NUM.k.CZ.Ser.SEU.CR</t>
  </si>
  <si>
    <t>NUM.Msqm.CZ.Ser.SEU.BT</t>
  </si>
  <si>
    <t>NUM.k.CZ.Ser.SEU.IT</t>
  </si>
  <si>
    <t>NUM.Msqm.CZ.Ser.SEUnew.VE</t>
  </si>
  <si>
    <t>NUM.k.CZ.Ser.SEUnew.SL</t>
  </si>
  <si>
    <t>NUM.M.CZ.Ser.SEUnew.BL</t>
  </si>
  <si>
    <t>NUM.k.CZ.Ser.SEUnew.CR</t>
  </si>
  <si>
    <t>NUM.Msqm.CZ.Ser.SEUnew.BT</t>
  </si>
  <si>
    <t>NUM.k.CZ.Ser.SEUnew.IT</t>
  </si>
  <si>
    <t>NUM.Msqm.CZ.Ser.SEUrepl.VE</t>
  </si>
  <si>
    <t>NUM.k.CZ.Ser.SEUrepl.SL</t>
  </si>
  <si>
    <t>NUM.M.CZ.Ser.SEUrepl.BL</t>
  </si>
  <si>
    <t>NUM.k.CZ.Ser.SEUrepl.CR</t>
  </si>
  <si>
    <t>NUM.Msqm.CZ.Ser.SEUrepl.BT</t>
  </si>
  <si>
    <t>NUM.k.CZ.Ser.SEUrepl.IT</t>
  </si>
  <si>
    <t>Op.hours.CZ.Ser.SEU.VE</t>
  </si>
  <si>
    <t>Op.hours.CZ.Ser.SEU.SL</t>
  </si>
  <si>
    <t>Op.hours.CZ.Ser.SEU.BL</t>
  </si>
  <si>
    <t>Op.hours.CZ.Ser.SEU.CR</t>
  </si>
  <si>
    <t>Op.hours.CZ.Ser.SEU.BT</t>
  </si>
  <si>
    <t>Op.hours.CZ.Ser.SEU.IT</t>
  </si>
  <si>
    <t>Size_per_appl.W.CZ.Ser.SEU.VE</t>
  </si>
  <si>
    <t>Size_per_appl.W.CZ.Ser.SEU.SL</t>
  </si>
  <si>
    <t>Size_per_appl.W.CZ.Ser.SEU.BL</t>
  </si>
  <si>
    <t>Size_per_appl.W.CZ.Ser.SEU.CR</t>
  </si>
  <si>
    <t>Size_per_appl.W.CZ.Ser.SEU.BT</t>
  </si>
  <si>
    <t>Size_per_appl.W.CZ.Ser.SEU.IT</t>
  </si>
  <si>
    <t>Size_per_appl.W.CZ.Ser.SEUnew.VE</t>
  </si>
  <si>
    <t>Size_per_appl.W.CZ.Ser.SEUnew.SL</t>
  </si>
  <si>
    <t>Size_per_appl.W.CZ.Ser.SEUnew.BL</t>
  </si>
  <si>
    <t>Size_per_appl.W.CZ.Ser.SEUnew.CR</t>
  </si>
  <si>
    <t>Size_per_appl.W.CZ.Ser.SEUnew.BT</t>
  </si>
  <si>
    <t>Size_per_appl.W.CZ.Ser.SEUnew.IT</t>
  </si>
  <si>
    <t>NUM.sqm_per_building.CZ.Ser.SEU.VE</t>
  </si>
  <si>
    <t>NUM.number_per_capita.CZ.Ser.SEU.SL</t>
  </si>
  <si>
    <t>NUM.number_per_building.CZ.Ser.SEU.BL</t>
  </si>
  <si>
    <t>NUM.number_per_capita.CZ.Ser.SEU.CR</t>
  </si>
  <si>
    <t>NUM.sqm_per_building.CZ.Ser.SEU.BT</t>
  </si>
  <si>
    <t>NUM.number_per_capita.CZ.Ser.SEU.IT</t>
  </si>
  <si>
    <t>Lumens_per_sqm.lumen.CZ.Ser.SEU.BL</t>
  </si>
  <si>
    <t>CZ - Services / specific electric uses</t>
  </si>
  <si>
    <t>CZ - Ventilation and others</t>
  </si>
  <si>
    <t>CZ - Street lighting</t>
  </si>
  <si>
    <t>CZ - Building lighting</t>
  </si>
  <si>
    <t>CZ - Commercial refrigeration</t>
  </si>
  <si>
    <t>CZ - Miscellaneous building technologies</t>
  </si>
  <si>
    <t>CZ - ICT and multimedia</t>
  </si>
  <si>
    <t>CZ - Agriculture, forestry and fishing</t>
  </si>
  <si>
    <t>VA.Meuro2015.CZ.AGR.AGR</t>
  </si>
  <si>
    <t>OUTPUT.index.CZ.AGR.AGR</t>
  </si>
  <si>
    <t>CAP.index.CZ.AGR.AGR</t>
  </si>
  <si>
    <t>NEWCAP.index.CZ.AGR.AGR</t>
  </si>
  <si>
    <t>CAPOUT.index.CZ.AGR.AGR</t>
  </si>
  <si>
    <t>CAPIDLE.index.CZ.AGR.AGR</t>
  </si>
  <si>
    <t>FEC.ktoe.CZ.ES.AGR</t>
  </si>
  <si>
    <t>FEC.ktoe.CZ.ES.AGR.Solids</t>
  </si>
  <si>
    <t>FEC.ktoe.CZ.ES.AGR.LPG</t>
  </si>
  <si>
    <t>FEC.ktoe.CZ.ES.AGR.Diesel</t>
  </si>
  <si>
    <t>FEC.ktoe.CZ.ES.AGR.RFO</t>
  </si>
  <si>
    <t>FEC.ktoe.CZ.ES.AGR.NG</t>
  </si>
  <si>
    <t>FEC.ktoe.CZ.ES.AGR.Biomass_Waste</t>
  </si>
  <si>
    <t>FEC.ktoe.CZ.ES.AGR.Biogas</t>
  </si>
  <si>
    <t>FEC.ktoe.CZ.ES.AGR.LiqBio</t>
  </si>
  <si>
    <t>FEC.ktoe.CZ.ES.AGR.Solar</t>
  </si>
  <si>
    <t>FEC.ktoe.CZ.ES.AGR.Geo</t>
  </si>
  <si>
    <t>FEC.ktoe.CZ.ES.AGR.Ambient</t>
  </si>
  <si>
    <t>FEC.ktoe.CZ.ES.AGR.Steam_Distr</t>
  </si>
  <si>
    <t>FEC.ktoe.CZ.ES.AGR.Elec</t>
  </si>
  <si>
    <t>CZ - Agriculture, forestry and fishing / final energy consumption</t>
  </si>
  <si>
    <t>FEC.ktoe.CZ.AGR.AGR.LIGHT.GENERIC.ELEC</t>
  </si>
  <si>
    <t>FEC.ktoe.CZ.AGR.AGR.FANS.GENERIC.ELEC</t>
  </si>
  <si>
    <t>FEC.ktoe.CZ.AGR.AGR.MOTOR.GENERIC.ELEC</t>
  </si>
  <si>
    <t>FEC.ktoe.CZ.AGR.AGR.LOW_ENTH.THERM.DIESEL_LIQBIO</t>
  </si>
  <si>
    <t>FEC.ktoe.CZ.AGR.AGR.LOW_ENTH.THERM.NG_BIOGAS</t>
  </si>
  <si>
    <t>FEC.ktoe.CZ.AGR.AGR.LOW_ENTH.THERM.SOLAR_GEO</t>
  </si>
  <si>
    <t>FEC.ktoe.CZ.AGR.AGR.LOW_ENTH.HP.AMBIENT</t>
  </si>
  <si>
    <t>FEC.ktoe.CZ.AGR.AGR.LOW_ENTH.THERM.STEAM_DISTR</t>
  </si>
  <si>
    <t>FEC.ktoe.CZ.AGR.AGR.LOW_ENTH.THERM.ELEC</t>
  </si>
  <si>
    <t>FEC.ktoe.CZ.AGR.AGR.FARM_DRIVES.MECH.DIESEL_LIQBIO</t>
  </si>
  <si>
    <t>FEC.ktoe.CZ.AGR.AGR.HEAT_USE.THERM.SOLIDS</t>
  </si>
  <si>
    <t>FEC.ktoe.CZ.AGR.AGR.HEAT_USE.THERM.LPG</t>
  </si>
  <si>
    <t>FEC.ktoe.CZ.AGR.AGR.HEAT_USE.THERM.DIESEL_LIQBIO</t>
  </si>
  <si>
    <t>FEC.ktoe.CZ.AGR.AGR.HEAT_USE.THERM.RFO</t>
  </si>
  <si>
    <t>FEC.ktoe.CZ.AGR.AGR.HEAT_USE.THERM.NG_BIOGAS</t>
  </si>
  <si>
    <t>FEC.ktoe.CZ.AGR.AGR.HEAT_USE.THERM.BIOMASS_WASTE</t>
  </si>
  <si>
    <t>FEC.ktoe.CZ.AGR.AGR.HEAT_USE.THERM.SOLAR_GEO</t>
  </si>
  <si>
    <t>FEC.ktoe.CZ.AGR.AGR.FARM_PUMP.MECH.DIESEL_LIQBIO</t>
  </si>
  <si>
    <t>FEC.ktoe.CZ.AGR.AGR.FARM_PUMP_ELEC.MECH.ELEC</t>
  </si>
  <si>
    <t>FEC.ktoe.CZ.AGR.AGR.GENERIC.MECH.ELEC</t>
  </si>
  <si>
    <t>CZ - Agriculture, forestry and fishing / useful energy demand</t>
  </si>
  <si>
    <t>UED.ktoe.CZ.AGR.AGR.LIGHT.GENERIC.ELEC</t>
  </si>
  <si>
    <t>UED.ktoe.CZ.AGR.AGR.FANS.GENERIC.ELEC</t>
  </si>
  <si>
    <t>UED.ktoe.CZ.AGR.AGR.MOTOR.GENERIC.ELEC</t>
  </si>
  <si>
    <t>UED.ktoe.CZ.AGR.AGR.LOW_ENTH.THERM.DIESEL_LIQBIO</t>
  </si>
  <si>
    <t>UED.ktoe.CZ.AGR.AGR.LOW_ENTH.THERM.NG_BIOGAS</t>
  </si>
  <si>
    <t>UED.ktoe.CZ.AGR.AGR.LOW_ENTH.THERM.SOLAR_GEO</t>
  </si>
  <si>
    <t>UED.ktoe.CZ.AGR.AGR.LOW_ENTH.HP.AMBIENT</t>
  </si>
  <si>
    <t>UED.ktoe.CZ.AGR.AGR.LOW_ENTH.THERM.STEAM_DISTR</t>
  </si>
  <si>
    <t>UED.ktoe.CZ.AGR.AGR.LOW_ENTH.THERM.ELEC</t>
  </si>
  <si>
    <t>UED.ktoe.CZ.AGR.AGR.FARM_DRIVES.MECH.DIESEL_LIQBIO</t>
  </si>
  <si>
    <t>UED.ktoe.CZ.AGR.AGR.HEAT_USE.THERM.SOLIDS</t>
  </si>
  <si>
    <t>UED.ktoe.CZ.AGR.AGR.HEAT_USE.THERM.LPG</t>
  </si>
  <si>
    <t>UED.ktoe.CZ.AGR.AGR.HEAT_USE.THERM.DIESEL_LIQBIO</t>
  </si>
  <si>
    <t>UED.ktoe.CZ.AGR.AGR.HEAT_USE.THERM.RFO</t>
  </si>
  <si>
    <t>UED.ktoe.CZ.AGR.AGR.HEAT_USE.THERM.NG_BIOGAS</t>
  </si>
  <si>
    <t>UED.ktoe.CZ.AGR.AGR.HEAT_USE.THERM.BIOMASS_WASTE</t>
  </si>
  <si>
    <t>UED.ktoe.CZ.AGR.AGR.HEAT_USE.THERM.SOLAR_GEO</t>
  </si>
  <si>
    <t>UED.ktoe.CZ.AGR.AGR.FARM_PUMP.MECH.DIESEL_LIQBIO</t>
  </si>
  <si>
    <t>UED.ktoe.CZ.AGR.AGR.FARM_PUMP_ELEC.MECH.ELEC</t>
  </si>
  <si>
    <t>UED.ktoe.CZ.AGR.AGR.GENERIC.MECH.ELEC</t>
  </si>
  <si>
    <t>CZ - Agriculture, forestry and fishing / CO2 emissions</t>
  </si>
  <si>
    <t>FUEL_EMI.ktCO2.CZ.AGR.AGR.LIGHT.GENERIC.ELEC</t>
  </si>
  <si>
    <t>FUEL_EMI.ktCO2.CZ.AGR.AGR.FANS.GENERIC.ELEC</t>
  </si>
  <si>
    <t>FUEL_EMI.ktCO2.CZ.AGR.AGR.MOTOR.GENERIC.ELEC</t>
  </si>
  <si>
    <t>FUEL_EMI.ktCO2.CZ.AGR.AGR.LOW_ENTH.THERM.DIESEL_LIQBIO</t>
  </si>
  <si>
    <t>FUEL_EMI.ktCO2.CZ.AGR.AGR.LOW_ENTH.THERM.NG_BIOGAS</t>
  </si>
  <si>
    <t>FUEL_EMI.ktCO2.CZ.AGR.AGR.LOW_ENTH.THERM.SOLAR_GEO</t>
  </si>
  <si>
    <t>FUEL_EMI.ktCO2.CZ.AGR.AGR.LOW_ENTH.HP.AMBIENT</t>
  </si>
  <si>
    <t>FUEL_EMI.ktCO2.CZ.AGR.AGR.LOW_ENTH.THERM.STEAM_DISTR</t>
  </si>
  <si>
    <t>FUEL_EMI.ktCO2.CZ.AGR.AGR.LOW_ENTH.THERM.ELEC</t>
  </si>
  <si>
    <t>FUEL_EMI.ktCO2.CZ.AGR.AGR.FARM_DRIVES.MECH.DIESEL_LIQBIO</t>
  </si>
  <si>
    <t>FUEL_EMI.ktCO2.CZ.AGR.AGR.HEAT_USE.THERM.SOLIDS</t>
  </si>
  <si>
    <t>FUEL_EMI.ktCO2.CZ.AGR.AGR.HEAT_USE.THERM.LPG</t>
  </si>
  <si>
    <t>FUEL_EMI.ktCO2.CZ.AGR.AGR.HEAT_USE.THERM.DIESEL_LIQBIO</t>
  </si>
  <si>
    <t>FUEL_EMI.ktCO2.CZ.AGR.AGR.HEAT_USE.THERM.RFO</t>
  </si>
  <si>
    <t>FUEL_EMI.ktCO2.CZ.AGR.AGR.HEAT_USE.THERM.NG_BIOGAS</t>
  </si>
  <si>
    <t>FUEL_EMI.ktCO2.CZ.AGR.AGR.HEAT_USE.THERM.BIOMASS_WASTE</t>
  </si>
  <si>
    <t>FUEL_EMI.ktCO2.CZ.AGR.AGR.HEAT_USE.THERM.SOLAR_GEO</t>
  </si>
  <si>
    <t>FUEL_EMI.ktCO2.CZ.AGR.AGR.FARM_PUMP.MECH.DIESEL_LIQBIO</t>
  </si>
  <si>
    <t>FUEL_EMI.ktCO2.CZ.AGR.AGR.FARM_PUMP_ELEC.MECH.ELEC</t>
  </si>
  <si>
    <t>FUEL_EMI.ktCO2.CZ.AGR.AGR.GENERIC.MECH.ELEC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</si>
</sst>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45432.783055555556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10278098</v>
      </c>
      <c r="C3" s="34">
        <v>10232027</v>
      </c>
      <c r="D3" s="34">
        <v>10201182</v>
      </c>
      <c r="E3" s="34">
        <v>10192649</v>
      </c>
      <c r="F3" s="34">
        <v>10195347</v>
      </c>
      <c r="G3" s="34">
        <v>10198855</v>
      </c>
      <c r="H3" s="34">
        <v>10223577</v>
      </c>
      <c r="I3" s="34">
        <v>10254233</v>
      </c>
      <c r="J3" s="34">
        <v>10343422</v>
      </c>
      <c r="K3" s="34">
        <v>10425783</v>
      </c>
      <c r="L3" s="34">
        <v>10462088</v>
      </c>
      <c r="M3" s="34">
        <v>10486731</v>
      </c>
      <c r="N3" s="34">
        <v>10505445</v>
      </c>
      <c r="O3" s="34">
        <v>10516125</v>
      </c>
      <c r="P3" s="34">
        <v>10512419</v>
      </c>
      <c r="Q3" s="34">
        <v>10538275</v>
      </c>
      <c r="R3" s="34">
        <v>10553843</v>
      </c>
      <c r="S3" s="34">
        <v>10578820</v>
      </c>
      <c r="T3" s="34">
        <v>10610055</v>
      </c>
      <c r="U3" s="34">
        <v>10649800</v>
      </c>
      <c r="V3" s="34">
        <v>10693939</v>
      </c>
      <c r="W3" s="34">
        <v>10494836</v>
      </c>
      <c r="DA3" s="88" t="s">
        <v>187</v>
      </c>
    </row>
    <row r="4" spans="1:105" ht="12" customHeight="1" x14ac:dyDescent="0.25">
      <c r="A4" s="35" t="s">
        <v>178</v>
      </c>
      <c r="B4" s="36">
        <v>113859.4941654069</v>
      </c>
      <c r="C4" s="36">
        <v>117323.29102546221</v>
      </c>
      <c r="D4" s="36">
        <v>119165.98461286625</v>
      </c>
      <c r="E4" s="36">
        <v>123436.49931779579</v>
      </c>
      <c r="F4" s="36">
        <v>129378.79376649827</v>
      </c>
      <c r="G4" s="36">
        <v>137919.36492061507</v>
      </c>
      <c r="H4" s="36">
        <v>147253.87988605606</v>
      </c>
      <c r="I4" s="36">
        <v>155455.51131788496</v>
      </c>
      <c r="J4" s="36">
        <v>159631.71269847522</v>
      </c>
      <c r="K4" s="36">
        <v>152196.67294093707</v>
      </c>
      <c r="L4" s="36">
        <v>155903.40987620194</v>
      </c>
      <c r="M4" s="36">
        <v>158646.90969154536</v>
      </c>
      <c r="N4" s="36">
        <v>157402.65649505297</v>
      </c>
      <c r="O4" s="36">
        <v>157329.68279808594</v>
      </c>
      <c r="P4" s="36">
        <v>160889.46204112421</v>
      </c>
      <c r="Q4" s="36">
        <v>169558.2</v>
      </c>
      <c r="R4" s="36">
        <v>173860.45189990004</v>
      </c>
      <c r="S4" s="36">
        <v>182847.54925969182</v>
      </c>
      <c r="T4" s="36">
        <v>188733.87486357376</v>
      </c>
      <c r="U4" s="36">
        <v>194452.48868778281</v>
      </c>
      <c r="V4" s="36">
        <v>183751.74551275501</v>
      </c>
      <c r="W4" s="36">
        <v>190281.44941657549</v>
      </c>
      <c r="DA4" s="89" t="s">
        <v>188</v>
      </c>
    </row>
    <row r="5" spans="1:105" ht="12" customHeight="1" x14ac:dyDescent="0.25">
      <c r="A5" s="35" t="s">
        <v>147</v>
      </c>
      <c r="B5" s="36">
        <v>60526.280816001068</v>
      </c>
      <c r="C5" s="36">
        <v>62037.92258103568</v>
      </c>
      <c r="D5" s="36">
        <v>64829.474134017044</v>
      </c>
      <c r="E5" s="36">
        <v>68052.340552408321</v>
      </c>
      <c r="F5" s="36">
        <v>69387.886852610638</v>
      </c>
      <c r="G5" s="36">
        <v>74164.057685196603</v>
      </c>
      <c r="H5" s="36">
        <v>78955.745613012972</v>
      </c>
      <c r="I5" s="36">
        <v>83276.467083048265</v>
      </c>
      <c r="J5" s="36">
        <v>87456.945477318091</v>
      </c>
      <c r="K5" s="36">
        <v>83951.711152951597</v>
      </c>
      <c r="L5" s="36">
        <v>86532.36816516555</v>
      </c>
      <c r="M5" s="36">
        <v>86482.825304434402</v>
      </c>
      <c r="N5" s="36">
        <v>86246.803564509886</v>
      </c>
      <c r="O5" s="36">
        <v>86296.237576670392</v>
      </c>
      <c r="P5" s="36">
        <v>87279.323223870844</v>
      </c>
      <c r="Q5" s="36">
        <v>91658.700000000012</v>
      </c>
      <c r="R5" s="36">
        <v>94742.255910414679</v>
      </c>
      <c r="S5" s="36">
        <v>100945.46895939902</v>
      </c>
      <c r="T5" s="36">
        <v>106573.95384656715</v>
      </c>
      <c r="U5" s="36">
        <v>110563.236091157</v>
      </c>
      <c r="V5" s="36">
        <v>106545.73598822554</v>
      </c>
      <c r="W5" s="36">
        <v>111105.36132386205</v>
      </c>
      <c r="DA5" s="89" t="s">
        <v>189</v>
      </c>
    </row>
    <row r="6" spans="1:105" ht="12" customHeight="1" x14ac:dyDescent="0.25">
      <c r="A6" s="37" t="s">
        <v>70</v>
      </c>
      <c r="B6" s="38">
        <v>2835020</v>
      </c>
      <c r="C6" s="38">
        <v>2833480</v>
      </c>
      <c r="D6" s="38">
        <v>2887910.0000000005</v>
      </c>
      <c r="E6" s="38">
        <v>2902259.9999999995</v>
      </c>
      <c r="F6" s="38">
        <v>2879620</v>
      </c>
      <c r="G6" s="38">
        <v>2927050</v>
      </c>
      <c r="H6" s="38">
        <v>2991969.9999999995</v>
      </c>
      <c r="I6" s="38">
        <v>3073040</v>
      </c>
      <c r="J6" s="38">
        <v>3162260</v>
      </c>
      <c r="K6" s="38">
        <v>3158950.0000000005</v>
      </c>
      <c r="L6" s="38">
        <v>3157939.9999999995</v>
      </c>
      <c r="M6" s="38">
        <v>3119430</v>
      </c>
      <c r="N6" s="38">
        <v>3136109.9999999995</v>
      </c>
      <c r="O6" s="38">
        <v>3154220</v>
      </c>
      <c r="P6" s="38">
        <v>3185430.0000000005</v>
      </c>
      <c r="Q6" s="38">
        <v>3220200.0000000005</v>
      </c>
      <c r="R6" s="38">
        <v>3277520.0000000005</v>
      </c>
      <c r="S6" s="38">
        <v>3337700.0000000005</v>
      </c>
      <c r="T6" s="38">
        <v>3389660.0000000005</v>
      </c>
      <c r="U6" s="38">
        <v>3410590</v>
      </c>
      <c r="V6" s="38">
        <v>3375630</v>
      </c>
      <c r="W6" s="38">
        <v>3396280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217434.94027704</v>
      </c>
      <c r="C8" s="34">
        <v>220642.61544830987</v>
      </c>
      <c r="D8" s="34">
        <v>223540.00443049206</v>
      </c>
      <c r="E8" s="34">
        <v>227801.7674481154</v>
      </c>
      <c r="F8" s="34">
        <v>232827.59532421862</v>
      </c>
      <c r="G8" s="34">
        <v>241488.22750736479</v>
      </c>
      <c r="H8" s="34">
        <v>250880.18491481128</v>
      </c>
      <c r="I8" s="34">
        <v>259301.36906683104</v>
      </c>
      <c r="J8" s="34">
        <v>264898.08835365169</v>
      </c>
      <c r="K8" s="34">
        <v>259662.00448703297</v>
      </c>
      <c r="L8" s="34">
        <v>263149.36680165021</v>
      </c>
      <c r="M8" s="34">
        <v>267137.31340090395</v>
      </c>
      <c r="N8" s="34">
        <v>268934.89992686524</v>
      </c>
      <c r="O8" s="34">
        <v>270512.1513920413</v>
      </c>
      <c r="P8" s="34">
        <v>274240.9759428188</v>
      </c>
      <c r="Q8" s="34">
        <v>280488.70712316397</v>
      </c>
      <c r="R8" s="34">
        <v>284355.044003346</v>
      </c>
      <c r="S8" s="34">
        <v>289739.6549351071</v>
      </c>
      <c r="T8" s="34">
        <v>294524.51644592761</v>
      </c>
      <c r="U8" s="34">
        <v>299125.22116117988</v>
      </c>
      <c r="V8" s="34">
        <v>303333.33444444445</v>
      </c>
      <c r="W8" s="34">
        <v>307218.74258190789</v>
      </c>
      <c r="DA8" s="88" t="s">
        <v>191</v>
      </c>
    </row>
    <row r="9" spans="1:105" ht="12" customHeight="1" x14ac:dyDescent="0.25">
      <c r="A9" s="39" t="s">
        <v>68</v>
      </c>
      <c r="B9" s="40">
        <v>195691.446249336</v>
      </c>
      <c r="C9" s="40">
        <v>198578.35390347888</v>
      </c>
      <c r="D9" s="40">
        <v>201186.00398744285</v>
      </c>
      <c r="E9" s="40">
        <v>205021.59070330384</v>
      </c>
      <c r="F9" s="40">
        <v>209544.83579179677</v>
      </c>
      <c r="G9" s="40">
        <v>217339.40475662833</v>
      </c>
      <c r="H9" s="40">
        <v>225792.16642333014</v>
      </c>
      <c r="I9" s="40">
        <v>233371.23216014795</v>
      </c>
      <c r="J9" s="40">
        <v>238408.27951828655</v>
      </c>
      <c r="K9" s="40">
        <v>233695.80403832966</v>
      </c>
      <c r="L9" s="40">
        <v>236834.43012148517</v>
      </c>
      <c r="M9" s="40">
        <v>240423.58206081355</v>
      </c>
      <c r="N9" s="40">
        <v>242041.40993417872</v>
      </c>
      <c r="O9" s="40">
        <v>243460.93625283716</v>
      </c>
      <c r="P9" s="40">
        <v>246816.87834853691</v>
      </c>
      <c r="Q9" s="40">
        <v>252439.83641084758</v>
      </c>
      <c r="R9" s="40">
        <v>255919.53960301142</v>
      </c>
      <c r="S9" s="40">
        <v>260765.68944159639</v>
      </c>
      <c r="T9" s="40">
        <v>265072.06480133481</v>
      </c>
      <c r="U9" s="40">
        <v>269212.69904506189</v>
      </c>
      <c r="V9" s="40">
        <v>273000.00099999999</v>
      </c>
      <c r="W9" s="40">
        <v>276496.86832371715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4077.0587469568768</v>
      </c>
      <c r="D10" s="41">
        <v>3779.7187050443385</v>
      </c>
      <c r="E10" s="41">
        <v>5156.0430301856159</v>
      </c>
      <c r="F10" s="41">
        <v>5937.0374657408602</v>
      </c>
      <c r="G10" s="41">
        <v>9591.7589222840161</v>
      </c>
      <c r="H10" s="41">
        <v>10357.939158209734</v>
      </c>
      <c r="I10" s="41">
        <v>9425.0084868336489</v>
      </c>
      <c r="J10" s="41">
        <v>6634.4027757849854</v>
      </c>
      <c r="K10" s="41">
        <v>1059.5923534146066</v>
      </c>
      <c r="L10" s="41">
        <v>4526.0416610564789</v>
      </c>
      <c r="M10" s="41">
        <v>5040.5679503433039</v>
      </c>
      <c r="N10" s="41">
        <v>2866.1415966510017</v>
      </c>
      <c r="O10" s="41">
        <v>2652.777538190865</v>
      </c>
      <c r="P10" s="41">
        <v>4811.3216261174684</v>
      </c>
      <c r="Q10" s="41">
        <v>7345.1661178103022</v>
      </c>
      <c r="R10" s="41">
        <v>5327.2155631152673</v>
      </c>
      <c r="S10" s="41">
        <v>6865.6267859451318</v>
      </c>
      <c r="T10" s="41">
        <v>6293.9222136074441</v>
      </c>
      <c r="U10" s="41">
        <v>6134.6865717415794</v>
      </c>
      <c r="V10" s="41">
        <v>5766.0571434790436</v>
      </c>
      <c r="W10" s="41">
        <v>5465.2692543616386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3669.3528722611891</v>
      </c>
      <c r="D11" s="42">
        <v>3401.7468345399047</v>
      </c>
      <c r="E11" s="42">
        <v>4640.4387271670548</v>
      </c>
      <c r="F11" s="42">
        <v>5343.3337191667742</v>
      </c>
      <c r="G11" s="42">
        <v>8632.5830300556154</v>
      </c>
      <c r="H11" s="42">
        <v>9322.1452423887604</v>
      </c>
      <c r="I11" s="42">
        <v>8482.507638150284</v>
      </c>
      <c r="J11" s="42">
        <v>5970.9624982064879</v>
      </c>
      <c r="K11" s="42">
        <v>953.63311807314585</v>
      </c>
      <c r="L11" s="42">
        <v>4073.4374949508306</v>
      </c>
      <c r="M11" s="42">
        <v>4536.5111553089737</v>
      </c>
      <c r="N11" s="42">
        <v>2579.5274369859021</v>
      </c>
      <c r="O11" s="42">
        <v>2387.4997843717788</v>
      </c>
      <c r="P11" s="42">
        <v>4330.1894635057215</v>
      </c>
      <c r="Q11" s="42">
        <v>6610.6495060292718</v>
      </c>
      <c r="R11" s="42">
        <v>4794.4940068037413</v>
      </c>
      <c r="S11" s="42">
        <v>6179.0641073506176</v>
      </c>
      <c r="T11" s="42">
        <v>5664.5299922466993</v>
      </c>
      <c r="U11" s="42">
        <v>5521.2179145674218</v>
      </c>
      <c r="V11" s="42">
        <v>5189.4514291311389</v>
      </c>
      <c r="W11" s="42">
        <v>4918.7423289254757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3097.45</v>
      </c>
      <c r="C13" s="43">
        <v>3560.09</v>
      </c>
      <c r="D13" s="43">
        <v>3273.97</v>
      </c>
      <c r="E13" s="43">
        <v>3460.67</v>
      </c>
      <c r="F13" s="43">
        <v>3470.78</v>
      </c>
      <c r="G13" s="43">
        <v>3550</v>
      </c>
      <c r="H13" s="43">
        <v>3430.32</v>
      </c>
      <c r="I13" s="43">
        <v>3180.25</v>
      </c>
      <c r="J13" s="43">
        <v>3210.66</v>
      </c>
      <c r="K13" s="43">
        <v>3333.48</v>
      </c>
      <c r="L13" s="43">
        <v>3828.88</v>
      </c>
      <c r="M13" s="43">
        <v>3234.6</v>
      </c>
      <c r="N13" s="43">
        <v>3399.61</v>
      </c>
      <c r="O13" s="43">
        <v>3514.82</v>
      </c>
      <c r="P13" s="43">
        <v>2919.87</v>
      </c>
      <c r="Q13" s="43">
        <v>3090.62</v>
      </c>
      <c r="R13" s="43">
        <v>3247.67</v>
      </c>
      <c r="S13" s="43">
        <v>3311.5</v>
      </c>
      <c r="T13" s="43">
        <v>2995.64</v>
      </c>
      <c r="U13" s="43">
        <v>2998.07</v>
      </c>
      <c r="V13" s="43">
        <v>3078.64</v>
      </c>
      <c r="W13" s="43">
        <v>3452.39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3294.6471428571426</v>
      </c>
      <c r="C14" s="44">
        <f t="shared" ref="C14:W14" si="0">AVERAGE($B$13:$V$13)</f>
        <v>3294.6471428571426</v>
      </c>
      <c r="D14" s="44">
        <f t="shared" si="0"/>
        <v>3294.6471428571426</v>
      </c>
      <c r="E14" s="44">
        <f t="shared" si="0"/>
        <v>3294.6471428571426</v>
      </c>
      <c r="F14" s="44">
        <f t="shared" si="0"/>
        <v>3294.6471428571426</v>
      </c>
      <c r="G14" s="44">
        <f t="shared" si="0"/>
        <v>3294.6471428571426</v>
      </c>
      <c r="H14" s="44">
        <f t="shared" si="0"/>
        <v>3294.6471428571426</v>
      </c>
      <c r="I14" s="44">
        <f t="shared" si="0"/>
        <v>3294.6471428571426</v>
      </c>
      <c r="J14" s="44">
        <f t="shared" si="0"/>
        <v>3294.6471428571426</v>
      </c>
      <c r="K14" s="44">
        <f t="shared" si="0"/>
        <v>3294.6471428571426</v>
      </c>
      <c r="L14" s="44">
        <f t="shared" si="0"/>
        <v>3294.6471428571426</v>
      </c>
      <c r="M14" s="44">
        <f t="shared" si="0"/>
        <v>3294.6471428571426</v>
      </c>
      <c r="N14" s="44">
        <f t="shared" si="0"/>
        <v>3294.6471428571426</v>
      </c>
      <c r="O14" s="44">
        <f t="shared" si="0"/>
        <v>3294.6471428571426</v>
      </c>
      <c r="P14" s="44">
        <f t="shared" si="0"/>
        <v>3294.6471428571426</v>
      </c>
      <c r="Q14" s="44">
        <f t="shared" si="0"/>
        <v>3294.6471428571426</v>
      </c>
      <c r="R14" s="44">
        <f t="shared" si="0"/>
        <v>3294.6471428571426</v>
      </c>
      <c r="S14" s="44">
        <f t="shared" si="0"/>
        <v>3294.6471428571426</v>
      </c>
      <c r="T14" s="44">
        <f t="shared" si="0"/>
        <v>3294.6471428571426</v>
      </c>
      <c r="U14" s="44">
        <f t="shared" si="0"/>
        <v>3294.6471428571426</v>
      </c>
      <c r="V14" s="44">
        <f t="shared" si="0"/>
        <v>3294.6471428571426</v>
      </c>
      <c r="W14" s="44">
        <f t="shared" si="0"/>
        <v>3294.6471428571426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0.94014620251984493</v>
      </c>
      <c r="C15" s="46">
        <f t="shared" ref="C15:W15" si="1">C13/C14</f>
        <v>1.0805679168764226</v>
      </c>
      <c r="D15" s="46">
        <f t="shared" si="1"/>
        <v>0.9937240190039861</v>
      </c>
      <c r="E15" s="46">
        <f t="shared" si="1"/>
        <v>1.0503916959674418</v>
      </c>
      <c r="F15" s="46">
        <f t="shared" si="1"/>
        <v>1.0534603098619277</v>
      </c>
      <c r="G15" s="46">
        <f t="shared" si="1"/>
        <v>1.0775053734347446</v>
      </c>
      <c r="H15" s="46">
        <f t="shared" si="1"/>
        <v>1.0411797838311756</v>
      </c>
      <c r="I15" s="46">
        <f t="shared" si="1"/>
        <v>0.96527787714530888</v>
      </c>
      <c r="J15" s="46">
        <f t="shared" si="1"/>
        <v>0.97450800063999921</v>
      </c>
      <c r="K15" s="46">
        <f t="shared" si="1"/>
        <v>1.0117866513344373</v>
      </c>
      <c r="L15" s="46">
        <f t="shared" si="1"/>
        <v>1.162151767390655</v>
      </c>
      <c r="M15" s="46">
        <f t="shared" si="1"/>
        <v>0.98177433265127467</v>
      </c>
      <c r="N15" s="46">
        <f t="shared" si="1"/>
        <v>1.031858603544364</v>
      </c>
      <c r="O15" s="46">
        <f t="shared" si="1"/>
        <v>1.0668274469453265</v>
      </c>
      <c r="P15" s="46">
        <f t="shared" si="1"/>
        <v>0.88624665203687547</v>
      </c>
      <c r="Q15" s="46">
        <f t="shared" si="1"/>
        <v>0.93807314288588461</v>
      </c>
      <c r="R15" s="46">
        <f t="shared" si="1"/>
        <v>0.98574137356135694</v>
      </c>
      <c r="S15" s="46">
        <f t="shared" si="1"/>
        <v>1.005115223698354</v>
      </c>
      <c r="T15" s="46">
        <f t="shared" si="1"/>
        <v>0.90924456250029817</v>
      </c>
      <c r="U15" s="46">
        <f t="shared" si="1"/>
        <v>0.90998212251648036</v>
      </c>
      <c r="V15" s="46">
        <f t="shared" si="1"/>
        <v>0.93443694165384283</v>
      </c>
      <c r="W15" s="46">
        <f t="shared" si="1"/>
        <v>1.0478785285048953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11077.875903246582</v>
      </c>
      <c r="C19" s="34">
        <f t="shared" si="2"/>
        <v>11466.280437440422</v>
      </c>
      <c r="D19" s="34">
        <f t="shared" ref="D19:W19" si="3">D4*1000000/D3</f>
        <v>11681.585978258818</v>
      </c>
      <c r="E19" s="34">
        <f t="shared" si="3"/>
        <v>12110.345339842055</v>
      </c>
      <c r="F19" s="34">
        <f t="shared" si="3"/>
        <v>12689.984339571598</v>
      </c>
      <c r="G19" s="34">
        <f t="shared" si="3"/>
        <v>13523.024390543358</v>
      </c>
      <c r="H19" s="34">
        <f t="shared" si="3"/>
        <v>14403.361943286196</v>
      </c>
      <c r="I19" s="34">
        <f t="shared" si="3"/>
        <v>15160.130583914462</v>
      </c>
      <c r="J19" s="34">
        <f t="shared" si="3"/>
        <v>15433.162516087541</v>
      </c>
      <c r="K19" s="34">
        <f t="shared" si="3"/>
        <v>14598.104808141228</v>
      </c>
      <c r="L19" s="34">
        <f t="shared" si="3"/>
        <v>14901.749046289988</v>
      </c>
      <c r="M19" s="34">
        <f t="shared" si="3"/>
        <v>15128.347403165519</v>
      </c>
      <c r="N19" s="34">
        <f t="shared" si="3"/>
        <v>14982.959455316075</v>
      </c>
      <c r="O19" s="34">
        <f t="shared" si="3"/>
        <v>14960.803793991221</v>
      </c>
      <c r="P19" s="34">
        <f t="shared" si="3"/>
        <v>15304.704087719887</v>
      </c>
      <c r="Q19" s="34">
        <f t="shared" si="3"/>
        <v>16089.749033878885</v>
      </c>
      <c r="R19" s="34">
        <f t="shared" si="3"/>
        <v>16473.662901741107</v>
      </c>
      <c r="S19" s="34">
        <f t="shared" si="3"/>
        <v>17284.304795779855</v>
      </c>
      <c r="T19" s="34">
        <f t="shared" si="3"/>
        <v>17788.208907830711</v>
      </c>
      <c r="U19" s="34">
        <f t="shared" si="3"/>
        <v>18258.792530167968</v>
      </c>
      <c r="V19" s="34">
        <f t="shared" si="3"/>
        <v>17182.793497583538</v>
      </c>
      <c r="W19" s="34">
        <f t="shared" si="3"/>
        <v>18130.959780274366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21349.507522345899</v>
      </c>
      <c r="C20" s="36">
        <f t="shared" si="4"/>
        <v>21894.604013804819</v>
      </c>
      <c r="D20" s="36">
        <f t="shared" ref="D20:W20" si="5">D5*1000000/D6</f>
        <v>22448.578430081627</v>
      </c>
      <c r="E20" s="36">
        <f t="shared" si="5"/>
        <v>23448.051019690974</v>
      </c>
      <c r="F20" s="36">
        <f t="shared" si="5"/>
        <v>24096.195627412868</v>
      </c>
      <c r="G20" s="36">
        <f t="shared" si="5"/>
        <v>25337.475507830961</v>
      </c>
      <c r="H20" s="36">
        <f t="shared" si="5"/>
        <v>26389.217008530493</v>
      </c>
      <c r="I20" s="36">
        <f t="shared" si="5"/>
        <v>27099.050804105467</v>
      </c>
      <c r="J20" s="36">
        <f t="shared" si="5"/>
        <v>27656.468942249558</v>
      </c>
      <c r="K20" s="36">
        <f t="shared" si="5"/>
        <v>26575.827775986192</v>
      </c>
      <c r="L20" s="36">
        <f t="shared" si="5"/>
        <v>27401.523830460857</v>
      </c>
      <c r="M20" s="36">
        <f t="shared" si="5"/>
        <v>27723.919211020733</v>
      </c>
      <c r="N20" s="36">
        <f t="shared" si="5"/>
        <v>27501.204857135082</v>
      </c>
      <c r="O20" s="36">
        <f t="shared" si="5"/>
        <v>27358.978630745602</v>
      </c>
      <c r="P20" s="36">
        <f t="shared" si="5"/>
        <v>27399.542047343948</v>
      </c>
      <c r="Q20" s="36">
        <f t="shared" si="5"/>
        <v>28463.666852990496</v>
      </c>
      <c r="R20" s="36">
        <f t="shared" si="5"/>
        <v>28906.690397134011</v>
      </c>
      <c r="S20" s="36">
        <f t="shared" si="5"/>
        <v>30244.021020283129</v>
      </c>
      <c r="T20" s="36">
        <f t="shared" si="5"/>
        <v>31440.897861899761</v>
      </c>
      <c r="U20" s="36">
        <f t="shared" si="5"/>
        <v>32417.627475350891</v>
      </c>
      <c r="V20" s="36">
        <f t="shared" si="5"/>
        <v>31563.215159311163</v>
      </c>
      <c r="W20" s="36">
        <f t="shared" si="5"/>
        <v>32713.84023810229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5888.8600610736603</v>
      </c>
      <c r="C21" s="36">
        <f t="shared" si="6"/>
        <v>6063.1116963467439</v>
      </c>
      <c r="D21" s="36">
        <f t="shared" ref="D21:W21" si="7">D5*1000000/D3</f>
        <v>6355.0943541657271</v>
      </c>
      <c r="E21" s="36">
        <f t="shared" si="7"/>
        <v>6676.6098344413031</v>
      </c>
      <c r="F21" s="36">
        <f t="shared" si="7"/>
        <v>6805.8386686211506</v>
      </c>
      <c r="G21" s="36">
        <f t="shared" si="7"/>
        <v>7271.8023430273897</v>
      </c>
      <c r="H21" s="36">
        <f t="shared" si="7"/>
        <v>7722.9080988985525</v>
      </c>
      <c r="I21" s="36">
        <f t="shared" si="7"/>
        <v>8121.1795248896979</v>
      </c>
      <c r="J21" s="36">
        <f t="shared" si="7"/>
        <v>8455.3202486873379</v>
      </c>
      <c r="K21" s="36">
        <f t="shared" si="7"/>
        <v>8052.3171403962269</v>
      </c>
      <c r="L21" s="36">
        <f t="shared" si="7"/>
        <v>8271.0418957635939</v>
      </c>
      <c r="M21" s="36">
        <f t="shared" si="7"/>
        <v>8246.8812544571228</v>
      </c>
      <c r="N21" s="36">
        <f t="shared" si="7"/>
        <v>8209.7239635741171</v>
      </c>
      <c r="O21" s="36">
        <f t="shared" si="7"/>
        <v>8206.087087845608</v>
      </c>
      <c r="P21" s="36">
        <f t="shared" si="7"/>
        <v>8302.4966207940197</v>
      </c>
      <c r="Q21" s="36">
        <f t="shared" si="7"/>
        <v>8697.6948314596102</v>
      </c>
      <c r="R21" s="36">
        <f t="shared" si="7"/>
        <v>8977.0385925216688</v>
      </c>
      <c r="S21" s="36">
        <f t="shared" si="7"/>
        <v>9542.2238925890615</v>
      </c>
      <c r="T21" s="36">
        <f t="shared" si="7"/>
        <v>10044.61841588636</v>
      </c>
      <c r="U21" s="36">
        <f t="shared" si="7"/>
        <v>10381.719477469718</v>
      </c>
      <c r="V21" s="36">
        <f t="shared" si="7"/>
        <v>9963.1890539328433</v>
      </c>
      <c r="W21" s="36">
        <f t="shared" si="7"/>
        <v>10586.669608163676</v>
      </c>
      <c r="DA21" s="89"/>
    </row>
    <row r="22" spans="1:105" ht="12" customHeight="1" x14ac:dyDescent="0.25">
      <c r="A22" s="51" t="s">
        <v>152</v>
      </c>
      <c r="B22" s="52">
        <v>0.40476858790561399</v>
      </c>
      <c r="C22" s="52">
        <v>0.40615660662162556</v>
      </c>
      <c r="D22" s="52">
        <v>0.41760616646964394</v>
      </c>
      <c r="E22" s="52">
        <v>0.43386497210843766</v>
      </c>
      <c r="F22" s="52">
        <v>0.43213850183660163</v>
      </c>
      <c r="G22" s="52">
        <v>0.45256828435549623</v>
      </c>
      <c r="H22" s="52">
        <v>0.46706396631234925</v>
      </c>
      <c r="I22" s="52">
        <v>0.47664645936588634</v>
      </c>
      <c r="J22" s="52">
        <v>0.4898166084384612</v>
      </c>
      <c r="K22" s="52">
        <v>0.47718511706708622</v>
      </c>
      <c r="L22" s="52">
        <v>0.48361411709622726</v>
      </c>
      <c r="M22" s="52">
        <v>0.47321874764827376</v>
      </c>
      <c r="N22" s="52">
        <v>0.47252117036711028</v>
      </c>
      <c r="O22" s="52">
        <v>0.47052209759838104</v>
      </c>
      <c r="P22" s="52">
        <v>0.46989470401196048</v>
      </c>
      <c r="Q22" s="52">
        <v>0.48519561575846321</v>
      </c>
      <c r="R22" s="52">
        <v>0.49277822661073861</v>
      </c>
      <c r="S22" s="52">
        <v>0.51034645891661057</v>
      </c>
      <c r="T22" s="52">
        <v>0.52610423024575059</v>
      </c>
      <c r="U22" s="52">
        <v>0.53358098148985367</v>
      </c>
      <c r="V22" s="52">
        <v>0.54247643024907843</v>
      </c>
      <c r="W22" s="52">
        <v>0.54709255268164381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13.038474848558474</v>
      </c>
      <c r="C23" s="53">
        <f t="shared" si="8"/>
        <v>12.841943494201381</v>
      </c>
      <c r="D23" s="53">
        <f t="shared" ref="D23:W23" si="9">D6/D8</f>
        <v>12.918985160430076</v>
      </c>
      <c r="E23" s="53">
        <f t="shared" si="9"/>
        <v>12.740287454797841</v>
      </c>
      <c r="F23" s="53">
        <f t="shared" si="9"/>
        <v>12.368035653119437</v>
      </c>
      <c r="G23" s="53">
        <f t="shared" si="9"/>
        <v>12.120880716269005</v>
      </c>
      <c r="H23" s="53">
        <f t="shared" si="9"/>
        <v>11.925892038926673</v>
      </c>
      <c r="I23" s="53">
        <f t="shared" si="9"/>
        <v>11.851229367045763</v>
      </c>
      <c r="J23" s="53">
        <f t="shared" si="9"/>
        <v>11.937647491733616</v>
      </c>
      <c r="K23" s="53">
        <f t="shared" si="9"/>
        <v>12.165622791985157</v>
      </c>
      <c r="L23" s="53">
        <f t="shared" si="9"/>
        <v>12.000560892021102</v>
      </c>
      <c r="M23" s="53">
        <f t="shared" si="9"/>
        <v>11.677253021252568</v>
      </c>
      <c r="N23" s="53">
        <f t="shared" si="9"/>
        <v>11.661223592969304</v>
      </c>
      <c r="O23" s="53">
        <f t="shared" si="9"/>
        <v>11.660178604800375</v>
      </c>
      <c r="P23" s="53">
        <f t="shared" si="9"/>
        <v>11.615441452717793</v>
      </c>
      <c r="Q23" s="53">
        <f t="shared" si="9"/>
        <v>11.480676113587684</v>
      </c>
      <c r="R23" s="53">
        <f t="shared" si="9"/>
        <v>11.526153902026207</v>
      </c>
      <c r="S23" s="53">
        <f t="shared" si="9"/>
        <v>11.519652015695069</v>
      </c>
      <c r="T23" s="53">
        <f t="shared" si="9"/>
        <v>11.508923063191975</v>
      </c>
      <c r="U23" s="53">
        <f t="shared" si="9"/>
        <v>11.401880412358295</v>
      </c>
      <c r="V23" s="53">
        <f t="shared" si="9"/>
        <v>11.128450508686994</v>
      </c>
      <c r="W23" s="53">
        <f t="shared" si="9"/>
        <v>11.054924486238058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19.039655610341136</v>
      </c>
      <c r="C24" s="54">
        <f t="shared" si="10"/>
        <v>19.40752833270269</v>
      </c>
      <c r="D24" s="54">
        <f t="shared" ref="D24:W24" si="11">D9*1000/D3</f>
        <v>19.721832625615626</v>
      </c>
      <c r="E24" s="54">
        <f t="shared" si="11"/>
        <v>20.114652305137149</v>
      </c>
      <c r="F24" s="54">
        <f t="shared" si="11"/>
        <v>20.552987141271089</v>
      </c>
      <c r="G24" s="54">
        <f t="shared" si="11"/>
        <v>21.310176951886103</v>
      </c>
      <c r="H24" s="54">
        <f t="shared" si="11"/>
        <v>22.085437066041575</v>
      </c>
      <c r="I24" s="54">
        <f t="shared" si="11"/>
        <v>22.75852637248909</v>
      </c>
      <c r="J24" s="54">
        <f t="shared" si="11"/>
        <v>23.049265467297626</v>
      </c>
      <c r="K24" s="54">
        <f t="shared" si="11"/>
        <v>22.415180139307491</v>
      </c>
      <c r="L24" s="54">
        <f t="shared" si="11"/>
        <v>22.637396103099608</v>
      </c>
      <c r="M24" s="54">
        <f t="shared" si="11"/>
        <v>22.926456496387058</v>
      </c>
      <c r="N24" s="54">
        <f t="shared" si="11"/>
        <v>23.039615164724456</v>
      </c>
      <c r="O24" s="54">
        <f t="shared" si="11"/>
        <v>23.151202201651003</v>
      </c>
      <c r="P24" s="54">
        <f t="shared" si="11"/>
        <v>23.478599773138505</v>
      </c>
      <c r="Q24" s="54">
        <f t="shared" si="11"/>
        <v>23.954569074241046</v>
      </c>
      <c r="R24" s="54">
        <f t="shared" si="11"/>
        <v>24.248943214619683</v>
      </c>
      <c r="S24" s="54">
        <f t="shared" si="11"/>
        <v>24.64978981035658</v>
      </c>
      <c r="T24" s="54">
        <f t="shared" si="11"/>
        <v>24.98309997463112</v>
      </c>
      <c r="U24" s="54">
        <f t="shared" si="11"/>
        <v>25.278662420426851</v>
      </c>
      <c r="V24" s="54">
        <f t="shared" si="11"/>
        <v>25.528479356390569</v>
      </c>
      <c r="W24" s="54">
        <f t="shared" si="11"/>
        <v>26.345992288370887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69.026478208032401</v>
      </c>
      <c r="C25" s="54">
        <f t="shared" si="12"/>
        <v>70.082850030167464</v>
      </c>
      <c r="D25" s="54">
        <f t="shared" ref="D25:W25" si="13">D9*1000/D6</f>
        <v>69.664914761001143</v>
      </c>
      <c r="E25" s="54">
        <f t="shared" si="13"/>
        <v>70.642048163604869</v>
      </c>
      <c r="F25" s="54">
        <f t="shared" si="13"/>
        <v>72.768224901826201</v>
      </c>
      <c r="G25" s="54">
        <f t="shared" si="13"/>
        <v>74.252030117909953</v>
      </c>
      <c r="H25" s="54">
        <f t="shared" si="13"/>
        <v>75.46605294282034</v>
      </c>
      <c r="I25" s="54">
        <f t="shared" si="13"/>
        <v>75.941488610674753</v>
      </c>
      <c r="J25" s="54">
        <f t="shared" si="13"/>
        <v>75.391738667372877</v>
      </c>
      <c r="K25" s="54">
        <f t="shared" si="13"/>
        <v>73.978949979686163</v>
      </c>
      <c r="L25" s="54">
        <f t="shared" si="13"/>
        <v>74.99649458871454</v>
      </c>
      <c r="M25" s="54">
        <f t="shared" si="13"/>
        <v>77.072921033911172</v>
      </c>
      <c r="N25" s="54">
        <f t="shared" si="13"/>
        <v>77.178864878521082</v>
      </c>
      <c r="O25" s="54">
        <f t="shared" si="13"/>
        <v>77.185781667999422</v>
      </c>
      <c r="P25" s="54">
        <f t="shared" si="13"/>
        <v>77.483064562252778</v>
      </c>
      <c r="Q25" s="54">
        <f t="shared" si="13"/>
        <v>78.392595618547773</v>
      </c>
      <c r="R25" s="54">
        <f t="shared" si="13"/>
        <v>78.08328846292666</v>
      </c>
      <c r="S25" s="54">
        <f t="shared" si="13"/>
        <v>78.127359990890838</v>
      </c>
      <c r="T25" s="54">
        <f t="shared" si="13"/>
        <v>78.200192586080831</v>
      </c>
      <c r="U25" s="54">
        <f t="shared" si="13"/>
        <v>78.934348322449168</v>
      </c>
      <c r="V25" s="54">
        <f t="shared" si="13"/>
        <v>80.873792743872997</v>
      </c>
      <c r="W25" s="54">
        <f t="shared" si="13"/>
        <v>81.411682288773946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899.99999999999989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899.99999999999989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900</v>
      </c>
      <c r="T26" s="55">
        <f t="shared" si="15"/>
        <v>899.99999999999977</v>
      </c>
      <c r="U26" s="55">
        <f t="shared" si="15"/>
        <v>900</v>
      </c>
      <c r="V26" s="55">
        <f t="shared" si="15"/>
        <v>900</v>
      </c>
      <c r="W26" s="55">
        <f t="shared" si="15"/>
        <v>900.00000000000023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900.00000000000023</v>
      </c>
      <c r="O27" s="57">
        <f t="shared" si="17"/>
        <v>900.00000000000011</v>
      </c>
      <c r="P27" s="57">
        <f t="shared" si="17"/>
        <v>900</v>
      </c>
      <c r="Q27" s="57">
        <f t="shared" si="17"/>
        <v>899.99999999999989</v>
      </c>
      <c r="R27" s="57">
        <f t="shared" si="17"/>
        <v>900.00000000000023</v>
      </c>
      <c r="S27" s="57">
        <f t="shared" si="17"/>
        <v>899.99999999999989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3516.6070408628893</v>
      </c>
      <c r="C31" s="80">
        <f t="shared" ref="C31:W31" si="18">SUM(C32:C33,C36:C37,C44:C45)</f>
        <v>3482.2112262283431</v>
      </c>
      <c r="D31" s="80">
        <f t="shared" si="18"/>
        <v>3313.4058689712519</v>
      </c>
      <c r="E31" s="80">
        <f t="shared" si="18"/>
        <v>3674.3839694112803</v>
      </c>
      <c r="F31" s="80">
        <f t="shared" si="18"/>
        <v>3525.5923196807007</v>
      </c>
      <c r="G31" s="80">
        <f t="shared" si="18"/>
        <v>3216.0073999539472</v>
      </c>
      <c r="H31" s="80">
        <f t="shared" si="18"/>
        <v>3177.5101696798297</v>
      </c>
      <c r="I31" s="80">
        <f t="shared" si="18"/>
        <v>3052.3980738862388</v>
      </c>
      <c r="J31" s="80">
        <f t="shared" si="18"/>
        <v>3260.3460880377252</v>
      </c>
      <c r="K31" s="80">
        <f t="shared" si="18"/>
        <v>3022.5139899233482</v>
      </c>
      <c r="L31" s="80">
        <f t="shared" si="18"/>
        <v>3300.39394764392</v>
      </c>
      <c r="M31" s="80">
        <f t="shared" si="18"/>
        <v>3188.3943580424457</v>
      </c>
      <c r="N31" s="80">
        <f t="shared" si="18"/>
        <v>3098.1215314702563</v>
      </c>
      <c r="O31" s="80">
        <f t="shared" si="18"/>
        <v>3058.0289951453046</v>
      </c>
      <c r="P31" s="80">
        <f t="shared" si="18"/>
        <v>2967.5642750235957</v>
      </c>
      <c r="Q31" s="80">
        <f t="shared" si="18"/>
        <v>3023.5719078231841</v>
      </c>
      <c r="R31" s="80">
        <f t="shared" si="18"/>
        <v>3108.4158344699458</v>
      </c>
      <c r="S31" s="80">
        <f t="shared" si="18"/>
        <v>3222.4121073961142</v>
      </c>
      <c r="T31" s="80">
        <f t="shared" si="18"/>
        <v>3135.9688233264005</v>
      </c>
      <c r="U31" s="80">
        <f t="shared" si="18"/>
        <v>3195.6479299581042</v>
      </c>
      <c r="V31" s="80">
        <f t="shared" si="18"/>
        <v>2995.3373260307053</v>
      </c>
      <c r="W31" s="80">
        <f t="shared" si="18"/>
        <v>2968.7919075859368</v>
      </c>
      <c r="DA31" s="103" t="s">
        <v>198</v>
      </c>
    </row>
    <row r="32" spans="1:105" ht="12" customHeight="1" x14ac:dyDescent="0.25">
      <c r="A32" s="58" t="s">
        <v>29</v>
      </c>
      <c r="B32" s="59">
        <v>504.21195184866724</v>
      </c>
      <c r="C32" s="59">
        <v>222.32398968185731</v>
      </c>
      <c r="D32" s="59">
        <v>226.59372312983663</v>
      </c>
      <c r="E32" s="59">
        <v>444.38392089423894</v>
      </c>
      <c r="F32" s="59">
        <v>486.2975924333619</v>
      </c>
      <c r="G32" s="59">
        <v>84.0340498710232</v>
      </c>
      <c r="H32" s="59">
        <v>170.50756663800513</v>
      </c>
      <c r="I32" s="59">
        <v>57.573516766981939</v>
      </c>
      <c r="J32" s="59">
        <v>83.566122098022348</v>
      </c>
      <c r="K32" s="59">
        <v>27.748839208942393</v>
      </c>
      <c r="L32" s="59">
        <v>40.114359415305238</v>
      </c>
      <c r="M32" s="59">
        <v>34.893637145313846</v>
      </c>
      <c r="N32" s="59">
        <v>32.933619948409287</v>
      </c>
      <c r="O32" s="59">
        <v>32.605674978503863</v>
      </c>
      <c r="P32" s="59">
        <v>28.881255374032669</v>
      </c>
      <c r="Q32" s="59">
        <v>25.621926053310403</v>
      </c>
      <c r="R32" s="59">
        <v>33.001031814273432</v>
      </c>
      <c r="S32" s="59">
        <v>32.13697334479793</v>
      </c>
      <c r="T32" s="59">
        <v>22.546603611349951</v>
      </c>
      <c r="U32" s="59">
        <v>27.247291487532245</v>
      </c>
      <c r="V32" s="59">
        <v>20.681083404987103</v>
      </c>
      <c r="W32" s="59">
        <v>23.812381771281171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6.1179707652622524</v>
      </c>
      <c r="C33" s="55">
        <f t="shared" ref="C33:W33" si="19">SUM(C34:C35)</f>
        <v>3.003697334479793</v>
      </c>
      <c r="D33" s="55">
        <f t="shared" si="19"/>
        <v>13.022355975924331</v>
      </c>
      <c r="E33" s="55">
        <f t="shared" si="19"/>
        <v>12.017454858125539</v>
      </c>
      <c r="F33" s="55">
        <f t="shared" si="19"/>
        <v>15.912295786758381</v>
      </c>
      <c r="G33" s="55">
        <f t="shared" si="19"/>
        <v>11.886500429922613</v>
      </c>
      <c r="H33" s="55">
        <f t="shared" si="19"/>
        <v>14.874892519346517</v>
      </c>
      <c r="I33" s="55">
        <f t="shared" si="19"/>
        <v>15.058297506448836</v>
      </c>
      <c r="J33" s="55">
        <f t="shared" si="19"/>
        <v>16.005588993981082</v>
      </c>
      <c r="K33" s="55">
        <f t="shared" si="19"/>
        <v>12.004385210662079</v>
      </c>
      <c r="L33" s="55">
        <f t="shared" si="19"/>
        <v>15.954600171969043</v>
      </c>
      <c r="M33" s="55">
        <f t="shared" si="19"/>
        <v>12.069217540842645</v>
      </c>
      <c r="N33" s="55">
        <f t="shared" si="19"/>
        <v>19.696904557179707</v>
      </c>
      <c r="O33" s="55">
        <f t="shared" si="19"/>
        <v>14.892261392949269</v>
      </c>
      <c r="P33" s="55">
        <f t="shared" si="19"/>
        <v>9.934737747205503</v>
      </c>
      <c r="Q33" s="55">
        <f t="shared" si="19"/>
        <v>20.799054170249349</v>
      </c>
      <c r="R33" s="55">
        <f t="shared" si="19"/>
        <v>19.859673258813409</v>
      </c>
      <c r="S33" s="55">
        <f t="shared" si="19"/>
        <v>19.774978503869299</v>
      </c>
      <c r="T33" s="55">
        <f t="shared" si="19"/>
        <v>13.085210662080822</v>
      </c>
      <c r="U33" s="55">
        <f t="shared" si="19"/>
        <v>12.229578675838349</v>
      </c>
      <c r="V33" s="55">
        <f t="shared" si="19"/>
        <v>13.968701633705933</v>
      </c>
      <c r="W33" s="55">
        <f t="shared" si="19"/>
        <v>17.963026655202064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6.1179707652622524</v>
      </c>
      <c r="C35" s="55">
        <v>3.003697334479793</v>
      </c>
      <c r="D35" s="55">
        <v>13.022355975924331</v>
      </c>
      <c r="E35" s="55">
        <v>12.017454858125539</v>
      </c>
      <c r="F35" s="55">
        <v>15.912295786758381</v>
      </c>
      <c r="G35" s="55">
        <v>11.886500429922613</v>
      </c>
      <c r="H35" s="55">
        <v>14.874892519346517</v>
      </c>
      <c r="I35" s="55">
        <v>15.058297506448836</v>
      </c>
      <c r="J35" s="55">
        <v>16.005588993981082</v>
      </c>
      <c r="K35" s="55">
        <v>12.004385210662079</v>
      </c>
      <c r="L35" s="55">
        <v>15.954600171969043</v>
      </c>
      <c r="M35" s="55">
        <v>12.069217540842645</v>
      </c>
      <c r="N35" s="55">
        <v>19.696904557179707</v>
      </c>
      <c r="O35" s="55">
        <v>14.892261392949269</v>
      </c>
      <c r="P35" s="55">
        <v>9.934737747205503</v>
      </c>
      <c r="Q35" s="55">
        <v>20.799054170249349</v>
      </c>
      <c r="R35" s="55">
        <v>19.859673258813409</v>
      </c>
      <c r="S35" s="55">
        <v>19.774978503869299</v>
      </c>
      <c r="T35" s="55">
        <v>13.085210662080822</v>
      </c>
      <c r="U35" s="55">
        <v>12.229578675838349</v>
      </c>
      <c r="V35" s="55">
        <v>13.968701633705933</v>
      </c>
      <c r="W35" s="55">
        <v>17.963026655202064</v>
      </c>
      <c r="DA35" s="101" t="s">
        <v>201</v>
      </c>
    </row>
    <row r="36" spans="1:105" ht="12" customHeight="1" x14ac:dyDescent="0.25">
      <c r="A36" s="60" t="s">
        <v>153</v>
      </c>
      <c r="B36" s="55">
        <v>1167.0464316423038</v>
      </c>
      <c r="C36" s="55">
        <v>1363.2201203783322</v>
      </c>
      <c r="D36" s="55">
        <v>1276.1607910576097</v>
      </c>
      <c r="E36" s="55">
        <v>1293.95958727429</v>
      </c>
      <c r="F36" s="55">
        <v>1274.376612209802</v>
      </c>
      <c r="G36" s="55">
        <v>1349.0756663800514</v>
      </c>
      <c r="H36" s="55">
        <v>1302.4075666380054</v>
      </c>
      <c r="I36" s="55">
        <v>1293.8521066208082</v>
      </c>
      <c r="J36" s="55">
        <v>1433.8349097162511</v>
      </c>
      <c r="K36" s="55">
        <v>1301.7196904557177</v>
      </c>
      <c r="L36" s="55">
        <v>1351.6337059329321</v>
      </c>
      <c r="M36" s="55">
        <v>1308.2545141874459</v>
      </c>
      <c r="N36" s="55">
        <v>1224.0756663800516</v>
      </c>
      <c r="O36" s="55">
        <v>1167.2398968185728</v>
      </c>
      <c r="P36" s="55">
        <v>1138.4995700773854</v>
      </c>
      <c r="Q36" s="55">
        <v>1136.5649183147029</v>
      </c>
      <c r="R36" s="55">
        <v>1159.2896818572654</v>
      </c>
      <c r="S36" s="55">
        <v>1248.7747205503013</v>
      </c>
      <c r="T36" s="55">
        <v>1136.179965606191</v>
      </c>
      <c r="U36" s="55">
        <v>1200.0730008598448</v>
      </c>
      <c r="V36" s="55">
        <v>1093.9818572656916</v>
      </c>
      <c r="W36" s="55">
        <v>1033.8122957867583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13.351418744625969</v>
      </c>
      <c r="C37" s="55">
        <f t="shared" ref="C37:W37" si="20">SUM(C38:C42)</f>
        <v>24.410060189165954</v>
      </c>
      <c r="D37" s="55">
        <f t="shared" si="20"/>
        <v>25.031040412725709</v>
      </c>
      <c r="E37" s="55">
        <f t="shared" si="20"/>
        <v>50.850386930352535</v>
      </c>
      <c r="F37" s="55">
        <f t="shared" si="20"/>
        <v>56.511092003439394</v>
      </c>
      <c r="G37" s="55">
        <f t="shared" si="20"/>
        <v>59.305331040412725</v>
      </c>
      <c r="H37" s="55">
        <f t="shared" si="20"/>
        <v>57.369389509888201</v>
      </c>
      <c r="I37" s="55">
        <f t="shared" si="20"/>
        <v>72.248065348237319</v>
      </c>
      <c r="J37" s="55">
        <f t="shared" si="20"/>
        <v>63.580051590713673</v>
      </c>
      <c r="K37" s="55">
        <f t="shared" si="20"/>
        <v>58.75348237317283</v>
      </c>
      <c r="L37" s="55">
        <f t="shared" si="20"/>
        <v>76.850730868443662</v>
      </c>
      <c r="M37" s="55">
        <f t="shared" si="20"/>
        <v>81.079363714531382</v>
      </c>
      <c r="N37" s="55">
        <f t="shared" si="20"/>
        <v>82.4858985382631</v>
      </c>
      <c r="O37" s="55">
        <f t="shared" si="20"/>
        <v>89.853568357695607</v>
      </c>
      <c r="P37" s="55">
        <f t="shared" si="20"/>
        <v>86.89432502149613</v>
      </c>
      <c r="Q37" s="55">
        <f t="shared" si="20"/>
        <v>95.045915735167682</v>
      </c>
      <c r="R37" s="55">
        <f t="shared" si="20"/>
        <v>91.683490971625105</v>
      </c>
      <c r="S37" s="55">
        <f t="shared" si="20"/>
        <v>87.795356835769567</v>
      </c>
      <c r="T37" s="55">
        <f t="shared" si="20"/>
        <v>89.747291487532252</v>
      </c>
      <c r="U37" s="55">
        <f t="shared" si="20"/>
        <v>91.290197764402421</v>
      </c>
      <c r="V37" s="55">
        <f t="shared" si="20"/>
        <v>87.080481513327598</v>
      </c>
      <c r="W37" s="55">
        <f t="shared" si="20"/>
        <v>89.936543422183988</v>
      </c>
      <c r="DA37" s="101"/>
    </row>
    <row r="38" spans="1:105" ht="12" customHeight="1" x14ac:dyDescent="0.25">
      <c r="A38" s="61" t="s">
        <v>171</v>
      </c>
      <c r="B38" s="55">
        <v>13.351418744625969</v>
      </c>
      <c r="C38" s="55">
        <v>24.410060189165954</v>
      </c>
      <c r="D38" s="55">
        <v>23.884608770421323</v>
      </c>
      <c r="E38" s="55">
        <v>33.175752364574372</v>
      </c>
      <c r="F38" s="55">
        <v>36.447979363714545</v>
      </c>
      <c r="G38" s="55">
        <v>40.67540842648323</v>
      </c>
      <c r="H38" s="55">
        <v>36.018056749785025</v>
      </c>
      <c r="I38" s="55">
        <v>51.351848667239892</v>
      </c>
      <c r="J38" s="55">
        <v>41.200945829750644</v>
      </c>
      <c r="K38" s="55">
        <v>36.997248495270853</v>
      </c>
      <c r="L38" s="55">
        <v>52.355030094582965</v>
      </c>
      <c r="M38" s="55">
        <v>54.815133276010322</v>
      </c>
      <c r="N38" s="55">
        <v>57.203611349957001</v>
      </c>
      <c r="O38" s="55">
        <v>64.153998280309537</v>
      </c>
      <c r="P38" s="55">
        <v>63.43748925193465</v>
      </c>
      <c r="Q38" s="55">
        <v>71.343250214961316</v>
      </c>
      <c r="R38" s="55">
        <v>66.972398968185729</v>
      </c>
      <c r="S38" s="55">
        <v>63.152278589853829</v>
      </c>
      <c r="T38" s="55">
        <v>64.99019776440241</v>
      </c>
      <c r="U38" s="55">
        <v>67.134651762682736</v>
      </c>
      <c r="V38" s="55">
        <v>63.337747205503007</v>
      </c>
      <c r="W38" s="55">
        <v>65.982545141874454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1.146431642304385</v>
      </c>
      <c r="E39" s="55">
        <v>17.316337059329321</v>
      </c>
      <c r="F39" s="55">
        <v>19.5853826311264</v>
      </c>
      <c r="G39" s="55">
        <v>18.032846087704211</v>
      </c>
      <c r="H39" s="55">
        <v>20.63628546861565</v>
      </c>
      <c r="I39" s="55">
        <v>19.991401547721409</v>
      </c>
      <c r="J39" s="55">
        <v>21.18564058469476</v>
      </c>
      <c r="K39" s="55">
        <v>20.325795356835769</v>
      </c>
      <c r="L39" s="55">
        <v>22.594840928632841</v>
      </c>
      <c r="M39" s="55">
        <v>23.860705073086841</v>
      </c>
      <c r="N39" s="55">
        <v>22.594840928632841</v>
      </c>
      <c r="O39" s="55">
        <v>22.83370593293207</v>
      </c>
      <c r="P39" s="55">
        <v>20.206362854686159</v>
      </c>
      <c r="Q39" s="55">
        <v>20.23026655202063</v>
      </c>
      <c r="R39" s="55">
        <v>21.042304385210659</v>
      </c>
      <c r="S39" s="55">
        <v>20.823645743766122</v>
      </c>
      <c r="T39" s="55">
        <v>20.831642304385209</v>
      </c>
      <c r="U39" s="55">
        <v>20.153138435081679</v>
      </c>
      <c r="V39" s="55">
        <v>19.620378331900259</v>
      </c>
      <c r="W39" s="55">
        <v>19.719862424763541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0.35829750644883918</v>
      </c>
      <c r="F41" s="55">
        <v>0.47773000859845233</v>
      </c>
      <c r="G41" s="55">
        <v>0.5970765262252794</v>
      </c>
      <c r="H41" s="55">
        <v>0.71504729148753221</v>
      </c>
      <c r="I41" s="55">
        <v>0.90481513327601026</v>
      </c>
      <c r="J41" s="55">
        <v>1.193465176268272</v>
      </c>
      <c r="K41" s="55">
        <v>1.4304385210662081</v>
      </c>
      <c r="L41" s="55">
        <v>1.9008598452278589</v>
      </c>
      <c r="M41" s="55">
        <v>2.4035253654342221</v>
      </c>
      <c r="N41" s="55">
        <v>2.687446259673258</v>
      </c>
      <c r="O41" s="55">
        <v>2.8658641444539978</v>
      </c>
      <c r="P41" s="55">
        <v>3.250472914875322</v>
      </c>
      <c r="Q41" s="55">
        <v>3.4723989681857259</v>
      </c>
      <c r="R41" s="55">
        <v>3.668787618228718</v>
      </c>
      <c r="S41" s="55">
        <v>3.8194325021496129</v>
      </c>
      <c r="T41" s="55">
        <v>3.925451418744625</v>
      </c>
      <c r="U41" s="55">
        <v>4.0024075666380048</v>
      </c>
      <c r="V41" s="55">
        <v>4.1223559759243331</v>
      </c>
      <c r="W41" s="55">
        <v>4.2341358555460014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0.13895098882201196</v>
      </c>
      <c r="C43" s="55">
        <v>0.24883920894239053</v>
      </c>
      <c r="D43" s="55">
        <v>0.51272570937231299</v>
      </c>
      <c r="E43" s="55">
        <v>0.76689595872742911</v>
      </c>
      <c r="F43" s="55">
        <v>1.0607050730868446</v>
      </c>
      <c r="G43" s="55">
        <v>1.3338779019776446</v>
      </c>
      <c r="H43" s="55">
        <v>1.8312123817712813</v>
      </c>
      <c r="I43" s="55">
        <v>2.4441100601891672</v>
      </c>
      <c r="J43" s="55">
        <v>3.0526225279449712</v>
      </c>
      <c r="K43" s="55">
        <v>3.8608770421324166</v>
      </c>
      <c r="L43" s="55">
        <v>4.7831470335339619</v>
      </c>
      <c r="M43" s="55">
        <v>5.831212381771282</v>
      </c>
      <c r="N43" s="55">
        <v>7.0122957867583873</v>
      </c>
      <c r="O43" s="55">
        <v>8.2322441960447108</v>
      </c>
      <c r="P43" s="55">
        <v>9.4494411006018897</v>
      </c>
      <c r="Q43" s="55">
        <v>10.800429922613917</v>
      </c>
      <c r="R43" s="55">
        <v>12.554858125537391</v>
      </c>
      <c r="S43" s="55">
        <v>14.690885640584705</v>
      </c>
      <c r="T43" s="55">
        <v>17.279793637145318</v>
      </c>
      <c r="U43" s="55">
        <v>20.276440240756635</v>
      </c>
      <c r="V43" s="55">
        <v>23.374892519346485</v>
      </c>
      <c r="W43" s="55">
        <v>26.98632846087709</v>
      </c>
      <c r="DA43" s="101" t="s">
        <v>208</v>
      </c>
    </row>
    <row r="44" spans="1:105" ht="12" customHeight="1" x14ac:dyDescent="0.25">
      <c r="A44" s="60" t="s">
        <v>169</v>
      </c>
      <c r="B44" s="55">
        <v>613.49957007738601</v>
      </c>
      <c r="C44" s="55">
        <v>649.58916595012886</v>
      </c>
      <c r="D44" s="55">
        <v>593.79475494410997</v>
      </c>
      <c r="E44" s="55">
        <v>589.28065348237317</v>
      </c>
      <c r="F44" s="55">
        <v>612.52029234737745</v>
      </c>
      <c r="G44" s="55">
        <v>605.16388650042995</v>
      </c>
      <c r="H44" s="55">
        <v>484.57059329320714</v>
      </c>
      <c r="I44" s="55">
        <v>433.33817712811697</v>
      </c>
      <c r="J44" s="55">
        <v>434.17403267411868</v>
      </c>
      <c r="K44" s="55">
        <v>418.84015477214098</v>
      </c>
      <c r="L44" s="55">
        <v>542.18022355975916</v>
      </c>
      <c r="M44" s="55">
        <v>511.39294926913152</v>
      </c>
      <c r="N44" s="55">
        <v>498.42364574376609</v>
      </c>
      <c r="O44" s="55">
        <v>481.6566638005159</v>
      </c>
      <c r="P44" s="55">
        <v>456.0045571797076</v>
      </c>
      <c r="Q44" s="55">
        <v>462.4773000859845</v>
      </c>
      <c r="R44" s="55">
        <v>482.49260533104041</v>
      </c>
      <c r="S44" s="55">
        <v>487.10421324161649</v>
      </c>
      <c r="T44" s="55">
        <v>492.42132416165077</v>
      </c>
      <c r="U44" s="55">
        <v>473.35786758383489</v>
      </c>
      <c r="V44" s="55">
        <v>454.89690455717971</v>
      </c>
      <c r="W44" s="55">
        <v>487.91659501289769</v>
      </c>
      <c r="DA44" s="101" t="s">
        <v>209</v>
      </c>
    </row>
    <row r="45" spans="1:105" ht="12" customHeight="1" x14ac:dyDescent="0.25">
      <c r="A45" s="62" t="s">
        <v>24</v>
      </c>
      <c r="B45" s="63">
        <v>1212.3796977846443</v>
      </c>
      <c r="C45" s="63">
        <v>1219.6641926943789</v>
      </c>
      <c r="D45" s="63">
        <v>1178.8032034510459</v>
      </c>
      <c r="E45" s="63">
        <v>1283.8919659719004</v>
      </c>
      <c r="F45" s="63">
        <v>1079.9744348999618</v>
      </c>
      <c r="G45" s="63">
        <v>1106.541965732107</v>
      </c>
      <c r="H45" s="63">
        <v>1147.7801610813774</v>
      </c>
      <c r="I45" s="63">
        <v>1180.3279105156455</v>
      </c>
      <c r="J45" s="63">
        <v>1229.1853829646379</v>
      </c>
      <c r="K45" s="63">
        <v>1203.4474379027124</v>
      </c>
      <c r="L45" s="63">
        <v>1273.6603276955107</v>
      </c>
      <c r="M45" s="63">
        <v>1240.70467618518</v>
      </c>
      <c r="N45" s="63">
        <v>1240.5057963025865</v>
      </c>
      <c r="O45" s="63">
        <v>1271.7809297970673</v>
      </c>
      <c r="P45" s="63">
        <v>1247.3498296237688</v>
      </c>
      <c r="Q45" s="63">
        <v>1283.0627934637694</v>
      </c>
      <c r="R45" s="63">
        <v>1322.089351236928</v>
      </c>
      <c r="S45" s="63">
        <v>1346.8258649197596</v>
      </c>
      <c r="T45" s="63">
        <v>1381.9884277975957</v>
      </c>
      <c r="U45" s="63">
        <v>1391.4499935866513</v>
      </c>
      <c r="V45" s="63">
        <v>1324.7282976558135</v>
      </c>
      <c r="W45" s="63">
        <v>1315.3510649376135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3516.6070408628893</v>
      </c>
      <c r="C47" s="82">
        <f t="shared" ref="C47:W47" si="22">SUM(C48,C53)</f>
        <v>3482.2112262283426</v>
      </c>
      <c r="D47" s="82">
        <f t="shared" si="22"/>
        <v>3313.4058689712519</v>
      </c>
      <c r="E47" s="82">
        <f t="shared" si="22"/>
        <v>3674.3839694112803</v>
      </c>
      <c r="F47" s="82">
        <f t="shared" si="22"/>
        <v>3525.5923196807003</v>
      </c>
      <c r="G47" s="82">
        <f t="shared" si="22"/>
        <v>3216.0073999539477</v>
      </c>
      <c r="H47" s="82">
        <f t="shared" si="22"/>
        <v>3177.5101696798292</v>
      </c>
      <c r="I47" s="82">
        <f t="shared" si="22"/>
        <v>3052.3980738862379</v>
      </c>
      <c r="J47" s="82">
        <f t="shared" si="22"/>
        <v>3260.3460880377247</v>
      </c>
      <c r="K47" s="82">
        <f t="shared" si="22"/>
        <v>3022.5139899233473</v>
      </c>
      <c r="L47" s="82">
        <f t="shared" si="22"/>
        <v>3300.3939476439195</v>
      </c>
      <c r="M47" s="82">
        <f t="shared" si="22"/>
        <v>3188.3943580424448</v>
      </c>
      <c r="N47" s="82">
        <f t="shared" si="22"/>
        <v>3098.1215314702545</v>
      </c>
      <c r="O47" s="82">
        <f t="shared" si="22"/>
        <v>3058.0289951453051</v>
      </c>
      <c r="P47" s="82">
        <f t="shared" si="22"/>
        <v>2967.5642750235957</v>
      </c>
      <c r="Q47" s="82">
        <f t="shared" si="22"/>
        <v>3023.571907823185</v>
      </c>
      <c r="R47" s="82">
        <f t="shared" si="22"/>
        <v>3108.4158344699472</v>
      </c>
      <c r="S47" s="82">
        <f t="shared" si="22"/>
        <v>3222.4121073961142</v>
      </c>
      <c r="T47" s="82">
        <f t="shared" si="22"/>
        <v>3135.9688233264005</v>
      </c>
      <c r="U47" s="82">
        <f t="shared" si="22"/>
        <v>3195.6479299581042</v>
      </c>
      <c r="V47" s="82">
        <f t="shared" si="22"/>
        <v>2995.3373260307044</v>
      </c>
      <c r="W47" s="82">
        <f t="shared" si="22"/>
        <v>2968.7919075859372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3092.8883301709534</v>
      </c>
      <c r="C48" s="64">
        <f t="shared" ref="C48:W48" si="24">SUM(C49:C52)</f>
        <v>3041.9072600005607</v>
      </c>
      <c r="D48" s="64">
        <f t="shared" si="24"/>
        <v>2855.9554159760196</v>
      </c>
      <c r="E48" s="64">
        <f t="shared" si="24"/>
        <v>3195.585847339984</v>
      </c>
      <c r="F48" s="64">
        <f t="shared" si="24"/>
        <v>3024.3502264971185</v>
      </c>
      <c r="G48" s="64">
        <f t="shared" si="24"/>
        <v>2687.6695268900385</v>
      </c>
      <c r="H48" s="64">
        <f t="shared" si="24"/>
        <v>2623.6575931166635</v>
      </c>
      <c r="I48" s="64">
        <f t="shared" si="24"/>
        <v>2474.0517782113748</v>
      </c>
      <c r="J48" s="64">
        <f t="shared" si="24"/>
        <v>2662.3620451888773</v>
      </c>
      <c r="K48" s="64">
        <f t="shared" si="24"/>
        <v>2419.5681816192509</v>
      </c>
      <c r="L48" s="64">
        <f t="shared" si="24"/>
        <v>2681.8848744262373</v>
      </c>
      <c r="M48" s="64">
        <f t="shared" si="24"/>
        <v>2561.0742350034784</v>
      </c>
      <c r="N48" s="64">
        <f t="shared" si="24"/>
        <v>2462.4333181928682</v>
      </c>
      <c r="O48" s="64">
        <f t="shared" si="24"/>
        <v>2412.9577256199764</v>
      </c>
      <c r="P48" s="64">
        <f t="shared" si="24"/>
        <v>2310.8863404679505</v>
      </c>
      <c r="Q48" s="64">
        <f t="shared" si="24"/>
        <v>2341.5624932059536</v>
      </c>
      <c r="R48" s="64">
        <f t="shared" si="24"/>
        <v>2418.7164738214819</v>
      </c>
      <c r="S48" s="64">
        <f t="shared" si="24"/>
        <v>2520.1050994582815</v>
      </c>
      <c r="T48" s="64">
        <f t="shared" si="24"/>
        <v>2437.2970371304555</v>
      </c>
      <c r="U48" s="64">
        <f t="shared" si="24"/>
        <v>2506.3879817074426</v>
      </c>
      <c r="V48" s="64">
        <f t="shared" si="24"/>
        <v>2339.7238343417821</v>
      </c>
      <c r="W48" s="64">
        <f t="shared" si="24"/>
        <v>2332.2093319960577</v>
      </c>
      <c r="DA48" s="108" t="s">
        <v>212</v>
      </c>
    </row>
    <row r="49" spans="1:105" ht="12" customHeight="1" x14ac:dyDescent="0.25">
      <c r="A49" s="61" t="s">
        <v>32</v>
      </c>
      <c r="B49" s="65">
        <v>2648.8478538878599</v>
      </c>
      <c r="C49" s="65">
        <v>2589.7532377210837</v>
      </c>
      <c r="D49" s="65">
        <v>2400.0036440562358</v>
      </c>
      <c r="E49" s="65">
        <v>2732.5321593459698</v>
      </c>
      <c r="F49" s="65">
        <v>2558.4860464327762</v>
      </c>
      <c r="G49" s="65">
        <v>2207.4440433065452</v>
      </c>
      <c r="H49" s="65">
        <v>2120.9832157755882</v>
      </c>
      <c r="I49" s="65">
        <v>1954.8207491229527</v>
      </c>
      <c r="J49" s="65">
        <v>2126.9358675263488</v>
      </c>
      <c r="K49" s="65">
        <v>1857.4024552115623</v>
      </c>
      <c r="L49" s="65">
        <v>2098.3138523562843</v>
      </c>
      <c r="M49" s="65">
        <v>1964.7684951214692</v>
      </c>
      <c r="N49" s="65">
        <v>1859.0551150474921</v>
      </c>
      <c r="O49" s="65">
        <v>1802.7792200573572</v>
      </c>
      <c r="P49" s="65">
        <v>1696.9180024618051</v>
      </c>
      <c r="Q49" s="65">
        <v>1710.9824684866619</v>
      </c>
      <c r="R49" s="65">
        <v>1781.3753148048208</v>
      </c>
      <c r="S49" s="65">
        <v>1864.4006141490895</v>
      </c>
      <c r="T49" s="65">
        <v>1783.8727112396127</v>
      </c>
      <c r="U49" s="65">
        <v>1842.8392153517814</v>
      </c>
      <c r="V49" s="65">
        <v>1715.3352921927544</v>
      </c>
      <c r="W49" s="65">
        <v>1695.1317272490548</v>
      </c>
      <c r="DA49" s="109" t="s">
        <v>213</v>
      </c>
    </row>
    <row r="50" spans="1:105" ht="12" customHeight="1" x14ac:dyDescent="0.25">
      <c r="A50" s="61" t="s">
        <v>31</v>
      </c>
      <c r="B50" s="65">
        <v>12.511303478572422</v>
      </c>
      <c r="C50" s="65">
        <v>13.240119490179209</v>
      </c>
      <c r="D50" s="65">
        <v>15.939010797053598</v>
      </c>
      <c r="E50" s="65">
        <v>18.084441458016602</v>
      </c>
      <c r="F50" s="65">
        <v>18.687185667070914</v>
      </c>
      <c r="G50" s="65">
        <v>22.274179845635892</v>
      </c>
      <c r="H50" s="65">
        <v>27.025785926602797</v>
      </c>
      <c r="I50" s="65">
        <v>30.367220342755697</v>
      </c>
      <c r="J50" s="65">
        <v>32.741419041373547</v>
      </c>
      <c r="K50" s="65">
        <v>34.615554635053456</v>
      </c>
      <c r="L50" s="65">
        <v>37.376928820658712</v>
      </c>
      <c r="M50" s="65">
        <v>39.018496096860055</v>
      </c>
      <c r="N50" s="65">
        <v>39.807853899943218</v>
      </c>
      <c r="O50" s="65">
        <v>41.528954318796451</v>
      </c>
      <c r="P50" s="65">
        <v>39.602837075946411</v>
      </c>
      <c r="Q50" s="65">
        <v>47.045818176872515</v>
      </c>
      <c r="R50" s="65">
        <v>39.83885278337786</v>
      </c>
      <c r="S50" s="65">
        <v>40.377442734336874</v>
      </c>
      <c r="T50" s="65">
        <v>42.79217356257849</v>
      </c>
      <c r="U50" s="65">
        <v>42.720723833298123</v>
      </c>
      <c r="V50" s="65">
        <v>38.695604271174702</v>
      </c>
      <c r="W50" s="65">
        <v>40.365246118123522</v>
      </c>
      <c r="DA50" s="109" t="s">
        <v>214</v>
      </c>
    </row>
    <row r="51" spans="1:105" ht="12" customHeight="1" x14ac:dyDescent="0.25">
      <c r="A51" s="61" t="s">
        <v>35</v>
      </c>
      <c r="B51" s="65">
        <v>219.52303464821938</v>
      </c>
      <c r="C51" s="65">
        <v>219.78846347578508</v>
      </c>
      <c r="D51" s="65">
        <v>219.17681194971675</v>
      </c>
      <c r="E51" s="65">
        <v>219.04087357578447</v>
      </c>
      <c r="F51" s="65">
        <v>216.82554041965042</v>
      </c>
      <c r="G51" s="65">
        <v>222.33651886898116</v>
      </c>
      <c r="H51" s="65">
        <v>231.29363734912684</v>
      </c>
      <c r="I51" s="65">
        <v>238.81570010300257</v>
      </c>
      <c r="J51" s="65">
        <v>244.06713900526964</v>
      </c>
      <c r="K51" s="65">
        <v>257.55217448822714</v>
      </c>
      <c r="L51" s="65">
        <v>266.54097407776243</v>
      </c>
      <c r="M51" s="65">
        <v>270.48127026540317</v>
      </c>
      <c r="N51" s="65">
        <v>273.56706193170015</v>
      </c>
      <c r="O51" s="65">
        <v>273.57654849530206</v>
      </c>
      <c r="P51" s="65">
        <v>274.05078188710712</v>
      </c>
      <c r="Q51" s="65">
        <v>277.93907802097686</v>
      </c>
      <c r="R51" s="65">
        <v>284.02660466346015</v>
      </c>
      <c r="S51" s="65">
        <v>288.96765203426759</v>
      </c>
      <c r="T51" s="65">
        <v>286.07756156624504</v>
      </c>
      <c r="U51" s="65">
        <v>287.43885441392382</v>
      </c>
      <c r="V51" s="65">
        <v>272.43934896866847</v>
      </c>
      <c r="W51" s="65">
        <v>274.43360446493978</v>
      </c>
      <c r="DA51" s="109" t="s">
        <v>215</v>
      </c>
    </row>
    <row r="52" spans="1:105" ht="12" customHeight="1" x14ac:dyDescent="0.25">
      <c r="A52" s="66" t="s">
        <v>34</v>
      </c>
      <c r="B52" s="67">
        <v>212.00613815630194</v>
      </c>
      <c r="C52" s="67">
        <v>219.12543931351269</v>
      </c>
      <c r="D52" s="67">
        <v>220.8359491730134</v>
      </c>
      <c r="E52" s="67">
        <v>225.92837296021304</v>
      </c>
      <c r="F52" s="67">
        <v>230.3514539776213</v>
      </c>
      <c r="G52" s="67">
        <v>235.61478486887631</v>
      </c>
      <c r="H52" s="67">
        <v>244.35495406534517</v>
      </c>
      <c r="I52" s="67">
        <v>250.04810864266398</v>
      </c>
      <c r="J52" s="67">
        <v>258.61761961588559</v>
      </c>
      <c r="K52" s="67">
        <v>269.99799728440826</v>
      </c>
      <c r="L52" s="67">
        <v>279.65311917153224</v>
      </c>
      <c r="M52" s="67">
        <v>286.80597351974626</v>
      </c>
      <c r="N52" s="67">
        <v>290.00328731373293</v>
      </c>
      <c r="O52" s="67">
        <v>295.07300274852048</v>
      </c>
      <c r="P52" s="67">
        <v>300.31471904309183</v>
      </c>
      <c r="Q52" s="67">
        <v>305.59512852144218</v>
      </c>
      <c r="R52" s="67">
        <v>313.47570156982295</v>
      </c>
      <c r="S52" s="67">
        <v>326.35939054058747</v>
      </c>
      <c r="T52" s="67">
        <v>324.5545907620193</v>
      </c>
      <c r="U52" s="67">
        <v>333.38918810843927</v>
      </c>
      <c r="V52" s="67">
        <v>313.25358890918477</v>
      </c>
      <c r="W52" s="67">
        <v>322.27875416393931</v>
      </c>
      <c r="DA52" s="110" t="s">
        <v>216</v>
      </c>
    </row>
    <row r="53" spans="1:105" ht="12" customHeight="1" x14ac:dyDescent="0.25">
      <c r="A53" s="78" t="s">
        <v>33</v>
      </c>
      <c r="B53" s="68">
        <v>423.71871069193611</v>
      </c>
      <c r="C53" s="68">
        <v>440.30396622778204</v>
      </c>
      <c r="D53" s="68">
        <v>457.45045299523252</v>
      </c>
      <c r="E53" s="68">
        <v>478.79812207129635</v>
      </c>
      <c r="F53" s="68">
        <v>501.24209318358174</v>
      </c>
      <c r="G53" s="68">
        <v>528.33787306390923</v>
      </c>
      <c r="H53" s="68">
        <v>553.8525765631656</v>
      </c>
      <c r="I53" s="68">
        <v>578.34629567486309</v>
      </c>
      <c r="J53" s="68">
        <v>597.98404284884748</v>
      </c>
      <c r="K53" s="68">
        <v>602.94580830409654</v>
      </c>
      <c r="L53" s="68">
        <v>618.50907321768227</v>
      </c>
      <c r="M53" s="68">
        <v>627.32012303896636</v>
      </c>
      <c r="N53" s="68">
        <v>635.68821327738624</v>
      </c>
      <c r="O53" s="68">
        <v>645.0712695253286</v>
      </c>
      <c r="P53" s="68">
        <v>656.67793455564504</v>
      </c>
      <c r="Q53" s="68">
        <v>682.00941461723141</v>
      </c>
      <c r="R53" s="68">
        <v>689.69936064846547</v>
      </c>
      <c r="S53" s="68">
        <v>702.30700793783262</v>
      </c>
      <c r="T53" s="68">
        <v>698.67178619594506</v>
      </c>
      <c r="U53" s="68">
        <v>689.25994825066141</v>
      </c>
      <c r="V53" s="68">
        <v>655.61349168892241</v>
      </c>
      <c r="W53" s="68">
        <v>636.58257558987975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0.87950922415603028</v>
      </c>
      <c r="C56" s="70">
        <f t="shared" ref="C56:W56" si="28">IF(C48=0,0,C48/C$47)</f>
        <v>0.87355621539802897</v>
      </c>
      <c r="D56" s="70">
        <f t="shared" si="28"/>
        <v>0.86193950542579867</v>
      </c>
      <c r="E56" s="70">
        <f t="shared" si="28"/>
        <v>0.86969295368768695</v>
      </c>
      <c r="F56" s="70">
        <f t="shared" si="28"/>
        <v>0.85782755130661914</v>
      </c>
      <c r="G56" s="70">
        <f t="shared" si="28"/>
        <v>0.83571621350390091</v>
      </c>
      <c r="H56" s="70">
        <f t="shared" si="28"/>
        <v>0.82569604911163108</v>
      </c>
      <c r="I56" s="70">
        <f t="shared" si="28"/>
        <v>0.8105272373801079</v>
      </c>
      <c r="J56" s="70">
        <f t="shared" si="28"/>
        <v>0.81658878330651374</v>
      </c>
      <c r="K56" s="70">
        <f t="shared" si="28"/>
        <v>0.80051513067789393</v>
      </c>
      <c r="L56" s="70">
        <f t="shared" si="28"/>
        <v>0.81259538011841814</v>
      </c>
      <c r="M56" s="70">
        <f t="shared" si="28"/>
        <v>0.80324889188923365</v>
      </c>
      <c r="N56" s="70">
        <f t="shared" si="28"/>
        <v>0.79481495260267854</v>
      </c>
      <c r="O56" s="70">
        <f t="shared" si="28"/>
        <v>0.78905652282911809</v>
      </c>
      <c r="P56" s="70">
        <f t="shared" si="28"/>
        <v>0.77871484028752036</v>
      </c>
      <c r="Q56" s="70">
        <f t="shared" si="28"/>
        <v>0.77443585421183425</v>
      </c>
      <c r="R56" s="70">
        <f t="shared" si="28"/>
        <v>0.77811869538167044</v>
      </c>
      <c r="S56" s="70">
        <f t="shared" si="28"/>
        <v>0.78205549615274528</v>
      </c>
      <c r="T56" s="70">
        <f t="shared" si="28"/>
        <v>0.77720703694533344</v>
      </c>
      <c r="U56" s="70">
        <f t="shared" si="28"/>
        <v>0.78431292703145239</v>
      </c>
      <c r="V56" s="70">
        <f t="shared" si="28"/>
        <v>0.78112198382753972</v>
      </c>
      <c r="W56" s="70">
        <f t="shared" si="28"/>
        <v>0.78557521193611901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0.75323964921536912</v>
      </c>
      <c r="C57" s="71">
        <f t="shared" ref="C57:W57" si="30">IF(C49=0,0,C49/C$47)</f>
        <v>0.74370940459177737</v>
      </c>
      <c r="D57" s="71">
        <f t="shared" si="30"/>
        <v>0.72433131918167037</v>
      </c>
      <c r="E57" s="71">
        <f t="shared" si="30"/>
        <v>0.743670825393837</v>
      </c>
      <c r="F57" s="71">
        <f t="shared" si="30"/>
        <v>0.72568970386924625</v>
      </c>
      <c r="G57" s="71">
        <f t="shared" si="30"/>
        <v>0.68639271269654267</v>
      </c>
      <c r="H57" s="71">
        <f t="shared" si="30"/>
        <v>0.66749848230676212</v>
      </c>
      <c r="I57" s="71">
        <f t="shared" si="30"/>
        <v>0.64042130213839488</v>
      </c>
      <c r="J57" s="71">
        <f t="shared" si="30"/>
        <v>0.65236505882922036</v>
      </c>
      <c r="K57" s="71">
        <f t="shared" si="30"/>
        <v>0.61452236826823325</v>
      </c>
      <c r="L57" s="71">
        <f t="shared" si="30"/>
        <v>0.63577678472420707</v>
      </c>
      <c r="M57" s="71">
        <f t="shared" si="30"/>
        <v>0.61622505703082597</v>
      </c>
      <c r="N57" s="71">
        <f t="shared" si="30"/>
        <v>0.60005880859207383</v>
      </c>
      <c r="O57" s="71">
        <f t="shared" si="30"/>
        <v>0.58952325923636195</v>
      </c>
      <c r="P57" s="71">
        <f t="shared" si="30"/>
        <v>0.57182181924208286</v>
      </c>
      <c r="Q57" s="71">
        <f t="shared" si="30"/>
        <v>0.56588118974768509</v>
      </c>
      <c r="R57" s="71">
        <f t="shared" si="30"/>
        <v>0.57308140534182561</v>
      </c>
      <c r="S57" s="71">
        <f t="shared" si="30"/>
        <v>0.57857299191183453</v>
      </c>
      <c r="T57" s="71">
        <f t="shared" si="30"/>
        <v>0.56884261666460523</v>
      </c>
      <c r="U57" s="71">
        <f t="shared" si="30"/>
        <v>0.57667154071504412</v>
      </c>
      <c r="V57" s="71">
        <f t="shared" si="30"/>
        <v>0.57266848621215061</v>
      </c>
      <c r="W57" s="71">
        <f t="shared" si="30"/>
        <v>0.57098367956258855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3.5577769518150243E-3</v>
      </c>
      <c r="C58" s="72">
        <f t="shared" ref="C58:W58" si="32">IF(C50=0,0,C50/C$47)</f>
        <v>3.8022160719181487E-3</v>
      </c>
      <c r="D58" s="72">
        <f t="shared" si="32"/>
        <v>4.8104613281204668E-3</v>
      </c>
      <c r="E58" s="72">
        <f t="shared" si="32"/>
        <v>4.921761473097799E-3</v>
      </c>
      <c r="F58" s="72">
        <f t="shared" si="32"/>
        <v>5.3004386136067325E-3</v>
      </c>
      <c r="G58" s="72">
        <f t="shared" si="32"/>
        <v>6.9260350103531642E-3</v>
      </c>
      <c r="H58" s="72">
        <f t="shared" si="32"/>
        <v>8.5053342030140394E-3</v>
      </c>
      <c r="I58" s="72">
        <f t="shared" si="32"/>
        <v>9.9486435280352874E-3</v>
      </c>
      <c r="J58" s="72">
        <f t="shared" si="32"/>
        <v>1.0042313962159561E-2</v>
      </c>
      <c r="K58" s="72">
        <f t="shared" si="32"/>
        <v>1.1452570525879131E-2</v>
      </c>
      <c r="L58" s="72">
        <f t="shared" si="32"/>
        <v>1.1324990111359675E-2</v>
      </c>
      <c r="M58" s="72">
        <f t="shared" si="32"/>
        <v>1.2237663135502459E-2</v>
      </c>
      <c r="N58" s="72">
        <f t="shared" si="32"/>
        <v>1.2849029160276962E-2</v>
      </c>
      <c r="O58" s="72">
        <f t="shared" si="32"/>
        <v>1.3580301032045369E-2</v>
      </c>
      <c r="P58" s="72">
        <f t="shared" si="32"/>
        <v>1.3345233129156578E-2</v>
      </c>
      <c r="Q58" s="72">
        <f t="shared" si="32"/>
        <v>1.5559682260291625E-2</v>
      </c>
      <c r="R58" s="72">
        <f t="shared" si="32"/>
        <v>1.2816448926039928E-2</v>
      </c>
      <c r="S58" s="72">
        <f t="shared" si="32"/>
        <v>1.2530192101023374E-2</v>
      </c>
      <c r="T58" s="72">
        <f t="shared" si="32"/>
        <v>1.3645599166763323E-2</v>
      </c>
      <c r="U58" s="72">
        <f t="shared" si="32"/>
        <v>1.3368407524748261E-2</v>
      </c>
      <c r="V58" s="72">
        <f t="shared" si="32"/>
        <v>1.2918613184196017E-2</v>
      </c>
      <c r="W58" s="72">
        <f t="shared" si="32"/>
        <v>1.3596522550125913E-2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6.2424670171380252E-2</v>
      </c>
      <c r="C59" s="72">
        <f t="shared" ref="C59:W59" si="34">IF(C51=0,0,C51/C$47)</f>
        <v>6.311749896741406E-2</v>
      </c>
      <c r="D59" s="72">
        <f t="shared" si="34"/>
        <v>6.6148495118639627E-2</v>
      </c>
      <c r="E59" s="72">
        <f t="shared" si="34"/>
        <v>5.9612951558483909E-2</v>
      </c>
      <c r="F59" s="72">
        <f t="shared" si="34"/>
        <v>6.1500457443499169E-2</v>
      </c>
      <c r="G59" s="72">
        <f t="shared" si="34"/>
        <v>6.9134330621305459E-2</v>
      </c>
      <c r="H59" s="72">
        <f t="shared" si="34"/>
        <v>7.279084094085915E-2</v>
      </c>
      <c r="I59" s="72">
        <f t="shared" si="34"/>
        <v>7.8238714060957434E-2</v>
      </c>
      <c r="J59" s="72">
        <f t="shared" si="34"/>
        <v>7.4859273345476068E-2</v>
      </c>
      <c r="K59" s="72">
        <f t="shared" si="34"/>
        <v>8.5211243139608692E-2</v>
      </c>
      <c r="L59" s="72">
        <f t="shared" si="34"/>
        <v>8.0760351129609942E-2</v>
      </c>
      <c r="M59" s="72">
        <f t="shared" si="34"/>
        <v>8.4833066393790943E-2</v>
      </c>
      <c r="N59" s="72">
        <f t="shared" si="34"/>
        <v>8.8300945961237123E-2</v>
      </c>
      <c r="O59" s="72">
        <f t="shared" si="34"/>
        <v>8.9461724833090672E-2</v>
      </c>
      <c r="P59" s="72">
        <f t="shared" si="34"/>
        <v>9.2348726594954064E-2</v>
      </c>
      <c r="Q59" s="72">
        <f t="shared" si="34"/>
        <v>9.1924083995435252E-2</v>
      </c>
      <c r="R59" s="72">
        <f t="shared" si="34"/>
        <v>9.1373426140036657E-2</v>
      </c>
      <c r="S59" s="72">
        <f t="shared" si="34"/>
        <v>8.9674331650823308E-2</v>
      </c>
      <c r="T59" s="72">
        <f t="shared" si="34"/>
        <v>9.1224619147455499E-2</v>
      </c>
      <c r="U59" s="72">
        <f t="shared" si="34"/>
        <v>8.9946971854841407E-2</v>
      </c>
      <c r="V59" s="72">
        <f t="shared" si="34"/>
        <v>9.0954480018346939E-2</v>
      </c>
      <c r="W59" s="72">
        <f t="shared" si="34"/>
        <v>9.2439488184975049E-2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6.0287127817466014E-2</v>
      </c>
      <c r="C60" s="73">
        <f t="shared" ref="C60:W60" si="36">IF(C52=0,0,C52/C$47)</f>
        <v>6.2927095766919378E-2</v>
      </c>
      <c r="D60" s="73">
        <f t="shared" si="36"/>
        <v>6.664922979736819E-2</v>
      </c>
      <c r="E60" s="73">
        <f t="shared" si="36"/>
        <v>6.1487415262268273E-2</v>
      </c>
      <c r="F60" s="73">
        <f t="shared" si="36"/>
        <v>6.5336951380267183E-2</v>
      </c>
      <c r="G60" s="73">
        <f t="shared" si="36"/>
        <v>7.3263135175699615E-2</v>
      </c>
      <c r="H60" s="73">
        <f t="shared" si="36"/>
        <v>7.6901391660995605E-2</v>
      </c>
      <c r="I60" s="73">
        <f t="shared" si="36"/>
        <v>8.1918577652720412E-2</v>
      </c>
      <c r="J60" s="73">
        <f t="shared" si="36"/>
        <v>7.9322137169657789E-2</v>
      </c>
      <c r="K60" s="73">
        <f t="shared" si="36"/>
        <v>8.9328948744172909E-2</v>
      </c>
      <c r="L60" s="73">
        <f t="shared" si="36"/>
        <v>8.4733254153241497E-2</v>
      </c>
      <c r="M60" s="73">
        <f t="shared" si="36"/>
        <v>8.9953105329114449E-2</v>
      </c>
      <c r="N60" s="73">
        <f t="shared" si="36"/>
        <v>9.3606168889090693E-2</v>
      </c>
      <c r="O60" s="73">
        <f t="shared" si="36"/>
        <v>9.6491237727619986E-2</v>
      </c>
      <c r="P60" s="73">
        <f t="shared" si="36"/>
        <v>0.10119906132132689</v>
      </c>
      <c r="Q60" s="73">
        <f t="shared" si="36"/>
        <v>0.10107089820842224</v>
      </c>
      <c r="R60" s="73">
        <f t="shared" si="36"/>
        <v>0.10084741497376827</v>
      </c>
      <c r="S60" s="73">
        <f t="shared" si="36"/>
        <v>0.10127798048906407</v>
      </c>
      <c r="T60" s="73">
        <f t="shared" si="36"/>
        <v>0.10349420196650939</v>
      </c>
      <c r="U60" s="73">
        <f t="shared" si="36"/>
        <v>0.10432600693681862</v>
      </c>
      <c r="V60" s="73">
        <f t="shared" si="36"/>
        <v>0.10458040441284631</v>
      </c>
      <c r="W60" s="73">
        <f t="shared" si="36"/>
        <v>0.10855552163842941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0.12049077584396974</v>
      </c>
      <c r="C61" s="70">
        <f t="shared" ref="C61:W61" si="38">IF(C53=0,0,C53/C$47)</f>
        <v>0.12644378460197106</v>
      </c>
      <c r="D61" s="70">
        <f t="shared" si="38"/>
        <v>0.13806049457420139</v>
      </c>
      <c r="E61" s="70">
        <f t="shared" si="38"/>
        <v>0.13030704631231305</v>
      </c>
      <c r="F61" s="70">
        <f t="shared" si="38"/>
        <v>0.1421724486933808</v>
      </c>
      <c r="G61" s="70">
        <f t="shared" si="38"/>
        <v>0.16428378649609912</v>
      </c>
      <c r="H61" s="70">
        <f t="shared" si="38"/>
        <v>0.17430395088836886</v>
      </c>
      <c r="I61" s="70">
        <f t="shared" si="38"/>
        <v>0.18947276261989213</v>
      </c>
      <c r="J61" s="70">
        <f t="shared" si="38"/>
        <v>0.18341121669348628</v>
      </c>
      <c r="K61" s="70">
        <f t="shared" si="38"/>
        <v>0.19948486932210613</v>
      </c>
      <c r="L61" s="70">
        <f t="shared" si="38"/>
        <v>0.18740461988158191</v>
      </c>
      <c r="M61" s="70">
        <f t="shared" si="38"/>
        <v>0.19675110811076629</v>
      </c>
      <c r="N61" s="70">
        <f t="shared" si="38"/>
        <v>0.20518504739732144</v>
      </c>
      <c r="O61" s="70">
        <f t="shared" si="38"/>
        <v>0.21094347717088191</v>
      </c>
      <c r="P61" s="70">
        <f t="shared" si="38"/>
        <v>0.22128515971247958</v>
      </c>
      <c r="Q61" s="70">
        <f t="shared" si="38"/>
        <v>0.22556414578816578</v>
      </c>
      <c r="R61" s="70">
        <f t="shared" si="38"/>
        <v>0.22188130461832958</v>
      </c>
      <c r="S61" s="70">
        <f t="shared" si="38"/>
        <v>0.21794450384725472</v>
      </c>
      <c r="T61" s="70">
        <f t="shared" si="38"/>
        <v>0.22279296305466662</v>
      </c>
      <c r="U61" s="70">
        <f t="shared" si="38"/>
        <v>0.2156870729685475</v>
      </c>
      <c r="V61" s="70">
        <f t="shared" si="38"/>
        <v>0.21887801617246028</v>
      </c>
      <c r="W61" s="70">
        <f t="shared" si="38"/>
        <v>0.21442478806388107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4873.4064763197575</v>
      </c>
      <c r="C65" s="80">
        <v>4195.8633328386622</v>
      </c>
      <c r="D65" s="80">
        <v>4032.9449613836359</v>
      </c>
      <c r="E65" s="80">
        <v>4967.4319437265822</v>
      </c>
      <c r="F65" s="80">
        <v>5094.1453232182703</v>
      </c>
      <c r="G65" s="80">
        <v>3631.8524045392178</v>
      </c>
      <c r="H65" s="80">
        <v>3878.7859518593273</v>
      </c>
      <c r="I65" s="80">
        <v>3427.3253374371466</v>
      </c>
      <c r="J65" s="80">
        <v>3878.1842019754408</v>
      </c>
      <c r="K65" s="80">
        <v>3310.0359004115703</v>
      </c>
      <c r="L65" s="80">
        <v>3512.0491542501122</v>
      </c>
      <c r="M65" s="80">
        <v>3373.0663455546378</v>
      </c>
      <c r="N65" s="80">
        <v>3194.3598601619265</v>
      </c>
      <c r="O65" s="80">
        <v>3059.976754198432</v>
      </c>
      <c r="P65" s="80">
        <v>2958.9568351294943</v>
      </c>
      <c r="Q65" s="80">
        <v>2997.7105444107765</v>
      </c>
      <c r="R65" s="80">
        <v>3061.7158616765864</v>
      </c>
      <c r="S65" s="80">
        <v>3268.5008713751367</v>
      </c>
      <c r="T65" s="80">
        <v>2949.5017833464967</v>
      </c>
      <c r="U65" s="80">
        <v>3128.6861158006618</v>
      </c>
      <c r="V65" s="80">
        <v>2843.4147176605038</v>
      </c>
      <c r="W65" s="80">
        <v>2738.0576424538299</v>
      </c>
      <c r="DA65" s="103" t="s">
        <v>218</v>
      </c>
    </row>
    <row r="66" spans="1:105" ht="12" customHeight="1" x14ac:dyDescent="0.25">
      <c r="A66" s="58" t="s">
        <v>29</v>
      </c>
      <c r="B66" s="59">
        <v>2068.9208949597582</v>
      </c>
      <c r="C66" s="59">
        <v>922.95179803866131</v>
      </c>
      <c r="D66" s="59">
        <v>940.03243550363538</v>
      </c>
      <c r="E66" s="59">
        <v>1825.5555248589021</v>
      </c>
      <c r="F66" s="59">
        <v>1988.1590048754501</v>
      </c>
      <c r="G66" s="59">
        <v>349.01354098752444</v>
      </c>
      <c r="H66" s="59">
        <v>698.64811837436275</v>
      </c>
      <c r="I66" s="59">
        <v>241.22923368494625</v>
      </c>
      <c r="J66" s="59">
        <v>345.29552755500123</v>
      </c>
      <c r="K66" s="59">
        <v>114.43691249818852</v>
      </c>
      <c r="L66" s="59">
        <v>164.54821949468834</v>
      </c>
      <c r="M66" s="59">
        <v>143.39808860008307</v>
      </c>
      <c r="N66" s="59">
        <v>135.18271954092796</v>
      </c>
      <c r="O66" s="59">
        <v>134.05048082863703</v>
      </c>
      <c r="P66" s="59">
        <v>118.26760218831114</v>
      </c>
      <c r="Q66" s="59">
        <v>104.96348819650109</v>
      </c>
      <c r="R66" s="59">
        <v>134.34343944745774</v>
      </c>
      <c r="S66" s="59">
        <v>130.90967869386188</v>
      </c>
      <c r="T66" s="59">
        <v>91.465275817679</v>
      </c>
      <c r="U66" s="59">
        <v>110.66759318474722</v>
      </c>
      <c r="V66" s="59">
        <v>83.870983789761056</v>
      </c>
      <c r="W66" s="59">
        <v>96.194920047808424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18.98050752</v>
      </c>
      <c r="C67" s="55">
        <f t="shared" ref="C67:W67" si="39">SUM(C68:C69)</f>
        <v>9.3187270799999986</v>
      </c>
      <c r="D67" s="55">
        <f t="shared" si="39"/>
        <v>40.400801999999992</v>
      </c>
      <c r="E67" s="55">
        <f t="shared" si="39"/>
        <v>37.283177880000011</v>
      </c>
      <c r="F67" s="55">
        <f t="shared" si="39"/>
        <v>49.630591079999995</v>
      </c>
      <c r="G67" s="55">
        <f t="shared" si="39"/>
        <v>37.138832640000004</v>
      </c>
      <c r="H67" s="55">
        <f t="shared" si="39"/>
        <v>46.932784560000002</v>
      </c>
      <c r="I67" s="55">
        <f t="shared" si="39"/>
        <v>47.386951559999993</v>
      </c>
      <c r="J67" s="55">
        <f t="shared" si="39"/>
        <v>50.311257839999996</v>
      </c>
      <c r="K67" s="55">
        <f t="shared" si="39"/>
        <v>37.766645279999999</v>
      </c>
      <c r="L67" s="55">
        <f t="shared" si="39"/>
        <v>50.281990919999998</v>
      </c>
      <c r="M67" s="55">
        <f t="shared" si="39"/>
        <v>37.834643159999992</v>
      </c>
      <c r="N67" s="55">
        <f t="shared" si="39"/>
        <v>62.411841359999997</v>
      </c>
      <c r="O67" s="55">
        <f t="shared" si="39"/>
        <v>46.983640680000008</v>
      </c>
      <c r="P67" s="55">
        <f t="shared" si="39"/>
        <v>31.343118480000001</v>
      </c>
      <c r="Q67" s="55">
        <f t="shared" si="39"/>
        <v>65.700526679999996</v>
      </c>
      <c r="R67" s="55">
        <f t="shared" si="39"/>
        <v>62.655826319999989</v>
      </c>
      <c r="S67" s="55">
        <f t="shared" si="39"/>
        <v>62.523415079999999</v>
      </c>
      <c r="T67" s="55">
        <f t="shared" si="39"/>
        <v>40.986857519999987</v>
      </c>
      <c r="U67" s="55">
        <f t="shared" si="39"/>
        <v>38.071622159999997</v>
      </c>
      <c r="V67" s="55">
        <f t="shared" si="39"/>
        <v>43.988534999999999</v>
      </c>
      <c r="W67" s="55">
        <f t="shared" si="39"/>
        <v>56.450763360000003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18.98050752</v>
      </c>
      <c r="C69" s="55">
        <v>9.3187270799999986</v>
      </c>
      <c r="D69" s="55">
        <v>40.400801999999992</v>
      </c>
      <c r="E69" s="55">
        <v>37.283177880000011</v>
      </c>
      <c r="F69" s="55">
        <v>49.630591079999995</v>
      </c>
      <c r="G69" s="55">
        <v>37.138832640000004</v>
      </c>
      <c r="H69" s="55">
        <v>46.932784560000002</v>
      </c>
      <c r="I69" s="55">
        <v>47.386951559999993</v>
      </c>
      <c r="J69" s="55">
        <v>50.311257839999996</v>
      </c>
      <c r="K69" s="55">
        <v>37.766645279999999</v>
      </c>
      <c r="L69" s="55">
        <v>50.281990919999998</v>
      </c>
      <c r="M69" s="55">
        <v>37.834643159999992</v>
      </c>
      <c r="N69" s="55">
        <v>62.411841359999997</v>
      </c>
      <c r="O69" s="55">
        <v>46.983640680000008</v>
      </c>
      <c r="P69" s="55">
        <v>31.343118480000001</v>
      </c>
      <c r="Q69" s="55">
        <v>65.700526679999996</v>
      </c>
      <c r="R69" s="55">
        <v>62.655826319999989</v>
      </c>
      <c r="S69" s="55">
        <v>62.523415079999999</v>
      </c>
      <c r="T69" s="55">
        <v>40.986857519999987</v>
      </c>
      <c r="U69" s="55">
        <v>38.071622159999997</v>
      </c>
      <c r="V69" s="55">
        <v>43.988534999999999</v>
      </c>
      <c r="W69" s="55">
        <v>56.450763360000003</v>
      </c>
      <c r="DA69" s="101" t="s">
        <v>221</v>
      </c>
    </row>
    <row r="70" spans="1:105" ht="12" customHeight="1" x14ac:dyDescent="0.25">
      <c r="A70" s="60" t="s">
        <v>153</v>
      </c>
      <c r="B70" s="55">
        <v>2741.1525899999988</v>
      </c>
      <c r="C70" s="55">
        <v>3201.9243300000012</v>
      </c>
      <c r="D70" s="55">
        <v>2997.4398300000007</v>
      </c>
      <c r="E70" s="55">
        <v>3039.2455499999987</v>
      </c>
      <c r="F70" s="55">
        <v>2993.2491599999998</v>
      </c>
      <c r="G70" s="55">
        <v>3168.7019099999998</v>
      </c>
      <c r="H70" s="55">
        <v>3059.0881200000008</v>
      </c>
      <c r="I70" s="55">
        <v>3038.9931000000001</v>
      </c>
      <c r="J70" s="55">
        <v>3367.7839800000006</v>
      </c>
      <c r="K70" s="55">
        <v>3057.4724399999996</v>
      </c>
      <c r="L70" s="55">
        <v>3174.7102200000004</v>
      </c>
      <c r="M70" s="55">
        <v>3072.8213999999998</v>
      </c>
      <c r="N70" s="55">
        <v>2875.1025600000003</v>
      </c>
      <c r="O70" s="55">
        <v>2741.6070000000004</v>
      </c>
      <c r="P70" s="55">
        <v>2674.1018699999991</v>
      </c>
      <c r="Q70" s="55">
        <v>2669.5577699999994</v>
      </c>
      <c r="R70" s="55">
        <v>2722.9335764399993</v>
      </c>
      <c r="S70" s="55">
        <v>2933.1155700000013</v>
      </c>
      <c r="T70" s="55">
        <v>2668.6535950800007</v>
      </c>
      <c r="U70" s="55">
        <v>2818.7252240399994</v>
      </c>
      <c r="V70" s="55">
        <v>2569.538897639999</v>
      </c>
      <c r="W70" s="55">
        <v>2428.2129445200003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44.352483840000005</v>
      </c>
      <c r="C71" s="55">
        <f t="shared" ref="C71:W71" si="40">SUM(C72:C76)</f>
        <v>61.668477719999998</v>
      </c>
      <c r="D71" s="55">
        <f t="shared" si="40"/>
        <v>55.071893880000005</v>
      </c>
      <c r="E71" s="55">
        <f t="shared" si="40"/>
        <v>65.347690987680537</v>
      </c>
      <c r="F71" s="55">
        <f t="shared" si="40"/>
        <v>63.106567262820221</v>
      </c>
      <c r="G71" s="55">
        <f t="shared" si="40"/>
        <v>76.998120911693761</v>
      </c>
      <c r="H71" s="55">
        <f t="shared" si="40"/>
        <v>74.116928924963702</v>
      </c>
      <c r="I71" s="55">
        <f t="shared" si="40"/>
        <v>99.716052192200095</v>
      </c>
      <c r="J71" s="55">
        <f t="shared" si="40"/>
        <v>114.79343658043886</v>
      </c>
      <c r="K71" s="55">
        <f t="shared" si="40"/>
        <v>100.35990263338238</v>
      </c>
      <c r="L71" s="55">
        <f t="shared" si="40"/>
        <v>122.50872383542358</v>
      </c>
      <c r="M71" s="55">
        <f t="shared" si="40"/>
        <v>119.01221379455504</v>
      </c>
      <c r="N71" s="55">
        <f t="shared" si="40"/>
        <v>121.66273926099842</v>
      </c>
      <c r="O71" s="55">
        <f t="shared" si="40"/>
        <v>137.33563268979464</v>
      </c>
      <c r="P71" s="55">
        <f t="shared" si="40"/>
        <v>135.24424446118383</v>
      </c>
      <c r="Q71" s="55">
        <f t="shared" si="40"/>
        <v>157.48875953427623</v>
      </c>
      <c r="R71" s="55">
        <f t="shared" si="40"/>
        <v>141.78301946912904</v>
      </c>
      <c r="S71" s="55">
        <f t="shared" si="40"/>
        <v>141.95220760127364</v>
      </c>
      <c r="T71" s="55">
        <f t="shared" si="40"/>
        <v>148.39605492881734</v>
      </c>
      <c r="U71" s="55">
        <f t="shared" si="40"/>
        <v>161.22167641591511</v>
      </c>
      <c r="V71" s="55">
        <f t="shared" si="40"/>
        <v>146.01630123074384</v>
      </c>
      <c r="W71" s="55">
        <f t="shared" si="40"/>
        <v>157.19901452602124</v>
      </c>
      <c r="DA71" s="101"/>
    </row>
    <row r="72" spans="1:105" ht="12" customHeight="1" x14ac:dyDescent="0.25">
      <c r="A72" s="61" t="s">
        <v>171</v>
      </c>
      <c r="B72" s="55">
        <v>44.352483840000005</v>
      </c>
      <c r="C72" s="55">
        <v>61.668477719999998</v>
      </c>
      <c r="D72" s="55">
        <v>55.071893880000005</v>
      </c>
      <c r="E72" s="55">
        <v>65.347690987680537</v>
      </c>
      <c r="F72" s="55">
        <v>63.106567262820221</v>
      </c>
      <c r="G72" s="55">
        <v>76.998120911693761</v>
      </c>
      <c r="H72" s="55">
        <v>74.116928924963702</v>
      </c>
      <c r="I72" s="55">
        <v>99.716052192200095</v>
      </c>
      <c r="J72" s="55">
        <v>114.79343658043886</v>
      </c>
      <c r="K72" s="55">
        <v>100.35990263338238</v>
      </c>
      <c r="L72" s="55">
        <v>122.50872383542358</v>
      </c>
      <c r="M72" s="55">
        <v>119.01221379455504</v>
      </c>
      <c r="N72" s="55">
        <v>121.66273926099842</v>
      </c>
      <c r="O72" s="55">
        <v>137.33563268979464</v>
      </c>
      <c r="P72" s="55">
        <v>135.24424446118383</v>
      </c>
      <c r="Q72" s="55">
        <v>157.48875953427623</v>
      </c>
      <c r="R72" s="55">
        <v>141.78301946912904</v>
      </c>
      <c r="S72" s="55">
        <v>141.95220760127364</v>
      </c>
      <c r="T72" s="55">
        <v>148.39605492881734</v>
      </c>
      <c r="U72" s="55">
        <v>161.22167641591511</v>
      </c>
      <c r="V72" s="55">
        <v>146.01630123074384</v>
      </c>
      <c r="W72" s="55">
        <v>157.19901452602124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4873.4064763197575</v>
      </c>
      <c r="C81" s="82">
        <f t="shared" ref="C81:W81" si="42">C82+C87</f>
        <v>4195.8633328386622</v>
      </c>
      <c r="D81" s="82">
        <f t="shared" si="42"/>
        <v>4032.9449613836364</v>
      </c>
      <c r="E81" s="82">
        <f t="shared" si="42"/>
        <v>4967.4319437265822</v>
      </c>
      <c r="F81" s="82">
        <f t="shared" si="42"/>
        <v>5094.1453232182703</v>
      </c>
      <c r="G81" s="82">
        <f t="shared" si="42"/>
        <v>3631.8524045392196</v>
      </c>
      <c r="H81" s="82">
        <f t="shared" si="42"/>
        <v>3878.7859518593255</v>
      </c>
      <c r="I81" s="82">
        <f t="shared" si="42"/>
        <v>3427.3253374371448</v>
      </c>
      <c r="J81" s="82">
        <f t="shared" si="42"/>
        <v>3878.1842019754408</v>
      </c>
      <c r="K81" s="82">
        <f t="shared" si="42"/>
        <v>3310.0359004115703</v>
      </c>
      <c r="L81" s="82">
        <f t="shared" si="42"/>
        <v>3512.0491542501113</v>
      </c>
      <c r="M81" s="82">
        <f t="shared" si="42"/>
        <v>3373.0663455546392</v>
      </c>
      <c r="N81" s="82">
        <f t="shared" si="42"/>
        <v>3194.3598601619228</v>
      </c>
      <c r="O81" s="82">
        <f t="shared" si="42"/>
        <v>3059.9767541984311</v>
      </c>
      <c r="P81" s="82">
        <f t="shared" si="42"/>
        <v>2958.9568351294934</v>
      </c>
      <c r="Q81" s="82">
        <f t="shared" si="42"/>
        <v>2997.7105444107774</v>
      </c>
      <c r="R81" s="82">
        <f t="shared" si="42"/>
        <v>3061.7158616765892</v>
      </c>
      <c r="S81" s="82">
        <f t="shared" si="42"/>
        <v>3268.5008713751354</v>
      </c>
      <c r="T81" s="82">
        <f t="shared" si="42"/>
        <v>2949.5017833464976</v>
      </c>
      <c r="U81" s="82">
        <f t="shared" si="42"/>
        <v>3128.6861158006614</v>
      </c>
      <c r="V81" s="82">
        <f t="shared" si="42"/>
        <v>2843.414717660502</v>
      </c>
      <c r="W81" s="82">
        <f t="shared" si="42"/>
        <v>2738.0576424538276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4873.4064763197575</v>
      </c>
      <c r="C82" s="64">
        <f t="shared" ref="C82:W82" si="44">SUM(C83:C86)</f>
        <v>4195.8633328386622</v>
      </c>
      <c r="D82" s="64">
        <f t="shared" si="44"/>
        <v>4032.9449613836364</v>
      </c>
      <c r="E82" s="64">
        <f t="shared" si="44"/>
        <v>4967.4319437265822</v>
      </c>
      <c r="F82" s="64">
        <f t="shared" si="44"/>
        <v>5094.1453232182703</v>
      </c>
      <c r="G82" s="64">
        <f t="shared" si="44"/>
        <v>3631.8524045392196</v>
      </c>
      <c r="H82" s="64">
        <f t="shared" si="44"/>
        <v>3878.7859518593255</v>
      </c>
      <c r="I82" s="64">
        <f t="shared" si="44"/>
        <v>3427.3253374371448</v>
      </c>
      <c r="J82" s="64">
        <f t="shared" si="44"/>
        <v>3878.1842019754408</v>
      </c>
      <c r="K82" s="64">
        <f t="shared" si="44"/>
        <v>3310.0359004115703</v>
      </c>
      <c r="L82" s="64">
        <f t="shared" si="44"/>
        <v>3512.0491542501113</v>
      </c>
      <c r="M82" s="64">
        <f t="shared" si="44"/>
        <v>3373.0663455546392</v>
      </c>
      <c r="N82" s="64">
        <f t="shared" si="44"/>
        <v>3194.3598601619228</v>
      </c>
      <c r="O82" s="64">
        <f t="shared" si="44"/>
        <v>3059.9767541984311</v>
      </c>
      <c r="P82" s="64">
        <f t="shared" si="44"/>
        <v>2958.9568351294934</v>
      </c>
      <c r="Q82" s="64">
        <f t="shared" si="44"/>
        <v>2997.7105444107774</v>
      </c>
      <c r="R82" s="64">
        <f t="shared" si="44"/>
        <v>3061.7158616765892</v>
      </c>
      <c r="S82" s="64">
        <f t="shared" si="44"/>
        <v>3268.5008713751354</v>
      </c>
      <c r="T82" s="64">
        <f t="shared" si="44"/>
        <v>2949.5017833464976</v>
      </c>
      <c r="U82" s="64">
        <f t="shared" si="44"/>
        <v>3128.6861158006614</v>
      </c>
      <c r="V82" s="64">
        <f t="shared" si="44"/>
        <v>2843.414717660502</v>
      </c>
      <c r="W82" s="64">
        <f t="shared" si="44"/>
        <v>2738.0576424538276</v>
      </c>
      <c r="DA82" s="108" t="s">
        <v>232</v>
      </c>
    </row>
    <row r="83" spans="1:105" ht="12" customHeight="1" x14ac:dyDescent="0.25">
      <c r="A83" s="61" t="s">
        <v>32</v>
      </c>
      <c r="B83" s="65">
        <v>4419.6250078461608</v>
      </c>
      <c r="C83" s="65">
        <v>3694.618647361558</v>
      </c>
      <c r="D83" s="65">
        <v>3522.7178690230994</v>
      </c>
      <c r="E83" s="65">
        <v>4462.6425140534775</v>
      </c>
      <c r="F83" s="65">
        <v>4578.2995039406569</v>
      </c>
      <c r="G83" s="65">
        <v>3098.6715450621855</v>
      </c>
      <c r="H83" s="65">
        <v>3331.8760643602191</v>
      </c>
      <c r="I83" s="65">
        <v>2857.961446442177</v>
      </c>
      <c r="J83" s="65">
        <v>3279.122134469058</v>
      </c>
      <c r="K83" s="65">
        <v>2623.9109882071971</v>
      </c>
      <c r="L83" s="65">
        <v>2846.3973972901176</v>
      </c>
      <c r="M83" s="65">
        <v>2700.4113994552004</v>
      </c>
      <c r="N83" s="65">
        <v>2517.5868961287638</v>
      </c>
      <c r="O83" s="65">
        <v>2380.1859277088606</v>
      </c>
      <c r="P83" s="65">
        <v>2272.3642837105745</v>
      </c>
      <c r="Q83" s="65">
        <v>2307.4233861578541</v>
      </c>
      <c r="R83" s="65">
        <v>2336.2783480053226</v>
      </c>
      <c r="S83" s="65">
        <v>2457.0528641008345</v>
      </c>
      <c r="T83" s="65">
        <v>2195.3471255126801</v>
      </c>
      <c r="U83" s="65">
        <v>2320.8120950656912</v>
      </c>
      <c r="V83" s="65">
        <v>2101.7605562757485</v>
      </c>
      <c r="W83" s="65">
        <v>2009.6519426324439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9.801603999119668E-2</v>
      </c>
      <c r="H84" s="65">
        <v>0.12694284866048677</v>
      </c>
      <c r="I84" s="65">
        <v>0.17959043174098088</v>
      </c>
      <c r="J84" s="65">
        <v>0.18617402847802822</v>
      </c>
      <c r="K84" s="65">
        <v>0.24151830967403429</v>
      </c>
      <c r="L84" s="65">
        <v>0.24809875744193083</v>
      </c>
      <c r="M84" s="65">
        <v>0.26387116145462108</v>
      </c>
      <c r="N84" s="65">
        <v>0.27651294778979724</v>
      </c>
      <c r="O84" s="65">
        <v>0.34269392591068909</v>
      </c>
      <c r="P84" s="65">
        <v>0.47659156402878805</v>
      </c>
      <c r="Q84" s="65">
        <v>0.88283436479763999</v>
      </c>
      <c r="R84" s="65">
        <v>0.88541003850930744</v>
      </c>
      <c r="S84" s="65">
        <v>1.0821645409914136</v>
      </c>
      <c r="T84" s="65">
        <v>1.3799610648343259</v>
      </c>
      <c r="U84" s="65">
        <v>1.4053968117668258</v>
      </c>
      <c r="V84" s="65">
        <v>1.5269042815290381</v>
      </c>
      <c r="W84" s="65">
        <v>1.6244292736355088</v>
      </c>
      <c r="DA84" s="109" t="s">
        <v>234</v>
      </c>
    </row>
    <row r="85" spans="1:105" ht="12" customHeight="1" x14ac:dyDescent="0.25">
      <c r="A85" s="61" t="s">
        <v>35</v>
      </c>
      <c r="B85" s="65">
        <v>200.33494096374662</v>
      </c>
      <c r="C85" s="65">
        <v>200.75192827945193</v>
      </c>
      <c r="D85" s="65">
        <v>208.00723243422439</v>
      </c>
      <c r="E85" s="65">
        <v>208.06542754246908</v>
      </c>
      <c r="F85" s="65">
        <v>210.44964780754043</v>
      </c>
      <c r="G85" s="65">
        <v>223.21480755797489</v>
      </c>
      <c r="H85" s="65">
        <v>235.69046745387112</v>
      </c>
      <c r="I85" s="65">
        <v>246.81352804574999</v>
      </c>
      <c r="J85" s="65">
        <v>261.97854068250621</v>
      </c>
      <c r="K85" s="65">
        <v>315.42484400418425</v>
      </c>
      <c r="L85" s="65">
        <v>298.8263465513553</v>
      </c>
      <c r="M85" s="65">
        <v>301.25775252341901</v>
      </c>
      <c r="N85" s="65">
        <v>304.87242235995291</v>
      </c>
      <c r="O85" s="65">
        <v>306.409943624714</v>
      </c>
      <c r="P85" s="65">
        <v>307.9038117025832</v>
      </c>
      <c r="Q85" s="65">
        <v>310.74576325390717</v>
      </c>
      <c r="R85" s="65">
        <v>313.41202429319333</v>
      </c>
      <c r="S85" s="65">
        <v>336.17538435394516</v>
      </c>
      <c r="T85" s="65">
        <v>304.74715938124717</v>
      </c>
      <c r="U85" s="65">
        <v>321.93087156281615</v>
      </c>
      <c r="V85" s="65">
        <v>296.98639172026725</v>
      </c>
      <c r="W85" s="65">
        <v>291.35030791537906</v>
      </c>
      <c r="DA85" s="109" t="s">
        <v>235</v>
      </c>
    </row>
    <row r="86" spans="1:105" ht="12" customHeight="1" x14ac:dyDescent="0.25">
      <c r="A86" s="66" t="s">
        <v>34</v>
      </c>
      <c r="B86" s="67">
        <v>253.44652750984972</v>
      </c>
      <c r="C86" s="67">
        <v>300.49275719765222</v>
      </c>
      <c r="D86" s="67">
        <v>302.21985992631232</v>
      </c>
      <c r="E86" s="67">
        <v>296.72400213063503</v>
      </c>
      <c r="F86" s="67">
        <v>305.39617147007249</v>
      </c>
      <c r="G86" s="67">
        <v>309.86803587906797</v>
      </c>
      <c r="H86" s="67">
        <v>311.09247719657515</v>
      </c>
      <c r="I86" s="67">
        <v>322.37077251747689</v>
      </c>
      <c r="J86" s="67">
        <v>336.89735279539866</v>
      </c>
      <c r="K86" s="67">
        <v>370.4585498905148</v>
      </c>
      <c r="L86" s="67">
        <v>366.57731165119645</v>
      </c>
      <c r="M86" s="67">
        <v>371.13332241456504</v>
      </c>
      <c r="N86" s="67">
        <v>371.62402872541628</v>
      </c>
      <c r="O86" s="67">
        <v>373.03818893894595</v>
      </c>
      <c r="P86" s="67">
        <v>378.2121481523069</v>
      </c>
      <c r="Q86" s="67">
        <v>378.65856063421865</v>
      </c>
      <c r="R86" s="67">
        <v>411.14007933956441</v>
      </c>
      <c r="S86" s="67">
        <v>474.19045837936449</v>
      </c>
      <c r="T86" s="67">
        <v>448.027537387736</v>
      </c>
      <c r="U86" s="67">
        <v>484.53775236038712</v>
      </c>
      <c r="V86" s="67">
        <v>443.14086538295703</v>
      </c>
      <c r="W86" s="67">
        <v>435.43096263236953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0.9068861851194735</v>
      </c>
      <c r="C91" s="71">
        <f t="shared" ref="C91:W91" si="50">IF(C83=0,0,C83/C$81)</f>
        <v>0.88053836702588861</v>
      </c>
      <c r="D91" s="71">
        <f t="shared" si="50"/>
        <v>0.8734852329386894</v>
      </c>
      <c r="E91" s="71">
        <f t="shared" si="50"/>
        <v>0.89838020220677439</v>
      </c>
      <c r="F91" s="71">
        <f t="shared" si="50"/>
        <v>0.89873751403862123</v>
      </c>
      <c r="G91" s="71">
        <f t="shared" si="50"/>
        <v>0.85319313670053176</v>
      </c>
      <c r="H91" s="71">
        <f t="shared" si="50"/>
        <v>0.85899972458213603</v>
      </c>
      <c r="I91" s="71">
        <f t="shared" si="50"/>
        <v>0.83387515483991914</v>
      </c>
      <c r="J91" s="71">
        <f t="shared" si="50"/>
        <v>0.84553026975839951</v>
      </c>
      <c r="K91" s="71">
        <f t="shared" si="50"/>
        <v>0.79271375512300024</v>
      </c>
      <c r="L91" s="71">
        <f t="shared" si="50"/>
        <v>0.81046627546358396</v>
      </c>
      <c r="M91" s="71">
        <f t="shared" si="50"/>
        <v>0.80058057648764303</v>
      </c>
      <c r="N91" s="71">
        <f t="shared" si="50"/>
        <v>0.78813502746717667</v>
      </c>
      <c r="O91" s="71">
        <f t="shared" si="50"/>
        <v>0.77784444749233284</v>
      </c>
      <c r="P91" s="71">
        <f t="shared" si="50"/>
        <v>0.76796128173702427</v>
      </c>
      <c r="Q91" s="71">
        <f t="shared" si="50"/>
        <v>0.76972854849513017</v>
      </c>
      <c r="R91" s="71">
        <f t="shared" si="50"/>
        <v>0.76306177762882987</v>
      </c>
      <c r="S91" s="71">
        <f t="shared" si="50"/>
        <v>0.75173694632276311</v>
      </c>
      <c r="T91" s="71">
        <f t="shared" si="50"/>
        <v>0.7443111707570641</v>
      </c>
      <c r="U91" s="71">
        <f t="shared" si="50"/>
        <v>0.74178489281650828</v>
      </c>
      <c r="V91" s="71">
        <f t="shared" si="50"/>
        <v>0.7391677841511034</v>
      </c>
      <c r="W91" s="71">
        <f t="shared" si="50"/>
        <v>0.73396991775213627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2.6987891872668811E-5</v>
      </c>
      <c r="H92" s="72">
        <f t="shared" si="52"/>
        <v>3.2727469428839137E-5</v>
      </c>
      <c r="I92" s="72">
        <f t="shared" si="52"/>
        <v>5.2399586867138047E-5</v>
      </c>
      <c r="J92" s="72">
        <f t="shared" si="52"/>
        <v>4.8005463067792463E-5</v>
      </c>
      <c r="K92" s="72">
        <f t="shared" si="52"/>
        <v>7.2965465312326027E-5</v>
      </c>
      <c r="L92" s="72">
        <f t="shared" si="52"/>
        <v>7.0642165455370629E-5</v>
      </c>
      <c r="M92" s="72">
        <f t="shared" si="52"/>
        <v>7.8228867867475134E-5</v>
      </c>
      <c r="N92" s="72">
        <f t="shared" si="52"/>
        <v>8.6562867020179978E-5</v>
      </c>
      <c r="O92" s="72">
        <f t="shared" si="52"/>
        <v>1.1199232982423706E-4</v>
      </c>
      <c r="P92" s="72">
        <f t="shared" si="52"/>
        <v>1.6106742699676147E-4</v>
      </c>
      <c r="Q92" s="72">
        <f t="shared" si="52"/>
        <v>2.9450287201467204E-4</v>
      </c>
      <c r="R92" s="72">
        <f t="shared" si="52"/>
        <v>2.8918752703082604E-4</v>
      </c>
      <c r="S92" s="72">
        <f t="shared" si="52"/>
        <v>3.3108895593964504E-4</v>
      </c>
      <c r="T92" s="72">
        <f t="shared" si="52"/>
        <v>4.6786242769062693E-4</v>
      </c>
      <c r="U92" s="72">
        <f t="shared" si="52"/>
        <v>4.4919712612563281E-4</v>
      </c>
      <c r="V92" s="72">
        <f t="shared" si="52"/>
        <v>5.3699668642966754E-4</v>
      </c>
      <c r="W92" s="72">
        <f t="shared" si="52"/>
        <v>5.9327796772740951E-4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4.1107784039190846E-2</v>
      </c>
      <c r="C93" s="72">
        <f t="shared" ref="C93:W93" si="54">IF(C85=0,0,C85/C$81)</f>
        <v>4.78452018940368E-2</v>
      </c>
      <c r="D93" s="72">
        <f t="shared" si="54"/>
        <v>5.1577007478639275E-2</v>
      </c>
      <c r="E93" s="72">
        <f t="shared" si="54"/>
        <v>4.1885914069791516E-2</v>
      </c>
      <c r="F93" s="72">
        <f t="shared" si="54"/>
        <v>4.1312062074151244E-2</v>
      </c>
      <c r="G93" s="72">
        <f t="shared" si="54"/>
        <v>6.1460319058944411E-2</v>
      </c>
      <c r="H93" s="72">
        <f t="shared" si="54"/>
        <v>6.0763978827161398E-2</v>
      </c>
      <c r="I93" s="72">
        <f t="shared" si="54"/>
        <v>7.2013451816135443E-2</v>
      </c>
      <c r="J93" s="72">
        <f t="shared" si="54"/>
        <v>6.7551855981740502E-2</v>
      </c>
      <c r="K93" s="72">
        <f t="shared" si="54"/>
        <v>9.5293481247428244E-2</v>
      </c>
      <c r="L93" s="72">
        <f t="shared" si="54"/>
        <v>8.508603764549541E-2</v>
      </c>
      <c r="M93" s="72">
        <f t="shared" si="54"/>
        <v>8.9312726659066852E-2</v>
      </c>
      <c r="N93" s="72">
        <f t="shared" si="54"/>
        <v>9.5440850657476914E-2</v>
      </c>
      <c r="O93" s="72">
        <f t="shared" si="54"/>
        <v>0.10013472919501928</v>
      </c>
      <c r="P93" s="72">
        <f t="shared" si="54"/>
        <v>0.1040582302678668</v>
      </c>
      <c r="Q93" s="72">
        <f t="shared" si="54"/>
        <v>0.10366103019295567</v>
      </c>
      <c r="R93" s="72">
        <f t="shared" si="54"/>
        <v>0.10236483019739447</v>
      </c>
      <c r="S93" s="72">
        <f t="shared" si="54"/>
        <v>0.10285308084146487</v>
      </c>
      <c r="T93" s="72">
        <f t="shared" si="54"/>
        <v>0.10332157149451925</v>
      </c>
      <c r="U93" s="72">
        <f t="shared" si="54"/>
        <v>0.10289650659968198</v>
      </c>
      <c r="V93" s="72">
        <f t="shared" si="54"/>
        <v>0.1044470895770776</v>
      </c>
      <c r="W93" s="72">
        <f t="shared" si="54"/>
        <v>0.10640766045168903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5.2006030841335552E-2</v>
      </c>
      <c r="C94" s="73">
        <f t="shared" ref="C94:W94" si="56">IF(C86=0,0,C86/C$81)</f>
        <v>7.1616431080074608E-2</v>
      </c>
      <c r="D94" s="73">
        <f t="shared" si="56"/>
        <v>7.4937759582671251E-2</v>
      </c>
      <c r="E94" s="73">
        <f t="shared" si="56"/>
        <v>5.9733883723433925E-2</v>
      </c>
      <c r="F94" s="73">
        <f t="shared" si="56"/>
        <v>5.9950423887227433E-2</v>
      </c>
      <c r="G94" s="73">
        <f t="shared" si="56"/>
        <v>8.5319556348651113E-2</v>
      </c>
      <c r="H94" s="73">
        <f t="shared" si="56"/>
        <v>8.0203569121273785E-2</v>
      </c>
      <c r="I94" s="73">
        <f t="shared" si="56"/>
        <v>9.4058993757078366E-2</v>
      </c>
      <c r="J94" s="73">
        <f t="shared" si="56"/>
        <v>8.6869868796792163E-2</v>
      </c>
      <c r="K94" s="73">
        <f t="shared" si="56"/>
        <v>0.11191979816425916</v>
      </c>
      <c r="L94" s="73">
        <f t="shared" si="56"/>
        <v>0.1043770447254653</v>
      </c>
      <c r="M94" s="73">
        <f t="shared" si="56"/>
        <v>0.11002846798542261</v>
      </c>
      <c r="N94" s="73">
        <f t="shared" si="56"/>
        <v>0.11633755900832618</v>
      </c>
      <c r="O94" s="73">
        <f t="shared" si="56"/>
        <v>0.12190883098282368</v>
      </c>
      <c r="P94" s="73">
        <f t="shared" si="56"/>
        <v>0.12781942056811219</v>
      </c>
      <c r="Q94" s="73">
        <f t="shared" si="56"/>
        <v>0.12631591843989956</v>
      </c>
      <c r="R94" s="73">
        <f t="shared" si="56"/>
        <v>0.13428420464674504</v>
      </c>
      <c r="S94" s="73">
        <f t="shared" si="56"/>
        <v>0.14507888387983248</v>
      </c>
      <c r="T94" s="73">
        <f t="shared" si="56"/>
        <v>0.15189939532072602</v>
      </c>
      <c r="U94" s="73">
        <f t="shared" si="56"/>
        <v>0.15486940345768407</v>
      </c>
      <c r="V94" s="73">
        <f t="shared" si="56"/>
        <v>0.15584812958538929</v>
      </c>
      <c r="W94" s="73">
        <f t="shared" si="56"/>
        <v>0.15902914382844746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188093.68831488595</v>
      </c>
      <c r="C99" s="82">
        <f t="shared" ref="C99:W99" si="60">C47*11630*1000/C$8</f>
        <v>183546.21331309935</v>
      </c>
      <c r="D99" s="82">
        <f t="shared" si="60"/>
        <v>172384.85055196361</v>
      </c>
      <c r="E99" s="82">
        <f t="shared" si="60"/>
        <v>187588.91137219191</v>
      </c>
      <c r="F99" s="82">
        <f t="shared" si="60"/>
        <v>176107.29785182583</v>
      </c>
      <c r="G99" s="82">
        <f t="shared" si="60"/>
        <v>154881.94371845204</v>
      </c>
      <c r="H99" s="82">
        <f t="shared" si="60"/>
        <v>147299.17106018015</v>
      </c>
      <c r="I99" s="82">
        <f t="shared" si="60"/>
        <v>136903.98059621319</v>
      </c>
      <c r="J99" s="82">
        <f t="shared" si="60"/>
        <v>143141.18021590484</v>
      </c>
      <c r="K99" s="82">
        <f t="shared" si="60"/>
        <v>135375.36141358697</v>
      </c>
      <c r="L99" s="82">
        <f t="shared" si="60"/>
        <v>145862.33695949017</v>
      </c>
      <c r="M99" s="82">
        <f t="shared" si="60"/>
        <v>138808.86167476207</v>
      </c>
      <c r="N99" s="82">
        <f t="shared" si="60"/>
        <v>133977.23174194741</v>
      </c>
      <c r="O99" s="82">
        <f t="shared" si="60"/>
        <v>131472.38314628351</v>
      </c>
      <c r="P99" s="82">
        <f t="shared" si="60"/>
        <v>125848.34341356988</v>
      </c>
      <c r="Q99" s="82">
        <f t="shared" si="60"/>
        <v>125367.40480087454</v>
      </c>
      <c r="R99" s="82">
        <f t="shared" si="60"/>
        <v>127132.88164658016</v>
      </c>
      <c r="S99" s="82">
        <f t="shared" si="60"/>
        <v>129345.95651882875</v>
      </c>
      <c r="T99" s="82">
        <f t="shared" si="60"/>
        <v>123831.17662118933</v>
      </c>
      <c r="U99" s="82">
        <f t="shared" si="60"/>
        <v>124246.91331991242</v>
      </c>
      <c r="V99" s="82">
        <f t="shared" si="60"/>
        <v>114843.2076070336</v>
      </c>
      <c r="W99" s="82">
        <f t="shared" si="60"/>
        <v>112385.88373565509</v>
      </c>
      <c r="DA99" s="107"/>
    </row>
    <row r="100" spans="1:105" ht="12" customHeight="1" x14ac:dyDescent="0.25">
      <c r="A100" s="77" t="s">
        <v>36</v>
      </c>
      <c r="B100" s="64">
        <f t="shared" si="59"/>
        <v>165430.13387847153</v>
      </c>
      <c r="C100" s="64">
        <f t="shared" ref="C100:W100" si="61">C48*11630*1000/C$8</f>
        <v>160337.93545243039</v>
      </c>
      <c r="D100" s="64">
        <f t="shared" si="61"/>
        <v>148585.31282765974</v>
      </c>
      <c r="E100" s="64">
        <f t="shared" si="61"/>
        <v>163144.75441033932</v>
      </c>
      <c r="F100" s="64">
        <f t="shared" si="61"/>
        <v>151069.69208345719</v>
      </c>
      <c r="G100" s="64">
        <f t="shared" si="61"/>
        <v>129437.35154450902</v>
      </c>
      <c r="H100" s="64">
        <f t="shared" si="61"/>
        <v>121624.34358180905</v>
      </c>
      <c r="I100" s="64">
        <f t="shared" si="61"/>
        <v>110964.40517898856</v>
      </c>
      <c r="J100" s="64">
        <f t="shared" si="61"/>
        <v>116887.48219356414</v>
      </c>
      <c r="K100" s="64">
        <f t="shared" si="61"/>
        <v>108370.02513256468</v>
      </c>
      <c r="L100" s="64">
        <f t="shared" si="61"/>
        <v>118527.06114655771</v>
      </c>
      <c r="M100" s="64">
        <f t="shared" si="61"/>
        <v>111498.06432465854</v>
      </c>
      <c r="N100" s="64">
        <f t="shared" si="61"/>
        <v>106487.10709681401</v>
      </c>
      <c r="O100" s="64">
        <f t="shared" si="61"/>
        <v>103739.14149346399</v>
      </c>
      <c r="P100" s="64">
        <f t="shared" si="61"/>
        <v>97999.972641747096</v>
      </c>
      <c r="Q100" s="64">
        <f t="shared" si="61"/>
        <v>97089.013227286094</v>
      </c>
      <c r="R100" s="64">
        <f t="shared" si="61"/>
        <v>98924.472006949291</v>
      </c>
      <c r="S100" s="64">
        <f t="shared" si="61"/>
        <v>101155.71620068402</v>
      </c>
      <c r="T100" s="64">
        <f t="shared" si="61"/>
        <v>96242.461863208795</v>
      </c>
      <c r="U100" s="64">
        <f t="shared" si="61"/>
        <v>97448.460260563676</v>
      </c>
      <c r="V100" s="64">
        <f t="shared" si="61"/>
        <v>89706.554155124089</v>
      </c>
      <c r="W100" s="64">
        <f t="shared" si="61"/>
        <v>88287.564434265281</v>
      </c>
      <c r="DA100" s="108"/>
    </row>
    <row r="101" spans="1:105" ht="12" customHeight="1" x14ac:dyDescent="0.25">
      <c r="A101" s="61" t="s">
        <v>32</v>
      </c>
      <c r="B101" s="65">
        <f t="shared" si="59"/>
        <v>141679.62380592964</v>
      </c>
      <c r="C101" s="65">
        <f t="shared" ref="C101:W101" si="62">C49*11630*1000/C$8</f>
        <v>136505.04501816045</v>
      </c>
      <c r="D101" s="65">
        <f t="shared" si="62"/>
        <v>124863.74620723892</v>
      </c>
      <c r="E101" s="65">
        <f t="shared" si="62"/>
        <v>139504.40055488929</v>
      </c>
      <c r="F101" s="65">
        <f t="shared" si="62"/>
        <v>127799.25282730463</v>
      </c>
      <c r="G101" s="65">
        <f t="shared" si="62"/>
        <v>106309.83749662153</v>
      </c>
      <c r="H101" s="65">
        <f t="shared" si="62"/>
        <v>98321.973127714373</v>
      </c>
      <c r="I101" s="65">
        <f t="shared" si="62"/>
        <v>87676.225521356377</v>
      </c>
      <c r="J101" s="65">
        <f t="shared" si="62"/>
        <v>93380.304452432785</v>
      </c>
      <c r="K101" s="65">
        <f t="shared" si="62"/>
        <v>83191.187701045448</v>
      </c>
      <c r="L101" s="65">
        <f t="shared" si="62"/>
        <v>92735.887604463554</v>
      </c>
      <c r="M101" s="65">
        <f t="shared" si="62"/>
        <v>85537.498701914272</v>
      </c>
      <c r="N101" s="65">
        <f t="shared" si="62"/>
        <v>80394.218057537146</v>
      </c>
      <c r="O101" s="65">
        <f t="shared" si="62"/>
        <v>77506.027811968786</v>
      </c>
      <c r="P101" s="65">
        <f t="shared" si="62"/>
        <v>71962.828679349928</v>
      </c>
      <c r="Q101" s="65">
        <f t="shared" si="62"/>
        <v>70943.056184298533</v>
      </c>
      <c r="R101" s="65">
        <f t="shared" si="62"/>
        <v>72857.490479178159</v>
      </c>
      <c r="S101" s="65">
        <f t="shared" si="62"/>
        <v>74836.077054796799</v>
      </c>
      <c r="T101" s="65">
        <f t="shared" si="62"/>
        <v>70440.450533854208</v>
      </c>
      <c r="U101" s="65">
        <f t="shared" si="62"/>
        <v>71649.658933282437</v>
      </c>
      <c r="V101" s="65">
        <f t="shared" si="62"/>
        <v>65767.085852067685</v>
      </c>
      <c r="W101" s="65">
        <f t="shared" si="62"/>
        <v>64170.505426277625</v>
      </c>
      <c r="DA101" s="109"/>
    </row>
    <row r="102" spans="1:105" ht="12" customHeight="1" x14ac:dyDescent="0.25">
      <c r="A102" s="61" t="s">
        <v>31</v>
      </c>
      <c r="B102" s="65">
        <f t="shared" si="59"/>
        <v>669.1953890685802</v>
      </c>
      <c r="C102" s="65">
        <f t="shared" ref="C102:W102" si="63">C50*11630*1000/C$8</f>
        <v>697.88236219878297</v>
      </c>
      <c r="D102" s="65">
        <f t="shared" si="63"/>
        <v>829.25065713404706</v>
      </c>
      <c r="E102" s="65">
        <f t="shared" si="63"/>
        <v>923.26787677201185</v>
      </c>
      <c r="F102" s="65">
        <f t="shared" si="63"/>
        <v>933.44592167175961</v>
      </c>
      <c r="G102" s="65">
        <f t="shared" si="63"/>
        <v>1072.7177646655471</v>
      </c>
      <c r="H102" s="65">
        <f t="shared" si="63"/>
        <v>1252.8286776937659</v>
      </c>
      <c r="I102" s="65">
        <f t="shared" si="63"/>
        <v>1362.0089005207847</v>
      </c>
      <c r="J102" s="65">
        <f t="shared" si="63"/>
        <v>1437.4686726421792</v>
      </c>
      <c r="K102" s="65">
        <f t="shared" si="63"/>
        <v>1550.3958740554808</v>
      </c>
      <c r="L102" s="65">
        <f t="shared" si="63"/>
        <v>1651.8895236860392</v>
      </c>
      <c r="M102" s="65">
        <f t="shared" si="63"/>
        <v>1698.6960893982955</v>
      </c>
      <c r="N102" s="65">
        <f t="shared" si="63"/>
        <v>1721.4773574654664</v>
      </c>
      <c r="O102" s="65">
        <f t="shared" si="63"/>
        <v>1785.434540526938</v>
      </c>
      <c r="P102" s="65">
        <f t="shared" si="63"/>
        <v>1679.4754817722467</v>
      </c>
      <c r="Q102" s="65">
        <f t="shared" si="63"/>
        <v>1950.6769844989669</v>
      </c>
      <c r="R102" s="65">
        <f t="shared" si="63"/>
        <v>1629.3920844436736</v>
      </c>
      <c r="S102" s="65">
        <f t="shared" si="63"/>
        <v>1620.7296826715408</v>
      </c>
      <c r="T102" s="65">
        <f t="shared" si="63"/>
        <v>1689.7506005214227</v>
      </c>
      <c r="U102" s="65">
        <f t="shared" si="63"/>
        <v>1660.9833709526622</v>
      </c>
      <c r="V102" s="65">
        <f t="shared" si="63"/>
        <v>1483.6149759075847</v>
      </c>
      <c r="W102" s="65">
        <f t="shared" si="63"/>
        <v>1528.0572025276635</v>
      </c>
      <c r="DA102" s="109"/>
    </row>
    <row r="103" spans="1:105" ht="12" customHeight="1" x14ac:dyDescent="0.25">
      <c r="A103" s="61" t="s">
        <v>35</v>
      </c>
      <c r="B103" s="65">
        <f t="shared" si="59"/>
        <v>11741.686454375154</v>
      </c>
      <c r="C103" s="65">
        <f t="shared" ref="C103:W103" si="64">C51*11630*1000/C$8</f>
        <v>11584.977929262308</v>
      </c>
      <c r="D103" s="65">
        <f t="shared" si="64"/>
        <v>11402.998445263987</v>
      </c>
      <c r="E103" s="65">
        <f t="shared" si="64"/>
        <v>11182.728686539207</v>
      </c>
      <c r="F103" s="65">
        <f t="shared" si="64"/>
        <v>10830.679377025848</v>
      </c>
      <c r="G103" s="65">
        <f t="shared" si="64"/>
        <v>10707.659504301886</v>
      </c>
      <c r="H103" s="65">
        <f t="shared" si="64"/>
        <v>10722.030531361977</v>
      </c>
      <c r="I103" s="65">
        <f t="shared" si="64"/>
        <v>10711.191391673985</v>
      </c>
      <c r="J103" s="65">
        <f t="shared" si="64"/>
        <v>10715.444736776471</v>
      </c>
      <c r="K103" s="65">
        <f t="shared" si="64"/>
        <v>11535.502836525562</v>
      </c>
      <c r="L103" s="65">
        <f t="shared" si="64"/>
        <v>11779.893549433909</v>
      </c>
      <c r="M103" s="65">
        <f t="shared" si="64"/>
        <v>11775.581378501631</v>
      </c>
      <c r="N103" s="65">
        <f t="shared" si="64"/>
        <v>11830.316300081844</v>
      </c>
      <c r="O103" s="65">
        <f t="shared" si="64"/>
        <v>11761.746164183482</v>
      </c>
      <c r="P103" s="65">
        <f t="shared" si="64"/>
        <v>11621.934258327654</v>
      </c>
      <c r="Q103" s="65">
        <f t="shared" si="64"/>
        <v>11524.283849205325</v>
      </c>
      <c r="R103" s="65">
        <f t="shared" si="64"/>
        <v>11616.566971103817</v>
      </c>
      <c r="S103" s="65">
        <f t="shared" si="64"/>
        <v>11599.01220256242</v>
      </c>
      <c r="T103" s="65">
        <f t="shared" si="64"/>
        <v>11296.451925849291</v>
      </c>
      <c r="U103" s="65">
        <f t="shared" si="64"/>
        <v>11175.633615437084</v>
      </c>
      <c r="V103" s="65">
        <f t="shared" si="64"/>
        <v>10445.504231536808</v>
      </c>
      <c r="W103" s="65">
        <f t="shared" si="64"/>
        <v>10388.893571740067</v>
      </c>
      <c r="DA103" s="109"/>
    </row>
    <row r="104" spans="1:105" ht="12" customHeight="1" x14ac:dyDescent="0.25">
      <c r="A104" s="66" t="s">
        <v>34</v>
      </c>
      <c r="B104" s="67">
        <f t="shared" si="59"/>
        <v>11339.628229098142</v>
      </c>
      <c r="C104" s="67">
        <f t="shared" ref="C104:W104" si="65">C52*11630*1000/C$8</f>
        <v>11550.030142808815</v>
      </c>
      <c r="D104" s="67">
        <f t="shared" si="65"/>
        <v>11489.317518022795</v>
      </c>
      <c r="E104" s="67">
        <f t="shared" si="65"/>
        <v>11534.357292138802</v>
      </c>
      <c r="F104" s="67">
        <f t="shared" si="65"/>
        <v>11506.313957454975</v>
      </c>
      <c r="G104" s="67">
        <f t="shared" si="65"/>
        <v>11347.13677892005</v>
      </c>
      <c r="H104" s="67">
        <f t="shared" si="65"/>
        <v>11327.511245038904</v>
      </c>
      <c r="I104" s="67">
        <f t="shared" si="65"/>
        <v>11214.979365437415</v>
      </c>
      <c r="J104" s="67">
        <f t="shared" si="65"/>
        <v>11354.264331712711</v>
      </c>
      <c r="K104" s="67">
        <f t="shared" si="65"/>
        <v>12092.938720938193</v>
      </c>
      <c r="L104" s="67">
        <f t="shared" si="65"/>
        <v>12359.390468974234</v>
      </c>
      <c r="M104" s="67">
        <f t="shared" si="65"/>
        <v>12486.288154844346</v>
      </c>
      <c r="N104" s="67">
        <f t="shared" si="65"/>
        <v>12541.095381729569</v>
      </c>
      <c r="O104" s="67">
        <f t="shared" si="65"/>
        <v>12685.932976784779</v>
      </c>
      <c r="P104" s="67">
        <f t="shared" si="65"/>
        <v>12735.734222297264</v>
      </c>
      <c r="Q104" s="67">
        <f t="shared" si="65"/>
        <v>12670.996209283257</v>
      </c>
      <c r="R104" s="67">
        <f t="shared" si="65"/>
        <v>12821.02247222364</v>
      </c>
      <c r="S104" s="67">
        <f t="shared" si="65"/>
        <v>13099.897260653266</v>
      </c>
      <c r="T104" s="67">
        <f t="shared" si="65"/>
        <v>12815.808802983862</v>
      </c>
      <c r="U104" s="67">
        <f t="shared" si="65"/>
        <v>12962.184340891486</v>
      </c>
      <c r="V104" s="67">
        <f t="shared" si="65"/>
        <v>12010.349095612044</v>
      </c>
      <c r="W104" s="67">
        <f t="shared" si="65"/>
        <v>12200.108233719915</v>
      </c>
      <c r="DA104" s="110"/>
    </row>
    <row r="105" spans="1:105" ht="12" customHeight="1" x14ac:dyDescent="0.25">
      <c r="A105" s="78" t="s">
        <v>33</v>
      </c>
      <c r="B105" s="68">
        <f t="shared" si="59"/>
        <v>22663.55443641443</v>
      </c>
      <c r="C105" s="68">
        <f t="shared" ref="C105:W105" si="66">C53*11630*1000/C$8</f>
        <v>23208.277860668961</v>
      </c>
      <c r="D105" s="68">
        <f t="shared" si="66"/>
        <v>23799.537724303889</v>
      </c>
      <c r="E105" s="68">
        <f t="shared" si="66"/>
        <v>24444.156961852597</v>
      </c>
      <c r="F105" s="68">
        <f t="shared" si="66"/>
        <v>25037.605768368641</v>
      </c>
      <c r="G105" s="68">
        <f t="shared" si="66"/>
        <v>25444.592173943012</v>
      </c>
      <c r="H105" s="68">
        <f t="shared" si="66"/>
        <v>25674.827478371088</v>
      </c>
      <c r="I105" s="68">
        <f t="shared" si="66"/>
        <v>25939.575417224612</v>
      </c>
      <c r="J105" s="68">
        <f t="shared" si="66"/>
        <v>26253.698022340694</v>
      </c>
      <c r="K105" s="68">
        <f t="shared" si="66"/>
        <v>27005.336281022286</v>
      </c>
      <c r="L105" s="68">
        <f t="shared" si="66"/>
        <v>27335.275812932476</v>
      </c>
      <c r="M105" s="68">
        <f t="shared" si="66"/>
        <v>27310.797350103509</v>
      </c>
      <c r="N105" s="68">
        <f t="shared" si="66"/>
        <v>27490.124645133397</v>
      </c>
      <c r="O105" s="68">
        <f t="shared" si="66"/>
        <v>27733.241652819492</v>
      </c>
      <c r="P105" s="68">
        <f t="shared" si="66"/>
        <v>27848.370771822789</v>
      </c>
      <c r="Q105" s="68">
        <f t="shared" si="66"/>
        <v>28278.391573588462</v>
      </c>
      <c r="R105" s="68">
        <f t="shared" si="66"/>
        <v>28208.409639630896</v>
      </c>
      <c r="S105" s="68">
        <f t="shared" si="66"/>
        <v>28190.240318144715</v>
      </c>
      <c r="T105" s="68">
        <f t="shared" si="66"/>
        <v>27588.714757980528</v>
      </c>
      <c r="U105" s="68">
        <f t="shared" si="66"/>
        <v>26798.453059348747</v>
      </c>
      <c r="V105" s="68">
        <f t="shared" si="66"/>
        <v>25136.653451909515</v>
      </c>
      <c r="W105" s="68">
        <f t="shared" si="66"/>
        <v>24098.31930138982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99048.826763485529</v>
      </c>
      <c r="C107" s="85">
        <f t="shared" ref="C107:W107" si="68">SUM(C108:C111)</f>
        <v>97416.79565855398</v>
      </c>
      <c r="D107" s="85">
        <f t="shared" si="68"/>
        <v>91138.202231872579</v>
      </c>
      <c r="E107" s="85">
        <f t="shared" si="68"/>
        <v>100145.60943513465</v>
      </c>
      <c r="F107" s="85">
        <f t="shared" si="68"/>
        <v>93243.150257150919</v>
      </c>
      <c r="G107" s="85">
        <f t="shared" si="68"/>
        <v>82766.564082060024</v>
      </c>
      <c r="H107" s="85">
        <f t="shared" si="68"/>
        <v>78256.39943149146</v>
      </c>
      <c r="I107" s="85">
        <f t="shared" si="68"/>
        <v>72877.87228769451</v>
      </c>
      <c r="J107" s="85">
        <f t="shared" si="68"/>
        <v>77250.849244902798</v>
      </c>
      <c r="K107" s="85">
        <f t="shared" si="68"/>
        <v>73103.453899026732</v>
      </c>
      <c r="L107" s="85">
        <f t="shared" si="68"/>
        <v>81217.106917094221</v>
      </c>
      <c r="M107" s="85">
        <f t="shared" si="68"/>
        <v>77526.760006780212</v>
      </c>
      <c r="N107" s="85">
        <f t="shared" si="68"/>
        <v>75350.061515206398</v>
      </c>
      <c r="O107" s="85">
        <f t="shared" si="68"/>
        <v>74792.632834331947</v>
      </c>
      <c r="P107" s="85">
        <f t="shared" si="68"/>
        <v>71135.371316609817</v>
      </c>
      <c r="Q107" s="85">
        <f t="shared" si="68"/>
        <v>71878.419278604953</v>
      </c>
      <c r="R107" s="85">
        <f t="shared" si="68"/>
        <v>73313.16807217813</v>
      </c>
      <c r="S107" s="85">
        <f t="shared" si="68"/>
        <v>75750.683716913205</v>
      </c>
      <c r="T107" s="85">
        <f t="shared" si="68"/>
        <v>73894.956298806093</v>
      </c>
      <c r="U107" s="85">
        <f t="shared" si="68"/>
        <v>75588.675135994592</v>
      </c>
      <c r="V107" s="85">
        <f t="shared" si="68"/>
        <v>70695.174947168445</v>
      </c>
      <c r="W107" s="85">
        <f t="shared" si="68"/>
        <v>71049.054729274329</v>
      </c>
      <c r="DA107" s="117"/>
    </row>
    <row r="108" spans="1:105" ht="12" customHeight="1" x14ac:dyDescent="0.25">
      <c r="A108" s="61" t="s">
        <v>32</v>
      </c>
      <c r="B108" s="65">
        <v>83302.95467798553</v>
      </c>
      <c r="C108" s="65">
        <v>81615.184341047076</v>
      </c>
      <c r="D108" s="65">
        <v>75092.040079022845</v>
      </c>
      <c r="E108" s="65">
        <v>83832.980398177999</v>
      </c>
      <c r="F108" s="65">
        <v>77007.726040995665</v>
      </c>
      <c r="G108" s="65">
        <v>66225.56670401046</v>
      </c>
      <c r="H108" s="65">
        <v>61071.852669162756</v>
      </c>
      <c r="I108" s="65">
        <v>55331.684770174732</v>
      </c>
      <c r="J108" s="65">
        <v>59240.630501486266</v>
      </c>
      <c r="K108" s="65">
        <v>53800.207105206951</v>
      </c>
      <c r="L108" s="65">
        <v>61033.783290768966</v>
      </c>
      <c r="M108" s="65">
        <v>56876.713178078309</v>
      </c>
      <c r="N108" s="65">
        <v>54307.159810867386</v>
      </c>
      <c r="O108" s="65">
        <v>53225.724018330999</v>
      </c>
      <c r="P108" s="65">
        <v>49690.358348493188</v>
      </c>
      <c r="Q108" s="65">
        <v>49375.026719133886</v>
      </c>
      <c r="R108" s="65">
        <v>51387.409994611669</v>
      </c>
      <c r="S108" s="65">
        <v>53498.820638269492</v>
      </c>
      <c r="T108" s="65">
        <v>51349.510091327727</v>
      </c>
      <c r="U108" s="65">
        <v>52870.134526311966</v>
      </c>
      <c r="V108" s="65">
        <v>49408.630077559486</v>
      </c>
      <c r="W108" s="65">
        <v>49073.147155047271</v>
      </c>
      <c r="DA108" s="109"/>
    </row>
    <row r="109" spans="1:105" ht="12" customHeight="1" x14ac:dyDescent="0.25">
      <c r="A109" s="61" t="s">
        <v>31</v>
      </c>
      <c r="B109" s="65">
        <v>1187.2526680298315</v>
      </c>
      <c r="C109" s="65">
        <v>1298.1895649843336</v>
      </c>
      <c r="D109" s="65">
        <v>1652.6375890154222</v>
      </c>
      <c r="E109" s="65">
        <v>1920.1820276790834</v>
      </c>
      <c r="F109" s="65">
        <v>2025.1547099851743</v>
      </c>
      <c r="G109" s="65">
        <v>2448.6985430387413</v>
      </c>
      <c r="H109" s="65">
        <v>2993.060573664472</v>
      </c>
      <c r="I109" s="65">
        <v>3382.6717060461151</v>
      </c>
      <c r="J109" s="65">
        <v>3697.6098368238563</v>
      </c>
      <c r="K109" s="65">
        <v>4045.83601388748</v>
      </c>
      <c r="L109" s="65">
        <v>4395.9510576070552</v>
      </c>
      <c r="M109" s="65">
        <v>4647.7549563760031</v>
      </c>
      <c r="N109" s="65">
        <v>4835.4987912617353</v>
      </c>
      <c r="O109" s="65">
        <v>5146.3299213537639</v>
      </c>
      <c r="P109" s="65">
        <v>4996.7955978771279</v>
      </c>
      <c r="Q109" s="65">
        <v>6024.4406410584043</v>
      </c>
      <c r="R109" s="65">
        <v>5210.8028719691383</v>
      </c>
      <c r="S109" s="65">
        <v>5349.0352111699613</v>
      </c>
      <c r="T109" s="65">
        <v>5733.8070384960392</v>
      </c>
      <c r="U109" s="65">
        <v>5780.5068824703485</v>
      </c>
      <c r="V109" s="65">
        <v>5259.9075462480096</v>
      </c>
      <c r="W109" s="65">
        <v>5562.8268727255954</v>
      </c>
      <c r="DA109" s="109"/>
    </row>
    <row r="110" spans="1:105" ht="12" customHeight="1" x14ac:dyDescent="0.25">
      <c r="A110" s="61" t="s">
        <v>35</v>
      </c>
      <c r="B110" s="65">
        <v>7005.3627162124867</v>
      </c>
      <c r="C110" s="65">
        <v>6949.6413401293812</v>
      </c>
      <c r="D110" s="65">
        <v>6864.1532813538743</v>
      </c>
      <c r="E110" s="65">
        <v>6783.6268381141163</v>
      </c>
      <c r="F110" s="65">
        <v>6615.9550753054718</v>
      </c>
      <c r="G110" s="65">
        <v>6572.2233342798363</v>
      </c>
      <c r="H110" s="65">
        <v>6629.7713199786722</v>
      </c>
      <c r="I110" s="65">
        <v>6670.7221810127176</v>
      </c>
      <c r="J110" s="65">
        <v>6717.6203637555855</v>
      </c>
      <c r="K110" s="65">
        <v>7215.4067437735939</v>
      </c>
      <c r="L110" s="65">
        <v>7490.689985011024</v>
      </c>
      <c r="M110" s="65">
        <v>7597.4691205507343</v>
      </c>
      <c r="N110" s="65">
        <v>7742.2339762291967</v>
      </c>
      <c r="O110" s="65">
        <v>7825.0676059954003</v>
      </c>
      <c r="P110" s="65">
        <v>7792.215952213025</v>
      </c>
      <c r="Q110" s="65">
        <v>7822.6371592651994</v>
      </c>
      <c r="R110" s="65">
        <v>8009.3491355909046</v>
      </c>
      <c r="S110" s="65">
        <v>8130.6659721777369</v>
      </c>
      <c r="T110" s="65">
        <v>8104.660950685703</v>
      </c>
      <c r="U110" s="65">
        <v>8160.0330559106378</v>
      </c>
      <c r="V110" s="65">
        <v>7796.5953241038951</v>
      </c>
      <c r="W110" s="65">
        <v>7923.4712619554466</v>
      </c>
      <c r="DA110" s="109"/>
    </row>
    <row r="111" spans="1:105" ht="12" customHeight="1" x14ac:dyDescent="0.25">
      <c r="A111" s="74" t="s">
        <v>34</v>
      </c>
      <c r="B111" s="68">
        <v>7553.2567012576728</v>
      </c>
      <c r="C111" s="68">
        <v>7553.7804123931846</v>
      </c>
      <c r="D111" s="68">
        <v>7529.3712824804452</v>
      </c>
      <c r="E111" s="68">
        <v>7608.8201711634683</v>
      </c>
      <c r="F111" s="68">
        <v>7594.3144308645997</v>
      </c>
      <c r="G111" s="68">
        <v>7520.0755007309772</v>
      </c>
      <c r="H111" s="68">
        <v>7561.714868685568</v>
      </c>
      <c r="I111" s="68">
        <v>7492.7936304609439</v>
      </c>
      <c r="J111" s="68">
        <v>7594.9885428370972</v>
      </c>
      <c r="K111" s="68">
        <v>8042.0040361587126</v>
      </c>
      <c r="L111" s="68">
        <v>8296.682583707181</v>
      </c>
      <c r="M111" s="68">
        <v>8404.8227517751602</v>
      </c>
      <c r="N111" s="68">
        <v>8465.1689368480747</v>
      </c>
      <c r="O111" s="68">
        <v>8595.5112886517854</v>
      </c>
      <c r="P111" s="68">
        <v>8656.0014180264825</v>
      </c>
      <c r="Q111" s="68">
        <v>8656.3147591474572</v>
      </c>
      <c r="R111" s="68">
        <v>8705.6060700064227</v>
      </c>
      <c r="S111" s="68">
        <v>8772.1618952960162</v>
      </c>
      <c r="T111" s="68">
        <v>8706.9782182966228</v>
      </c>
      <c r="U111" s="68">
        <v>8778.0006713016355</v>
      </c>
      <c r="V111" s="68">
        <v>8230.0419992570532</v>
      </c>
      <c r="W111" s="68">
        <v>8489.6094395460113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22413.170901191927</v>
      </c>
      <c r="C113" s="82">
        <f t="shared" ref="C113:W113" si="70">C81*1000000/C$8</f>
        <v>19016.559082720039</v>
      </c>
      <c r="D113" s="82">
        <f t="shared" si="70"/>
        <v>18041.267251730987</v>
      </c>
      <c r="E113" s="82">
        <f t="shared" si="70"/>
        <v>21805.941189011955</v>
      </c>
      <c r="F113" s="82">
        <f t="shared" si="70"/>
        <v>21879.474020785798</v>
      </c>
      <c r="G113" s="82">
        <f t="shared" si="70"/>
        <v>15039.459447059202</v>
      </c>
      <c r="H113" s="82">
        <f t="shared" si="70"/>
        <v>15460.710670220542</v>
      </c>
      <c r="I113" s="82">
        <f t="shared" si="70"/>
        <v>13217.536605268764</v>
      </c>
      <c r="J113" s="82">
        <f t="shared" si="70"/>
        <v>14640.28761429897</v>
      </c>
      <c r="K113" s="82">
        <f t="shared" si="70"/>
        <v>12747.478811736844</v>
      </c>
      <c r="L113" s="82">
        <f t="shared" si="70"/>
        <v>13346.219285784302</v>
      </c>
      <c r="M113" s="82">
        <f t="shared" si="70"/>
        <v>12626.713590147327</v>
      </c>
      <c r="N113" s="82">
        <f t="shared" si="70"/>
        <v>11877.818241628753</v>
      </c>
      <c r="O113" s="82">
        <f t="shared" si="70"/>
        <v>11311.790388904719</v>
      </c>
      <c r="P113" s="82">
        <f t="shared" si="70"/>
        <v>10789.623341139424</v>
      </c>
      <c r="Q113" s="82">
        <f t="shared" si="70"/>
        <v>10687.455388692237</v>
      </c>
      <c r="R113" s="82">
        <f t="shared" si="70"/>
        <v>10767.228949315075</v>
      </c>
      <c r="S113" s="82">
        <f t="shared" si="70"/>
        <v>11280.819921274429</v>
      </c>
      <c r="T113" s="82">
        <f t="shared" si="70"/>
        <v>10014.452511249612</v>
      </c>
      <c r="U113" s="82">
        <f t="shared" si="70"/>
        <v>10459.452745760975</v>
      </c>
      <c r="V113" s="82">
        <f t="shared" si="70"/>
        <v>9373.8946392694397</v>
      </c>
      <c r="W113" s="82">
        <f t="shared" si="70"/>
        <v>8912.4043000854053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22413.170901191927</v>
      </c>
      <c r="C114" s="64">
        <f t="shared" ref="C114:W114" si="72">C82*1000000/C$8</f>
        <v>19016.559082720039</v>
      </c>
      <c r="D114" s="64">
        <f t="shared" si="72"/>
        <v>18041.267251730987</v>
      </c>
      <c r="E114" s="64">
        <f t="shared" si="72"/>
        <v>21805.941189011955</v>
      </c>
      <c r="F114" s="64">
        <f t="shared" si="72"/>
        <v>21879.474020785798</v>
      </c>
      <c r="G114" s="64">
        <f t="shared" si="72"/>
        <v>15039.459447059202</v>
      </c>
      <c r="H114" s="64">
        <f t="shared" si="72"/>
        <v>15460.710670220542</v>
      </c>
      <c r="I114" s="64">
        <f t="shared" si="72"/>
        <v>13217.536605268764</v>
      </c>
      <c r="J114" s="64">
        <f t="shared" si="72"/>
        <v>14640.28761429897</v>
      </c>
      <c r="K114" s="64">
        <f t="shared" si="72"/>
        <v>12747.478811736844</v>
      </c>
      <c r="L114" s="64">
        <f t="shared" si="72"/>
        <v>13346.219285784302</v>
      </c>
      <c r="M114" s="64">
        <f t="shared" si="72"/>
        <v>12626.713590147327</v>
      </c>
      <c r="N114" s="64">
        <f t="shared" si="72"/>
        <v>11877.818241628753</v>
      </c>
      <c r="O114" s="64">
        <f t="shared" si="72"/>
        <v>11311.790388904719</v>
      </c>
      <c r="P114" s="64">
        <f t="shared" si="72"/>
        <v>10789.623341139424</v>
      </c>
      <c r="Q114" s="64">
        <f t="shared" si="72"/>
        <v>10687.455388692237</v>
      </c>
      <c r="R114" s="64">
        <f t="shared" si="72"/>
        <v>10767.228949315075</v>
      </c>
      <c r="S114" s="64">
        <f t="shared" si="72"/>
        <v>11280.819921274429</v>
      </c>
      <c r="T114" s="64">
        <f t="shared" si="72"/>
        <v>10014.452511249612</v>
      </c>
      <c r="U114" s="64">
        <f t="shared" si="72"/>
        <v>10459.452745760975</v>
      </c>
      <c r="V114" s="64">
        <f t="shared" si="72"/>
        <v>9373.8946392694397</v>
      </c>
      <c r="W114" s="64">
        <f t="shared" si="72"/>
        <v>8912.4043000854053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20326.19505501274</v>
      </c>
      <c r="C115" s="65">
        <f t="shared" ref="C115:W115" si="74">C83*1000000/C$8</f>
        <v>16744.809881149635</v>
      </c>
      <c r="D115" s="65">
        <f t="shared" si="74"/>
        <v>15758.780527887391</v>
      </c>
      <c r="E115" s="65">
        <f t="shared" si="74"/>
        <v>19590.025854693591</v>
      </c>
      <c r="F115" s="65">
        <f t="shared" si="74"/>
        <v>19663.904089913623</v>
      </c>
      <c r="G115" s="65">
        <f t="shared" si="74"/>
        <v>12831.563579916887</v>
      </c>
      <c r="H115" s="65">
        <f t="shared" si="74"/>
        <v>13280.746207563538</v>
      </c>
      <c r="I115" s="65">
        <f t="shared" si="74"/>
        <v>11021.775383320788</v>
      </c>
      <c r="J115" s="65">
        <f t="shared" si="74"/>
        <v>12378.806335858762</v>
      </c>
      <c r="K115" s="65">
        <f t="shared" si="74"/>
        <v>10105.101797202795</v>
      </c>
      <c r="L115" s="65">
        <f t="shared" si="74"/>
        <v>10816.660636069857</v>
      </c>
      <c r="M115" s="65">
        <f t="shared" si="74"/>
        <v>10108.701645144502</v>
      </c>
      <c r="N115" s="65">
        <f t="shared" si="74"/>
        <v>9361.3246061162081</v>
      </c>
      <c r="O115" s="65">
        <f t="shared" si="74"/>
        <v>8798.8133452066704</v>
      </c>
      <c r="P115" s="65">
        <f t="shared" si="74"/>
        <v>8286.0129705211475</v>
      </c>
      <c r="Q115" s="65">
        <f t="shared" si="74"/>
        <v>8226.4395234445328</v>
      </c>
      <c r="R115" s="65">
        <f t="shared" si="74"/>
        <v>8216.0608622009586</v>
      </c>
      <c r="S115" s="65">
        <f t="shared" si="74"/>
        <v>8480.2091196358324</v>
      </c>
      <c r="T115" s="65">
        <f t="shared" si="74"/>
        <v>7453.8688731392194</v>
      </c>
      <c r="U115" s="65">
        <f t="shared" si="74"/>
        <v>7758.6640339336363</v>
      </c>
      <c r="V115" s="65">
        <f t="shared" si="74"/>
        <v>6928.8809293746981</v>
      </c>
      <c r="W115" s="65">
        <f t="shared" si="74"/>
        <v>6541.4366511074713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0.40588330538062123</v>
      </c>
      <c r="H116" s="65">
        <f t="shared" si="76"/>
        <v>0.50598993580776985</v>
      </c>
      <c r="I116" s="65">
        <f t="shared" si="76"/>
        <v>0.69259345751735746</v>
      </c>
      <c r="J116" s="65">
        <f t="shared" si="76"/>
        <v>0.70281378637008862</v>
      </c>
      <c r="K116" s="65">
        <f t="shared" si="76"/>
        <v>0.93012572305739571</v>
      </c>
      <c r="L116" s="65">
        <f t="shared" si="76"/>
        <v>0.94280583099003301</v>
      </c>
      <c r="M116" s="65">
        <f t="shared" si="76"/>
        <v>0.98777350904408756</v>
      </c>
      <c r="N116" s="65">
        <f t="shared" si="76"/>
        <v>1.0281780009399775</v>
      </c>
      <c r="O116" s="65">
        <f t="shared" si="76"/>
        <v>1.2668337601368522</v>
      </c>
      <c r="P116" s="65">
        <f t="shared" si="76"/>
        <v>1.7378568698215282</v>
      </c>
      <c r="Q116" s="65">
        <f t="shared" si="76"/>
        <v>3.1474863064985468</v>
      </c>
      <c r="R116" s="65">
        <f t="shared" si="76"/>
        <v>3.1137483128271457</v>
      </c>
      <c r="S116" s="65">
        <f t="shared" si="76"/>
        <v>3.7349548898778999</v>
      </c>
      <c r="T116" s="65">
        <f t="shared" si="76"/>
        <v>4.6853860639057388</v>
      </c>
      <c r="U116" s="65">
        <f t="shared" si="76"/>
        <v>4.6983561142426886</v>
      </c>
      <c r="V116" s="65">
        <f t="shared" si="76"/>
        <v>5.0337503602285132</v>
      </c>
      <c r="W116" s="65">
        <f t="shared" si="76"/>
        <v>5.2875331107196955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921.35578903967405</v>
      </c>
      <c r="C117" s="65">
        <f t="shared" ref="C117:W117" si="78">C85*1000000/C$8</f>
        <v>909.85110864261969</v>
      </c>
      <c r="D117" s="65">
        <f t="shared" si="78"/>
        <v>930.51457596665898</v>
      </c>
      <c r="E117" s="65">
        <f t="shared" si="78"/>
        <v>913.36177885388224</v>
      </c>
      <c r="F117" s="65">
        <f t="shared" si="78"/>
        <v>903.88618889648228</v>
      </c>
      <c r="G117" s="65">
        <f t="shared" si="78"/>
        <v>924.3299760903144</v>
      </c>
      <c r="H117" s="65">
        <f t="shared" si="78"/>
        <v>939.45429581814938</v>
      </c>
      <c r="I117" s="65">
        <f t="shared" si="78"/>
        <v>951.84043545152861</v>
      </c>
      <c r="J117" s="65">
        <f t="shared" si="78"/>
        <v>988.97860045238326</v>
      </c>
      <c r="K117" s="65">
        <f t="shared" si="78"/>
        <v>1214.7516330982339</v>
      </c>
      <c r="L117" s="65">
        <f t="shared" si="78"/>
        <v>1135.5769165752799</v>
      </c>
      <c r="M117" s="65">
        <f t="shared" si="78"/>
        <v>1127.7262194791529</v>
      </c>
      <c r="N117" s="65">
        <f t="shared" si="78"/>
        <v>1133.6290769359448</v>
      </c>
      <c r="O117" s="65">
        <f t="shared" si="78"/>
        <v>1132.7030673037959</v>
      </c>
      <c r="P117" s="65">
        <f t="shared" si="78"/>
        <v>1122.7491101358366</v>
      </c>
      <c r="Q117" s="65">
        <f t="shared" si="78"/>
        <v>1107.8726357330927</v>
      </c>
      <c r="R117" s="65">
        <f t="shared" si="78"/>
        <v>1102.1855630931077</v>
      </c>
      <c r="S117" s="65">
        <f t="shared" si="78"/>
        <v>1160.2670833208463</v>
      </c>
      <c r="T117" s="65">
        <f t="shared" si="78"/>
        <v>1034.7089711195447</v>
      </c>
      <c r="U117" s="65">
        <f t="shared" si="78"/>
        <v>1076.2411484832558</v>
      </c>
      <c r="V117" s="65">
        <f t="shared" si="78"/>
        <v>979.07601307386255</v>
      </c>
      <c r="W117" s="65">
        <f t="shared" si="78"/>
        <v>948.34809057166115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1165.6200571395118</v>
      </c>
      <c r="C118" s="67">
        <f t="shared" ref="C118:W118" si="80">C86*1000000/C$8</f>
        <v>1361.8980929277868</v>
      </c>
      <c r="D118" s="67">
        <f t="shared" si="80"/>
        <v>1351.9721478769368</v>
      </c>
      <c r="E118" s="67">
        <f t="shared" si="80"/>
        <v>1302.5535554644784</v>
      </c>
      <c r="F118" s="67">
        <f t="shared" si="80"/>
        <v>1311.6837419756889</v>
      </c>
      <c r="G118" s="67">
        <f t="shared" si="80"/>
        <v>1283.160007746621</v>
      </c>
      <c r="H118" s="67">
        <f t="shared" si="80"/>
        <v>1240.0041769030486</v>
      </c>
      <c r="I118" s="67">
        <f t="shared" si="80"/>
        <v>1243.2281930389295</v>
      </c>
      <c r="J118" s="67">
        <f t="shared" si="80"/>
        <v>1271.7998642014527</v>
      </c>
      <c r="K118" s="67">
        <f t="shared" si="80"/>
        <v>1426.6952557127579</v>
      </c>
      <c r="L118" s="67">
        <f t="shared" si="80"/>
        <v>1393.0389273081757</v>
      </c>
      <c r="M118" s="67">
        <f t="shared" si="80"/>
        <v>1389.2979520146255</v>
      </c>
      <c r="N118" s="67">
        <f t="shared" si="80"/>
        <v>1381.8363805756583</v>
      </c>
      <c r="O118" s="67">
        <f t="shared" si="80"/>
        <v>1379.0071426341149</v>
      </c>
      <c r="P118" s="67">
        <f t="shared" si="80"/>
        <v>1379.12340361262</v>
      </c>
      <c r="Q118" s="67">
        <f t="shared" si="80"/>
        <v>1349.9957432081135</v>
      </c>
      <c r="R118" s="67">
        <f t="shared" si="80"/>
        <v>1445.868775708183</v>
      </c>
      <c r="S118" s="67">
        <f t="shared" si="80"/>
        <v>1636.6087634278738</v>
      </c>
      <c r="T118" s="67">
        <f t="shared" si="80"/>
        <v>1521.1892809269423</v>
      </c>
      <c r="U118" s="67">
        <f t="shared" si="80"/>
        <v>1619.8492072298379</v>
      </c>
      <c r="V118" s="67">
        <f t="shared" si="80"/>
        <v>1460.9039464606496</v>
      </c>
      <c r="W118" s="67">
        <f t="shared" si="80"/>
        <v>1417.3320252955557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0.5987350940321966</v>
      </c>
      <c r="C121" s="86">
        <f t="shared" ref="C121:W121" si="84">IF(C107=0,"",C107/C100)</f>
        <v>0.60757172270972593</v>
      </c>
      <c r="D121" s="86">
        <f t="shared" si="84"/>
        <v>0.61337288657581801</v>
      </c>
      <c r="E121" s="86">
        <f t="shared" si="84"/>
        <v>0.6138451082726808</v>
      </c>
      <c r="F121" s="86">
        <f t="shared" si="84"/>
        <v>0.61721943674605173</v>
      </c>
      <c r="G121" s="86">
        <f t="shared" si="84"/>
        <v>0.63943338684274198</v>
      </c>
      <c r="H121" s="86">
        <f t="shared" si="84"/>
        <v>0.64342710617676058</v>
      </c>
      <c r="I121" s="86">
        <f t="shared" si="84"/>
        <v>0.65676801646564542</v>
      </c>
      <c r="J121" s="86">
        <f t="shared" si="84"/>
        <v>0.66089924939076372</v>
      </c>
      <c r="K121" s="86">
        <f t="shared" si="84"/>
        <v>0.67457263952464919</v>
      </c>
      <c r="L121" s="86">
        <f t="shared" si="84"/>
        <v>0.68521995003883507</v>
      </c>
      <c r="M121" s="86">
        <f t="shared" si="84"/>
        <v>0.69531933559885717</v>
      </c>
      <c r="N121" s="86">
        <f t="shared" si="84"/>
        <v>0.70759797659542956</v>
      </c>
      <c r="O121" s="86">
        <f t="shared" si="84"/>
        <v>0.72096830335774664</v>
      </c>
      <c r="P121" s="86">
        <f t="shared" si="84"/>
        <v>0.72587133852225993</v>
      </c>
      <c r="Q121" s="86">
        <f t="shared" si="84"/>
        <v>0.74033525410683743</v>
      </c>
      <c r="R121" s="86">
        <f t="shared" si="84"/>
        <v>0.74110244497466704</v>
      </c>
      <c r="S121" s="86">
        <f t="shared" si="84"/>
        <v>0.7488522306206653</v>
      </c>
      <c r="T121" s="86">
        <f t="shared" si="84"/>
        <v>0.76779993849112438</v>
      </c>
      <c r="U121" s="86">
        <f t="shared" si="84"/>
        <v>0.77567849644705467</v>
      </c>
      <c r="V121" s="86">
        <f t="shared" si="84"/>
        <v>0.78807145824506397</v>
      </c>
      <c r="W121" s="86">
        <f t="shared" si="84"/>
        <v>0.80474589127638774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0.58796707981164964</v>
      </c>
      <c r="C122" s="75">
        <f t="shared" ref="C122:W122" si="86">IF(C108=0,"",C108/C101)</f>
        <v>0.59789134042766767</v>
      </c>
      <c r="D122" s="75">
        <f t="shared" si="86"/>
        <v>0.60139185600271072</v>
      </c>
      <c r="E122" s="75">
        <f t="shared" si="86"/>
        <v>0.60093430791233815</v>
      </c>
      <c r="F122" s="75">
        <f t="shared" si="86"/>
        <v>0.60256788938395711</v>
      </c>
      <c r="G122" s="75">
        <f t="shared" si="86"/>
        <v>0.62294862134574391</v>
      </c>
      <c r="H122" s="75">
        <f t="shared" si="86"/>
        <v>0.62114144708867935</v>
      </c>
      <c r="I122" s="75">
        <f t="shared" si="86"/>
        <v>0.63109109044272116</v>
      </c>
      <c r="J122" s="75">
        <f t="shared" si="86"/>
        <v>0.63440177078950299</v>
      </c>
      <c r="K122" s="75">
        <f t="shared" si="86"/>
        <v>0.64670560178251735</v>
      </c>
      <c r="L122" s="75">
        <f t="shared" si="86"/>
        <v>0.65814632142294061</v>
      </c>
      <c r="M122" s="75">
        <f t="shared" si="86"/>
        <v>0.66493308830885234</v>
      </c>
      <c r="N122" s="75">
        <f t="shared" si="86"/>
        <v>0.67551076586130143</v>
      </c>
      <c r="O122" s="75">
        <f t="shared" si="86"/>
        <v>0.68673012307452652</v>
      </c>
      <c r="P122" s="75">
        <f t="shared" si="86"/>
        <v>0.69050034942209082</v>
      </c>
      <c r="Q122" s="75">
        <f t="shared" si="86"/>
        <v>0.69598110618276143</v>
      </c>
      <c r="R122" s="75">
        <f t="shared" si="86"/>
        <v>0.70531402683019406</v>
      </c>
      <c r="S122" s="75">
        <f t="shared" si="86"/>
        <v>0.71488007848268631</v>
      </c>
      <c r="T122" s="75">
        <f t="shared" si="86"/>
        <v>0.72897759316074739</v>
      </c>
      <c r="U122" s="75">
        <f t="shared" si="86"/>
        <v>0.73789792322030057</v>
      </c>
      <c r="V122" s="75">
        <f t="shared" si="86"/>
        <v>0.75126682956115964</v>
      </c>
      <c r="W122" s="75">
        <f t="shared" si="86"/>
        <v>0.7647305694268689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1.7741495046496203</v>
      </c>
      <c r="C123" s="76">
        <f t="shared" ref="C123:W123" si="88">IF(C109=0,"",C109/C102)</f>
        <v>1.860183944030614</v>
      </c>
      <c r="D123" s="76">
        <f t="shared" si="88"/>
        <v>1.992928886818206</v>
      </c>
      <c r="E123" s="76">
        <f t="shared" si="88"/>
        <v>2.0797669625337192</v>
      </c>
      <c r="F123" s="76">
        <f t="shared" si="88"/>
        <v>2.1695469046114781</v>
      </c>
      <c r="G123" s="76">
        <f t="shared" si="88"/>
        <v>2.282705315132167</v>
      </c>
      <c r="H123" s="76">
        <f t="shared" si="88"/>
        <v>2.3890421946392242</v>
      </c>
      <c r="I123" s="76">
        <f t="shared" si="88"/>
        <v>2.4835900152728074</v>
      </c>
      <c r="J123" s="76">
        <f t="shared" si="88"/>
        <v>2.5723063793991154</v>
      </c>
      <c r="K123" s="76">
        <f t="shared" si="88"/>
        <v>2.6095502971795836</v>
      </c>
      <c r="L123" s="76">
        <f t="shared" si="88"/>
        <v>2.6611652865246676</v>
      </c>
      <c r="M123" s="76">
        <f t="shared" si="88"/>
        <v>2.7360720881051241</v>
      </c>
      <c r="N123" s="76">
        <f t="shared" si="88"/>
        <v>2.8089238410785997</v>
      </c>
      <c r="O123" s="76">
        <f t="shared" si="88"/>
        <v>2.8823963043948506</v>
      </c>
      <c r="P123" s="76">
        <f t="shared" si="88"/>
        <v>2.9752119945236224</v>
      </c>
      <c r="Q123" s="76">
        <f t="shared" si="88"/>
        <v>3.0883845397939051</v>
      </c>
      <c r="R123" s="76">
        <f t="shared" si="88"/>
        <v>3.1980042874384482</v>
      </c>
      <c r="S123" s="76">
        <f t="shared" si="88"/>
        <v>3.3003870221916602</v>
      </c>
      <c r="T123" s="76">
        <f t="shared" si="88"/>
        <v>3.3932859894985112</v>
      </c>
      <c r="U123" s="76">
        <f t="shared" si="88"/>
        <v>3.4801714355243187</v>
      </c>
      <c r="V123" s="76">
        <f t="shared" si="88"/>
        <v>3.5453319302269244</v>
      </c>
      <c r="W123" s="76">
        <f t="shared" si="88"/>
        <v>3.64045721817465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0.59662321451295164</v>
      </c>
      <c r="C124" s="76">
        <f t="shared" ref="C124:W124" si="90">IF(C110=0,"",C110/C103)</f>
        <v>0.59988386534387739</v>
      </c>
      <c r="D124" s="76">
        <f t="shared" si="90"/>
        <v>0.60196038035984878</v>
      </c>
      <c r="E124" s="76">
        <f t="shared" si="90"/>
        <v>0.60661641968293967</v>
      </c>
      <c r="F124" s="76">
        <f t="shared" si="90"/>
        <v>0.61085319258358861</v>
      </c>
      <c r="G124" s="76">
        <f t="shared" si="90"/>
        <v>0.61378710554247584</v>
      </c>
      <c r="H124" s="76">
        <f t="shared" si="90"/>
        <v>0.61833169571627011</v>
      </c>
      <c r="I124" s="76">
        <f t="shared" si="90"/>
        <v>0.62278059807595243</v>
      </c>
      <c r="J124" s="76">
        <f t="shared" si="90"/>
        <v>0.62691008434769346</v>
      </c>
      <c r="K124" s="76">
        <f t="shared" si="90"/>
        <v>0.62549564124131751</v>
      </c>
      <c r="L124" s="76">
        <f t="shared" si="90"/>
        <v>0.63588774835499207</v>
      </c>
      <c r="M124" s="76">
        <f t="shared" si="90"/>
        <v>0.6451884519622304</v>
      </c>
      <c r="N124" s="76">
        <f t="shared" si="90"/>
        <v>0.65444015019071256</v>
      </c>
      <c r="O124" s="76">
        <f t="shared" si="90"/>
        <v>0.66529811957888219</v>
      </c>
      <c r="P124" s="76">
        <f t="shared" si="90"/>
        <v>0.67047496389248129</v>
      </c>
      <c r="Q124" s="76">
        <f t="shared" si="90"/>
        <v>0.67879594616238315</v>
      </c>
      <c r="R124" s="76">
        <f t="shared" si="90"/>
        <v>0.68947643098982181</v>
      </c>
      <c r="S124" s="76">
        <f t="shared" si="90"/>
        <v>0.70097917220757244</v>
      </c>
      <c r="T124" s="76">
        <f t="shared" si="90"/>
        <v>0.71745190471178655</v>
      </c>
      <c r="U124" s="76">
        <f t="shared" si="90"/>
        <v>0.73016290053022603</v>
      </c>
      <c r="V124" s="76">
        <f t="shared" si="90"/>
        <v>0.74640679389747477</v>
      </c>
      <c r="W124" s="76">
        <f t="shared" si="90"/>
        <v>0.76268672955789274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0.66609385675233856</v>
      </c>
      <c r="C125" s="56">
        <f t="shared" ref="C125:W125" si="92">IF(C111=0,"",C111/C104)</f>
        <v>0.65400525531063292</v>
      </c>
      <c r="D125" s="56">
        <f t="shared" si="92"/>
        <v>0.6553366873767259</v>
      </c>
      <c r="E125" s="56">
        <f t="shared" si="92"/>
        <v>0.65966572548860014</v>
      </c>
      <c r="F125" s="56">
        <f t="shared" si="92"/>
        <v>0.66001279462257512</v>
      </c>
      <c r="G125" s="56">
        <f t="shared" si="92"/>
        <v>0.66272890221093206</v>
      </c>
      <c r="H125" s="56">
        <f t="shared" si="92"/>
        <v>0.66755306661005198</v>
      </c>
      <c r="I125" s="56">
        <f t="shared" si="92"/>
        <v>0.6681058775330796</v>
      </c>
      <c r="J125" s="56">
        <f t="shared" si="92"/>
        <v>0.66891066835780155</v>
      </c>
      <c r="K125" s="56">
        <f t="shared" si="92"/>
        <v>0.66501652094163577</v>
      </c>
      <c r="L125" s="56">
        <f t="shared" si="92"/>
        <v>0.67128574054961165</v>
      </c>
      <c r="M125" s="56">
        <f t="shared" si="92"/>
        <v>0.6731242021284215</v>
      </c>
      <c r="N125" s="56">
        <f t="shared" si="92"/>
        <v>0.67499438280172186</v>
      </c>
      <c r="O125" s="56">
        <f t="shared" si="92"/>
        <v>0.67756240746199325</v>
      </c>
      <c r="P125" s="56">
        <f t="shared" si="92"/>
        <v>0.67966253589619263</v>
      </c>
      <c r="Q125" s="56">
        <f t="shared" si="92"/>
        <v>0.68315976235597875</v>
      </c>
      <c r="R125" s="56">
        <f t="shared" si="92"/>
        <v>0.6790102808778985</v>
      </c>
      <c r="S125" s="56">
        <f t="shared" si="92"/>
        <v>0.6696359307827553</v>
      </c>
      <c r="T125" s="56">
        <f t="shared" si="92"/>
        <v>0.67939357961312641</v>
      </c>
      <c r="U125" s="56">
        <f t="shared" si="92"/>
        <v>0.67720072793671748</v>
      </c>
      <c r="V125" s="56">
        <f t="shared" si="92"/>
        <v>0.68524586036086843</v>
      </c>
      <c r="W125" s="56">
        <f t="shared" si="92"/>
        <v>0.69586345275868577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208.99298701653996</v>
      </c>
      <c r="C129" s="82">
        <f t="shared" ref="C129:W129" si="94">IF(C99=0,0,C99/C$26)</f>
        <v>203.94023701455484</v>
      </c>
      <c r="D129" s="82">
        <f t="shared" si="94"/>
        <v>191.53872283551513</v>
      </c>
      <c r="E129" s="82">
        <f t="shared" si="94"/>
        <v>208.43212374687991</v>
      </c>
      <c r="F129" s="82">
        <f t="shared" si="94"/>
        <v>195.67477539091757</v>
      </c>
      <c r="G129" s="82">
        <f t="shared" si="94"/>
        <v>172.0910485760578</v>
      </c>
      <c r="H129" s="82">
        <f t="shared" si="94"/>
        <v>163.66574562242241</v>
      </c>
      <c r="I129" s="82">
        <f t="shared" si="94"/>
        <v>152.11553399579245</v>
      </c>
      <c r="J129" s="82">
        <f t="shared" si="94"/>
        <v>159.04575579544979</v>
      </c>
      <c r="K129" s="82">
        <f t="shared" si="94"/>
        <v>150.41706823731889</v>
      </c>
      <c r="L129" s="82">
        <f t="shared" si="94"/>
        <v>162.06926328832242</v>
      </c>
      <c r="M129" s="82">
        <f t="shared" si="94"/>
        <v>154.23206852751341</v>
      </c>
      <c r="N129" s="82">
        <f t="shared" si="94"/>
        <v>148.86359082438602</v>
      </c>
      <c r="O129" s="82">
        <f t="shared" si="94"/>
        <v>146.08042571809281</v>
      </c>
      <c r="P129" s="82">
        <f t="shared" si="94"/>
        <v>139.83149268174429</v>
      </c>
      <c r="Q129" s="82">
        <f t="shared" si="94"/>
        <v>139.29711644541615</v>
      </c>
      <c r="R129" s="82">
        <f t="shared" si="94"/>
        <v>141.25875738508904</v>
      </c>
      <c r="S129" s="82">
        <f t="shared" si="94"/>
        <v>143.71772946536527</v>
      </c>
      <c r="T129" s="82">
        <f t="shared" si="94"/>
        <v>137.59019624576595</v>
      </c>
      <c r="U129" s="82">
        <f t="shared" si="94"/>
        <v>138.0521259110138</v>
      </c>
      <c r="V129" s="82">
        <f t="shared" si="94"/>
        <v>127.60356400781511</v>
      </c>
      <c r="W129" s="82">
        <f t="shared" si="94"/>
        <v>124.87320415072784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183.81125986496838</v>
      </c>
      <c r="C130" s="64">
        <f t="shared" ref="C130:W130" si="96">IF(C100=0,0,C100/C$26)</f>
        <v>178.15326161381154</v>
      </c>
      <c r="D130" s="64">
        <f t="shared" si="96"/>
        <v>165.09479203073306</v>
      </c>
      <c r="E130" s="64">
        <f t="shared" si="96"/>
        <v>181.27194934482145</v>
      </c>
      <c r="F130" s="64">
        <f t="shared" si="96"/>
        <v>167.85521342606353</v>
      </c>
      <c r="G130" s="64">
        <f t="shared" si="96"/>
        <v>143.81927949389888</v>
      </c>
      <c r="H130" s="64">
        <f t="shared" si="96"/>
        <v>135.13815953534342</v>
      </c>
      <c r="I130" s="64">
        <f t="shared" si="96"/>
        <v>123.2937835322095</v>
      </c>
      <c r="J130" s="64">
        <f t="shared" si="96"/>
        <v>129.87498021507125</v>
      </c>
      <c r="K130" s="64">
        <f t="shared" si="96"/>
        <v>120.411139036183</v>
      </c>
      <c r="L130" s="64">
        <f t="shared" si="96"/>
        <v>131.69673460728634</v>
      </c>
      <c r="M130" s="64">
        <f t="shared" si="96"/>
        <v>123.88673813850949</v>
      </c>
      <c r="N130" s="64">
        <f t="shared" si="96"/>
        <v>118.3190078853489</v>
      </c>
      <c r="O130" s="64">
        <f t="shared" si="96"/>
        <v>115.26571277051556</v>
      </c>
      <c r="P130" s="64">
        <f t="shared" si="96"/>
        <v>108.8888584908301</v>
      </c>
      <c r="Q130" s="64">
        <f t="shared" si="96"/>
        <v>107.87668136365122</v>
      </c>
      <c r="R130" s="64">
        <f t="shared" si="96"/>
        <v>109.91608000772142</v>
      </c>
      <c r="S130" s="64">
        <f t="shared" si="96"/>
        <v>112.39524022298225</v>
      </c>
      <c r="T130" s="64">
        <f t="shared" si="96"/>
        <v>106.93606873689869</v>
      </c>
      <c r="U130" s="64">
        <f t="shared" si="96"/>
        <v>108.27606695618186</v>
      </c>
      <c r="V130" s="64">
        <f t="shared" si="96"/>
        <v>99.67394906124899</v>
      </c>
      <c r="W130" s="64">
        <f t="shared" si="96"/>
        <v>98.097293815850293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157.42180422881071</v>
      </c>
      <c r="C131" s="65">
        <f t="shared" ref="C131:W131" si="98">IF(C101=0,0,C101/C$26)</f>
        <v>151.67227224240051</v>
      </c>
      <c r="D131" s="65">
        <f t="shared" si="98"/>
        <v>138.73749578582101</v>
      </c>
      <c r="E131" s="65">
        <f t="shared" si="98"/>
        <v>155.00488950543254</v>
      </c>
      <c r="F131" s="65">
        <f t="shared" si="98"/>
        <v>141.99916980811625</v>
      </c>
      <c r="G131" s="65">
        <f t="shared" si="98"/>
        <v>118.12204166291281</v>
      </c>
      <c r="H131" s="65">
        <f t="shared" si="98"/>
        <v>109.24663680857154</v>
      </c>
      <c r="I131" s="65">
        <f t="shared" si="98"/>
        <v>97.418028357062639</v>
      </c>
      <c r="J131" s="65">
        <f t="shared" si="98"/>
        <v>103.75589383603642</v>
      </c>
      <c r="K131" s="65">
        <f t="shared" si="98"/>
        <v>92.434653001161621</v>
      </c>
      <c r="L131" s="65">
        <f t="shared" si="98"/>
        <v>103.03987511607062</v>
      </c>
      <c r="M131" s="65">
        <f t="shared" si="98"/>
        <v>95.041665224349188</v>
      </c>
      <c r="N131" s="65">
        <f t="shared" si="98"/>
        <v>89.326908952819053</v>
      </c>
      <c r="O131" s="65">
        <f t="shared" si="98"/>
        <v>86.117808679965336</v>
      </c>
      <c r="P131" s="65">
        <f t="shared" si="98"/>
        <v>79.958698532611038</v>
      </c>
      <c r="Q131" s="65">
        <f t="shared" si="98"/>
        <v>78.825617982553922</v>
      </c>
      <c r="R131" s="65">
        <f t="shared" si="98"/>
        <v>80.952767199086836</v>
      </c>
      <c r="S131" s="65">
        <f t="shared" si="98"/>
        <v>83.151196727552005</v>
      </c>
      <c r="T131" s="65">
        <f t="shared" si="98"/>
        <v>78.267167259838033</v>
      </c>
      <c r="U131" s="65">
        <f t="shared" si="98"/>
        <v>79.6107321480916</v>
      </c>
      <c r="V131" s="65">
        <f t="shared" si="98"/>
        <v>73.074539835630759</v>
      </c>
      <c r="W131" s="65">
        <f t="shared" si="98"/>
        <v>71.300561584752899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0.74355043229842244</v>
      </c>
      <c r="C132" s="65">
        <f t="shared" ref="C132:W132" si="100">IF(C102=0,0,C102/C$26)</f>
        <v>0.77542484688753666</v>
      </c>
      <c r="D132" s="65">
        <f t="shared" si="100"/>
        <v>0.92138961903783012</v>
      </c>
      <c r="E132" s="65">
        <f t="shared" si="100"/>
        <v>1.0258531964133466</v>
      </c>
      <c r="F132" s="65">
        <f t="shared" si="100"/>
        <v>1.0371621351908438</v>
      </c>
      <c r="G132" s="65">
        <f t="shared" si="100"/>
        <v>1.1919086274061632</v>
      </c>
      <c r="H132" s="65">
        <f t="shared" si="100"/>
        <v>1.3920318641041844</v>
      </c>
      <c r="I132" s="65">
        <f t="shared" si="100"/>
        <v>1.5133432228008719</v>
      </c>
      <c r="J132" s="65">
        <f t="shared" si="100"/>
        <v>1.5971874140468656</v>
      </c>
      <c r="K132" s="65">
        <f t="shared" si="100"/>
        <v>1.7226620822838679</v>
      </c>
      <c r="L132" s="65">
        <f t="shared" si="100"/>
        <v>1.8354328040955992</v>
      </c>
      <c r="M132" s="65">
        <f t="shared" si="100"/>
        <v>1.8874400993314395</v>
      </c>
      <c r="N132" s="65">
        <f t="shared" si="100"/>
        <v>1.9127526194060738</v>
      </c>
      <c r="O132" s="65">
        <f t="shared" si="100"/>
        <v>1.9838161561410426</v>
      </c>
      <c r="P132" s="65">
        <f t="shared" si="100"/>
        <v>1.8660838686358296</v>
      </c>
      <c r="Q132" s="65">
        <f t="shared" si="100"/>
        <v>2.1674188716655189</v>
      </c>
      <c r="R132" s="65">
        <f t="shared" si="100"/>
        <v>1.8104356493818594</v>
      </c>
      <c r="S132" s="65">
        <f t="shared" si="100"/>
        <v>1.8008107585239341</v>
      </c>
      <c r="T132" s="65">
        <f t="shared" si="100"/>
        <v>1.8775006672460257</v>
      </c>
      <c r="U132" s="65">
        <f t="shared" si="100"/>
        <v>1.8455370788362913</v>
      </c>
      <c r="V132" s="65">
        <f t="shared" si="100"/>
        <v>1.6484610843417609</v>
      </c>
      <c r="W132" s="65">
        <f t="shared" si="100"/>
        <v>1.6978413361418481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13.04631828263906</v>
      </c>
      <c r="C133" s="65">
        <f t="shared" ref="C133:W133" si="102">IF(C103=0,0,C103/C$26)</f>
        <v>12.872197699180342</v>
      </c>
      <c r="D133" s="65">
        <f t="shared" si="102"/>
        <v>12.669998272515542</v>
      </c>
      <c r="E133" s="65">
        <f t="shared" si="102"/>
        <v>12.425254096154674</v>
      </c>
      <c r="F133" s="65">
        <f t="shared" si="102"/>
        <v>12.034088196695386</v>
      </c>
      <c r="G133" s="65">
        <f t="shared" si="102"/>
        <v>11.897399449224316</v>
      </c>
      <c r="H133" s="65">
        <f t="shared" si="102"/>
        <v>11.913367257068865</v>
      </c>
      <c r="I133" s="65">
        <f t="shared" si="102"/>
        <v>11.90132376852665</v>
      </c>
      <c r="J133" s="65">
        <f t="shared" si="102"/>
        <v>11.90604970752941</v>
      </c>
      <c r="K133" s="65">
        <f t="shared" si="102"/>
        <v>12.817225373917292</v>
      </c>
      <c r="L133" s="65">
        <f t="shared" si="102"/>
        <v>13.088770610482122</v>
      </c>
      <c r="M133" s="65">
        <f t="shared" si="102"/>
        <v>13.083979309446256</v>
      </c>
      <c r="N133" s="65">
        <f t="shared" si="102"/>
        <v>13.144795888979827</v>
      </c>
      <c r="O133" s="65">
        <f t="shared" si="102"/>
        <v>13.06860684909276</v>
      </c>
      <c r="P133" s="65">
        <f t="shared" si="102"/>
        <v>12.913260287030727</v>
      </c>
      <c r="Q133" s="65">
        <f t="shared" si="102"/>
        <v>12.804759832450362</v>
      </c>
      <c r="R133" s="65">
        <f t="shared" si="102"/>
        <v>12.907296634559795</v>
      </c>
      <c r="S133" s="65">
        <f t="shared" si="102"/>
        <v>12.887791336180467</v>
      </c>
      <c r="T133" s="65">
        <f t="shared" si="102"/>
        <v>12.55161325094366</v>
      </c>
      <c r="U133" s="65">
        <f t="shared" si="102"/>
        <v>12.417370683818982</v>
      </c>
      <c r="V133" s="65">
        <f t="shared" si="102"/>
        <v>11.606115812818675</v>
      </c>
      <c r="W133" s="65">
        <f t="shared" si="102"/>
        <v>11.543215079711183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12.599586921220157</v>
      </c>
      <c r="C134" s="67">
        <f t="shared" ref="C134:W134" si="104">IF(C104=0,0,C104/C$26)</f>
        <v>12.833366825343127</v>
      </c>
      <c r="D134" s="67">
        <f t="shared" si="104"/>
        <v>12.765908353358661</v>
      </c>
      <c r="E134" s="67">
        <f t="shared" si="104"/>
        <v>12.815952546820892</v>
      </c>
      <c r="F134" s="67">
        <f t="shared" si="104"/>
        <v>12.784793286061081</v>
      </c>
      <c r="G134" s="67">
        <f t="shared" si="104"/>
        <v>12.607929754355609</v>
      </c>
      <c r="H134" s="67">
        <f t="shared" si="104"/>
        <v>12.586123605598784</v>
      </c>
      <c r="I134" s="67">
        <f t="shared" si="104"/>
        <v>12.461088183819351</v>
      </c>
      <c r="J134" s="67">
        <f t="shared" si="104"/>
        <v>12.615849257458567</v>
      </c>
      <c r="K134" s="67">
        <f t="shared" si="104"/>
        <v>13.436598578820217</v>
      </c>
      <c r="L134" s="67">
        <f t="shared" si="104"/>
        <v>13.732656076638039</v>
      </c>
      <c r="M134" s="67">
        <f t="shared" si="104"/>
        <v>13.873653505382606</v>
      </c>
      <c r="N134" s="67">
        <f t="shared" si="104"/>
        <v>13.934550424143964</v>
      </c>
      <c r="O134" s="67">
        <f t="shared" si="104"/>
        <v>14.095481085316424</v>
      </c>
      <c r="P134" s="67">
        <f t="shared" si="104"/>
        <v>14.150815802552515</v>
      </c>
      <c r="Q134" s="67">
        <f t="shared" si="104"/>
        <v>14.078884676981398</v>
      </c>
      <c r="R134" s="67">
        <f t="shared" si="104"/>
        <v>14.245580524692931</v>
      </c>
      <c r="S134" s="67">
        <f t="shared" si="104"/>
        <v>14.555441400725851</v>
      </c>
      <c r="T134" s="67">
        <f t="shared" si="104"/>
        <v>14.239787558870962</v>
      </c>
      <c r="U134" s="67">
        <f t="shared" si="104"/>
        <v>14.402427045434985</v>
      </c>
      <c r="V134" s="67">
        <f t="shared" si="104"/>
        <v>13.344832328457827</v>
      </c>
      <c r="W134" s="67">
        <f t="shared" si="104"/>
        <v>13.555675815244346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25.181727151571589</v>
      </c>
      <c r="C135" s="68">
        <f t="shared" ref="C135:W135" si="106">IF(C105=0,0,C105/C$26)</f>
        <v>25.786975400743291</v>
      </c>
      <c r="D135" s="68">
        <f t="shared" si="106"/>
        <v>26.443930804782099</v>
      </c>
      <c r="E135" s="68">
        <f t="shared" si="106"/>
        <v>27.160174402058441</v>
      </c>
      <c r="F135" s="68">
        <f t="shared" si="106"/>
        <v>27.819561964854042</v>
      </c>
      <c r="G135" s="68">
        <f t="shared" si="106"/>
        <v>28.271769082158897</v>
      </c>
      <c r="H135" s="68">
        <f t="shared" si="106"/>
        <v>28.527586087078991</v>
      </c>
      <c r="I135" s="68">
        <f t="shared" si="106"/>
        <v>28.821750463582902</v>
      </c>
      <c r="J135" s="68">
        <f t="shared" si="106"/>
        <v>29.170775580378546</v>
      </c>
      <c r="K135" s="68">
        <f t="shared" si="106"/>
        <v>30.005929201135878</v>
      </c>
      <c r="L135" s="68">
        <f t="shared" si="106"/>
        <v>30.372528681036083</v>
      </c>
      <c r="M135" s="68">
        <f t="shared" si="106"/>
        <v>30.345330389003898</v>
      </c>
      <c r="N135" s="68">
        <f t="shared" si="106"/>
        <v>30.54458293903711</v>
      </c>
      <c r="O135" s="68">
        <f t="shared" si="106"/>
        <v>30.814712947577217</v>
      </c>
      <c r="P135" s="68">
        <f t="shared" si="106"/>
        <v>30.942634190914209</v>
      </c>
      <c r="Q135" s="68">
        <f t="shared" si="106"/>
        <v>31.420435081764957</v>
      </c>
      <c r="R135" s="68">
        <f t="shared" si="106"/>
        <v>31.342677377367657</v>
      </c>
      <c r="S135" s="68">
        <f t="shared" si="106"/>
        <v>31.322489242383018</v>
      </c>
      <c r="T135" s="68">
        <f t="shared" si="106"/>
        <v>30.654127508867262</v>
      </c>
      <c r="U135" s="68">
        <f t="shared" si="106"/>
        <v>29.776058954831942</v>
      </c>
      <c r="V135" s="68">
        <f t="shared" si="106"/>
        <v>27.929614946566126</v>
      </c>
      <c r="W135" s="68">
        <f t="shared" si="106"/>
        <v>26.775910334877572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110.05425195942837</v>
      </c>
      <c r="C137" s="85">
        <f t="shared" ref="C137:W137" si="108">IF(C107=0,0,C107/C$26)</f>
        <v>108.24088406505997</v>
      </c>
      <c r="D137" s="85">
        <f t="shared" si="108"/>
        <v>101.26466914652509</v>
      </c>
      <c r="E137" s="85">
        <f t="shared" si="108"/>
        <v>111.27289937237184</v>
      </c>
      <c r="F137" s="85">
        <f t="shared" si="108"/>
        <v>103.60350028572323</v>
      </c>
      <c r="G137" s="85">
        <f t="shared" si="108"/>
        <v>91.962848980066681</v>
      </c>
      <c r="H137" s="85">
        <f t="shared" si="108"/>
        <v>86.951554923879414</v>
      </c>
      <c r="I137" s="85">
        <f t="shared" si="108"/>
        <v>80.975413652993893</v>
      </c>
      <c r="J137" s="85">
        <f t="shared" si="108"/>
        <v>85.834276938780874</v>
      </c>
      <c r="K137" s="85">
        <f t="shared" si="108"/>
        <v>81.226059887807494</v>
      </c>
      <c r="L137" s="85">
        <f t="shared" si="108"/>
        <v>90.24122990788247</v>
      </c>
      <c r="M137" s="85">
        <f t="shared" si="108"/>
        <v>86.140844451978012</v>
      </c>
      <c r="N137" s="85">
        <f t="shared" si="108"/>
        <v>83.722290572451556</v>
      </c>
      <c r="O137" s="85">
        <f t="shared" si="108"/>
        <v>83.102925371479955</v>
      </c>
      <c r="P137" s="85">
        <f t="shared" si="108"/>
        <v>79.0393014628998</v>
      </c>
      <c r="Q137" s="85">
        <f t="shared" si="108"/>
        <v>79.864910309561054</v>
      </c>
      <c r="R137" s="85">
        <f t="shared" si="108"/>
        <v>81.459075635753464</v>
      </c>
      <c r="S137" s="85">
        <f t="shared" si="108"/>
        <v>84.167426352125787</v>
      </c>
      <c r="T137" s="85">
        <f t="shared" si="108"/>
        <v>82.105506998673462</v>
      </c>
      <c r="U137" s="85">
        <f t="shared" si="108"/>
        <v>83.987416817771773</v>
      </c>
      <c r="V137" s="85">
        <f t="shared" si="108"/>
        <v>78.550194385742714</v>
      </c>
      <c r="W137" s="85">
        <f t="shared" si="108"/>
        <v>78.943394143638116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92.558838531095034</v>
      </c>
      <c r="C138" s="65">
        <f t="shared" ref="C138:W138" si="110">IF(C108=0,0,C108/C$26)</f>
        <v>90.683538156718967</v>
      </c>
      <c r="D138" s="65">
        <f t="shared" si="110"/>
        <v>83.435600087803167</v>
      </c>
      <c r="E138" s="65">
        <f t="shared" si="110"/>
        <v>93.147755997975551</v>
      </c>
      <c r="F138" s="65">
        <f t="shared" si="110"/>
        <v>85.564140045550729</v>
      </c>
      <c r="G138" s="65">
        <f t="shared" si="110"/>
        <v>73.583963004456052</v>
      </c>
      <c r="H138" s="65">
        <f t="shared" si="110"/>
        <v>67.857614076847511</v>
      </c>
      <c r="I138" s="65">
        <f t="shared" si="110"/>
        <v>61.479649744638593</v>
      </c>
      <c r="J138" s="65">
        <f t="shared" si="110"/>
        <v>65.822922779429177</v>
      </c>
      <c r="K138" s="65">
        <f t="shared" si="110"/>
        <v>59.778007894674396</v>
      </c>
      <c r="L138" s="65">
        <f t="shared" si="110"/>
        <v>67.815314767521073</v>
      </c>
      <c r="M138" s="65">
        <f t="shared" si="110"/>
        <v>63.196347975642567</v>
      </c>
      <c r="N138" s="65">
        <f t="shared" si="110"/>
        <v>60.341288678741542</v>
      </c>
      <c r="O138" s="65">
        <f t="shared" si="110"/>
        <v>59.139693353701119</v>
      </c>
      <c r="P138" s="65">
        <f t="shared" si="110"/>
        <v>55.211509276103541</v>
      </c>
      <c r="Q138" s="65">
        <f t="shared" si="110"/>
        <v>54.861140799037649</v>
      </c>
      <c r="R138" s="65">
        <f t="shared" si="110"/>
        <v>57.097122216235178</v>
      </c>
      <c r="S138" s="65">
        <f t="shared" si="110"/>
        <v>59.443134042521656</v>
      </c>
      <c r="T138" s="65">
        <f t="shared" si="110"/>
        <v>57.055011212586379</v>
      </c>
      <c r="U138" s="65">
        <f t="shared" si="110"/>
        <v>58.744593918124409</v>
      </c>
      <c r="V138" s="65">
        <f t="shared" si="110"/>
        <v>54.898477863954987</v>
      </c>
      <c r="W138" s="65">
        <f t="shared" si="110"/>
        <v>54.52571906116362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1.3191696311442573</v>
      </c>
      <c r="C139" s="65">
        <f t="shared" ref="C139:W139" si="112">IF(C109=0,0,C109/C$26)</f>
        <v>1.4424328499825929</v>
      </c>
      <c r="D139" s="65">
        <f t="shared" si="112"/>
        <v>1.8362639877949136</v>
      </c>
      <c r="E139" s="65">
        <f t="shared" si="112"/>
        <v>2.1335355863100927</v>
      </c>
      <c r="F139" s="65">
        <f t="shared" si="112"/>
        <v>2.2501718999835267</v>
      </c>
      <c r="G139" s="65">
        <f t="shared" si="112"/>
        <v>2.7207761589319346</v>
      </c>
      <c r="H139" s="65">
        <f t="shared" si="112"/>
        <v>3.3256228596271917</v>
      </c>
      <c r="I139" s="65">
        <f t="shared" si="112"/>
        <v>3.7585241178290167</v>
      </c>
      <c r="J139" s="65">
        <f t="shared" si="112"/>
        <v>4.1084553742487291</v>
      </c>
      <c r="K139" s="65">
        <f t="shared" si="112"/>
        <v>4.4953733487638674</v>
      </c>
      <c r="L139" s="65">
        <f t="shared" si="112"/>
        <v>4.8843900640078388</v>
      </c>
      <c r="M139" s="65">
        <f t="shared" si="112"/>
        <v>5.1641721737511146</v>
      </c>
      <c r="N139" s="65">
        <f t="shared" si="112"/>
        <v>5.3727764347352611</v>
      </c>
      <c r="O139" s="65">
        <f t="shared" si="112"/>
        <v>5.7181443570597388</v>
      </c>
      <c r="P139" s="65">
        <f t="shared" si="112"/>
        <v>5.5519951087523642</v>
      </c>
      <c r="Q139" s="65">
        <f t="shared" si="112"/>
        <v>6.6938229345093383</v>
      </c>
      <c r="R139" s="65">
        <f t="shared" si="112"/>
        <v>5.7897809688545978</v>
      </c>
      <c r="S139" s="65">
        <f t="shared" si="112"/>
        <v>5.9433724568555126</v>
      </c>
      <c r="T139" s="65">
        <f t="shared" si="112"/>
        <v>6.3708967094400455</v>
      </c>
      <c r="U139" s="65">
        <f t="shared" si="112"/>
        <v>6.4227854249670537</v>
      </c>
      <c r="V139" s="65">
        <f t="shared" si="112"/>
        <v>5.8443417180533439</v>
      </c>
      <c r="W139" s="65">
        <f t="shared" si="112"/>
        <v>6.1809187474728819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7.7837363513472075</v>
      </c>
      <c r="C140" s="65">
        <f t="shared" ref="C140:W140" si="114">IF(C110=0,0,C110/C$26)</f>
        <v>7.721823711254868</v>
      </c>
      <c r="D140" s="65">
        <f t="shared" si="114"/>
        <v>7.6268369792820829</v>
      </c>
      <c r="E140" s="65">
        <f t="shared" si="114"/>
        <v>7.5373631534601291</v>
      </c>
      <c r="F140" s="65">
        <f t="shared" si="114"/>
        <v>7.3510611947838571</v>
      </c>
      <c r="G140" s="65">
        <f t="shared" si="114"/>
        <v>7.3024703714220394</v>
      </c>
      <c r="H140" s="65">
        <f t="shared" si="114"/>
        <v>7.3664125777540814</v>
      </c>
      <c r="I140" s="65">
        <f t="shared" si="114"/>
        <v>7.4119135344585754</v>
      </c>
      <c r="J140" s="65">
        <f t="shared" si="114"/>
        <v>7.464022626395094</v>
      </c>
      <c r="K140" s="65">
        <f t="shared" si="114"/>
        <v>8.0171186041928824</v>
      </c>
      <c r="L140" s="65">
        <f t="shared" si="114"/>
        <v>8.3229888722344718</v>
      </c>
      <c r="M140" s="65">
        <f t="shared" si="114"/>
        <v>8.4416323561674833</v>
      </c>
      <c r="N140" s="65">
        <f t="shared" si="114"/>
        <v>8.602482195810218</v>
      </c>
      <c r="O140" s="65">
        <f t="shared" si="114"/>
        <v>8.6945195622171134</v>
      </c>
      <c r="P140" s="65">
        <f t="shared" si="114"/>
        <v>8.6580177246811392</v>
      </c>
      <c r="Q140" s="65">
        <f t="shared" si="114"/>
        <v>8.6918190658502219</v>
      </c>
      <c r="R140" s="65">
        <f t="shared" si="114"/>
        <v>8.8992768173232264</v>
      </c>
      <c r="S140" s="65">
        <f t="shared" si="114"/>
        <v>9.0340733024197082</v>
      </c>
      <c r="T140" s="65">
        <f t="shared" si="114"/>
        <v>9.0051788340952275</v>
      </c>
      <c r="U140" s="65">
        <f t="shared" si="114"/>
        <v>9.0667033954562637</v>
      </c>
      <c r="V140" s="65">
        <f t="shared" si="114"/>
        <v>8.662883693448773</v>
      </c>
      <c r="W140" s="65">
        <f t="shared" si="114"/>
        <v>8.8038569577282715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8.3925074458418578</v>
      </c>
      <c r="C141" s="68">
        <f t="shared" ref="C141:W141" si="116">IF(C111=0,0,C111/C$26)</f>
        <v>8.3930893471035386</v>
      </c>
      <c r="D141" s="68">
        <f t="shared" si="116"/>
        <v>8.3659680916449393</v>
      </c>
      <c r="E141" s="68">
        <f t="shared" si="116"/>
        <v>8.4542446346260753</v>
      </c>
      <c r="F141" s="68">
        <f t="shared" si="116"/>
        <v>8.4381271454051099</v>
      </c>
      <c r="G141" s="68">
        <f t="shared" si="116"/>
        <v>8.3556394452566405</v>
      </c>
      <c r="H141" s="68">
        <f t="shared" si="116"/>
        <v>8.4019054096506327</v>
      </c>
      <c r="I141" s="68">
        <f t="shared" si="116"/>
        <v>8.325326256067715</v>
      </c>
      <c r="J141" s="68">
        <f t="shared" si="116"/>
        <v>8.4388761587078847</v>
      </c>
      <c r="K141" s="68">
        <f t="shared" si="116"/>
        <v>8.9355600401763482</v>
      </c>
      <c r="L141" s="68">
        <f t="shared" si="116"/>
        <v>9.2185362041190899</v>
      </c>
      <c r="M141" s="68">
        <f t="shared" si="116"/>
        <v>9.3386919464168443</v>
      </c>
      <c r="N141" s="68">
        <f t="shared" si="116"/>
        <v>9.4057432631645277</v>
      </c>
      <c r="O141" s="68">
        <f t="shared" si="116"/>
        <v>9.5505680985019854</v>
      </c>
      <c r="P141" s="68">
        <f t="shared" si="116"/>
        <v>9.6177793533627582</v>
      </c>
      <c r="Q141" s="68">
        <f t="shared" si="116"/>
        <v>9.6181275101638413</v>
      </c>
      <c r="R141" s="68">
        <f t="shared" si="116"/>
        <v>9.6728956333404685</v>
      </c>
      <c r="S141" s="68">
        <f t="shared" si="116"/>
        <v>9.7468465503289075</v>
      </c>
      <c r="T141" s="68">
        <f t="shared" si="116"/>
        <v>9.6744202425518058</v>
      </c>
      <c r="U141" s="68">
        <f t="shared" si="116"/>
        <v>9.7533340792240395</v>
      </c>
      <c r="V141" s="68">
        <f t="shared" si="116"/>
        <v>9.1444911102856139</v>
      </c>
      <c r="W141" s="68">
        <f t="shared" si="116"/>
        <v>9.432899377273344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24.903523223546586</v>
      </c>
      <c r="C143" s="82">
        <f t="shared" ref="C143:W143" si="118">IF(C113=0,0,C113/C$26)</f>
        <v>21.129510091911154</v>
      </c>
      <c r="D143" s="82">
        <f t="shared" si="118"/>
        <v>20.045852501923321</v>
      </c>
      <c r="E143" s="82">
        <f t="shared" si="118"/>
        <v>24.228823543346618</v>
      </c>
      <c r="F143" s="82">
        <f t="shared" si="118"/>
        <v>24.310526689761993</v>
      </c>
      <c r="G143" s="82">
        <f t="shared" si="118"/>
        <v>16.710510496732443</v>
      </c>
      <c r="H143" s="82">
        <f t="shared" si="118"/>
        <v>17.178567411356159</v>
      </c>
      <c r="I143" s="82">
        <f t="shared" si="118"/>
        <v>14.68615178363196</v>
      </c>
      <c r="J143" s="82">
        <f t="shared" si="118"/>
        <v>16.266986238109965</v>
      </c>
      <c r="K143" s="82">
        <f t="shared" si="118"/>
        <v>14.163865346374273</v>
      </c>
      <c r="L143" s="82">
        <f t="shared" si="118"/>
        <v>14.829132539760336</v>
      </c>
      <c r="M143" s="82">
        <f t="shared" si="118"/>
        <v>14.029681766830363</v>
      </c>
      <c r="N143" s="82">
        <f t="shared" si="118"/>
        <v>13.197575824031947</v>
      </c>
      <c r="O143" s="82">
        <f t="shared" si="118"/>
        <v>12.568655987671912</v>
      </c>
      <c r="P143" s="82">
        <f t="shared" si="118"/>
        <v>11.988470379043804</v>
      </c>
      <c r="Q143" s="82">
        <f t="shared" si="118"/>
        <v>11.874950431880263</v>
      </c>
      <c r="R143" s="82">
        <f t="shared" si="118"/>
        <v>11.963587721461193</v>
      </c>
      <c r="S143" s="82">
        <f t="shared" si="118"/>
        <v>12.534244356971588</v>
      </c>
      <c r="T143" s="82">
        <f t="shared" si="118"/>
        <v>11.127169456944017</v>
      </c>
      <c r="U143" s="82">
        <f t="shared" si="118"/>
        <v>11.621614161956639</v>
      </c>
      <c r="V143" s="82">
        <f t="shared" si="118"/>
        <v>10.415438488077156</v>
      </c>
      <c r="W143" s="82">
        <f t="shared" si="118"/>
        <v>9.9026714445393367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24.903523223546586</v>
      </c>
      <c r="C144" s="64">
        <f t="shared" ref="C144:W144" si="120">IF(C114=0,0,C114/C$26)</f>
        <v>21.129510091911154</v>
      </c>
      <c r="D144" s="64">
        <f t="shared" si="120"/>
        <v>20.045852501923321</v>
      </c>
      <c r="E144" s="64">
        <f t="shared" si="120"/>
        <v>24.228823543346618</v>
      </c>
      <c r="F144" s="64">
        <f t="shared" si="120"/>
        <v>24.310526689761993</v>
      </c>
      <c r="G144" s="64">
        <f t="shared" si="120"/>
        <v>16.710510496732443</v>
      </c>
      <c r="H144" s="64">
        <f t="shared" si="120"/>
        <v>17.178567411356159</v>
      </c>
      <c r="I144" s="64">
        <f t="shared" si="120"/>
        <v>14.68615178363196</v>
      </c>
      <c r="J144" s="64">
        <f t="shared" si="120"/>
        <v>16.266986238109965</v>
      </c>
      <c r="K144" s="64">
        <f t="shared" si="120"/>
        <v>14.163865346374273</v>
      </c>
      <c r="L144" s="64">
        <f t="shared" si="120"/>
        <v>14.829132539760336</v>
      </c>
      <c r="M144" s="64">
        <f t="shared" si="120"/>
        <v>14.029681766830363</v>
      </c>
      <c r="N144" s="64">
        <f t="shared" si="120"/>
        <v>13.197575824031947</v>
      </c>
      <c r="O144" s="64">
        <f t="shared" si="120"/>
        <v>12.568655987671912</v>
      </c>
      <c r="P144" s="64">
        <f t="shared" si="120"/>
        <v>11.988470379043804</v>
      </c>
      <c r="Q144" s="64">
        <f t="shared" si="120"/>
        <v>11.874950431880263</v>
      </c>
      <c r="R144" s="64">
        <f t="shared" si="120"/>
        <v>11.963587721461193</v>
      </c>
      <c r="S144" s="64">
        <f t="shared" si="120"/>
        <v>12.534244356971588</v>
      </c>
      <c r="T144" s="64">
        <f t="shared" si="120"/>
        <v>11.127169456944017</v>
      </c>
      <c r="U144" s="64">
        <f t="shared" si="120"/>
        <v>11.621614161956639</v>
      </c>
      <c r="V144" s="64">
        <f t="shared" si="120"/>
        <v>10.415438488077156</v>
      </c>
      <c r="W144" s="64">
        <f t="shared" si="120"/>
        <v>9.9026714445393367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22.584661172236377</v>
      </c>
      <c r="C145" s="65">
        <f t="shared" ref="C145:W145" si="122">IF(C115=0,0,C115/C$26)</f>
        <v>18.605344312388482</v>
      </c>
      <c r="D145" s="65">
        <f t="shared" si="122"/>
        <v>17.5097561420971</v>
      </c>
      <c r="E145" s="65">
        <f t="shared" si="122"/>
        <v>21.766695394103991</v>
      </c>
      <c r="F145" s="65">
        <f t="shared" si="122"/>
        <v>21.848782322126244</v>
      </c>
      <c r="G145" s="65">
        <f t="shared" si="122"/>
        <v>14.257292866574316</v>
      </c>
      <c r="H145" s="65">
        <f t="shared" si="122"/>
        <v>14.756384675070599</v>
      </c>
      <c r="I145" s="65">
        <f t="shared" si="122"/>
        <v>12.246417092578653</v>
      </c>
      <c r="J145" s="65">
        <f t="shared" si="122"/>
        <v>13.754229262065289</v>
      </c>
      <c r="K145" s="65">
        <f t="shared" si="122"/>
        <v>11.227890885780885</v>
      </c>
      <c r="L145" s="65">
        <f t="shared" si="122"/>
        <v>12.018511817855396</v>
      </c>
      <c r="M145" s="65">
        <f t="shared" si="122"/>
        <v>11.231890716827223</v>
      </c>
      <c r="N145" s="65">
        <f t="shared" si="122"/>
        <v>10.401471784573564</v>
      </c>
      <c r="O145" s="65">
        <f t="shared" si="122"/>
        <v>9.7764592724518575</v>
      </c>
      <c r="P145" s="65">
        <f t="shared" si="122"/>
        <v>9.20668107835683</v>
      </c>
      <c r="Q145" s="65">
        <f t="shared" si="122"/>
        <v>9.1404883593828146</v>
      </c>
      <c r="R145" s="65">
        <f t="shared" si="122"/>
        <v>9.12895651355662</v>
      </c>
      <c r="S145" s="65">
        <f t="shared" si="122"/>
        <v>9.4224545773731467</v>
      </c>
      <c r="T145" s="65">
        <f t="shared" si="122"/>
        <v>8.2820765257102451</v>
      </c>
      <c r="U145" s="65">
        <f t="shared" si="122"/>
        <v>8.6207378154818173</v>
      </c>
      <c r="V145" s="65">
        <f t="shared" si="122"/>
        <v>7.6987565881941089</v>
      </c>
      <c r="W145" s="65">
        <f t="shared" si="122"/>
        <v>7.2682629456749659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4.5098145042291244E-4</v>
      </c>
      <c r="H146" s="65">
        <f t="shared" si="124"/>
        <v>5.62211039786411E-4</v>
      </c>
      <c r="I146" s="65">
        <f t="shared" si="124"/>
        <v>7.6954828613039715E-4</v>
      </c>
      <c r="J146" s="65">
        <f t="shared" si="124"/>
        <v>7.8090420707787613E-4</v>
      </c>
      <c r="K146" s="65">
        <f t="shared" si="124"/>
        <v>1.0334730256193287E-3</v>
      </c>
      <c r="L146" s="65">
        <f t="shared" si="124"/>
        <v>1.0475620344333699E-3</v>
      </c>
      <c r="M146" s="65">
        <f t="shared" si="124"/>
        <v>1.0975261211600973E-3</v>
      </c>
      <c r="N146" s="65">
        <f t="shared" si="124"/>
        <v>1.1424200010444194E-3</v>
      </c>
      <c r="O146" s="65">
        <f t="shared" si="124"/>
        <v>1.4075930668187248E-3</v>
      </c>
      <c r="P146" s="65">
        <f t="shared" si="124"/>
        <v>1.9309520775794757E-3</v>
      </c>
      <c r="Q146" s="65">
        <f t="shared" si="124"/>
        <v>3.4972070072206074E-3</v>
      </c>
      <c r="R146" s="65">
        <f t="shared" si="124"/>
        <v>3.459720347585717E-3</v>
      </c>
      <c r="S146" s="65">
        <f t="shared" si="124"/>
        <v>4.1499498776421109E-3</v>
      </c>
      <c r="T146" s="65">
        <f t="shared" si="124"/>
        <v>5.2059845154508221E-3</v>
      </c>
      <c r="U146" s="65">
        <f t="shared" si="124"/>
        <v>5.2203956824918765E-3</v>
      </c>
      <c r="V146" s="65">
        <f t="shared" si="124"/>
        <v>5.5930559558094589E-3</v>
      </c>
      <c r="W146" s="65">
        <f t="shared" si="124"/>
        <v>5.8750367896885491E-3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1.0237286544885267</v>
      </c>
      <c r="C147" s="65">
        <f t="shared" ref="C147:W147" si="126">IF(C117=0,0,C117/C$26)</f>
        <v>1.0109456762695774</v>
      </c>
      <c r="D147" s="65">
        <f t="shared" si="126"/>
        <v>1.0339050844073989</v>
      </c>
      <c r="E147" s="65">
        <f t="shared" si="126"/>
        <v>1.014846420948758</v>
      </c>
      <c r="F147" s="65">
        <f t="shared" si="126"/>
        <v>1.0043179876627579</v>
      </c>
      <c r="G147" s="65">
        <f t="shared" si="126"/>
        <v>1.0270333067670159</v>
      </c>
      <c r="H147" s="65">
        <f t="shared" si="126"/>
        <v>1.0438381064646105</v>
      </c>
      <c r="I147" s="65">
        <f t="shared" si="126"/>
        <v>1.0576004838350317</v>
      </c>
      <c r="J147" s="65">
        <f t="shared" si="126"/>
        <v>1.0988651116137591</v>
      </c>
      <c r="K147" s="65">
        <f t="shared" si="126"/>
        <v>1.3497240367758156</v>
      </c>
      <c r="L147" s="65">
        <f t="shared" si="126"/>
        <v>1.2617521295280889</v>
      </c>
      <c r="M147" s="65">
        <f t="shared" si="126"/>
        <v>1.2530291327546144</v>
      </c>
      <c r="N147" s="65">
        <f t="shared" si="126"/>
        <v>1.2595878632621609</v>
      </c>
      <c r="O147" s="65">
        <f t="shared" si="126"/>
        <v>1.2585589636708845</v>
      </c>
      <c r="P147" s="65">
        <f t="shared" si="126"/>
        <v>1.2474990112620408</v>
      </c>
      <c r="Q147" s="65">
        <f t="shared" si="126"/>
        <v>1.2309695952589919</v>
      </c>
      <c r="R147" s="65">
        <f t="shared" si="126"/>
        <v>1.2246506256590084</v>
      </c>
      <c r="S147" s="65">
        <f t="shared" si="126"/>
        <v>1.2891856481342736</v>
      </c>
      <c r="T147" s="65">
        <f t="shared" si="126"/>
        <v>1.1496766345772722</v>
      </c>
      <c r="U147" s="65">
        <f t="shared" si="126"/>
        <v>1.1958234983147287</v>
      </c>
      <c r="V147" s="65">
        <f t="shared" si="126"/>
        <v>1.0878622367487363</v>
      </c>
      <c r="W147" s="65">
        <f t="shared" si="126"/>
        <v>1.0537201006351788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1.2951333968216798</v>
      </c>
      <c r="C148" s="67">
        <f t="shared" ref="C148:W148" si="128">IF(C118=0,0,C118/C$26)</f>
        <v>1.5132201032530965</v>
      </c>
      <c r="D148" s="67">
        <f t="shared" si="128"/>
        <v>1.5021912754188187</v>
      </c>
      <c r="E148" s="67">
        <f t="shared" si="128"/>
        <v>1.447281728293865</v>
      </c>
      <c r="F148" s="67">
        <f t="shared" si="128"/>
        <v>1.4574263799729874</v>
      </c>
      <c r="G148" s="67">
        <f t="shared" si="128"/>
        <v>1.4257333419406899</v>
      </c>
      <c r="H148" s="67">
        <f t="shared" si="128"/>
        <v>1.3777824187811654</v>
      </c>
      <c r="I148" s="67">
        <f t="shared" si="128"/>
        <v>1.3813646589321438</v>
      </c>
      <c r="J148" s="67">
        <f t="shared" si="128"/>
        <v>1.4131109602238361</v>
      </c>
      <c r="K148" s="67">
        <f t="shared" si="128"/>
        <v>1.5852169507919533</v>
      </c>
      <c r="L148" s="67">
        <f t="shared" si="128"/>
        <v>1.5478210303424176</v>
      </c>
      <c r="M148" s="67">
        <f t="shared" si="128"/>
        <v>1.5436643911273615</v>
      </c>
      <c r="N148" s="67">
        <f t="shared" si="128"/>
        <v>1.5353737561951759</v>
      </c>
      <c r="O148" s="67">
        <f t="shared" si="128"/>
        <v>1.5322301584823501</v>
      </c>
      <c r="P148" s="67">
        <f t="shared" si="128"/>
        <v>1.5323593373473556</v>
      </c>
      <c r="Q148" s="67">
        <f t="shared" si="128"/>
        <v>1.4999952702312371</v>
      </c>
      <c r="R148" s="67">
        <f t="shared" si="128"/>
        <v>1.6065208618979809</v>
      </c>
      <c r="S148" s="67">
        <f t="shared" si="128"/>
        <v>1.8184541815865265</v>
      </c>
      <c r="T148" s="67">
        <f t="shared" si="128"/>
        <v>1.6902103121410474</v>
      </c>
      <c r="U148" s="67">
        <f t="shared" si="128"/>
        <v>1.7998324524775977</v>
      </c>
      <c r="V148" s="67">
        <f t="shared" si="128"/>
        <v>1.6232266071784995</v>
      </c>
      <c r="W148" s="67">
        <f t="shared" si="128"/>
        <v>1.5748133614395059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14426.049863928793</v>
      </c>
      <c r="C153" s="82">
        <f t="shared" ref="C153:W153" si="132">IF(C99=0,0,C99/C$23)</f>
        <v>14292.713045807852</v>
      </c>
      <c r="D153" s="82">
        <f t="shared" si="132"/>
        <v>13343.528799767186</v>
      </c>
      <c r="E153" s="82">
        <f t="shared" si="132"/>
        <v>14724.07212456954</v>
      </c>
      <c r="F153" s="82">
        <f t="shared" si="132"/>
        <v>14238.906063260618</v>
      </c>
      <c r="G153" s="82">
        <f t="shared" si="132"/>
        <v>12778.109721892148</v>
      </c>
      <c r="H153" s="82">
        <f t="shared" si="132"/>
        <v>12351.207824067895</v>
      </c>
      <c r="I153" s="82">
        <f t="shared" si="132"/>
        <v>11551.88009244818</v>
      </c>
      <c r="J153" s="82">
        <f t="shared" si="132"/>
        <v>11990.736057085358</v>
      </c>
      <c r="K153" s="82">
        <f t="shared" si="132"/>
        <v>11127.696767219653</v>
      </c>
      <c r="L153" s="82">
        <f t="shared" si="132"/>
        <v>12154.626627199625</v>
      </c>
      <c r="M153" s="82">
        <f t="shared" si="132"/>
        <v>11887.116038517819</v>
      </c>
      <c r="N153" s="82">
        <f t="shared" si="132"/>
        <v>11489.12296156674</v>
      </c>
      <c r="O153" s="82">
        <f t="shared" si="132"/>
        <v>11275.331845445118</v>
      </c>
      <c r="P153" s="82">
        <f t="shared" si="132"/>
        <v>10834.572575295771</v>
      </c>
      <c r="Q153" s="82">
        <f t="shared" si="132"/>
        <v>10919.862520335271</v>
      </c>
      <c r="R153" s="82">
        <f t="shared" si="132"/>
        <v>11029.948300814482</v>
      </c>
      <c r="S153" s="82">
        <f t="shared" si="132"/>
        <v>11228.286787014054</v>
      </c>
      <c r="T153" s="82">
        <f t="shared" si="132"/>
        <v>10759.579844375552</v>
      </c>
      <c r="U153" s="82">
        <f t="shared" si="132"/>
        <v>10897.054593314573</v>
      </c>
      <c r="V153" s="82">
        <f t="shared" si="132"/>
        <v>10319.784188947571</v>
      </c>
      <c r="W153" s="82">
        <f t="shared" si="132"/>
        <v>10166.137622700264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12687.843923460219</v>
      </c>
      <c r="C154" s="64">
        <f t="shared" ref="C154:W154" si="134">IF(C100=0,0,C100/C$23)</f>
        <v>12485.488316065943</v>
      </c>
      <c r="D154" s="64">
        <f t="shared" si="134"/>
        <v>11501.314614306229</v>
      </c>
      <c r="E154" s="64">
        <f t="shared" si="134"/>
        <v>12805.421776327421</v>
      </c>
      <c r="F154" s="64">
        <f t="shared" si="134"/>
        <v>12214.525921531827</v>
      </c>
      <c r="G154" s="64">
        <f t="shared" si="134"/>
        <v>10678.873472517089</v>
      </c>
      <c r="H154" s="64">
        <f t="shared" si="134"/>
        <v>10198.343502089527</v>
      </c>
      <c r="I154" s="64">
        <f t="shared" si="134"/>
        <v>9363.1134578782876</v>
      </c>
      <c r="J154" s="64">
        <f t="shared" si="134"/>
        <v>9791.5005678048747</v>
      </c>
      <c r="K154" s="64">
        <f t="shared" si="134"/>
        <v>8907.8896317548169</v>
      </c>
      <c r="L154" s="64">
        <f t="shared" si="134"/>
        <v>9876.7934443267259</v>
      </c>
      <c r="M154" s="64">
        <f t="shared" si="134"/>
        <v>9548.3127856981755</v>
      </c>
      <c r="N154" s="64">
        <f t="shared" si="134"/>
        <v>9131.7267221440125</v>
      </c>
      <c r="O154" s="64">
        <f t="shared" si="134"/>
        <v>8896.8741397113463</v>
      </c>
      <c r="P154" s="64">
        <f t="shared" si="134"/>
        <v>8437.042452554997</v>
      </c>
      <c r="Q154" s="64">
        <f t="shared" si="134"/>
        <v>8456.7330588116383</v>
      </c>
      <c r="R154" s="64">
        <f t="shared" si="134"/>
        <v>8582.6089819570388</v>
      </c>
      <c r="S154" s="64">
        <f t="shared" si="134"/>
        <v>8781.1433941635878</v>
      </c>
      <c r="T154" s="64">
        <f t="shared" si="134"/>
        <v>8362.4211696238544</v>
      </c>
      <c r="U154" s="64">
        <f t="shared" si="134"/>
        <v>8546.7007841040868</v>
      </c>
      <c r="V154" s="64">
        <f t="shared" si="134"/>
        <v>8061.0102983428051</v>
      </c>
      <c r="W154" s="64">
        <f t="shared" si="134"/>
        <v>7986.2657175245122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10866.272739069145</v>
      </c>
      <c r="C155" s="65">
        <f t="shared" ref="C155:W155" si="136">IF(C101=0,0,C101/C$23)</f>
        <v>10629.625109298884</v>
      </c>
      <c r="D155" s="65">
        <f t="shared" si="136"/>
        <v>9665.1358180739771</v>
      </c>
      <c r="E155" s="65">
        <f t="shared" si="136"/>
        <v>10949.862870037017</v>
      </c>
      <c r="F155" s="65">
        <f t="shared" si="136"/>
        <v>10333.027524469611</v>
      </c>
      <c r="G155" s="65">
        <f t="shared" si="136"/>
        <v>8770.8013951436151</v>
      </c>
      <c r="H155" s="65">
        <f t="shared" si="136"/>
        <v>8244.4124772207251</v>
      </c>
      <c r="I155" s="65">
        <f t="shared" si="136"/>
        <v>7398.0700909522629</v>
      </c>
      <c r="J155" s="65">
        <f t="shared" si="136"/>
        <v>7822.3372332861418</v>
      </c>
      <c r="K155" s="65">
        <f t="shared" si="136"/>
        <v>6838.2185707625831</v>
      </c>
      <c r="L155" s="65">
        <f t="shared" si="136"/>
        <v>7727.6294365642125</v>
      </c>
      <c r="M155" s="65">
        <f t="shared" si="136"/>
        <v>7325.1387587676882</v>
      </c>
      <c r="N155" s="65">
        <f t="shared" si="136"/>
        <v>6894.1494360855768</v>
      </c>
      <c r="O155" s="65">
        <f t="shared" si="136"/>
        <v>6647.0703784983498</v>
      </c>
      <c r="P155" s="65">
        <f t="shared" si="136"/>
        <v>6195.4450007160076</v>
      </c>
      <c r="Q155" s="65">
        <f t="shared" si="136"/>
        <v>6179.3447948884777</v>
      </c>
      <c r="R155" s="65">
        <f t="shared" si="136"/>
        <v>6321.0582730784454</v>
      </c>
      <c r="S155" s="65">
        <f t="shared" si="136"/>
        <v>6496.3834804068392</v>
      </c>
      <c r="T155" s="65">
        <f t="shared" si="136"/>
        <v>6120.5075528863335</v>
      </c>
      <c r="U155" s="65">
        <f t="shared" si="136"/>
        <v>6284.021261582664</v>
      </c>
      <c r="V155" s="65">
        <f t="shared" si="136"/>
        <v>5909.8151895206938</v>
      </c>
      <c r="W155" s="65">
        <f t="shared" si="136"/>
        <v>5804.6986667490628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51.324667711620123</v>
      </c>
      <c r="C156" s="65">
        <f t="shared" ref="C156:W156" si="138">IF(C102=0,0,C102/C$23)</f>
        <v>54.34398325408479</v>
      </c>
      <c r="D156" s="65">
        <f t="shared" si="138"/>
        <v>64.188529271941761</v>
      </c>
      <c r="E156" s="65">
        <f t="shared" si="138"/>
        <v>72.468370909819626</v>
      </c>
      <c r="F156" s="65">
        <f t="shared" si="138"/>
        <v>75.472447513225603</v>
      </c>
      <c r="G156" s="65">
        <f t="shared" si="138"/>
        <v>88.501635299959148</v>
      </c>
      <c r="H156" s="65">
        <f t="shared" si="138"/>
        <v>105.05115035457928</v>
      </c>
      <c r="I156" s="65">
        <f t="shared" si="138"/>
        <v>114.92553711837424</v>
      </c>
      <c r="J156" s="65">
        <f t="shared" si="138"/>
        <v>120.41473612263837</v>
      </c>
      <c r="K156" s="65">
        <f t="shared" si="138"/>
        <v>127.44073201718027</v>
      </c>
      <c r="L156" s="65">
        <f t="shared" si="138"/>
        <v>137.65102636030477</v>
      </c>
      <c r="M156" s="65">
        <f t="shared" si="138"/>
        <v>145.47052173200953</v>
      </c>
      <c r="N156" s="65">
        <f t="shared" si="138"/>
        <v>147.62407595917864</v>
      </c>
      <c r="O156" s="65">
        <f t="shared" si="138"/>
        <v>153.12240069735236</v>
      </c>
      <c r="P156" s="65">
        <f t="shared" si="138"/>
        <v>144.58989687208842</v>
      </c>
      <c r="Q156" s="65">
        <f t="shared" si="138"/>
        <v>169.90959114248412</v>
      </c>
      <c r="R156" s="65">
        <f t="shared" si="138"/>
        <v>141.36476905424968</v>
      </c>
      <c r="S156" s="65">
        <f t="shared" si="138"/>
        <v>140.69259040666861</v>
      </c>
      <c r="T156" s="65">
        <f t="shared" si="138"/>
        <v>146.82091375913447</v>
      </c>
      <c r="U156" s="65">
        <f t="shared" si="138"/>
        <v>145.67626662285915</v>
      </c>
      <c r="V156" s="65">
        <f t="shared" si="138"/>
        <v>133.3173000813957</v>
      </c>
      <c r="W156" s="65">
        <f t="shared" si="138"/>
        <v>138.22411943472756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900.54140463163969</v>
      </c>
      <c r="C157" s="65">
        <f t="shared" ref="C157:W157" si="140">IF(C103=0,0,C103/C$23)</f>
        <v>902.1203009103225</v>
      </c>
      <c r="D157" s="65">
        <f t="shared" si="140"/>
        <v>882.654349676827</v>
      </c>
      <c r="E157" s="65">
        <f t="shared" si="140"/>
        <v>877.74539830558729</v>
      </c>
      <c r="F157" s="65">
        <f t="shared" si="140"/>
        <v>875.69923638554189</v>
      </c>
      <c r="G157" s="65">
        <f t="shared" si="140"/>
        <v>883.40606222860924</v>
      </c>
      <c r="H157" s="65">
        <f t="shared" si="140"/>
        <v>899.05480414922135</v>
      </c>
      <c r="I157" s="65">
        <f t="shared" si="140"/>
        <v>903.80424341951937</v>
      </c>
      <c r="J157" s="65">
        <f t="shared" si="140"/>
        <v>897.61778811080865</v>
      </c>
      <c r="K157" s="65">
        <f t="shared" si="140"/>
        <v>948.20487481539169</v>
      </c>
      <c r="L157" s="65">
        <f t="shared" si="140"/>
        <v>981.61191426194841</v>
      </c>
      <c r="M157" s="65">
        <f t="shared" si="140"/>
        <v>1008.4205041262792</v>
      </c>
      <c r="N157" s="65">
        <f t="shared" si="140"/>
        <v>1014.5004257713134</v>
      </c>
      <c r="O157" s="65">
        <f t="shared" si="140"/>
        <v>1008.7106349589956</v>
      </c>
      <c r="P157" s="65">
        <f t="shared" si="140"/>
        <v>1000.5589805291767</v>
      </c>
      <c r="Q157" s="65">
        <f t="shared" si="140"/>
        <v>1003.7983595379047</v>
      </c>
      <c r="R157" s="65">
        <f t="shared" si="140"/>
        <v>1007.844166392895</v>
      </c>
      <c r="S157" s="65">
        <f t="shared" si="140"/>
        <v>1006.8891132092555</v>
      </c>
      <c r="T157" s="65">
        <f t="shared" si="140"/>
        <v>981.5385734897983</v>
      </c>
      <c r="U157" s="65">
        <f t="shared" si="140"/>
        <v>980.15706280553627</v>
      </c>
      <c r="V157" s="65">
        <f t="shared" si="140"/>
        <v>938.63060480728473</v>
      </c>
      <c r="W157" s="65">
        <f t="shared" si="140"/>
        <v>939.75255866043119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869.70511204781315</v>
      </c>
      <c r="C158" s="67">
        <f t="shared" ref="C158:W158" si="142">IF(C104=0,0,C104/C$23)</f>
        <v>899.39892260264867</v>
      </c>
      <c r="D158" s="67">
        <f t="shared" si="142"/>
        <v>889.3359172834837</v>
      </c>
      <c r="E158" s="67">
        <f t="shared" si="142"/>
        <v>905.34513707499593</v>
      </c>
      <c r="F158" s="67">
        <f t="shared" si="142"/>
        <v>930.32671316345045</v>
      </c>
      <c r="G158" s="67">
        <f t="shared" si="142"/>
        <v>936.16437984490585</v>
      </c>
      <c r="H158" s="67">
        <f t="shared" si="142"/>
        <v>949.82507036499862</v>
      </c>
      <c r="I158" s="67">
        <f t="shared" si="142"/>
        <v>946.31358638813094</v>
      </c>
      <c r="J158" s="67">
        <f t="shared" si="142"/>
        <v>951.13081028528643</v>
      </c>
      <c r="K158" s="67">
        <f t="shared" si="142"/>
        <v>994.02545415966301</v>
      </c>
      <c r="L158" s="67">
        <f t="shared" si="142"/>
        <v>1029.9010671402625</v>
      </c>
      <c r="M158" s="67">
        <f t="shared" si="142"/>
        <v>1069.2830010721987</v>
      </c>
      <c r="N158" s="67">
        <f t="shared" si="142"/>
        <v>1075.4527843279457</v>
      </c>
      <c r="O158" s="67">
        <f t="shared" si="142"/>
        <v>1087.9707255566491</v>
      </c>
      <c r="P158" s="67">
        <f t="shared" si="142"/>
        <v>1096.4485744377234</v>
      </c>
      <c r="Q158" s="67">
        <f t="shared" si="142"/>
        <v>1103.6803132427713</v>
      </c>
      <c r="R158" s="67">
        <f t="shared" si="142"/>
        <v>1112.3417734314482</v>
      </c>
      <c r="S158" s="67">
        <f t="shared" si="142"/>
        <v>1137.1782101408251</v>
      </c>
      <c r="T158" s="67">
        <f t="shared" si="142"/>
        <v>1113.554129488587</v>
      </c>
      <c r="U158" s="67">
        <f t="shared" si="142"/>
        <v>1136.8461930930275</v>
      </c>
      <c r="V158" s="67">
        <f t="shared" si="142"/>
        <v>1079.2472039334343</v>
      </c>
      <c r="W158" s="67">
        <f t="shared" si="142"/>
        <v>1103.5903726802894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1738.205940468574</v>
      </c>
      <c r="C159" s="68">
        <f t="shared" ref="C159:W159" si="144">IF(C105=0,0,C105/C$23)</f>
        <v>1807.2247297419092</v>
      </c>
      <c r="D159" s="68">
        <f t="shared" si="144"/>
        <v>1842.2141854609574</v>
      </c>
      <c r="E159" s="68">
        <f t="shared" si="144"/>
        <v>1918.6503482421206</v>
      </c>
      <c r="F159" s="68">
        <f t="shared" si="144"/>
        <v>2024.3801417287891</v>
      </c>
      <c r="G159" s="68">
        <f t="shared" si="144"/>
        <v>2099.2362493750579</v>
      </c>
      <c r="H159" s="68">
        <f t="shared" si="144"/>
        <v>2152.864321978368</v>
      </c>
      <c r="I159" s="68">
        <f t="shared" si="144"/>
        <v>2188.7666345698908</v>
      </c>
      <c r="J159" s="68">
        <f t="shared" si="144"/>
        <v>2199.2354892804815</v>
      </c>
      <c r="K159" s="68">
        <f t="shared" si="144"/>
        <v>2219.8071354648355</v>
      </c>
      <c r="L159" s="68">
        <f t="shared" si="144"/>
        <v>2277.8331828729001</v>
      </c>
      <c r="M159" s="68">
        <f t="shared" si="144"/>
        <v>2338.8032528196427</v>
      </c>
      <c r="N159" s="68">
        <f t="shared" si="144"/>
        <v>2357.3962394227251</v>
      </c>
      <c r="O159" s="68">
        <f t="shared" si="144"/>
        <v>2378.4577057337701</v>
      </c>
      <c r="P159" s="68">
        <f t="shared" si="144"/>
        <v>2397.5301227407763</v>
      </c>
      <c r="Q159" s="68">
        <f t="shared" si="144"/>
        <v>2463.1294615236325</v>
      </c>
      <c r="R159" s="68">
        <f t="shared" si="144"/>
        <v>2447.3393188574446</v>
      </c>
      <c r="S159" s="68">
        <f t="shared" si="144"/>
        <v>2447.1433928504639</v>
      </c>
      <c r="T159" s="68">
        <f t="shared" si="144"/>
        <v>2397.1586747516981</v>
      </c>
      <c r="U159" s="68">
        <f t="shared" si="144"/>
        <v>2350.3538092104859</v>
      </c>
      <c r="V159" s="68">
        <f t="shared" si="144"/>
        <v>2258.7738906047666</v>
      </c>
      <c r="W159" s="68">
        <f t="shared" si="144"/>
        <v>2179.8719051757516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7596.6574245787888</v>
      </c>
      <c r="C161" s="85">
        <f t="shared" ref="C161:W161" si="146">IF(C107=0,0,C107/C$23)</f>
        <v>7585.8296450643411</v>
      </c>
      <c r="D161" s="85">
        <f t="shared" si="146"/>
        <v>7054.5945443936535</v>
      </c>
      <c r="E161" s="85">
        <f t="shared" si="146"/>
        <v>7860.5455167670498</v>
      </c>
      <c r="F161" s="85">
        <f t="shared" si="146"/>
        <v>7539.0428094079234</v>
      </c>
      <c r="G161" s="85">
        <f t="shared" si="146"/>
        <v>6828.4282321967157</v>
      </c>
      <c r="H161" s="85">
        <f t="shared" si="146"/>
        <v>6561.8906473460338</v>
      </c>
      <c r="I161" s="85">
        <f t="shared" si="146"/>
        <v>6149.3934536735132</v>
      </c>
      <c r="J161" s="85">
        <f t="shared" si="146"/>
        <v>6471.1953756714784</v>
      </c>
      <c r="K161" s="85">
        <f t="shared" si="146"/>
        <v>6009.0186214871028</v>
      </c>
      <c r="L161" s="85">
        <f t="shared" si="146"/>
        <v>6767.7759104654524</v>
      </c>
      <c r="M161" s="85">
        <f t="shared" si="146"/>
        <v>6639.1265022417283</v>
      </c>
      <c r="N161" s="85">
        <f t="shared" si="146"/>
        <v>6461.5913514115182</v>
      </c>
      <c r="O161" s="85">
        <f t="shared" si="146"/>
        <v>6414.3642536951011</v>
      </c>
      <c r="P161" s="85">
        <f t="shared" si="146"/>
        <v>6124.2072982052259</v>
      </c>
      <c r="Q161" s="85">
        <f t="shared" si="146"/>
        <v>6260.8176180090077</v>
      </c>
      <c r="R161" s="85">
        <f t="shared" si="146"/>
        <v>6360.5925007898995</v>
      </c>
      <c r="S161" s="85">
        <f t="shared" si="146"/>
        <v>6575.7788181193237</v>
      </c>
      <c r="T161" s="85">
        <f t="shared" si="146"/>
        <v>6420.666459674072</v>
      </c>
      <c r="U161" s="85">
        <f t="shared" si="146"/>
        <v>6629.4920137967219</v>
      </c>
      <c r="V161" s="85">
        <f t="shared" si="146"/>
        <v>6352.652140743493</v>
      </c>
      <c r="W161" s="85">
        <f t="shared" si="146"/>
        <v>6426.9145228193238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6389.0106508274202</v>
      </c>
      <c r="C162" s="65">
        <f t="shared" ref="C162:W162" si="148">IF(C108=0,0,C108/C$23)</f>
        <v>6355.3608048423039</v>
      </c>
      <c r="D162" s="65">
        <f t="shared" si="148"/>
        <v>5812.5339681497871</v>
      </c>
      <c r="E162" s="65">
        <f t="shared" si="148"/>
        <v>6580.1482655407035</v>
      </c>
      <c r="F162" s="65">
        <f t="shared" si="148"/>
        <v>6226.3505863659893</v>
      </c>
      <c r="G162" s="65">
        <f t="shared" si="148"/>
        <v>5463.7586372020432</v>
      </c>
      <c r="H162" s="65">
        <f t="shared" si="148"/>
        <v>5120.9462964968452</v>
      </c>
      <c r="I162" s="65">
        <f t="shared" si="148"/>
        <v>4668.8561208707451</v>
      </c>
      <c r="J162" s="65">
        <f t="shared" si="148"/>
        <v>4962.50459250939</v>
      </c>
      <c r="K162" s="65">
        <f t="shared" si="148"/>
        <v>4422.314255925402</v>
      </c>
      <c r="L162" s="65">
        <f t="shared" si="148"/>
        <v>5085.9108869943675</v>
      </c>
      <c r="M162" s="65">
        <f t="shared" si="148"/>
        <v>4870.7271371582729</v>
      </c>
      <c r="N162" s="65">
        <f t="shared" si="148"/>
        <v>4657.0721655324269</v>
      </c>
      <c r="O162" s="65">
        <f t="shared" si="148"/>
        <v>4564.7434591112105</v>
      </c>
      <c r="P162" s="65">
        <f t="shared" si="148"/>
        <v>4277.9569378197493</v>
      </c>
      <c r="Q162" s="65">
        <f t="shared" si="148"/>
        <v>4300.7072258311719</v>
      </c>
      <c r="R162" s="65">
        <f t="shared" si="148"/>
        <v>4458.3310644132698</v>
      </c>
      <c r="S162" s="65">
        <f t="shared" si="148"/>
        <v>4644.1351323268682</v>
      </c>
      <c r="T162" s="65">
        <f t="shared" si="148"/>
        <v>4461.7128648252556</v>
      </c>
      <c r="U162" s="65">
        <f t="shared" si="148"/>
        <v>4636.9662383940604</v>
      </c>
      <c r="V162" s="65">
        <f t="shared" si="148"/>
        <v>4439.8481207235955</v>
      </c>
      <c r="W162" s="65">
        <f t="shared" si="148"/>
        <v>4439.0305167743982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91.057633796877212</v>
      </c>
      <c r="C163" s="65">
        <f t="shared" ref="C163:W163" si="150">IF(C109=0,0,C109/C$23)</f>
        <v>101.08980510391709</v>
      </c>
      <c r="D163" s="65">
        <f t="shared" si="150"/>
        <v>127.92317418842872</v>
      </c>
      <c r="E163" s="65">
        <f t="shared" si="150"/>
        <v>150.71732364688253</v>
      </c>
      <c r="F163" s="65">
        <f t="shared" si="150"/>
        <v>163.74101488577085</v>
      </c>
      <c r="G163" s="65">
        <f t="shared" si="150"/>
        <v>202.02315329710535</v>
      </c>
      <c r="H163" s="65">
        <f t="shared" si="150"/>
        <v>250.9716307924792</v>
      </c>
      <c r="I163" s="65">
        <f t="shared" si="150"/>
        <v>285.42791648705867</v>
      </c>
      <c r="J163" s="65">
        <f t="shared" si="150"/>
        <v>309.74359390192382</v>
      </c>
      <c r="K163" s="65">
        <f t="shared" si="150"/>
        <v>332.56300010821644</v>
      </c>
      <c r="L163" s="65">
        <f t="shared" si="150"/>
        <v>366.31213300453499</v>
      </c>
      <c r="M163" s="65">
        <f t="shared" si="150"/>
        <v>398.01783415304112</v>
      </c>
      <c r="N163" s="65">
        <f t="shared" si="150"/>
        <v>414.66478647893496</v>
      </c>
      <c r="O163" s="65">
        <f t="shared" si="150"/>
        <v>441.35944189011587</v>
      </c>
      <c r="P163" s="65">
        <f t="shared" si="150"/>
        <v>430.18559546077108</v>
      </c>
      <c r="Q163" s="65">
        <f t="shared" si="150"/>
        <v>524.74615444715141</v>
      </c>
      <c r="R163" s="65">
        <f t="shared" si="150"/>
        <v>452.08513752823654</v>
      </c>
      <c r="S163" s="65">
        <f t="shared" si="150"/>
        <v>464.33999949669601</v>
      </c>
      <c r="T163" s="65">
        <f t="shared" si="150"/>
        <v>498.20534962424017</v>
      </c>
      <c r="U163" s="65">
        <f t="shared" si="150"/>
        <v>506.97838193469914</v>
      </c>
      <c r="V163" s="65">
        <f t="shared" si="150"/>
        <v>472.6540808302168</v>
      </c>
      <c r="W163" s="65">
        <f t="shared" si="150"/>
        <v>503.19899332198884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537.28390763333766</v>
      </c>
      <c r="C164" s="65">
        <f t="shared" ref="C164:W164" si="152">IF(C110=0,0,C110/C$23)</f>
        <v>541.16741311526596</v>
      </c>
      <c r="D164" s="65">
        <f t="shared" si="152"/>
        <v>531.32294805773779</v>
      </c>
      <c r="E164" s="65">
        <f t="shared" si="152"/>
        <v>532.45477091331111</v>
      </c>
      <c r="F164" s="65">
        <f t="shared" si="152"/>
        <v>534.92367428911894</v>
      </c>
      <c r="G164" s="65">
        <f t="shared" si="152"/>
        <v>542.22324995397435</v>
      </c>
      <c r="H164" s="65">
        <f t="shared" si="152"/>
        <v>555.91408159144714</v>
      </c>
      <c r="I164" s="65">
        <f t="shared" si="152"/>
        <v>562.871747260392</v>
      </c>
      <c r="J164" s="65">
        <f t="shared" si="152"/>
        <v>562.72564325653707</v>
      </c>
      <c r="K164" s="65">
        <f t="shared" si="152"/>
        <v>593.09801620079668</v>
      </c>
      <c r="L164" s="65">
        <f t="shared" si="152"/>
        <v>624.19498991846388</v>
      </c>
      <c r="M164" s="65">
        <f t="shared" si="152"/>
        <v>650.62126398420605</v>
      </c>
      <c r="N164" s="65">
        <f t="shared" si="152"/>
        <v>663.92981101032024</v>
      </c>
      <c r="O164" s="65">
        <f t="shared" si="152"/>
        <v>671.09328863743997</v>
      </c>
      <c r="P164" s="65">
        <f t="shared" si="152"/>
        <v>670.84974634259765</v>
      </c>
      <c r="Q164" s="65">
        <f t="shared" si="152"/>
        <v>681.37425721878014</v>
      </c>
      <c r="R164" s="65">
        <f t="shared" si="152"/>
        <v>694.88479883848538</v>
      </c>
      <c r="S164" s="65">
        <f t="shared" si="152"/>
        <v>705.80829708224064</v>
      </c>
      <c r="T164" s="65">
        <f t="shared" si="152"/>
        <v>704.20671909834562</v>
      </c>
      <c r="U164" s="65">
        <f t="shared" si="152"/>
        <v>715.67432395327728</v>
      </c>
      <c r="V164" s="65">
        <f t="shared" si="152"/>
        <v>700.6002603882531</v>
      </c>
      <c r="W164" s="65">
        <f t="shared" si="152"/>
        <v>716.73680555838598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579.30523232115263</v>
      </c>
      <c r="C165" s="68">
        <f t="shared" ref="C165:W165" si="154">IF(C111=0,0,C111/C$23)</f>
        <v>588.21162200285335</v>
      </c>
      <c r="D165" s="68">
        <f t="shared" si="154"/>
        <v>582.81445399770018</v>
      </c>
      <c r="E165" s="68">
        <f t="shared" si="154"/>
        <v>597.22515666615334</v>
      </c>
      <c r="F165" s="68">
        <f t="shared" si="154"/>
        <v>614.02753386704376</v>
      </c>
      <c r="G165" s="68">
        <f t="shared" si="154"/>
        <v>620.4231917435925</v>
      </c>
      <c r="H165" s="68">
        <f t="shared" si="154"/>
        <v>634.05863846526324</v>
      </c>
      <c r="I165" s="68">
        <f t="shared" si="154"/>
        <v>632.23766905531795</v>
      </c>
      <c r="J165" s="68">
        <f t="shared" si="154"/>
        <v>636.2215460036283</v>
      </c>
      <c r="K165" s="68">
        <f t="shared" si="154"/>
        <v>661.04334925268859</v>
      </c>
      <c r="L165" s="68">
        <f t="shared" si="154"/>
        <v>691.35790054808649</v>
      </c>
      <c r="M165" s="68">
        <f t="shared" si="154"/>
        <v>719.76026694620782</v>
      </c>
      <c r="N165" s="68">
        <f t="shared" si="154"/>
        <v>725.92458838983498</v>
      </c>
      <c r="O165" s="68">
        <f t="shared" si="154"/>
        <v>737.16806405633463</v>
      </c>
      <c r="P165" s="68">
        <f t="shared" si="154"/>
        <v>745.21501858210843</v>
      </c>
      <c r="Q165" s="68">
        <f t="shared" si="154"/>
        <v>753.98998051190381</v>
      </c>
      <c r="R165" s="68">
        <f t="shared" si="154"/>
        <v>755.29150000990751</v>
      </c>
      <c r="S165" s="68">
        <f t="shared" si="154"/>
        <v>761.49538921351905</v>
      </c>
      <c r="T165" s="68">
        <f t="shared" si="154"/>
        <v>756.54152612623</v>
      </c>
      <c r="U165" s="68">
        <f t="shared" si="154"/>
        <v>769.87306951468429</v>
      </c>
      <c r="V165" s="68">
        <f t="shared" si="154"/>
        <v>739.54967880142794</v>
      </c>
      <c r="W165" s="68">
        <f t="shared" si="154"/>
        <v>767.94820716455104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1719.0025030933671</v>
      </c>
      <c r="C167" s="82">
        <f t="shared" ref="C167:W167" si="156">IF(C113=0,0,C113/C$23)</f>
        <v>1480.8162869823193</v>
      </c>
      <c r="D167" s="82">
        <f t="shared" si="156"/>
        <v>1396.4926058580897</v>
      </c>
      <c r="E167" s="82">
        <f t="shared" si="156"/>
        <v>1711.5737196965754</v>
      </c>
      <c r="F167" s="82">
        <f t="shared" si="156"/>
        <v>1769.0338736424494</v>
      </c>
      <c r="G167" s="82">
        <f t="shared" si="156"/>
        <v>1240.7893286890278</v>
      </c>
      <c r="H167" s="82">
        <f t="shared" si="156"/>
        <v>1296.3986777472121</v>
      </c>
      <c r="I167" s="82">
        <f t="shared" si="156"/>
        <v>1115.2882284113273</v>
      </c>
      <c r="J167" s="82">
        <f t="shared" si="156"/>
        <v>1226.3963753693374</v>
      </c>
      <c r="K167" s="82">
        <f t="shared" si="156"/>
        <v>1047.8278859784325</v>
      </c>
      <c r="L167" s="82">
        <f t="shared" si="156"/>
        <v>1112.1329582734668</v>
      </c>
      <c r="M167" s="82">
        <f t="shared" si="156"/>
        <v>1081.3085549458201</v>
      </c>
      <c r="N167" s="82">
        <f t="shared" si="156"/>
        <v>1018.5739212469982</v>
      </c>
      <c r="O167" s="82">
        <f t="shared" si="156"/>
        <v>970.12153692463778</v>
      </c>
      <c r="P167" s="82">
        <f t="shared" si="156"/>
        <v>928.90342438210621</v>
      </c>
      <c r="Q167" s="82">
        <f t="shared" si="156"/>
        <v>930.90818719668869</v>
      </c>
      <c r="R167" s="82">
        <f t="shared" si="156"/>
        <v>934.15627110638184</v>
      </c>
      <c r="S167" s="82">
        <f t="shared" si="156"/>
        <v>979.2674210909114</v>
      </c>
      <c r="T167" s="82">
        <f t="shared" si="156"/>
        <v>870.14679447097853</v>
      </c>
      <c r="U167" s="82">
        <f t="shared" si="156"/>
        <v>917.3445403289935</v>
      </c>
      <c r="V167" s="82">
        <f t="shared" si="156"/>
        <v>842.3360136213098</v>
      </c>
      <c r="W167" s="82">
        <f t="shared" si="156"/>
        <v>806.19314145295061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1719.0025030933671</v>
      </c>
      <c r="C168" s="64">
        <f t="shared" ref="C168:W168" si="158">IF(C114=0,0,C114/C$23)</f>
        <v>1480.8162869823193</v>
      </c>
      <c r="D168" s="64">
        <f t="shared" si="158"/>
        <v>1396.4926058580897</v>
      </c>
      <c r="E168" s="64">
        <f t="shared" si="158"/>
        <v>1711.5737196965754</v>
      </c>
      <c r="F168" s="64">
        <f t="shared" si="158"/>
        <v>1769.0338736424494</v>
      </c>
      <c r="G168" s="64">
        <f t="shared" si="158"/>
        <v>1240.7893286890278</v>
      </c>
      <c r="H168" s="64">
        <f t="shared" si="158"/>
        <v>1296.3986777472121</v>
      </c>
      <c r="I168" s="64">
        <f t="shared" si="158"/>
        <v>1115.2882284113273</v>
      </c>
      <c r="J168" s="64">
        <f t="shared" si="158"/>
        <v>1226.3963753693374</v>
      </c>
      <c r="K168" s="64">
        <f t="shared" si="158"/>
        <v>1047.8278859784325</v>
      </c>
      <c r="L168" s="64">
        <f t="shared" si="158"/>
        <v>1112.1329582734668</v>
      </c>
      <c r="M168" s="64">
        <f t="shared" si="158"/>
        <v>1081.3085549458201</v>
      </c>
      <c r="N168" s="64">
        <f t="shared" si="158"/>
        <v>1018.5739212469982</v>
      </c>
      <c r="O168" s="64">
        <f t="shared" si="158"/>
        <v>970.12153692463778</v>
      </c>
      <c r="P168" s="64">
        <f t="shared" si="158"/>
        <v>928.90342438210621</v>
      </c>
      <c r="Q168" s="64">
        <f t="shared" si="158"/>
        <v>930.90818719668869</v>
      </c>
      <c r="R168" s="64">
        <f t="shared" si="158"/>
        <v>934.15627110638184</v>
      </c>
      <c r="S168" s="64">
        <f t="shared" si="158"/>
        <v>979.2674210909114</v>
      </c>
      <c r="T168" s="64">
        <f t="shared" si="158"/>
        <v>870.14679447097853</v>
      </c>
      <c r="U168" s="64">
        <f t="shared" si="158"/>
        <v>917.3445403289935</v>
      </c>
      <c r="V168" s="64">
        <f t="shared" si="158"/>
        <v>842.3360136213098</v>
      </c>
      <c r="W168" s="64">
        <f t="shared" si="158"/>
        <v>806.19314145295061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1558.9396222411697</v>
      </c>
      <c r="C169" s="65">
        <f t="shared" ref="C169:W169" si="160">IF(C115=0,0,C115/C$23)</f>
        <v>1303.9155552047512</v>
      </c>
      <c r="D169" s="65">
        <f t="shared" si="160"/>
        <v>1219.8156691251108</v>
      </c>
      <c r="E169" s="65">
        <f t="shared" si="160"/>
        <v>1537.6439443928105</v>
      </c>
      <c r="F169" s="65">
        <f t="shared" si="160"/>
        <v>1589.8971058475272</v>
      </c>
      <c r="G169" s="65">
        <f t="shared" si="160"/>
        <v>1058.632939328739</v>
      </c>
      <c r="H169" s="65">
        <f t="shared" si="160"/>
        <v>1113.6061071335005</v>
      </c>
      <c r="I169" s="65">
        <f t="shared" si="160"/>
        <v>930.01114415763448</v>
      </c>
      <c r="J169" s="65">
        <f t="shared" si="160"/>
        <v>1036.9552580967593</v>
      </c>
      <c r="K169" s="65">
        <f t="shared" si="160"/>
        <v>830.62757821655828</v>
      </c>
      <c r="L169" s="65">
        <f t="shared" si="160"/>
        <v>901.34625651219403</v>
      </c>
      <c r="M169" s="65">
        <f t="shared" si="160"/>
        <v>865.67462627954478</v>
      </c>
      <c r="N169" s="65">
        <f t="shared" si="160"/>
        <v>802.77378539935273</v>
      </c>
      <c r="O169" s="65">
        <f t="shared" si="160"/>
        <v>754.60365088955757</v>
      </c>
      <c r="P169" s="65">
        <f t="shared" si="160"/>
        <v>713.36186439839344</v>
      </c>
      <c r="Q169" s="65">
        <f t="shared" si="160"/>
        <v>716.54660771314013</v>
      </c>
      <c r="R169" s="65">
        <f t="shared" si="160"/>
        <v>712.81894481355482</v>
      </c>
      <c r="S169" s="65">
        <f t="shared" si="160"/>
        <v>736.15150076424914</v>
      </c>
      <c r="T169" s="65">
        <f t="shared" si="160"/>
        <v>647.65997932320045</v>
      </c>
      <c r="U169" s="65">
        <f t="shared" si="160"/>
        <v>680.47232152375136</v>
      </c>
      <c r="V169" s="65">
        <f t="shared" si="160"/>
        <v>622.62764469913714</v>
      </c>
      <c r="W169" s="65">
        <f t="shared" si="160"/>
        <v>591.72151372455858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3.3486288239420806E-2</v>
      </c>
      <c r="H170" s="65">
        <f t="shared" si="162"/>
        <v>4.2427848093559366E-2</v>
      </c>
      <c r="I170" s="65">
        <f t="shared" si="162"/>
        <v>5.8440642406535834E-2</v>
      </c>
      <c r="J170" s="65">
        <f t="shared" si="162"/>
        <v>5.8873725904267274E-2</v>
      </c>
      <c r="K170" s="65">
        <f t="shared" si="162"/>
        <v>7.6455249267647241E-2</v>
      </c>
      <c r="L170" s="65">
        <f t="shared" si="162"/>
        <v>7.8563480446725037E-2</v>
      </c>
      <c r="M170" s="65">
        <f t="shared" si="162"/>
        <v>8.4589544068827016E-2</v>
      </c>
      <c r="N170" s="65">
        <f t="shared" si="162"/>
        <v>8.8170678895127155E-2</v>
      </c>
      <c r="O170" s="65">
        <f t="shared" si="162"/>
        <v>0.10864617113285982</v>
      </c>
      <c r="P170" s="65">
        <f t="shared" si="162"/>
        <v>0.14961608449370667</v>
      </c>
      <c r="Q170" s="65">
        <f t="shared" si="162"/>
        <v>0.2741551347113968</v>
      </c>
      <c r="R170" s="65">
        <f t="shared" si="162"/>
        <v>0.27014634190159242</v>
      </c>
      <c r="S170" s="65">
        <f t="shared" si="162"/>
        <v>0.32422462803469859</v>
      </c>
      <c r="T170" s="65">
        <f t="shared" si="162"/>
        <v>0.40710899170840897</v>
      </c>
      <c r="U170" s="65">
        <f t="shared" si="162"/>
        <v>0.41206853118282349</v>
      </c>
      <c r="V170" s="65">
        <f t="shared" si="162"/>
        <v>0.4523316481750187</v>
      </c>
      <c r="W170" s="65">
        <f t="shared" si="162"/>
        <v>0.47829662855698257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70.664383659990619</v>
      </c>
      <c r="C171" s="65">
        <f t="shared" ref="C171:W171" si="164">IF(C117=0,0,C117/C$23)</f>
        <v>70.849954218647014</v>
      </c>
      <c r="D171" s="65">
        <f t="shared" si="164"/>
        <v>72.026909576207146</v>
      </c>
      <c r="E171" s="65">
        <f t="shared" si="164"/>
        <v>71.690829747324187</v>
      </c>
      <c r="F171" s="65">
        <f t="shared" si="164"/>
        <v>73.08243719919308</v>
      </c>
      <c r="G171" s="65">
        <f t="shared" si="164"/>
        <v>76.259308026161122</v>
      </c>
      <c r="H171" s="65">
        <f t="shared" si="164"/>
        <v>78.774341806191629</v>
      </c>
      <c r="I171" s="65">
        <f t="shared" si="164"/>
        <v>80.315755097802182</v>
      </c>
      <c r="J171" s="65">
        <f t="shared" si="164"/>
        <v>82.845351325478049</v>
      </c>
      <c r="K171" s="65">
        <f t="shared" si="164"/>
        <v>99.851167003018148</v>
      </c>
      <c r="L171" s="65">
        <f t="shared" si="164"/>
        <v>94.626986754452361</v>
      </c>
      <c r="M171" s="65">
        <f t="shared" si="164"/>
        <v>96.574615401986605</v>
      </c>
      <c r="N171" s="65">
        <f t="shared" si="164"/>
        <v>97.213561501335406</v>
      </c>
      <c r="O171" s="65">
        <f t="shared" si="164"/>
        <v>97.142857386204511</v>
      </c>
      <c r="P171" s="65">
        <f t="shared" si="164"/>
        <v>96.66004643096322</v>
      </c>
      <c r="Q171" s="65">
        <f t="shared" si="164"/>
        <v>96.498901699865584</v>
      </c>
      <c r="R171" s="65">
        <f t="shared" si="164"/>
        <v>95.62474806963597</v>
      </c>
      <c r="S171" s="65">
        <f t="shared" si="164"/>
        <v>100.72067122687633</v>
      </c>
      <c r="T171" s="65">
        <f t="shared" si="164"/>
        <v>89.904934235659951</v>
      </c>
      <c r="U171" s="65">
        <f t="shared" si="164"/>
        <v>94.391548548144485</v>
      </c>
      <c r="V171" s="65">
        <f t="shared" si="164"/>
        <v>87.979545068703388</v>
      </c>
      <c r="W171" s="65">
        <f t="shared" si="164"/>
        <v>85.785126054206074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89.398497192206648</v>
      </c>
      <c r="C172" s="67">
        <f t="shared" ref="C172:W172" si="166">IF(C118=0,0,C118/C$23)</f>
        <v>106.05077755892127</v>
      </c>
      <c r="D172" s="67">
        <f t="shared" si="166"/>
        <v>104.6500271567716</v>
      </c>
      <c r="E172" s="67">
        <f t="shared" si="166"/>
        <v>102.23894555644051</v>
      </c>
      <c r="F172" s="67">
        <f t="shared" si="166"/>
        <v>106.05433059572877</v>
      </c>
      <c r="G172" s="67">
        <f t="shared" si="166"/>
        <v>105.86359504588852</v>
      </c>
      <c r="H172" s="67">
        <f t="shared" si="166"/>
        <v>103.97580095942648</v>
      </c>
      <c r="I172" s="67">
        <f t="shared" si="166"/>
        <v>104.90288851348403</v>
      </c>
      <c r="J172" s="67">
        <f t="shared" si="166"/>
        <v>106.53689222119581</v>
      </c>
      <c r="K172" s="67">
        <f t="shared" si="166"/>
        <v>117.27268550958854</v>
      </c>
      <c r="L172" s="67">
        <f t="shared" si="166"/>
        <v>116.08115152637369</v>
      </c>
      <c r="M172" s="67">
        <f t="shared" si="166"/>
        <v>118.97472372021974</v>
      </c>
      <c r="N172" s="67">
        <f t="shared" si="166"/>
        <v>118.49840366741485</v>
      </c>
      <c r="O172" s="67">
        <f t="shared" si="166"/>
        <v>118.26638247774282</v>
      </c>
      <c r="P172" s="67">
        <f t="shared" si="166"/>
        <v>118.73189746825604</v>
      </c>
      <c r="Q172" s="67">
        <f t="shared" si="166"/>
        <v>117.58852264897168</v>
      </c>
      <c r="R172" s="67">
        <f t="shared" si="166"/>
        <v>125.44243188128961</v>
      </c>
      <c r="S172" s="67">
        <f t="shared" si="166"/>
        <v>142.07102447175134</v>
      </c>
      <c r="T172" s="67">
        <f t="shared" si="166"/>
        <v>132.17477192040971</v>
      </c>
      <c r="U172" s="67">
        <f t="shared" si="166"/>
        <v>142.06860172591462</v>
      </c>
      <c r="V172" s="67">
        <f t="shared" si="166"/>
        <v>131.27649220529412</v>
      </c>
      <c r="W172" s="67">
        <f t="shared" si="166"/>
        <v>128.20820504562917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217434.94027703998</v>
      </c>
      <c r="C3" s="125">
        <f t="shared" si="0"/>
        <v>220642.61544830987</v>
      </c>
      <c r="D3" s="125">
        <f t="shared" si="0"/>
        <v>223540.00443049206</v>
      </c>
      <c r="E3" s="125">
        <f t="shared" si="0"/>
        <v>227801.76744811534</v>
      </c>
      <c r="F3" s="125">
        <f t="shared" si="0"/>
        <v>232827.59532421862</v>
      </c>
      <c r="G3" s="125">
        <f t="shared" si="0"/>
        <v>241488.22750736482</v>
      </c>
      <c r="H3" s="125">
        <f t="shared" si="0"/>
        <v>250880.18491481122</v>
      </c>
      <c r="I3" s="125">
        <f t="shared" si="0"/>
        <v>259301.36906683116</v>
      </c>
      <c r="J3" s="125">
        <f t="shared" si="0"/>
        <v>264898.08835365163</v>
      </c>
      <c r="K3" s="125">
        <f t="shared" si="0"/>
        <v>259662.00448703294</v>
      </c>
      <c r="L3" s="125">
        <f t="shared" si="0"/>
        <v>263149.36680165015</v>
      </c>
      <c r="M3" s="125">
        <f t="shared" si="0"/>
        <v>267137.31340090395</v>
      </c>
      <c r="N3" s="125">
        <f t="shared" si="0"/>
        <v>268934.89992686518</v>
      </c>
      <c r="O3" s="125">
        <f t="shared" si="0"/>
        <v>270512.15139204147</v>
      </c>
      <c r="P3" s="125">
        <f t="shared" si="0"/>
        <v>274240.97594281874</v>
      </c>
      <c r="Q3" s="125">
        <f t="shared" si="0"/>
        <v>280488.70712316391</v>
      </c>
      <c r="R3" s="125">
        <f t="shared" si="0"/>
        <v>284355.04400334589</v>
      </c>
      <c r="S3" s="125">
        <f t="shared" si="0"/>
        <v>289739.65493510722</v>
      </c>
      <c r="T3" s="125">
        <f t="shared" si="0"/>
        <v>294524.51644592767</v>
      </c>
      <c r="U3" s="125">
        <f t="shared" si="0"/>
        <v>299125.22116118</v>
      </c>
      <c r="V3" s="125">
        <f t="shared" si="0"/>
        <v>303333.33444444445</v>
      </c>
      <c r="W3" s="125">
        <f t="shared" si="0"/>
        <v>307218.74258190789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217434.94027703998</v>
      </c>
      <c r="C4" s="140">
        <f t="shared" si="1"/>
        <v>220642.61544830987</v>
      </c>
      <c r="D4" s="140">
        <f t="shared" si="1"/>
        <v>223540.00443049206</v>
      </c>
      <c r="E4" s="140">
        <f t="shared" si="1"/>
        <v>227801.76744811534</v>
      </c>
      <c r="F4" s="140">
        <f t="shared" si="1"/>
        <v>232827.59532421862</v>
      </c>
      <c r="G4" s="140">
        <f t="shared" si="1"/>
        <v>241488.22750736482</v>
      </c>
      <c r="H4" s="140">
        <f t="shared" si="1"/>
        <v>250880.18491481122</v>
      </c>
      <c r="I4" s="140">
        <f t="shared" si="1"/>
        <v>259301.36906683116</v>
      </c>
      <c r="J4" s="140">
        <f t="shared" si="1"/>
        <v>264898.08835365163</v>
      </c>
      <c r="K4" s="140">
        <f t="shared" si="1"/>
        <v>259662.00448703294</v>
      </c>
      <c r="L4" s="140">
        <f t="shared" si="1"/>
        <v>263149.36680165015</v>
      </c>
      <c r="M4" s="140">
        <f t="shared" si="1"/>
        <v>267137.31340090395</v>
      </c>
      <c r="N4" s="140">
        <f t="shared" si="1"/>
        <v>268934.89992686518</v>
      </c>
      <c r="O4" s="140">
        <f t="shared" si="1"/>
        <v>270512.15139204147</v>
      </c>
      <c r="P4" s="140">
        <f t="shared" si="1"/>
        <v>274240.97594281874</v>
      </c>
      <c r="Q4" s="140">
        <f t="shared" si="1"/>
        <v>280488.70712316391</v>
      </c>
      <c r="R4" s="140">
        <f t="shared" ref="R4:W4" si="2">SUM(R5:R14)</f>
        <v>284355.04400334589</v>
      </c>
      <c r="S4" s="140">
        <f t="shared" si="2"/>
        <v>289739.65493510722</v>
      </c>
      <c r="T4" s="140">
        <f t="shared" si="2"/>
        <v>294524.51644592767</v>
      </c>
      <c r="U4" s="140">
        <f t="shared" si="2"/>
        <v>299125.22116118</v>
      </c>
      <c r="V4" s="140">
        <f t="shared" si="2"/>
        <v>303333.33444444445</v>
      </c>
      <c r="W4" s="140">
        <f t="shared" si="2"/>
        <v>307218.74258190789</v>
      </c>
      <c r="DA4" s="170" t="s">
        <v>245</v>
      </c>
    </row>
    <row r="5" spans="1:105" ht="12" customHeight="1" x14ac:dyDescent="0.25">
      <c r="A5" s="132" t="s">
        <v>29</v>
      </c>
      <c r="B5" s="141">
        <v>29501.358169614894</v>
      </c>
      <c r="C5" s="141">
        <v>24659.608765732522</v>
      </c>
      <c r="D5" s="141">
        <v>24402.199905141908</v>
      </c>
      <c r="E5" s="141">
        <v>25685.956968443468</v>
      </c>
      <c r="F5" s="141">
        <v>26125.805977908545</v>
      </c>
      <c r="G5" s="141">
        <v>18254.800513436912</v>
      </c>
      <c r="H5" s="141">
        <v>14539.529241052596</v>
      </c>
      <c r="I5" s="141">
        <v>8881.4529108906554</v>
      </c>
      <c r="J5" s="141">
        <v>7551.5733832835167</v>
      </c>
      <c r="K5" s="141">
        <v>4858.4258639293193</v>
      </c>
      <c r="L5" s="141">
        <v>4298.1515773164019</v>
      </c>
      <c r="M5" s="141">
        <v>3910.8826032035358</v>
      </c>
      <c r="N5" s="141">
        <v>4120.6308081355455</v>
      </c>
      <c r="O5" s="141">
        <v>4264.8307689673102</v>
      </c>
      <c r="P5" s="141">
        <v>4303.0970811867501</v>
      </c>
      <c r="Q5" s="141">
        <v>4278.954783995694</v>
      </c>
      <c r="R5" s="141">
        <v>4349.31088720354</v>
      </c>
      <c r="S5" s="141">
        <v>4185.8911013055795</v>
      </c>
      <c r="T5" s="141">
        <v>3792.1738148243753</v>
      </c>
      <c r="U5" s="141">
        <v>3688.9417887367349</v>
      </c>
      <c r="V5" s="141">
        <v>3527.0077316474658</v>
      </c>
      <c r="W5" s="141">
        <v>3571.4064900044978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322.10612203638476</v>
      </c>
      <c r="C7" s="141">
        <v>442.43591619298604</v>
      </c>
      <c r="D7" s="141">
        <v>759.38389040743311</v>
      </c>
      <c r="E7" s="141">
        <v>896.24133496403192</v>
      </c>
      <c r="F7" s="141">
        <v>1106.0007543450231</v>
      </c>
      <c r="G7" s="141">
        <v>1204.3154868392153</v>
      </c>
      <c r="H7" s="141">
        <v>1407.6551221537923</v>
      </c>
      <c r="I7" s="141">
        <v>1516.8133757622975</v>
      </c>
      <c r="J7" s="141">
        <v>1560.6841135863485</v>
      </c>
      <c r="K7" s="141">
        <v>1486.5160425121187</v>
      </c>
      <c r="L7" s="141">
        <v>1569.3265721467699</v>
      </c>
      <c r="M7" s="141">
        <v>1621.4565475187019</v>
      </c>
      <c r="N7" s="141">
        <v>1832.1596405172227</v>
      </c>
      <c r="O7" s="141">
        <v>1857.9155572240918</v>
      </c>
      <c r="P7" s="141">
        <v>1955.7281163868431</v>
      </c>
      <c r="Q7" s="141">
        <v>2391.5886706180008</v>
      </c>
      <c r="R7" s="141">
        <v>2491.5297145976465</v>
      </c>
      <c r="S7" s="141">
        <v>2410.9729510737479</v>
      </c>
      <c r="T7" s="141">
        <v>2175.6908246787361</v>
      </c>
      <c r="U7" s="141">
        <v>2103.4001693539062</v>
      </c>
      <c r="V7" s="141">
        <v>2171.1424678640874</v>
      </c>
      <c r="W7" s="141">
        <v>2154.7158374954943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3.0937273640167953</v>
      </c>
      <c r="H8" s="141">
        <v>7.3410727685462112</v>
      </c>
      <c r="I8" s="141">
        <v>14.286583007898045</v>
      </c>
      <c r="J8" s="141">
        <v>22.296442682107667</v>
      </c>
      <c r="K8" s="141">
        <v>32.206769751793189</v>
      </c>
      <c r="L8" s="141">
        <v>44.446372084620172</v>
      </c>
      <c r="M8" s="141">
        <v>70.385627972968976</v>
      </c>
      <c r="N8" s="141">
        <v>118.31713294913189</v>
      </c>
      <c r="O8" s="141">
        <v>190.51681584512457</v>
      </c>
      <c r="P8" s="141">
        <v>272.35019070911198</v>
      </c>
      <c r="Q8" s="141">
        <v>329.03015353946881</v>
      </c>
      <c r="R8" s="141">
        <v>365.92588087754677</v>
      </c>
      <c r="S8" s="141">
        <v>394.83714467614357</v>
      </c>
      <c r="T8" s="141">
        <v>442.71010557418134</v>
      </c>
      <c r="U8" s="141">
        <v>507.01596769607471</v>
      </c>
      <c r="V8" s="141">
        <v>587.98918158909828</v>
      </c>
      <c r="W8" s="141">
        <v>649.59821868919505</v>
      </c>
      <c r="DA8" s="171" t="s">
        <v>249</v>
      </c>
    </row>
    <row r="9" spans="1:105" ht="12" customHeight="1" x14ac:dyDescent="0.25">
      <c r="A9" s="132" t="s">
        <v>78</v>
      </c>
      <c r="B9" s="141">
        <v>71148.019628615511</v>
      </c>
      <c r="C9" s="141">
        <v>76228.331843657434</v>
      </c>
      <c r="D9" s="141">
        <v>80972.401770741591</v>
      </c>
      <c r="E9" s="141">
        <v>85503.477399836818</v>
      </c>
      <c r="F9" s="141">
        <v>92118.651524099216</v>
      </c>
      <c r="G9" s="141">
        <v>106038.88821819756</v>
      </c>
      <c r="H9" s="141">
        <v>117531.13213939135</v>
      </c>
      <c r="I9" s="141">
        <v>129053.70013254455</v>
      </c>
      <c r="J9" s="141">
        <v>134659.45383113783</v>
      </c>
      <c r="K9" s="141">
        <v>127837.17723133093</v>
      </c>
      <c r="L9" s="141">
        <v>126947.69370424296</v>
      </c>
      <c r="M9" s="141">
        <v>127907.0520342259</v>
      </c>
      <c r="N9" s="141">
        <v>126205.60976410576</v>
      </c>
      <c r="O9" s="141">
        <v>124885.78701651462</v>
      </c>
      <c r="P9" s="141">
        <v>126192.76053479643</v>
      </c>
      <c r="Q9" s="141">
        <v>129251.83225904834</v>
      </c>
      <c r="R9" s="141">
        <v>128852.42120150939</v>
      </c>
      <c r="S9" s="141">
        <v>130380.75298135934</v>
      </c>
      <c r="T9" s="141">
        <v>129757.30030017192</v>
      </c>
      <c r="U9" s="141">
        <v>130291.41776614191</v>
      </c>
      <c r="V9" s="141">
        <v>129778.49381469522</v>
      </c>
      <c r="W9" s="141">
        <v>128628.52756243422</v>
      </c>
      <c r="DA9" s="171" t="s">
        <v>250</v>
      </c>
    </row>
    <row r="10" spans="1:105" ht="12" customHeight="1" x14ac:dyDescent="0.25">
      <c r="A10" s="132" t="s">
        <v>128</v>
      </c>
      <c r="B10" s="141">
        <v>1083.4159336400974</v>
      </c>
      <c r="C10" s="141">
        <v>1457.7921827453661</v>
      </c>
      <c r="D10" s="141">
        <v>1851.9199516704582</v>
      </c>
      <c r="E10" s="141">
        <v>2352.3552800878974</v>
      </c>
      <c r="F10" s="141">
        <v>2833.1944603115876</v>
      </c>
      <c r="G10" s="141">
        <v>3521.0537959002104</v>
      </c>
      <c r="H10" s="141">
        <v>3978.3271436466666</v>
      </c>
      <c r="I10" s="141">
        <v>4393.6355243466978</v>
      </c>
      <c r="J10" s="141">
        <v>4542.9809025132754</v>
      </c>
      <c r="K10" s="141">
        <v>4743.2854542291616</v>
      </c>
      <c r="L10" s="141">
        <v>5219.8310402850311</v>
      </c>
      <c r="M10" s="141">
        <v>5914.4246336605056</v>
      </c>
      <c r="N10" s="141">
        <v>6625.5777953071001</v>
      </c>
      <c r="O10" s="141">
        <v>7388.2576638594937</v>
      </c>
      <c r="P10" s="141">
        <v>7938.7380140995128</v>
      </c>
      <c r="Q10" s="141">
        <v>8291.6716749506686</v>
      </c>
      <c r="R10" s="141">
        <v>8095.2233452185747</v>
      </c>
      <c r="S10" s="141">
        <v>7829.1253618547553</v>
      </c>
      <c r="T10" s="141">
        <v>7816.2079190632039</v>
      </c>
      <c r="U10" s="141">
        <v>7914.0652755983601</v>
      </c>
      <c r="V10" s="141">
        <v>8071.3974596868993</v>
      </c>
      <c r="W10" s="141">
        <v>8255.801845665148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62147.16529544205</v>
      </c>
      <c r="C12" s="141">
        <v>64184.317125197762</v>
      </c>
      <c r="D12" s="141">
        <v>63299.541571329355</v>
      </c>
      <c r="E12" s="141">
        <v>63418.341327601745</v>
      </c>
      <c r="F12" s="141">
        <v>66006.9078159364</v>
      </c>
      <c r="G12" s="141">
        <v>67548.815352693477</v>
      </c>
      <c r="H12" s="141">
        <v>66224.178258500469</v>
      </c>
      <c r="I12" s="141">
        <v>64050.562955353147</v>
      </c>
      <c r="J12" s="141">
        <v>62947.584037314176</v>
      </c>
      <c r="K12" s="141">
        <v>65756.908912208499</v>
      </c>
      <c r="L12" s="141">
        <v>70676.61725818069</v>
      </c>
      <c r="M12" s="141">
        <v>73446.741561239236</v>
      </c>
      <c r="N12" s="141">
        <v>74847.632547938061</v>
      </c>
      <c r="O12" s="141">
        <v>74761.591330896088</v>
      </c>
      <c r="P12" s="141">
        <v>75200.009037231517</v>
      </c>
      <c r="Q12" s="141">
        <v>75749.773726048661</v>
      </c>
      <c r="R12" s="141">
        <v>76326.244933463429</v>
      </c>
      <c r="S12" s="141">
        <v>76106.860150420311</v>
      </c>
      <c r="T12" s="141">
        <v>76617.620189286099</v>
      </c>
      <c r="U12" s="141">
        <v>76361.690197956952</v>
      </c>
      <c r="V12" s="141">
        <v>77282.306395751788</v>
      </c>
      <c r="W12" s="141">
        <v>80671.637320197711</v>
      </c>
      <c r="DA12" s="171" t="s">
        <v>253</v>
      </c>
    </row>
    <row r="13" spans="1:105" ht="12" customHeight="1" x14ac:dyDescent="0.25">
      <c r="A13" s="132" t="s">
        <v>77</v>
      </c>
      <c r="B13" s="141">
        <v>102.81424352928339</v>
      </c>
      <c r="C13" s="141">
        <v>163.27250571582064</v>
      </c>
      <c r="D13" s="141">
        <v>266.4875321511368</v>
      </c>
      <c r="E13" s="141">
        <v>365.54788068282153</v>
      </c>
      <c r="F13" s="141">
        <v>495.74239853550478</v>
      </c>
      <c r="G13" s="141">
        <v>665.70869871344576</v>
      </c>
      <c r="H13" s="141">
        <v>875.05485113750126</v>
      </c>
      <c r="I13" s="141">
        <v>1125.4874016240374</v>
      </c>
      <c r="J13" s="141">
        <v>1347.6406088960084</v>
      </c>
      <c r="K13" s="141">
        <v>1624.5916006003126</v>
      </c>
      <c r="L13" s="141">
        <v>1879.5110612663259</v>
      </c>
      <c r="M13" s="141">
        <v>2228.4146207259996</v>
      </c>
      <c r="N13" s="141">
        <v>2609.6999386050252</v>
      </c>
      <c r="O13" s="141">
        <v>3005.5879494050082</v>
      </c>
      <c r="P13" s="141">
        <v>3414.2602643280234</v>
      </c>
      <c r="Q13" s="141">
        <v>3805.4637384736498</v>
      </c>
      <c r="R13" s="141">
        <v>4235.8273599973863</v>
      </c>
      <c r="S13" s="141">
        <v>4746.912026724619</v>
      </c>
      <c r="T13" s="141">
        <v>5473.6009255768568</v>
      </c>
      <c r="U13" s="141">
        <v>6305.7460706996953</v>
      </c>
      <c r="V13" s="141">
        <v>7321.594829112827</v>
      </c>
      <c r="W13" s="141">
        <v>8091.1401708338171</v>
      </c>
      <c r="DA13" s="171" t="s">
        <v>254</v>
      </c>
    </row>
    <row r="14" spans="1:105" ht="12" customHeight="1" x14ac:dyDescent="0.25">
      <c r="A14" s="60" t="s">
        <v>76</v>
      </c>
      <c r="B14" s="142">
        <v>53130.060884161765</v>
      </c>
      <c r="C14" s="142">
        <v>53506.857109067983</v>
      </c>
      <c r="D14" s="142">
        <v>51988.06980905019</v>
      </c>
      <c r="E14" s="142">
        <v>49579.847256498564</v>
      </c>
      <c r="F14" s="142">
        <v>44141.292393082353</v>
      </c>
      <c r="G14" s="142">
        <v>44251.551714219961</v>
      </c>
      <c r="H14" s="142">
        <v>46316.967086160279</v>
      </c>
      <c r="I14" s="142">
        <v>50265.430183301884</v>
      </c>
      <c r="J14" s="142">
        <v>52265.875034238401</v>
      </c>
      <c r="K14" s="142">
        <v>53322.892612470801</v>
      </c>
      <c r="L14" s="142">
        <v>52513.789216127319</v>
      </c>
      <c r="M14" s="142">
        <v>52037.955772357127</v>
      </c>
      <c r="N14" s="142">
        <v>52575.272299307377</v>
      </c>
      <c r="O14" s="142">
        <v>54157.664289329747</v>
      </c>
      <c r="P14" s="142">
        <v>54964.032704080564</v>
      </c>
      <c r="Q14" s="142">
        <v>56390.392116489405</v>
      </c>
      <c r="R14" s="142">
        <v>59638.560680478397</v>
      </c>
      <c r="S14" s="142">
        <v>63684.303217692708</v>
      </c>
      <c r="T14" s="142">
        <v>68449.212366752297</v>
      </c>
      <c r="U14" s="142">
        <v>71952.943924996376</v>
      </c>
      <c r="V14" s="142">
        <v>74593.402564097094</v>
      </c>
      <c r="W14" s="142">
        <v>75195.915136587835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164202.06514934893</v>
      </c>
      <c r="C15" s="144">
        <f t="shared" si="3"/>
        <v>166972.48583352607</v>
      </c>
      <c r="D15" s="144">
        <f t="shared" si="3"/>
        <v>171285.44708929074</v>
      </c>
      <c r="E15" s="144">
        <f t="shared" si="3"/>
        <v>177856.37231093395</v>
      </c>
      <c r="F15" s="144">
        <f t="shared" si="3"/>
        <v>188190.56053260076</v>
      </c>
      <c r="G15" s="144">
        <f t="shared" si="3"/>
        <v>196570.9670944314</v>
      </c>
      <c r="H15" s="144">
        <f t="shared" si="3"/>
        <v>203688.16297751342</v>
      </c>
      <c r="I15" s="144">
        <f t="shared" si="3"/>
        <v>207910.45148190524</v>
      </c>
      <c r="J15" s="144">
        <f t="shared" si="3"/>
        <v>211284.57271051724</v>
      </c>
      <c r="K15" s="144">
        <f t="shared" si="3"/>
        <v>204714.52027396183</v>
      </c>
      <c r="L15" s="144">
        <f t="shared" si="3"/>
        <v>208756.06652425649</v>
      </c>
      <c r="M15" s="144">
        <f t="shared" si="3"/>
        <v>212870.94300782084</v>
      </c>
      <c r="N15" s="144">
        <f t="shared" si="3"/>
        <v>213749.9276889528</v>
      </c>
      <c r="O15" s="144">
        <f t="shared" si="3"/>
        <v>213348.89915330673</v>
      </c>
      <c r="P15" s="144">
        <f t="shared" si="3"/>
        <v>215862.68297441019</v>
      </c>
      <c r="Q15" s="144">
        <f t="shared" si="3"/>
        <v>220292.85126820084</v>
      </c>
      <c r="R15" s="144">
        <f t="shared" ref="R15:W15" si="4">SUM(R5:R12)</f>
        <v>220480.65596287014</v>
      </c>
      <c r="S15" s="144">
        <f t="shared" si="4"/>
        <v>221308.43969068988</v>
      </c>
      <c r="T15" s="144">
        <f t="shared" si="4"/>
        <v>220601.7031535985</v>
      </c>
      <c r="U15" s="144">
        <f t="shared" si="4"/>
        <v>220866.53116548393</v>
      </c>
      <c r="V15" s="144">
        <f t="shared" si="4"/>
        <v>221418.33705123456</v>
      </c>
      <c r="W15" s="144">
        <f t="shared" si="4"/>
        <v>223931.68727448626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10519.461384782811</v>
      </c>
      <c r="C16" s="140">
        <f t="shared" si="5"/>
        <v>11734.160863634841</v>
      </c>
      <c r="D16" s="140">
        <f t="shared" si="5"/>
        <v>15088.648617960302</v>
      </c>
      <c r="E16" s="140">
        <f t="shared" si="5"/>
        <v>16982.933028810759</v>
      </c>
      <c r="F16" s="140">
        <f t="shared" si="5"/>
        <v>19196.699795959044</v>
      </c>
      <c r="G16" s="140">
        <f t="shared" si="5"/>
        <v>23911.315466765409</v>
      </c>
      <c r="H16" s="140">
        <f t="shared" si="5"/>
        <v>29444.951020119319</v>
      </c>
      <c r="I16" s="140">
        <f t="shared" si="5"/>
        <v>34876.833074436821</v>
      </c>
      <c r="J16" s="140">
        <f t="shared" si="5"/>
        <v>39511.571140302112</v>
      </c>
      <c r="K16" s="140">
        <f t="shared" si="5"/>
        <v>42282.142196660265</v>
      </c>
      <c r="L16" s="140">
        <f t="shared" si="5"/>
        <v>45290.365553018572</v>
      </c>
      <c r="M16" s="140">
        <f t="shared" si="5"/>
        <v>49123.261499926775</v>
      </c>
      <c r="N16" s="140">
        <f t="shared" si="5"/>
        <v>50668.249850776934</v>
      </c>
      <c r="O16" s="140">
        <f t="shared" si="5"/>
        <v>51686.274418259178</v>
      </c>
      <c r="P16" s="140">
        <f t="shared" si="5"/>
        <v>53452.406888223806</v>
      </c>
      <c r="Q16" s="140">
        <f t="shared" si="5"/>
        <v>56117.553465782526</v>
      </c>
      <c r="R16" s="140">
        <f t="shared" ref="R16:W16" si="6">SUM(R17:R18)</f>
        <v>57460.344918544957</v>
      </c>
      <c r="S16" s="140">
        <f t="shared" si="6"/>
        <v>59103.297189371922</v>
      </c>
      <c r="T16" s="140">
        <f t="shared" si="6"/>
        <v>60967.84717049187</v>
      </c>
      <c r="U16" s="140">
        <f t="shared" si="6"/>
        <v>63189.253697680149</v>
      </c>
      <c r="V16" s="140">
        <f t="shared" si="6"/>
        <v>61144.679045776604</v>
      </c>
      <c r="W16" s="140">
        <f t="shared" si="6"/>
        <v>65133.667905963317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25.316174289564177</v>
      </c>
      <c r="H17" s="141">
        <v>31.879564280717538</v>
      </c>
      <c r="I17" s="141">
        <v>45.736561770253275</v>
      </c>
      <c r="J17" s="141">
        <v>48.074073617822918</v>
      </c>
      <c r="K17" s="141">
        <v>62.317504679095329</v>
      </c>
      <c r="L17" s="141">
        <v>62.349212589193684</v>
      </c>
      <c r="M17" s="141">
        <v>67.17588833775045</v>
      </c>
      <c r="N17" s="141">
        <v>69.465911738598209</v>
      </c>
      <c r="O17" s="141">
        <v>82.774531599915207</v>
      </c>
      <c r="P17" s="141">
        <v>123.04896109715976</v>
      </c>
      <c r="Q17" s="141">
        <v>198.81933155926657</v>
      </c>
      <c r="R17" s="141">
        <v>235.48370045601348</v>
      </c>
      <c r="S17" s="141">
        <v>286.35085216123542</v>
      </c>
      <c r="T17" s="141">
        <v>330.41582306708909</v>
      </c>
      <c r="U17" s="141">
        <v>364.9160811889621</v>
      </c>
      <c r="V17" s="141">
        <v>422.3367718855755</v>
      </c>
      <c r="W17" s="141">
        <v>453.55752557161679</v>
      </c>
      <c r="DA17" s="171" t="s">
        <v>257</v>
      </c>
    </row>
    <row r="18" spans="1:105" ht="12" customHeight="1" x14ac:dyDescent="0.25">
      <c r="A18" s="132" t="s">
        <v>72</v>
      </c>
      <c r="B18" s="141">
        <v>10519.461384782811</v>
      </c>
      <c r="C18" s="141">
        <v>11734.160863634841</v>
      </c>
      <c r="D18" s="141">
        <v>15088.648617960302</v>
      </c>
      <c r="E18" s="141">
        <v>16982.933028810759</v>
      </c>
      <c r="F18" s="141">
        <v>19196.699795959044</v>
      </c>
      <c r="G18" s="141">
        <v>23885.999292475844</v>
      </c>
      <c r="H18" s="141">
        <v>29413.071455838603</v>
      </c>
      <c r="I18" s="141">
        <v>34831.096512666569</v>
      </c>
      <c r="J18" s="141">
        <v>39463.497066684293</v>
      </c>
      <c r="K18" s="141">
        <v>42219.824691981172</v>
      </c>
      <c r="L18" s="141">
        <v>45228.016340429378</v>
      </c>
      <c r="M18" s="141">
        <v>49056.085611589027</v>
      </c>
      <c r="N18" s="141">
        <v>50598.783939038338</v>
      </c>
      <c r="O18" s="141">
        <v>51603.499886659265</v>
      </c>
      <c r="P18" s="141">
        <v>53329.35792712665</v>
      </c>
      <c r="Q18" s="141">
        <v>55918.734134223261</v>
      </c>
      <c r="R18" s="141">
        <v>57224.861218088947</v>
      </c>
      <c r="S18" s="141">
        <v>58816.946337210684</v>
      </c>
      <c r="T18" s="141">
        <v>60637.431347424783</v>
      </c>
      <c r="U18" s="141">
        <v>62824.33761649119</v>
      </c>
      <c r="V18" s="141">
        <v>60722.34227389103</v>
      </c>
      <c r="W18" s="141">
        <v>64680.110380391699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217434.94027704</v>
      </c>
      <c r="C19" s="140">
        <f t="shared" si="7"/>
        <v>220642.61544830987</v>
      </c>
      <c r="D19" s="140">
        <f t="shared" si="7"/>
        <v>223540.00443049206</v>
      </c>
      <c r="E19" s="140">
        <f t="shared" si="7"/>
        <v>227801.7674481154</v>
      </c>
      <c r="F19" s="140">
        <f t="shared" si="7"/>
        <v>232827.59532421851</v>
      </c>
      <c r="G19" s="140">
        <f t="shared" si="7"/>
        <v>241488.22750736482</v>
      </c>
      <c r="H19" s="140">
        <f t="shared" si="7"/>
        <v>250880.18491481125</v>
      </c>
      <c r="I19" s="140">
        <f t="shared" si="7"/>
        <v>259301.36906683113</v>
      </c>
      <c r="J19" s="140">
        <f t="shared" si="7"/>
        <v>264898.08835365169</v>
      </c>
      <c r="K19" s="140">
        <f t="shared" si="7"/>
        <v>259662.00448703289</v>
      </c>
      <c r="L19" s="140">
        <f t="shared" si="7"/>
        <v>263149.36680165021</v>
      </c>
      <c r="M19" s="140">
        <f t="shared" si="7"/>
        <v>267137.31340090395</v>
      </c>
      <c r="N19" s="140">
        <f t="shared" si="7"/>
        <v>268934.89992686542</v>
      </c>
      <c r="O19" s="140">
        <f t="shared" si="7"/>
        <v>270512.15139204118</v>
      </c>
      <c r="P19" s="140">
        <f t="shared" si="7"/>
        <v>274240.9759428188</v>
      </c>
      <c r="Q19" s="140">
        <f t="shared" si="7"/>
        <v>280488.70712316397</v>
      </c>
      <c r="R19" s="140">
        <f t="shared" ref="R19:W19" si="8">SUM(R20:R26)</f>
        <v>284355.044003346</v>
      </c>
      <c r="S19" s="140">
        <f t="shared" si="8"/>
        <v>289739.6549351071</v>
      </c>
      <c r="T19" s="140">
        <f t="shared" si="8"/>
        <v>294524.51644592761</v>
      </c>
      <c r="U19" s="140">
        <f t="shared" si="8"/>
        <v>299125.22116117994</v>
      </c>
      <c r="V19" s="140">
        <f t="shared" si="8"/>
        <v>303333.33444444451</v>
      </c>
      <c r="W19" s="140">
        <f t="shared" si="8"/>
        <v>307218.74258190789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71341.753649805323</v>
      </c>
      <c r="C23" s="141">
        <v>73074.277183784565</v>
      </c>
      <c r="D23" s="141">
        <v>76667.714265843533</v>
      </c>
      <c r="E23" s="141">
        <v>80465.5879576523</v>
      </c>
      <c r="F23" s="141">
        <v>85220.981257353342</v>
      </c>
      <c r="G23" s="141">
        <v>90897.962316265242</v>
      </c>
      <c r="H23" s="141">
        <v>97550.14230835608</v>
      </c>
      <c r="I23" s="141">
        <v>106329.47816521868</v>
      </c>
      <c r="J23" s="141">
        <v>112415.47543019152</v>
      </c>
      <c r="K23" s="141">
        <v>114439.31002614323</v>
      </c>
      <c r="L23" s="141">
        <v>116422.61989712762</v>
      </c>
      <c r="M23" s="141">
        <v>118694.53587754745</v>
      </c>
      <c r="N23" s="141">
        <v>118310.67566038659</v>
      </c>
      <c r="O23" s="141">
        <v>118924.2659286095</v>
      </c>
      <c r="P23" s="141">
        <v>121051.66819635607</v>
      </c>
      <c r="Q23" s="141">
        <v>125558.46409542715</v>
      </c>
      <c r="R23" s="141">
        <v>126909.43352036962</v>
      </c>
      <c r="S23" s="141">
        <v>131067.30581728579</v>
      </c>
      <c r="T23" s="141">
        <v>131443.7382176196</v>
      </c>
      <c r="U23" s="141">
        <v>134227.64191357512</v>
      </c>
      <c r="V23" s="141">
        <v>135402.87648210183</v>
      </c>
      <c r="W23" s="141">
        <v>135794.92209127263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51444.956380195217</v>
      </c>
      <c r="C25" s="141">
        <v>52102.701357972888</v>
      </c>
      <c r="D25" s="141">
        <v>53597.750987580832</v>
      </c>
      <c r="E25" s="141">
        <v>55197.454913774054</v>
      </c>
      <c r="F25" s="141">
        <v>56698.598461450776</v>
      </c>
      <c r="G25" s="141">
        <v>57399.633604277638</v>
      </c>
      <c r="H25" s="141">
        <v>57905.394819141729</v>
      </c>
      <c r="I25" s="141">
        <v>57509.357128351978</v>
      </c>
      <c r="J25" s="141">
        <v>56966.493678170023</v>
      </c>
      <c r="K25" s="141">
        <v>56095.501184757377</v>
      </c>
      <c r="L25" s="141">
        <v>56896.217649077764</v>
      </c>
      <c r="M25" s="141">
        <v>59336.31046298665</v>
      </c>
      <c r="N25" s="141">
        <v>62203.770985661933</v>
      </c>
      <c r="O25" s="141">
        <v>65146.146013082755</v>
      </c>
      <c r="P25" s="141">
        <v>66867.86992752504</v>
      </c>
      <c r="Q25" s="141">
        <v>68139.178486279663</v>
      </c>
      <c r="R25" s="141">
        <v>69578.067874057451</v>
      </c>
      <c r="S25" s="141">
        <v>70513.307286717085</v>
      </c>
      <c r="T25" s="141">
        <v>71827.978321056595</v>
      </c>
      <c r="U25" s="141">
        <v>72624.576374916403</v>
      </c>
      <c r="V25" s="141">
        <v>74292.445402591242</v>
      </c>
      <c r="W25" s="141">
        <v>76577.066915907591</v>
      </c>
      <c r="DA25" s="171" t="s">
        <v>265</v>
      </c>
    </row>
    <row r="26" spans="1:105" ht="12" customHeight="1" x14ac:dyDescent="0.25">
      <c r="A26" s="132" t="s">
        <v>24</v>
      </c>
      <c r="B26" s="142">
        <v>94648.230247039464</v>
      </c>
      <c r="C26" s="142">
        <v>95465.63690655242</v>
      </c>
      <c r="D26" s="142">
        <v>93274.539177067709</v>
      </c>
      <c r="E26" s="142">
        <v>92138.724576689041</v>
      </c>
      <c r="F26" s="142">
        <v>90908.015605414417</v>
      </c>
      <c r="G26" s="142">
        <v>93190.63158682191</v>
      </c>
      <c r="H26" s="142">
        <v>95424.647787313443</v>
      </c>
      <c r="I26" s="142">
        <v>95462.533773260468</v>
      </c>
      <c r="J26" s="142">
        <v>95516.11924529013</v>
      </c>
      <c r="K26" s="142">
        <v>89127.193276132268</v>
      </c>
      <c r="L26" s="142">
        <v>89830.529255444824</v>
      </c>
      <c r="M26" s="142">
        <v>89106.467060369832</v>
      </c>
      <c r="N26" s="142">
        <v>88420.453280816902</v>
      </c>
      <c r="O26" s="142">
        <v>86441.739450348919</v>
      </c>
      <c r="P26" s="142">
        <v>86321.437818937731</v>
      </c>
      <c r="Q26" s="142">
        <v>86791.064541457134</v>
      </c>
      <c r="R26" s="142">
        <v>87867.542608918913</v>
      </c>
      <c r="S26" s="142">
        <v>88159.041831104245</v>
      </c>
      <c r="T26" s="142">
        <v>91252.799907251436</v>
      </c>
      <c r="U26" s="142">
        <v>92273.002872688419</v>
      </c>
      <c r="V26" s="142">
        <v>93638.012559751427</v>
      </c>
      <c r="W26" s="142">
        <v>94846.753574727671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1208.2219332195355</v>
      </c>
      <c r="F27" s="151">
        <v>1673.5297041713122</v>
      </c>
      <c r="G27" s="151">
        <v>2053.9471505011588</v>
      </c>
      <c r="H27" s="151">
        <v>2534.8256822109861</v>
      </c>
      <c r="I27" s="151">
        <v>3146.1128302398893</v>
      </c>
      <c r="J27" s="151">
        <v>4053.5794470242286</v>
      </c>
      <c r="K27" s="151">
        <v>4604.359934966229</v>
      </c>
      <c r="L27" s="151">
        <v>5783.8837773223031</v>
      </c>
      <c r="M27" s="151">
        <v>6591.6233172958709</v>
      </c>
      <c r="N27" s="151">
        <v>7095.4505385429911</v>
      </c>
      <c r="O27" s="151">
        <v>7353.698043553276</v>
      </c>
      <c r="P27" s="151">
        <v>8775.0711118156742</v>
      </c>
      <c r="Q27" s="151">
        <v>8905.3165832322429</v>
      </c>
      <c r="R27" s="151">
        <v>8997.0516470582479</v>
      </c>
      <c r="S27" s="151">
        <v>9417.5548803463171</v>
      </c>
      <c r="T27" s="151">
        <v>9859.2493721107494</v>
      </c>
      <c r="U27" s="151">
        <v>9951.0020342044045</v>
      </c>
      <c r="V27" s="151">
        <v>11200.704088026288</v>
      </c>
      <c r="W27" s="151">
        <v>10786.398751714238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217434.94027704</v>
      </c>
      <c r="C29" s="140">
        <f t="shared" si="9"/>
        <v>220642.61544830987</v>
      </c>
      <c r="D29" s="140">
        <f t="shared" si="9"/>
        <v>223540.00443049209</v>
      </c>
      <c r="E29" s="140">
        <f t="shared" si="9"/>
        <v>227801.76744811534</v>
      </c>
      <c r="F29" s="140">
        <f t="shared" si="9"/>
        <v>232827.59532421862</v>
      </c>
      <c r="G29" s="140">
        <f t="shared" si="9"/>
        <v>241488.22750736473</v>
      </c>
      <c r="H29" s="140">
        <f t="shared" si="9"/>
        <v>250880.18491481128</v>
      </c>
      <c r="I29" s="140">
        <f t="shared" si="9"/>
        <v>259301.36906683107</v>
      </c>
      <c r="J29" s="140">
        <f t="shared" si="9"/>
        <v>264898.08835365163</v>
      </c>
      <c r="K29" s="140">
        <f t="shared" si="9"/>
        <v>259662.00448703291</v>
      </c>
      <c r="L29" s="140">
        <f t="shared" si="9"/>
        <v>263149.36680165026</v>
      </c>
      <c r="M29" s="140">
        <f t="shared" si="9"/>
        <v>267137.31340090383</v>
      </c>
      <c r="N29" s="140">
        <f t="shared" si="9"/>
        <v>268934.89992686524</v>
      </c>
      <c r="O29" s="140">
        <f t="shared" si="9"/>
        <v>270512.15139204118</v>
      </c>
      <c r="P29" s="140">
        <f t="shared" si="9"/>
        <v>274240.97594281868</v>
      </c>
      <c r="Q29" s="140">
        <f t="shared" si="9"/>
        <v>280488.70712316397</v>
      </c>
      <c r="R29" s="140">
        <f t="shared" ref="R29:W29" si="10">SUM(R30:R33)</f>
        <v>284355.04400334612</v>
      </c>
      <c r="S29" s="140">
        <f t="shared" si="10"/>
        <v>289739.65493510722</v>
      </c>
      <c r="T29" s="140">
        <f t="shared" si="10"/>
        <v>294524.51644592773</v>
      </c>
      <c r="U29" s="140">
        <f t="shared" si="10"/>
        <v>299125.22116117971</v>
      </c>
      <c r="V29" s="140">
        <f t="shared" si="10"/>
        <v>303333.33444444439</v>
      </c>
      <c r="W29" s="140">
        <f t="shared" si="10"/>
        <v>307218.74258190783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107299.93022130936</v>
      </c>
      <c r="C31" s="141">
        <v>110167.69192710675</v>
      </c>
      <c r="D31" s="141">
        <v>112765.16821515928</v>
      </c>
      <c r="E31" s="141">
        <v>115025.35248471268</v>
      </c>
      <c r="F31" s="141">
        <v>116222.71664189595</v>
      </c>
      <c r="G31" s="141">
        <v>120260.52979078966</v>
      </c>
      <c r="H31" s="141">
        <v>122947.56122223049</v>
      </c>
      <c r="I31" s="141">
        <v>126994.06552763314</v>
      </c>
      <c r="J31" s="141">
        <v>130416.85487119768</v>
      </c>
      <c r="K31" s="141">
        <v>128537.05443751728</v>
      </c>
      <c r="L31" s="141">
        <v>131554.68491300172</v>
      </c>
      <c r="M31" s="141">
        <v>131761.80915014338</v>
      </c>
      <c r="N31" s="141">
        <v>130878.30183812715</v>
      </c>
      <c r="O31" s="141">
        <v>130477.67513423211</v>
      </c>
      <c r="P31" s="141">
        <v>131600.94252603423</v>
      </c>
      <c r="Q31" s="141">
        <v>135931.35283189942</v>
      </c>
      <c r="R31" s="141">
        <v>143423.95302390089</v>
      </c>
      <c r="S31" s="141">
        <v>153978.2270989627</v>
      </c>
      <c r="T31" s="141">
        <v>158366.90650238076</v>
      </c>
      <c r="U31" s="141">
        <v>162295.69611057459</v>
      </c>
      <c r="V31" s="141">
        <v>162360.58087933174</v>
      </c>
      <c r="W31" s="141">
        <v>163777.07406745938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110135.01005573063</v>
      </c>
      <c r="C33" s="153">
        <v>110474.92352120312</v>
      </c>
      <c r="D33" s="153">
        <v>110774.83621533281</v>
      </c>
      <c r="E33" s="153">
        <v>112776.41496340267</v>
      </c>
      <c r="F33" s="153">
        <v>116604.87868232268</v>
      </c>
      <c r="G33" s="153">
        <v>121227.69771657507</v>
      </c>
      <c r="H33" s="153">
        <v>127932.6236925808</v>
      </c>
      <c r="I33" s="153">
        <v>132307.30353919795</v>
      </c>
      <c r="J33" s="153">
        <v>134481.23348245397</v>
      </c>
      <c r="K33" s="153">
        <v>131124.95004951564</v>
      </c>
      <c r="L33" s="153">
        <v>131594.68188864851</v>
      </c>
      <c r="M33" s="153">
        <v>135375.50425076045</v>
      </c>
      <c r="N33" s="153">
        <v>138056.5980887381</v>
      </c>
      <c r="O33" s="153">
        <v>140034.47625780909</v>
      </c>
      <c r="P33" s="153">
        <v>142640.03341678446</v>
      </c>
      <c r="Q33" s="153">
        <v>144557.35429126452</v>
      </c>
      <c r="R33" s="153">
        <v>140931.09097944523</v>
      </c>
      <c r="S33" s="153">
        <v>135761.42783614452</v>
      </c>
      <c r="T33" s="153">
        <v>136157.60994354697</v>
      </c>
      <c r="U33" s="153">
        <v>136829.52505060515</v>
      </c>
      <c r="V33" s="153">
        <v>140972.75356511265</v>
      </c>
      <c r="W33" s="153">
        <v>143441.66851444845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3092.8883301709534</v>
      </c>
      <c r="C3" s="126">
        <f t="shared" si="0"/>
        <v>3041.9072600005602</v>
      </c>
      <c r="D3" s="126">
        <f t="shared" si="0"/>
        <v>2855.95541597602</v>
      </c>
      <c r="E3" s="126">
        <f t="shared" si="0"/>
        <v>3195.585847339984</v>
      </c>
      <c r="F3" s="126">
        <f t="shared" si="0"/>
        <v>3024.3502264971185</v>
      </c>
      <c r="G3" s="126">
        <f t="shared" si="0"/>
        <v>2687.6695268900385</v>
      </c>
      <c r="H3" s="126">
        <f t="shared" si="0"/>
        <v>2623.6575931166631</v>
      </c>
      <c r="I3" s="126">
        <f t="shared" si="0"/>
        <v>2474.0517782113748</v>
      </c>
      <c r="J3" s="126">
        <f t="shared" si="0"/>
        <v>2662.3620451888773</v>
      </c>
      <c r="K3" s="126">
        <f t="shared" si="0"/>
        <v>2419.5681816192518</v>
      </c>
      <c r="L3" s="126">
        <f t="shared" si="0"/>
        <v>2681.8848744262373</v>
      </c>
      <c r="M3" s="126">
        <f t="shared" si="0"/>
        <v>2561.0742350034789</v>
      </c>
      <c r="N3" s="126">
        <f t="shared" si="0"/>
        <v>2462.4333181928682</v>
      </c>
      <c r="O3" s="126">
        <f t="shared" si="0"/>
        <v>2412.9577256199764</v>
      </c>
      <c r="P3" s="126">
        <f t="shared" si="0"/>
        <v>2310.8863404679505</v>
      </c>
      <c r="Q3" s="126">
        <f t="shared" si="0"/>
        <v>2341.5624932059536</v>
      </c>
      <c r="R3" s="126">
        <f t="shared" ref="R3:W3" si="1">SUM(R4,R16,R19,R29)</f>
        <v>2418.7164738214815</v>
      </c>
      <c r="S3" s="126">
        <f t="shared" si="1"/>
        <v>2520.1050994582815</v>
      </c>
      <c r="T3" s="126">
        <f t="shared" si="1"/>
        <v>2437.2970371304559</v>
      </c>
      <c r="U3" s="126">
        <f t="shared" si="1"/>
        <v>2506.3879817074426</v>
      </c>
      <c r="V3" s="126">
        <f t="shared" si="1"/>
        <v>2339.7238343417821</v>
      </c>
      <c r="W3" s="126">
        <f t="shared" si="1"/>
        <v>2332.2093319960568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2648.8478538878599</v>
      </c>
      <c r="C4" s="131">
        <f t="shared" si="2"/>
        <v>2589.7532377210832</v>
      </c>
      <c r="D4" s="131">
        <f t="shared" si="2"/>
        <v>2400.0036440562362</v>
      </c>
      <c r="E4" s="131">
        <f t="shared" si="2"/>
        <v>2732.5321593459698</v>
      </c>
      <c r="F4" s="131">
        <f t="shared" si="2"/>
        <v>2558.4860464327762</v>
      </c>
      <c r="G4" s="131">
        <f t="shared" si="2"/>
        <v>2207.4440433065452</v>
      </c>
      <c r="H4" s="131">
        <f t="shared" si="2"/>
        <v>2120.9832157755882</v>
      </c>
      <c r="I4" s="131">
        <f t="shared" si="2"/>
        <v>1954.8207491229525</v>
      </c>
      <c r="J4" s="131">
        <f t="shared" si="2"/>
        <v>2126.9358675263488</v>
      </c>
      <c r="K4" s="131">
        <f t="shared" si="2"/>
        <v>1857.4024552115625</v>
      </c>
      <c r="L4" s="131">
        <f t="shared" si="2"/>
        <v>2098.3138523562843</v>
      </c>
      <c r="M4" s="131">
        <f t="shared" si="2"/>
        <v>1964.7684951214694</v>
      </c>
      <c r="N4" s="131">
        <f t="shared" si="2"/>
        <v>1859.0551150474921</v>
      </c>
      <c r="O4" s="131">
        <f t="shared" si="2"/>
        <v>1802.7792200573574</v>
      </c>
      <c r="P4" s="131">
        <f t="shared" si="2"/>
        <v>1696.9180024618051</v>
      </c>
      <c r="Q4" s="131">
        <f t="shared" si="2"/>
        <v>1710.9824684866619</v>
      </c>
      <c r="R4" s="131">
        <f t="shared" ref="R4:W4" si="3">SUM(R5:R15)</f>
        <v>1781.3753148048208</v>
      </c>
      <c r="S4" s="131">
        <f t="shared" si="3"/>
        <v>1864.4006141490897</v>
      </c>
      <c r="T4" s="131">
        <f t="shared" si="3"/>
        <v>1783.8727112396127</v>
      </c>
      <c r="U4" s="131">
        <f t="shared" si="3"/>
        <v>1842.8392153517814</v>
      </c>
      <c r="V4" s="131">
        <f t="shared" si="3"/>
        <v>1715.3352921927542</v>
      </c>
      <c r="W4" s="131">
        <f t="shared" si="3"/>
        <v>1695.1317272490546</v>
      </c>
      <c r="DA4" s="156" t="s">
        <v>213</v>
      </c>
    </row>
    <row r="5" spans="1:105" ht="12" customHeight="1" x14ac:dyDescent="0.25">
      <c r="A5" s="132" t="s">
        <v>29</v>
      </c>
      <c r="B5" s="133">
        <v>504.21195184866724</v>
      </c>
      <c r="C5" s="133">
        <v>222.32398968185731</v>
      </c>
      <c r="D5" s="133">
        <v>226.59372312983663</v>
      </c>
      <c r="E5" s="133">
        <v>444.38392089423888</v>
      </c>
      <c r="F5" s="133">
        <v>486.29759243336196</v>
      </c>
      <c r="G5" s="133">
        <v>84.0340498710232</v>
      </c>
      <c r="H5" s="133">
        <v>170.50756663800516</v>
      </c>
      <c r="I5" s="133">
        <v>57.573516766981946</v>
      </c>
      <c r="J5" s="133">
        <v>83.566122098022348</v>
      </c>
      <c r="K5" s="133">
        <v>27.748839208942396</v>
      </c>
      <c r="L5" s="133">
        <v>40.114359415305231</v>
      </c>
      <c r="M5" s="133">
        <v>34.893637145313853</v>
      </c>
      <c r="N5" s="133">
        <v>32.933619948409287</v>
      </c>
      <c r="O5" s="133">
        <v>32.605674978503885</v>
      </c>
      <c r="P5" s="133">
        <v>28.881255374032701</v>
      </c>
      <c r="Q5" s="133">
        <v>25.621926053310403</v>
      </c>
      <c r="R5" s="133">
        <v>33.001031814273439</v>
      </c>
      <c r="S5" s="133">
        <v>32.13697334479793</v>
      </c>
      <c r="T5" s="133">
        <v>22.546603611349937</v>
      </c>
      <c r="U5" s="133">
        <v>27.247291487532259</v>
      </c>
      <c r="V5" s="133">
        <v>20.681083404987113</v>
      </c>
      <c r="W5" s="133">
        <v>23.812381771281178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6.1179707652622524</v>
      </c>
      <c r="C7" s="133">
        <v>3.003697334479793</v>
      </c>
      <c r="D7" s="133">
        <v>13.022355975924327</v>
      </c>
      <c r="E7" s="133">
        <v>12.017454858125538</v>
      </c>
      <c r="F7" s="133">
        <v>15.912295786758378</v>
      </c>
      <c r="G7" s="133">
        <v>11.886500429922613</v>
      </c>
      <c r="H7" s="133">
        <v>14.874892519346513</v>
      </c>
      <c r="I7" s="133">
        <v>15.058297506448842</v>
      </c>
      <c r="J7" s="133">
        <v>16.005588993981082</v>
      </c>
      <c r="K7" s="133">
        <v>12.004385210662086</v>
      </c>
      <c r="L7" s="133">
        <v>15.954600171969043</v>
      </c>
      <c r="M7" s="133">
        <v>12.069217540842642</v>
      </c>
      <c r="N7" s="133">
        <v>19.696904557179703</v>
      </c>
      <c r="O7" s="133">
        <v>14.892261392949269</v>
      </c>
      <c r="P7" s="133">
        <v>9.9347377472054976</v>
      </c>
      <c r="Q7" s="133">
        <v>20.799054170249338</v>
      </c>
      <c r="R7" s="133">
        <v>19.859673258813416</v>
      </c>
      <c r="S7" s="133">
        <v>19.774978503869285</v>
      </c>
      <c r="T7" s="133">
        <v>13.085210662080828</v>
      </c>
      <c r="U7" s="133">
        <v>12.229578675838347</v>
      </c>
      <c r="V7" s="133">
        <v>13.96870163370593</v>
      </c>
      <c r="W7" s="133">
        <v>17.963026655202061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4.9570901741914555E-3</v>
      </c>
      <c r="H8" s="133">
        <v>1.3527779135674194E-2</v>
      </c>
      <c r="I8" s="133">
        <v>2.8986716860983447E-2</v>
      </c>
      <c r="J8" s="133">
        <v>4.9880478724801044E-2</v>
      </c>
      <c r="K8" s="133">
        <v>6.6289958287699915E-2</v>
      </c>
      <c r="L8" s="133">
        <v>7.8219523711801631E-2</v>
      </c>
      <c r="M8" s="133">
        <v>0.11188445446962074</v>
      </c>
      <c r="N8" s="133">
        <v>0.15983436141056925</v>
      </c>
      <c r="O8" s="133">
        <v>0.27784827924326949</v>
      </c>
      <c r="P8" s="133">
        <v>0.42660858217522557</v>
      </c>
      <c r="Q8" s="133">
        <v>0.47562488804894737</v>
      </c>
      <c r="R8" s="133">
        <v>0.51384425467462658</v>
      </c>
      <c r="S8" s="133">
        <v>0.53923275768939283</v>
      </c>
      <c r="T8" s="133">
        <v>0.58494485517898198</v>
      </c>
      <c r="U8" s="133">
        <v>0.67084227290197707</v>
      </c>
      <c r="V8" s="133">
        <v>0.73718798726991108</v>
      </c>
      <c r="W8" s="133">
        <v>0.82916630738790886</v>
      </c>
      <c r="DA8" s="157" t="s">
        <v>277</v>
      </c>
    </row>
    <row r="9" spans="1:105" ht="12" customHeight="1" x14ac:dyDescent="0.25">
      <c r="A9" s="132" t="s">
        <v>78</v>
      </c>
      <c r="B9" s="133">
        <v>973.84885283567655</v>
      </c>
      <c r="C9" s="133">
        <v>1149.8150645270914</v>
      </c>
      <c r="D9" s="133">
        <v>1059.8827580729496</v>
      </c>
      <c r="E9" s="133">
        <v>1093.4856158182574</v>
      </c>
      <c r="F9" s="133">
        <v>1070.9652278952678</v>
      </c>
      <c r="G9" s="133">
        <v>1137.0673726190948</v>
      </c>
      <c r="H9" s="133">
        <v>1086.4939004234825</v>
      </c>
      <c r="I9" s="133">
        <v>1067.6622508297594</v>
      </c>
      <c r="J9" s="133">
        <v>1196.1513321497498</v>
      </c>
      <c r="K9" s="133">
        <v>1025.3000398899599</v>
      </c>
      <c r="L9" s="133">
        <v>1086.0113844761704</v>
      </c>
      <c r="M9" s="133">
        <v>1040.397095989211</v>
      </c>
      <c r="N9" s="133">
        <v>953.05578680087342</v>
      </c>
      <c r="O9" s="133">
        <v>894.71293698679881</v>
      </c>
      <c r="P9" s="133">
        <v>860.77425479318902</v>
      </c>
      <c r="Q9" s="133">
        <v>857.19853333675439</v>
      </c>
      <c r="R9" s="133">
        <v>865.35689004426752</v>
      </c>
      <c r="S9" s="133">
        <v>917.82405950619579</v>
      </c>
      <c r="T9" s="133">
        <v>829.45815171235904</v>
      </c>
      <c r="U9" s="133">
        <v>869.82663636697896</v>
      </c>
      <c r="V9" s="133">
        <v>791.44250253156144</v>
      </c>
      <c r="W9" s="133">
        <v>736.66858861250046</v>
      </c>
      <c r="DA9" s="157" t="s">
        <v>278</v>
      </c>
    </row>
    <row r="10" spans="1:105" ht="12" customHeight="1" x14ac:dyDescent="0.25">
      <c r="A10" s="132" t="s">
        <v>128</v>
      </c>
      <c r="B10" s="133">
        <v>13.351418744625969</v>
      </c>
      <c r="C10" s="133">
        <v>24.41006018916595</v>
      </c>
      <c r="D10" s="133">
        <v>23.884608770421327</v>
      </c>
      <c r="E10" s="133">
        <v>33.175752364574365</v>
      </c>
      <c r="F10" s="133">
        <v>36.447979363714545</v>
      </c>
      <c r="G10" s="133">
        <v>40.67540842648323</v>
      </c>
      <c r="H10" s="133">
        <v>36.018056749785011</v>
      </c>
      <c r="I10" s="133">
        <v>51.351848667239857</v>
      </c>
      <c r="J10" s="133">
        <v>41.200945829750665</v>
      </c>
      <c r="K10" s="133">
        <v>36.997248495270867</v>
      </c>
      <c r="L10" s="133">
        <v>52.355030094582951</v>
      </c>
      <c r="M10" s="133">
        <v>54.815133276010286</v>
      </c>
      <c r="N10" s="133">
        <v>57.203611349957015</v>
      </c>
      <c r="O10" s="133">
        <v>64.153998280309523</v>
      </c>
      <c r="P10" s="133">
        <v>63.43748925193465</v>
      </c>
      <c r="Q10" s="133">
        <v>71.343250214961287</v>
      </c>
      <c r="R10" s="133">
        <v>66.972398968185701</v>
      </c>
      <c r="S10" s="133">
        <v>63.152278589853893</v>
      </c>
      <c r="T10" s="133">
        <v>64.990197764402396</v>
      </c>
      <c r="U10" s="133">
        <v>67.134651762682694</v>
      </c>
      <c r="V10" s="133">
        <v>63.337747205503078</v>
      </c>
      <c r="W10" s="133">
        <v>65.982545141874439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572.39219325807267</v>
      </c>
      <c r="C12" s="133">
        <v>608.17099562087765</v>
      </c>
      <c r="D12" s="133">
        <v>552.21265398948492</v>
      </c>
      <c r="E12" s="133">
        <v>546.68436353857601</v>
      </c>
      <c r="F12" s="133">
        <v>569.42884740400177</v>
      </c>
      <c r="G12" s="133">
        <v>562.75639827831901</v>
      </c>
      <c r="H12" s="133">
        <v>441.1176125818285</v>
      </c>
      <c r="I12" s="133">
        <v>390.2700393112749</v>
      </c>
      <c r="J12" s="133">
        <v>390.75814911181106</v>
      </c>
      <c r="K12" s="133">
        <v>375.44696884556834</v>
      </c>
      <c r="L12" s="133">
        <v>496.37807124069161</v>
      </c>
      <c r="M12" s="133">
        <v>461.85882705548556</v>
      </c>
      <c r="N12" s="133">
        <v>446.38336790886092</v>
      </c>
      <c r="O12" s="133">
        <v>425.32681814429873</v>
      </c>
      <c r="P12" s="133">
        <v>399.73551463595373</v>
      </c>
      <c r="Q12" s="133">
        <v>405.80254622765926</v>
      </c>
      <c r="R12" s="133">
        <v>422.56473206692101</v>
      </c>
      <c r="S12" s="133">
        <v>426.60634121502659</v>
      </c>
      <c r="T12" s="133">
        <v>430.06671018588236</v>
      </c>
      <c r="U12" s="133">
        <v>412.55855497968264</v>
      </c>
      <c r="V12" s="133">
        <v>394.63060605918037</v>
      </c>
      <c r="W12" s="133">
        <v>424.10259433392804</v>
      </c>
      <c r="DA12" s="157" t="s">
        <v>281</v>
      </c>
    </row>
    <row r="13" spans="1:105" ht="12" customHeight="1" x14ac:dyDescent="0.25">
      <c r="A13" s="132" t="s">
        <v>77</v>
      </c>
      <c r="B13" s="133">
        <v>0.45262085635830562</v>
      </c>
      <c r="C13" s="133">
        <v>0.75653192087868382</v>
      </c>
      <c r="D13" s="133">
        <v>1.3205541754626744</v>
      </c>
      <c r="E13" s="133">
        <v>1.7183849086155434</v>
      </c>
      <c r="F13" s="133">
        <v>2.0508014806467565</v>
      </c>
      <c r="G13" s="133">
        <v>2.2232879521283344</v>
      </c>
      <c r="H13" s="133">
        <v>2.6601532749565222</v>
      </c>
      <c r="I13" s="133">
        <v>3.1231118454053322</v>
      </c>
      <c r="J13" s="133">
        <v>3.5308810702177387</v>
      </c>
      <c r="K13" s="133">
        <v>4.029253839956227</v>
      </c>
      <c r="L13" s="133">
        <v>4.5949259944581806</v>
      </c>
      <c r="M13" s="133">
        <v>5.0532070912485931</v>
      </c>
      <c r="N13" s="133">
        <v>5.4751888812123282</v>
      </c>
      <c r="O13" s="133">
        <v>5.7296029094214918</v>
      </c>
      <c r="P13" s="133">
        <v>5.8980403064943543</v>
      </c>
      <c r="Q13" s="133">
        <v>6.2516938197839149</v>
      </c>
      <c r="R13" s="133">
        <v>6.7745547696858903</v>
      </c>
      <c r="S13" s="133">
        <v>7.4101461942126523</v>
      </c>
      <c r="T13" s="133">
        <v>8.1252528887523301</v>
      </c>
      <c r="U13" s="133">
        <v>8.9521399574354295</v>
      </c>
      <c r="V13" s="133">
        <v>9.7875190629327005</v>
      </c>
      <c r="W13" s="133">
        <v>10.86591640024834</v>
      </c>
      <c r="DA13" s="157" t="s">
        <v>282</v>
      </c>
    </row>
    <row r="14" spans="1:105" ht="12" customHeight="1" x14ac:dyDescent="0.25">
      <c r="A14" s="60" t="s">
        <v>76</v>
      </c>
      <c r="B14" s="65">
        <v>564.23223112679955</v>
      </c>
      <c r="C14" s="65">
        <v>566.65347051815809</v>
      </c>
      <c r="D14" s="65">
        <v>509.48380036029107</v>
      </c>
      <c r="E14" s="65">
        <v>586.08551522035759</v>
      </c>
      <c r="F14" s="65">
        <v>362.27264642476246</v>
      </c>
      <c r="G14" s="65">
        <v>354.93974483472056</v>
      </c>
      <c r="H14" s="65">
        <v>355.90402827077804</v>
      </c>
      <c r="I14" s="65">
        <v>357.14266255561063</v>
      </c>
      <c r="J14" s="65">
        <v>381.69612063352491</v>
      </c>
      <c r="K14" s="65">
        <v>363.96217340939506</v>
      </c>
      <c r="L14" s="65">
        <v>389.80425520611868</v>
      </c>
      <c r="M14" s="65">
        <v>343.10593099241697</v>
      </c>
      <c r="N14" s="65">
        <v>332.45778191980315</v>
      </c>
      <c r="O14" s="65">
        <v>353.96437095474477</v>
      </c>
      <c r="P14" s="65">
        <v>317.20979923966644</v>
      </c>
      <c r="Q14" s="65">
        <v>312.72119870981123</v>
      </c>
      <c r="R14" s="65">
        <v>355.35873125907199</v>
      </c>
      <c r="S14" s="65">
        <v>385.32509843184141</v>
      </c>
      <c r="T14" s="65">
        <v>404.29437538111125</v>
      </c>
      <c r="U14" s="65">
        <v>432.95191066191427</v>
      </c>
      <c r="V14" s="65">
        <v>410.26885119113706</v>
      </c>
      <c r="W14" s="65">
        <v>404.71456083740833</v>
      </c>
      <c r="DA14" s="109" t="s">
        <v>283</v>
      </c>
    </row>
    <row r="15" spans="1:105" ht="12" customHeight="1" x14ac:dyDescent="0.25">
      <c r="A15" s="134" t="s">
        <v>80</v>
      </c>
      <c r="B15" s="135">
        <v>14.240614452397185</v>
      </c>
      <c r="C15" s="135">
        <v>14.619427928574765</v>
      </c>
      <c r="D15" s="135">
        <v>13.603189581865365</v>
      </c>
      <c r="E15" s="135">
        <v>14.981151743224476</v>
      </c>
      <c r="F15" s="135">
        <v>15.110655644262298</v>
      </c>
      <c r="G15" s="135">
        <v>13.856323804679223</v>
      </c>
      <c r="H15" s="135">
        <v>13.393477538270464</v>
      </c>
      <c r="I15" s="135">
        <v>12.610034923370996</v>
      </c>
      <c r="J15" s="135">
        <v>13.976847160566583</v>
      </c>
      <c r="K15" s="135">
        <v>11.847256353519864</v>
      </c>
      <c r="L15" s="135">
        <v>13.023006233276178</v>
      </c>
      <c r="M15" s="135">
        <v>12.463561576470783</v>
      </c>
      <c r="N15" s="135">
        <v>11.689019319785709</v>
      </c>
      <c r="O15" s="135">
        <v>11.115708131087455</v>
      </c>
      <c r="P15" s="135">
        <v>10.620302531153666</v>
      </c>
      <c r="Q15" s="135">
        <v>10.768641066083106</v>
      </c>
      <c r="R15" s="135">
        <v>10.973458368927316</v>
      </c>
      <c r="S15" s="135">
        <v>11.631505605602547</v>
      </c>
      <c r="T15" s="135">
        <v>10.721264178495588</v>
      </c>
      <c r="U15" s="135">
        <v>11.267609186814685</v>
      </c>
      <c r="V15" s="135">
        <v>10.48109311647686</v>
      </c>
      <c r="W15" s="135">
        <v>10.192947189224045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12.511303478572422</v>
      </c>
      <c r="C16" s="131">
        <f t="shared" si="4"/>
        <v>13.240119490179209</v>
      </c>
      <c r="D16" s="131">
        <f t="shared" si="4"/>
        <v>15.939010797053598</v>
      </c>
      <c r="E16" s="131">
        <f t="shared" si="4"/>
        <v>18.084441458016602</v>
      </c>
      <c r="F16" s="131">
        <f t="shared" si="4"/>
        <v>18.687185667070914</v>
      </c>
      <c r="G16" s="131">
        <f t="shared" si="4"/>
        <v>22.274179845635892</v>
      </c>
      <c r="H16" s="131">
        <f t="shared" si="4"/>
        <v>27.025785926602797</v>
      </c>
      <c r="I16" s="131">
        <f t="shared" si="4"/>
        <v>30.367220342755697</v>
      </c>
      <c r="J16" s="131">
        <f t="shared" si="4"/>
        <v>32.741419041373547</v>
      </c>
      <c r="K16" s="131">
        <f t="shared" si="4"/>
        <v>34.615554635053456</v>
      </c>
      <c r="L16" s="131">
        <f t="shared" si="4"/>
        <v>37.376928820658712</v>
      </c>
      <c r="M16" s="131">
        <f t="shared" si="4"/>
        <v>39.018496096860055</v>
      </c>
      <c r="N16" s="131">
        <f t="shared" si="4"/>
        <v>39.807853899943218</v>
      </c>
      <c r="O16" s="131">
        <f t="shared" si="4"/>
        <v>41.528954318796451</v>
      </c>
      <c r="P16" s="131">
        <f t="shared" si="4"/>
        <v>39.602837075946411</v>
      </c>
      <c r="Q16" s="131">
        <f t="shared" si="4"/>
        <v>47.045818176872515</v>
      </c>
      <c r="R16" s="131">
        <f t="shared" ref="R16:W16" si="5">SUM(R17:R18)</f>
        <v>39.83885278337786</v>
      </c>
      <c r="S16" s="131">
        <f t="shared" si="5"/>
        <v>40.377442734336874</v>
      </c>
      <c r="T16" s="131">
        <f t="shared" si="5"/>
        <v>42.79217356257849</v>
      </c>
      <c r="U16" s="131">
        <f t="shared" si="5"/>
        <v>42.720723833298123</v>
      </c>
      <c r="V16" s="131">
        <f t="shared" si="5"/>
        <v>38.695604271174702</v>
      </c>
      <c r="W16" s="131">
        <f t="shared" si="5"/>
        <v>40.365246118123522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4.2288156613111312E-2</v>
      </c>
      <c r="H17" s="133">
        <v>5.4902294050018466E-2</v>
      </c>
      <c r="I17" s="133">
        <v>7.7642072590448183E-2</v>
      </c>
      <c r="J17" s="133">
        <v>8.0434801928075131E-2</v>
      </c>
      <c r="K17" s="133">
        <v>0.10443207496111899</v>
      </c>
      <c r="L17" s="133">
        <v>0.10739386315314929</v>
      </c>
      <c r="M17" s="133">
        <v>0.11439219672762432</v>
      </c>
      <c r="N17" s="133">
        <v>0.11989851829790947</v>
      </c>
      <c r="O17" s="133">
        <v>0.14875618389126927</v>
      </c>
      <c r="P17" s="133">
        <v>0.20651026014410295</v>
      </c>
      <c r="Q17" s="133">
        <v>0.38255719869017207</v>
      </c>
      <c r="R17" s="133">
        <v>0.38380583295721338</v>
      </c>
      <c r="S17" s="133">
        <v>0.4684146602870024</v>
      </c>
      <c r="T17" s="133">
        <v>0.59829082853673665</v>
      </c>
      <c r="U17" s="133">
        <v>0.60839627473220392</v>
      </c>
      <c r="V17" s="133">
        <v>0.66173896920415409</v>
      </c>
      <c r="W17" s="133">
        <v>0.70479340882250885</v>
      </c>
      <c r="DA17" s="157" t="s">
        <v>285</v>
      </c>
    </row>
    <row r="18" spans="1:105" ht="12" customHeight="1" x14ac:dyDescent="0.25">
      <c r="A18" s="132" t="s">
        <v>72</v>
      </c>
      <c r="B18" s="133">
        <v>12.511303478572422</v>
      </c>
      <c r="C18" s="133">
        <v>13.240119490179209</v>
      </c>
      <c r="D18" s="133">
        <v>15.939010797053598</v>
      </c>
      <c r="E18" s="133">
        <v>18.084441458016602</v>
      </c>
      <c r="F18" s="133">
        <v>18.687185667070914</v>
      </c>
      <c r="G18" s="133">
        <v>22.231891689022781</v>
      </c>
      <c r="H18" s="133">
        <v>26.970883632552777</v>
      </c>
      <c r="I18" s="133">
        <v>30.289578270165251</v>
      </c>
      <c r="J18" s="133">
        <v>32.660984239445469</v>
      </c>
      <c r="K18" s="133">
        <v>34.511122560092339</v>
      </c>
      <c r="L18" s="133">
        <v>37.269534957505563</v>
      </c>
      <c r="M18" s="133">
        <v>38.904103900132434</v>
      </c>
      <c r="N18" s="133">
        <v>39.68795538164531</v>
      </c>
      <c r="O18" s="133">
        <v>41.380198134905179</v>
      </c>
      <c r="P18" s="133">
        <v>39.396326815802311</v>
      </c>
      <c r="Q18" s="133">
        <v>46.663260978182343</v>
      </c>
      <c r="R18" s="133">
        <v>39.455046950420645</v>
      </c>
      <c r="S18" s="133">
        <v>39.909028074049871</v>
      </c>
      <c r="T18" s="133">
        <v>42.19388273404175</v>
      </c>
      <c r="U18" s="133">
        <v>42.112327558565923</v>
      </c>
      <c r="V18" s="133">
        <v>38.03386530197055</v>
      </c>
      <c r="W18" s="133">
        <v>39.660452709301012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219.52303464821938</v>
      </c>
      <c r="C19" s="131">
        <f t="shared" si="6"/>
        <v>219.78846347578508</v>
      </c>
      <c r="D19" s="131">
        <f t="shared" si="6"/>
        <v>219.17681194971675</v>
      </c>
      <c r="E19" s="131">
        <f t="shared" si="6"/>
        <v>219.0408735757845</v>
      </c>
      <c r="F19" s="131">
        <f t="shared" si="6"/>
        <v>216.82554041965042</v>
      </c>
      <c r="G19" s="131">
        <f t="shared" si="6"/>
        <v>222.33651886898113</v>
      </c>
      <c r="H19" s="131">
        <f t="shared" si="6"/>
        <v>231.29363734912675</v>
      </c>
      <c r="I19" s="131">
        <f t="shared" si="6"/>
        <v>238.81570010300257</v>
      </c>
      <c r="J19" s="131">
        <f t="shared" si="6"/>
        <v>244.06713900526967</v>
      </c>
      <c r="K19" s="131">
        <f t="shared" si="6"/>
        <v>257.55217448822719</v>
      </c>
      <c r="L19" s="131">
        <f t="shared" si="6"/>
        <v>266.54097407776237</v>
      </c>
      <c r="M19" s="131">
        <f t="shared" si="6"/>
        <v>270.48127026540323</v>
      </c>
      <c r="N19" s="131">
        <f t="shared" si="6"/>
        <v>273.5670619317001</v>
      </c>
      <c r="O19" s="131">
        <f t="shared" si="6"/>
        <v>273.57654849530212</v>
      </c>
      <c r="P19" s="131">
        <f t="shared" si="6"/>
        <v>274.05078188710712</v>
      </c>
      <c r="Q19" s="131">
        <f t="shared" si="6"/>
        <v>277.93907802097686</v>
      </c>
      <c r="R19" s="131">
        <f t="shared" ref="R19:W19" si="7">SUM(R20:R27)</f>
        <v>284.02660466346009</v>
      </c>
      <c r="S19" s="131">
        <f t="shared" si="7"/>
        <v>288.96765203426759</v>
      </c>
      <c r="T19" s="131">
        <f t="shared" si="7"/>
        <v>286.07756156624509</v>
      </c>
      <c r="U19" s="131">
        <f t="shared" si="7"/>
        <v>287.43885441392382</v>
      </c>
      <c r="V19" s="131">
        <f t="shared" si="7"/>
        <v>272.43934896866858</v>
      </c>
      <c r="W19" s="131">
        <f t="shared" si="7"/>
        <v>274.43360446493978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85.292653476475081</v>
      </c>
      <c r="C23" s="133">
        <v>85.470185935123794</v>
      </c>
      <c r="D23" s="133">
        <v>88.638690159146435</v>
      </c>
      <c r="E23" s="133">
        <v>89.769379056134795</v>
      </c>
      <c r="F23" s="133">
        <v>90.976003511386878</v>
      </c>
      <c r="G23" s="133">
        <v>96.30406147019346</v>
      </c>
      <c r="H23" s="133">
        <v>101.93522112889632</v>
      </c>
      <c r="I23" s="133">
        <v>106.70453695702037</v>
      </c>
      <c r="J23" s="133">
        <v>113.18545449904386</v>
      </c>
      <c r="K23" s="133">
        <v>136.38912510650812</v>
      </c>
      <c r="L23" s="133">
        <v>129.35218257029439</v>
      </c>
      <c r="M23" s="133">
        <v>130.59985753049938</v>
      </c>
      <c r="N23" s="133">
        <v>132.19544329852013</v>
      </c>
      <c r="O23" s="133">
        <v>133.00607473220958</v>
      </c>
      <c r="P23" s="133">
        <v>133.41674728052999</v>
      </c>
      <c r="Q23" s="133">
        <v>134.65496296409228</v>
      </c>
      <c r="R23" s="133">
        <v>135.85723880562369</v>
      </c>
      <c r="S23" s="133">
        <v>145.51343395038768</v>
      </c>
      <c r="T23" s="133">
        <v>132.12505419659288</v>
      </c>
      <c r="U23" s="133">
        <v>139.3638731355006</v>
      </c>
      <c r="V23" s="133">
        <v>128.70975024565959</v>
      </c>
      <c r="W23" s="133">
        <v>126.40856700249442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41.107376819313302</v>
      </c>
      <c r="C25" s="133">
        <v>41.418170329251076</v>
      </c>
      <c r="D25" s="133">
        <v>41.58210095462497</v>
      </c>
      <c r="E25" s="133">
        <v>42.596289943797132</v>
      </c>
      <c r="F25" s="133">
        <v>43.091444943375578</v>
      </c>
      <c r="G25" s="133">
        <v>42.407488222111212</v>
      </c>
      <c r="H25" s="133">
        <v>43.452980711378501</v>
      </c>
      <c r="I25" s="133">
        <v>43.06813781684216</v>
      </c>
      <c r="J25" s="133">
        <v>43.415883562307698</v>
      </c>
      <c r="K25" s="133">
        <v>43.393185926572279</v>
      </c>
      <c r="L25" s="133">
        <v>45.802152319067488</v>
      </c>
      <c r="M25" s="133">
        <v>49.53412221364534</v>
      </c>
      <c r="N25" s="133">
        <v>52.040277834905147</v>
      </c>
      <c r="O25" s="133">
        <v>56.329845656217429</v>
      </c>
      <c r="P25" s="133">
        <v>56.269042543754047</v>
      </c>
      <c r="Q25" s="133">
        <v>56.674753858325225</v>
      </c>
      <c r="R25" s="133">
        <v>59.927873264119519</v>
      </c>
      <c r="S25" s="133">
        <v>60.49787202659008</v>
      </c>
      <c r="T25" s="133">
        <v>62.354613975768565</v>
      </c>
      <c r="U25" s="133">
        <v>60.799312604152078</v>
      </c>
      <c r="V25" s="133">
        <v>60.266298497999252</v>
      </c>
      <c r="W25" s="133">
        <v>63.814000678970579</v>
      </c>
      <c r="DA25" s="157" t="s">
        <v>292</v>
      </c>
    </row>
    <row r="26" spans="1:105" ht="12" customHeight="1" x14ac:dyDescent="0.25">
      <c r="A26" s="132" t="s">
        <v>24</v>
      </c>
      <c r="B26" s="65">
        <v>93.12300435243101</v>
      </c>
      <c r="C26" s="65">
        <v>92.90010721141023</v>
      </c>
      <c r="D26" s="65">
        <v>88.956020835945353</v>
      </c>
      <c r="E26" s="65">
        <v>86.316907069403726</v>
      </c>
      <c r="F26" s="65">
        <v>82.280361956289511</v>
      </c>
      <c r="G26" s="65">
        <v>83.027892650451193</v>
      </c>
      <c r="H26" s="65">
        <v>85.190388217364415</v>
      </c>
      <c r="I26" s="65">
        <v>88.138210195864062</v>
      </c>
      <c r="J26" s="65">
        <v>86.272335767649835</v>
      </c>
      <c r="K26" s="65">
        <v>76.339424934080583</v>
      </c>
      <c r="L26" s="65">
        <v>89.48577934317268</v>
      </c>
      <c r="M26" s="65">
        <v>87.943765155824295</v>
      </c>
      <c r="N26" s="65">
        <v>86.643894538601586</v>
      </c>
      <c r="O26" s="65">
        <v>81.374763962421085</v>
      </c>
      <c r="P26" s="65">
        <v>81.11451914794776</v>
      </c>
      <c r="Q26" s="65">
        <v>83.136962230373641</v>
      </c>
      <c r="R26" s="65">
        <v>84.572704975488207</v>
      </c>
      <c r="S26" s="65">
        <v>79.136913555140239</v>
      </c>
      <c r="T26" s="65">
        <v>87.672441975139037</v>
      </c>
      <c r="U26" s="65">
        <v>83.273261107633161</v>
      </c>
      <c r="V26" s="65">
        <v>79.340944249085382</v>
      </c>
      <c r="W26" s="65">
        <v>79.976900927928753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0.35829750644883912</v>
      </c>
      <c r="F27" s="146">
        <v>0.47773000859845227</v>
      </c>
      <c r="G27" s="146">
        <v>0.5970765262252794</v>
      </c>
      <c r="H27" s="146">
        <v>0.71504729148753221</v>
      </c>
      <c r="I27" s="146">
        <v>0.90481513327600993</v>
      </c>
      <c r="J27" s="146">
        <v>1.1934651762682724</v>
      </c>
      <c r="K27" s="146">
        <v>1.4304385210662085</v>
      </c>
      <c r="L27" s="146">
        <v>1.9008598452278589</v>
      </c>
      <c r="M27" s="146">
        <v>2.4035253654342212</v>
      </c>
      <c r="N27" s="146">
        <v>2.6874462596732589</v>
      </c>
      <c r="O27" s="146">
        <v>2.8658641444539983</v>
      </c>
      <c r="P27" s="146">
        <v>3.2504729148753229</v>
      </c>
      <c r="Q27" s="146">
        <v>3.472398968185725</v>
      </c>
      <c r="R27" s="146">
        <v>3.6687876182287162</v>
      </c>
      <c r="S27" s="146">
        <v>3.8194325021496143</v>
      </c>
      <c r="T27" s="146">
        <v>3.9254514187446281</v>
      </c>
      <c r="U27" s="146">
        <v>4.0024075666380048</v>
      </c>
      <c r="V27" s="146">
        <v>4.1223559759243331</v>
      </c>
      <c r="W27" s="146">
        <v>4.2341358555460022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212.00613815630194</v>
      </c>
      <c r="C29" s="131">
        <f t="shared" si="8"/>
        <v>219.12543931351269</v>
      </c>
      <c r="D29" s="131">
        <f t="shared" si="8"/>
        <v>220.8359491730134</v>
      </c>
      <c r="E29" s="131">
        <f t="shared" si="8"/>
        <v>225.92837296021304</v>
      </c>
      <c r="F29" s="131">
        <f t="shared" si="8"/>
        <v>230.3514539776213</v>
      </c>
      <c r="G29" s="131">
        <f t="shared" si="8"/>
        <v>235.61478486887631</v>
      </c>
      <c r="H29" s="131">
        <f t="shared" si="8"/>
        <v>244.35495406534517</v>
      </c>
      <c r="I29" s="131">
        <f t="shared" si="8"/>
        <v>250.04810864266398</v>
      </c>
      <c r="J29" s="131">
        <f t="shared" si="8"/>
        <v>258.61761961588559</v>
      </c>
      <c r="K29" s="131">
        <f t="shared" si="8"/>
        <v>269.99799728440826</v>
      </c>
      <c r="L29" s="131">
        <f t="shared" si="8"/>
        <v>279.65311917153224</v>
      </c>
      <c r="M29" s="131">
        <f t="shared" si="8"/>
        <v>286.80597351974626</v>
      </c>
      <c r="N29" s="131">
        <f t="shared" si="8"/>
        <v>290.00328731373293</v>
      </c>
      <c r="O29" s="131">
        <f t="shared" si="8"/>
        <v>295.07300274852048</v>
      </c>
      <c r="P29" s="131">
        <f t="shared" si="8"/>
        <v>300.31471904309183</v>
      </c>
      <c r="Q29" s="131">
        <f t="shared" si="8"/>
        <v>305.59512852144218</v>
      </c>
      <c r="R29" s="131">
        <f t="shared" ref="R29:W29" si="9">SUM(R30:R33)</f>
        <v>313.47570156982295</v>
      </c>
      <c r="S29" s="131">
        <f t="shared" si="9"/>
        <v>326.35939054058747</v>
      </c>
      <c r="T29" s="131">
        <f t="shared" si="9"/>
        <v>324.5545907620193</v>
      </c>
      <c r="U29" s="131">
        <f t="shared" si="9"/>
        <v>333.38918810843927</v>
      </c>
      <c r="V29" s="131">
        <f t="shared" si="9"/>
        <v>313.25358890918477</v>
      </c>
      <c r="W29" s="131">
        <f t="shared" si="9"/>
        <v>322.27875416393931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107.90492533015217</v>
      </c>
      <c r="C31" s="133">
        <v>127.93486991611707</v>
      </c>
      <c r="D31" s="133">
        <v>128.78577446781807</v>
      </c>
      <c r="E31" s="133">
        <v>128.02092945922695</v>
      </c>
      <c r="F31" s="133">
        <v>132.02076343427328</v>
      </c>
      <c r="G31" s="133">
        <v>133.68983313168064</v>
      </c>
      <c r="H31" s="133">
        <v>134.54630048105571</v>
      </c>
      <c r="I31" s="133">
        <v>139.37009159229774</v>
      </c>
      <c r="J31" s="133">
        <v>145.5534483714994</v>
      </c>
      <c r="K31" s="133">
        <v>160.18559878283637</v>
      </c>
      <c r="L31" s="133">
        <v>158.67936642823506</v>
      </c>
      <c r="M31" s="133">
        <v>160.8919890896257</v>
      </c>
      <c r="N31" s="133">
        <v>161.13954432958101</v>
      </c>
      <c r="O31" s="133">
        <v>161.92798656936168</v>
      </c>
      <c r="P31" s="133">
        <v>163.8818120160328</v>
      </c>
      <c r="Q31" s="133">
        <v>164.08350647913812</v>
      </c>
      <c r="R31" s="133">
        <v>178.22020730495427</v>
      </c>
      <c r="S31" s="133">
        <v>205.25322541950703</v>
      </c>
      <c r="T31" s="133">
        <v>194.24516631790891</v>
      </c>
      <c r="U31" s="133">
        <v>209.75639124481268</v>
      </c>
      <c r="V31" s="133">
        <v>192.0510558638957</v>
      </c>
      <c r="W31" s="133">
        <v>188.92104288031578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104.10121282614978</v>
      </c>
      <c r="C33" s="68">
        <v>91.190569397395635</v>
      </c>
      <c r="D33" s="68">
        <v>92.050174705195332</v>
      </c>
      <c r="E33" s="68">
        <v>97.907443500986105</v>
      </c>
      <c r="F33" s="68">
        <v>98.330690543348013</v>
      </c>
      <c r="G33" s="68">
        <v>101.92495173719567</v>
      </c>
      <c r="H33" s="68">
        <v>109.80865358428944</v>
      </c>
      <c r="I33" s="68">
        <v>110.67801705036624</v>
      </c>
      <c r="J33" s="68">
        <v>113.0641712443862</v>
      </c>
      <c r="K33" s="68">
        <v>109.81239850157186</v>
      </c>
      <c r="L33" s="68">
        <v>120.97375274329721</v>
      </c>
      <c r="M33" s="68">
        <v>125.91398443012056</v>
      </c>
      <c r="N33" s="68">
        <v>128.86374298415188</v>
      </c>
      <c r="O33" s="68">
        <v>133.14501617915877</v>
      </c>
      <c r="P33" s="68">
        <v>136.432907027059</v>
      </c>
      <c r="Q33" s="68">
        <v>141.51162204230405</v>
      </c>
      <c r="R33" s="68">
        <v>135.2554942648687</v>
      </c>
      <c r="S33" s="68">
        <v>121.10616512108047</v>
      </c>
      <c r="T33" s="68">
        <v>130.30942444411042</v>
      </c>
      <c r="U33" s="68">
        <v>123.63279686362658</v>
      </c>
      <c r="V33" s="68">
        <v>121.20253304528909</v>
      </c>
      <c r="W33" s="68">
        <v>133.35771128362356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1851.8207851959889</v>
      </c>
      <c r="C3" s="126">
        <f t="shared" si="0"/>
        <v>1848.1768342817631</v>
      </c>
      <c r="D3" s="126">
        <f t="shared" si="0"/>
        <v>1751.7656174290528</v>
      </c>
      <c r="E3" s="126">
        <f t="shared" si="0"/>
        <v>1961.5947404550589</v>
      </c>
      <c r="F3" s="126">
        <f t="shared" si="0"/>
        <v>1866.6877433213454</v>
      </c>
      <c r="G3" s="126">
        <f t="shared" si="0"/>
        <v>1718.5856282933275</v>
      </c>
      <c r="H3" s="126">
        <f t="shared" si="0"/>
        <v>1688.1324127377391</v>
      </c>
      <c r="I3" s="126">
        <f t="shared" si="0"/>
        <v>1624.8780790091882</v>
      </c>
      <c r="J3" s="126">
        <f t="shared" si="0"/>
        <v>1759.5530772717875</v>
      </c>
      <c r="K3" s="126">
        <f t="shared" si="0"/>
        <v>1632.1744947847537</v>
      </c>
      <c r="L3" s="126">
        <f t="shared" si="0"/>
        <v>1837.6810196642532</v>
      </c>
      <c r="M3" s="126">
        <f t="shared" si="0"/>
        <v>1780.76443550197</v>
      </c>
      <c r="N3" s="126">
        <f t="shared" si="0"/>
        <v>1742.412833454443</v>
      </c>
      <c r="O3" s="126">
        <f t="shared" si="0"/>
        <v>1739.6660375142026</v>
      </c>
      <c r="P3" s="126">
        <f t="shared" si="0"/>
        <v>1677.4061611282777</v>
      </c>
      <c r="Q3" s="126">
        <f t="shared" si="0"/>
        <v>1733.5412634146689</v>
      </c>
      <c r="R3" s="126">
        <f t="shared" ref="R3:W3" si="1">SUM(R4,R16,R19,R29)</f>
        <v>1792.5166924496052</v>
      </c>
      <c r="S3" s="126">
        <f t="shared" si="1"/>
        <v>1887.1863251278482</v>
      </c>
      <c r="T3" s="126">
        <f t="shared" si="1"/>
        <v>1871.356515193364</v>
      </c>
      <c r="U3" s="126">
        <f t="shared" si="1"/>
        <v>1944.1512611637975</v>
      </c>
      <c r="V3" s="126">
        <f t="shared" si="1"/>
        <v>1843.869574020461</v>
      </c>
      <c r="W3" s="126">
        <f t="shared" si="1"/>
        <v>1876.8358775202764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1557.4353375157998</v>
      </c>
      <c r="C4" s="131">
        <f t="shared" si="2"/>
        <v>1548.391034677951</v>
      </c>
      <c r="D4" s="131">
        <f t="shared" si="2"/>
        <v>1443.3426459122491</v>
      </c>
      <c r="E4" s="131">
        <f t="shared" si="2"/>
        <v>1642.0723220247769</v>
      </c>
      <c r="F4" s="131">
        <f t="shared" si="2"/>
        <v>1541.6615370173031</v>
      </c>
      <c r="G4" s="131">
        <f t="shared" si="2"/>
        <v>1375.1242234756874</v>
      </c>
      <c r="H4" s="131">
        <f t="shared" si="2"/>
        <v>1317.4305838976491</v>
      </c>
      <c r="I4" s="131">
        <f t="shared" si="2"/>
        <v>1233.6699581840619</v>
      </c>
      <c r="J4" s="131">
        <f t="shared" si="2"/>
        <v>1349.3318807144233</v>
      </c>
      <c r="K4" s="131">
        <f t="shared" si="2"/>
        <v>1201.1925725499184</v>
      </c>
      <c r="L4" s="131">
        <f t="shared" si="2"/>
        <v>1380.9975431190874</v>
      </c>
      <c r="M4" s="131">
        <f t="shared" si="2"/>
        <v>1306.439583273055</v>
      </c>
      <c r="N4" s="131">
        <f t="shared" si="2"/>
        <v>1255.8117445441014</v>
      </c>
      <c r="O4" s="131">
        <f t="shared" si="2"/>
        <v>1238.0227956661888</v>
      </c>
      <c r="P4" s="131">
        <f t="shared" si="2"/>
        <v>1171.7224736405126</v>
      </c>
      <c r="Q4" s="131">
        <f t="shared" si="2"/>
        <v>1190.8114710766581</v>
      </c>
      <c r="R4" s="131">
        <f t="shared" ref="R4:W4" si="3">SUM(R5:R15)</f>
        <v>1256.4289965808923</v>
      </c>
      <c r="S4" s="131">
        <f t="shared" si="3"/>
        <v>1332.8228573660699</v>
      </c>
      <c r="T4" s="131">
        <f t="shared" si="3"/>
        <v>1300.4032355445902</v>
      </c>
      <c r="U4" s="131">
        <f t="shared" si="3"/>
        <v>1359.8272298370082</v>
      </c>
      <c r="V4" s="131">
        <f t="shared" si="3"/>
        <v>1288.6745066000167</v>
      </c>
      <c r="W4" s="131">
        <f t="shared" si="3"/>
        <v>1296.3190510327217</v>
      </c>
      <c r="DA4" s="156" t="s">
        <v>301</v>
      </c>
    </row>
    <row r="5" spans="1:105" ht="12" customHeight="1" x14ac:dyDescent="0.25">
      <c r="A5" s="132" t="s">
        <v>29</v>
      </c>
      <c r="B5" s="133">
        <v>256.19048909173296</v>
      </c>
      <c r="C5" s="133">
        <v>112.96299392465694</v>
      </c>
      <c r="D5" s="133">
        <v>115.1324488459823</v>
      </c>
      <c r="E5" s="133">
        <v>229.7571610349994</v>
      </c>
      <c r="F5" s="133">
        <v>255.48759167049346</v>
      </c>
      <c r="G5" s="133">
        <v>44.294021078614087</v>
      </c>
      <c r="H5" s="133">
        <v>89.873875676807671</v>
      </c>
      <c r="I5" s="133">
        <v>30.34677692150586</v>
      </c>
      <c r="J5" s="133">
        <v>44.047378168122684</v>
      </c>
      <c r="K5" s="133">
        <v>14.626305297845589</v>
      </c>
      <c r="L5" s="133">
        <v>21.144122938543749</v>
      </c>
      <c r="M5" s="133">
        <v>18.392300520993842</v>
      </c>
      <c r="N5" s="133">
        <v>18.629369762409532</v>
      </c>
      <c r="O5" s="133">
        <v>20.749165833621099</v>
      </c>
      <c r="P5" s="133">
        <v>18.383704538448843</v>
      </c>
      <c r="Q5" s="133">
        <v>16.308411118877196</v>
      </c>
      <c r="R5" s="133">
        <v>21.022067732464215</v>
      </c>
      <c r="S5" s="133">
        <v>20.468443660337609</v>
      </c>
      <c r="T5" s="133">
        <v>14.360216215743424</v>
      </c>
      <c r="U5" s="133">
        <v>17.642494577341548</v>
      </c>
      <c r="V5" s="133">
        <v>13.583361936430192</v>
      </c>
      <c r="W5" s="133">
        <v>15.668517209384813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2.6905830073911603</v>
      </c>
      <c r="C7" s="133">
        <v>1.3768007715050035</v>
      </c>
      <c r="D7" s="133">
        <v>6.2494320524857976</v>
      </c>
      <c r="E7" s="133">
        <v>5.8508176521330464</v>
      </c>
      <c r="F7" s="133">
        <v>7.8700601247125705</v>
      </c>
      <c r="G7" s="133">
        <v>5.9301059147266795</v>
      </c>
      <c r="H7" s="133">
        <v>7.5141336469643365</v>
      </c>
      <c r="I7" s="133">
        <v>7.6695055936651704</v>
      </c>
      <c r="J7" s="133">
        <v>8.2021660178370563</v>
      </c>
      <c r="K7" s="133">
        <v>6.1694123880121872</v>
      </c>
      <c r="L7" s="133">
        <v>8.2758494466320442</v>
      </c>
      <c r="M7" s="133">
        <v>6.3255429823552864</v>
      </c>
      <c r="N7" s="133">
        <v>10.553758465238824</v>
      </c>
      <c r="O7" s="133">
        <v>8.0867011398821518</v>
      </c>
      <c r="P7" s="133">
        <v>5.494150112640221</v>
      </c>
      <c r="Q7" s="133">
        <v>12.005504467178927</v>
      </c>
      <c r="R7" s="133">
        <v>11.725708888941668</v>
      </c>
      <c r="S7" s="133">
        <v>11.878145458371607</v>
      </c>
      <c r="T7" s="133">
        <v>7.9646135041292094</v>
      </c>
      <c r="U7" s="133">
        <v>7.5480555796728988</v>
      </c>
      <c r="V7" s="133">
        <v>8.8207081117635013</v>
      </c>
      <c r="W7" s="133">
        <v>11.520631965884942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9.911479713245774E-3</v>
      </c>
      <c r="H8" s="133">
        <v>2.8033503046087226E-2</v>
      </c>
      <c r="I8" s="133">
        <v>6.2614198306081864E-2</v>
      </c>
      <c r="J8" s="133">
        <v>0.11172071366810146</v>
      </c>
      <c r="K8" s="133">
        <v>0.15414457701117379</v>
      </c>
      <c r="L8" s="133">
        <v>0.18880991121090138</v>
      </c>
      <c r="M8" s="133">
        <v>0.28582499242445175</v>
      </c>
      <c r="N8" s="133">
        <v>0.43545321415341787</v>
      </c>
      <c r="O8" s="133">
        <v>0.8029704738581267</v>
      </c>
      <c r="P8" s="133">
        <v>1.2891104677779814</v>
      </c>
      <c r="Q8" s="133">
        <v>1.4756750829634084</v>
      </c>
      <c r="R8" s="133">
        <v>1.6210618457945065</v>
      </c>
      <c r="S8" s="133">
        <v>1.7240283154656579</v>
      </c>
      <c r="T8" s="133">
        <v>1.9043831939476907</v>
      </c>
      <c r="U8" s="133">
        <v>2.2278181245723498</v>
      </c>
      <c r="V8" s="133">
        <v>2.4982344968865711</v>
      </c>
      <c r="W8" s="133">
        <v>2.8544675476994086</v>
      </c>
      <c r="DA8" s="157" t="s">
        <v>305</v>
      </c>
    </row>
    <row r="9" spans="1:105" ht="12" customHeight="1" x14ac:dyDescent="0.25">
      <c r="A9" s="132" t="s">
        <v>78</v>
      </c>
      <c r="B9" s="133">
        <v>470.77365609600417</v>
      </c>
      <c r="C9" s="133">
        <v>568.32360071650669</v>
      </c>
      <c r="D9" s="133">
        <v>534.88757830846657</v>
      </c>
      <c r="E9" s="133">
        <v>562.95567206818566</v>
      </c>
      <c r="F9" s="133">
        <v>563.77616716493617</v>
      </c>
      <c r="G9" s="133">
        <v>615.97826315786665</v>
      </c>
      <c r="H9" s="133">
        <v>602.03446110101595</v>
      </c>
      <c r="I9" s="133">
        <v>603.97798153541112</v>
      </c>
      <c r="J9" s="133">
        <v>687.43879453900058</v>
      </c>
      <c r="K9" s="133">
        <v>594.14999558405293</v>
      </c>
      <c r="L9" s="133">
        <v>638.18278775166164</v>
      </c>
      <c r="M9" s="133">
        <v>621.85978865559628</v>
      </c>
      <c r="N9" s="133">
        <v>579.74291948106918</v>
      </c>
      <c r="O9" s="133">
        <v>554.09608967364454</v>
      </c>
      <c r="P9" s="133">
        <v>537.92279722998956</v>
      </c>
      <c r="Q9" s="133">
        <v>542.97093597936998</v>
      </c>
      <c r="R9" s="133">
        <v>555.78438471214099</v>
      </c>
      <c r="S9" s="133">
        <v>600.95436403752694</v>
      </c>
      <c r="T9" s="133">
        <v>552.77999437839765</v>
      </c>
      <c r="U9" s="133">
        <v>590.72535313885453</v>
      </c>
      <c r="V9" s="133">
        <v>547.59548692083297</v>
      </c>
      <c r="W9" s="133">
        <v>518.91935602525882</v>
      </c>
      <c r="DA9" s="157" t="s">
        <v>306</v>
      </c>
    </row>
    <row r="10" spans="1:105" ht="12" customHeight="1" x14ac:dyDescent="0.25">
      <c r="A10" s="132" t="s">
        <v>128</v>
      </c>
      <c r="B10" s="133">
        <v>5.7964655932897342</v>
      </c>
      <c r="C10" s="133">
        <v>11.228099877772861</v>
      </c>
      <c r="D10" s="133">
        <v>11.399880226669026</v>
      </c>
      <c r="E10" s="133">
        <v>16.287295516623246</v>
      </c>
      <c r="F10" s="133">
        <v>18.227404492272001</v>
      </c>
      <c r="G10" s="133">
        <v>20.667362069406604</v>
      </c>
      <c r="H10" s="133">
        <v>18.470272967648512</v>
      </c>
      <c r="I10" s="133">
        <v>26.524751606130138</v>
      </c>
      <c r="J10" s="133">
        <v>21.387109691316525</v>
      </c>
      <c r="K10" s="133">
        <v>19.299796868927448</v>
      </c>
      <c r="L10" s="133">
        <v>27.455274383319647</v>
      </c>
      <c r="M10" s="133">
        <v>28.883512970370166</v>
      </c>
      <c r="N10" s="133">
        <v>30.260799640477696</v>
      </c>
      <c r="O10" s="133">
        <v>34.030927044182036</v>
      </c>
      <c r="P10" s="133">
        <v>33.661882930795265</v>
      </c>
      <c r="Q10" s="133">
        <v>37.868548157897166</v>
      </c>
      <c r="R10" s="133">
        <v>35.556561830057518</v>
      </c>
      <c r="S10" s="133">
        <v>33.538321512209187</v>
      </c>
      <c r="T10" s="133">
        <v>34.528697786096686</v>
      </c>
      <c r="U10" s="133">
        <v>35.685126165329336</v>
      </c>
      <c r="V10" s="133">
        <v>33.683604395031821</v>
      </c>
      <c r="W10" s="133">
        <v>35.107379218034225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430.29202469581048</v>
      </c>
      <c r="C12" s="133">
        <v>458.77364072226652</v>
      </c>
      <c r="D12" s="133">
        <v>417.4901790923534</v>
      </c>
      <c r="E12" s="133">
        <v>414.51610136329231</v>
      </c>
      <c r="F12" s="133">
        <v>433.56184661519933</v>
      </c>
      <c r="G12" s="133">
        <v>430.08730363124505</v>
      </c>
      <c r="H12" s="133">
        <v>338.05932940353154</v>
      </c>
      <c r="I12" s="133">
        <v>299.91028875101557</v>
      </c>
      <c r="J12" s="133">
        <v>301.35285258568109</v>
      </c>
      <c r="K12" s="133">
        <v>291.13675597695851</v>
      </c>
      <c r="L12" s="133">
        <v>387.26587780974205</v>
      </c>
      <c r="M12" s="133">
        <v>362.33602314040445</v>
      </c>
      <c r="N12" s="133">
        <v>352.20801240854752</v>
      </c>
      <c r="O12" s="133">
        <v>337.34061333722218</v>
      </c>
      <c r="P12" s="133">
        <v>317.64385194087987</v>
      </c>
      <c r="Q12" s="133">
        <v>323.34374091933228</v>
      </c>
      <c r="R12" s="133">
        <v>337.95751688979516</v>
      </c>
      <c r="S12" s="133">
        <v>342.72049649872429</v>
      </c>
      <c r="T12" s="133">
        <v>347.18270161633581</v>
      </c>
      <c r="U12" s="133">
        <v>334.72019115437217</v>
      </c>
      <c r="V12" s="133">
        <v>322.10528511601586</v>
      </c>
      <c r="W12" s="133">
        <v>348.54927139802379</v>
      </c>
      <c r="DA12" s="157" t="s">
        <v>309</v>
      </c>
    </row>
    <row r="13" spans="1:105" ht="12" customHeight="1" x14ac:dyDescent="0.25">
      <c r="A13" s="132" t="s">
        <v>77</v>
      </c>
      <c r="B13" s="133">
        <v>0.59157184518031758</v>
      </c>
      <c r="C13" s="133">
        <v>1.0053711298210743</v>
      </c>
      <c r="D13" s="133">
        <v>1.8332798848349874</v>
      </c>
      <c r="E13" s="133">
        <v>2.4852808673429725</v>
      </c>
      <c r="F13" s="133">
        <v>3.1115065537336011</v>
      </c>
      <c r="G13" s="133">
        <v>3.5522114645669247</v>
      </c>
      <c r="H13" s="133">
        <v>4.4768599328173906</v>
      </c>
      <c r="I13" s="133">
        <v>5.5335944241494008</v>
      </c>
      <c r="J13" s="133">
        <v>6.5216633632194094</v>
      </c>
      <c r="K13" s="133">
        <v>7.8022762633651697</v>
      </c>
      <c r="L13" s="133">
        <v>9.2674826404930428</v>
      </c>
      <c r="M13" s="133">
        <v>10.710478935065044</v>
      </c>
      <c r="N13" s="133">
        <v>12.211865815227867</v>
      </c>
      <c r="O13" s="133">
        <v>13.436724910851346</v>
      </c>
      <c r="P13" s="133">
        <v>14.484979521493489</v>
      </c>
      <c r="Q13" s="133">
        <v>16.052073547483371</v>
      </c>
      <c r="R13" s="133">
        <v>18.222195304103401</v>
      </c>
      <c r="S13" s="133">
        <v>20.916236277021092</v>
      </c>
      <c r="T13" s="133">
        <v>24.08560818712894</v>
      </c>
      <c r="U13" s="133">
        <v>27.67160434652169</v>
      </c>
      <c r="V13" s="133">
        <v>31.401365072662525</v>
      </c>
      <c r="W13" s="133">
        <v>35.826943620813928</v>
      </c>
      <c r="DA13" s="157" t="s">
        <v>310</v>
      </c>
    </row>
    <row r="14" spans="1:105" ht="12" customHeight="1" x14ac:dyDescent="0.25">
      <c r="A14" s="60" t="s">
        <v>76</v>
      </c>
      <c r="B14" s="65">
        <v>376.85993273399339</v>
      </c>
      <c r="C14" s="65">
        <v>380.10109960684713</v>
      </c>
      <c r="D14" s="65">
        <v>342.74665791959166</v>
      </c>
      <c r="E14" s="65">
        <v>395.238841778976</v>
      </c>
      <c r="F14" s="65">
        <v>244.51630475169367</v>
      </c>
      <c r="G14" s="65">
        <v>240.74872087486872</v>
      </c>
      <c r="H14" s="65">
        <v>243.58014012754703</v>
      </c>
      <c r="I14" s="65">
        <v>247.0344102305076</v>
      </c>
      <c r="J14" s="65">
        <v>266.29334847501133</v>
      </c>
      <c r="K14" s="65">
        <v>256.00662924022544</v>
      </c>
      <c r="L14" s="65">
        <v>276.19433200420815</v>
      </c>
      <c r="M14" s="65">
        <v>245.18254949937452</v>
      </c>
      <c r="N14" s="65">
        <v>240.08054643719163</v>
      </c>
      <c r="O14" s="65">
        <v>258.36389512183979</v>
      </c>
      <c r="P14" s="65">
        <v>232.22169436733381</v>
      </c>
      <c r="Q14" s="65">
        <v>230.01794073747268</v>
      </c>
      <c r="R14" s="65">
        <v>263.56604100866764</v>
      </c>
      <c r="S14" s="65">
        <v>288.99131600081091</v>
      </c>
      <c r="T14" s="65">
        <v>306.8757564843151</v>
      </c>
      <c r="U14" s="65">
        <v>332.33897756352883</v>
      </c>
      <c r="V14" s="65">
        <v>318.50536743391632</v>
      </c>
      <c r="W14" s="65">
        <v>317.67953685839774</v>
      </c>
      <c r="DA14" s="109" t="s">
        <v>311</v>
      </c>
    </row>
    <row r="15" spans="1:105" ht="12" customHeight="1" x14ac:dyDescent="0.25">
      <c r="A15" s="134" t="s">
        <v>80</v>
      </c>
      <c r="B15" s="135">
        <v>14.240614452397185</v>
      </c>
      <c r="C15" s="135">
        <v>14.619427928574765</v>
      </c>
      <c r="D15" s="135">
        <v>13.603189581865365</v>
      </c>
      <c r="E15" s="135">
        <v>14.981151743224476</v>
      </c>
      <c r="F15" s="135">
        <v>15.110655644262298</v>
      </c>
      <c r="G15" s="135">
        <v>13.856323804679223</v>
      </c>
      <c r="H15" s="135">
        <v>13.393477538270464</v>
      </c>
      <c r="I15" s="135">
        <v>12.610034923370996</v>
      </c>
      <c r="J15" s="135">
        <v>13.976847160566583</v>
      </c>
      <c r="K15" s="135">
        <v>11.847256353519864</v>
      </c>
      <c r="L15" s="135">
        <v>13.023006233276178</v>
      </c>
      <c r="M15" s="135">
        <v>12.463561576470783</v>
      </c>
      <c r="N15" s="135">
        <v>11.689019319785709</v>
      </c>
      <c r="O15" s="135">
        <v>11.115708131087455</v>
      </c>
      <c r="P15" s="135">
        <v>10.620302531153666</v>
      </c>
      <c r="Q15" s="135">
        <v>10.768641066083106</v>
      </c>
      <c r="R15" s="135">
        <v>10.973458368927316</v>
      </c>
      <c r="S15" s="135">
        <v>11.631505605602547</v>
      </c>
      <c r="T15" s="135">
        <v>10.721264178495588</v>
      </c>
      <c r="U15" s="135">
        <v>11.267609186814685</v>
      </c>
      <c r="V15" s="135">
        <v>10.48109311647686</v>
      </c>
      <c r="W15" s="135">
        <v>10.192947189224045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22.196922869030331</v>
      </c>
      <c r="C16" s="131">
        <f t="shared" si="4"/>
        <v>24.62905769267816</v>
      </c>
      <c r="D16" s="131">
        <f t="shared" si="4"/>
        <v>31.765315044755393</v>
      </c>
      <c r="E16" s="131">
        <f t="shared" si="4"/>
        <v>37.611423880258052</v>
      </c>
      <c r="F16" s="131">
        <f t="shared" si="4"/>
        <v>40.542725819893683</v>
      </c>
      <c r="G16" s="131">
        <f t="shared" si="4"/>
        <v>50.845388723842838</v>
      </c>
      <c r="H16" s="131">
        <f t="shared" si="4"/>
        <v>64.565742921940981</v>
      </c>
      <c r="I16" s="131">
        <f t="shared" si="4"/>
        <v>75.419725234857367</v>
      </c>
      <c r="J16" s="131">
        <f t="shared" si="4"/>
        <v>84.22096107070486</v>
      </c>
      <c r="K16" s="131">
        <f t="shared" si="4"/>
        <v>90.331030884939835</v>
      </c>
      <c r="L16" s="131">
        <f t="shared" si="4"/>
        <v>99.46618549444031</v>
      </c>
      <c r="M16" s="131">
        <f t="shared" si="4"/>
        <v>106.75741809045753</v>
      </c>
      <c r="N16" s="131">
        <f t="shared" si="4"/>
        <v>111.81722988172422</v>
      </c>
      <c r="O16" s="131">
        <f t="shared" si="4"/>
        <v>119.70290445388153</v>
      </c>
      <c r="P16" s="131">
        <f t="shared" si="4"/>
        <v>117.82683588552057</v>
      </c>
      <c r="Q16" s="131">
        <f t="shared" si="4"/>
        <v>145.29557751940811</v>
      </c>
      <c r="R16" s="131">
        <f t="shared" ref="R16:W16" si="5">SUM(R17:R18)</f>
        <v>127.4048220078715</v>
      </c>
      <c r="S16" s="131">
        <f t="shared" si="5"/>
        <v>133.26118798969242</v>
      </c>
      <c r="T16" s="131">
        <f t="shared" si="5"/>
        <v>145.20608301008622</v>
      </c>
      <c r="U16" s="131">
        <f t="shared" si="5"/>
        <v>148.67544278956714</v>
      </c>
      <c r="V16" s="131">
        <f t="shared" si="5"/>
        <v>137.18876138202106</v>
      </c>
      <c r="W16" s="131">
        <f t="shared" si="5"/>
        <v>146.94795159411905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5.3832686588328758E-2</v>
      </c>
      <c r="H17" s="133">
        <v>6.9904262194691119E-2</v>
      </c>
      <c r="I17" s="133">
        <v>9.8903448981678618E-2</v>
      </c>
      <c r="J17" s="133">
        <v>0.10247239216433514</v>
      </c>
      <c r="K17" s="133">
        <v>0.13313435339780882</v>
      </c>
      <c r="L17" s="133">
        <v>0.13693067298891429</v>
      </c>
      <c r="M17" s="133">
        <v>0.14599045090760712</v>
      </c>
      <c r="N17" s="133">
        <v>0.15330080918093467</v>
      </c>
      <c r="O17" s="133">
        <v>0.19170167826185333</v>
      </c>
      <c r="P17" s="133">
        <v>0.2712405291425703</v>
      </c>
      <c r="Q17" s="133">
        <v>0.51476860402265179</v>
      </c>
      <c r="R17" s="133">
        <v>0.52212975023650599</v>
      </c>
      <c r="S17" s="133">
        <v>0.64564022009550071</v>
      </c>
      <c r="T17" s="133">
        <v>0.83430619780343362</v>
      </c>
      <c r="U17" s="133">
        <v>0.85859692690349176</v>
      </c>
      <c r="V17" s="133">
        <v>0.94758696095510109</v>
      </c>
      <c r="W17" s="133">
        <v>1.0232707607092246</v>
      </c>
      <c r="DA17" s="157" t="s">
        <v>314</v>
      </c>
    </row>
    <row r="18" spans="1:105" ht="12" customHeight="1" x14ac:dyDescent="0.25">
      <c r="A18" s="132" t="s">
        <v>72</v>
      </c>
      <c r="B18" s="133">
        <v>22.196922869030331</v>
      </c>
      <c r="C18" s="133">
        <v>24.62905769267816</v>
      </c>
      <c r="D18" s="133">
        <v>31.765315044755393</v>
      </c>
      <c r="E18" s="133">
        <v>37.611423880258052</v>
      </c>
      <c r="F18" s="133">
        <v>40.542725819893683</v>
      </c>
      <c r="G18" s="133">
        <v>50.791556037254509</v>
      </c>
      <c r="H18" s="133">
        <v>64.495838659746283</v>
      </c>
      <c r="I18" s="133">
        <v>75.320821785875694</v>
      </c>
      <c r="J18" s="133">
        <v>84.11848867854053</v>
      </c>
      <c r="K18" s="133">
        <v>90.197896531542028</v>
      </c>
      <c r="L18" s="133">
        <v>99.3292548214514</v>
      </c>
      <c r="M18" s="133">
        <v>106.61142763954993</v>
      </c>
      <c r="N18" s="133">
        <v>111.66392907254328</v>
      </c>
      <c r="O18" s="133">
        <v>119.51120277561968</v>
      </c>
      <c r="P18" s="133">
        <v>117.55559535637799</v>
      </c>
      <c r="Q18" s="133">
        <v>144.78080891538545</v>
      </c>
      <c r="R18" s="133">
        <v>126.882692257635</v>
      </c>
      <c r="S18" s="133">
        <v>132.61554776959693</v>
      </c>
      <c r="T18" s="133">
        <v>144.37177681228277</v>
      </c>
      <c r="U18" s="133">
        <v>147.81684586266365</v>
      </c>
      <c r="V18" s="133">
        <v>136.24117442106595</v>
      </c>
      <c r="W18" s="133">
        <v>145.92468083340981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130.97253859145872</v>
      </c>
      <c r="C19" s="131">
        <f t="shared" si="6"/>
        <v>131.84755302784555</v>
      </c>
      <c r="D19" s="131">
        <f t="shared" si="6"/>
        <v>131.93575708731055</v>
      </c>
      <c r="E19" s="131">
        <f t="shared" si="6"/>
        <v>132.87379049276581</v>
      </c>
      <c r="F19" s="131">
        <f t="shared" si="6"/>
        <v>132.44857359900536</v>
      </c>
      <c r="G19" s="131">
        <f t="shared" si="6"/>
        <v>136.46728837298201</v>
      </c>
      <c r="H19" s="131">
        <f t="shared" si="6"/>
        <v>143.01618699046958</v>
      </c>
      <c r="I19" s="131">
        <f t="shared" si="6"/>
        <v>148.7297845400752</v>
      </c>
      <c r="J19" s="131">
        <f t="shared" si="6"/>
        <v>153.00815070029381</v>
      </c>
      <c r="K19" s="131">
        <f t="shared" si="6"/>
        <v>161.09776253460927</v>
      </c>
      <c r="L19" s="131">
        <f t="shared" si="6"/>
        <v>169.49013985065463</v>
      </c>
      <c r="M19" s="131">
        <f t="shared" si="6"/>
        <v>174.51139204731311</v>
      </c>
      <c r="N19" s="131">
        <f t="shared" si="6"/>
        <v>179.03326909781399</v>
      </c>
      <c r="O19" s="131">
        <f t="shared" si="6"/>
        <v>182.00996327480527</v>
      </c>
      <c r="P19" s="131">
        <f t="shared" si="6"/>
        <v>183.74418809046441</v>
      </c>
      <c r="Q19" s="131">
        <f t="shared" si="6"/>
        <v>188.66391944074934</v>
      </c>
      <c r="R19" s="131">
        <f t="shared" ref="R19:W19" si="7">SUM(R20:R27)</f>
        <v>195.82964968951958</v>
      </c>
      <c r="S19" s="131">
        <f t="shared" si="7"/>
        <v>202.5603055177468</v>
      </c>
      <c r="T19" s="131">
        <f t="shared" si="7"/>
        <v>205.24689144100586</v>
      </c>
      <c r="U19" s="131">
        <f t="shared" si="7"/>
        <v>209.87718766395599</v>
      </c>
      <c r="V19" s="131">
        <f t="shared" si="7"/>
        <v>203.3505809952191</v>
      </c>
      <c r="W19" s="131">
        <f t="shared" si="7"/>
        <v>209.30686827014921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42.688557149490158</v>
      </c>
      <c r="C23" s="133">
        <v>43.195336026594575</v>
      </c>
      <c r="D23" s="133">
        <v>45.36136455651291</v>
      </c>
      <c r="E23" s="133">
        <v>46.538048273670107</v>
      </c>
      <c r="F23" s="133">
        <v>47.832990250107137</v>
      </c>
      <c r="G23" s="133">
        <v>51.393757381182503</v>
      </c>
      <c r="H23" s="133">
        <v>55.247974423658576</v>
      </c>
      <c r="I23" s="133">
        <v>58.806639821583993</v>
      </c>
      <c r="J23" s="133">
        <v>63.283189414754659</v>
      </c>
      <c r="K23" s="133">
        <v>77.187088176282913</v>
      </c>
      <c r="L23" s="133">
        <v>74.185365042553968</v>
      </c>
      <c r="M23" s="133">
        <v>76.056946593997722</v>
      </c>
      <c r="N23" s="133">
        <v>78.235421543945748</v>
      </c>
      <c r="O23" s="133">
        <v>80.165145525345267</v>
      </c>
      <c r="P23" s="133">
        <v>81.327024168498355</v>
      </c>
      <c r="Q23" s="133">
        <v>83.622092351483857</v>
      </c>
      <c r="R23" s="133">
        <v>85.93784848434133</v>
      </c>
      <c r="S23" s="133">
        <v>94.533916652894604</v>
      </c>
      <c r="T23" s="133">
        <v>87.883997255462219</v>
      </c>
      <c r="U23" s="133">
        <v>95.245015017318536</v>
      </c>
      <c r="V23" s="133">
        <v>90.23483999513715</v>
      </c>
      <c r="W23" s="133">
        <v>90.809949259753864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30.797011601539527</v>
      </c>
      <c r="C25" s="133">
        <v>31.12047859957918</v>
      </c>
      <c r="D25" s="133">
        <v>31.354730495856636</v>
      </c>
      <c r="E25" s="133">
        <v>32.237945626935286</v>
      </c>
      <c r="F25" s="133">
        <v>32.734479311412159</v>
      </c>
      <c r="G25" s="133">
        <v>32.326536148973233</v>
      </c>
      <c r="H25" s="133">
        <v>33.241376045235675</v>
      </c>
      <c r="I25" s="133">
        <v>33.058205315310161</v>
      </c>
      <c r="J25" s="133">
        <v>33.445820709104559</v>
      </c>
      <c r="K25" s="133">
        <v>33.557255239330175</v>
      </c>
      <c r="L25" s="133">
        <v>35.599499126155031</v>
      </c>
      <c r="M25" s="133">
        <v>38.737982186072088</v>
      </c>
      <c r="N25" s="133">
        <v>40.978694827951934</v>
      </c>
      <c r="O25" s="133">
        <v>44.654470586957302</v>
      </c>
      <c r="P25" s="133">
        <v>44.730328029146001</v>
      </c>
      <c r="Q25" s="133">
        <v>45.212497434672116</v>
      </c>
      <c r="R25" s="133">
        <v>48.030130317364673</v>
      </c>
      <c r="S25" s="133">
        <v>48.754957457531511</v>
      </c>
      <c r="T25" s="133">
        <v>50.554978254764315</v>
      </c>
      <c r="U25" s="133">
        <v>49.578716351126069</v>
      </c>
      <c r="V25" s="133">
        <v>49.449193685529323</v>
      </c>
      <c r="W25" s="133">
        <v>52.694921428323163</v>
      </c>
      <c r="DA25" s="157" t="s">
        <v>322</v>
      </c>
    </row>
    <row r="26" spans="1:105" ht="12" customHeight="1" x14ac:dyDescent="0.25">
      <c r="A26" s="132" t="s">
        <v>24</v>
      </c>
      <c r="B26" s="65">
        <v>57.486969840429019</v>
      </c>
      <c r="C26" s="65">
        <v>57.531738401671781</v>
      </c>
      <c r="D26" s="65">
        <v>55.219662034941003</v>
      </c>
      <c r="E26" s="65">
        <v>53.739499085711564</v>
      </c>
      <c r="F26" s="65">
        <v>51.403374028887626</v>
      </c>
      <c r="G26" s="65">
        <v>52.149918316600996</v>
      </c>
      <c r="H26" s="65">
        <v>53.811789230087776</v>
      </c>
      <c r="I26" s="65">
        <v>55.960124269905045</v>
      </c>
      <c r="J26" s="65">
        <v>55.085675400166352</v>
      </c>
      <c r="K26" s="65">
        <v>48.922980597929971</v>
      </c>
      <c r="L26" s="65">
        <v>57.804415836717752</v>
      </c>
      <c r="M26" s="65">
        <v>57.312937901809072</v>
      </c>
      <c r="N26" s="65">
        <v>57.131706466243031</v>
      </c>
      <c r="O26" s="65">
        <v>54.324483018048703</v>
      </c>
      <c r="P26" s="65">
        <v>54.436362977944732</v>
      </c>
      <c r="Q26" s="65">
        <v>56.356930686407651</v>
      </c>
      <c r="R26" s="65">
        <v>58.192883269584854</v>
      </c>
      <c r="S26" s="65">
        <v>55.451998905171052</v>
      </c>
      <c r="T26" s="65">
        <v>62.882464512034723</v>
      </c>
      <c r="U26" s="65">
        <v>61.051048728873383</v>
      </c>
      <c r="V26" s="65">
        <v>59.544191338628309</v>
      </c>
      <c r="W26" s="65">
        <v>61.567861726526154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0.35829750644883912</v>
      </c>
      <c r="F27" s="146">
        <v>0.47773000859845227</v>
      </c>
      <c r="G27" s="146">
        <v>0.5970765262252794</v>
      </c>
      <c r="H27" s="146">
        <v>0.71504729148753221</v>
      </c>
      <c r="I27" s="146">
        <v>0.90481513327600993</v>
      </c>
      <c r="J27" s="146">
        <v>1.1934651762682724</v>
      </c>
      <c r="K27" s="146">
        <v>1.4304385210662085</v>
      </c>
      <c r="L27" s="146">
        <v>1.9008598452278589</v>
      </c>
      <c r="M27" s="146">
        <v>2.4035253654342212</v>
      </c>
      <c r="N27" s="146">
        <v>2.6874462596732589</v>
      </c>
      <c r="O27" s="146">
        <v>2.8658641444539983</v>
      </c>
      <c r="P27" s="146">
        <v>3.2504729148753229</v>
      </c>
      <c r="Q27" s="146">
        <v>3.472398968185725</v>
      </c>
      <c r="R27" s="146">
        <v>3.6687876182287162</v>
      </c>
      <c r="S27" s="146">
        <v>3.8194325021496143</v>
      </c>
      <c r="T27" s="146">
        <v>3.9254514187446281</v>
      </c>
      <c r="U27" s="146">
        <v>4.0024075666380048</v>
      </c>
      <c r="V27" s="146">
        <v>4.1223559759243331</v>
      </c>
      <c r="W27" s="146">
        <v>4.2341358555460022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141.21598621970028</v>
      </c>
      <c r="C29" s="131">
        <f t="shared" si="8"/>
        <v>143.30918888328847</v>
      </c>
      <c r="D29" s="131">
        <f t="shared" si="8"/>
        <v>144.72189938473764</v>
      </c>
      <c r="E29" s="131">
        <f t="shared" si="8"/>
        <v>149.03720405725792</v>
      </c>
      <c r="F29" s="131">
        <f t="shared" si="8"/>
        <v>152.03490688514333</v>
      </c>
      <c r="G29" s="131">
        <f t="shared" si="8"/>
        <v>156.14872772081532</v>
      </c>
      <c r="H29" s="131">
        <f t="shared" si="8"/>
        <v>163.11989892767957</v>
      </c>
      <c r="I29" s="131">
        <f t="shared" si="8"/>
        <v>167.05861105019386</v>
      </c>
      <c r="J29" s="131">
        <f t="shared" si="8"/>
        <v>172.99208478636572</v>
      </c>
      <c r="K29" s="131">
        <f t="shared" si="8"/>
        <v>179.55312881528636</v>
      </c>
      <c r="L29" s="131">
        <f t="shared" si="8"/>
        <v>187.72715120007086</v>
      </c>
      <c r="M29" s="131">
        <f t="shared" si="8"/>
        <v>193.05604209114426</v>
      </c>
      <c r="N29" s="131">
        <f t="shared" si="8"/>
        <v>195.75058993080353</v>
      </c>
      <c r="O29" s="131">
        <f t="shared" si="8"/>
        <v>199.93037411932681</v>
      </c>
      <c r="P29" s="131">
        <f t="shared" si="8"/>
        <v>204.11266351178031</v>
      </c>
      <c r="Q29" s="131">
        <f t="shared" si="8"/>
        <v>208.77029537785319</v>
      </c>
      <c r="R29" s="131">
        <f t="shared" ref="R29:W29" si="9">SUM(R30:R33)</f>
        <v>212.85322417132187</v>
      </c>
      <c r="S29" s="131">
        <f t="shared" si="9"/>
        <v>218.5419742543391</v>
      </c>
      <c r="T29" s="131">
        <f t="shared" si="9"/>
        <v>220.50030519768168</v>
      </c>
      <c r="U29" s="131">
        <f t="shared" si="9"/>
        <v>225.7714008732662</v>
      </c>
      <c r="V29" s="131">
        <f t="shared" si="9"/>
        <v>214.65572504320409</v>
      </c>
      <c r="W29" s="131">
        <f t="shared" si="9"/>
        <v>224.2620066232864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62.521977794067553</v>
      </c>
      <c r="C31" s="133">
        <v>74.237373226693975</v>
      </c>
      <c r="D31" s="133">
        <v>74.84924312186169</v>
      </c>
      <c r="E31" s="133">
        <v>74.529046593721759</v>
      </c>
      <c r="F31" s="133">
        <v>76.988579661023309</v>
      </c>
      <c r="G31" s="133">
        <v>78.123965483437985</v>
      </c>
      <c r="H31" s="133">
        <v>78.786995534323225</v>
      </c>
      <c r="I31" s="133">
        <v>81.798522957565254</v>
      </c>
      <c r="J31" s="133">
        <v>85.630045795281177</v>
      </c>
      <c r="K31" s="133">
        <v>94.45251215417322</v>
      </c>
      <c r="L31" s="133">
        <v>93.746832212136439</v>
      </c>
      <c r="M31" s="133">
        <v>95.119521979943684</v>
      </c>
      <c r="N31" s="133">
        <v>95.346087556356778</v>
      </c>
      <c r="O31" s="133">
        <v>95.917571065086364</v>
      </c>
      <c r="P31" s="133">
        <v>97.169254879383544</v>
      </c>
      <c r="Q31" s="133">
        <v>97.372097878441664</v>
      </c>
      <c r="R31" s="133">
        <v>105.90979726631096</v>
      </c>
      <c r="S31" s="133">
        <v>122.27854050953191</v>
      </c>
      <c r="T31" s="133">
        <v>116.0393880224357</v>
      </c>
      <c r="U31" s="133">
        <v>125.7404538039582</v>
      </c>
      <c r="V31" s="133">
        <v>115.51628344608619</v>
      </c>
      <c r="W31" s="133">
        <v>114.08494169931144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78.694008425632731</v>
      </c>
      <c r="C33" s="68">
        <v>69.071815656594495</v>
      </c>
      <c r="D33" s="68">
        <v>69.872656262875935</v>
      </c>
      <c r="E33" s="68">
        <v>74.508157463536165</v>
      </c>
      <c r="F33" s="68">
        <v>75.04632722412002</v>
      </c>
      <c r="G33" s="68">
        <v>78.024762237377317</v>
      </c>
      <c r="H33" s="68">
        <v>84.332903393356361</v>
      </c>
      <c r="I33" s="68">
        <v>85.260088092628621</v>
      </c>
      <c r="J33" s="68">
        <v>87.362038991084546</v>
      </c>
      <c r="K33" s="68">
        <v>85.10061666111315</v>
      </c>
      <c r="L33" s="68">
        <v>93.980318987934425</v>
      </c>
      <c r="M33" s="68">
        <v>97.936520111200565</v>
      </c>
      <c r="N33" s="68">
        <v>100.40450237444675</v>
      </c>
      <c r="O33" s="68">
        <v>104.01280305424046</v>
      </c>
      <c r="P33" s="68">
        <v>106.94340863239677</v>
      </c>
      <c r="Q33" s="68">
        <v>111.39819749941152</v>
      </c>
      <c r="R33" s="68">
        <v>106.9434269050109</v>
      </c>
      <c r="S33" s="68">
        <v>96.263433744807188</v>
      </c>
      <c r="T33" s="68">
        <v>104.46091717524598</v>
      </c>
      <c r="U33" s="68">
        <v>100.030947069308</v>
      </c>
      <c r="V33" s="68">
        <v>99.139441597117909</v>
      </c>
      <c r="W33" s="68">
        <v>110.17706492397495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0.59873509403219649</v>
      </c>
      <c r="C3" s="127">
        <f>IF(SER_hh_tes!C3=0,"",SER_hh_tes!C3/SER_hh_fec!C3)</f>
        <v>0.60757172270972615</v>
      </c>
      <c r="D3" s="127">
        <f>IF(SER_hh_tes!D3=0,"",SER_hh_tes!D3/SER_hh_fec!D3)</f>
        <v>0.61337288657581812</v>
      </c>
      <c r="E3" s="127">
        <f>IF(SER_hh_tes!E3=0,"",SER_hh_tes!E3/SER_hh_fec!E3)</f>
        <v>0.6138451082726808</v>
      </c>
      <c r="F3" s="127">
        <f>IF(SER_hh_tes!F3=0,"",SER_hh_tes!F3/SER_hh_fec!F3)</f>
        <v>0.61721943674605173</v>
      </c>
      <c r="G3" s="127">
        <f>IF(SER_hh_tes!G3=0,"",SER_hh_tes!G3/SER_hh_fec!G3)</f>
        <v>0.63943338684274209</v>
      </c>
      <c r="H3" s="127">
        <f>IF(SER_hh_tes!H3=0,"",SER_hh_tes!H3/SER_hh_fec!H3)</f>
        <v>0.64342710617676047</v>
      </c>
      <c r="I3" s="127">
        <f>IF(SER_hh_tes!I3=0,"",SER_hh_tes!I3/SER_hh_fec!I3)</f>
        <v>0.65676801646564575</v>
      </c>
      <c r="J3" s="127">
        <f>IF(SER_hh_tes!J3=0,"",SER_hh_tes!J3/SER_hh_fec!J3)</f>
        <v>0.66089924939076372</v>
      </c>
      <c r="K3" s="127">
        <f>IF(SER_hh_tes!K3=0,"",SER_hh_tes!K3/SER_hh_fec!K3)</f>
        <v>0.67457263952464885</v>
      </c>
      <c r="L3" s="127">
        <f>IF(SER_hh_tes!L3=0,"",SER_hh_tes!L3/SER_hh_fec!L3)</f>
        <v>0.68521995003883485</v>
      </c>
      <c r="M3" s="127">
        <f>IF(SER_hh_tes!M3=0,"",SER_hh_tes!M3/SER_hh_fec!M3)</f>
        <v>0.69531933559885706</v>
      </c>
      <c r="N3" s="127">
        <f>IF(SER_hh_tes!N3=0,"",SER_hh_tes!N3/SER_hh_fec!N3)</f>
        <v>0.70759797659542956</v>
      </c>
      <c r="O3" s="127">
        <f>IF(SER_hh_tes!O3=0,"",SER_hh_tes!O3/SER_hh_fec!O3)</f>
        <v>0.72096830335774709</v>
      </c>
      <c r="P3" s="127">
        <f>IF(SER_hh_tes!P3=0,"",SER_hh_tes!P3/SER_hh_fec!P3)</f>
        <v>0.72587133852225982</v>
      </c>
      <c r="Q3" s="127">
        <f>IF(SER_hh_tes!Q3=0,"",SER_hh_tes!Q3/SER_hh_fec!Q3)</f>
        <v>0.7403352541068372</v>
      </c>
      <c r="R3" s="127">
        <f>IF(SER_hh_tes!R3=0,"",SER_hh_tes!R3/SER_hh_fec!R3)</f>
        <v>0.74110244497466704</v>
      </c>
      <c r="S3" s="127">
        <f>IF(SER_hh_tes!S3=0,"",SER_hh_tes!S3/SER_hh_fec!S3)</f>
        <v>0.74885223062066553</v>
      </c>
      <c r="T3" s="127">
        <f>IF(SER_hh_tes!T3=0,"",SER_hh_tes!T3/SER_hh_fec!T3)</f>
        <v>0.76779993849112449</v>
      </c>
      <c r="U3" s="127">
        <f>IF(SER_hh_tes!U3=0,"",SER_hh_tes!U3/SER_hh_fec!U3)</f>
        <v>0.77567849644705489</v>
      </c>
      <c r="V3" s="127">
        <f>IF(SER_hh_tes!V3=0,"",SER_hh_tes!V3/SER_hh_fec!V3)</f>
        <v>0.78807145824506408</v>
      </c>
      <c r="W3" s="127">
        <f>IF(SER_hh_tes!W3=0,"",SER_hh_tes!W3/SER_hh_fec!W3)</f>
        <v>0.80474589127638807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0.58796707981164953</v>
      </c>
      <c r="C4" s="136">
        <f>IF(SER_hh_tes!C4=0,"",SER_hh_tes!C4/SER_hh_fec!C4)</f>
        <v>0.59789134042766778</v>
      </c>
      <c r="D4" s="136">
        <f>IF(SER_hh_tes!D4=0,"",SER_hh_tes!D4/SER_hh_fec!D4)</f>
        <v>0.60139185600271072</v>
      </c>
      <c r="E4" s="136">
        <f>IF(SER_hh_tes!E4=0,"",SER_hh_tes!E4/SER_hh_fec!E4)</f>
        <v>0.60093430791233804</v>
      </c>
      <c r="F4" s="136">
        <f>IF(SER_hh_tes!F4=0,"",SER_hh_tes!F4/SER_hh_fec!F4)</f>
        <v>0.60256788938395722</v>
      </c>
      <c r="G4" s="136">
        <f>IF(SER_hh_tes!G4=0,"",SER_hh_tes!G4/SER_hh_fec!G4)</f>
        <v>0.62294862134574414</v>
      </c>
      <c r="H4" s="136">
        <f>IF(SER_hh_tes!H4=0,"",SER_hh_tes!H4/SER_hh_fec!H4)</f>
        <v>0.62114144708867913</v>
      </c>
      <c r="I4" s="136">
        <f>IF(SER_hh_tes!I4=0,"",SER_hh_tes!I4/SER_hh_fec!I4)</f>
        <v>0.63109109044272149</v>
      </c>
      <c r="J4" s="136">
        <f>IF(SER_hh_tes!J4=0,"",SER_hh_tes!J4/SER_hh_fec!J4)</f>
        <v>0.63440177078950288</v>
      </c>
      <c r="K4" s="136">
        <f>IF(SER_hh_tes!K4=0,"",SER_hh_tes!K4/SER_hh_fec!K4)</f>
        <v>0.64670560178251713</v>
      </c>
      <c r="L4" s="136">
        <f>IF(SER_hh_tes!L4=0,"",SER_hh_tes!L4/SER_hh_fec!L4)</f>
        <v>0.65814632142294038</v>
      </c>
      <c r="M4" s="136">
        <f>IF(SER_hh_tes!M4=0,"",SER_hh_tes!M4/SER_hh_fec!M4)</f>
        <v>0.66493308830885234</v>
      </c>
      <c r="N4" s="136">
        <f>IF(SER_hh_tes!N4=0,"",SER_hh_tes!N4/SER_hh_fec!N4)</f>
        <v>0.67551076586130154</v>
      </c>
      <c r="O4" s="136">
        <f>IF(SER_hh_tes!O4=0,"",SER_hh_tes!O4/SER_hh_fec!O4)</f>
        <v>0.68673012307452697</v>
      </c>
      <c r="P4" s="136">
        <f>IF(SER_hh_tes!P4=0,"",SER_hh_tes!P4/SER_hh_fec!P4)</f>
        <v>0.69050034942209071</v>
      </c>
      <c r="Q4" s="136">
        <f>IF(SER_hh_tes!Q4=0,"",SER_hh_tes!Q4/SER_hh_fec!Q4)</f>
        <v>0.6959811061827611</v>
      </c>
      <c r="R4" s="136">
        <f>IF(SER_hh_tes!R4=0,"",SER_hh_tes!R4/SER_hh_fec!R4)</f>
        <v>0.70531402683019384</v>
      </c>
      <c r="S4" s="136">
        <f>IF(SER_hh_tes!S4=0,"",SER_hh_tes!S4/SER_hh_fec!S4)</f>
        <v>0.71488007848268631</v>
      </c>
      <c r="T4" s="136">
        <f>IF(SER_hh_tes!T4=0,"",SER_hh_tes!T4/SER_hh_fec!T4)</f>
        <v>0.72897759316074762</v>
      </c>
      <c r="U4" s="136">
        <f>IF(SER_hh_tes!U4=0,"",SER_hh_tes!U4/SER_hh_fec!U4)</f>
        <v>0.73789792322030079</v>
      </c>
      <c r="V4" s="136">
        <f>IF(SER_hh_tes!V4=0,"",SER_hh_tes!V4/SER_hh_fec!V4)</f>
        <v>0.75126682956116009</v>
      </c>
      <c r="W4" s="136">
        <f>IF(SER_hh_tes!W4=0,"",SER_hh_tes!W4/SER_hh_fec!W4)</f>
        <v>0.76473056942686912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0.50810078609287956</v>
      </c>
      <c r="C5" s="137">
        <f>IF(SER_hh_tes!C5=0,"",SER_hh_tes!C5/SER_hh_fec!C5)</f>
        <v>0.50810078609287956</v>
      </c>
      <c r="D5" s="137">
        <f>IF(SER_hh_tes!D5=0,"",SER_hh_tes!D5/SER_hh_fec!D5)</f>
        <v>0.50810078609287956</v>
      </c>
      <c r="E5" s="137">
        <f>IF(SER_hh_tes!E5=0,"",SER_hh_tes!E5/SER_hh_fec!E5)</f>
        <v>0.51702401961946876</v>
      </c>
      <c r="F5" s="137">
        <f>IF(SER_hh_tes!F5=0,"",SER_hh_tes!F5/SER_hh_fec!F5)</f>
        <v>0.52537293140208852</v>
      </c>
      <c r="G5" s="137">
        <f>IF(SER_hh_tes!G5=0,"",SER_hh_tes!G5/SER_hh_fec!G5)</f>
        <v>0.52709611338019835</v>
      </c>
      <c r="H5" s="137">
        <f>IF(SER_hh_tes!H5=0,"",SER_hh_tes!H5/SER_hh_fec!H5)</f>
        <v>0.52709611338019824</v>
      </c>
      <c r="I5" s="137">
        <f>IF(SER_hh_tes!I5=0,"",SER_hh_tes!I5/SER_hh_fec!I5)</f>
        <v>0.52709611338019824</v>
      </c>
      <c r="J5" s="137">
        <f>IF(SER_hh_tes!J5=0,"",SER_hh_tes!J5/SER_hh_fec!J5)</f>
        <v>0.52709611338019835</v>
      </c>
      <c r="K5" s="137">
        <f>IF(SER_hh_tes!K5=0,"",SER_hh_tes!K5/SER_hh_fec!K5)</f>
        <v>0.52709611338019813</v>
      </c>
      <c r="L5" s="137">
        <f>IF(SER_hh_tes!L5=0,"",SER_hh_tes!L5/SER_hh_fec!L5)</f>
        <v>0.52709611338019824</v>
      </c>
      <c r="M5" s="137">
        <f>IF(SER_hh_tes!M5=0,"",SER_hh_tes!M5/SER_hh_fec!M5)</f>
        <v>0.52709611338019813</v>
      </c>
      <c r="N5" s="137">
        <f>IF(SER_hh_tes!N5=0,"",SER_hh_tes!N5/SER_hh_fec!N5)</f>
        <v>0.56566419942880708</v>
      </c>
      <c r="O5" s="137">
        <f>IF(SER_hh_tes!O5=0,"",SER_hh_tes!O5/SER_hh_fec!O5)</f>
        <v>0.63636670141932383</v>
      </c>
      <c r="P5" s="137">
        <f>IF(SER_hh_tes!P5=0,"",SER_hh_tes!P5/SER_hh_fec!P5)</f>
        <v>0.63652719732459184</v>
      </c>
      <c r="Q5" s="137">
        <f>IF(SER_hh_tes!Q5=0,"",SER_hh_tes!Q5/SER_hh_fec!Q5)</f>
        <v>0.63650215385623266</v>
      </c>
      <c r="R5" s="137">
        <f>IF(SER_hh_tes!R5=0,"",SER_hh_tes!R5/SER_hh_fec!R5)</f>
        <v>0.63701243799813123</v>
      </c>
      <c r="S5" s="137">
        <f>IF(SER_hh_tes!S5=0,"",SER_hh_tes!S5/SER_hh_fec!S5)</f>
        <v>0.6369126127943493</v>
      </c>
      <c r="T5" s="137">
        <f>IF(SER_hh_tes!T5=0,"",SER_hh_tes!T5/SER_hh_fec!T5)</f>
        <v>0.63691261279435041</v>
      </c>
      <c r="U5" s="137">
        <f>IF(SER_hh_tes!U5=0,"",SER_hh_tes!U5/SER_hh_fec!U5)</f>
        <v>0.64749535143389769</v>
      </c>
      <c r="V5" s="137">
        <f>IF(SER_hh_tes!V5=0,"",SER_hh_tes!V5/SER_hh_fec!V5)</f>
        <v>0.65680127440299618</v>
      </c>
      <c r="W5" s="137">
        <f>IF(SER_hh_tes!W5=0,"",SER_hh_tes!W5/SER_hh_fec!W5)</f>
        <v>0.6579987403142411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0.43978356723576562</v>
      </c>
      <c r="C7" s="137">
        <f>IF(SER_hh_tes!C7=0,"",SER_hh_tes!C7/SER_hh_fec!C7)</f>
        <v>0.45836867639776696</v>
      </c>
      <c r="D7" s="137">
        <f>IF(SER_hh_tes!D7=0,"",SER_hh_tes!D7/SER_hh_fec!D7)</f>
        <v>0.47990026259762208</v>
      </c>
      <c r="E7" s="137">
        <f>IF(SER_hh_tes!E7=0,"",SER_hh_tes!E7/SER_hh_fec!E7)</f>
        <v>0.48685996504301804</v>
      </c>
      <c r="F7" s="137">
        <f>IF(SER_hh_tes!F7=0,"",SER_hh_tes!F7/SER_hh_fec!F7)</f>
        <v>0.49458985869667799</v>
      </c>
      <c r="G7" s="137">
        <f>IF(SER_hh_tes!G7=0,"",SER_hh_tes!G7/SER_hh_fec!G7)</f>
        <v>0.4988941824961754</v>
      </c>
      <c r="H7" s="137">
        <f>IF(SER_hh_tes!H7=0,"",SER_hh_tes!H7/SER_hh_fec!H7)</f>
        <v>0.50515549185927489</v>
      </c>
      <c r="I7" s="137">
        <f>IF(SER_hh_tes!I7=0,"",SER_hh_tes!I7/SER_hh_fec!I7)</f>
        <v>0.50932089702575212</v>
      </c>
      <c r="J7" s="137">
        <f>IF(SER_hh_tes!J7=0,"",SER_hh_tes!J7/SER_hh_fec!J7)</f>
        <v>0.51245636889223445</v>
      </c>
      <c r="K7" s="137">
        <f>IF(SER_hh_tes!K7=0,"",SER_hh_tes!K7/SER_hh_fec!K7)</f>
        <v>0.51392989143105994</v>
      </c>
      <c r="L7" s="137">
        <f>IF(SER_hh_tes!L7=0,"",SER_hh_tes!L7/SER_hh_fec!L7)</f>
        <v>0.51871243136334122</v>
      </c>
      <c r="M7" s="137">
        <f>IF(SER_hh_tes!M7=0,"",SER_hh_tes!M7/SER_hh_fec!M7)</f>
        <v>0.52410547419080267</v>
      </c>
      <c r="N7" s="137">
        <f>IF(SER_hh_tes!N7=0,"",SER_hh_tes!N7/SER_hh_fec!N7)</f>
        <v>0.53580797097338229</v>
      </c>
      <c r="O7" s="137">
        <f>IF(SER_hh_tes!O7=0,"",SER_hh_tes!O7/SER_hh_fec!O7)</f>
        <v>0.54301364490625947</v>
      </c>
      <c r="P7" s="137">
        <f>IF(SER_hh_tes!P7=0,"",SER_hh_tes!P7/SER_hh_fec!P7)</f>
        <v>0.55302417159281814</v>
      </c>
      <c r="Q7" s="137">
        <f>IF(SER_hh_tes!Q7=0,"",SER_hh_tes!Q7/SER_hh_fec!Q7)</f>
        <v>0.57721396217869481</v>
      </c>
      <c r="R7" s="137">
        <f>IF(SER_hh_tes!R7=0,"",SER_hh_tes!R7/SER_hh_fec!R7)</f>
        <v>0.59042808691416815</v>
      </c>
      <c r="S7" s="137">
        <f>IF(SER_hh_tes!S7=0,"",SER_hh_tes!S7/SER_hh_fec!S7)</f>
        <v>0.60066540431624038</v>
      </c>
      <c r="T7" s="137">
        <f>IF(SER_hh_tes!T7=0,"",SER_hh_tes!T7/SER_hh_fec!T7)</f>
        <v>0.60867292929487049</v>
      </c>
      <c r="U7" s="137">
        <f>IF(SER_hh_tes!U7=0,"",SER_hh_tes!U7/SER_hh_fec!U7)</f>
        <v>0.61719669824647283</v>
      </c>
      <c r="V7" s="137">
        <f>IF(SER_hh_tes!V7=0,"",SER_hh_tes!V7/SER_hh_fec!V7)</f>
        <v>0.63146227495327689</v>
      </c>
      <c r="W7" s="137">
        <f>IF(SER_hh_tes!W7=0,"",SER_hh_tes!W7/SER_hh_fec!W7)</f>
        <v>0.64135249515696657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>
        <f>IF(SER_hh_tes!G8=0,"",SER_hh_tes!G8/SER_hh_fec!G8)</f>
        <v>1.9994551974964674</v>
      </c>
      <c r="H8" s="137">
        <f>IF(SER_hh_tes!H8=0,"",SER_hh_tes!H8/SER_hh_fec!H8)</f>
        <v>2.0722915982683285</v>
      </c>
      <c r="I8" s="137">
        <f>IF(SER_hh_tes!I8=0,"",SER_hh_tes!I8/SER_hh_fec!I8)</f>
        <v>2.1600996969188158</v>
      </c>
      <c r="J8" s="137">
        <f>IF(SER_hh_tes!J8=0,"",SER_hh_tes!J8/SER_hh_fec!J8)</f>
        <v>2.2397682725637691</v>
      </c>
      <c r="K8" s="137">
        <f>IF(SER_hh_tes!K8=0,"",SER_hh_tes!K8/SER_hh_fec!K8)</f>
        <v>2.3253081008466299</v>
      </c>
      <c r="L8" s="137">
        <f>IF(SER_hh_tes!L8=0,"",SER_hh_tes!L8/SER_hh_fec!L8)</f>
        <v>2.4138463423347853</v>
      </c>
      <c r="M8" s="137">
        <f>IF(SER_hh_tes!M8=0,"",SER_hh_tes!M8/SER_hh_fec!M8)</f>
        <v>2.5546443764630409</v>
      </c>
      <c r="N8" s="137">
        <f>IF(SER_hh_tes!N8=0,"",SER_hh_tes!N8/SER_hh_fec!N8)</f>
        <v>2.7244030026488595</v>
      </c>
      <c r="O8" s="137">
        <f>IF(SER_hh_tes!O8=0,"",SER_hh_tes!O8/SER_hh_fec!O8)</f>
        <v>2.8899602187389744</v>
      </c>
      <c r="P8" s="137">
        <f>IF(SER_hh_tes!P8=0,"",SER_hh_tes!P8/SER_hh_fec!P8)</f>
        <v>3.0217640282925466</v>
      </c>
      <c r="Q8" s="137">
        <f>IF(SER_hh_tes!Q8=0,"",SER_hh_tes!Q8/SER_hh_fec!Q8)</f>
        <v>3.1026027443953779</v>
      </c>
      <c r="R8" s="137">
        <f>IF(SER_hh_tes!R8=0,"",SER_hh_tes!R8/SER_hh_fec!R8)</f>
        <v>3.1547727371613519</v>
      </c>
      <c r="S8" s="137">
        <f>IF(SER_hh_tes!S8=0,"",SER_hh_tes!S8/SER_hh_fec!S8)</f>
        <v>3.1971876539049715</v>
      </c>
      <c r="T8" s="137">
        <f>IF(SER_hh_tes!T8=0,"",SER_hh_tes!T8/SER_hh_fec!T8)</f>
        <v>3.2556627810069134</v>
      </c>
      <c r="U8" s="137">
        <f>IF(SER_hh_tes!U8=0,"",SER_hh_tes!U8/SER_hh_fec!U8)</f>
        <v>3.3209268624875059</v>
      </c>
      <c r="V8" s="137">
        <f>IF(SER_hh_tes!V8=0,"",SER_hh_tes!V8/SER_hh_fec!V8)</f>
        <v>3.3888703289082183</v>
      </c>
      <c r="W8" s="137">
        <f>IF(SER_hh_tes!W8=0,"",SER_hh_tes!W8/SER_hh_fec!W8)</f>
        <v>3.4425754185450796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0.48341552667561716</v>
      </c>
      <c r="C9" s="137">
        <f>IF(SER_hh_tes!C9=0,"",SER_hh_tes!C9/SER_hh_fec!C9)</f>
        <v>0.4942739213025123</v>
      </c>
      <c r="D9" s="137">
        <f>IF(SER_hh_tes!D9=0,"",SER_hh_tes!D9/SER_hh_fec!D9)</f>
        <v>0.50466674189604221</v>
      </c>
      <c r="E9" s="137">
        <f>IF(SER_hh_tes!E9=0,"",SER_hh_tes!E9/SER_hh_fec!E9)</f>
        <v>0.51482677405584787</v>
      </c>
      <c r="F9" s="137">
        <f>IF(SER_hh_tes!F9=0,"",SER_hh_tes!F9/SER_hh_fec!F9)</f>
        <v>0.52641874122552668</v>
      </c>
      <c r="G9" s="137">
        <f>IF(SER_hh_tes!G9=0,"",SER_hh_tes!G9/SER_hh_fec!G9)</f>
        <v>0.54172538759865785</v>
      </c>
      <c r="H9" s="137">
        <f>IF(SER_hh_tes!H9=0,"",SER_hh_tes!H9/SER_hh_fec!H9)</f>
        <v>0.5541075388148623</v>
      </c>
      <c r="I9" s="137">
        <f>IF(SER_hh_tes!I9=0,"",SER_hh_tes!I9/SER_hh_fec!I9)</f>
        <v>0.56570135458663551</v>
      </c>
      <c r="J9" s="137">
        <f>IF(SER_hh_tes!J9=0,"",SER_hh_tes!J9/SER_hh_fec!J9)</f>
        <v>0.57470888177963253</v>
      </c>
      <c r="K9" s="137">
        <f>IF(SER_hh_tes!K9=0,"",SER_hh_tes!K9/SER_hh_fec!K9)</f>
        <v>0.57948890321687685</v>
      </c>
      <c r="L9" s="137">
        <f>IF(SER_hh_tes!L9=0,"",SER_hh_tes!L9/SER_hh_fec!L9)</f>
        <v>0.58763913240143828</v>
      </c>
      <c r="M9" s="137">
        <f>IF(SER_hh_tes!M9=0,"",SER_hh_tes!M9/SER_hh_fec!M9)</f>
        <v>0.59771388352860699</v>
      </c>
      <c r="N9" s="137">
        <f>IF(SER_hh_tes!N9=0,"",SER_hh_tes!N9/SER_hh_fec!N9)</f>
        <v>0.60829903926935358</v>
      </c>
      <c r="O9" s="137">
        <f>IF(SER_hh_tes!O9=0,"",SER_hh_tes!O9/SER_hh_fec!O9)</f>
        <v>0.61930041107902301</v>
      </c>
      <c r="P9" s="137">
        <f>IF(SER_hh_tes!P9=0,"",SER_hh_tes!P9/SER_hh_fec!P9)</f>
        <v>0.62492900343450875</v>
      </c>
      <c r="Q9" s="137">
        <f>IF(SER_hh_tes!Q9=0,"",SER_hh_tes!Q9/SER_hh_fec!Q9)</f>
        <v>0.63342494750403566</v>
      </c>
      <c r="R9" s="137">
        <f>IF(SER_hh_tes!R9=0,"",SER_hh_tes!R9/SER_hh_fec!R9)</f>
        <v>0.64226031029083241</v>
      </c>
      <c r="S9" s="137">
        <f>IF(SER_hh_tes!S9=0,"",SER_hh_tes!S9/SER_hh_fec!S9)</f>
        <v>0.6547598723450877</v>
      </c>
      <c r="T9" s="137">
        <f>IF(SER_hh_tes!T9=0,"",SER_hh_tes!T9/SER_hh_fec!T9)</f>
        <v>0.66643506153652421</v>
      </c>
      <c r="U9" s="137">
        <f>IF(SER_hh_tes!U9=0,"",SER_hh_tes!U9/SER_hh_fec!U9)</f>
        <v>0.67912998802399072</v>
      </c>
      <c r="V9" s="137">
        <f>IF(SER_hh_tes!V9=0,"",SER_hh_tes!V9/SER_hh_fec!V9)</f>
        <v>0.69189547588012656</v>
      </c>
      <c r="W9" s="137">
        <f>IF(SER_hh_tes!W9=0,"",SER_hh_tes!W9/SER_hh_fec!W9)</f>
        <v>0.70441357762061274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0.43414604126792505</v>
      </c>
      <c r="C10" s="137">
        <f>IF(SER_hh_tes!C10=0,"",SER_hh_tes!C10/SER_hh_fec!C10)</f>
        <v>0.45997837738869196</v>
      </c>
      <c r="D10" s="137">
        <f>IF(SER_hh_tes!D10=0,"",SER_hh_tes!D10/SER_hh_fec!D10)</f>
        <v>0.47728980349833594</v>
      </c>
      <c r="E10" s="137">
        <f>IF(SER_hh_tes!E10=0,"",SER_hh_tes!E10/SER_hh_fec!E10)</f>
        <v>0.4909397483330355</v>
      </c>
      <c r="F10" s="137">
        <f>IF(SER_hh_tes!F10=0,"",SER_hh_tes!F10/SER_hh_fec!F10)</f>
        <v>0.50009368997882298</v>
      </c>
      <c r="G10" s="137">
        <f>IF(SER_hh_tes!G10=0,"",SER_hh_tes!G10/SER_hh_fec!G10)</f>
        <v>0.50810459855027179</v>
      </c>
      <c r="H10" s="137">
        <f>IF(SER_hh_tes!H10=0,"",SER_hh_tes!H10/SER_hh_fec!H10)</f>
        <v>0.51280592664840974</v>
      </c>
      <c r="I10" s="137">
        <f>IF(SER_hh_tes!I10=0,"",SER_hh_tes!I10/SER_hh_fec!I10)</f>
        <v>0.51652963417170461</v>
      </c>
      <c r="J10" s="137">
        <f>IF(SER_hh_tes!J10=0,"",SER_hh_tes!J10/SER_hh_fec!J10)</f>
        <v>0.51909268733032754</v>
      </c>
      <c r="K10" s="137">
        <f>IF(SER_hh_tes!K10=0,"",SER_hh_tes!K10/SER_hh_fec!K10)</f>
        <v>0.52165492445727213</v>
      </c>
      <c r="L10" s="137">
        <f>IF(SER_hh_tes!L10=0,"",SER_hh_tes!L10/SER_hh_fec!L10)</f>
        <v>0.5244056652000737</v>
      </c>
      <c r="M10" s="137">
        <f>IF(SER_hh_tes!M10=0,"",SER_hh_tes!M10/SER_hh_fec!M10)</f>
        <v>0.52692589152220426</v>
      </c>
      <c r="N10" s="137">
        <f>IF(SER_hh_tes!N10=0,"",SER_hh_tes!N10/SER_hh_fec!N10)</f>
        <v>0.52900155997756659</v>
      </c>
      <c r="O10" s="137">
        <f>IF(SER_hh_tes!O10=0,"",SER_hh_tes!O10/SER_hh_fec!O10)</f>
        <v>0.53045683755344342</v>
      </c>
      <c r="P10" s="137">
        <f>IF(SER_hh_tes!P10=0,"",SER_hh_tes!P10/SER_hh_fec!P10)</f>
        <v>0.53063075679289562</v>
      </c>
      <c r="Q10" s="137">
        <f>IF(SER_hh_tes!Q10=0,"",SER_hh_tes!Q10/SER_hh_fec!Q10)</f>
        <v>0.53079370569461115</v>
      </c>
      <c r="R10" s="137">
        <f>IF(SER_hh_tes!R10=0,"",SER_hh_tes!R10/SER_hh_fec!R10)</f>
        <v>0.53091366559749731</v>
      </c>
      <c r="S10" s="137">
        <f>IF(SER_hh_tes!S10=0,"",SER_hh_tes!S10/SER_hh_fec!S10)</f>
        <v>0.53107064798129844</v>
      </c>
      <c r="T10" s="137">
        <f>IF(SER_hh_tes!T10=0,"",SER_hh_tes!T10/SER_hh_fec!T10)</f>
        <v>0.53129085575747192</v>
      </c>
      <c r="U10" s="137">
        <f>IF(SER_hh_tes!U10=0,"",SER_hh_tes!U10/SER_hh_fec!U10)</f>
        <v>0.53154556147061427</v>
      </c>
      <c r="V10" s="137">
        <f>IF(SER_hh_tes!V10=0,"",SER_hh_tes!V10/SER_hh_fec!V10)</f>
        <v>0.53180932194735897</v>
      </c>
      <c r="W10" s="137">
        <f>IF(SER_hh_tes!W10=0,"",SER_hh_tes!W10/SER_hh_fec!W10)</f>
        <v>0.53207070358603159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0.75174334968926815</v>
      </c>
      <c r="C12" s="137">
        <f>IF(SER_hh_tes!C12=0,"",SER_hh_tes!C12/SER_hh_fec!C12)</f>
        <v>0.75434975364766876</v>
      </c>
      <c r="D12" s="137">
        <f>IF(SER_hh_tes!D12=0,"",SER_hh_tes!D12/SER_hh_fec!D12)</f>
        <v>0.75603153255575906</v>
      </c>
      <c r="E12" s="137">
        <f>IF(SER_hh_tes!E12=0,"",SER_hh_tes!E12/SER_hh_fec!E12)</f>
        <v>0.75823661514701901</v>
      </c>
      <c r="F12" s="137">
        <f>IF(SER_hh_tes!F12=0,"",SER_hh_tes!F12/SER_hh_fec!F12)</f>
        <v>0.76139775600022119</v>
      </c>
      <c r="G12" s="137">
        <f>IF(SER_hh_tes!G12=0,"",SER_hh_tes!G12/SER_hh_fec!G12)</f>
        <v>0.76425129051760576</v>
      </c>
      <c r="H12" s="137">
        <f>IF(SER_hh_tes!H12=0,"",SER_hh_tes!H12/SER_hh_fec!H12)</f>
        <v>0.76637005587896501</v>
      </c>
      <c r="I12" s="137">
        <f>IF(SER_hh_tes!I12=0,"",SER_hh_tes!I12/SER_hh_fec!I12)</f>
        <v>0.76846864617196653</v>
      </c>
      <c r="J12" s="137">
        <f>IF(SER_hh_tes!J12=0,"",SER_hh_tes!J12/SER_hh_fec!J12)</f>
        <v>0.77120042990953042</v>
      </c>
      <c r="K12" s="137">
        <f>IF(SER_hh_tes!K12=0,"",SER_hh_tes!K12/SER_hh_fec!K12)</f>
        <v>0.77544042204456065</v>
      </c>
      <c r="L12" s="137">
        <f>IF(SER_hh_tes!L12=0,"",SER_hh_tes!L12/SER_hh_fec!L12)</f>
        <v>0.78018329222678029</v>
      </c>
      <c r="M12" s="137">
        <f>IF(SER_hh_tes!M12=0,"",SER_hh_tes!M12/SER_hh_fec!M12)</f>
        <v>0.78451683050083854</v>
      </c>
      <c r="N12" s="137">
        <f>IF(SER_hh_tes!N12=0,"",SER_hh_tes!N12/SER_hh_fec!N12)</f>
        <v>0.78902584130432607</v>
      </c>
      <c r="O12" s="137">
        <f>IF(SER_hh_tes!O12=0,"",SER_hh_tes!O12/SER_hh_fec!O12)</f>
        <v>0.79313271335449653</v>
      </c>
      <c r="P12" s="137">
        <f>IF(SER_hh_tes!P12=0,"",SER_hh_tes!P12/SER_hh_fec!P12)</f>
        <v>0.79463505320552719</v>
      </c>
      <c r="Q12" s="137">
        <f>IF(SER_hh_tes!Q12=0,"",SER_hh_tes!Q12/SER_hh_fec!Q12)</f>
        <v>0.79680067048651104</v>
      </c>
      <c r="R12" s="137">
        <f>IF(SER_hh_tes!R12=0,"",SER_hh_tes!R12/SER_hh_fec!R12)</f>
        <v>0.7997769128453277</v>
      </c>
      <c r="S12" s="137">
        <f>IF(SER_hh_tes!S12=0,"",SER_hh_tes!S12/SER_hh_fec!S12)</f>
        <v>0.80336474962518079</v>
      </c>
      <c r="T12" s="137">
        <f>IF(SER_hh_tes!T12=0,"",SER_hh_tes!T12/SER_hh_fec!T12)</f>
        <v>0.80727639083312763</v>
      </c>
      <c r="U12" s="137">
        <f>IF(SER_hh_tes!U12=0,"",SER_hh_tes!U12/SER_hh_fec!U12)</f>
        <v>0.81132771848800034</v>
      </c>
      <c r="V12" s="137">
        <f>IF(SER_hh_tes!V12=0,"",SER_hh_tes!V12/SER_hh_fec!V12)</f>
        <v>0.8162197259168279</v>
      </c>
      <c r="W12" s="137">
        <f>IF(SER_hh_tes!W12=0,"",SER_hh_tes!W12/SER_hh_fec!W12)</f>
        <v>0.82185130686464181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1.3069920152155228</v>
      </c>
      <c r="C13" s="137">
        <f>IF(SER_hh_tes!C13=0,"",SER_hh_tes!C13/SER_hh_fec!C13)</f>
        <v>1.3289209643042861</v>
      </c>
      <c r="D13" s="137">
        <f>IF(SER_hh_tes!D13=0,"",SER_hh_tes!D13/SER_hh_fec!D13)</f>
        <v>1.3882655622157056</v>
      </c>
      <c r="E13" s="137">
        <f>IF(SER_hh_tes!E13=0,"",SER_hh_tes!E13/SER_hh_fec!E13)</f>
        <v>1.4462888115941943</v>
      </c>
      <c r="F13" s="137">
        <f>IF(SER_hh_tes!F13=0,"",SER_hh_tes!F13/SER_hh_fec!F13)</f>
        <v>1.5172148952966098</v>
      </c>
      <c r="G13" s="137">
        <f>IF(SER_hh_tes!G13=0,"",SER_hh_tes!G13/SER_hh_fec!G13)</f>
        <v>1.5977289226824727</v>
      </c>
      <c r="H13" s="137">
        <f>IF(SER_hh_tes!H13=0,"",SER_hh_tes!H13/SER_hh_fec!H13)</f>
        <v>1.6829330756854832</v>
      </c>
      <c r="I13" s="137">
        <f>IF(SER_hh_tes!I13=0,"",SER_hh_tes!I13/SER_hh_fec!I13)</f>
        <v>1.7718207666146599</v>
      </c>
      <c r="J13" s="137">
        <f>IF(SER_hh_tes!J13=0,"",SER_hh_tes!J13/SER_hh_fec!J13)</f>
        <v>1.8470356926570848</v>
      </c>
      <c r="K13" s="137">
        <f>IF(SER_hh_tes!K13=0,"",SER_hh_tes!K13/SER_hh_fec!K13)</f>
        <v>1.9364072290491214</v>
      </c>
      <c r="L13" s="137">
        <f>IF(SER_hh_tes!L13=0,"",SER_hh_tes!L13/SER_hh_fec!L13)</f>
        <v>2.0168948643939664</v>
      </c>
      <c r="M13" s="137">
        <f>IF(SER_hh_tes!M13=0,"",SER_hh_tes!M13/SER_hh_fec!M13)</f>
        <v>2.1195408661588417</v>
      </c>
      <c r="N13" s="137">
        <f>IF(SER_hh_tes!N13=0,"",SER_hh_tes!N13/SER_hh_fec!N13)</f>
        <v>2.2304008282037366</v>
      </c>
      <c r="O13" s="137">
        <f>IF(SER_hh_tes!O13=0,"",SER_hh_tes!O13/SER_hh_fec!O13)</f>
        <v>2.3451406883287884</v>
      </c>
      <c r="P13" s="137">
        <f>IF(SER_hh_tes!P13=0,"",SER_hh_tes!P13/SER_hh_fec!P13)</f>
        <v>2.4558970045599762</v>
      </c>
      <c r="Q13" s="137">
        <f>IF(SER_hh_tes!Q13=0,"",SER_hh_tes!Q13/SER_hh_fec!Q13)</f>
        <v>2.5676359095970889</v>
      </c>
      <c r="R13" s="137">
        <f>IF(SER_hh_tes!R13=0,"",SER_hh_tes!R13/SER_hh_fec!R13)</f>
        <v>2.6897996877436556</v>
      </c>
      <c r="S13" s="137">
        <f>IF(SER_hh_tes!S13=0,"",SER_hh_tes!S13/SER_hh_fec!S13)</f>
        <v>2.8226482621026747</v>
      </c>
      <c r="T13" s="137">
        <f>IF(SER_hh_tes!T13=0,"",SER_hh_tes!T13/SER_hh_fec!T13)</f>
        <v>2.9642902832563278</v>
      </c>
      <c r="U13" s="137">
        <f>IF(SER_hh_tes!U13=0,"",SER_hh_tes!U13/SER_hh_fec!U13)</f>
        <v>3.0910602915159218</v>
      </c>
      <c r="V13" s="137">
        <f>IF(SER_hh_tes!V13=0,"",SER_hh_tes!V13/SER_hh_fec!V13)</f>
        <v>3.2083069131978297</v>
      </c>
      <c r="W13" s="137">
        <f>IF(SER_hh_tes!W13=0,"",SER_hh_tes!W13/SER_hh_fec!W13)</f>
        <v>3.2971856492467682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0.6679163506511947</v>
      </c>
      <c r="C14" s="138">
        <f>IF(SER_hh_tes!C14=0,"",SER_hh_tes!C14/SER_hh_fec!C14)</f>
        <v>0.67078226708693034</v>
      </c>
      <c r="D14" s="138">
        <f>IF(SER_hh_tes!D14=0,"",SER_hh_tes!D14/SER_hh_fec!D14)</f>
        <v>0.67273318146173033</v>
      </c>
      <c r="E14" s="138">
        <f>IF(SER_hh_tes!E14=0,"",SER_hh_tes!E14/SER_hh_fec!E14)</f>
        <v>0.67437060209613486</v>
      </c>
      <c r="F14" s="138">
        <f>IF(SER_hh_tes!F14=0,"",SER_hh_tes!F14/SER_hh_fec!F14)</f>
        <v>0.67495105458500393</v>
      </c>
      <c r="G14" s="138">
        <f>IF(SER_hh_tes!G14=0,"",SER_hh_tes!G14/SER_hh_fec!G14)</f>
        <v>0.67828053741058092</v>
      </c>
      <c r="H14" s="138">
        <f>IF(SER_hh_tes!H14=0,"",SER_hh_tes!H14/SER_hh_fec!H14)</f>
        <v>0.68439837927944713</v>
      </c>
      <c r="I14" s="138">
        <f>IF(SER_hh_tes!I14=0,"",SER_hh_tes!I14/SER_hh_fec!I14)</f>
        <v>0.69169672551243278</v>
      </c>
      <c r="J14" s="138">
        <f>IF(SER_hh_tes!J14=0,"",SER_hh_tes!J14/SER_hh_fec!J14)</f>
        <v>0.69765799042711674</v>
      </c>
      <c r="K14" s="138">
        <f>IF(SER_hh_tes!K14=0,"",SER_hh_tes!K14/SER_hh_fec!K14)</f>
        <v>0.70338801101800719</v>
      </c>
      <c r="L14" s="138">
        <f>IF(SER_hh_tes!L14=0,"",SER_hh_tes!L14/SER_hh_fec!L14)</f>
        <v>0.7085462211236343</v>
      </c>
      <c r="M14" s="138">
        <f>IF(SER_hh_tes!M14=0,"",SER_hh_tes!M14/SER_hh_fec!M14)</f>
        <v>0.71459723470881453</v>
      </c>
      <c r="N14" s="138">
        <f>IF(SER_hh_tes!N14=0,"",SER_hh_tes!N14/SER_hh_fec!N14)</f>
        <v>0.72213844732653865</v>
      </c>
      <c r="O14" s="138">
        <f>IF(SER_hh_tes!O14=0,"",SER_hh_tes!O14/SER_hh_fec!O14)</f>
        <v>0.72991497541110506</v>
      </c>
      <c r="P14" s="138">
        <f>IF(SER_hh_tes!P14=0,"",SER_hh_tes!P14/SER_hh_fec!P14)</f>
        <v>0.73207604217762434</v>
      </c>
      <c r="Q14" s="138">
        <f>IF(SER_hh_tes!Q14=0,"",SER_hh_tes!Q14/SER_hh_fec!Q14)</f>
        <v>0.73553677104863358</v>
      </c>
      <c r="R14" s="138">
        <f>IF(SER_hh_tes!R14=0,"",SER_hh_tes!R14/SER_hh_fec!R14)</f>
        <v>0.74169006647121472</v>
      </c>
      <c r="S14" s="138">
        <f>IF(SER_hh_tes!S14=0,"",SER_hh_tes!S14/SER_hh_fec!S14)</f>
        <v>0.74999349166955287</v>
      </c>
      <c r="T14" s="138">
        <f>IF(SER_hh_tes!T14=0,"",SER_hh_tes!T14/SER_hh_fec!T14)</f>
        <v>0.75904038040360144</v>
      </c>
      <c r="U14" s="138">
        <f>IF(SER_hh_tes!U14=0,"",SER_hh_tes!U14/SER_hh_fec!U14)</f>
        <v>0.76761175867184794</v>
      </c>
      <c r="V14" s="138">
        <f>IF(SER_hh_tes!V14=0,"",SER_hh_tes!V14/SER_hh_fec!V14)</f>
        <v>0.77633329098516002</v>
      </c>
      <c r="W14" s="138">
        <f>IF(SER_hh_tes!W14=0,"",SER_hh_tes!W14/SER_hh_fec!W14)</f>
        <v>0.78494713953724937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1.7741495046496201</v>
      </c>
      <c r="C16" s="136">
        <f>IF(SER_hh_tes!C16=0,"",SER_hh_tes!C16/SER_hh_fec!C16)</f>
        <v>1.8601839440306136</v>
      </c>
      <c r="D16" s="136">
        <f>IF(SER_hh_tes!D16=0,"",SER_hh_tes!D16/SER_hh_fec!D16)</f>
        <v>1.992928886818206</v>
      </c>
      <c r="E16" s="136">
        <f>IF(SER_hh_tes!E16=0,"",SER_hh_tes!E16/SER_hh_fec!E16)</f>
        <v>2.0797669625337192</v>
      </c>
      <c r="F16" s="136">
        <f>IF(SER_hh_tes!F16=0,"",SER_hh_tes!F16/SER_hh_fec!F16)</f>
        <v>2.1695469046114781</v>
      </c>
      <c r="G16" s="136">
        <f>IF(SER_hh_tes!G16=0,"",SER_hh_tes!G16/SER_hh_fec!G16)</f>
        <v>2.282705315132167</v>
      </c>
      <c r="H16" s="136">
        <f>IF(SER_hh_tes!H16=0,"",SER_hh_tes!H16/SER_hh_fec!H16)</f>
        <v>2.3890421946392233</v>
      </c>
      <c r="I16" s="136">
        <f>IF(SER_hh_tes!I16=0,"",SER_hh_tes!I16/SER_hh_fec!I16)</f>
        <v>2.4835900152728088</v>
      </c>
      <c r="J16" s="136">
        <f>IF(SER_hh_tes!J16=0,"",SER_hh_tes!J16/SER_hh_fec!J16)</f>
        <v>2.5723063793991159</v>
      </c>
      <c r="K16" s="136">
        <f>IF(SER_hh_tes!K16=0,"",SER_hh_tes!K16/SER_hh_fec!K16)</f>
        <v>2.6095502971795828</v>
      </c>
      <c r="L16" s="136">
        <f>IF(SER_hh_tes!L16=0,"",SER_hh_tes!L16/SER_hh_fec!L16)</f>
        <v>2.6611652865246667</v>
      </c>
      <c r="M16" s="136">
        <f>IF(SER_hh_tes!M16=0,"",SER_hh_tes!M16/SER_hh_fec!M16)</f>
        <v>2.7360720881051241</v>
      </c>
      <c r="N16" s="136">
        <f>IF(SER_hh_tes!N16=0,"",SER_hh_tes!N16/SER_hh_fec!N16)</f>
        <v>2.8089238410785997</v>
      </c>
      <c r="O16" s="136">
        <f>IF(SER_hh_tes!O16=0,"",SER_hh_tes!O16/SER_hh_fec!O16)</f>
        <v>2.8823963043948524</v>
      </c>
      <c r="P16" s="136">
        <f>IF(SER_hh_tes!P16=0,"",SER_hh_tes!P16/SER_hh_fec!P16)</f>
        <v>2.975211994523622</v>
      </c>
      <c r="Q16" s="136">
        <f>IF(SER_hh_tes!Q16=0,"",SER_hh_tes!Q16/SER_hh_fec!Q16)</f>
        <v>3.0883845397939043</v>
      </c>
      <c r="R16" s="136">
        <f>IF(SER_hh_tes!R16=0,"",SER_hh_tes!R16/SER_hh_fec!R16)</f>
        <v>3.1980042874384469</v>
      </c>
      <c r="S16" s="136">
        <f>IF(SER_hh_tes!S16=0,"",SER_hh_tes!S16/SER_hh_fec!S16)</f>
        <v>3.3003870221916616</v>
      </c>
      <c r="T16" s="136">
        <f>IF(SER_hh_tes!T16=0,"",SER_hh_tes!T16/SER_hh_fec!T16)</f>
        <v>3.3932859894985121</v>
      </c>
      <c r="U16" s="136">
        <f>IF(SER_hh_tes!U16=0,"",SER_hh_tes!U16/SER_hh_fec!U16)</f>
        <v>3.4801714355243196</v>
      </c>
      <c r="V16" s="136">
        <f>IF(SER_hh_tes!V16=0,"",SER_hh_tes!V16/SER_hh_fec!V16)</f>
        <v>3.5453319302269253</v>
      </c>
      <c r="W16" s="136">
        <f>IF(SER_hh_tes!W16=0,"",SER_hh_tes!W16/SER_hh_fec!W16)</f>
        <v>3.64045721817465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>
        <f>IF(SER_hh_tes!G17=0,"",SER_hh_tes!G17/SER_hh_fec!G17)</f>
        <v>1.2729967655208243</v>
      </c>
      <c r="H17" s="137">
        <f>IF(SER_hh_tes!H17=0,"",SER_hh_tes!H17/SER_hh_fec!H17)</f>
        <v>1.2732484753916691</v>
      </c>
      <c r="I17" s="137">
        <f>IF(SER_hh_tes!I17=0,"",SER_hh_tes!I17/SER_hh_fec!I17)</f>
        <v>1.2738383415314198</v>
      </c>
      <c r="J17" s="137">
        <f>IF(SER_hh_tes!J17=0,"",SER_hh_tes!J17/SER_hh_fec!J17)</f>
        <v>1.273980785779345</v>
      </c>
      <c r="K17" s="137">
        <f>IF(SER_hh_tes!K17=0,"",SER_hh_tes!K17/SER_hh_fec!K17)</f>
        <v>1.2748415986886783</v>
      </c>
      <c r="L17" s="137">
        <f>IF(SER_hh_tes!L17=0,"",SER_hh_tes!L17/SER_hh_fec!L17)</f>
        <v>1.2750325667458666</v>
      </c>
      <c r="M17" s="137">
        <f>IF(SER_hh_tes!M17=0,"",SER_hh_tes!M17/SER_hh_fec!M17)</f>
        <v>1.2762273571441276</v>
      </c>
      <c r="N17" s="137">
        <f>IF(SER_hh_tes!N17=0,"",SER_hh_tes!N17/SER_hh_fec!N17)</f>
        <v>1.2785880205794635</v>
      </c>
      <c r="O17" s="137">
        <f>IF(SER_hh_tes!O17=0,"",SER_hh_tes!O17/SER_hh_fec!O17)</f>
        <v>1.2886972040232918</v>
      </c>
      <c r="P17" s="137">
        <f>IF(SER_hh_tes!P17=0,"",SER_hh_tes!P17/SER_hh_fec!P17)</f>
        <v>1.3134481984250979</v>
      </c>
      <c r="Q17" s="137">
        <f>IF(SER_hh_tes!Q17=0,"",SER_hh_tes!Q17/SER_hh_fec!Q17)</f>
        <v>1.3455990523381993</v>
      </c>
      <c r="R17" s="137">
        <f>IF(SER_hh_tes!R17=0,"",SER_hh_tes!R17/SER_hh_fec!R17)</f>
        <v>1.3604007688301938</v>
      </c>
      <c r="S17" s="137">
        <f>IF(SER_hh_tes!S17=0,"",SER_hh_tes!S17/SER_hh_fec!S17)</f>
        <v>1.3783518639231112</v>
      </c>
      <c r="T17" s="137">
        <f>IF(SER_hh_tes!T17=0,"",SER_hh_tes!T17/SER_hh_fec!T17)</f>
        <v>1.3944826796759178</v>
      </c>
      <c r="U17" s="137">
        <f>IF(SER_hh_tes!U17=0,"",SER_hh_tes!U17/SER_hh_fec!U17)</f>
        <v>1.4112461935790419</v>
      </c>
      <c r="V17" s="137">
        <f>IF(SER_hh_tes!V17=0,"",SER_hh_tes!V17/SER_hh_fec!V17)</f>
        <v>1.4319648759611732</v>
      </c>
      <c r="W17" s="137">
        <f>IF(SER_hh_tes!W17=0,"",SER_hh_tes!W17/SER_hh_fec!W17)</f>
        <v>1.4518733403293209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1.7741495046496201</v>
      </c>
      <c r="C18" s="137">
        <f>IF(SER_hh_tes!C18=0,"",SER_hh_tes!C18/SER_hh_fec!C18)</f>
        <v>1.8601839440306136</v>
      </c>
      <c r="D18" s="137">
        <f>IF(SER_hh_tes!D18=0,"",SER_hh_tes!D18/SER_hh_fec!D18)</f>
        <v>1.992928886818206</v>
      </c>
      <c r="E18" s="137">
        <f>IF(SER_hh_tes!E18=0,"",SER_hh_tes!E18/SER_hh_fec!E18)</f>
        <v>2.0797669625337192</v>
      </c>
      <c r="F18" s="137">
        <f>IF(SER_hh_tes!F18=0,"",SER_hh_tes!F18/SER_hh_fec!F18)</f>
        <v>2.1695469046114781</v>
      </c>
      <c r="G18" s="137">
        <f>IF(SER_hh_tes!G18=0,"",SER_hh_tes!G18/SER_hh_fec!G18)</f>
        <v>2.2846259215239586</v>
      </c>
      <c r="H18" s="137">
        <f>IF(SER_hh_tes!H18=0,"",SER_hh_tes!H18/SER_hh_fec!H18)</f>
        <v>2.3913135193650974</v>
      </c>
      <c r="I18" s="137">
        <f>IF(SER_hh_tes!I18=0,"",SER_hh_tes!I18/SER_hh_fec!I18)</f>
        <v>2.4866910035543643</v>
      </c>
      <c r="J18" s="137">
        <f>IF(SER_hh_tes!J18=0,"",SER_hh_tes!J18/SER_hh_fec!J18)</f>
        <v>2.5755037895321164</v>
      </c>
      <c r="K18" s="137">
        <f>IF(SER_hh_tes!K18=0,"",SER_hh_tes!K18/SER_hh_fec!K18)</f>
        <v>2.6135891805456439</v>
      </c>
      <c r="L18" s="137">
        <f>IF(SER_hh_tes!L18=0,"",SER_hh_tes!L18/SER_hh_fec!L18)</f>
        <v>2.6651594911153533</v>
      </c>
      <c r="M18" s="137">
        <f>IF(SER_hh_tes!M18=0,"",SER_hh_tes!M18/SER_hh_fec!M18)</f>
        <v>2.7403645618781884</v>
      </c>
      <c r="N18" s="137">
        <f>IF(SER_hh_tes!N18=0,"",SER_hh_tes!N18/SER_hh_fec!N18)</f>
        <v>2.8135470320596325</v>
      </c>
      <c r="O18" s="137">
        <f>IF(SER_hh_tes!O18=0,"",SER_hh_tes!O18/SER_hh_fec!O18)</f>
        <v>2.8881254358907755</v>
      </c>
      <c r="P18" s="137">
        <f>IF(SER_hh_tes!P18=0,"",SER_hh_tes!P18/SER_hh_fec!P18)</f>
        <v>2.983922737416858</v>
      </c>
      <c r="Q18" s="137">
        <f>IF(SER_hh_tes!Q18=0,"",SER_hh_tes!Q18/SER_hh_fec!Q18)</f>
        <v>3.1026723353748999</v>
      </c>
      <c r="R18" s="137">
        <f>IF(SER_hh_tes!R18=0,"",SER_hh_tes!R18/SER_hh_fec!R18)</f>
        <v>3.2158798953420651</v>
      </c>
      <c r="S18" s="137">
        <f>IF(SER_hh_tes!S18=0,"",SER_hh_tes!S18/SER_hh_fec!S18)</f>
        <v>3.3229460643224185</v>
      </c>
      <c r="T18" s="137">
        <f>IF(SER_hh_tes!T18=0,"",SER_hh_tes!T18/SER_hh_fec!T18)</f>
        <v>3.4216281474329588</v>
      </c>
      <c r="U18" s="137">
        <f>IF(SER_hh_tes!U18=0,"",SER_hh_tes!U18/SER_hh_fec!U18)</f>
        <v>3.5100611728737547</v>
      </c>
      <c r="V18" s="137">
        <f>IF(SER_hh_tes!V18=0,"",SER_hh_tes!V18/SER_hh_fec!V18)</f>
        <v>3.5821017227509411</v>
      </c>
      <c r="W18" s="137">
        <f>IF(SER_hh_tes!W18=0,"",SER_hh_tes!W18/SER_hh_fec!W18)</f>
        <v>3.679349852685573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0.59662321451295164</v>
      </c>
      <c r="C19" s="136">
        <f>IF(SER_hh_tes!C19=0,"",SER_hh_tes!C19/SER_hh_fec!C19)</f>
        <v>0.59988386534387728</v>
      </c>
      <c r="D19" s="136">
        <f>IF(SER_hh_tes!D19=0,"",SER_hh_tes!D19/SER_hh_fec!D19)</f>
        <v>0.60196038035984878</v>
      </c>
      <c r="E19" s="136">
        <f>IF(SER_hh_tes!E19=0,"",SER_hh_tes!E19/SER_hh_fec!E19)</f>
        <v>0.60661641968293956</v>
      </c>
      <c r="F19" s="136">
        <f>IF(SER_hh_tes!F19=0,"",SER_hh_tes!F19/SER_hh_fec!F19)</f>
        <v>0.61085319258358839</v>
      </c>
      <c r="G19" s="136">
        <f>IF(SER_hh_tes!G19=0,"",SER_hh_tes!G19/SER_hh_fec!G19)</f>
        <v>0.61378710554247595</v>
      </c>
      <c r="H19" s="136">
        <f>IF(SER_hh_tes!H19=0,"",SER_hh_tes!H19/SER_hh_fec!H19)</f>
        <v>0.61833169571627011</v>
      </c>
      <c r="I19" s="136">
        <f>IF(SER_hh_tes!I19=0,"",SER_hh_tes!I19/SER_hh_fec!I19)</f>
        <v>0.62278059807595232</v>
      </c>
      <c r="J19" s="136">
        <f>IF(SER_hh_tes!J19=0,"",SER_hh_tes!J19/SER_hh_fec!J19)</f>
        <v>0.62691008434769335</v>
      </c>
      <c r="K19" s="136">
        <f>IF(SER_hh_tes!K19=0,"",SER_hh_tes!K19/SER_hh_fec!K19)</f>
        <v>0.62549564124131718</v>
      </c>
      <c r="L19" s="136">
        <f>IF(SER_hh_tes!L19=0,"",SER_hh_tes!L19/SER_hh_fec!L19)</f>
        <v>0.63588774835499207</v>
      </c>
      <c r="M19" s="136">
        <f>IF(SER_hh_tes!M19=0,"",SER_hh_tes!M19/SER_hh_fec!M19)</f>
        <v>0.64518845196223018</v>
      </c>
      <c r="N19" s="136">
        <f>IF(SER_hh_tes!N19=0,"",SER_hh_tes!N19/SER_hh_fec!N19)</f>
        <v>0.65444015019071333</v>
      </c>
      <c r="O19" s="136">
        <f>IF(SER_hh_tes!O19=0,"",SER_hh_tes!O19/SER_hh_fec!O19)</f>
        <v>0.66529811957888185</v>
      </c>
      <c r="P19" s="136">
        <f>IF(SER_hh_tes!P19=0,"",SER_hh_tes!P19/SER_hh_fec!P19)</f>
        <v>0.67047496389248129</v>
      </c>
      <c r="Q19" s="136">
        <f>IF(SER_hh_tes!Q19=0,"",SER_hh_tes!Q19/SER_hh_fec!Q19)</f>
        <v>0.67879594616238281</v>
      </c>
      <c r="R19" s="136">
        <f>IF(SER_hh_tes!R19=0,"",SER_hh_tes!R19/SER_hh_fec!R19)</f>
        <v>0.68947643098982192</v>
      </c>
      <c r="S19" s="136">
        <f>IF(SER_hh_tes!S19=0,"",SER_hh_tes!S19/SER_hh_fec!S19)</f>
        <v>0.70097917220757266</v>
      </c>
      <c r="T19" s="136">
        <f>IF(SER_hh_tes!T19=0,"",SER_hh_tes!T19/SER_hh_fec!T19)</f>
        <v>0.71745190471178633</v>
      </c>
      <c r="U19" s="136">
        <f>IF(SER_hh_tes!U19=0,"",SER_hh_tes!U19/SER_hh_fec!U19)</f>
        <v>0.73016290053022603</v>
      </c>
      <c r="V19" s="136">
        <f>IF(SER_hh_tes!V19=0,"",SER_hh_tes!V19/SER_hh_fec!V19)</f>
        <v>0.74640679389747433</v>
      </c>
      <c r="W19" s="136">
        <f>IF(SER_hh_tes!W19=0,"",SER_hh_tes!W19/SER_hh_fec!W19)</f>
        <v>0.76268672955789263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0.50049512366577109</v>
      </c>
      <c r="C23" s="137">
        <f>IF(SER_hh_tes!C23=0,"",SER_hh_tes!C23/SER_hh_fec!C23)</f>
        <v>0.50538483746112384</v>
      </c>
      <c r="D23" s="137">
        <f>IF(SER_hh_tes!D23=0,"",SER_hh_tes!D23/SER_hh_fec!D23)</f>
        <v>0.51175580860986103</v>
      </c>
      <c r="E23" s="137">
        <f>IF(SER_hh_tes!E23=0,"",SER_hh_tes!E23/SER_hh_fec!E23)</f>
        <v>0.51841784763342103</v>
      </c>
      <c r="F23" s="137">
        <f>IF(SER_hh_tes!F23=0,"",SER_hh_tes!F23/SER_hh_fec!F23)</f>
        <v>0.52577590137953456</v>
      </c>
      <c r="G23" s="137">
        <f>IF(SER_hh_tes!G23=0,"",SER_hh_tes!G23/SER_hh_fec!G23)</f>
        <v>0.53366137000451541</v>
      </c>
      <c r="H23" s="137">
        <f>IF(SER_hh_tes!H23=0,"",SER_hh_tes!H23/SER_hh_fec!H23)</f>
        <v>0.54199101951030182</v>
      </c>
      <c r="I23" s="137">
        <f>IF(SER_hh_tes!I23=0,"",SER_hh_tes!I23/SER_hh_fec!I23)</f>
        <v>0.55111658321773871</v>
      </c>
      <c r="J23" s="137">
        <f>IF(SER_hh_tes!J23=0,"",SER_hh_tes!J23/SER_hh_fec!J23)</f>
        <v>0.55911061801045514</v>
      </c>
      <c r="K23" s="137">
        <f>IF(SER_hh_tes!K23=0,"",SER_hh_tes!K23/SER_hh_fec!K23)</f>
        <v>0.5659328638995702</v>
      </c>
      <c r="L23" s="137">
        <f>IF(SER_hh_tes!L23=0,"",SER_hh_tes!L23/SER_hh_fec!L23)</f>
        <v>0.573514598427739</v>
      </c>
      <c r="M23" s="137">
        <f>IF(SER_hh_tes!M23=0,"",SER_hh_tes!M23/SER_hh_fec!M23)</f>
        <v>0.58236622942897098</v>
      </c>
      <c r="N23" s="137">
        <f>IF(SER_hh_tes!N23=0,"",SER_hh_tes!N23/SER_hh_fec!N23)</f>
        <v>0.59181632582657684</v>
      </c>
      <c r="O23" s="137">
        <f>IF(SER_hh_tes!O23=0,"",SER_hh_tes!O23/SER_hh_fec!O23)</f>
        <v>0.60271792613042185</v>
      </c>
      <c r="P23" s="137">
        <f>IF(SER_hh_tes!P23=0,"",SER_hh_tes!P23/SER_hh_fec!P23)</f>
        <v>0.60957133063284263</v>
      </c>
      <c r="Q23" s="137">
        <f>IF(SER_hh_tes!Q23=0,"",SER_hh_tes!Q23/SER_hh_fec!Q23)</f>
        <v>0.62101010249271626</v>
      </c>
      <c r="R23" s="137">
        <f>IF(SER_hh_tes!R23=0,"",SER_hh_tes!R23/SER_hh_fec!R23)</f>
        <v>0.63255995219581929</v>
      </c>
      <c r="S23" s="137">
        <f>IF(SER_hh_tes!S23=0,"",SER_hh_tes!S23/SER_hh_fec!S23)</f>
        <v>0.6496576576230455</v>
      </c>
      <c r="T23" s="137">
        <f>IF(SER_hh_tes!T23=0,"",SER_hh_tes!T23/SER_hh_fec!T23)</f>
        <v>0.66515770070903391</v>
      </c>
      <c r="U23" s="137">
        <f>IF(SER_hh_tes!U23=0,"",SER_hh_tes!U23/SER_hh_fec!U23)</f>
        <v>0.68342686576106981</v>
      </c>
      <c r="V23" s="137">
        <f>IF(SER_hh_tes!V23=0,"",SER_hh_tes!V23/SER_hh_fec!V23)</f>
        <v>0.70107229501193202</v>
      </c>
      <c r="W23" s="137">
        <f>IF(SER_hh_tes!W23=0,"",SER_hh_tes!W23/SER_hh_fec!W23)</f>
        <v>0.7183844529933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0.74918454993874239</v>
      </c>
      <c r="C25" s="137">
        <f>IF(SER_hh_tes!C25=0,"",SER_hh_tes!C25/SER_hh_fec!C25)</f>
        <v>0.75137260656829941</v>
      </c>
      <c r="D25" s="137">
        <f>IF(SER_hh_tes!D25=0,"",SER_hh_tes!D25/SER_hh_fec!D25)</f>
        <v>0.75404392216909388</v>
      </c>
      <c r="E25" s="137">
        <f>IF(SER_hh_tes!E25=0,"",SER_hh_tes!E25/SER_hh_fec!E25)</f>
        <v>0.75682519931832171</v>
      </c>
      <c r="F25" s="137">
        <f>IF(SER_hh_tes!F25=0,"",SER_hh_tes!F25/SER_hh_fec!F25)</f>
        <v>0.75965146572427511</v>
      </c>
      <c r="G25" s="137">
        <f>IF(SER_hh_tes!G25=0,"",SER_hh_tes!G25/SER_hh_fec!G25)</f>
        <v>0.7622836792328157</v>
      </c>
      <c r="H25" s="137">
        <f>IF(SER_hh_tes!H25=0,"",SER_hh_tes!H25/SER_hh_fec!H25)</f>
        <v>0.76499645136038186</v>
      </c>
      <c r="I25" s="137">
        <f>IF(SER_hh_tes!I25=0,"",SER_hh_tes!I25/SER_hh_fec!I25)</f>
        <v>0.76757916620166633</v>
      </c>
      <c r="J25" s="137">
        <f>IF(SER_hh_tes!J25=0,"",SER_hh_tes!J25/SER_hh_fec!J25)</f>
        <v>0.77035909360465415</v>
      </c>
      <c r="K25" s="137">
        <f>IF(SER_hh_tes!K25=0,"",SER_hh_tes!K25/SER_hh_fec!K25)</f>
        <v>0.77333006375964275</v>
      </c>
      <c r="L25" s="137">
        <f>IF(SER_hh_tes!L25=0,"",SER_hh_tes!L25/SER_hh_fec!L25)</f>
        <v>0.77724511455621959</v>
      </c>
      <c r="M25" s="137">
        <f>IF(SER_hh_tes!M25=0,"",SER_hh_tes!M25/SER_hh_fec!M25)</f>
        <v>0.78204640467820385</v>
      </c>
      <c r="N25" s="137">
        <f>IF(SER_hh_tes!N25=0,"",SER_hh_tes!N25/SER_hh_fec!N25)</f>
        <v>0.78744189179686042</v>
      </c>
      <c r="O25" s="137">
        <f>IF(SER_hh_tes!O25=0,"",SER_hh_tes!O25/SER_hh_fec!O25)</f>
        <v>0.79273198899717823</v>
      </c>
      <c r="P25" s="137">
        <f>IF(SER_hh_tes!P25=0,"",SER_hh_tes!P25/SER_hh_fec!P25)</f>
        <v>0.79493671843384051</v>
      </c>
      <c r="Q25" s="137">
        <f>IF(SER_hh_tes!Q25=0,"",SER_hh_tes!Q25/SER_hh_fec!Q25)</f>
        <v>0.79775375024466266</v>
      </c>
      <c r="R25" s="137">
        <f>IF(SER_hh_tes!R25=0,"",SER_hh_tes!R25/SER_hh_fec!R25)</f>
        <v>0.80146562361193696</v>
      </c>
      <c r="S25" s="137">
        <f>IF(SER_hh_tes!S25=0,"",SER_hh_tes!S25/SER_hh_fec!S25)</f>
        <v>0.80589541126508857</v>
      </c>
      <c r="T25" s="137">
        <f>IF(SER_hh_tes!T25=0,"",SER_hh_tes!T25/SER_hh_fec!T25)</f>
        <v>0.81076563595454743</v>
      </c>
      <c r="U25" s="137">
        <f>IF(SER_hh_tes!U25=0,"",SER_hh_tes!U25/SER_hh_fec!U25)</f>
        <v>0.81544863301201631</v>
      </c>
      <c r="V25" s="137">
        <f>IF(SER_hh_tes!V25=0,"",SER_hh_tes!V25/SER_hh_fec!V25)</f>
        <v>0.82051154489222466</v>
      </c>
      <c r="W25" s="137">
        <f>IF(SER_hh_tes!W25=0,"",SER_hh_tes!W25/SER_hh_fec!W25)</f>
        <v>0.82575799773807901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0.61732297234381805</v>
      </c>
      <c r="C26" s="138">
        <f>IF(SER_hh_tes!C26=0,"",SER_hh_tes!C26/SER_hh_fec!C26)</f>
        <v>0.61928602806397604</v>
      </c>
      <c r="D26" s="138">
        <f>IF(SER_hh_tes!D26=0,"",SER_hh_tes!D26/SER_hh_fec!D26)</f>
        <v>0.62075238433583169</v>
      </c>
      <c r="E26" s="138">
        <f>IF(SER_hh_tes!E26=0,"",SER_hh_tes!E26/SER_hh_fec!E26)</f>
        <v>0.62258369663896707</v>
      </c>
      <c r="F26" s="138">
        <f>IF(SER_hh_tes!F26=0,"",SER_hh_tes!F26/SER_hh_fec!F26)</f>
        <v>0.62473441786990525</v>
      </c>
      <c r="G26" s="138">
        <f>IF(SER_hh_tes!G26=0,"",SER_hh_tes!G26/SER_hh_fec!G26)</f>
        <v>0.62810119168208955</v>
      </c>
      <c r="H26" s="138">
        <f>IF(SER_hh_tes!H26=0,"",SER_hh_tes!H26/SER_hh_fec!H26)</f>
        <v>0.63166503118622108</v>
      </c>
      <c r="I26" s="138">
        <f>IF(SER_hh_tes!I26=0,"",SER_hh_tes!I26/SER_hh_fec!I26)</f>
        <v>0.63491332698438441</v>
      </c>
      <c r="J26" s="138">
        <f>IF(SER_hh_tes!J26=0,"",SER_hh_tes!J26/SER_hh_fec!J26)</f>
        <v>0.63850914560287386</v>
      </c>
      <c r="K26" s="138">
        <f>IF(SER_hh_tes!K26=0,"",SER_hh_tes!K26/SER_hh_fec!K26)</f>
        <v>0.64086126716536274</v>
      </c>
      <c r="L26" s="138">
        <f>IF(SER_hh_tes!L26=0,"",SER_hh_tes!L26/SER_hh_fec!L26)</f>
        <v>0.64596203174407441</v>
      </c>
      <c r="M26" s="138">
        <f>IF(SER_hh_tes!M26=0,"",SER_hh_tes!M26/SER_hh_fec!M26)</f>
        <v>0.65169984251024959</v>
      </c>
      <c r="N26" s="138">
        <f>IF(SER_hh_tes!N26=0,"",SER_hh_tes!N26/SER_hh_fec!N26)</f>
        <v>0.6593852546735387</v>
      </c>
      <c r="O26" s="138">
        <f>IF(SER_hh_tes!O26=0,"",SER_hh_tes!O26/SER_hh_fec!O26)</f>
        <v>0.66758390897620035</v>
      </c>
      <c r="P26" s="138">
        <f>IF(SER_hh_tes!P26=0,"",SER_hh_tes!P26/SER_hh_fec!P26)</f>
        <v>0.67110504444532604</v>
      </c>
      <c r="Q26" s="138">
        <f>IF(SER_hh_tes!Q26=0,"",SER_hh_tes!Q26/SER_hh_fec!Q26)</f>
        <v>0.67788056208070047</v>
      </c>
      <c r="R26" s="138">
        <f>IF(SER_hh_tes!R26=0,"",SER_hh_tes!R26/SER_hh_fec!R26)</f>
        <v>0.68808114020298816</v>
      </c>
      <c r="S26" s="138">
        <f>IF(SER_hh_tes!S26=0,"",SER_hh_tes!S26/SER_hh_fec!S26)</f>
        <v>0.70070964881052322</v>
      </c>
      <c r="T26" s="138">
        <f>IF(SER_hh_tes!T26=0,"",SER_hh_tes!T26/SER_hh_fec!T26)</f>
        <v>0.7172432191391005</v>
      </c>
      <c r="U26" s="138">
        <f>IF(SER_hh_tes!U26=0,"",SER_hh_tes!U26/SER_hh_fec!U26)</f>
        <v>0.73314108174487236</v>
      </c>
      <c r="V26" s="138">
        <f>IF(SER_hh_tes!V26=0,"",SER_hh_tes!V26/SER_hh_fec!V26)</f>
        <v>0.75048503521326215</v>
      </c>
      <c r="W26" s="138">
        <f>IF(SER_hh_tes!W26=0,"",SER_hh_tes!W26/SER_hh_fec!W26)</f>
        <v>0.76982054833567604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0.66609385675233856</v>
      </c>
      <c r="C29" s="136">
        <f>IF(SER_hh_tes!C29=0,"",SER_hh_tes!C29/SER_hh_fec!C29)</f>
        <v>0.65400525531063292</v>
      </c>
      <c r="D29" s="136">
        <f>IF(SER_hh_tes!D29=0,"",SER_hh_tes!D29/SER_hh_fec!D29)</f>
        <v>0.65533668737672601</v>
      </c>
      <c r="E29" s="136">
        <f>IF(SER_hh_tes!E29=0,"",SER_hh_tes!E29/SER_hh_fec!E29)</f>
        <v>0.65966572548859992</v>
      </c>
      <c r="F29" s="136">
        <f>IF(SER_hh_tes!F29=0,"",SER_hh_tes!F29/SER_hh_fec!F29)</f>
        <v>0.66001279462257512</v>
      </c>
      <c r="G29" s="136">
        <f>IF(SER_hh_tes!G29=0,"",SER_hh_tes!G29/SER_hh_fec!G29)</f>
        <v>0.66272890221093206</v>
      </c>
      <c r="H29" s="136">
        <f>IF(SER_hh_tes!H29=0,"",SER_hh_tes!H29/SER_hh_fec!H29)</f>
        <v>0.66755306661005209</v>
      </c>
      <c r="I29" s="136">
        <f>IF(SER_hh_tes!I29=0,"",SER_hh_tes!I29/SER_hh_fec!I29)</f>
        <v>0.66810587753307971</v>
      </c>
      <c r="J29" s="136">
        <f>IF(SER_hh_tes!J29=0,"",SER_hh_tes!J29/SER_hh_fec!J29)</f>
        <v>0.66891066835780155</v>
      </c>
      <c r="K29" s="136">
        <f>IF(SER_hh_tes!K29=0,"",SER_hh_tes!K29/SER_hh_fec!K29)</f>
        <v>0.66501652094163566</v>
      </c>
      <c r="L29" s="136">
        <f>IF(SER_hh_tes!L29=0,"",SER_hh_tes!L29/SER_hh_fec!L29)</f>
        <v>0.67128574054961176</v>
      </c>
      <c r="M29" s="136">
        <f>IF(SER_hh_tes!M29=0,"",SER_hh_tes!M29/SER_hh_fec!M29)</f>
        <v>0.67312420212842106</v>
      </c>
      <c r="N29" s="136">
        <f>IF(SER_hh_tes!N29=0,"",SER_hh_tes!N29/SER_hh_fec!N29)</f>
        <v>0.67499438280172175</v>
      </c>
      <c r="O29" s="136">
        <f>IF(SER_hh_tes!O29=0,"",SER_hh_tes!O29/SER_hh_fec!O29)</f>
        <v>0.67756240746199303</v>
      </c>
      <c r="P29" s="136">
        <f>IF(SER_hh_tes!P29=0,"",SER_hh_tes!P29/SER_hh_fec!P29)</f>
        <v>0.6796625358961923</v>
      </c>
      <c r="Q29" s="136">
        <f>IF(SER_hh_tes!Q29=0,"",SER_hh_tes!Q29/SER_hh_fec!Q29)</f>
        <v>0.68315976235597864</v>
      </c>
      <c r="R29" s="136">
        <f>IF(SER_hh_tes!R29=0,"",SER_hh_tes!R29/SER_hh_fec!R29)</f>
        <v>0.67901028087789883</v>
      </c>
      <c r="S29" s="136">
        <f>IF(SER_hh_tes!S29=0,"",SER_hh_tes!S29/SER_hh_fec!S29)</f>
        <v>0.66963593078275552</v>
      </c>
      <c r="T29" s="136">
        <f>IF(SER_hh_tes!T29=0,"",SER_hh_tes!T29/SER_hh_fec!T29)</f>
        <v>0.67939357961312663</v>
      </c>
      <c r="U29" s="136">
        <f>IF(SER_hh_tes!U29=0,"",SER_hh_tes!U29/SER_hh_fec!U29)</f>
        <v>0.67720072793671715</v>
      </c>
      <c r="V29" s="136">
        <f>IF(SER_hh_tes!V29=0,"",SER_hh_tes!V29/SER_hh_fec!V29)</f>
        <v>0.68524586036086832</v>
      </c>
      <c r="W29" s="136">
        <f>IF(SER_hh_tes!W29=0,"",SER_hh_tes!W29/SER_hh_fec!W29)</f>
        <v>0.69586345275868544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0.57941727500178219</v>
      </c>
      <c r="C31" s="137">
        <f>IF(SER_hh_tes!C31=0,"",SER_hh_tes!C31/SER_hh_fec!C31)</f>
        <v>0.58027473882116054</v>
      </c>
      <c r="D31" s="137">
        <f>IF(SER_hh_tes!D31=0,"",SER_hh_tes!D31/SER_hh_fec!D31)</f>
        <v>0.58119185469949219</v>
      </c>
      <c r="E31" s="137">
        <f>IF(SER_hh_tes!E31=0,"",SER_hh_tes!E31/SER_hh_fec!E31)</f>
        <v>0.58216298622842233</v>
      </c>
      <c r="F31" s="137">
        <f>IF(SER_hh_tes!F31=0,"",SER_hh_tes!F31/SER_hh_fec!F31)</f>
        <v>0.58315508605093158</v>
      </c>
      <c r="G31" s="137">
        <f>IF(SER_hh_tes!G31=0,"",SER_hh_tes!G31/SER_hh_fec!G31)</f>
        <v>0.58436728996802711</v>
      </c>
      <c r="H31" s="137">
        <f>IF(SER_hh_tes!H31=0,"",SER_hh_tes!H31/SER_hh_fec!H31)</f>
        <v>0.58557533914071858</v>
      </c>
      <c r="I31" s="137">
        <f>IF(SER_hh_tes!I31=0,"",SER_hh_tes!I31/SER_hh_fec!I31)</f>
        <v>0.58691590156123452</v>
      </c>
      <c r="J31" s="137">
        <f>IF(SER_hh_tes!J31=0,"",SER_hh_tes!J31/SER_hh_fec!J31)</f>
        <v>0.58830654136565452</v>
      </c>
      <c r="K31" s="137">
        <f>IF(SER_hh_tes!K31=0,"",SER_hh_tes!K31/SER_hh_fec!K31)</f>
        <v>0.5896442181561059</v>
      </c>
      <c r="L31" s="137">
        <f>IF(SER_hh_tes!L31=0,"",SER_hh_tes!L31/SER_hh_fec!L31)</f>
        <v>0.59079409202540989</v>
      </c>
      <c r="M31" s="137">
        <f>IF(SER_hh_tes!M31=0,"",SER_hh_tes!M31/SER_hh_fec!M31)</f>
        <v>0.59120110651970914</v>
      </c>
      <c r="N31" s="137">
        <f>IF(SER_hh_tes!N31=0,"",SER_hh_tes!N31/SER_hh_fec!N31)</f>
        <v>0.59169887784555264</v>
      </c>
      <c r="O31" s="137">
        <f>IF(SER_hh_tes!O31=0,"",SER_hh_tes!O31/SER_hh_fec!O31)</f>
        <v>0.59234708648711676</v>
      </c>
      <c r="P31" s="137">
        <f>IF(SER_hh_tes!P31=0,"",SER_hh_tes!P31/SER_hh_fec!P31)</f>
        <v>0.59292275136594985</v>
      </c>
      <c r="Q31" s="137">
        <f>IF(SER_hh_tes!Q31=0,"",SER_hh_tes!Q31/SER_hh_fec!Q31)</f>
        <v>0.59343013790860044</v>
      </c>
      <c r="R31" s="137">
        <f>IF(SER_hh_tes!R31=0,"",SER_hh_tes!R31/SER_hh_fec!R31)</f>
        <v>0.59426368573956212</v>
      </c>
      <c r="S31" s="137">
        <f>IF(SER_hh_tes!S31=0,"",SER_hh_tes!S31/SER_hh_fec!S31)</f>
        <v>0.59574479406894965</v>
      </c>
      <c r="T31" s="137">
        <f>IF(SER_hh_tes!T31=0,"",SER_hh_tes!T31/SER_hh_fec!T31)</f>
        <v>0.59738623216250997</v>
      </c>
      <c r="U31" s="137">
        <f>IF(SER_hh_tes!U31=0,"",SER_hh_tes!U31/SER_hh_fec!U31)</f>
        <v>0.59945946370331538</v>
      </c>
      <c r="V31" s="137">
        <f>IF(SER_hh_tes!V31=0,"",SER_hh_tes!V31/SER_hh_fec!V31)</f>
        <v>0.60148736452639562</v>
      </c>
      <c r="W31" s="137">
        <f>IF(SER_hh_tes!W31=0,"",SER_hh_tes!W31/SER_hh_fec!W31)</f>
        <v>0.60387630705376694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0.75593747939375722</v>
      </c>
      <c r="C33" s="150">
        <f>IF(SER_hh_tes!C33=0,"",SER_hh_tes!C33/SER_hh_fec!C33)</f>
        <v>0.7574447238682025</v>
      </c>
      <c r="D33" s="150">
        <f>IF(SER_hh_tes!D33=0,"",SER_hh_tes!D33/SER_hh_fec!D33)</f>
        <v>0.75907141389632049</v>
      </c>
      <c r="E33" s="150">
        <f>IF(SER_hh_tes!E33=0,"",SER_hh_tes!E33/SER_hh_fec!E33)</f>
        <v>0.76100605632487717</v>
      </c>
      <c r="F33" s="150">
        <f>IF(SER_hh_tes!F33=0,"",SER_hh_tes!F33/SER_hh_fec!F33)</f>
        <v>0.76320350044767216</v>
      </c>
      <c r="G33" s="150">
        <f>IF(SER_hh_tes!G33=0,"",SER_hh_tes!G33/SER_hh_fec!G33)</f>
        <v>0.76551188798751801</v>
      </c>
      <c r="H33" s="150">
        <f>IF(SER_hh_tes!H33=0,"",SER_hh_tes!H33/SER_hh_fec!H33)</f>
        <v>0.76799870174732787</v>
      </c>
      <c r="I33" s="150">
        <f>IF(SER_hh_tes!I33=0,"",SER_hh_tes!I33/SER_hh_fec!I33)</f>
        <v>0.77034347348154353</v>
      </c>
      <c r="J33" s="150">
        <f>IF(SER_hh_tes!J33=0,"",SER_hh_tes!J33/SER_hh_fec!J33)</f>
        <v>0.77267659621590512</v>
      </c>
      <c r="K33" s="150">
        <f>IF(SER_hh_tes!K33=0,"",SER_hh_tes!K33/SER_hh_fec!K33)</f>
        <v>0.77496364547483232</v>
      </c>
      <c r="L33" s="150">
        <f>IF(SER_hh_tes!L33=0,"",SER_hh_tes!L33/SER_hh_fec!L33)</f>
        <v>0.77686536836926878</v>
      </c>
      <c r="M33" s="150">
        <f>IF(SER_hh_tes!M33=0,"",SER_hh_tes!M33/SER_hh_fec!M33)</f>
        <v>0.77780494799251731</v>
      </c>
      <c r="N33" s="150">
        <f>IF(SER_hh_tes!N33=0,"",SER_hh_tes!N33/SER_hh_fec!N33)</f>
        <v>0.77915246018265083</v>
      </c>
      <c r="O33" s="150">
        <f>IF(SER_hh_tes!O33=0,"",SER_hh_tes!O33/SER_hh_fec!O33)</f>
        <v>0.7811993722264583</v>
      </c>
      <c r="P33" s="150">
        <f>IF(SER_hh_tes!P33=0,"",SER_hh_tes!P33/SER_hh_fec!P33)</f>
        <v>0.78385347760116608</v>
      </c>
      <c r="Q33" s="150">
        <f>IF(SER_hh_tes!Q33=0,"",SER_hh_tes!Q33/SER_hh_fec!Q33)</f>
        <v>0.78720175694198247</v>
      </c>
      <c r="R33" s="150">
        <f>IF(SER_hh_tes!R33=0,"",SER_hh_tes!R33/SER_hh_fec!R33)</f>
        <v>0.79067713652789051</v>
      </c>
      <c r="S33" s="150">
        <f>IF(SER_hh_tes!S33=0,"",SER_hh_tes!S33/SER_hh_fec!S33)</f>
        <v>0.79486815265403032</v>
      </c>
      <c r="T33" s="150">
        <f>IF(SER_hh_tes!T33=0,"",SER_hh_tes!T33/SER_hh_fec!T33)</f>
        <v>0.80163746882367026</v>
      </c>
      <c r="U33" s="150">
        <f>IF(SER_hh_tes!U33=0,"",SER_hh_tes!U33/SER_hh_fec!U33)</f>
        <v>0.80909717815125826</v>
      </c>
      <c r="V33" s="150">
        <f>IF(SER_hh_tes!V33=0,"",SER_hh_tes!V33/SER_hh_fec!V33)</f>
        <v>0.81796509615911261</v>
      </c>
      <c r="W33" s="150">
        <f>IF(SER_hh_tes!W33=0,"",SER_hh_tes!W33/SER_hh_fec!W33)</f>
        <v>0.82617693317825247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4873.4064763197575</v>
      </c>
      <c r="C3" s="126">
        <f t="shared" si="0"/>
        <v>4195.8633328386622</v>
      </c>
      <c r="D3" s="126">
        <f t="shared" si="0"/>
        <v>4032.9449613836364</v>
      </c>
      <c r="E3" s="126">
        <f t="shared" si="0"/>
        <v>4967.4319437265822</v>
      </c>
      <c r="F3" s="126">
        <f t="shared" si="0"/>
        <v>5094.1453232182703</v>
      </c>
      <c r="G3" s="126">
        <f t="shared" si="0"/>
        <v>3631.8524045392196</v>
      </c>
      <c r="H3" s="126">
        <f t="shared" si="0"/>
        <v>3878.7859518593255</v>
      </c>
      <c r="I3" s="126">
        <f t="shared" si="0"/>
        <v>3427.3253374371448</v>
      </c>
      <c r="J3" s="126">
        <f t="shared" si="0"/>
        <v>3878.1842019754408</v>
      </c>
      <c r="K3" s="126">
        <f t="shared" si="0"/>
        <v>3310.0359004115703</v>
      </c>
      <c r="L3" s="126">
        <f t="shared" si="0"/>
        <v>3512.0491542501113</v>
      </c>
      <c r="M3" s="126">
        <f t="shared" si="0"/>
        <v>3373.0663455546392</v>
      </c>
      <c r="N3" s="126">
        <f t="shared" si="0"/>
        <v>3194.3598601619228</v>
      </c>
      <c r="O3" s="126">
        <f t="shared" si="0"/>
        <v>3059.9767541984311</v>
      </c>
      <c r="P3" s="126">
        <f t="shared" si="0"/>
        <v>2958.9568351294934</v>
      </c>
      <c r="Q3" s="126">
        <f t="shared" si="0"/>
        <v>2997.7105444107774</v>
      </c>
      <c r="R3" s="126">
        <f t="shared" ref="R3:W3" si="1">SUM(R4,R16,R19,R29)</f>
        <v>3061.7158616765892</v>
      </c>
      <c r="S3" s="126">
        <f t="shared" si="1"/>
        <v>3268.5008713751354</v>
      </c>
      <c r="T3" s="126">
        <f t="shared" si="1"/>
        <v>2949.5017833464976</v>
      </c>
      <c r="U3" s="126">
        <f t="shared" si="1"/>
        <v>3128.6861158006614</v>
      </c>
      <c r="V3" s="126">
        <f t="shared" si="1"/>
        <v>2843.414717660502</v>
      </c>
      <c r="W3" s="126">
        <f t="shared" si="1"/>
        <v>2738.0576424538276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4419.6250078461608</v>
      </c>
      <c r="C4" s="131">
        <f t="shared" si="2"/>
        <v>3694.618647361558</v>
      </c>
      <c r="D4" s="131">
        <f t="shared" si="2"/>
        <v>3522.7178690230994</v>
      </c>
      <c r="E4" s="131">
        <f t="shared" si="2"/>
        <v>4462.6425140534775</v>
      </c>
      <c r="F4" s="131">
        <f t="shared" si="2"/>
        <v>4578.2995039406569</v>
      </c>
      <c r="G4" s="131">
        <f t="shared" si="2"/>
        <v>3098.6715450621855</v>
      </c>
      <c r="H4" s="131">
        <f t="shared" si="2"/>
        <v>3331.8760643602191</v>
      </c>
      <c r="I4" s="131">
        <f t="shared" si="2"/>
        <v>2857.961446442177</v>
      </c>
      <c r="J4" s="131">
        <f t="shared" si="2"/>
        <v>3279.122134469058</v>
      </c>
      <c r="K4" s="131">
        <f t="shared" si="2"/>
        <v>2623.9109882071971</v>
      </c>
      <c r="L4" s="131">
        <f t="shared" si="2"/>
        <v>2846.3973972901176</v>
      </c>
      <c r="M4" s="131">
        <f t="shared" si="2"/>
        <v>2700.4113994552004</v>
      </c>
      <c r="N4" s="131">
        <f t="shared" si="2"/>
        <v>2517.5868961287638</v>
      </c>
      <c r="O4" s="131">
        <f t="shared" si="2"/>
        <v>2380.1859277088606</v>
      </c>
      <c r="P4" s="131">
        <f t="shared" si="2"/>
        <v>2272.3642837105745</v>
      </c>
      <c r="Q4" s="131">
        <f t="shared" si="2"/>
        <v>2307.4233861578541</v>
      </c>
      <c r="R4" s="131">
        <f t="shared" ref="R4:W4" si="3">SUM(R5:R15)</f>
        <v>2336.2783480053226</v>
      </c>
      <c r="S4" s="131">
        <f t="shared" si="3"/>
        <v>2457.0528641008345</v>
      </c>
      <c r="T4" s="131">
        <f t="shared" si="3"/>
        <v>2195.3471255126801</v>
      </c>
      <c r="U4" s="131">
        <f t="shared" si="3"/>
        <v>2320.8120950656912</v>
      </c>
      <c r="V4" s="131">
        <f t="shared" si="3"/>
        <v>2101.7605562757485</v>
      </c>
      <c r="W4" s="131">
        <f t="shared" si="3"/>
        <v>2009.6519426324439</v>
      </c>
      <c r="DA4" s="156" t="s">
        <v>233</v>
      </c>
    </row>
    <row r="5" spans="1:105" ht="12" customHeight="1" x14ac:dyDescent="0.25">
      <c r="A5" s="132" t="s">
        <v>29</v>
      </c>
      <c r="B5" s="133">
        <v>2068.9208949597582</v>
      </c>
      <c r="C5" s="133">
        <v>922.95179803866131</v>
      </c>
      <c r="D5" s="133">
        <v>940.03243550363538</v>
      </c>
      <c r="E5" s="133">
        <v>1825.5555248589019</v>
      </c>
      <c r="F5" s="133">
        <v>1988.1590048754504</v>
      </c>
      <c r="G5" s="133">
        <v>349.01354098752449</v>
      </c>
      <c r="H5" s="133">
        <v>698.64811837436287</v>
      </c>
      <c r="I5" s="133">
        <v>241.22923368494628</v>
      </c>
      <c r="J5" s="133">
        <v>345.29552755500123</v>
      </c>
      <c r="K5" s="133">
        <v>114.43691249818853</v>
      </c>
      <c r="L5" s="133">
        <v>164.54821949468831</v>
      </c>
      <c r="M5" s="133">
        <v>143.3980886000831</v>
      </c>
      <c r="N5" s="133">
        <v>135.18271954092796</v>
      </c>
      <c r="O5" s="133">
        <v>134.05048082863712</v>
      </c>
      <c r="P5" s="133">
        <v>118.26760218831129</v>
      </c>
      <c r="Q5" s="133">
        <v>104.96348819650109</v>
      </c>
      <c r="R5" s="133">
        <v>134.34343944745777</v>
      </c>
      <c r="S5" s="133">
        <v>130.90967869386188</v>
      </c>
      <c r="T5" s="133">
        <v>91.465275817678929</v>
      </c>
      <c r="U5" s="133">
        <v>110.66759318474726</v>
      </c>
      <c r="V5" s="133">
        <v>83.870983789761084</v>
      </c>
      <c r="W5" s="133">
        <v>96.194920047808452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18.98050752</v>
      </c>
      <c r="C7" s="133">
        <v>9.3187270799999986</v>
      </c>
      <c r="D7" s="133">
        <v>40.400801999999985</v>
      </c>
      <c r="E7" s="133">
        <v>37.283177880000011</v>
      </c>
      <c r="F7" s="133">
        <v>49.630591079999981</v>
      </c>
      <c r="G7" s="133">
        <v>37.138832640000004</v>
      </c>
      <c r="H7" s="133">
        <v>46.932784559999988</v>
      </c>
      <c r="I7" s="133">
        <v>47.386951560000007</v>
      </c>
      <c r="J7" s="133">
        <v>50.311257839999996</v>
      </c>
      <c r="K7" s="133">
        <v>37.76664528000002</v>
      </c>
      <c r="L7" s="133">
        <v>50.281990919999998</v>
      </c>
      <c r="M7" s="133">
        <v>37.834643159999985</v>
      </c>
      <c r="N7" s="133">
        <v>62.41184135999999</v>
      </c>
      <c r="O7" s="133">
        <v>46.983640680000008</v>
      </c>
      <c r="P7" s="133">
        <v>31.343118479999983</v>
      </c>
      <c r="Q7" s="133">
        <v>65.700526679999967</v>
      </c>
      <c r="R7" s="133">
        <v>62.65582632000001</v>
      </c>
      <c r="S7" s="133">
        <v>62.523415079999957</v>
      </c>
      <c r="T7" s="133">
        <v>40.986857520000001</v>
      </c>
      <c r="U7" s="133">
        <v>38.07162215999999</v>
      </c>
      <c r="V7" s="133">
        <v>43.988534999999985</v>
      </c>
      <c r="W7" s="133">
        <v>56.450763359999996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1.1489608147234159E-2</v>
      </c>
      <c r="H8" s="133">
        <v>3.1278380061275458E-2</v>
      </c>
      <c r="I8" s="133">
        <v>6.7047888111863935E-2</v>
      </c>
      <c r="J8" s="133">
        <v>0.11545313028697132</v>
      </c>
      <c r="K8" s="133">
        <v>0.15330767563479208</v>
      </c>
      <c r="L8" s="133">
        <v>0.18070088989091879</v>
      </c>
      <c r="M8" s="133">
        <v>0.25808649360858044</v>
      </c>
      <c r="N8" s="133">
        <v>0.36861398338487156</v>
      </c>
      <c r="O8" s="133">
        <v>0.64008712196464113</v>
      </c>
      <c r="P8" s="133">
        <v>0.98454213008651037</v>
      </c>
      <c r="Q8" s="133">
        <v>1.0976084030318061</v>
      </c>
      <c r="R8" s="133">
        <v>1.185398506879823</v>
      </c>
      <c r="S8" s="133">
        <v>1.2457734976845856</v>
      </c>
      <c r="T8" s="133">
        <v>1.3491785043677704</v>
      </c>
      <c r="U8" s="133">
        <v>1.5496472129942593</v>
      </c>
      <c r="V8" s="133">
        <v>1.7009962333152786</v>
      </c>
      <c r="W8" s="133">
        <v>1.9110877110548845</v>
      </c>
      <c r="DA8" s="157" t="s">
        <v>360</v>
      </c>
    </row>
    <row r="9" spans="1:105" ht="12" customHeight="1" x14ac:dyDescent="0.25">
      <c r="A9" s="132" t="s">
        <v>78</v>
      </c>
      <c r="B9" s="133">
        <v>2287.3711215264025</v>
      </c>
      <c r="C9" s="133">
        <v>2700.679644522897</v>
      </c>
      <c r="D9" s="133">
        <v>2487.2127376394642</v>
      </c>
      <c r="E9" s="133">
        <v>2534.4561203268945</v>
      </c>
      <c r="F9" s="133">
        <v>2477.4033407223865</v>
      </c>
      <c r="G9" s="133">
        <v>2635.5095609148202</v>
      </c>
      <c r="H9" s="133">
        <v>2512.1469541208312</v>
      </c>
      <c r="I9" s="133">
        <v>2469.562161116919</v>
      </c>
      <c r="J9" s="133">
        <v>2768.6064593633309</v>
      </c>
      <c r="K9" s="133">
        <v>2371.1942201199913</v>
      </c>
      <c r="L9" s="133">
        <v>2508.8777621501149</v>
      </c>
      <c r="M9" s="133">
        <v>2399.9083674069539</v>
      </c>
      <c r="N9" s="133">
        <v>2197.9609819834527</v>
      </c>
      <c r="O9" s="133">
        <v>2061.1760863884642</v>
      </c>
      <c r="P9" s="133">
        <v>1986.5247764509927</v>
      </c>
      <c r="Q9" s="133">
        <v>1978.1730033440449</v>
      </c>
      <c r="R9" s="133">
        <v>1996.3106642618557</v>
      </c>
      <c r="S9" s="133">
        <v>2120.4217892280144</v>
      </c>
      <c r="T9" s="133">
        <v>1913.149758741816</v>
      </c>
      <c r="U9" s="133">
        <v>2009.3015560920346</v>
      </c>
      <c r="V9" s="133">
        <v>1826.1837400219281</v>
      </c>
      <c r="W9" s="133">
        <v>1697.8961569875594</v>
      </c>
      <c r="DA9" s="157" t="s">
        <v>361</v>
      </c>
    </row>
    <row r="10" spans="1:105" ht="12" customHeight="1" x14ac:dyDescent="0.25">
      <c r="A10" s="132" t="s">
        <v>128</v>
      </c>
      <c r="B10" s="133">
        <v>44.352483840000005</v>
      </c>
      <c r="C10" s="133">
        <v>61.668477719999991</v>
      </c>
      <c r="D10" s="133">
        <v>55.071893880000019</v>
      </c>
      <c r="E10" s="133">
        <v>65.347690987680522</v>
      </c>
      <c r="F10" s="133">
        <v>63.106567262820221</v>
      </c>
      <c r="G10" s="133">
        <v>76.998120911693761</v>
      </c>
      <c r="H10" s="133">
        <v>74.116928924963673</v>
      </c>
      <c r="I10" s="133">
        <v>99.716052192200024</v>
      </c>
      <c r="J10" s="133">
        <v>114.79343658043892</v>
      </c>
      <c r="K10" s="133">
        <v>100.3599026333824</v>
      </c>
      <c r="L10" s="133">
        <v>122.50872383542354</v>
      </c>
      <c r="M10" s="133">
        <v>119.01221379455497</v>
      </c>
      <c r="N10" s="133">
        <v>121.66273926099846</v>
      </c>
      <c r="O10" s="133">
        <v>137.33563268979461</v>
      </c>
      <c r="P10" s="133">
        <v>135.24424446118383</v>
      </c>
      <c r="Q10" s="133">
        <v>157.48875953427617</v>
      </c>
      <c r="R10" s="133">
        <v>141.78301946912899</v>
      </c>
      <c r="S10" s="133">
        <v>141.95220760127378</v>
      </c>
      <c r="T10" s="133">
        <v>148.39605492881728</v>
      </c>
      <c r="U10" s="133">
        <v>161.221676415915</v>
      </c>
      <c r="V10" s="133">
        <v>146.01630123074401</v>
      </c>
      <c r="W10" s="133">
        <v>157.19901452602122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9.801603999119668E-2</v>
      </c>
      <c r="H16" s="131">
        <f t="shared" si="4"/>
        <v>0.12694284866048677</v>
      </c>
      <c r="I16" s="131">
        <f t="shared" si="4"/>
        <v>0.17959043174098088</v>
      </c>
      <c r="J16" s="131">
        <f t="shared" si="4"/>
        <v>0.18617402847802822</v>
      </c>
      <c r="K16" s="131">
        <f t="shared" si="4"/>
        <v>0.24151830967403429</v>
      </c>
      <c r="L16" s="131">
        <f t="shared" si="4"/>
        <v>0.24809875744193083</v>
      </c>
      <c r="M16" s="131">
        <f t="shared" si="4"/>
        <v>0.26387116145462108</v>
      </c>
      <c r="N16" s="131">
        <f t="shared" si="4"/>
        <v>0.27651294778979724</v>
      </c>
      <c r="O16" s="131">
        <f t="shared" si="4"/>
        <v>0.34269392591068909</v>
      </c>
      <c r="P16" s="131">
        <f t="shared" si="4"/>
        <v>0.47659156402878805</v>
      </c>
      <c r="Q16" s="131">
        <f t="shared" si="4"/>
        <v>0.88283436479763999</v>
      </c>
      <c r="R16" s="131">
        <f t="shared" ref="R16:W16" si="5">SUM(R17:R18)</f>
        <v>0.88541003850930744</v>
      </c>
      <c r="S16" s="131">
        <f t="shared" si="5"/>
        <v>1.0821645409914136</v>
      </c>
      <c r="T16" s="131">
        <f t="shared" si="5"/>
        <v>1.3799610648343259</v>
      </c>
      <c r="U16" s="131">
        <f t="shared" si="5"/>
        <v>1.4053968117668258</v>
      </c>
      <c r="V16" s="131">
        <f t="shared" si="5"/>
        <v>1.5269042815290381</v>
      </c>
      <c r="W16" s="131">
        <f t="shared" si="5"/>
        <v>1.6244292736355088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9.801603999119668E-2</v>
      </c>
      <c r="H17" s="133">
        <v>0.12694284866048677</v>
      </c>
      <c r="I17" s="133">
        <v>0.17959043174098088</v>
      </c>
      <c r="J17" s="133">
        <v>0.18617402847802822</v>
      </c>
      <c r="K17" s="133">
        <v>0.24151830967403429</v>
      </c>
      <c r="L17" s="133">
        <v>0.24809875744193083</v>
      </c>
      <c r="M17" s="133">
        <v>0.26387116145462108</v>
      </c>
      <c r="N17" s="133">
        <v>0.27651294778979724</v>
      </c>
      <c r="O17" s="133">
        <v>0.34269392591068909</v>
      </c>
      <c r="P17" s="133">
        <v>0.47659156402878805</v>
      </c>
      <c r="Q17" s="133">
        <v>0.88283436479763999</v>
      </c>
      <c r="R17" s="133">
        <v>0.88541003850930744</v>
      </c>
      <c r="S17" s="133">
        <v>1.0821645409914136</v>
      </c>
      <c r="T17" s="133">
        <v>1.3799610648343259</v>
      </c>
      <c r="U17" s="133">
        <v>1.4053968117668258</v>
      </c>
      <c r="V17" s="133">
        <v>1.5269042815290381</v>
      </c>
      <c r="W17" s="133">
        <v>1.6244292736355088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200.33494096374662</v>
      </c>
      <c r="C19" s="131">
        <f t="shared" si="6"/>
        <v>200.75192827945193</v>
      </c>
      <c r="D19" s="131">
        <f t="shared" si="6"/>
        <v>208.00723243422439</v>
      </c>
      <c r="E19" s="131">
        <f t="shared" si="6"/>
        <v>208.06542754246908</v>
      </c>
      <c r="F19" s="131">
        <f t="shared" si="6"/>
        <v>210.44964780754043</v>
      </c>
      <c r="G19" s="131">
        <f t="shared" si="6"/>
        <v>223.21480755797489</v>
      </c>
      <c r="H19" s="131">
        <f t="shared" si="6"/>
        <v>235.69046745387112</v>
      </c>
      <c r="I19" s="131">
        <f t="shared" si="6"/>
        <v>246.81352804574999</v>
      </c>
      <c r="J19" s="131">
        <f t="shared" si="6"/>
        <v>261.97854068250621</v>
      </c>
      <c r="K19" s="131">
        <f t="shared" si="6"/>
        <v>315.42484400418425</v>
      </c>
      <c r="L19" s="131">
        <f t="shared" si="6"/>
        <v>298.8263465513553</v>
      </c>
      <c r="M19" s="131">
        <f t="shared" si="6"/>
        <v>301.25775252341901</v>
      </c>
      <c r="N19" s="131">
        <f t="shared" si="6"/>
        <v>304.87242235995291</v>
      </c>
      <c r="O19" s="131">
        <f t="shared" si="6"/>
        <v>306.409943624714</v>
      </c>
      <c r="P19" s="131">
        <f t="shared" si="6"/>
        <v>307.9038117025832</v>
      </c>
      <c r="Q19" s="131">
        <f t="shared" si="6"/>
        <v>310.74576325390717</v>
      </c>
      <c r="R19" s="131">
        <f t="shared" ref="R19:W19" si="7">SUM(R20:R27)</f>
        <v>313.41202429319333</v>
      </c>
      <c r="S19" s="131">
        <f t="shared" si="7"/>
        <v>336.17538435394516</v>
      </c>
      <c r="T19" s="131">
        <f t="shared" si="7"/>
        <v>304.74715938124717</v>
      </c>
      <c r="U19" s="131">
        <f t="shared" si="7"/>
        <v>321.93087156281615</v>
      </c>
      <c r="V19" s="131">
        <f t="shared" si="7"/>
        <v>296.98639172026725</v>
      </c>
      <c r="W19" s="131">
        <f t="shared" si="7"/>
        <v>291.35030791537906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200.33494096374662</v>
      </c>
      <c r="C23" s="133">
        <v>200.75192827945193</v>
      </c>
      <c r="D23" s="133">
        <v>208.00723243422439</v>
      </c>
      <c r="E23" s="133">
        <v>208.06542754246908</v>
      </c>
      <c r="F23" s="133">
        <v>210.44964780754043</v>
      </c>
      <c r="G23" s="133">
        <v>223.21480755797489</v>
      </c>
      <c r="H23" s="133">
        <v>235.69046745387112</v>
      </c>
      <c r="I23" s="133">
        <v>246.81352804574999</v>
      </c>
      <c r="J23" s="133">
        <v>261.97854068250621</v>
      </c>
      <c r="K23" s="133">
        <v>315.42484400418425</v>
      </c>
      <c r="L23" s="133">
        <v>298.8263465513553</v>
      </c>
      <c r="M23" s="133">
        <v>301.25775252341901</v>
      </c>
      <c r="N23" s="133">
        <v>304.87242235995291</v>
      </c>
      <c r="O23" s="133">
        <v>306.409943624714</v>
      </c>
      <c r="P23" s="133">
        <v>307.9038117025832</v>
      </c>
      <c r="Q23" s="133">
        <v>310.74576325390717</v>
      </c>
      <c r="R23" s="133">
        <v>313.41202429319333</v>
      </c>
      <c r="S23" s="133">
        <v>336.17538435394516</v>
      </c>
      <c r="T23" s="133">
        <v>304.74715938124717</v>
      </c>
      <c r="U23" s="133">
        <v>321.93087156281615</v>
      </c>
      <c r="V23" s="133">
        <v>296.98639172026725</v>
      </c>
      <c r="W23" s="133">
        <v>291.35030791537906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253.44652750984972</v>
      </c>
      <c r="C29" s="131">
        <f t="shared" si="8"/>
        <v>300.49275719765222</v>
      </c>
      <c r="D29" s="131">
        <f t="shared" si="8"/>
        <v>302.21985992631232</v>
      </c>
      <c r="E29" s="131">
        <f t="shared" si="8"/>
        <v>296.72400213063503</v>
      </c>
      <c r="F29" s="131">
        <f t="shared" si="8"/>
        <v>305.39617147007249</v>
      </c>
      <c r="G29" s="131">
        <f t="shared" si="8"/>
        <v>309.86803587906797</v>
      </c>
      <c r="H29" s="131">
        <f t="shared" si="8"/>
        <v>311.09247719657515</v>
      </c>
      <c r="I29" s="131">
        <f t="shared" si="8"/>
        <v>322.37077251747689</v>
      </c>
      <c r="J29" s="131">
        <f t="shared" si="8"/>
        <v>336.89735279539866</v>
      </c>
      <c r="K29" s="131">
        <f t="shared" si="8"/>
        <v>370.4585498905148</v>
      </c>
      <c r="L29" s="131">
        <f t="shared" si="8"/>
        <v>366.57731165119645</v>
      </c>
      <c r="M29" s="131">
        <f t="shared" si="8"/>
        <v>371.13332241456504</v>
      </c>
      <c r="N29" s="131">
        <f t="shared" si="8"/>
        <v>371.62402872541628</v>
      </c>
      <c r="O29" s="131">
        <f t="shared" si="8"/>
        <v>373.03818893894595</v>
      </c>
      <c r="P29" s="131">
        <f t="shared" si="8"/>
        <v>378.2121481523069</v>
      </c>
      <c r="Q29" s="131">
        <f t="shared" si="8"/>
        <v>378.65856063421865</v>
      </c>
      <c r="R29" s="131">
        <f t="shared" ref="R29:W29" si="9">SUM(R30:R33)</f>
        <v>411.14007933956441</v>
      </c>
      <c r="S29" s="131">
        <f t="shared" si="9"/>
        <v>474.19045837936449</v>
      </c>
      <c r="T29" s="131">
        <f t="shared" si="9"/>
        <v>448.027537387736</v>
      </c>
      <c r="U29" s="131">
        <f t="shared" si="9"/>
        <v>484.53775236038712</v>
      </c>
      <c r="V29" s="131">
        <f t="shared" si="9"/>
        <v>443.14086538295703</v>
      </c>
      <c r="W29" s="131">
        <f t="shared" si="9"/>
        <v>435.43096263236953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253.44652750984972</v>
      </c>
      <c r="C31" s="133">
        <v>300.49275719765222</v>
      </c>
      <c r="D31" s="133">
        <v>302.21985992631232</v>
      </c>
      <c r="E31" s="133">
        <v>296.72400213063503</v>
      </c>
      <c r="F31" s="133">
        <v>305.39617147007249</v>
      </c>
      <c r="G31" s="133">
        <v>309.86803587906797</v>
      </c>
      <c r="H31" s="133">
        <v>311.09247719657515</v>
      </c>
      <c r="I31" s="133">
        <v>322.37077251747689</v>
      </c>
      <c r="J31" s="133">
        <v>336.89735279539866</v>
      </c>
      <c r="K31" s="133">
        <v>370.4585498905148</v>
      </c>
      <c r="L31" s="133">
        <v>366.57731165119645</v>
      </c>
      <c r="M31" s="133">
        <v>371.13332241456504</v>
      </c>
      <c r="N31" s="133">
        <v>371.62402872541628</v>
      </c>
      <c r="O31" s="133">
        <v>373.03818893894595</v>
      </c>
      <c r="P31" s="133">
        <v>378.2121481523069</v>
      </c>
      <c r="Q31" s="133">
        <v>378.65856063421865</v>
      </c>
      <c r="R31" s="133">
        <v>411.14007933956441</v>
      </c>
      <c r="S31" s="133">
        <v>474.19045837936449</v>
      </c>
      <c r="T31" s="133">
        <v>448.027537387736</v>
      </c>
      <c r="U31" s="133">
        <v>484.53775236038712</v>
      </c>
      <c r="V31" s="133">
        <v>443.14086538295703</v>
      </c>
      <c r="W31" s="133">
        <v>435.43096263236953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165430.13387847156</v>
      </c>
      <c r="C3" s="126">
        <f>IF(SER_hh_fec!C3=0,0,11630*1000*SER_hh_fec!C3/SER_hh_num!C3)</f>
        <v>160337.93545243036</v>
      </c>
      <c r="D3" s="126">
        <f>IF(SER_hh_fec!D3=0,0,11630*1000*SER_hh_fec!D3/SER_hh_num!D3)</f>
        <v>148585.31282765977</v>
      </c>
      <c r="E3" s="126">
        <f>IF(SER_hh_fec!E3=0,0,11630*1000*SER_hh_fec!E3/SER_hh_num!E3)</f>
        <v>163144.75441033934</v>
      </c>
      <c r="F3" s="126">
        <f>IF(SER_hh_fec!F3=0,0,11630*1000*SER_hh_fec!F3/SER_hh_num!F3)</f>
        <v>151069.69208345722</v>
      </c>
      <c r="G3" s="126">
        <f>IF(SER_hh_fec!G3=0,0,11630*1000*SER_hh_fec!G3/SER_hh_num!G3)</f>
        <v>129437.351544509</v>
      </c>
      <c r="H3" s="126">
        <f>IF(SER_hh_fec!H3=0,0,11630*1000*SER_hh_fec!H3/SER_hh_num!H3)</f>
        <v>121624.34358180907</v>
      </c>
      <c r="I3" s="126">
        <f>IF(SER_hh_fec!I3=0,0,11630*1000*SER_hh_fec!I3/SER_hh_num!I3)</f>
        <v>110964.40517898851</v>
      </c>
      <c r="J3" s="126">
        <f>IF(SER_hh_fec!J3=0,0,11630*1000*SER_hh_fec!J3/SER_hh_num!J3)</f>
        <v>116887.48219356417</v>
      </c>
      <c r="K3" s="126">
        <f>IF(SER_hh_fec!K3=0,0,11630*1000*SER_hh_fec!K3/SER_hh_num!K3)</f>
        <v>108370.02513256474</v>
      </c>
      <c r="L3" s="126">
        <f>IF(SER_hh_fec!L3=0,0,11630*1000*SER_hh_fec!L3/SER_hh_num!L3)</f>
        <v>118527.06114655775</v>
      </c>
      <c r="M3" s="126">
        <f>IF(SER_hh_fec!M3=0,0,11630*1000*SER_hh_fec!M3/SER_hh_num!M3)</f>
        <v>111498.06432465854</v>
      </c>
      <c r="N3" s="126">
        <f>IF(SER_hh_fec!N3=0,0,11630*1000*SER_hh_fec!N3/SER_hh_num!N3)</f>
        <v>106487.10709681404</v>
      </c>
      <c r="O3" s="126">
        <f>IF(SER_hh_fec!O3=0,0,11630*1000*SER_hh_fec!O3/SER_hh_num!O3)</f>
        <v>103739.14149346392</v>
      </c>
      <c r="P3" s="126">
        <f>IF(SER_hh_fec!P3=0,0,11630*1000*SER_hh_fec!P3/SER_hh_num!P3)</f>
        <v>97999.97264174711</v>
      </c>
      <c r="Q3" s="126">
        <f>IF(SER_hh_fec!Q3=0,0,11630*1000*SER_hh_fec!Q3/SER_hh_num!Q3)</f>
        <v>97089.013227286108</v>
      </c>
      <c r="R3" s="126">
        <f>IF(SER_hh_fec!R3=0,0,11630*1000*SER_hh_fec!R3/SER_hh_num!R3)</f>
        <v>98924.47200694932</v>
      </c>
      <c r="S3" s="126">
        <f>IF(SER_hh_fec!S3=0,0,11630*1000*SER_hh_fec!S3/SER_hh_num!S3)</f>
        <v>101155.71620068399</v>
      </c>
      <c r="T3" s="126">
        <f>IF(SER_hh_fec!T3=0,0,11630*1000*SER_hh_fec!T3/SER_hh_num!T3)</f>
        <v>96242.46186320878</v>
      </c>
      <c r="U3" s="126">
        <f>IF(SER_hh_fec!U3=0,0,11630*1000*SER_hh_fec!U3/SER_hh_num!U3)</f>
        <v>97448.460260563632</v>
      </c>
      <c r="V3" s="126">
        <f>IF(SER_hh_fec!V3=0,0,11630*1000*SER_hh_fec!V3/SER_hh_num!V3)</f>
        <v>89706.554155124089</v>
      </c>
      <c r="W3" s="126">
        <f>IF(SER_hh_fec!W3=0,0,11630*1000*SER_hh_fec!W3/SER_hh_num!W3)</f>
        <v>88287.564434265238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141679.62380592967</v>
      </c>
      <c r="C4" s="131">
        <f>IF(SER_hh_fec!C4=0,0,11630*1000*SER_hh_fec!C4/SER_hh_num!C4)</f>
        <v>136505.04501816042</v>
      </c>
      <c r="D4" s="131">
        <f>IF(SER_hh_fec!D4=0,0,11630*1000*SER_hh_fec!D4/SER_hh_num!D4)</f>
        <v>124863.74620723893</v>
      </c>
      <c r="E4" s="131">
        <f>IF(SER_hh_fec!E4=0,0,11630*1000*SER_hh_fec!E4/SER_hh_num!E4)</f>
        <v>139504.40055488932</v>
      </c>
      <c r="F4" s="131">
        <f>IF(SER_hh_fec!F4=0,0,11630*1000*SER_hh_fec!F4/SER_hh_num!F4)</f>
        <v>127799.25282730463</v>
      </c>
      <c r="G4" s="131">
        <f>IF(SER_hh_fec!G4=0,0,11630*1000*SER_hh_fec!G4/SER_hh_num!G4)</f>
        <v>106309.83749662152</v>
      </c>
      <c r="H4" s="131">
        <f>IF(SER_hh_fec!H4=0,0,11630*1000*SER_hh_fec!H4/SER_hh_num!H4)</f>
        <v>98321.973127714402</v>
      </c>
      <c r="I4" s="131">
        <f>IF(SER_hh_fec!I4=0,0,11630*1000*SER_hh_fec!I4/SER_hh_num!I4)</f>
        <v>87676.225521356333</v>
      </c>
      <c r="J4" s="131">
        <f>IF(SER_hh_fec!J4=0,0,11630*1000*SER_hh_fec!J4/SER_hh_num!J4)</f>
        <v>93380.304452432814</v>
      </c>
      <c r="K4" s="131">
        <f>IF(SER_hh_fec!K4=0,0,11630*1000*SER_hh_fec!K4/SER_hh_num!K4)</f>
        <v>83191.187701045477</v>
      </c>
      <c r="L4" s="131">
        <f>IF(SER_hh_fec!L4=0,0,11630*1000*SER_hh_fec!L4/SER_hh_num!L4)</f>
        <v>92735.887604463584</v>
      </c>
      <c r="M4" s="131">
        <f>IF(SER_hh_fec!M4=0,0,11630*1000*SER_hh_fec!M4/SER_hh_num!M4)</f>
        <v>85537.498701914272</v>
      </c>
      <c r="N4" s="131">
        <f>IF(SER_hh_fec!N4=0,0,11630*1000*SER_hh_fec!N4/SER_hh_num!N4)</f>
        <v>80394.21805753716</v>
      </c>
      <c r="O4" s="131">
        <f>IF(SER_hh_fec!O4=0,0,11630*1000*SER_hh_fec!O4/SER_hh_num!O4)</f>
        <v>77506.027811968743</v>
      </c>
      <c r="P4" s="131">
        <f>IF(SER_hh_fec!P4=0,0,11630*1000*SER_hh_fec!P4/SER_hh_num!P4)</f>
        <v>71962.828679349943</v>
      </c>
      <c r="Q4" s="131">
        <f>IF(SER_hh_fec!Q4=0,0,11630*1000*SER_hh_fec!Q4/SER_hh_num!Q4)</f>
        <v>70943.056184298548</v>
      </c>
      <c r="R4" s="131">
        <f>IF(SER_hh_fec!R4=0,0,11630*1000*SER_hh_fec!R4/SER_hh_num!R4)</f>
        <v>72857.490479178174</v>
      </c>
      <c r="S4" s="131">
        <f>IF(SER_hh_fec!S4=0,0,11630*1000*SER_hh_fec!S4/SER_hh_num!S4)</f>
        <v>74836.077054796784</v>
      </c>
      <c r="T4" s="131">
        <f>IF(SER_hh_fec!T4=0,0,11630*1000*SER_hh_fec!T4/SER_hh_num!T4)</f>
        <v>70440.450533854208</v>
      </c>
      <c r="U4" s="131">
        <f>IF(SER_hh_fec!U4=0,0,11630*1000*SER_hh_fec!U4/SER_hh_num!U4)</f>
        <v>71649.658933282408</v>
      </c>
      <c r="V4" s="131">
        <f>IF(SER_hh_fec!V4=0,0,11630*1000*SER_hh_fec!V4/SER_hh_num!V4)</f>
        <v>65767.08585206767</v>
      </c>
      <c r="W4" s="131">
        <f>IF(SER_hh_fec!W4=0,0,11630*1000*SER_hh_fec!W4/SER_hh_num!W4)</f>
        <v>64170.50542627761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198770.00124149022</v>
      </c>
      <c r="C5" s="133">
        <f>IF(SER_hh_fec!C5=0,0,11630*1000*SER_hh_fec!C5/SER_hh_num!C5)</f>
        <v>104852.75839384118</v>
      </c>
      <c r="D5" s="133">
        <f>IF(SER_hh_fec!D5=0,0,11630*1000*SER_hh_fec!D5/SER_hh_num!D5)</f>
        <v>107993.74688528414</v>
      </c>
      <c r="E5" s="133">
        <f>IF(SER_hh_fec!E5=0,0,11630*1000*SER_hh_fec!E5/SER_hh_num!E5)</f>
        <v>201206.63623120531</v>
      </c>
      <c r="F5" s="133">
        <f>IF(SER_hh_fec!F5=0,0,11630*1000*SER_hh_fec!F5/SER_hh_num!F5)</f>
        <v>216477.18752800568</v>
      </c>
      <c r="G5" s="133">
        <f>IF(SER_hh_fec!G5=0,0,11630*1000*SER_hh_fec!G5/SER_hh_num!G5)</f>
        <v>53537.47904725781</v>
      </c>
      <c r="H5" s="133">
        <f>IF(SER_hh_fec!H5=0,0,11630*1000*SER_hh_fec!H5/SER_hh_num!H5)</f>
        <v>136387.0155026037</v>
      </c>
      <c r="I5" s="133">
        <f>IF(SER_hh_fec!I5=0,0,11630*1000*SER_hh_fec!I5/SER_hh_num!I5)</f>
        <v>75390.818002192478</v>
      </c>
      <c r="J5" s="133">
        <f>IF(SER_hh_fec!J5=0,0,11630*1000*SER_hh_fec!J5/SER_hh_num!J5)</f>
        <v>128698.21303086074</v>
      </c>
      <c r="K5" s="133">
        <f>IF(SER_hh_fec!K5=0,0,11630*1000*SER_hh_fec!K5/SER_hh_num!K5)</f>
        <v>66424.601102999353</v>
      </c>
      <c r="L5" s="133">
        <f>IF(SER_hh_fec!L5=0,0,11630*1000*SER_hh_fec!L5/SER_hh_num!L5)</f>
        <v>108542.00732755054</v>
      </c>
      <c r="M5" s="133">
        <f>IF(SER_hh_fec!M5=0,0,11630*1000*SER_hh_fec!M5/SER_hh_num!M5)</f>
        <v>103765.0681888495</v>
      </c>
      <c r="N5" s="133">
        <f>IF(SER_hh_fec!N5=0,0,11630*1000*SER_hh_fec!N5/SER_hh_num!N5)</f>
        <v>92951.302320943301</v>
      </c>
      <c r="O5" s="133">
        <f>IF(SER_hh_fec!O5=0,0,11630*1000*SER_hh_fec!O5/SER_hh_num!O5)</f>
        <v>88914.196258207201</v>
      </c>
      <c r="P5" s="133">
        <f>IF(SER_hh_fec!P5=0,0,11630*1000*SER_hh_fec!P5/SER_hh_num!P5)</f>
        <v>78057.499903619551</v>
      </c>
      <c r="Q5" s="133">
        <f>IF(SER_hh_fec!Q5=0,0,11630*1000*SER_hh_fec!Q5/SER_hh_num!Q5)</f>
        <v>69639.202805911176</v>
      </c>
      <c r="R5" s="133">
        <f>IF(SER_hh_fec!R5=0,0,11630*1000*SER_hh_fec!R5/SER_hh_num!R5)</f>
        <v>88244.324205293087</v>
      </c>
      <c r="S5" s="133">
        <f>IF(SER_hh_fec!S5=0,0,11630*1000*SER_hh_fec!S5/SER_hh_num!S5)</f>
        <v>89288.753805235494</v>
      </c>
      <c r="T5" s="133">
        <f>IF(SER_hh_fec!T5=0,0,11630*1000*SER_hh_fec!T5/SER_hh_num!T5)</f>
        <v>69146.883240145908</v>
      </c>
      <c r="U5" s="133">
        <f>IF(SER_hh_fec!U5=0,0,11630*1000*SER_hh_fec!U5/SER_hh_num!U5)</f>
        <v>85901.599468859247</v>
      </c>
      <c r="V5" s="133">
        <f>IF(SER_hh_fec!V5=0,0,11630*1000*SER_hh_fec!V5/SER_hh_num!V5)</f>
        <v>68194.066557277634</v>
      </c>
      <c r="W5" s="133">
        <f>IF(SER_hh_fec!W5=0,0,11630*1000*SER_hh_fec!W5/SER_hh_num!W5)</f>
        <v>77543.119433501211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220896.14301699842</v>
      </c>
      <c r="C7" s="133">
        <f>IF(SER_hh_fec!C7=0,0,11630*1000*SER_hh_fec!C7/SER_hh_num!C7)</f>
        <v>78956.067356797896</v>
      </c>
      <c r="D7" s="133">
        <f>IF(SER_hh_fec!D7=0,0,11630*1000*SER_hh_fec!D7/SER_hh_num!D7)</f>
        <v>199437.99429132254</v>
      </c>
      <c r="E7" s="133">
        <f>IF(SER_hh_fec!E7=0,0,11630*1000*SER_hh_fec!E7/SER_hh_num!E7)</f>
        <v>155943.48815166953</v>
      </c>
      <c r="F7" s="133">
        <f>IF(SER_hh_fec!F7=0,0,11630*1000*SER_hh_fec!F7/SER_hh_num!F7)</f>
        <v>167323.57484655877</v>
      </c>
      <c r="G7" s="133">
        <f>IF(SER_hh_fec!G7=0,0,11630*1000*SER_hh_fec!G7/SER_hh_num!G7)</f>
        <v>114787.19779882398</v>
      </c>
      <c r="H7" s="133">
        <f>IF(SER_hh_fec!H7=0,0,11630*1000*SER_hh_fec!H7/SER_hh_num!H7)</f>
        <v>122895.86936273692</v>
      </c>
      <c r="I7" s="133">
        <f>IF(SER_hh_fec!I7=0,0,11630*1000*SER_hh_fec!I7/SER_hh_num!I7)</f>
        <v>115457.8426050514</v>
      </c>
      <c r="J7" s="133">
        <f>IF(SER_hh_fec!J7=0,0,11630*1000*SER_hh_fec!J7/SER_hh_num!J7)</f>
        <v>119271.41333696997</v>
      </c>
      <c r="K7" s="133">
        <f>IF(SER_hh_fec!K7=0,0,11630*1000*SER_hh_fec!K7/SER_hh_num!K7)</f>
        <v>93918.259882393366</v>
      </c>
      <c r="L7" s="133">
        <f>IF(SER_hh_fec!L7=0,0,11630*1000*SER_hh_fec!L7/SER_hh_num!L7)</f>
        <v>118236.70311410898</v>
      </c>
      <c r="M7" s="133">
        <f>IF(SER_hh_fec!M7=0,0,11630*1000*SER_hh_fec!M7/SER_hh_num!M7)</f>
        <v>86567.228838046271</v>
      </c>
      <c r="N7" s="133">
        <f>IF(SER_hh_fec!N7=0,0,11630*1000*SER_hh_fec!N7/SER_hh_num!N7)</f>
        <v>125030.04374407657</v>
      </c>
      <c r="O7" s="133">
        <f>IF(SER_hh_fec!O7=0,0,11630*1000*SER_hh_fec!O7/SER_hh_num!O7)</f>
        <v>93221.136626237916</v>
      </c>
      <c r="P7" s="133">
        <f>IF(SER_hh_fec!P7=0,0,11630*1000*SER_hh_fec!P7/SER_hh_num!P7)</f>
        <v>59078.252765245779</v>
      </c>
      <c r="Q7" s="133">
        <f>IF(SER_hh_fec!Q7=0,0,11630*1000*SER_hh_fec!Q7/SER_hh_num!Q7)</f>
        <v>101143.22875492348</v>
      </c>
      <c r="R7" s="133">
        <f>IF(SER_hh_fec!R7=0,0,11630*1000*SER_hh_fec!R7/SER_hh_num!R7)</f>
        <v>92701.282528070806</v>
      </c>
      <c r="S7" s="133">
        <f>IF(SER_hh_fec!S7=0,0,11630*1000*SER_hh_fec!S7/SER_hh_num!S7)</f>
        <v>95390.120365130948</v>
      </c>
      <c r="T7" s="133">
        <f>IF(SER_hh_fec!T7=0,0,11630*1000*SER_hh_fec!T7/SER_hh_num!T7)</f>
        <v>69946.059556725464</v>
      </c>
      <c r="U7" s="133">
        <f>IF(SER_hh_fec!U7=0,0,11630*1000*SER_hh_fec!U7/SER_hh_num!U7)</f>
        <v>67619.087452906431</v>
      </c>
      <c r="V7" s="133">
        <f>IF(SER_hh_fec!V7=0,0,11630*1000*SER_hh_fec!V7/SER_hh_num!V7)</f>
        <v>74825.121982814831</v>
      </c>
      <c r="W7" s="133">
        <f>IF(SER_hh_fec!W7=0,0,11630*1000*SER_hh_fec!W7/SER_hh_num!W7)</f>
        <v>96954.78000608366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18634.789670345901</v>
      </c>
      <c r="H8" s="133">
        <f>IF(SER_hh_fec!H8=0,0,11630*1000*SER_hh_fec!H8/SER_hh_num!H8)</f>
        <v>21431.209893734282</v>
      </c>
      <c r="I8" s="133">
        <f>IF(SER_hh_fec!I8=0,0,11630*1000*SER_hh_fec!I8/SER_hh_num!I8)</f>
        <v>23596.651271117109</v>
      </c>
      <c r="J8" s="133">
        <f>IF(SER_hh_fec!J8=0,0,11630*1000*SER_hh_fec!J8/SER_hh_num!J8)</f>
        <v>26018.050315934917</v>
      </c>
      <c r="K8" s="133">
        <f>IF(SER_hh_fec!K8=0,0,11630*1000*SER_hh_fec!K8/SER_hh_num!K8)</f>
        <v>23937.582714051146</v>
      </c>
      <c r="L8" s="133">
        <f>IF(SER_hh_fec!L8=0,0,11630*1000*SER_hh_fec!L8/SER_hh_num!L8)</f>
        <v>20467.206165585674</v>
      </c>
      <c r="M8" s="133">
        <f>IF(SER_hh_fec!M8=0,0,11630*1000*SER_hh_fec!M8/SER_hh_num!M8)</f>
        <v>18486.958814680329</v>
      </c>
      <c r="N8" s="133">
        <f>IF(SER_hh_fec!N8=0,0,11630*1000*SER_hh_fec!N8/SER_hh_num!N8)</f>
        <v>15710.942083122538</v>
      </c>
      <c r="O8" s="133">
        <f>IF(SER_hh_fec!O8=0,0,11630*1000*SER_hh_fec!O8/SER_hh_num!O8)</f>
        <v>16961.103791625839</v>
      </c>
      <c r="P8" s="133">
        <f>IF(SER_hh_fec!P8=0,0,11630*1000*SER_hh_fec!P8/SER_hh_num!P8)</f>
        <v>18217.199693452898</v>
      </c>
      <c r="Q8" s="133">
        <f>IF(SER_hh_fec!Q8=0,0,11630*1000*SER_hh_fec!Q8/SER_hh_num!Q8)</f>
        <v>16811.582125544384</v>
      </c>
      <c r="R8" s="133">
        <f>IF(SER_hh_fec!R8=0,0,11630*1000*SER_hh_fec!R8/SER_hh_num!R8)</f>
        <v>16331.19982531576</v>
      </c>
      <c r="S8" s="133">
        <f>IF(SER_hh_fec!S8=0,0,11630*1000*SER_hh_fec!S8/SER_hh_num!S8)</f>
        <v>15883.199077106878</v>
      </c>
      <c r="T8" s="133">
        <f>IF(SER_hh_fec!T8=0,0,11630*1000*SER_hh_fec!T8/SER_hh_num!T8)</f>
        <v>15366.508647703891</v>
      </c>
      <c r="U8" s="133">
        <f>IF(SER_hh_fec!U8=0,0,11630*1000*SER_hh_fec!U8/SER_hh_num!U8)</f>
        <v>15387.86967460314</v>
      </c>
      <c r="V8" s="133">
        <f>IF(SER_hh_fec!V8=0,0,11630*1000*SER_hh_fec!V8/SER_hh_num!V8)</f>
        <v>14581.044278363002</v>
      </c>
      <c r="W8" s="133">
        <f>IF(SER_hh_fec!W8=0,0,11630*1000*SER_hh_fec!W8/SER_hh_num!W8)</f>
        <v>14844.874689435133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159187.31424428421</v>
      </c>
      <c r="C9" s="133">
        <f>IF(SER_hh_fec!C9=0,0,11630*1000*SER_hh_fec!C9/SER_hh_num!C9)</f>
        <v>175424.92242748346</v>
      </c>
      <c r="D9" s="133">
        <f>IF(SER_hh_fec!D9=0,0,11630*1000*SER_hh_fec!D9/SER_hh_num!D9)</f>
        <v>152230.09577125346</v>
      </c>
      <c r="E9" s="133">
        <f>IF(SER_hh_fec!E9=0,0,11630*1000*SER_hh_fec!E9/SER_hh_num!E9)</f>
        <v>148733.57316799145</v>
      </c>
      <c r="F9" s="133">
        <f>IF(SER_hh_fec!F9=0,0,11630*1000*SER_hh_fec!F9/SER_hh_num!F9)</f>
        <v>135209.59538974057</v>
      </c>
      <c r="G9" s="133">
        <f>IF(SER_hh_fec!G9=0,0,11630*1000*SER_hh_fec!G9/SER_hh_num!G9)</f>
        <v>124709.84716803792</v>
      </c>
      <c r="H9" s="133">
        <f>IF(SER_hh_fec!H9=0,0,11630*1000*SER_hh_fec!H9/SER_hh_num!H9)</f>
        <v>107511.29366250771</v>
      </c>
      <c r="I9" s="133">
        <f>IF(SER_hh_fec!I9=0,0,11630*1000*SER_hh_fec!I9/SER_hh_num!I9)</f>
        <v>96215.079183295937</v>
      </c>
      <c r="J9" s="133">
        <f>IF(SER_hh_fec!J9=0,0,11630*1000*SER_hh_fec!J9/SER_hh_num!J9)</f>
        <v>103306.82025746373</v>
      </c>
      <c r="K9" s="133">
        <f>IF(SER_hh_fec!K9=0,0,11630*1000*SER_hh_fec!K9/SER_hh_num!K9)</f>
        <v>93276.773800648225</v>
      </c>
      <c r="L9" s="133">
        <f>IF(SER_hh_fec!L9=0,0,11630*1000*SER_hh_fec!L9/SER_hh_num!L9)</f>
        <v>99492.255691414102</v>
      </c>
      <c r="M9" s="133">
        <f>IF(SER_hh_fec!M9=0,0,11630*1000*SER_hh_fec!M9/SER_hh_num!M9)</f>
        <v>94598.523176945746</v>
      </c>
      <c r="N9" s="133">
        <f>IF(SER_hh_fec!N9=0,0,11630*1000*SER_hh_fec!N9/SER_hh_num!N9)</f>
        <v>87825.246605215318</v>
      </c>
      <c r="O9" s="133">
        <f>IF(SER_hh_fec!O9=0,0,11630*1000*SER_hh_fec!O9/SER_hh_num!O9)</f>
        <v>83320.221666060912</v>
      </c>
      <c r="P9" s="133">
        <f>IF(SER_hh_fec!P9=0,0,11630*1000*SER_hh_fec!P9/SER_hh_num!P9)</f>
        <v>79329.468194686226</v>
      </c>
      <c r="Q9" s="133">
        <f>IF(SER_hh_fec!Q9=0,0,11630*1000*SER_hh_fec!Q9/SER_hh_num!Q9)</f>
        <v>77130.194353655301</v>
      </c>
      <c r="R9" s="133">
        <f>IF(SER_hh_fec!R9=0,0,11630*1000*SER_hh_fec!R9/SER_hh_num!R9)</f>
        <v>78105.638507760828</v>
      </c>
      <c r="S9" s="133">
        <f>IF(SER_hh_fec!S9=0,0,11630*1000*SER_hh_fec!S9/SER_hh_num!S9)</f>
        <v>81870.165403809035</v>
      </c>
      <c r="T9" s="133">
        <f>IF(SER_hh_fec!T9=0,0,11630*1000*SER_hh_fec!T9/SER_hh_num!T9)</f>
        <v>74343.395570799767</v>
      </c>
      <c r="U9" s="133">
        <f>IF(SER_hh_fec!U9=0,0,11630*1000*SER_hh_fec!U9/SER_hh_num!U9)</f>
        <v>77641.980986845738</v>
      </c>
      <c r="V9" s="133">
        <f>IF(SER_hh_fec!V9=0,0,11630*1000*SER_hh_fec!V9/SER_hh_num!V9)</f>
        <v>70924.511711352665</v>
      </c>
      <c r="W9" s="133">
        <f>IF(SER_hh_fec!W9=0,0,11630*1000*SER_hh_fec!W9/SER_hh_num!W9)</f>
        <v>66606.18641852116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143321.68761658797</v>
      </c>
      <c r="C10" s="133">
        <f>IF(SER_hh_fec!C10=0,0,11630*1000*SER_hh_fec!C10/SER_hh_num!C10)</f>
        <v>194739.00557305099</v>
      </c>
      <c r="D10" s="133">
        <f>IF(SER_hh_fec!D10=0,0,11630*1000*SER_hh_fec!D10/SER_hh_num!D10)</f>
        <v>149994.60411312073</v>
      </c>
      <c r="E10" s="133">
        <f>IF(SER_hh_fec!E10=0,0,11630*1000*SER_hh_fec!E10/SER_hh_num!E10)</f>
        <v>164020.29203071014</v>
      </c>
      <c r="F10" s="133">
        <f>IF(SER_hh_fec!F10=0,0,11630*1000*SER_hh_fec!F10/SER_hh_num!F10)</f>
        <v>149615.56855274306</v>
      </c>
      <c r="G10" s="133">
        <f>IF(SER_hh_fec!G10=0,0,11630*1000*SER_hh_fec!G10/SER_hh_num!G10)</f>
        <v>134350.40400428086</v>
      </c>
      <c r="H10" s="133">
        <f>IF(SER_hh_fec!H10=0,0,11630*1000*SER_hh_fec!H10/SER_hh_num!H10)</f>
        <v>105293.00001608999</v>
      </c>
      <c r="I10" s="133">
        <f>IF(SER_hh_fec!I10=0,0,11630*1000*SER_hh_fec!I10/SER_hh_num!I10)</f>
        <v>135928.89002526039</v>
      </c>
      <c r="J10" s="133">
        <f>IF(SER_hh_fec!J10=0,0,11630*1000*SER_hh_fec!J10/SER_hh_num!J10)</f>
        <v>105474.13917917082</v>
      </c>
      <c r="K10" s="133">
        <f>IF(SER_hh_fec!K10=0,0,11630*1000*SER_hh_fec!K10/SER_hh_num!K10)</f>
        <v>90713.073069713719</v>
      </c>
      <c r="L10" s="133">
        <f>IF(SER_hh_fec!L10=0,0,11630*1000*SER_hh_fec!L10/SER_hh_num!L10)</f>
        <v>116649.17797162091</v>
      </c>
      <c r="M10" s="133">
        <f>IF(SER_hh_fec!M10=0,0,11630*1000*SER_hh_fec!M10/SER_hh_num!M10)</f>
        <v>107787.32327939794</v>
      </c>
      <c r="N10" s="133">
        <f>IF(SER_hh_fec!N10=0,0,11630*1000*SER_hh_fec!N10/SER_hh_num!N10)</f>
        <v>100410.56350907491</v>
      </c>
      <c r="O10" s="133">
        <f>IF(SER_hh_fec!O10=0,0,11630*1000*SER_hh_fec!O10/SER_hh_num!O10)</f>
        <v>100986.055704268</v>
      </c>
      <c r="P10" s="133">
        <f>IF(SER_hh_fec!P10=0,0,11630*1000*SER_hh_fec!P10/SER_hh_num!P10)</f>
        <v>92933.914520126127</v>
      </c>
      <c r="Q10" s="133">
        <f>IF(SER_hh_fec!Q10=0,0,11630*1000*SER_hh_fec!Q10/SER_hh_num!Q10)</f>
        <v>100066.91443253947</v>
      </c>
      <c r="R10" s="133">
        <f>IF(SER_hh_fec!R10=0,0,11630*1000*SER_hh_fec!R10/SER_hh_num!R10)</f>
        <v>96215.875311216543</v>
      </c>
      <c r="S10" s="133">
        <f>IF(SER_hh_fec!S10=0,0,11630*1000*SER_hh_fec!S10/SER_hh_num!S10)</f>
        <v>93811.373053043513</v>
      </c>
      <c r="T10" s="133">
        <f>IF(SER_hh_fec!T10=0,0,11630*1000*SER_hh_fec!T10/SER_hh_num!T10)</f>
        <v>96701.112333074823</v>
      </c>
      <c r="U10" s="133">
        <f>IF(SER_hh_fec!U10=0,0,11630*1000*SER_hh_fec!U10/SER_hh_num!U10)</f>
        <v>98656.755132837527</v>
      </c>
      <c r="V10" s="133">
        <f>IF(SER_hh_fec!V10=0,0,11630*1000*SER_hh_fec!V10/SER_hh_num!V10)</f>
        <v>91262.758856701781</v>
      </c>
      <c r="W10" s="133">
        <f>IF(SER_hh_fec!W10=0,0,11630*1000*SER_hh_fec!W10/SER_hh_num!W10)</f>
        <v>92950.026459625398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107115.44405838913</v>
      </c>
      <c r="C12" s="133">
        <f>IF(SER_hh_fec!C12=0,0,11630*1000*SER_hh_fec!C12/SER_hh_num!C12)</f>
        <v>110198.70578780446</v>
      </c>
      <c r="D12" s="133">
        <f>IF(SER_hh_fec!D12=0,0,11630*1000*SER_hh_fec!D12/SER_hh_num!D12)</f>
        <v>101457.81480361575</v>
      </c>
      <c r="E12" s="133">
        <f>IF(SER_hh_fec!E12=0,0,11630*1000*SER_hh_fec!E12/SER_hh_num!E12)</f>
        <v>100253.9488554308</v>
      </c>
      <c r="F12" s="133">
        <f>IF(SER_hh_fec!F12=0,0,11630*1000*SER_hh_fec!F12/SER_hh_num!F12)</f>
        <v>100329.76417825234</v>
      </c>
      <c r="G12" s="133">
        <f>IF(SER_hh_fec!G12=0,0,11630*1000*SER_hh_fec!G12/SER_hh_num!G12)</f>
        <v>96890.772662764066</v>
      </c>
      <c r="H12" s="133">
        <f>IF(SER_hh_fec!H12=0,0,11630*1000*SER_hh_fec!H12/SER_hh_num!H12)</f>
        <v>77467.142201468669</v>
      </c>
      <c r="I12" s="133">
        <f>IF(SER_hh_fec!I12=0,0,11630*1000*SER_hh_fec!I12/SER_hh_num!I12)</f>
        <v>70863.398349112947</v>
      </c>
      <c r="J12" s="133">
        <f>IF(SER_hh_fec!J12=0,0,11630*1000*SER_hh_fec!J12/SER_hh_num!J12)</f>
        <v>72195.261242694483</v>
      </c>
      <c r="K12" s="133">
        <f>IF(SER_hh_fec!K12=0,0,11630*1000*SER_hh_fec!K12/SER_hh_num!K12)</f>
        <v>66402.881764159087</v>
      </c>
      <c r="L12" s="133">
        <f>IF(SER_hh_fec!L12=0,0,11630*1000*SER_hh_fec!L12/SER_hh_num!L12)</f>
        <v>81680.153811564087</v>
      </c>
      <c r="M12" s="133">
        <f>IF(SER_hh_fec!M12=0,0,11630*1000*SER_hh_fec!M12/SER_hh_num!M12)</f>
        <v>73133.512045277821</v>
      </c>
      <c r="N12" s="133">
        <f>IF(SER_hh_fec!N12=0,0,11630*1000*SER_hh_fec!N12/SER_hh_num!N12)</f>
        <v>69360.09052063289</v>
      </c>
      <c r="O12" s="133">
        <f>IF(SER_hh_fec!O12=0,0,11630*1000*SER_hh_fec!O12/SER_hh_num!O12)</f>
        <v>66164.333944213082</v>
      </c>
      <c r="P12" s="133">
        <f>IF(SER_hh_fec!P12=0,0,11630*1000*SER_hh_fec!P12/SER_hh_num!P12)</f>
        <v>61820.790911267839</v>
      </c>
      <c r="Q12" s="133">
        <f>IF(SER_hh_fec!Q12=0,0,11630*1000*SER_hh_fec!Q12/SER_hh_num!Q12)</f>
        <v>62303.60013609851</v>
      </c>
      <c r="R12" s="133">
        <f>IF(SER_hh_fec!R12=0,0,11630*1000*SER_hh_fec!R12/SER_hh_num!R12)</f>
        <v>64387.129724806851</v>
      </c>
      <c r="S12" s="133">
        <f>IF(SER_hh_fec!S12=0,0,11630*1000*SER_hh_fec!S12/SER_hh_num!S12)</f>
        <v>65190.335516730142</v>
      </c>
      <c r="T12" s="133">
        <f>IF(SER_hh_fec!T12=0,0,11630*1000*SER_hh_fec!T12/SER_hh_num!T12)</f>
        <v>65281.012737083503</v>
      </c>
      <c r="U12" s="133">
        <f>IF(SER_hh_fec!U12=0,0,11630*1000*SER_hh_fec!U12/SER_hh_num!U12)</f>
        <v>62833.286979052231</v>
      </c>
      <c r="V12" s="133">
        <f>IF(SER_hh_fec!V12=0,0,11630*1000*SER_hh_fec!V12/SER_hh_num!V12)</f>
        <v>59386.865668395156</v>
      </c>
      <c r="W12" s="133">
        <f>IF(SER_hh_fec!W12=0,0,11630*1000*SER_hh_fec!W12/SER_hh_num!W12)</f>
        <v>61140.610702203798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51198.942663501839</v>
      </c>
      <c r="C13" s="133">
        <f>IF(SER_hh_fec!C13=0,0,11630*1000*SER_hh_fec!C13/SER_hh_num!C13)</f>
        <v>53888.229382190133</v>
      </c>
      <c r="D13" s="133">
        <f>IF(SER_hh_fec!D13=0,0,11630*1000*SER_hh_fec!D13/SER_hh_num!D13)</f>
        <v>57631.383114466604</v>
      </c>
      <c r="E13" s="133">
        <f>IF(SER_hh_fec!E13=0,0,11630*1000*SER_hh_fec!E13/SER_hh_num!E13)</f>
        <v>54670.858574992504</v>
      </c>
      <c r="F13" s="133">
        <f>IF(SER_hh_fec!F13=0,0,11630*1000*SER_hh_fec!F13/SER_hh_num!F13)</f>
        <v>48111.320093622366</v>
      </c>
      <c r="G13" s="133">
        <f>IF(SER_hh_fec!G13=0,0,11630*1000*SER_hh_fec!G13/SER_hh_num!G13)</f>
        <v>38841.071076919485</v>
      </c>
      <c r="H13" s="133">
        <f>IF(SER_hh_fec!H13=0,0,11630*1000*SER_hh_fec!H13/SER_hh_num!H13)</f>
        <v>35355.020942433461</v>
      </c>
      <c r="I13" s="133">
        <f>IF(SER_hh_fec!I13=0,0,11630*1000*SER_hh_fec!I13/SER_hh_num!I13)</f>
        <v>32272.05449803613</v>
      </c>
      <c r="J13" s="133">
        <f>IF(SER_hh_fec!J13=0,0,11630*1000*SER_hh_fec!J13/SER_hh_num!J13)</f>
        <v>30471.140878035862</v>
      </c>
      <c r="K13" s="133">
        <f>IF(SER_hh_fec!K13=0,0,11630*1000*SER_hh_fec!K13/SER_hh_num!K13)</f>
        <v>28844.309019802466</v>
      </c>
      <c r="L13" s="133">
        <f>IF(SER_hh_fec!L13=0,0,11630*1000*SER_hh_fec!L13/SER_hh_num!L13)</f>
        <v>28432.388836032693</v>
      </c>
      <c r="M13" s="133">
        <f>IF(SER_hh_fec!M13=0,0,11630*1000*SER_hh_fec!M13/SER_hh_num!M13)</f>
        <v>26372.470331429948</v>
      </c>
      <c r="N13" s="133">
        <f>IF(SER_hh_fec!N13=0,0,11630*1000*SER_hh_fec!N13/SER_hh_num!N13)</f>
        <v>24399.911172368971</v>
      </c>
      <c r="O13" s="133">
        <f>IF(SER_hh_fec!O13=0,0,11630*1000*SER_hh_fec!O13/SER_hh_num!O13)</f>
        <v>22170.464800327401</v>
      </c>
      <c r="P13" s="133">
        <f>IF(SER_hh_fec!P13=0,0,11630*1000*SER_hh_fec!P13/SER_hh_num!P13)</f>
        <v>20090.503785314006</v>
      </c>
      <c r="Q13" s="133">
        <f>IF(SER_hh_fec!Q13=0,0,11630*1000*SER_hh_fec!Q13/SER_hh_num!Q13)</f>
        <v>19106.002348415328</v>
      </c>
      <c r="R13" s="133">
        <f>IF(SER_hh_fec!R13=0,0,11630*1000*SER_hh_fec!R13/SER_hh_num!R13)</f>
        <v>18600.397342798107</v>
      </c>
      <c r="S13" s="133">
        <f>IF(SER_hh_fec!S13=0,0,11630*1000*SER_hh_fec!S13/SER_hh_num!S13)</f>
        <v>18154.960478203251</v>
      </c>
      <c r="T13" s="133">
        <f>IF(SER_hh_fec!T13=0,0,11630*1000*SER_hh_fec!T13/SER_hh_num!T13)</f>
        <v>17264.081247616843</v>
      </c>
      <c r="U13" s="133">
        <f>IF(SER_hh_fec!U13=0,0,11630*1000*SER_hh_fec!U13/SER_hh_num!U13)</f>
        <v>16510.875404378829</v>
      </c>
      <c r="V13" s="133">
        <f>IF(SER_hh_fec!V13=0,0,11630*1000*SER_hh_fec!V13/SER_hh_num!V13)</f>
        <v>15547.001624467137</v>
      </c>
      <c r="W13" s="133">
        <f>IF(SER_hh_fec!W13=0,0,11630*1000*SER_hh_fec!W13/SER_hh_num!W13)</f>
        <v>15618.393090063759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123508.62654405196</v>
      </c>
      <c r="C14" s="65">
        <f>IF(SER_hh_fec!C14=0,0,11630*1000*SER_hh_fec!C14/SER_hh_num!C14)</f>
        <v>123165.14589322271</v>
      </c>
      <c r="D14" s="65">
        <f>IF(SER_hh_fec!D14=0,0,11630*1000*SER_hh_fec!D14/SER_hh_num!D14)</f>
        <v>113974.16022471174</v>
      </c>
      <c r="E14" s="65">
        <f>IF(SER_hh_fec!E14=0,0,11630*1000*SER_hh_fec!E14/SER_hh_num!E14)</f>
        <v>137478.73217014287</v>
      </c>
      <c r="F14" s="65">
        <f>IF(SER_hh_fec!F14=0,0,11630*1000*SER_hh_fec!F14/SER_hh_num!F14)</f>
        <v>95448.743104319889</v>
      </c>
      <c r="G14" s="65">
        <f>IF(SER_hh_fec!G14=0,0,11630*1000*SER_hh_fec!G14/SER_hh_num!G14)</f>
        <v>93283.717124462084</v>
      </c>
      <c r="H14" s="65">
        <f>IF(SER_hh_fec!H14=0,0,11630*1000*SER_hh_fec!H14/SER_hh_num!H14)</f>
        <v>89366.03817536986</v>
      </c>
      <c r="I14" s="65">
        <f>IF(SER_hh_fec!I14=0,0,11630*1000*SER_hh_fec!I14/SER_hh_num!I14)</f>
        <v>82632.718955652395</v>
      </c>
      <c r="J14" s="65">
        <f>IF(SER_hh_fec!J14=0,0,11630*1000*SER_hh_fec!J14/SER_hh_num!J14)</f>
        <v>84933.541819780221</v>
      </c>
      <c r="K14" s="65">
        <f>IF(SER_hh_fec!K14=0,0,11630*1000*SER_hh_fec!K14/SER_hh_num!K14)</f>
        <v>79382.04154666033</v>
      </c>
      <c r="L14" s="65">
        <f>IF(SER_hh_fec!L14=0,0,11630*1000*SER_hh_fec!L14/SER_hh_num!L14)</f>
        <v>86328.249317322479</v>
      </c>
      <c r="M14" s="65">
        <f>IF(SER_hh_fec!M14=0,0,11630*1000*SER_hh_fec!M14/SER_hh_num!M14)</f>
        <v>76680.990216020204</v>
      </c>
      <c r="N14" s="65">
        <f>IF(SER_hh_fec!N14=0,0,11630*1000*SER_hh_fec!N14/SER_hh_num!N14)</f>
        <v>73541.873101782257</v>
      </c>
      <c r="O14" s="65">
        <f>IF(SER_hh_fec!O14=0,0,11630*1000*SER_hh_fec!O14/SER_hh_num!O14)</f>
        <v>76011.506187033694</v>
      </c>
      <c r="P14" s="65">
        <f>IF(SER_hh_fec!P14=0,0,11630*1000*SER_hh_fec!P14/SER_hh_num!P14)</f>
        <v>67119.346664740558</v>
      </c>
      <c r="Q14" s="65">
        <f>IF(SER_hh_fec!Q14=0,0,11630*1000*SER_hh_fec!Q14/SER_hh_num!Q14)</f>
        <v>64495.872514630137</v>
      </c>
      <c r="R14" s="65">
        <f>IF(SER_hh_fec!R14=0,0,11630*1000*SER_hh_fec!R14/SER_hh_num!R14)</f>
        <v>69297.816670746921</v>
      </c>
      <c r="S14" s="65">
        <f>IF(SER_hh_fec!S14=0,0,11630*1000*SER_hh_fec!S14/SER_hh_num!S14)</f>
        <v>70367.903366136175</v>
      </c>
      <c r="T14" s="65">
        <f>IF(SER_hh_fec!T14=0,0,11630*1000*SER_hh_fec!T14/SER_hh_num!T14)</f>
        <v>68692.442514739436</v>
      </c>
      <c r="U14" s="65">
        <f>IF(SER_hh_fec!U14=0,0,11630*1000*SER_hh_fec!U14/SER_hh_num!U14)</f>
        <v>69979.49557486875</v>
      </c>
      <c r="V14" s="65">
        <f>IF(SER_hh_fec!V14=0,0,11630*1000*SER_hh_fec!V14/SER_hh_num!V14)</f>
        <v>63965.800933305094</v>
      </c>
      <c r="W14" s="65">
        <f>IF(SER_hh_fec!W14=0,0,11630*1000*SER_hh_fec!W14/SER_hh_num!W14)</f>
        <v>62594.229141163429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1008.6252321537014</v>
      </c>
      <c r="C15" s="135">
        <f>IF(SER_hh_fec!C15=0,0,11630*1000*SER_hh_fec!C15/SER_hh_num!C15)</f>
        <v>1018.2752323567897</v>
      </c>
      <c r="D15" s="135">
        <f>IF(SER_hh_fec!D15=0,0,11630*1000*SER_hh_fec!D15/SER_hh_num!D15)</f>
        <v>923.63418799159399</v>
      </c>
      <c r="E15" s="135">
        <f>IF(SER_hh_fec!E15=0,0,11630*1000*SER_hh_fec!E15/SER_hh_num!E15)</f>
        <v>979.61513838315022</v>
      </c>
      <c r="F15" s="135">
        <f>IF(SER_hh_fec!F15=0,0,11630*1000*SER_hh_fec!F15/SER_hh_num!F15)</f>
        <v>933.82433553210626</v>
      </c>
      <c r="G15" s="135">
        <f>IF(SER_hh_fec!G15=0,0,11630*1000*SER_hh_fec!G15/SER_hh_num!G15)</f>
        <v>819.80084969009908</v>
      </c>
      <c r="H15" s="135">
        <f>IF(SER_hh_fec!H15=0,0,11630*1000*SER_hh_fec!H15/SER_hh_num!H15)</f>
        <v>764.72850210388322</v>
      </c>
      <c r="I15" s="135">
        <f>IF(SER_hh_fec!I15=0,0,11630*1000*SER_hh_fec!I15/SER_hh_num!I15)</f>
        <v>705.37438167974096</v>
      </c>
      <c r="J15" s="135">
        <f>IF(SER_hh_fec!J15=0,0,11630*1000*SER_hh_fec!J15/SER_hh_num!J15)</f>
        <v>769.34501365654125</v>
      </c>
      <c r="K15" s="135">
        <f>IF(SER_hh_fec!K15=0,0,11630*1000*SER_hh_fec!K15/SER_hh_num!K15)</f>
        <v>673.05236192843256</v>
      </c>
      <c r="L15" s="135">
        <f>IF(SER_hh_fec!L15=0,0,11630*1000*SER_hh_fec!L15/SER_hh_num!L15)</f>
        <v>725.52412494993655</v>
      </c>
      <c r="M15" s="135">
        <f>IF(SER_hh_fec!M15=0,0,11630*1000*SER_hh_fec!M15/SER_hh_num!M15)</f>
        <v>680.93474424562351</v>
      </c>
      <c r="N15" s="135">
        <f>IF(SER_hh_fec!N15=0,0,11630*1000*SER_hh_fec!N15/SER_hh_num!N15)</f>
        <v>635.99223709180114</v>
      </c>
      <c r="O15" s="135">
        <f>IF(SER_hh_fec!O15=0,0,11630*1000*SER_hh_fec!O15/SER_hh_num!O15)</f>
        <v>605.93556412800194</v>
      </c>
      <c r="P15" s="135">
        <f>IF(SER_hh_fec!P15=0,0,11630*1000*SER_hh_fec!P15/SER_hh_num!P15)</f>
        <v>572.18837797897345</v>
      </c>
      <c r="Q15" s="135">
        <f>IF(SER_hh_fec!Q15=0,0,11630*1000*SER_hh_fec!Q15/SER_hh_num!Q15)</f>
        <v>568.51275417045156</v>
      </c>
      <c r="R15" s="135">
        <f>IF(SER_hh_fec!R15=0,0,11630*1000*SER_hh_fec!R15/SER_hh_num!R15)</f>
        <v>578.83228019838918</v>
      </c>
      <c r="S15" s="135">
        <f>IF(SER_hh_fec!S15=0,0,11630*1000*SER_hh_fec!S15/SER_hh_num!S15)</f>
        <v>611.24831200392941</v>
      </c>
      <c r="T15" s="135">
        <f>IF(SER_hh_fec!T15=0,0,11630*1000*SER_hh_fec!T15/SER_hh_num!T15)</f>
        <v>565.21912847194517</v>
      </c>
      <c r="U15" s="135">
        <f>IF(SER_hh_fec!U15=0,0,11630*1000*SER_hh_fec!U15/SER_hh_num!U15)</f>
        <v>593.30987882664544</v>
      </c>
      <c r="V15" s="135">
        <f>IF(SER_hh_fec!V15=0,0,11630*1000*SER_hh_fec!V15/SER_hh_num!V15)</f>
        <v>550.51950334366506</v>
      </c>
      <c r="W15" s="135">
        <f>IF(SER_hh_fec!W15=0,0,11630*1000*SER_hh_fec!W15/SER_hh_num!W15)</f>
        <v>529.3756200986835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13832.120688829495</v>
      </c>
      <c r="C16" s="131">
        <f>IF(SER_hh_fec!C16=0,0,11630*1000*SER_hh_fec!C16/SER_hh_num!C16)</f>
        <v>13122.590653072542</v>
      </c>
      <c r="D16" s="131">
        <f>IF(SER_hh_fec!D16=0,0,11630*1000*SER_hh_fec!D16/SER_hh_num!D16)</f>
        <v>12285.440549598532</v>
      </c>
      <c r="E16" s="131">
        <f>IF(SER_hh_fec!E16=0,0,11630*1000*SER_hh_fec!E16/SER_hh_num!E16)</f>
        <v>12384.31864507335</v>
      </c>
      <c r="F16" s="131">
        <f>IF(SER_hh_fec!F16=0,0,11630*1000*SER_hh_fec!F16/SER_hh_num!F16)</f>
        <v>11321.319373540637</v>
      </c>
      <c r="G16" s="131">
        <f>IF(SER_hh_fec!G16=0,0,11630*1000*SER_hh_fec!G16/SER_hh_num!G16)</f>
        <v>10833.728991815609</v>
      </c>
      <c r="H16" s="131">
        <f>IF(SER_hh_fec!H16=0,0,11630*1000*SER_hh_fec!H16/SER_hh_num!H16)</f>
        <v>10674.491871683773</v>
      </c>
      <c r="I16" s="131">
        <f>IF(SER_hh_fec!I16=0,0,11630*1000*SER_hh_fec!I16/SER_hh_num!I16)</f>
        <v>10126.228256805442</v>
      </c>
      <c r="J16" s="131">
        <f>IF(SER_hh_fec!J16=0,0,11630*1000*SER_hh_fec!J16/SER_hh_num!J16)</f>
        <v>9637.2453046488208</v>
      </c>
      <c r="K16" s="131">
        <f>IF(SER_hh_fec!K16=0,0,11630*1000*SER_hh_fec!K16/SER_hh_num!K16)</f>
        <v>9521.2512775067062</v>
      </c>
      <c r="L16" s="131">
        <f>IF(SER_hh_fec!L16=0,0,11630*1000*SER_hh_fec!L16/SER_hh_num!L16)</f>
        <v>9597.9283204369895</v>
      </c>
      <c r="M16" s="131">
        <f>IF(SER_hh_fec!M16=0,0,11630*1000*SER_hh_fec!M16/SER_hh_num!M16)</f>
        <v>9237.6828360054806</v>
      </c>
      <c r="N16" s="131">
        <f>IF(SER_hh_fec!N16=0,0,11630*1000*SER_hh_fec!N16/SER_hh_num!N16)</f>
        <v>9137.1883224666108</v>
      </c>
      <c r="O16" s="131">
        <f>IF(SER_hh_fec!O16=0,0,11630*1000*SER_hh_fec!O16/SER_hh_num!O16)</f>
        <v>9344.487374330467</v>
      </c>
      <c r="P16" s="131">
        <f>IF(SER_hh_fec!P16=0,0,11630*1000*SER_hh_fec!P16/SER_hh_num!P16)</f>
        <v>8616.655862782638</v>
      </c>
      <c r="Q16" s="131">
        <f>IF(SER_hh_fec!Q16=0,0,11630*1000*SER_hh_fec!Q16/SER_hh_num!Q16)</f>
        <v>9749.941535328082</v>
      </c>
      <c r="R16" s="131">
        <f>IF(SER_hh_fec!R16=0,0,11630*1000*SER_hh_fec!R16/SER_hh_num!R16)</f>
        <v>8063.4019605606136</v>
      </c>
      <c r="S16" s="131">
        <f>IF(SER_hh_fec!S16=0,0,11630*1000*SER_hh_fec!S16/SER_hh_num!S16)</f>
        <v>7945.236244531894</v>
      </c>
      <c r="T16" s="131">
        <f>IF(SER_hh_fec!T16=0,0,11630*1000*SER_hh_fec!T16/SER_hh_num!T16)</f>
        <v>8162.8760343314052</v>
      </c>
      <c r="U16" s="131">
        <f>IF(SER_hh_fec!U16=0,0,11630*1000*SER_hh_fec!U16/SER_hh_num!U16)</f>
        <v>7862.7612941644475</v>
      </c>
      <c r="V16" s="131">
        <f>IF(SER_hh_fec!V16=0,0,11630*1000*SER_hh_fec!V16/SER_hh_num!V16)</f>
        <v>7360.082425763364</v>
      </c>
      <c r="W16" s="131">
        <f>IF(SER_hh_fec!W16=0,0,11630*1000*SER_hh_fec!W16/SER_hh_num!W16)</f>
        <v>7207.4524197154306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19426.760765082061</v>
      </c>
      <c r="H17" s="133">
        <f>IF(SER_hh_fec!H17=0,0,11630*1000*SER_hh_fec!H17/SER_hh_num!H17)</f>
        <v>20028.933713749717</v>
      </c>
      <c r="I17" s="133">
        <f>IF(SER_hh_fec!I17=0,0,11630*1000*SER_hh_fec!I17/SER_hh_num!I17)</f>
        <v>19743.007984789143</v>
      </c>
      <c r="J17" s="133">
        <f>IF(SER_hh_fec!J17=0,0,11630*1000*SER_hh_fec!J17/SER_hh_num!J17)</f>
        <v>19458.653615671625</v>
      </c>
      <c r="K17" s="133">
        <f>IF(SER_hh_fec!K17=0,0,11630*1000*SER_hh_fec!K17/SER_hh_num!K17)</f>
        <v>19489.628765659454</v>
      </c>
      <c r="L17" s="133">
        <f>IF(SER_hh_fec!L17=0,0,11630*1000*SER_hh_fec!L17/SER_hh_num!L17)</f>
        <v>20032.179663606537</v>
      </c>
      <c r="M17" s="133">
        <f>IF(SER_hh_fec!M17=0,0,11630*1000*SER_hh_fec!M17/SER_hh_num!M17)</f>
        <v>19804.445923413925</v>
      </c>
      <c r="N17" s="133">
        <f>IF(SER_hh_fec!N17=0,0,11630*1000*SER_hh_fec!N17/SER_hh_num!N17)</f>
        <v>20073.439373428511</v>
      </c>
      <c r="O17" s="133">
        <f>IF(SER_hh_fec!O17=0,0,11630*1000*SER_hh_fec!O17/SER_hh_num!O17)</f>
        <v>20900.564282471081</v>
      </c>
      <c r="P17" s="133">
        <f>IF(SER_hh_fec!P17=0,0,11630*1000*SER_hh_fec!P17/SER_hh_num!P17)</f>
        <v>19518.363292636968</v>
      </c>
      <c r="Q17" s="133">
        <f>IF(SER_hh_fec!Q17=0,0,11630*1000*SER_hh_fec!Q17/SER_hh_num!Q17)</f>
        <v>22377.804944185948</v>
      </c>
      <c r="R17" s="133">
        <f>IF(SER_hh_fec!R17=0,0,11630*1000*SER_hh_fec!R17/SER_hh_num!R17)</f>
        <v>18955.290020704295</v>
      </c>
      <c r="S17" s="133">
        <f>IF(SER_hh_fec!S17=0,0,11630*1000*SER_hh_fec!S17/SER_hh_num!S17)</f>
        <v>19024.432642758213</v>
      </c>
      <c r="T17" s="133">
        <f>IF(SER_hh_fec!T17=0,0,11630*1000*SER_hh_fec!T17/SER_hh_num!T17)</f>
        <v>21058.683786065048</v>
      </c>
      <c r="U17" s="133">
        <f>IF(SER_hh_fec!U17=0,0,11630*1000*SER_hh_fec!U17/SER_hh_num!U17)</f>
        <v>19389.796832416367</v>
      </c>
      <c r="V17" s="133">
        <f>IF(SER_hh_fec!V17=0,0,11630*1000*SER_hh_fec!V17/SER_hh_num!V17)</f>
        <v>18222.481972110661</v>
      </c>
      <c r="W17" s="133">
        <f>IF(SER_hh_fec!W17=0,0,11630*1000*SER_hh_fec!W17/SER_hh_num!W17)</f>
        <v>18072.122900563605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13832.120688829495</v>
      </c>
      <c r="C18" s="133">
        <f>IF(SER_hh_fec!C18=0,0,11630*1000*SER_hh_fec!C18/SER_hh_num!C18)</f>
        <v>13122.590653072542</v>
      </c>
      <c r="D18" s="133">
        <f>IF(SER_hh_fec!D18=0,0,11630*1000*SER_hh_fec!D18/SER_hh_num!D18)</f>
        <v>12285.440549598532</v>
      </c>
      <c r="E18" s="133">
        <f>IF(SER_hh_fec!E18=0,0,11630*1000*SER_hh_fec!E18/SER_hh_num!E18)</f>
        <v>12384.31864507335</v>
      </c>
      <c r="F18" s="133">
        <f>IF(SER_hh_fec!F18=0,0,11630*1000*SER_hh_fec!F18/SER_hh_num!F18)</f>
        <v>11321.319373540637</v>
      </c>
      <c r="G18" s="133">
        <f>IF(SER_hh_fec!G18=0,0,11630*1000*SER_hh_fec!G18/SER_hh_num!G18)</f>
        <v>10824.621451980913</v>
      </c>
      <c r="H18" s="133">
        <f>IF(SER_hh_fec!H18=0,0,11630*1000*SER_hh_fec!H18/SER_hh_num!H18)</f>
        <v>10664.352994128531</v>
      </c>
      <c r="I18" s="133">
        <f>IF(SER_hh_fec!I18=0,0,11630*1000*SER_hh_fec!I18/SER_hh_num!I18)</f>
        <v>10113.600505052067</v>
      </c>
      <c r="J18" s="133">
        <f>IF(SER_hh_fec!J18=0,0,11630*1000*SER_hh_fec!J18/SER_hh_num!J18)</f>
        <v>9625.2809542675786</v>
      </c>
      <c r="K18" s="133">
        <f>IF(SER_hh_fec!K18=0,0,11630*1000*SER_hh_fec!K18/SER_hh_num!K18)</f>
        <v>9506.5377059726434</v>
      </c>
      <c r="L18" s="133">
        <f>IF(SER_hh_fec!L18=0,0,11630*1000*SER_hh_fec!L18/SER_hh_num!L18)</f>
        <v>9583.5441531034594</v>
      </c>
      <c r="M18" s="133">
        <f>IF(SER_hh_fec!M18=0,0,11630*1000*SER_hh_fec!M18/SER_hh_num!M18)</f>
        <v>9223.2130370314771</v>
      </c>
      <c r="N18" s="133">
        <f>IF(SER_hh_fec!N18=0,0,11630*1000*SER_hh_fec!N18/SER_hh_num!N18)</f>
        <v>9122.174193843035</v>
      </c>
      <c r="O18" s="133">
        <f>IF(SER_hh_fec!O18=0,0,11630*1000*SER_hh_fec!O18/SER_hh_num!O18)</f>
        <v>9325.9508631383014</v>
      </c>
      <c r="P18" s="133">
        <f>IF(SER_hh_fec!P18=0,0,11630*1000*SER_hh_fec!P18/SER_hh_num!P18)</f>
        <v>8591.5019170842515</v>
      </c>
      <c r="Q18" s="133">
        <f>IF(SER_hh_fec!Q18=0,0,11630*1000*SER_hh_fec!Q18/SER_hh_num!Q18)</f>
        <v>9705.0431054754954</v>
      </c>
      <c r="R18" s="133">
        <f>IF(SER_hh_fec!R18=0,0,11630*1000*SER_hh_fec!R18/SER_hh_num!R18)</f>
        <v>8018.5811947123493</v>
      </c>
      <c r="S18" s="133">
        <f>IF(SER_hh_fec!S18=0,0,11630*1000*SER_hh_fec!S18/SER_hh_num!S18)</f>
        <v>7891.2970734687642</v>
      </c>
      <c r="T18" s="133">
        <f>IF(SER_hh_fec!T18=0,0,11630*1000*SER_hh_fec!T18/SER_hh_num!T18)</f>
        <v>8092.6062547955498</v>
      </c>
      <c r="U18" s="133">
        <f>IF(SER_hh_fec!U18=0,0,11630*1000*SER_hh_fec!U18/SER_hh_num!U18)</f>
        <v>7795.8063401461086</v>
      </c>
      <c r="V18" s="133">
        <f>IF(SER_hh_fec!V18=0,0,11630*1000*SER_hh_fec!V18/SER_hh_num!V18)</f>
        <v>7284.5321326168469</v>
      </c>
      <c r="W18" s="133">
        <f>IF(SER_hh_fec!W18=0,0,11630*1000*SER_hh_fec!W18/SER_hh_num!W18)</f>
        <v>7131.2658914231351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11741.686454375154</v>
      </c>
      <c r="C19" s="131">
        <f>IF(SER_hh_fec!C19=0,0,11630*1000*SER_hh_fec!C19/SER_hh_num!C19)</f>
        <v>11584.977929262308</v>
      </c>
      <c r="D19" s="131">
        <f>IF(SER_hh_fec!D19=0,0,11630*1000*SER_hh_fec!D19/SER_hh_num!D19)</f>
        <v>11402.998445263987</v>
      </c>
      <c r="E19" s="131">
        <f>IF(SER_hh_fec!E19=0,0,11630*1000*SER_hh_fec!E19/SER_hh_num!E19)</f>
        <v>11182.728686539209</v>
      </c>
      <c r="F19" s="131">
        <f>IF(SER_hh_fec!F19=0,0,11630*1000*SER_hh_fec!F19/SER_hh_num!F19)</f>
        <v>10830.679377025854</v>
      </c>
      <c r="G19" s="131">
        <f>IF(SER_hh_fec!G19=0,0,11630*1000*SER_hh_fec!G19/SER_hh_num!G19)</f>
        <v>10707.659504301884</v>
      </c>
      <c r="H19" s="131">
        <f>IF(SER_hh_fec!H19=0,0,11630*1000*SER_hh_fec!H19/SER_hh_num!H19)</f>
        <v>10722.030531361976</v>
      </c>
      <c r="I19" s="131">
        <f>IF(SER_hh_fec!I19=0,0,11630*1000*SER_hh_fec!I19/SER_hh_num!I19)</f>
        <v>10711.191391673983</v>
      </c>
      <c r="J19" s="131">
        <f>IF(SER_hh_fec!J19=0,0,11630*1000*SER_hh_fec!J19/SER_hh_num!J19)</f>
        <v>10715.444736776473</v>
      </c>
      <c r="K19" s="131">
        <f>IF(SER_hh_fec!K19=0,0,11630*1000*SER_hh_fec!K19/SER_hh_num!K19)</f>
        <v>11535.502836525568</v>
      </c>
      <c r="L19" s="131">
        <f>IF(SER_hh_fec!L19=0,0,11630*1000*SER_hh_fec!L19/SER_hh_num!L19)</f>
        <v>11779.893549433908</v>
      </c>
      <c r="M19" s="131">
        <f>IF(SER_hh_fec!M19=0,0,11630*1000*SER_hh_fec!M19/SER_hh_num!M19)</f>
        <v>11775.581378501633</v>
      </c>
      <c r="N19" s="131">
        <f>IF(SER_hh_fec!N19=0,0,11630*1000*SER_hh_fec!N19/SER_hh_num!N19)</f>
        <v>11830.316300081831</v>
      </c>
      <c r="O19" s="131">
        <f>IF(SER_hh_fec!O19=0,0,11630*1000*SER_hh_fec!O19/SER_hh_num!O19)</f>
        <v>11761.746164183489</v>
      </c>
      <c r="P19" s="131">
        <f>IF(SER_hh_fec!P19=0,0,11630*1000*SER_hh_fec!P19/SER_hh_num!P19)</f>
        <v>11621.934258327654</v>
      </c>
      <c r="Q19" s="131">
        <f>IF(SER_hh_fec!Q19=0,0,11630*1000*SER_hh_fec!Q19/SER_hh_num!Q19)</f>
        <v>11524.283849205323</v>
      </c>
      <c r="R19" s="131">
        <f>IF(SER_hh_fec!R19=0,0,11630*1000*SER_hh_fec!R19/SER_hh_num!R19)</f>
        <v>11616.566971103815</v>
      </c>
      <c r="S19" s="131">
        <f>IF(SER_hh_fec!S19=0,0,11630*1000*SER_hh_fec!S19/SER_hh_num!S19)</f>
        <v>11599.01220256242</v>
      </c>
      <c r="T19" s="131">
        <f>IF(SER_hh_fec!T19=0,0,11630*1000*SER_hh_fec!T19/SER_hh_num!T19)</f>
        <v>11296.451925849293</v>
      </c>
      <c r="U19" s="131">
        <f>IF(SER_hh_fec!U19=0,0,11630*1000*SER_hh_fec!U19/SER_hh_num!U19)</f>
        <v>11175.63361543708</v>
      </c>
      <c r="V19" s="131">
        <f>IF(SER_hh_fec!V19=0,0,11630*1000*SER_hh_fec!V19/SER_hh_num!V19)</f>
        <v>10445.50423153681</v>
      </c>
      <c r="W19" s="131">
        <f>IF(SER_hh_fec!W19=0,0,11630*1000*SER_hh_fec!W19/SER_hh_num!W19)</f>
        <v>10388.893571740067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13904.249744134402</v>
      </c>
      <c r="C23" s="133">
        <f>IF(SER_hh_fec!C23=0,0,11630*1000*SER_hh_fec!C23/SER_hh_num!C23)</f>
        <v>13602.847687777963</v>
      </c>
      <c r="D23" s="133">
        <f>IF(SER_hh_fec!D23=0,0,11630*1000*SER_hh_fec!D23/SER_hh_num!D23)</f>
        <v>13445.920181947282</v>
      </c>
      <c r="E23" s="133">
        <f>IF(SER_hh_fec!E23=0,0,11630*1000*SER_hh_fec!E23/SER_hh_num!E23)</f>
        <v>12974.712605993718</v>
      </c>
      <c r="F23" s="133">
        <f>IF(SER_hh_fec!F23=0,0,11630*1000*SER_hh_fec!F23/SER_hh_num!F23)</f>
        <v>12415.380640153506</v>
      </c>
      <c r="G23" s="133">
        <f>IF(SER_hh_fec!G23=0,0,11630*1000*SER_hh_fec!G23/SER_hh_num!G23)</f>
        <v>12321.686937287204</v>
      </c>
      <c r="H23" s="133">
        <f>IF(SER_hh_fec!H23=0,0,11630*1000*SER_hh_fec!H23/SER_hh_num!H23)</f>
        <v>12152.792335060638</v>
      </c>
      <c r="I23" s="133">
        <f>IF(SER_hh_fec!I23=0,0,11630*1000*SER_hh_fec!I23/SER_hh_num!I23)</f>
        <v>11671.022807822643</v>
      </c>
      <c r="J23" s="133">
        <f>IF(SER_hh_fec!J23=0,0,11630*1000*SER_hh_fec!J23/SER_hh_num!J23)</f>
        <v>11709.658574911364</v>
      </c>
      <c r="K23" s="133">
        <f>IF(SER_hh_fec!K23=0,0,11630*1000*SER_hh_fec!K23/SER_hh_num!K23)</f>
        <v>13860.670119614726</v>
      </c>
      <c r="L23" s="133">
        <f>IF(SER_hh_fec!L23=0,0,11630*1000*SER_hh_fec!L23/SER_hh_num!L23)</f>
        <v>12921.594485863649</v>
      </c>
      <c r="M23" s="133">
        <f>IF(SER_hh_fec!M23=0,0,11630*1000*SER_hh_fec!M23/SER_hh_num!M23)</f>
        <v>12796.514446517351</v>
      </c>
      <c r="N23" s="133">
        <f>IF(SER_hh_fec!N23=0,0,11630*1000*SER_hh_fec!N23/SER_hh_num!N23)</f>
        <v>12994.879768711866</v>
      </c>
      <c r="O23" s="133">
        <f>IF(SER_hh_fec!O23=0,0,11630*1000*SER_hh_fec!O23/SER_hh_num!O23)</f>
        <v>13007.106977344567</v>
      </c>
      <c r="P23" s="133">
        <f>IF(SER_hh_fec!P23=0,0,11630*1000*SER_hh_fec!P23/SER_hh_num!P23)</f>
        <v>12817.97098703074</v>
      </c>
      <c r="Q23" s="133">
        <f>IF(SER_hh_fec!Q23=0,0,11630*1000*SER_hh_fec!Q23/SER_hh_num!Q23)</f>
        <v>12472.57387667765</v>
      </c>
      <c r="R23" s="133">
        <f>IF(SER_hh_fec!R23=0,0,11630*1000*SER_hh_fec!R23/SER_hh_num!R23)</f>
        <v>12449.978252056435</v>
      </c>
      <c r="S23" s="133">
        <f>IF(SER_hh_fec!S23=0,0,11630*1000*SER_hh_fec!S23/SER_hh_num!S23)</f>
        <v>12911.848811496797</v>
      </c>
      <c r="T23" s="133">
        <f>IF(SER_hh_fec!T23=0,0,11630*1000*SER_hh_fec!T23/SER_hh_num!T23)</f>
        <v>11690.28210200733</v>
      </c>
      <c r="U23" s="133">
        <f>IF(SER_hh_fec!U23=0,0,11630*1000*SER_hh_fec!U23/SER_hh_num!U23)</f>
        <v>12075.022860115909</v>
      </c>
      <c r="V23" s="133">
        <f>IF(SER_hh_fec!V23=0,0,11630*1000*SER_hh_fec!V23/SER_hh_num!V23)</f>
        <v>11055.115181064026</v>
      </c>
      <c r="W23" s="133">
        <f>IF(SER_hh_fec!W23=0,0,11630*1000*SER_hh_fec!W23/SER_hh_num!W23)</f>
        <v>10826.116408468366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9293.0157987782804</v>
      </c>
      <c r="C25" s="133">
        <f>IF(SER_hh_fec!C25=0,0,11630*1000*SER_hh_fec!C25/SER_hh_num!C25)</f>
        <v>9245.0738325390121</v>
      </c>
      <c r="D25" s="133">
        <f>IF(SER_hh_fec!D25=0,0,11630*1000*SER_hh_fec!D25/SER_hh_num!D25)</f>
        <v>9022.7635524174075</v>
      </c>
      <c r="E25" s="133">
        <f>IF(SER_hh_fec!E25=0,0,11630*1000*SER_hh_fec!E25/SER_hh_num!E25)</f>
        <v>8974.9582262485637</v>
      </c>
      <c r="F25" s="133">
        <f>IF(SER_hh_fec!F25=0,0,11630*1000*SER_hh_fec!F25/SER_hh_num!F25)</f>
        <v>8838.9046341628873</v>
      </c>
      <c r="G25" s="133">
        <f>IF(SER_hh_fec!G25=0,0,11630*1000*SER_hh_fec!G25/SER_hh_num!G25)</f>
        <v>8592.3734535197163</v>
      </c>
      <c r="H25" s="133">
        <f>IF(SER_hh_fec!H25=0,0,11630*1000*SER_hh_fec!H25/SER_hh_num!H25)</f>
        <v>8727.3071404095881</v>
      </c>
      <c r="I25" s="133">
        <f>IF(SER_hh_fec!I25=0,0,11630*1000*SER_hh_fec!I25/SER_hh_num!I25)</f>
        <v>8709.5816719352697</v>
      </c>
      <c r="J25" s="133">
        <f>IF(SER_hh_fec!J25=0,0,11630*1000*SER_hh_fec!J25/SER_hh_num!J25)</f>
        <v>8863.5738875241695</v>
      </c>
      <c r="K25" s="133">
        <f>IF(SER_hh_fec!K25=0,0,11630*1000*SER_hh_fec!K25/SER_hh_num!K25)</f>
        <v>8996.4924399884985</v>
      </c>
      <c r="L25" s="133">
        <f>IF(SER_hh_fec!L25=0,0,11630*1000*SER_hh_fec!L25/SER_hh_num!L25)</f>
        <v>9362.2924946644343</v>
      </c>
      <c r="M25" s="133">
        <f>IF(SER_hh_fec!M25=0,0,11630*1000*SER_hh_fec!M25/SER_hh_num!M25)</f>
        <v>9708.7573671108003</v>
      </c>
      <c r="N25" s="133">
        <f>IF(SER_hh_fec!N25=0,0,11630*1000*SER_hh_fec!N25/SER_hh_num!N25)</f>
        <v>9729.7707458837667</v>
      </c>
      <c r="O25" s="133">
        <f>IF(SER_hh_fec!O25=0,0,11630*1000*SER_hh_fec!O25/SER_hh_num!O25)</f>
        <v>10056.09917201007</v>
      </c>
      <c r="P25" s="133">
        <f>IF(SER_hh_fec!P25=0,0,11630*1000*SER_hh_fec!P25/SER_hh_num!P25)</f>
        <v>9786.5980401819725</v>
      </c>
      <c r="Q25" s="133">
        <f>IF(SER_hh_fec!Q25=0,0,11630*1000*SER_hh_fec!Q25/SER_hh_num!Q25)</f>
        <v>9673.2511605645868</v>
      </c>
      <c r="R25" s="133">
        <f>IF(SER_hh_fec!R25=0,0,11630*1000*SER_hh_fec!R25/SER_hh_num!R25)</f>
        <v>10016.966371116718</v>
      </c>
      <c r="S25" s="133">
        <f>IF(SER_hh_fec!S25=0,0,11630*1000*SER_hh_fec!S25/SER_hh_num!S25)</f>
        <v>9978.1201413280069</v>
      </c>
      <c r="T25" s="133">
        <f>IF(SER_hh_fec!T25=0,0,11630*1000*SER_hh_fec!T25/SER_hh_num!T25)</f>
        <v>10096.123787540857</v>
      </c>
      <c r="U25" s="133">
        <f>IF(SER_hh_fec!U25=0,0,11630*1000*SER_hh_fec!U25/SER_hh_num!U25)</f>
        <v>9736.318487229215</v>
      </c>
      <c r="V25" s="133">
        <f>IF(SER_hh_fec!V25=0,0,11630*1000*SER_hh_fec!V25/SER_hh_num!V25)</f>
        <v>9434.2977638381071</v>
      </c>
      <c r="W25" s="133">
        <f>IF(SER_hh_fec!W25=0,0,11630*1000*SER_hh_fec!W25/SER_hh_num!W25)</f>
        <v>9691.6329886520816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11442.586277545839</v>
      </c>
      <c r="C26" s="65">
        <f>IF(SER_hh_fec!C26=0,0,11630*1000*SER_hh_fec!C26/SER_hh_num!C26)</f>
        <v>11317.457064957205</v>
      </c>
      <c r="D26" s="65">
        <f>IF(SER_hh_fec!D26=0,0,11630*1000*SER_hh_fec!D26/SER_hh_num!D26)</f>
        <v>11091.542573671582</v>
      </c>
      <c r="E26" s="65">
        <f>IF(SER_hh_fec!E26=0,0,11630*1000*SER_hh_fec!E26/SER_hh_num!E26)</f>
        <v>10895.154386271392</v>
      </c>
      <c r="F26" s="65">
        <f>IF(SER_hh_fec!F26=0,0,11630*1000*SER_hh_fec!F26/SER_hh_num!F26)</f>
        <v>10526.251213151039</v>
      </c>
      <c r="G26" s="65">
        <f>IF(SER_hh_fec!G26=0,0,11630*1000*SER_hh_fec!G26/SER_hh_num!G26)</f>
        <v>10361.710990499338</v>
      </c>
      <c r="H26" s="65">
        <f>IF(SER_hh_fec!H26=0,0,11630*1000*SER_hh_fec!H26/SER_hh_num!H26)</f>
        <v>10382.686632244177</v>
      </c>
      <c r="I26" s="65">
        <f>IF(SER_hh_fec!I26=0,0,11630*1000*SER_hh_fec!I26/SER_hh_num!I26)</f>
        <v>10737.69304104748</v>
      </c>
      <c r="J26" s="65">
        <f>IF(SER_hh_fec!J26=0,0,11630*1000*SER_hh_fec!J26/SER_hh_num!J26)</f>
        <v>10504.481054146705</v>
      </c>
      <c r="K26" s="65">
        <f>IF(SER_hh_fec!K26=0,0,11630*1000*SER_hh_fec!K26/SER_hh_num!K26)</f>
        <v>9961.3538735894654</v>
      </c>
      <c r="L26" s="65">
        <f>IF(SER_hh_fec!L26=0,0,11630*1000*SER_hh_fec!L26/SER_hh_num!L26)</f>
        <v>11585.366605173574</v>
      </c>
      <c r="M26" s="65">
        <f>IF(SER_hh_fec!M26=0,0,11630*1000*SER_hh_fec!M26/SER_hh_num!M26)</f>
        <v>11478.246445000415</v>
      </c>
      <c r="N26" s="65">
        <f>IF(SER_hh_fec!N26=0,0,11630*1000*SER_hh_fec!N26/SER_hh_num!N26)</f>
        <v>11396.32806771138</v>
      </c>
      <c r="O26" s="65">
        <f>IF(SER_hh_fec!O26=0,0,11630*1000*SER_hh_fec!O26/SER_hh_num!O26)</f>
        <v>10948.281592905141</v>
      </c>
      <c r="P26" s="65">
        <f>IF(SER_hh_fec!P26=0,0,11630*1000*SER_hh_fec!P26/SER_hh_num!P26)</f>
        <v>10928.477114449453</v>
      </c>
      <c r="Q26" s="65">
        <f>IF(SER_hh_fec!Q26=0,0,11630*1000*SER_hh_fec!Q26/SER_hh_num!Q26)</f>
        <v>11140.350401825046</v>
      </c>
      <c r="R26" s="65">
        <f>IF(SER_hh_fec!R26=0,0,11630*1000*SER_hh_fec!R26/SER_hh_num!R26)</f>
        <v>11193.900838249805</v>
      </c>
      <c r="S26" s="65">
        <f>IF(SER_hh_fec!S26=0,0,11630*1000*SER_hh_fec!S26/SER_hh_num!S26)</f>
        <v>10439.794779184624</v>
      </c>
      <c r="T26" s="65">
        <f>IF(SER_hh_fec!T26=0,0,11630*1000*SER_hh_fec!T26/SER_hh_num!T26)</f>
        <v>11173.690026028908</v>
      </c>
      <c r="U26" s="65">
        <f>IF(SER_hh_fec!U26=0,0,11630*1000*SER_hh_fec!U26/SER_hh_num!U26)</f>
        <v>10495.681255957341</v>
      </c>
      <c r="V26" s="65">
        <f>IF(SER_hh_fec!V26=0,0,11630*1000*SER_hh_fec!V26/SER_hh_num!V26)</f>
        <v>9854.279863405427</v>
      </c>
      <c r="W26" s="65">
        <f>IF(SER_hh_fec!W26=0,0,11630*1000*SER_hh_fec!W26/SER_hh_num!W26)</f>
        <v>9806.6757451954472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18.292219795656695</v>
      </c>
      <c r="F27" s="146">
        <f>IF(SER_hh_fec!F27=0,0,11630*1000*SER_hh_fec!F27/SER_hh_num!F19)</f>
        <v>23.863150724307935</v>
      </c>
      <c r="G27" s="146">
        <f>IF(SER_hh_fec!G27=0,0,11630*1000*SER_hh_fec!G27/SER_hh_num!G19)</f>
        <v>28.755024920575988</v>
      </c>
      <c r="H27" s="146">
        <f>IF(SER_hh_fec!H27=0,0,11630*1000*SER_hh_fec!H27/SER_hh_num!H19)</f>
        <v>33.147296996866359</v>
      </c>
      <c r="I27" s="146">
        <f>IF(SER_hh_fec!I27=0,0,11630*1000*SER_hh_fec!I27/SER_hh_num!I19)</f>
        <v>40.582122793527738</v>
      </c>
      <c r="J27" s="146">
        <f>IF(SER_hh_fec!J27=0,0,11630*1000*SER_hh_fec!J27/SER_hh_num!J19)</f>
        <v>52.397509118561622</v>
      </c>
      <c r="K27" s="146">
        <f>IF(SER_hh_fec!K27=0,0,11630*1000*SER_hh_fec!K27/SER_hh_num!K19)</f>
        <v>64.067902552261089</v>
      </c>
      <c r="L27" s="146">
        <f>IF(SER_hh_fec!L27=0,0,11630*1000*SER_hh_fec!L27/SER_hh_num!L19)</f>
        <v>84.009322419016996</v>
      </c>
      <c r="M27" s="146">
        <f>IF(SER_hh_fec!M27=0,0,11630*1000*SER_hh_fec!M27/SER_hh_num!M19)</f>
        <v>104.63906986310735</v>
      </c>
      <c r="N27" s="146">
        <f>IF(SER_hh_fec!N27=0,0,11630*1000*SER_hh_fec!N27/SER_hh_num!N19)</f>
        <v>116.21771666116794</v>
      </c>
      <c r="O27" s="146">
        <f>IF(SER_hh_fec!O27=0,0,11630*1000*SER_hh_fec!O27/SER_hh_num!O19)</f>
        <v>123.21073130536129</v>
      </c>
      <c r="P27" s="146">
        <f>IF(SER_hh_fec!P27=0,0,11630*1000*SER_hh_fec!P27/SER_hh_num!P19)</f>
        <v>137.84592134722493</v>
      </c>
      <c r="Q27" s="146">
        <f>IF(SER_hh_fec!Q27=0,0,11630*1000*SER_hh_fec!Q27/SER_hh_num!Q19)</f>
        <v>143.97727599873448</v>
      </c>
      <c r="R27" s="146">
        <f>IF(SER_hh_fec!R27=0,0,11630*1000*SER_hh_fec!R27/SER_hh_num!R19)</f>
        <v>150.05184855978112</v>
      </c>
      <c r="S27" s="146">
        <f>IF(SER_hh_fec!S27=0,0,11630*1000*SER_hh_fec!S27/SER_hh_num!S19)</f>
        <v>153.3100466001064</v>
      </c>
      <c r="T27" s="146">
        <f>IF(SER_hh_fec!T27=0,0,11630*1000*SER_hh_fec!T27/SER_hh_num!T19)</f>
        <v>155.00577184847549</v>
      </c>
      <c r="U27" s="146">
        <f>IF(SER_hh_fec!U27=0,0,11630*1000*SER_hh_fec!U27/SER_hh_num!U19)</f>
        <v>155.61375874392809</v>
      </c>
      <c r="V27" s="146">
        <f>IF(SER_hh_fec!V27=0,0,11630*1000*SER_hh_fec!V27/SER_hh_num!V19)</f>
        <v>158.05384557489427</v>
      </c>
      <c r="W27" s="146">
        <f>IF(SER_hh_fec!W27=0,0,11630*1000*SER_hh_fec!W27/SER_hh_num!W19)</f>
        <v>160.28644472064161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3448.8696864625199</v>
      </c>
      <c r="F28" s="147">
        <f>IF(SER_hh_fec!F27=0,0,11630*1000*SER_hh_fec!F27/SER_hh_num!F27)</f>
        <v>3319.9291211572399</v>
      </c>
      <c r="G28" s="147">
        <f>IF(SER_hh_fec!G27=0,0,11630*1000*SER_hh_fec!G27/SER_hh_num!G27)</f>
        <v>3380.8075335851158</v>
      </c>
      <c r="H28" s="147">
        <f>IF(SER_hh_fec!H27=0,0,11630*1000*SER_hh_fec!H27/SER_hh_num!H27)</f>
        <v>3280.6989681225023</v>
      </c>
      <c r="I28" s="147">
        <f>IF(SER_hh_fec!I27=0,0,11630*1000*SER_hh_fec!I27/SER_hh_num!I27)</f>
        <v>3344.7624315487833</v>
      </c>
      <c r="J28" s="147">
        <f>IF(SER_hh_fec!J27=0,0,11630*1000*SER_hh_fec!J27/SER_hh_num!J27)</f>
        <v>3424.1341958129001</v>
      </c>
      <c r="K28" s="147">
        <f>IF(SER_hh_fec!K27=0,0,11630*1000*SER_hh_fec!K27/SER_hh_num!K27)</f>
        <v>3613.0972024284247</v>
      </c>
      <c r="L28" s="147">
        <f>IF(SER_hh_fec!L27=0,0,11630*1000*SER_hh_fec!L27/SER_hh_num!L27)</f>
        <v>3822.1722377406791</v>
      </c>
      <c r="M28" s="147">
        <f>IF(SER_hh_fec!M27=0,0,11630*1000*SER_hh_fec!M27/SER_hh_num!M27)</f>
        <v>4240.6852841019672</v>
      </c>
      <c r="N28" s="147">
        <f>IF(SER_hh_fec!N27=0,0,11630*1000*SER_hh_fec!N27/SER_hh_num!N27)</f>
        <v>4404.9352229602082</v>
      </c>
      <c r="O28" s="147">
        <f>IF(SER_hh_fec!O27=0,0,11630*1000*SER_hh_fec!O27/SER_hh_num!O27)</f>
        <v>4532.4134609006987</v>
      </c>
      <c r="P28" s="147">
        <f>IF(SER_hh_fec!P27=0,0,11630*1000*SER_hh_fec!P27/SER_hh_num!P27)</f>
        <v>4307.9992763931095</v>
      </c>
      <c r="Q28" s="147">
        <f>IF(SER_hh_fec!Q27=0,0,11630*1000*SER_hh_fec!Q27/SER_hh_num!Q27)</f>
        <v>4534.8191299609416</v>
      </c>
      <c r="R28" s="147">
        <f>IF(SER_hh_fec!R27=0,0,11630*1000*SER_hh_fec!R27/SER_hh_num!R27)</f>
        <v>4742.4424882512549</v>
      </c>
      <c r="S28" s="147">
        <f>IF(SER_hh_fec!S27=0,0,11630*1000*SER_hh_fec!S27/SER_hh_num!S27)</f>
        <v>4716.723243386773</v>
      </c>
      <c r="T28" s="147">
        <f>IF(SER_hh_fec!T27=0,0,11630*1000*SER_hh_fec!T27/SER_hh_num!T27)</f>
        <v>4630.4742153231746</v>
      </c>
      <c r="U28" s="147">
        <f>IF(SER_hh_fec!U27=0,0,11630*1000*SER_hh_fec!U27/SER_hh_num!U27)</f>
        <v>4677.7198758478162</v>
      </c>
      <c r="V28" s="147">
        <f>IF(SER_hh_fec!V27=0,0,11630*1000*SER_hh_fec!V27/SER_hh_num!V27)</f>
        <v>4280.3559154153299</v>
      </c>
      <c r="W28" s="147">
        <f>IF(SER_hh_fec!W27=0,0,11630*1000*SER_hh_fec!W27/SER_hh_num!W27)</f>
        <v>4565.2864439277309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11339.628229098142</v>
      </c>
      <c r="C29" s="131">
        <f>IF(SER_hh_fec!C29=0,0,11630*1000*SER_hh_fec!C29/SER_hh_num!C29)</f>
        <v>11550.030142808815</v>
      </c>
      <c r="D29" s="131">
        <f>IF(SER_hh_fec!D29=0,0,11630*1000*SER_hh_fec!D29/SER_hh_num!D29)</f>
        <v>11489.317518022795</v>
      </c>
      <c r="E29" s="131">
        <f>IF(SER_hh_fec!E29=0,0,11630*1000*SER_hh_fec!E29/SER_hh_num!E29)</f>
        <v>11534.357292138806</v>
      </c>
      <c r="F29" s="131">
        <f>IF(SER_hh_fec!F29=0,0,11630*1000*SER_hh_fec!F29/SER_hh_num!F29)</f>
        <v>11506.313957454975</v>
      </c>
      <c r="G29" s="131">
        <f>IF(SER_hh_fec!G29=0,0,11630*1000*SER_hh_fec!G29/SER_hh_num!G29)</f>
        <v>11347.136778920052</v>
      </c>
      <c r="H29" s="131">
        <f>IF(SER_hh_fec!H29=0,0,11630*1000*SER_hh_fec!H29/SER_hh_num!H29)</f>
        <v>11327.511245038904</v>
      </c>
      <c r="I29" s="131">
        <f>IF(SER_hh_fec!I29=0,0,11630*1000*SER_hh_fec!I29/SER_hh_num!I29)</f>
        <v>11214.979365437415</v>
      </c>
      <c r="J29" s="131">
        <f>IF(SER_hh_fec!J29=0,0,11630*1000*SER_hh_fec!J29/SER_hh_num!J29)</f>
        <v>11354.264331712713</v>
      </c>
      <c r="K29" s="131">
        <f>IF(SER_hh_fec!K29=0,0,11630*1000*SER_hh_fec!K29/SER_hh_num!K29)</f>
        <v>12092.938720938197</v>
      </c>
      <c r="L29" s="131">
        <f>IF(SER_hh_fec!L29=0,0,11630*1000*SER_hh_fec!L29/SER_hh_num!L29)</f>
        <v>12359.39046897423</v>
      </c>
      <c r="M29" s="131">
        <f>IF(SER_hh_fec!M29=0,0,11630*1000*SER_hh_fec!M29/SER_hh_num!M29)</f>
        <v>12486.288154844351</v>
      </c>
      <c r="N29" s="131">
        <f>IF(SER_hh_fec!N29=0,0,11630*1000*SER_hh_fec!N29/SER_hh_num!N29)</f>
        <v>12541.09538172957</v>
      </c>
      <c r="O29" s="131">
        <f>IF(SER_hh_fec!O29=0,0,11630*1000*SER_hh_fec!O29/SER_hh_num!O29)</f>
        <v>12685.932976784785</v>
      </c>
      <c r="P29" s="131">
        <f>IF(SER_hh_fec!P29=0,0,11630*1000*SER_hh_fec!P29/SER_hh_num!P29)</f>
        <v>12735.734222297269</v>
      </c>
      <c r="Q29" s="131">
        <f>IF(SER_hh_fec!Q29=0,0,11630*1000*SER_hh_fec!Q29/SER_hh_num!Q29)</f>
        <v>12670.996209283257</v>
      </c>
      <c r="R29" s="131">
        <f>IF(SER_hh_fec!R29=0,0,11630*1000*SER_hh_fec!R29/SER_hh_num!R29)</f>
        <v>12821.022472223634</v>
      </c>
      <c r="S29" s="131">
        <f>IF(SER_hh_fec!S29=0,0,11630*1000*SER_hh_fec!S29/SER_hh_num!S29)</f>
        <v>13099.897260653262</v>
      </c>
      <c r="T29" s="131">
        <f>IF(SER_hh_fec!T29=0,0,11630*1000*SER_hh_fec!T29/SER_hh_num!T29)</f>
        <v>12815.808802983858</v>
      </c>
      <c r="U29" s="131">
        <f>IF(SER_hh_fec!U29=0,0,11630*1000*SER_hh_fec!U29/SER_hh_num!U29)</f>
        <v>12962.184340891494</v>
      </c>
      <c r="V29" s="131">
        <f>IF(SER_hh_fec!V29=0,0,11630*1000*SER_hh_fec!V29/SER_hh_num!V29)</f>
        <v>12010.349095612046</v>
      </c>
      <c r="W29" s="131">
        <f>IF(SER_hh_fec!W29=0,0,11630*1000*SER_hh_fec!W29/SER_hh_num!W29)</f>
        <v>12200.10823371992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11695.574069818402</v>
      </c>
      <c r="C31" s="133">
        <f>IF(SER_hh_fec!C31=0,0,11630*1000*SER_hh_fec!C31/SER_hh_num!C31)</f>
        <v>13505.615948720335</v>
      </c>
      <c r="D31" s="133">
        <f>IF(SER_hh_fec!D31=0,0,11630*1000*SER_hh_fec!D31/SER_hh_num!D31)</f>
        <v>13282.280164766113</v>
      </c>
      <c r="E31" s="133">
        <f>IF(SER_hh_fec!E31=0,0,11630*1000*SER_hh_fec!E31/SER_hh_num!E31)</f>
        <v>12943.958679098052</v>
      </c>
      <c r="F31" s="133">
        <f>IF(SER_hh_fec!F31=0,0,11630*1000*SER_hh_fec!F31/SER_hh_num!F31)</f>
        <v>13210.855184804008</v>
      </c>
      <c r="G31" s="133">
        <f>IF(SER_hh_fec!G31=0,0,11630*1000*SER_hh_fec!G31/SER_hh_num!G31)</f>
        <v>12928.703723709386</v>
      </c>
      <c r="H31" s="133">
        <f>IF(SER_hh_fec!H31=0,0,11630*1000*SER_hh_fec!H31/SER_hh_num!H31)</f>
        <v>12727.161556025618</v>
      </c>
      <c r="I31" s="133">
        <f>IF(SER_hh_fec!I31=0,0,11630*1000*SER_hh_fec!I31/SER_hh_num!I31)</f>
        <v>12763.385111611615</v>
      </c>
      <c r="J31" s="133">
        <f>IF(SER_hh_fec!J31=0,0,11630*1000*SER_hh_fec!J31/SER_hh_num!J31)</f>
        <v>12979.814658407215</v>
      </c>
      <c r="K31" s="133">
        <f>IF(SER_hh_fec!K31=0,0,11630*1000*SER_hh_fec!K31/SER_hh_num!K31)</f>
        <v>14493.552244500697</v>
      </c>
      <c r="L31" s="133">
        <f>IF(SER_hh_fec!L31=0,0,11630*1000*SER_hh_fec!L31/SER_hh_num!L31)</f>
        <v>14027.938516828803</v>
      </c>
      <c r="M31" s="133">
        <f>IF(SER_hh_fec!M31=0,0,11630*1000*SER_hh_fec!M31/SER_hh_num!M31)</f>
        <v>14201.185041259816</v>
      </c>
      <c r="N31" s="133">
        <f>IF(SER_hh_fec!N31=0,0,11630*1000*SER_hh_fec!N31/SER_hh_num!N31)</f>
        <v>14319.049637967433</v>
      </c>
      <c r="O31" s="133">
        <f>IF(SER_hh_fec!O31=0,0,11630*1000*SER_hh_fec!O31/SER_hh_num!O31)</f>
        <v>14433.292759579483</v>
      </c>
      <c r="P31" s="133">
        <f>IF(SER_hh_fec!P31=0,0,11630*1000*SER_hh_fec!P31/SER_hh_num!P31)</f>
        <v>14482.76461522617</v>
      </c>
      <c r="Q31" s="133">
        <f>IF(SER_hh_fec!Q31=0,0,11630*1000*SER_hh_fec!Q31/SER_hh_num!Q31)</f>
        <v>14038.638920281179</v>
      </c>
      <c r="R31" s="133">
        <f>IF(SER_hh_fec!R31=0,0,11630*1000*SER_hh_fec!R31/SER_hh_num!R31)</f>
        <v>14451.568006992617</v>
      </c>
      <c r="S31" s="133">
        <f>IF(SER_hh_fec!S31=0,0,11630*1000*SER_hh_fec!S31/SER_hh_num!S31)</f>
        <v>15502.808784093006</v>
      </c>
      <c r="T31" s="133">
        <f>IF(SER_hh_fec!T31=0,0,11630*1000*SER_hh_fec!T31/SER_hh_num!T31)</f>
        <v>14264.793915408834</v>
      </c>
      <c r="U31" s="133">
        <f>IF(SER_hh_fec!U31=0,0,11630*1000*SER_hh_fec!U31/SER_hh_num!U31)</f>
        <v>15031.001367498522</v>
      </c>
      <c r="V31" s="133">
        <f>IF(SER_hh_fec!V31=0,0,11630*1000*SER_hh_fec!V31/SER_hh_num!V31)</f>
        <v>13756.749129624695</v>
      </c>
      <c r="W31" s="133">
        <f>IF(SER_hh_fec!W31=0,0,11630*1000*SER_hh_fec!W31/SER_hh_num!W31)</f>
        <v>13415.502390725767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10992.845095809986</v>
      </c>
      <c r="C33" s="68">
        <f>IF(SER_hh_fec!C33=0,0,11630*1000*SER_hh_fec!C33/SER_hh_num!C33)</f>
        <v>9599.8828357474613</v>
      </c>
      <c r="D33" s="68">
        <f>IF(SER_hh_fec!D33=0,0,11630*1000*SER_hh_fec!D33/SER_hh_num!D33)</f>
        <v>9664.1400556026583</v>
      </c>
      <c r="E33" s="68">
        <f>IF(SER_hh_fec!E33=0,0,11630*1000*SER_hh_fec!E33/SER_hh_num!E33)</f>
        <v>10096.64625609866</v>
      </c>
      <c r="F33" s="68">
        <f>IF(SER_hh_fec!F33=0,0,11630*1000*SER_hh_fec!F33/SER_hh_num!F33)</f>
        <v>9807.3592112274564</v>
      </c>
      <c r="G33" s="68">
        <f>IF(SER_hh_fec!G33=0,0,11630*1000*SER_hh_fec!G33/SER_hh_num!G33)</f>
        <v>9778.187749428087</v>
      </c>
      <c r="H33" s="68">
        <f>IF(SER_hh_fec!H33=0,0,11630*1000*SER_hh_fec!H33/SER_hh_num!H33)</f>
        <v>9982.4001441107594</v>
      </c>
      <c r="I33" s="68">
        <f>IF(SER_hh_fec!I33=0,0,11630*1000*SER_hh_fec!I33/SER_hh_num!I33)</f>
        <v>9728.7549807438427</v>
      </c>
      <c r="J33" s="68">
        <f>IF(SER_hh_fec!J33=0,0,11630*1000*SER_hh_fec!J33/SER_hh_num!J33)</f>
        <v>9777.84243586503</v>
      </c>
      <c r="K33" s="68">
        <f>IF(SER_hh_fec!K33=0,0,11630*1000*SER_hh_fec!K33/SER_hh_num!K33)</f>
        <v>9739.7039548233424</v>
      </c>
      <c r="L33" s="68">
        <f>IF(SER_hh_fec!L33=0,0,11630*1000*SER_hh_fec!L33/SER_hh_num!L33)</f>
        <v>10691.349560729544</v>
      </c>
      <c r="M33" s="68">
        <f>IF(SER_hh_fec!M33=0,0,11630*1000*SER_hh_fec!M33/SER_hh_num!M33)</f>
        <v>10817.168490170749</v>
      </c>
      <c r="N33" s="68">
        <f>IF(SER_hh_fec!N33=0,0,11630*1000*SER_hh_fec!N33/SER_hh_num!N33)</f>
        <v>10855.58641639411</v>
      </c>
      <c r="O33" s="68">
        <f>IF(SER_hh_fec!O33=0,0,11630*1000*SER_hh_fec!O33/SER_hh_num!O33)</f>
        <v>11057.823612756683</v>
      </c>
      <c r="P33" s="68">
        <f>IF(SER_hh_fec!P33=0,0,11630*1000*SER_hh_fec!P33/SER_hh_num!P33)</f>
        <v>11123.908700220392</v>
      </c>
      <c r="Q33" s="68">
        <f>IF(SER_hh_fec!Q33=0,0,11630*1000*SER_hh_fec!Q33/SER_hh_num!Q33)</f>
        <v>11384.96323774687</v>
      </c>
      <c r="R33" s="68">
        <f>IF(SER_hh_fec!R33=0,0,11630*1000*SER_hh_fec!R33/SER_hh_num!R33)</f>
        <v>11161.635004513289</v>
      </c>
      <c r="S33" s="68">
        <f>IF(SER_hh_fec!S33=0,0,11630*1000*SER_hh_fec!S33/SER_hh_num!S33)</f>
        <v>10374.557212657588</v>
      </c>
      <c r="T33" s="68">
        <f>IF(SER_hh_fec!T33=0,0,11630*1000*SER_hh_fec!T33/SER_hh_num!T33)</f>
        <v>11130.473037190894</v>
      </c>
      <c r="U33" s="68">
        <f>IF(SER_hh_fec!U33=0,0,11630*1000*SER_hh_fec!U33/SER_hh_num!U33)</f>
        <v>10508.327256067005</v>
      </c>
      <c r="V33" s="68">
        <f>IF(SER_hh_fec!V33=0,0,11630*1000*SER_hh_fec!V33/SER_hh_num!V33)</f>
        <v>9998.9921716727422</v>
      </c>
      <c r="W33" s="68">
        <f>IF(SER_hh_fec!W33=0,0,11630*1000*SER_hh_fec!W33/SER_hh_num!W33)</f>
        <v>10812.410356704122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99048.826763485529</v>
      </c>
      <c r="C3" s="126">
        <f>IF(SER_hh_tes!C3=0,0,11630*1000*SER_hh_tes!C3/SER_hh_num!C3)</f>
        <v>97416.79565855398</v>
      </c>
      <c r="D3" s="126">
        <f>IF(SER_hh_tes!D3=0,0,11630*1000*SER_hh_tes!D3/SER_hh_num!D3)</f>
        <v>91138.202231872594</v>
      </c>
      <c r="E3" s="126">
        <f>IF(SER_hh_tes!E3=0,0,11630*1000*SER_hh_tes!E3/SER_hh_num!E3)</f>
        <v>100145.60943513468</v>
      </c>
      <c r="F3" s="126">
        <f>IF(SER_hh_tes!F3=0,0,11630*1000*SER_hh_tes!F3/SER_hh_num!F3)</f>
        <v>93243.150257150934</v>
      </c>
      <c r="G3" s="126">
        <f>IF(SER_hh_tes!G3=0,0,11630*1000*SER_hh_tes!G3/SER_hh_num!G3)</f>
        <v>82766.564082060024</v>
      </c>
      <c r="H3" s="126">
        <f>IF(SER_hh_tes!H3=0,0,11630*1000*SER_hh_tes!H3/SER_hh_num!H3)</f>
        <v>78256.39943149146</v>
      </c>
      <c r="I3" s="126">
        <f>IF(SER_hh_tes!I3=0,0,11630*1000*SER_hh_tes!I3/SER_hh_num!I3)</f>
        <v>72877.872287694496</v>
      </c>
      <c r="J3" s="126">
        <f>IF(SER_hh_tes!J3=0,0,11630*1000*SER_hh_tes!J3/SER_hh_num!J3)</f>
        <v>77250.849244902813</v>
      </c>
      <c r="K3" s="126">
        <f>IF(SER_hh_tes!K3=0,0,11630*1000*SER_hh_tes!K3/SER_hh_num!K3)</f>
        <v>73103.453899026747</v>
      </c>
      <c r="L3" s="126">
        <f>IF(SER_hh_tes!L3=0,0,11630*1000*SER_hh_tes!L3/SER_hh_num!L3)</f>
        <v>81217.106917094221</v>
      </c>
      <c r="M3" s="126">
        <f>IF(SER_hh_tes!M3=0,0,11630*1000*SER_hh_tes!M3/SER_hh_num!M3)</f>
        <v>77526.760006780198</v>
      </c>
      <c r="N3" s="126">
        <f>IF(SER_hh_tes!N3=0,0,11630*1000*SER_hh_tes!N3/SER_hh_num!N3)</f>
        <v>75350.061515206413</v>
      </c>
      <c r="O3" s="126">
        <f>IF(SER_hh_tes!O3=0,0,11630*1000*SER_hh_tes!O3/SER_hh_num!O3)</f>
        <v>74792.632834331947</v>
      </c>
      <c r="P3" s="126">
        <f>IF(SER_hh_tes!P3=0,0,11630*1000*SER_hh_tes!P3/SER_hh_num!P3)</f>
        <v>71135.371316609817</v>
      </c>
      <c r="Q3" s="126">
        <f>IF(SER_hh_tes!Q3=0,0,11630*1000*SER_hh_tes!Q3/SER_hh_num!Q3)</f>
        <v>71878.419278604939</v>
      </c>
      <c r="R3" s="126">
        <f>IF(SER_hh_tes!R3=0,0,11630*1000*SER_hh_tes!R3/SER_hh_num!R3)</f>
        <v>73313.168072178145</v>
      </c>
      <c r="S3" s="126">
        <f>IF(SER_hh_tes!S3=0,0,11630*1000*SER_hh_tes!S3/SER_hh_num!S3)</f>
        <v>75750.68371691319</v>
      </c>
      <c r="T3" s="126">
        <f>IF(SER_hh_tes!T3=0,0,11630*1000*SER_hh_tes!T3/SER_hh_num!T3)</f>
        <v>73894.956298806093</v>
      </c>
      <c r="U3" s="126">
        <f>IF(SER_hh_tes!U3=0,0,11630*1000*SER_hh_tes!U3/SER_hh_num!U3)</f>
        <v>75588.675135994577</v>
      </c>
      <c r="V3" s="126">
        <f>IF(SER_hh_tes!V3=0,0,11630*1000*SER_hh_tes!V3/SER_hh_num!V3)</f>
        <v>70695.17494716846</v>
      </c>
      <c r="W3" s="126">
        <f>IF(SER_hh_tes!W3=0,0,11630*1000*SER_hh_tes!W3/SER_hh_num!W3)</f>
        <v>71049.054729274329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83302.95467798553</v>
      </c>
      <c r="C4" s="131">
        <f>IF(SER_hh_tes!C4=0,0,11630*1000*SER_hh_tes!C4/SER_hh_num!C4)</f>
        <v>81615.184341047061</v>
      </c>
      <c r="D4" s="131">
        <f>IF(SER_hh_tes!D4=0,0,11630*1000*SER_hh_tes!D4/SER_hh_num!D4)</f>
        <v>75092.04007902286</v>
      </c>
      <c r="E4" s="131">
        <f>IF(SER_hh_tes!E4=0,0,11630*1000*SER_hh_tes!E4/SER_hh_num!E4)</f>
        <v>83832.980398177999</v>
      </c>
      <c r="F4" s="131">
        <f>IF(SER_hh_tes!F4=0,0,11630*1000*SER_hh_tes!F4/SER_hh_num!F4)</f>
        <v>77007.72604099568</v>
      </c>
      <c r="G4" s="131">
        <f>IF(SER_hh_tes!G4=0,0,11630*1000*SER_hh_tes!G4/SER_hh_num!G4)</f>
        <v>66225.56670401046</v>
      </c>
      <c r="H4" s="131">
        <f>IF(SER_hh_tes!H4=0,0,11630*1000*SER_hh_tes!H4/SER_hh_num!H4)</f>
        <v>61071.852669162748</v>
      </c>
      <c r="I4" s="131">
        <f>IF(SER_hh_tes!I4=0,0,11630*1000*SER_hh_tes!I4/SER_hh_num!I4)</f>
        <v>55331.684770174732</v>
      </c>
      <c r="J4" s="131">
        <f>IF(SER_hh_tes!J4=0,0,11630*1000*SER_hh_tes!J4/SER_hh_num!J4)</f>
        <v>59240.630501486281</v>
      </c>
      <c r="K4" s="131">
        <f>IF(SER_hh_tes!K4=0,0,11630*1000*SER_hh_tes!K4/SER_hh_num!K4)</f>
        <v>53800.207105206959</v>
      </c>
      <c r="L4" s="131">
        <f>IF(SER_hh_tes!L4=0,0,11630*1000*SER_hh_tes!L4/SER_hh_num!L4)</f>
        <v>61033.783290768959</v>
      </c>
      <c r="M4" s="131">
        <f>IF(SER_hh_tes!M4=0,0,11630*1000*SER_hh_tes!M4/SER_hh_num!M4)</f>
        <v>56876.713178078309</v>
      </c>
      <c r="N4" s="131">
        <f>IF(SER_hh_tes!N4=0,0,11630*1000*SER_hh_tes!N4/SER_hh_num!N4)</f>
        <v>54307.159810867401</v>
      </c>
      <c r="O4" s="131">
        <f>IF(SER_hh_tes!O4=0,0,11630*1000*SER_hh_tes!O4/SER_hh_num!O4)</f>
        <v>53225.724018331013</v>
      </c>
      <c r="P4" s="131">
        <f>IF(SER_hh_tes!P4=0,0,11630*1000*SER_hh_tes!P4/SER_hh_num!P4)</f>
        <v>49690.358348493181</v>
      </c>
      <c r="Q4" s="131">
        <f>IF(SER_hh_tes!Q4=0,0,11630*1000*SER_hh_tes!Q4/SER_hh_num!Q4)</f>
        <v>49375.026719133879</v>
      </c>
      <c r="R4" s="131">
        <f>IF(SER_hh_tes!R4=0,0,11630*1000*SER_hh_tes!R4/SER_hh_num!R4)</f>
        <v>51387.409994611669</v>
      </c>
      <c r="S4" s="131">
        <f>IF(SER_hh_tes!S4=0,0,11630*1000*SER_hh_tes!S4/SER_hh_num!S4)</f>
        <v>53498.820638269484</v>
      </c>
      <c r="T4" s="131">
        <f>IF(SER_hh_tes!T4=0,0,11630*1000*SER_hh_tes!T4/SER_hh_num!T4)</f>
        <v>51349.510091327727</v>
      </c>
      <c r="U4" s="131">
        <f>IF(SER_hh_tes!U4=0,0,11630*1000*SER_hh_tes!U4/SER_hh_num!U4)</f>
        <v>52870.134526311966</v>
      </c>
      <c r="V4" s="131">
        <f>IF(SER_hh_tes!V4=0,0,11630*1000*SER_hh_tes!V4/SER_hh_num!V4)</f>
        <v>49408.630077559501</v>
      </c>
      <c r="W4" s="131">
        <f>IF(SER_hh_tes!W4=0,0,11630*1000*SER_hh_tes!W4/SER_hh_num!W4)</f>
        <v>49073.147155047271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100995.19388248381</v>
      </c>
      <c r="C5" s="133">
        <f>IF(SER_hh_tes!C5=0,0,11630*1000*SER_hh_tes!C5/SER_hh_num!C5)</f>
        <v>53275.768963917486</v>
      </c>
      <c r="D5" s="133">
        <f>IF(SER_hh_tes!D5=0,0,11630*1000*SER_hh_tes!D5/SER_hh_num!D5)</f>
        <v>54871.707685528345</v>
      </c>
      <c r="E5" s="133">
        <f>IF(SER_hh_tes!E5=0,0,11630*1000*SER_hh_tes!E5/SER_hh_num!E5)</f>
        <v>104028.66383836999</v>
      </c>
      <c r="F5" s="133">
        <f>IF(SER_hh_tes!F5=0,0,11630*1000*SER_hh_tes!F5/SER_hh_num!F5)</f>
        <v>113731.25459326798</v>
      </c>
      <c r="G5" s="133">
        <f>IF(SER_hh_tes!G5=0,0,11630*1000*SER_hh_tes!G5/SER_hh_num!G5)</f>
        <v>28219.397125983396</v>
      </c>
      <c r="H5" s="133">
        <f>IF(SER_hh_tes!H5=0,0,11630*1000*SER_hh_tes!H5/SER_hh_num!H5)</f>
        <v>71889.065786947234</v>
      </c>
      <c r="I5" s="133">
        <f>IF(SER_hh_tes!I5=0,0,11630*1000*SER_hh_tes!I5/SER_hh_num!I5)</f>
        <v>39738.207153509538</v>
      </c>
      <c r="J5" s="133">
        <f>IF(SER_hh_tes!J5=0,0,11630*1000*SER_hh_tes!J5/SER_hh_num!J5)</f>
        <v>67836.327887543492</v>
      </c>
      <c r="K5" s="133">
        <f>IF(SER_hh_tes!K5=0,0,11630*1000*SER_hh_tes!K5/SER_hh_num!K5)</f>
        <v>35012.149074220986</v>
      </c>
      <c r="L5" s="133">
        <f>IF(SER_hh_tes!L5=0,0,11630*1000*SER_hh_tes!L5/SER_hh_num!L5)</f>
        <v>57212.07020083689</v>
      </c>
      <c r="M5" s="133">
        <f>IF(SER_hh_tes!M5=0,0,11630*1000*SER_hh_tes!M5/SER_hh_num!M5)</f>
        <v>54694.164146973795</v>
      </c>
      <c r="N5" s="133">
        <f>IF(SER_hh_tes!N5=0,0,11630*1000*SER_hh_tes!N5/SER_hh_num!N5)</f>
        <v>52579.224013241408</v>
      </c>
      <c r="O5" s="133">
        <f>IF(SER_hh_tes!O5=0,0,11630*1000*SER_hh_tes!O5/SER_hh_num!O5)</f>
        <v>56582.03378218571</v>
      </c>
      <c r="P5" s="133">
        <f>IF(SER_hh_tes!P5=0,0,11630*1000*SER_hh_tes!P5/SER_hh_num!P5)</f>
        <v>49685.721643815552</v>
      </c>
      <c r="Q5" s="133">
        <f>IF(SER_hh_tes!Q5=0,0,11630*1000*SER_hh_tes!Q5/SER_hh_num!Q5)</f>
        <v>44325.502578793465</v>
      </c>
      <c r="R5" s="133">
        <f>IF(SER_hh_tes!R5=0,0,11630*1000*SER_hh_tes!R5/SER_hh_num!R5)</f>
        <v>56212.732101511254</v>
      </c>
      <c r="S5" s="133">
        <f>IF(SER_hh_tes!S5=0,0,11630*1000*SER_hh_tes!S5/SER_hh_num!S5)</f>
        <v>56869.133479243937</v>
      </c>
      <c r="T5" s="133">
        <f>IF(SER_hh_tes!T5=0,0,11630*1000*SER_hh_tes!T5/SER_hh_num!T5)</f>
        <v>44040.522071067207</v>
      </c>
      <c r="U5" s="133">
        <f>IF(SER_hh_tes!U5=0,0,11630*1000*SER_hh_tes!U5/SER_hh_num!U5)</f>
        <v>55620.886336822936</v>
      </c>
      <c r="V5" s="133">
        <f>IF(SER_hh_tes!V5=0,0,11630*1000*SER_hh_tes!V5/SER_hh_num!V5)</f>
        <v>44789.949821542694</v>
      </c>
      <c r="W5" s="133">
        <f>IF(SER_hh_tes!W5=0,0,11630*1000*SER_hh_tes!W5/SER_hh_num!W5)</f>
        <v>51023.274907280545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97146.493764637431</v>
      </c>
      <c r="C7" s="133">
        <f>IF(SER_hh_tes!C7=0,0,11630*1000*SER_hh_tes!C7/SER_hh_num!C7)</f>
        <v>36190.988087908387</v>
      </c>
      <c r="D7" s="133">
        <f>IF(SER_hh_tes!D7=0,0,11630*1000*SER_hh_tes!D7/SER_hh_num!D7)</f>
        <v>95710.345832348714</v>
      </c>
      <c r="E7" s="133">
        <f>IF(SER_hh_tes!E7=0,0,11630*1000*SER_hh_tes!E7/SER_hh_num!E7)</f>
        <v>75922.641190208131</v>
      </c>
      <c r="F7" s="133">
        <f>IF(SER_hh_tes!F7=0,0,11630*1000*SER_hh_tes!F7/SER_hh_num!F7)</f>
        <v>82756.543239982522</v>
      </c>
      <c r="G7" s="133">
        <f>IF(SER_hh_tes!G7=0,0,11630*1000*SER_hh_tes!G7/SER_hh_num!G7)</f>
        <v>57266.665206871068</v>
      </c>
      <c r="H7" s="133">
        <f>IF(SER_hh_tes!H7=0,0,11630*1000*SER_hh_tes!H7/SER_hh_num!H7)</f>
        <v>62081.523335406564</v>
      </c>
      <c r="I7" s="133">
        <f>IF(SER_hh_tes!I7=0,0,11630*1000*SER_hh_tes!I7/SER_hh_num!I7)</f>
        <v>58805.091964262887</v>
      </c>
      <c r="J7" s="133">
        <f>IF(SER_hh_tes!J7=0,0,11630*1000*SER_hh_tes!J7/SER_hh_num!J7)</f>
        <v>61121.395391308455</v>
      </c>
      <c r="K7" s="133">
        <f>IF(SER_hh_tes!K7=0,0,11630*1000*SER_hh_tes!K7/SER_hh_num!K7)</f>
        <v>48267.401104752491</v>
      </c>
      <c r="L7" s="133">
        <f>IF(SER_hh_tes!L7=0,0,11630*1000*SER_hh_tes!L7/SER_hh_num!L7)</f>
        <v>61330.847748705004</v>
      </c>
      <c r="M7" s="133">
        <f>IF(SER_hh_tes!M7=0,0,11630*1000*SER_hh_tes!M7/SER_hh_num!M7)</f>
        <v>45370.358519547975</v>
      </c>
      <c r="N7" s="133">
        <f>IF(SER_hh_tes!N7=0,0,11630*1000*SER_hh_tes!N7/SER_hh_num!N7)</f>
        <v>66992.0940492269</v>
      </c>
      <c r="O7" s="133">
        <f>IF(SER_hh_tes!O7=0,0,11630*1000*SER_hh_tes!O7/SER_hh_num!O7)</f>
        <v>50620.349181717851</v>
      </c>
      <c r="P7" s="133">
        <f>IF(SER_hh_tes!P7=0,0,11630*1000*SER_hh_tes!P7/SER_hh_num!P7)</f>
        <v>32671.701794651166</v>
      </c>
      <c r="Q7" s="133">
        <f>IF(SER_hh_tes!Q7=0,0,11630*1000*SER_hh_tes!Q7/SER_hh_num!Q7)</f>
        <v>58381.283817175477</v>
      </c>
      <c r="R7" s="133">
        <f>IF(SER_hh_tes!R7=0,0,11630*1000*SER_hh_tes!R7/SER_hh_num!R7)</f>
        <v>54733.44089753864</v>
      </c>
      <c r="S7" s="133">
        <f>IF(SER_hh_tes!S7=0,0,11630*1000*SER_hh_tes!S7/SER_hh_num!S7)</f>
        <v>57297.545216896222</v>
      </c>
      <c r="T7" s="133">
        <f>IF(SER_hh_tes!T7=0,0,11630*1000*SER_hh_tes!T7/SER_hh_num!T7)</f>
        <v>42574.272963025564</v>
      </c>
      <c r="U7" s="133">
        <f>IF(SER_hh_tes!U7=0,0,11630*1000*SER_hh_tes!U7/SER_hh_num!U7)</f>
        <v>41734.277514373345</v>
      </c>
      <c r="V7" s="133">
        <f>IF(SER_hh_tes!V7=0,0,11630*1000*SER_hh_tes!V7/SER_hh_num!V7)</f>
        <v>47249.241750924695</v>
      </c>
      <c r="W7" s="133">
        <f>IF(SER_hh_tes!W7=0,0,11630*1000*SER_hh_tes!W7/SER_hh_num!W7)</f>
        <v>62182.190074296537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37259.427060626585</v>
      </c>
      <c r="H8" s="133">
        <f>IF(SER_hh_tes!H8=0,0,11630*1000*SER_hh_tes!H8/SER_hh_num!H8)</f>
        <v>44411.71620351063</v>
      </c>
      <c r="I8" s="133">
        <f>IF(SER_hh_tes!I8=0,0,11630*1000*SER_hh_tes!I8/SER_hh_num!I8)</f>
        <v>50971.119259039056</v>
      </c>
      <c r="J8" s="133">
        <f>IF(SER_hh_tes!J8=0,0,11630*1000*SER_hh_tes!J8/SER_hh_num!J8)</f>
        <v>58274.403611598776</v>
      </c>
      <c r="K8" s="133">
        <f>IF(SER_hh_tes!K8=0,0,11630*1000*SER_hh_tes!K8/SER_hh_num!K8)</f>
        <v>55662.254999669385</v>
      </c>
      <c r="L8" s="133">
        <f>IF(SER_hh_tes!L8=0,0,11630*1000*SER_hh_tes!L8/SER_hh_num!L8)</f>
        <v>49404.690740610939</v>
      </c>
      <c r="M8" s="133">
        <f>IF(SER_hh_tes!M8=0,0,11630*1000*SER_hh_tes!M8/SER_hh_num!M8)</f>
        <v>47227.605373826947</v>
      </c>
      <c r="N8" s="133">
        <f>IF(SER_hh_tes!N8=0,0,11630*1000*SER_hh_tes!N8/SER_hh_num!N8)</f>
        <v>42802.937785701368</v>
      </c>
      <c r="O8" s="133">
        <f>IF(SER_hh_tes!O8=0,0,11630*1000*SER_hh_tes!O8/SER_hh_num!O8)</f>
        <v>49016.915223701457</v>
      </c>
      <c r="P8" s="133">
        <f>IF(SER_hh_tes!P8=0,0,11630*1000*SER_hh_tes!P8/SER_hh_num!P8)</f>
        <v>55048.078729897978</v>
      </c>
      <c r="Q8" s="133">
        <f>IF(SER_hh_tes!Q8=0,0,11630*1000*SER_hh_tes!Q8/SER_hh_num!Q8)</f>
        <v>52159.66084034228</v>
      </c>
      <c r="R8" s="133">
        <f>IF(SER_hh_tes!R8=0,0,11630*1000*SER_hh_tes!R8/SER_hh_num!R8)</f>
        <v>51521.223974040389</v>
      </c>
      <c r="S8" s="133">
        <f>IF(SER_hh_tes!S8=0,0,11630*1000*SER_hh_tes!S8/SER_hh_num!S8)</f>
        <v>50781.567993840959</v>
      </c>
      <c r="T8" s="133">
        <f>IF(SER_hh_tes!T8=0,0,11630*1000*SER_hh_tes!T8/SER_hh_num!T8)</f>
        <v>50028.170278350437</v>
      </c>
      <c r="U8" s="133">
        <f>IF(SER_hh_tes!U8=0,0,11630*1000*SER_hh_tes!U8/SER_hh_num!U8)</f>
        <v>51101.989758846437</v>
      </c>
      <c r="V8" s="133">
        <f>IF(SER_hh_tes!V8=0,0,11630*1000*SER_hh_tes!V8/SER_hh_num!V8)</f>
        <v>49413.268319441326</v>
      </c>
      <c r="W8" s="133">
        <f>IF(SER_hh_tes!W8=0,0,11630*1000*SER_hh_tes!W8/SER_hh_num!W8)</f>
        <v>51104.600697231414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76953.619355477626</v>
      </c>
      <c r="C9" s="133">
        <f>IF(SER_hh_tes!C9=0,0,11630*1000*SER_hh_tes!C9/SER_hh_num!C9)</f>
        <v>86707.964302421286</v>
      </c>
      <c r="D9" s="133">
        <f>IF(SER_hh_tes!D9=0,0,11630*1000*SER_hh_tes!D9/SER_hh_num!D9)</f>
        <v>76825.466451400949</v>
      </c>
      <c r="E9" s="133">
        <f>IF(SER_hh_tes!E9=0,0,11630*1000*SER_hh_tes!E9/SER_hh_num!E9)</f>
        <v>76572.025667876456</v>
      </c>
      <c r="F9" s="133">
        <f>IF(SER_hh_tes!F9=0,0,11630*1000*SER_hh_tes!F9/SER_hh_num!F9)</f>
        <v>71176.865006680004</v>
      </c>
      <c r="G9" s="133">
        <f>IF(SER_hh_tes!G9=0,0,11630*1000*SER_hh_tes!G9/SER_hh_num!G9)</f>
        <v>67558.490294474715</v>
      </c>
      <c r="H9" s="133">
        <f>IF(SER_hh_tes!H9=0,0,11630*1000*SER_hh_tes!H9/SER_hh_num!H9)</f>
        <v>59572.818326134045</v>
      </c>
      <c r="I9" s="133">
        <f>IF(SER_hh_tes!I9=0,0,11630*1000*SER_hh_tes!I9/SER_hh_num!I9)</f>
        <v>54429.0006256509</v>
      </c>
      <c r="J9" s="133">
        <f>IF(SER_hh_tes!J9=0,0,11630*1000*SER_hh_tes!J9/SER_hh_num!J9)</f>
        <v>59371.347150376474</v>
      </c>
      <c r="K9" s="133">
        <f>IF(SER_hh_tes!K9=0,0,11630*1000*SER_hh_tes!K9/SER_hh_num!K9)</f>
        <v>54052.855345346354</v>
      </c>
      <c r="L9" s="133">
        <f>IF(SER_hh_tes!L9=0,0,11630*1000*SER_hh_tes!L9/SER_hh_num!L9)</f>
        <v>58465.542815164648</v>
      </c>
      <c r="M9" s="133">
        <f>IF(SER_hh_tes!M9=0,0,11630*1000*SER_hh_tes!M9/SER_hh_num!M9)</f>
        <v>56542.850664163183</v>
      </c>
      <c r="N9" s="133">
        <f>IF(SER_hh_tes!N9=0,0,11630*1000*SER_hh_tes!N9/SER_hh_num!N9)</f>
        <v>53424.013133546534</v>
      </c>
      <c r="O9" s="133">
        <f>IF(SER_hh_tes!O9=0,0,11630*1000*SER_hh_tes!O9/SER_hh_num!O9)</f>
        <v>51600.247528986845</v>
      </c>
      <c r="P9" s="133">
        <f>IF(SER_hh_tes!P9=0,0,11630*1000*SER_hh_tes!P9/SER_hh_num!P9)</f>
        <v>49575.285501894825</v>
      </c>
      <c r="Q9" s="133">
        <f>IF(SER_hh_tes!Q9=0,0,11630*1000*SER_hh_tes!Q9/SER_hh_num!Q9)</f>
        <v>48856.189309440182</v>
      </c>
      <c r="R9" s="133">
        <f>IF(SER_hh_tes!R9=0,0,11630*1000*SER_hh_tes!R9/SER_hh_num!R9)</f>
        <v>50164.151623458063</v>
      </c>
      <c r="S9" s="133">
        <f>IF(SER_hh_tes!S9=0,0,11630*1000*SER_hh_tes!S9/SER_hh_num!S9)</f>
        <v>53605.299048669214</v>
      </c>
      <c r="T9" s="133">
        <f>IF(SER_hh_tes!T9=0,0,11630*1000*SER_hh_tes!T9/SER_hh_num!T9)</f>
        <v>49545.045402060103</v>
      </c>
      <c r="U9" s="133">
        <f>IF(SER_hh_tes!U9=0,0,11630*1000*SER_hh_tes!U9/SER_hh_num!U9)</f>
        <v>52728.997617755456</v>
      </c>
      <c r="V9" s="133">
        <f>IF(SER_hh_tes!V9=0,0,11630*1000*SER_hh_tes!V9/SER_hh_num!V9)</f>
        <v>49072.348782091954</v>
      </c>
      <c r="W9" s="133">
        <f>IF(SER_hh_tes!W9=0,0,11630*1000*SER_hh_tes!W9/SER_hh_num!W9)</f>
        <v>46918.302066735952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62222.543306579864</v>
      </c>
      <c r="C10" s="133">
        <f>IF(SER_hh_tes!C10=0,0,11630*1000*SER_hh_tes!C10/SER_hh_num!C10)</f>
        <v>89575.73179777943</v>
      </c>
      <c r="D10" s="133">
        <f>IF(SER_hh_tes!D10=0,0,11630*1000*SER_hh_tes!D10/SER_hh_num!D10)</f>
        <v>71590.895122962087</v>
      </c>
      <c r="E10" s="133">
        <f>IF(SER_hh_tes!E10=0,0,11630*1000*SER_hh_tes!E10/SER_hh_num!E10)</f>
        <v>80524.080891067817</v>
      </c>
      <c r="F10" s="133">
        <f>IF(SER_hh_tes!F10=0,0,11630*1000*SER_hh_tes!F10/SER_hh_num!F10)</f>
        <v>74821.801755820823</v>
      </c>
      <c r="G10" s="133">
        <f>IF(SER_hh_tes!G10=0,0,11630*1000*SER_hh_tes!G10/SER_hh_num!G10)</f>
        <v>68264.058091661951</v>
      </c>
      <c r="H10" s="133">
        <f>IF(SER_hh_tes!H10=0,0,11630*1000*SER_hh_tes!H10/SER_hh_num!H10)</f>
        <v>53994.874442842047</v>
      </c>
      <c r="I10" s="133">
        <f>IF(SER_hh_tes!I10=0,0,11630*1000*SER_hh_tes!I10/SER_hh_num!I10)</f>
        <v>70211.299838113613</v>
      </c>
      <c r="J10" s="133">
        <f>IF(SER_hh_tes!J10=0,0,11630*1000*SER_hh_tes!J10/SER_hh_num!J10)</f>
        <v>54750.854350368769</v>
      </c>
      <c r="K10" s="133">
        <f>IF(SER_hh_tes!K10=0,0,11630*1000*SER_hh_tes!K10/SER_hh_num!K10)</f>
        <v>47320.921279468515</v>
      </c>
      <c r="L10" s="133">
        <f>IF(SER_hh_tes!L10=0,0,11630*1000*SER_hh_tes!L10/SER_hh_num!L10)</f>
        <v>61171.489769249645</v>
      </c>
      <c r="M10" s="133">
        <f>IF(SER_hh_tes!M10=0,0,11630*1000*SER_hh_tes!M10/SER_hh_num!M10)</f>
        <v>56795.9314137888</v>
      </c>
      <c r="N10" s="133">
        <f>IF(SER_hh_tes!N10=0,0,11630*1000*SER_hh_tes!N10/SER_hh_num!N10)</f>
        <v>53117.344734527156</v>
      </c>
      <c r="O10" s="133">
        <f>IF(SER_hh_tes!O10=0,0,11630*1000*SER_hh_tes!O10/SER_hh_num!O10)</f>
        <v>53568.743745881875</v>
      </c>
      <c r="P10" s="133">
        <f>IF(SER_hh_tes!P10=0,0,11630*1000*SER_hh_tes!P10/SER_hh_num!P10)</f>
        <v>49313.593393540796</v>
      </c>
      <c r="Q10" s="133">
        <f>IF(SER_hh_tes!Q10=0,0,11630*1000*SER_hh_tes!Q10/SER_hh_num!Q10)</f>
        <v>53114.88832907319</v>
      </c>
      <c r="R10" s="133">
        <f>IF(SER_hh_tes!R10=0,0,11630*1000*SER_hh_tes!R10/SER_hh_num!R10)</f>
        <v>51082.323050149724</v>
      </c>
      <c r="S10" s="133">
        <f>IF(SER_hh_tes!S10=0,0,11630*1000*SER_hh_tes!S10/SER_hh_num!S10)</f>
        <v>49820.466675295138</v>
      </c>
      <c r="T10" s="133">
        <f>IF(SER_hh_tes!T10=0,0,11630*1000*SER_hh_tes!T10/SER_hh_num!T10)</f>
        <v>51376.41672413874</v>
      </c>
      <c r="U10" s="133">
        <f>IF(SER_hh_tes!U10=0,0,11630*1000*SER_hh_tes!U10/SER_hh_num!U10)</f>
        <v>52440.560299953031</v>
      </c>
      <c r="V10" s="133">
        <f>IF(SER_hh_tes!V10=0,0,11630*1000*SER_hh_tes!V10/SER_hh_num!V10)</f>
        <v>48534.385906627904</v>
      </c>
      <c r="W10" s="133">
        <f>IF(SER_hh_tes!W10=0,0,11630*1000*SER_hh_tes!W10/SER_hh_num!W10)</f>
        <v>49455.985976713142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80523.32271990685</v>
      </c>
      <c r="C12" s="133">
        <f>IF(SER_hh_tes!C12=0,0,11630*1000*SER_hh_tes!C12/SER_hh_num!C12)</f>
        <v>83128.366563322226</v>
      </c>
      <c r="D12" s="133">
        <f>IF(SER_hh_tes!D12=0,0,11630*1000*SER_hh_tes!D12/SER_hh_num!D12)</f>
        <v>76705.307215736</v>
      </c>
      <c r="E12" s="133">
        <f>IF(SER_hh_tes!E12=0,0,11630*1000*SER_hh_tes!E12/SER_hh_num!E12)</f>
        <v>76016.214835264211</v>
      </c>
      <c r="F12" s="133">
        <f>IF(SER_hh_tes!F12=0,0,11630*1000*SER_hh_tes!F12/SER_hh_num!F12)</f>
        <v>76390.857305352722</v>
      </c>
      <c r="G12" s="133">
        <f>IF(SER_hh_tes!G12=0,0,11630*1000*SER_hh_tes!G12/SER_hh_num!G12)</f>
        <v>74048.898046765389</v>
      </c>
      <c r="H12" s="133">
        <f>IF(SER_hh_tes!H12=0,0,11630*1000*SER_hh_tes!H12/SER_hh_num!H12)</f>
        <v>59368.49809772327</v>
      </c>
      <c r="I12" s="133">
        <f>IF(SER_hh_tes!I12=0,0,11630*1000*SER_hh_tes!I12/SER_hh_num!I12)</f>
        <v>54456.299792487596</v>
      </c>
      <c r="J12" s="133">
        <f>IF(SER_hh_tes!J12=0,0,11630*1000*SER_hh_tes!J12/SER_hh_num!J12)</f>
        <v>55677.016507796856</v>
      </c>
      <c r="K12" s="133">
        <f>IF(SER_hh_tes!K12=0,0,11630*1000*SER_hh_tes!K12/SER_hh_num!K12)</f>
        <v>51491.478660174573</v>
      </c>
      <c r="L12" s="133">
        <f>IF(SER_hh_tes!L12=0,0,11630*1000*SER_hh_tes!L12/SER_hh_num!L12)</f>
        <v>63725.491310295867</v>
      </c>
      <c r="M12" s="133">
        <f>IF(SER_hh_tes!M12=0,0,11630*1000*SER_hh_tes!M12/SER_hh_num!M12)</f>
        <v>57374.471073156252</v>
      </c>
      <c r="N12" s="133">
        <f>IF(SER_hh_tes!N12=0,0,11630*1000*SER_hh_tes!N12/SER_hh_num!N12)</f>
        <v>54726.903775986582</v>
      </c>
      <c r="O12" s="133">
        <f>IF(SER_hh_tes!O12=0,0,11630*1000*SER_hh_tes!O12/SER_hh_num!O12)</f>
        <v>52477.097708466739</v>
      </c>
      <c r="P12" s="133">
        <f>IF(SER_hh_tes!P12=0,0,11630*1000*SER_hh_tes!P12/SER_hh_num!P12)</f>
        <v>49124.967474983096</v>
      </c>
      <c r="Q12" s="133">
        <f>IF(SER_hh_tes!Q12=0,0,11630*1000*SER_hh_tes!Q12/SER_hh_num!Q12)</f>
        <v>49643.550362166774</v>
      </c>
      <c r="R12" s="133">
        <f>IF(SER_hh_tes!R12=0,0,11630*1000*SER_hh_tes!R12/SER_hh_num!R12)</f>
        <v>51495.339838277658</v>
      </c>
      <c r="S12" s="133">
        <f>IF(SER_hh_tes!S12=0,0,11630*1000*SER_hh_tes!S12/SER_hh_num!S12)</f>
        <v>52371.617570379443</v>
      </c>
      <c r="T12" s="133">
        <f>IF(SER_hh_tes!T12=0,0,11630*1000*SER_hh_tes!T12/SER_hh_num!T12)</f>
        <v>52699.820352324205</v>
      </c>
      <c r="U12" s="133">
        <f>IF(SER_hh_tes!U12=0,0,11630*1000*SER_hh_tes!U12/SER_hh_num!U12)</f>
        <v>50978.387369816228</v>
      </c>
      <c r="V12" s="133">
        <f>IF(SER_hh_tes!V12=0,0,11630*1000*SER_hh_tes!V12/SER_hh_num!V12)</f>
        <v>48472.731218916968</v>
      </c>
      <c r="W12" s="133">
        <f>IF(SER_hh_tes!W12=0,0,11630*1000*SER_hh_tes!W12/SER_hh_num!W12)</f>
        <v>50248.490808108494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66916.609248674271</v>
      </c>
      <c r="C13" s="133">
        <f>IF(SER_hh_tes!C13=0,0,11630*1000*SER_hh_tes!C13/SER_hh_num!C13)</f>
        <v>71613.197755230678</v>
      </c>
      <c r="D13" s="133">
        <f>IF(SER_hh_tes!D13=0,0,11630*1000*SER_hh_tes!D13/SER_hh_num!D13)</f>
        <v>80007.664480673717</v>
      </c>
      <c r="E13" s="133">
        <f>IF(SER_hh_tes!E13=0,0,11630*1000*SER_hh_tes!E13/SER_hh_num!E13)</f>
        <v>79069.851077260173</v>
      </c>
      <c r="F13" s="133">
        <f>IF(SER_hh_tes!F13=0,0,11630*1000*SER_hh_tes!F13/SER_hh_num!F13)</f>
        <v>72995.211478426951</v>
      </c>
      <c r="G13" s="133">
        <f>IF(SER_hh_tes!G13=0,0,11630*1000*SER_hh_tes!G13/SER_hh_num!G13)</f>
        <v>62057.502647559922</v>
      </c>
      <c r="H13" s="133">
        <f>IF(SER_hh_tes!H13=0,0,11630*1000*SER_hh_tes!H13/SER_hh_num!H13)</f>
        <v>59500.134135574219</v>
      </c>
      <c r="I13" s="133">
        <f>IF(SER_hh_tes!I13=0,0,11630*1000*SER_hh_tes!I13/SER_hh_num!I13)</f>
        <v>57180.296340940462</v>
      </c>
      <c r="J13" s="133">
        <f>IF(SER_hh_tes!J13=0,0,11630*1000*SER_hh_tes!J13/SER_hh_num!J13)</f>
        <v>56281.284797714572</v>
      </c>
      <c r="K13" s="133">
        <f>IF(SER_hh_tes!K13=0,0,11630*1000*SER_hh_tes!K13/SER_hh_num!K13)</f>
        <v>55854.328502872275</v>
      </c>
      <c r="L13" s="133">
        <f>IF(SER_hh_tes!L13=0,0,11630*1000*SER_hh_tes!L13/SER_hh_num!L13)</f>
        <v>57345.139025846678</v>
      </c>
      <c r="M13" s="133">
        <f>IF(SER_hh_tes!M13=0,0,11630*1000*SER_hh_tes!M13/SER_hh_num!M13)</f>
        <v>55897.52860902738</v>
      </c>
      <c r="N13" s="133">
        <f>IF(SER_hh_tes!N13=0,0,11630*1000*SER_hh_tes!N13/SER_hh_num!N13)</f>
        <v>54421.582086949369</v>
      </c>
      <c r="O13" s="133">
        <f>IF(SER_hh_tes!O13=0,0,11630*1000*SER_hh_tes!O13/SER_hh_num!O13)</f>
        <v>51992.859082408984</v>
      </c>
      <c r="P13" s="133">
        <f>IF(SER_hh_tes!P13=0,0,11630*1000*SER_hh_tes!P13/SER_hh_num!P13)</f>
        <v>49340.208066453524</v>
      </c>
      <c r="Q13" s="133">
        <f>IF(SER_hh_tes!Q13=0,0,11630*1000*SER_hh_tes!Q13/SER_hh_num!Q13)</f>
        <v>49057.257718637506</v>
      </c>
      <c r="R13" s="133">
        <f>IF(SER_hh_tes!R13=0,0,11630*1000*SER_hh_tes!R13/SER_hh_num!R13)</f>
        <v>50031.342964566276</v>
      </c>
      <c r="S13" s="133">
        <f>IF(SER_hh_tes!S13=0,0,11630*1000*SER_hh_tes!S13/SER_hh_num!S13)</f>
        <v>51245.067642343151</v>
      </c>
      <c r="T13" s="133">
        <f>IF(SER_hh_tes!T13=0,0,11630*1000*SER_hh_tes!T13/SER_hh_num!T13)</f>
        <v>51175.74829165839</v>
      </c>
      <c r="U13" s="133">
        <f>IF(SER_hh_tes!U13=0,0,11630*1000*SER_hh_tes!U13/SER_hh_num!U13)</f>
        <v>51036.111340642288</v>
      </c>
      <c r="V13" s="133">
        <f>IF(SER_hh_tes!V13=0,0,11630*1000*SER_hh_tes!V13/SER_hh_num!V13)</f>
        <v>49879.552791275797</v>
      </c>
      <c r="W13" s="133">
        <f>IF(SER_hh_tes!W13=0,0,11630*1000*SER_hh_tes!W13/SER_hh_num!W13)</f>
        <v>51496.741560853116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82493.431115244472</v>
      </c>
      <c r="C14" s="65">
        <f>IF(SER_hh_tes!C14=0,0,11630*1000*SER_hh_tes!C14/SER_hh_num!C14)</f>
        <v>82616.99578834846</v>
      </c>
      <c r="D14" s="65">
        <f>IF(SER_hh_tes!D14=0,0,11630*1000*SER_hh_tes!D14/SER_hh_num!D14)</f>
        <v>76674.199412399321</v>
      </c>
      <c r="E14" s="65">
        <f>IF(SER_hh_tes!E14=0,0,11630*1000*SER_hh_tes!E14/SER_hh_num!E14)</f>
        <v>92711.615388992519</v>
      </c>
      <c r="F14" s="65">
        <f>IF(SER_hh_tes!F14=0,0,11630*1000*SER_hh_tes!F14/SER_hh_num!F14)</f>
        <v>64423.229817073836</v>
      </c>
      <c r="G14" s="65">
        <f>IF(SER_hh_tes!G14=0,0,11630*1000*SER_hh_tes!G14/SER_hh_num!G14)</f>
        <v>63272.529782836747</v>
      </c>
      <c r="H14" s="65">
        <f>IF(SER_hh_tes!H14=0,0,11630*1000*SER_hh_tes!H14/SER_hh_num!H14)</f>
        <v>61161.971689848331</v>
      </c>
      <c r="I14" s="65">
        <f>IF(SER_hh_tes!I14=0,0,11630*1000*SER_hh_tes!I14/SER_hh_num!I14)</f>
        <v>57156.781121813896</v>
      </c>
      <c r="J14" s="65">
        <f>IF(SER_hh_tes!J14=0,0,11630*1000*SER_hh_tes!J14/SER_hh_num!J14)</f>
        <v>59254.564105845362</v>
      </c>
      <c r="K14" s="65">
        <f>IF(SER_hh_tes!K14=0,0,11630*1000*SER_hh_tes!K14/SER_hh_num!K14)</f>
        <v>55836.376314054229</v>
      </c>
      <c r="L14" s="65">
        <f>IF(SER_hh_tes!L14=0,0,11630*1000*SER_hh_tes!L14/SER_hh_num!L14)</f>
        <v>61167.554830007815</v>
      </c>
      <c r="M14" s="65">
        <f>IF(SER_hh_tes!M14=0,0,11630*1000*SER_hh_tes!M14/SER_hh_num!M14)</f>
        <v>54796.023563101713</v>
      </c>
      <c r="N14" s="65">
        <f>IF(SER_hh_tes!N14=0,0,11630*1000*SER_hh_tes!N14/SER_hh_num!N14)</f>
        <v>53107.414055206369</v>
      </c>
      <c r="O14" s="65">
        <f>IF(SER_hh_tes!O14=0,0,11630*1000*SER_hh_tes!O14/SER_hh_num!O14)</f>
        <v>55481.93666946976</v>
      </c>
      <c r="P14" s="65">
        <f>IF(SER_hh_tes!P14=0,0,11630*1000*SER_hh_tes!P14/SER_hh_num!P14)</f>
        <v>49136.465659871195</v>
      </c>
      <c r="Q14" s="65">
        <f>IF(SER_hh_tes!Q14=0,0,11630*1000*SER_hh_tes!Q14/SER_hh_num!Q14)</f>
        <v>47439.085815375365</v>
      </c>
      <c r="R14" s="65">
        <f>IF(SER_hh_tes!R14=0,0,11630*1000*SER_hh_tes!R14/SER_hh_num!R14)</f>
        <v>51397.502252836333</v>
      </c>
      <c r="S14" s="65">
        <f>IF(SER_hh_tes!S14=0,0,11630*1000*SER_hh_tes!S14/SER_hh_num!S14)</f>
        <v>52775.469547034154</v>
      </c>
      <c r="T14" s="65">
        <f>IF(SER_hh_tes!T14=0,0,11630*1000*SER_hh_tes!T14/SER_hh_num!T14)</f>
        <v>52140.337697240342</v>
      </c>
      <c r="U14" s="65">
        <f>IF(SER_hh_tes!U14=0,0,11630*1000*SER_hh_tes!U14/SER_hh_num!U14)</f>
        <v>53717.083669193802</v>
      </c>
      <c r="V14" s="65">
        <f>IF(SER_hh_tes!V14=0,0,11630*1000*SER_hh_tes!V14/SER_hh_num!V14)</f>
        <v>49658.780749054356</v>
      </c>
      <c r="W14" s="65">
        <f>IF(SER_hh_tes!W14=0,0,11630*1000*SER_hh_tes!W14/SER_hh_num!W14)</f>
        <v>49133.161115895367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1008.6252321537014</v>
      </c>
      <c r="C15" s="135">
        <f>IF(SER_hh_tes!C15=0,0,11630*1000*SER_hh_tes!C15/SER_hh_num!C15)</f>
        <v>1018.2752323567897</v>
      </c>
      <c r="D15" s="135">
        <f>IF(SER_hh_tes!D15=0,0,11630*1000*SER_hh_tes!D15/SER_hh_num!D15)</f>
        <v>923.63418799159399</v>
      </c>
      <c r="E15" s="135">
        <f>IF(SER_hh_tes!E15=0,0,11630*1000*SER_hh_tes!E15/SER_hh_num!E15)</f>
        <v>979.61513838315022</v>
      </c>
      <c r="F15" s="135">
        <f>IF(SER_hh_tes!F15=0,0,11630*1000*SER_hh_tes!F15/SER_hh_num!F15)</f>
        <v>933.82433553210626</v>
      </c>
      <c r="G15" s="135">
        <f>IF(SER_hh_tes!G15=0,0,11630*1000*SER_hh_tes!G15/SER_hh_num!G15)</f>
        <v>819.80084969009908</v>
      </c>
      <c r="H15" s="135">
        <f>IF(SER_hh_tes!H15=0,0,11630*1000*SER_hh_tes!H15/SER_hh_num!H15)</f>
        <v>764.72850210388322</v>
      </c>
      <c r="I15" s="135">
        <f>IF(SER_hh_tes!I15=0,0,11630*1000*SER_hh_tes!I15/SER_hh_num!I15)</f>
        <v>705.37438167974096</v>
      </c>
      <c r="J15" s="135">
        <f>IF(SER_hh_tes!J15=0,0,11630*1000*SER_hh_tes!J15/SER_hh_num!J15)</f>
        <v>769.34501365654125</v>
      </c>
      <c r="K15" s="135">
        <f>IF(SER_hh_tes!K15=0,0,11630*1000*SER_hh_tes!K15/SER_hh_num!K15)</f>
        <v>673.05236192843256</v>
      </c>
      <c r="L15" s="135">
        <f>IF(SER_hh_tes!L15=0,0,11630*1000*SER_hh_tes!L15/SER_hh_num!L15)</f>
        <v>725.52412494993655</v>
      </c>
      <c r="M15" s="135">
        <f>IF(SER_hh_tes!M15=0,0,11630*1000*SER_hh_tes!M15/SER_hh_num!M15)</f>
        <v>680.93474424562351</v>
      </c>
      <c r="N15" s="135">
        <f>IF(SER_hh_tes!N15=0,0,11630*1000*SER_hh_tes!N15/SER_hh_num!N15)</f>
        <v>635.99223709180114</v>
      </c>
      <c r="O15" s="135">
        <f>IF(SER_hh_tes!O15=0,0,11630*1000*SER_hh_tes!O15/SER_hh_num!O15)</f>
        <v>605.93556412800194</v>
      </c>
      <c r="P15" s="135">
        <f>IF(SER_hh_tes!P15=0,0,11630*1000*SER_hh_tes!P15/SER_hh_num!P15)</f>
        <v>572.18837797897345</v>
      </c>
      <c r="Q15" s="135">
        <f>IF(SER_hh_tes!Q15=0,0,11630*1000*SER_hh_tes!Q15/SER_hh_num!Q15)</f>
        <v>568.51275417045156</v>
      </c>
      <c r="R15" s="135">
        <f>IF(SER_hh_tes!R15=0,0,11630*1000*SER_hh_tes!R15/SER_hh_num!R15)</f>
        <v>578.83228019838918</v>
      </c>
      <c r="S15" s="135">
        <f>IF(SER_hh_tes!S15=0,0,11630*1000*SER_hh_tes!S15/SER_hh_num!S15)</f>
        <v>611.24831200392941</v>
      </c>
      <c r="T15" s="135">
        <f>IF(SER_hh_tes!T15=0,0,11630*1000*SER_hh_tes!T15/SER_hh_num!T15)</f>
        <v>565.21912847194517</v>
      </c>
      <c r="U15" s="135">
        <f>IF(SER_hh_tes!U15=0,0,11630*1000*SER_hh_tes!U15/SER_hh_num!U15)</f>
        <v>593.30987882664544</v>
      </c>
      <c r="V15" s="135">
        <f>IF(SER_hh_tes!V15=0,0,11630*1000*SER_hh_tes!V15/SER_hh_num!V15)</f>
        <v>550.51950334366506</v>
      </c>
      <c r="W15" s="135">
        <f>IF(SER_hh_tes!W15=0,0,11630*1000*SER_hh_tes!W15/SER_hh_num!W15)</f>
        <v>529.3756200986835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24540.250068340607</v>
      </c>
      <c r="C16" s="131">
        <f>IF(SER_hh_tes!C16=0,0,11630*1000*SER_hh_tes!C16/SER_hh_num!C16)</f>
        <v>24410.432436931751</v>
      </c>
      <c r="D16" s="131">
        <f>IF(SER_hh_tes!D16=0,0,11630*1000*SER_hh_tes!D16/SER_hh_num!D16)</f>
        <v>24484.009358582654</v>
      </c>
      <c r="E16" s="131">
        <f>IF(SER_hh_tes!E16=0,0,11630*1000*SER_hh_tes!E16/SER_hh_num!E16)</f>
        <v>25756.496771513903</v>
      </c>
      <c r="F16" s="131">
        <f>IF(SER_hh_tes!F16=0,0,11630*1000*SER_hh_tes!F16/SER_hh_num!F16)</f>
        <v>24562.13340298305</v>
      </c>
      <c r="G16" s="131">
        <f>IF(SER_hh_tes!G16=0,0,11630*1000*SER_hh_tes!G16/SER_hh_num!G16)</f>
        <v>24730.210752318944</v>
      </c>
      <c r="H16" s="131">
        <f>IF(SER_hh_tes!H16=0,0,11630*1000*SER_hh_tes!H16/SER_hh_num!H16)</f>
        <v>25501.811487785955</v>
      </c>
      <c r="I16" s="131">
        <f>IF(SER_hh_tes!I16=0,0,11630*1000*SER_hh_tes!I16/SER_hh_num!I16)</f>
        <v>25149.399390975374</v>
      </c>
      <c r="J16" s="131">
        <f>IF(SER_hh_tes!J16=0,0,11630*1000*SER_hh_tes!J16/SER_hh_num!J16)</f>
        <v>24789.947576982337</v>
      </c>
      <c r="K16" s="131">
        <f>IF(SER_hh_tes!K16=0,0,11630*1000*SER_hh_tes!K16/SER_hh_num!K16)</f>
        <v>24846.184100739105</v>
      </c>
      <c r="L16" s="131">
        <f>IF(SER_hh_tes!L16=0,0,11630*1000*SER_hh_tes!L16/SER_hh_num!L16)</f>
        <v>25541.673668898915</v>
      </c>
      <c r="M16" s="131">
        <f>IF(SER_hh_tes!M16=0,0,11630*1000*SER_hh_tes!M16/SER_hh_num!M16)</f>
        <v>25274.966166362385</v>
      </c>
      <c r="N16" s="131">
        <f>IF(SER_hh_tes!N16=0,0,11630*1000*SER_hh_tes!N16/SER_hh_num!N16)</f>
        <v>25665.666119401441</v>
      </c>
      <c r="O16" s="131">
        <f>IF(SER_hh_tes!O16=0,0,11630*1000*SER_hh_tes!O16/SER_hh_num!O16)</f>
        <v>26934.515874234497</v>
      </c>
      <c r="P16" s="131">
        <f>IF(SER_hh_tes!P16=0,0,11630*1000*SER_hh_tes!P16/SER_hh_num!P16)</f>
        <v>25636.377875633196</v>
      </c>
      <c r="Q16" s="131">
        <f>IF(SER_hh_tes!Q16=0,0,11630*1000*SER_hh_tes!Q16/SER_hh_num!Q16)</f>
        <v>30111.568701601685</v>
      </c>
      <c r="R16" s="131">
        <f>IF(SER_hh_tes!R16=0,0,11630*1000*SER_hh_tes!R16/SER_hh_num!R16)</f>
        <v>25786.794041212419</v>
      </c>
      <c r="S16" s="131">
        <f>IF(SER_hh_tes!S16=0,0,11630*1000*SER_hh_tes!S16/SER_hh_num!S16)</f>
        <v>26222.354589699877</v>
      </c>
      <c r="T16" s="131">
        <f>IF(SER_hh_tes!T16=0,0,11630*1000*SER_hh_tes!T16/SER_hh_num!T16)</f>
        <v>27698.972881309928</v>
      </c>
      <c r="U16" s="131">
        <f>IF(SER_hh_tes!U16=0,0,11630*1000*SER_hh_tes!U16/SER_hh_num!U16)</f>
        <v>27363.757260297341</v>
      </c>
      <c r="V16" s="131">
        <f>IF(SER_hh_tes!V16=0,0,11630*1000*SER_hh_tes!V16/SER_hh_num!V16)</f>
        <v>26093.935233160893</v>
      </c>
      <c r="W16" s="131">
        <f>IF(SER_hh_tes!W16=0,0,11630*1000*SER_hh_tes!W16/SER_hh_num!W16)</f>
        <v>26238.422186003383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24730.203618496322</v>
      </c>
      <c r="H17" s="133">
        <f>IF(SER_hh_tes!H17=0,0,11630*1000*SER_hh_tes!H17/SER_hh_num!H17)</f>
        <v>25501.809314752627</v>
      </c>
      <c r="I17" s="133">
        <f>IF(SER_hh_tes!I17=0,0,11630*1000*SER_hh_tes!I17/SER_hh_num!I17)</f>
        <v>25149.400548185386</v>
      </c>
      <c r="J17" s="133">
        <f>IF(SER_hh_tes!J17=0,0,11630*1000*SER_hh_tes!J17/SER_hh_num!J17)</f>
        <v>24789.950823501433</v>
      </c>
      <c r="K17" s="133">
        <f>IF(SER_hh_tes!K17=0,0,11630*1000*SER_hh_tes!K17/SER_hh_num!K17)</f>
        <v>24846.189493462149</v>
      </c>
      <c r="L17" s="133">
        <f>IF(SER_hh_tes!L17=0,0,11630*1000*SER_hh_tes!L17/SER_hh_num!L17)</f>
        <v>25541.681454002592</v>
      </c>
      <c r="M17" s="133">
        <f>IF(SER_hh_tes!M17=0,0,11630*1000*SER_hh_tes!M17/SER_hh_num!M17)</f>
        <v>25274.975680542346</v>
      </c>
      <c r="N17" s="133">
        <f>IF(SER_hh_tes!N17=0,0,11630*1000*SER_hh_tes!N17/SER_hh_num!N17)</f>
        <v>25665.659114693826</v>
      </c>
      <c r="O17" s="133">
        <f>IF(SER_hh_tes!O17=0,0,11630*1000*SER_hh_tes!O17/SER_hh_num!O17)</f>
        <v>26934.498753329557</v>
      </c>
      <c r="P17" s="133">
        <f>IF(SER_hh_tes!P17=0,0,11630*1000*SER_hh_tes!P17/SER_hh_num!P17)</f>
        <v>25636.359102920582</v>
      </c>
      <c r="Q17" s="133">
        <f>IF(SER_hh_tes!Q17=0,0,11630*1000*SER_hh_tes!Q17/SER_hh_num!Q17)</f>
        <v>30111.553126305687</v>
      </c>
      <c r="R17" s="133">
        <f>IF(SER_hh_tes!R17=0,0,11630*1000*SER_hh_tes!R17/SER_hh_num!R17)</f>
        <v>25786.791117565423</v>
      </c>
      <c r="S17" s="133">
        <f>IF(SER_hh_tes!S17=0,0,11630*1000*SER_hh_tes!S17/SER_hh_num!S17)</f>
        <v>26222.362193225461</v>
      </c>
      <c r="T17" s="133">
        <f>IF(SER_hh_tes!T17=0,0,11630*1000*SER_hh_tes!T17/SER_hh_num!T17)</f>
        <v>29365.969796439789</v>
      </c>
      <c r="U17" s="133">
        <f>IF(SER_hh_tes!U17=0,0,11630*1000*SER_hh_tes!U17/SER_hh_num!U17)</f>
        <v>27363.776974018565</v>
      </c>
      <c r="V17" s="133">
        <f>IF(SER_hh_tes!V17=0,0,11630*1000*SER_hh_tes!V17/SER_hh_num!V17)</f>
        <v>26093.954136898155</v>
      </c>
      <c r="W17" s="133">
        <f>IF(SER_hh_tes!W17=0,0,11630*1000*SER_hh_tes!W17/SER_hh_num!W17)</f>
        <v>26238.433442483296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24540.250068340607</v>
      </c>
      <c r="C18" s="133">
        <f>IF(SER_hh_tes!C18=0,0,11630*1000*SER_hh_tes!C18/SER_hh_num!C18)</f>
        <v>24410.432436931751</v>
      </c>
      <c r="D18" s="133">
        <f>IF(SER_hh_tes!D18=0,0,11630*1000*SER_hh_tes!D18/SER_hh_num!D18)</f>
        <v>24484.009358582654</v>
      </c>
      <c r="E18" s="133">
        <f>IF(SER_hh_tes!E18=0,0,11630*1000*SER_hh_tes!E18/SER_hh_num!E18)</f>
        <v>25756.496771513903</v>
      </c>
      <c r="F18" s="133">
        <f>IF(SER_hh_tes!F18=0,0,11630*1000*SER_hh_tes!F18/SER_hh_num!F18)</f>
        <v>24562.13340298305</v>
      </c>
      <c r="G18" s="133">
        <f>IF(SER_hh_tes!G18=0,0,11630*1000*SER_hh_tes!G18/SER_hh_num!G18)</f>
        <v>24730.210759879905</v>
      </c>
      <c r="H18" s="133">
        <f>IF(SER_hh_tes!H18=0,0,11630*1000*SER_hh_tes!H18/SER_hh_num!H18)</f>
        <v>25501.811490141208</v>
      </c>
      <c r="I18" s="133">
        <f>IF(SER_hh_tes!I18=0,0,11630*1000*SER_hh_tes!I18/SER_hh_num!I18)</f>
        <v>25149.399389455848</v>
      </c>
      <c r="J18" s="133">
        <f>IF(SER_hh_tes!J18=0,0,11630*1000*SER_hh_tes!J18/SER_hh_num!J18)</f>
        <v>24789.947573027453</v>
      </c>
      <c r="K18" s="133">
        <f>IF(SER_hh_tes!K18=0,0,11630*1000*SER_hh_tes!K18/SER_hh_num!K18)</f>
        <v>24846.184092779313</v>
      </c>
      <c r="L18" s="133">
        <f>IF(SER_hh_tes!L18=0,0,11630*1000*SER_hh_tes!L18/SER_hh_num!L18)</f>
        <v>25541.673658166739</v>
      </c>
      <c r="M18" s="133">
        <f>IF(SER_hh_tes!M18=0,0,11630*1000*SER_hh_tes!M18/SER_hh_num!M18)</f>
        <v>25274.966153333957</v>
      </c>
      <c r="N18" s="133">
        <f>IF(SER_hh_tes!N18=0,0,11630*1000*SER_hh_tes!N18/SER_hh_num!N18)</f>
        <v>25665.666129018045</v>
      </c>
      <c r="O18" s="133">
        <f>IF(SER_hh_tes!O18=0,0,11630*1000*SER_hh_tes!O18/SER_hh_num!O18)</f>
        <v>26934.515901697261</v>
      </c>
      <c r="P18" s="133">
        <f>IF(SER_hh_tes!P18=0,0,11630*1000*SER_hh_tes!P18/SER_hh_num!P18)</f>
        <v>25636.377918948223</v>
      </c>
      <c r="Q18" s="133">
        <f>IF(SER_hh_tes!Q18=0,0,11630*1000*SER_hh_tes!Q18/SER_hh_num!Q18)</f>
        <v>30111.568756979726</v>
      </c>
      <c r="R18" s="133">
        <f>IF(SER_hh_tes!R18=0,0,11630*1000*SER_hh_tes!R18/SER_hh_num!R18)</f>
        <v>25786.7940532434</v>
      </c>
      <c r="S18" s="133">
        <f>IF(SER_hh_tes!S18=0,0,11630*1000*SER_hh_tes!S18/SER_hh_num!S18)</f>
        <v>26222.354552682049</v>
      </c>
      <c r="T18" s="133">
        <f>IF(SER_hh_tes!T18=0,0,11630*1000*SER_hh_tes!T18/SER_hh_num!T18)</f>
        <v>27689.889347500473</v>
      </c>
      <c r="U18" s="133">
        <f>IF(SER_hh_tes!U18=0,0,11630*1000*SER_hh_tes!U18/SER_hh_num!U18)</f>
        <v>27363.757145789907</v>
      </c>
      <c r="V18" s="133">
        <f>IF(SER_hh_tes!V18=0,0,11630*1000*SER_hh_tes!V18/SER_hh_num!V18)</f>
        <v>26093.935101681393</v>
      </c>
      <c r="W18" s="133">
        <f>IF(SER_hh_tes!W18=0,0,11630*1000*SER_hh_tes!W18/SER_hh_num!W18)</f>
        <v>26238.42210706936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7005.3627162124867</v>
      </c>
      <c r="C19" s="131">
        <f>IF(SER_hh_tes!C19=0,0,11630*1000*SER_hh_tes!C19/SER_hh_num!C19)</f>
        <v>6949.6413401293812</v>
      </c>
      <c r="D19" s="131">
        <f>IF(SER_hh_tes!D19=0,0,11630*1000*SER_hh_tes!D19/SER_hh_num!D19)</f>
        <v>6864.1532813538743</v>
      </c>
      <c r="E19" s="131">
        <f>IF(SER_hh_tes!E19=0,0,11630*1000*SER_hh_tes!E19/SER_hh_num!E19)</f>
        <v>6783.6268381141163</v>
      </c>
      <c r="F19" s="131">
        <f>IF(SER_hh_tes!F19=0,0,11630*1000*SER_hh_tes!F19/SER_hh_num!F19)</f>
        <v>6615.9550753054737</v>
      </c>
      <c r="G19" s="131">
        <f>IF(SER_hh_tes!G19=0,0,11630*1000*SER_hh_tes!G19/SER_hh_num!G19)</f>
        <v>6572.2233342798354</v>
      </c>
      <c r="H19" s="131">
        <f>IF(SER_hh_tes!H19=0,0,11630*1000*SER_hh_tes!H19/SER_hh_num!H19)</f>
        <v>6629.7713199786713</v>
      </c>
      <c r="I19" s="131">
        <f>IF(SER_hh_tes!I19=0,0,11630*1000*SER_hh_tes!I19/SER_hh_num!I19)</f>
        <v>6670.7221810127148</v>
      </c>
      <c r="J19" s="131">
        <f>IF(SER_hh_tes!J19=0,0,11630*1000*SER_hh_tes!J19/SER_hh_num!J19)</f>
        <v>6717.6203637555864</v>
      </c>
      <c r="K19" s="131">
        <f>IF(SER_hh_tes!K19=0,0,11630*1000*SER_hh_tes!K19/SER_hh_num!K19)</f>
        <v>7215.4067437735921</v>
      </c>
      <c r="L19" s="131">
        <f>IF(SER_hh_tes!L19=0,0,11630*1000*SER_hh_tes!L19/SER_hh_num!L19)</f>
        <v>7490.6899850110231</v>
      </c>
      <c r="M19" s="131">
        <f>IF(SER_hh_tes!M19=0,0,11630*1000*SER_hh_tes!M19/SER_hh_num!M19)</f>
        <v>7597.4691205507343</v>
      </c>
      <c r="N19" s="131">
        <f>IF(SER_hh_tes!N19=0,0,11630*1000*SER_hh_tes!N19/SER_hh_num!N19)</f>
        <v>7742.2339762291977</v>
      </c>
      <c r="O19" s="131">
        <f>IF(SER_hh_tes!O19=0,0,11630*1000*SER_hh_tes!O19/SER_hh_num!O19)</f>
        <v>7825.0676059954021</v>
      </c>
      <c r="P19" s="131">
        <f>IF(SER_hh_tes!P19=0,0,11630*1000*SER_hh_tes!P19/SER_hh_num!P19)</f>
        <v>7792.215952213025</v>
      </c>
      <c r="Q19" s="131">
        <f>IF(SER_hh_tes!Q19=0,0,11630*1000*SER_hh_tes!Q19/SER_hh_num!Q19)</f>
        <v>7822.6371592651958</v>
      </c>
      <c r="R19" s="131">
        <f>IF(SER_hh_tes!R19=0,0,11630*1000*SER_hh_tes!R19/SER_hh_num!R19)</f>
        <v>8009.3491355909046</v>
      </c>
      <c r="S19" s="131">
        <f>IF(SER_hh_tes!S19=0,0,11630*1000*SER_hh_tes!S19/SER_hh_num!S19)</f>
        <v>8130.6659721777396</v>
      </c>
      <c r="T19" s="131">
        <f>IF(SER_hh_tes!T19=0,0,11630*1000*SER_hh_tes!T19/SER_hh_num!T19)</f>
        <v>8104.6609506857012</v>
      </c>
      <c r="U19" s="131">
        <f>IF(SER_hh_tes!U19=0,0,11630*1000*SER_hh_tes!U19/SER_hh_num!U19)</f>
        <v>8160.0330559106369</v>
      </c>
      <c r="V19" s="131">
        <f>IF(SER_hh_tes!V19=0,0,11630*1000*SER_hh_tes!V19/SER_hh_num!V19)</f>
        <v>7796.5953241038924</v>
      </c>
      <c r="W19" s="131">
        <f>IF(SER_hh_tes!W19=0,0,11630*1000*SER_hh_tes!W19/SER_hh_num!W19)</f>
        <v>7923.4712619554466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6959.0091951703134</v>
      </c>
      <c r="C23" s="133">
        <f>IF(SER_hh_tes!C23=0,0,11630*1000*SER_hh_tes!C23/SER_hh_num!C23)</f>
        <v>6874.6729676960895</v>
      </c>
      <c r="D23" s="133">
        <f>IF(SER_hh_tes!D23=0,0,11630*1000*SER_hh_tes!D23/SER_hh_num!D23)</f>
        <v>6881.0277552160796</v>
      </c>
      <c r="E23" s="133">
        <f>IF(SER_hh_tes!E23=0,0,11630*1000*SER_hh_tes!E23/SER_hh_num!E23)</f>
        <v>6726.3225828614795</v>
      </c>
      <c r="F23" s="133">
        <f>IF(SER_hh_tes!F23=0,0,11630*1000*SER_hh_tes!F23/SER_hh_num!F23)</f>
        <v>6527.7079470467324</v>
      </c>
      <c r="G23" s="133">
        <f>IF(SER_hh_tes!G23=0,0,11630*1000*SER_hh_tes!G23/SER_hh_num!G23)</f>
        <v>6575.6083317194298</v>
      </c>
      <c r="H23" s="133">
        <f>IF(SER_hh_tes!H23=0,0,11630*1000*SER_hh_tes!H23/SER_hh_num!H23)</f>
        <v>6586.7043075764959</v>
      </c>
      <c r="I23" s="133">
        <f>IF(SER_hh_tes!I23=0,0,11630*1000*SER_hh_tes!I23/SER_hh_num!I23)</f>
        <v>6432.0942125035135</v>
      </c>
      <c r="J23" s="133">
        <f>IF(SER_hh_tes!J23=0,0,11630*1000*SER_hh_tes!J23/SER_hh_num!J23)</f>
        <v>6546.9944425101185</v>
      </c>
      <c r="K23" s="133">
        <f>IF(SER_hh_tes!K23=0,0,11630*1000*SER_hh_tes!K23/SER_hh_num!K23)</f>
        <v>7844.2087363607607</v>
      </c>
      <c r="L23" s="133">
        <f>IF(SER_hh_tes!L23=0,0,11630*1000*SER_hh_tes!L23/SER_hh_num!L23)</f>
        <v>7410.7230726061771</v>
      </c>
      <c r="M23" s="133">
        <f>IF(SER_hh_tes!M23=0,0,11630*1000*SER_hh_tes!M23/SER_hh_num!M23)</f>
        <v>7452.2578680516644</v>
      </c>
      <c r="N23" s="133">
        <f>IF(SER_hh_tes!N23=0,0,11630*1000*SER_hh_tes!N23/SER_hh_num!N23)</f>
        <v>7690.5819992771721</v>
      </c>
      <c r="O23" s="133">
        <f>IF(SER_hh_tes!O23=0,0,11630*1000*SER_hh_tes!O23/SER_hh_num!O23)</f>
        <v>7839.6165423416578</v>
      </c>
      <c r="P23" s="133">
        <f>IF(SER_hh_tes!P23=0,0,11630*1000*SER_hh_tes!P23/SER_hh_num!P23)</f>
        <v>7813.4676305774992</v>
      </c>
      <c r="Q23" s="133">
        <f>IF(SER_hh_tes!Q23=0,0,11630*1000*SER_hh_tes!Q23/SER_hh_num!Q23)</f>
        <v>7745.5943815035625</v>
      </c>
      <c r="R23" s="133">
        <f>IF(SER_hh_tes!R23=0,0,11630*1000*SER_hh_tes!R23/SER_hh_num!R23)</f>
        <v>7875.3576479598069</v>
      </c>
      <c r="S23" s="133">
        <f>IF(SER_hh_tes!S23=0,0,11630*1000*SER_hh_tes!S23/SER_hh_num!S23)</f>
        <v>8388.2814544599114</v>
      </c>
      <c r="T23" s="133">
        <f>IF(SER_hh_tes!T23=0,0,11630*1000*SER_hh_tes!T23/SER_hh_num!T23)</f>
        <v>7775.8811636111677</v>
      </c>
      <c r="U23" s="133">
        <f>IF(SER_hh_tes!U23=0,0,11630*1000*SER_hh_tes!U23/SER_hh_num!U23)</f>
        <v>8252.3950272822858</v>
      </c>
      <c r="V23" s="133">
        <f>IF(SER_hh_tes!V23=0,0,11630*1000*SER_hh_tes!V23/SER_hh_num!V23)</f>
        <v>7750.4349716098068</v>
      </c>
      <c r="W23" s="133">
        <f>IF(SER_hh_tes!W23=0,0,11630*1000*SER_hh_tes!W23/SER_hh_num!W23)</f>
        <v>7777.3137141393372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6962.183858781329</v>
      </c>
      <c r="C25" s="133">
        <f>IF(SER_hh_tes!C25=0,0,11630*1000*SER_hh_tes!C25/SER_hh_num!C25)</f>
        <v>6946.4952234712146</v>
      </c>
      <c r="D25" s="133">
        <f>IF(SER_hh_tes!D25=0,0,11630*1000*SER_hh_tes!D25/SER_hh_num!D25)</f>
        <v>6803.5600178691675</v>
      </c>
      <c r="E25" s="133">
        <f>IF(SER_hh_tes!E25=0,0,11630*1000*SER_hh_tes!E25/SER_hh_num!E25)</f>
        <v>6792.4745484541791</v>
      </c>
      <c r="F25" s="133">
        <f>IF(SER_hh_tes!F25=0,0,11630*1000*SER_hh_tes!F25/SER_hh_num!F25)</f>
        <v>6714.4868607389235</v>
      </c>
      <c r="G25" s="133">
        <f>IF(SER_hh_tes!G25=0,0,11630*1000*SER_hh_tes!G25/SER_hh_num!G25)</f>
        <v>6549.8260494913839</v>
      </c>
      <c r="H25" s="133">
        <f>IF(SER_hh_tes!H25=0,0,11630*1000*SER_hh_tes!H25/SER_hh_num!H25)</f>
        <v>6676.3589923454565</v>
      </c>
      <c r="I25" s="133">
        <f>IF(SER_hh_tes!I25=0,0,11630*1000*SER_hh_tes!I25/SER_hh_num!I25)</f>
        <v>6685.2934377093898</v>
      </c>
      <c r="J25" s="133">
        <f>IF(SER_hh_tes!J25=0,0,11630*1000*SER_hh_tes!J25/SER_hh_num!J25)</f>
        <v>6828.1347460910001</v>
      </c>
      <c r="K25" s="133">
        <f>IF(SER_hh_tes!K25=0,0,11630*1000*SER_hh_tes!K25/SER_hh_num!K25)</f>
        <v>6957.2580722294497</v>
      </c>
      <c r="L25" s="133">
        <f>IF(SER_hh_tes!L25=0,0,11630*1000*SER_hh_tes!L25/SER_hh_num!L25)</f>
        <v>7276.7961025242939</v>
      </c>
      <c r="M25" s="133">
        <f>IF(SER_hh_tes!M25=0,0,11630*1000*SER_hh_tes!M25/SER_hh_num!M25)</f>
        <v>7592.6987928420249</v>
      </c>
      <c r="N25" s="133">
        <f>IF(SER_hh_tes!N25=0,0,11630*1000*SER_hh_tes!N25/SER_hh_num!N25)</f>
        <v>7661.6290828884621</v>
      </c>
      <c r="O25" s="133">
        <f>IF(SER_hh_tes!O25=0,0,11630*1000*SER_hh_tes!O25/SER_hh_num!O25)</f>
        <v>7971.7914981804206</v>
      </c>
      <c r="P25" s="133">
        <f>IF(SER_hh_tes!P25=0,0,11630*1000*SER_hh_tes!P25/SER_hh_num!P25)</f>
        <v>7779.7261306933115</v>
      </c>
      <c r="Q25" s="133">
        <f>IF(SER_hh_tes!Q25=0,0,11630*1000*SER_hh_tes!Q25/SER_hh_num!Q25)</f>
        <v>7716.8723903989367</v>
      </c>
      <c r="R25" s="133">
        <f>IF(SER_hh_tes!R25=0,0,11630*1000*SER_hh_tes!R25/SER_hh_num!R25)</f>
        <v>8028.2541993268624</v>
      </c>
      <c r="S25" s="133">
        <f>IF(SER_hh_tes!S25=0,0,11630*1000*SER_hh_tes!S25/SER_hh_num!S25)</f>
        <v>8041.3212349479982</v>
      </c>
      <c r="T25" s="133">
        <f>IF(SER_hh_tes!T25=0,0,11630*1000*SER_hh_tes!T25/SER_hh_num!T25)</f>
        <v>8185.5902232813969</v>
      </c>
      <c r="U25" s="133">
        <f>IF(SER_hh_tes!U25=0,0,11630*1000*SER_hh_tes!U25/SER_hh_num!U25)</f>
        <v>7939.4676009806863</v>
      </c>
      <c r="V25" s="133">
        <f>IF(SER_hh_tes!V25=0,0,11630*1000*SER_hh_tes!V25/SER_hh_num!V25)</f>
        <v>7740.9502331800659</v>
      </c>
      <c r="W25" s="133">
        <f>IF(SER_hh_tes!W25=0,0,11630*1000*SER_hh_tes!W25/SER_hh_num!W25)</f>
        <v>8002.9434515216562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7063.7713721551818</v>
      </c>
      <c r="C26" s="65">
        <f>IF(SER_hh_tes!C26=0,0,11630*1000*SER_hh_tes!C26/SER_hh_num!C26)</f>
        <v>7008.7430335419322</v>
      </c>
      <c r="D26" s="65">
        <f>IF(SER_hh_tes!D26=0,0,11630*1000*SER_hh_tes!D26/SER_hh_num!D26)</f>
        <v>6885.1014985690226</v>
      </c>
      <c r="E26" s="65">
        <f>IF(SER_hh_tes!E26=0,0,11630*1000*SER_hh_tes!E26/SER_hh_num!E26)</f>
        <v>6783.1454932570996</v>
      </c>
      <c r="F26" s="65">
        <f>IF(SER_hh_tes!F26=0,0,11630*1000*SER_hh_tes!F26/SER_hh_num!F26)</f>
        <v>6576.111424000298</v>
      </c>
      <c r="G26" s="65">
        <f>IF(SER_hh_tes!G26=0,0,11630*1000*SER_hh_tes!G26/SER_hh_num!G26)</f>
        <v>6508.2030209980385</v>
      </c>
      <c r="H26" s="65">
        <f>IF(SER_hh_tes!H26=0,0,11630*1000*SER_hh_tes!H26/SER_hh_num!H26)</f>
        <v>6558.3800753532787</v>
      </c>
      <c r="I26" s="65">
        <f>IF(SER_hh_tes!I26=0,0,11630*1000*SER_hh_tes!I26/SER_hh_num!I26)</f>
        <v>6817.5044128285281</v>
      </c>
      <c r="J26" s="65">
        <f>IF(SER_hh_tes!J26=0,0,11630*1000*SER_hh_tes!J26/SER_hh_num!J26)</f>
        <v>6707.2072228847883</v>
      </c>
      <c r="K26" s="65">
        <f>IF(SER_hh_tes!K26=0,0,11630*1000*SER_hh_tes!K26/SER_hh_num!K26)</f>
        <v>6383.8458661111399</v>
      </c>
      <c r="L26" s="65">
        <f>IF(SER_hh_tes!L26=0,0,11630*1000*SER_hh_tes!L26/SER_hh_num!L26)</f>
        <v>7483.7069507778724</v>
      </c>
      <c r="M26" s="65">
        <f>IF(SER_hh_tes!M26=0,0,11630*1000*SER_hh_tes!M26/SER_hh_num!M26)</f>
        <v>7480.3714005006032</v>
      </c>
      <c r="N26" s="65">
        <f>IF(SER_hh_tes!N26=0,0,11630*1000*SER_hh_tes!N26/SER_hh_num!N26)</f>
        <v>7514.5706852710646</v>
      </c>
      <c r="O26" s="65">
        <f>IF(SER_hh_tes!O26=0,0,11630*1000*SER_hh_tes!O26/SER_hh_num!O26)</f>
        <v>7308.8966223637954</v>
      </c>
      <c r="P26" s="65">
        <f>IF(SER_hh_tes!P26=0,0,11630*1000*SER_hh_tes!P26/SER_hh_num!P26)</f>
        <v>7334.1561196123275</v>
      </c>
      <c r="Q26" s="65">
        <f>IF(SER_hh_tes!Q26=0,0,11630*1000*SER_hh_tes!Q26/SER_hh_num!Q26)</f>
        <v>7551.8269921651199</v>
      </c>
      <c r="R26" s="65">
        <f>IF(SER_hh_tes!R26=0,0,11630*1000*SER_hh_tes!R26/SER_hh_num!R26)</f>
        <v>7702.3120521021101</v>
      </c>
      <c r="S26" s="65">
        <f>IF(SER_hh_tes!S26=0,0,11630*1000*SER_hh_tes!S26/SER_hh_num!S26)</f>
        <v>7315.264933376392</v>
      </c>
      <c r="T26" s="65">
        <f>IF(SER_hh_tes!T26=0,0,11630*1000*SER_hh_tes!T26/SER_hh_num!T26)</f>
        <v>8014.2534039314341</v>
      </c>
      <c r="U26" s="65">
        <f>IF(SER_hh_tes!U26=0,0,11630*1000*SER_hh_tes!U26/SER_hh_num!U26)</f>
        <v>7694.8151096419451</v>
      </c>
      <c r="V26" s="65">
        <f>IF(SER_hh_tes!V26=0,0,11630*1000*SER_hh_tes!V26/SER_hh_num!V26)</f>
        <v>7395.4895702891617</v>
      </c>
      <c r="W26" s="65">
        <f>IF(SER_hh_tes!W26=0,0,11630*1000*SER_hh_tes!W26/SER_hh_num!W26)</f>
        <v>7549.3804995165337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18.292219795656695</v>
      </c>
      <c r="F27" s="146">
        <f>IF(SER_hh_tes!F27=0,0,11630*1000*SER_hh_tes!F27/SER_hh_num!F19)</f>
        <v>23.863150724307935</v>
      </c>
      <c r="G27" s="146">
        <f>IF(SER_hh_tes!G27=0,0,11630*1000*SER_hh_tes!G27/SER_hh_num!G19)</f>
        <v>28.755024920575988</v>
      </c>
      <c r="H27" s="146">
        <f>IF(SER_hh_tes!H27=0,0,11630*1000*SER_hh_tes!H27/SER_hh_num!H19)</f>
        <v>33.147296996866359</v>
      </c>
      <c r="I27" s="146">
        <f>IF(SER_hh_tes!I27=0,0,11630*1000*SER_hh_tes!I27/SER_hh_num!I19)</f>
        <v>40.582122793527738</v>
      </c>
      <c r="J27" s="146">
        <f>IF(SER_hh_tes!J27=0,0,11630*1000*SER_hh_tes!J27/SER_hh_num!J19)</f>
        <v>52.397509118561622</v>
      </c>
      <c r="K27" s="146">
        <f>IF(SER_hh_tes!K27=0,0,11630*1000*SER_hh_tes!K27/SER_hh_num!K19)</f>
        <v>64.067902552261089</v>
      </c>
      <c r="L27" s="146">
        <f>IF(SER_hh_tes!L27=0,0,11630*1000*SER_hh_tes!L27/SER_hh_num!L19)</f>
        <v>84.009322419016996</v>
      </c>
      <c r="M27" s="146">
        <f>IF(SER_hh_tes!M27=0,0,11630*1000*SER_hh_tes!M27/SER_hh_num!M19)</f>
        <v>104.63906986310735</v>
      </c>
      <c r="N27" s="146">
        <f>IF(SER_hh_tes!N27=0,0,11630*1000*SER_hh_tes!N27/SER_hh_num!N19)</f>
        <v>116.21771666116794</v>
      </c>
      <c r="O27" s="146">
        <f>IF(SER_hh_tes!O27=0,0,11630*1000*SER_hh_tes!O27/SER_hh_num!O19)</f>
        <v>123.21073130536129</v>
      </c>
      <c r="P27" s="146">
        <f>IF(SER_hh_tes!P27=0,0,11630*1000*SER_hh_tes!P27/SER_hh_num!P19)</f>
        <v>137.84592134722493</v>
      </c>
      <c r="Q27" s="146">
        <f>IF(SER_hh_tes!Q27=0,0,11630*1000*SER_hh_tes!Q27/SER_hh_num!Q19)</f>
        <v>143.97727599873448</v>
      </c>
      <c r="R27" s="146">
        <f>IF(SER_hh_tes!R27=0,0,11630*1000*SER_hh_tes!R27/SER_hh_num!R19)</f>
        <v>150.05184855978112</v>
      </c>
      <c r="S27" s="146">
        <f>IF(SER_hh_tes!S27=0,0,11630*1000*SER_hh_tes!S27/SER_hh_num!S19)</f>
        <v>153.3100466001064</v>
      </c>
      <c r="T27" s="146">
        <f>IF(SER_hh_tes!T27=0,0,11630*1000*SER_hh_tes!T27/SER_hh_num!T19)</f>
        <v>155.00577184847549</v>
      </c>
      <c r="U27" s="146">
        <f>IF(SER_hh_tes!U27=0,0,11630*1000*SER_hh_tes!U27/SER_hh_num!U19)</f>
        <v>155.61375874392809</v>
      </c>
      <c r="V27" s="146">
        <f>IF(SER_hh_tes!V27=0,0,11630*1000*SER_hh_tes!V27/SER_hh_num!V19)</f>
        <v>158.05384557489427</v>
      </c>
      <c r="W27" s="146">
        <f>IF(SER_hh_tes!W27=0,0,11630*1000*SER_hh_tes!W27/SER_hh_num!W19)</f>
        <v>160.28644472064161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3448.8696864625199</v>
      </c>
      <c r="F28" s="147">
        <f>IF(SER_hh_tes!F27=0,0,11630*1000*SER_hh_tes!F27/SER_hh_num!F27)</f>
        <v>3319.9291211572399</v>
      </c>
      <c r="G28" s="147">
        <f>IF(SER_hh_tes!G27=0,0,11630*1000*SER_hh_tes!G27/SER_hh_num!G27)</f>
        <v>3380.8075335851158</v>
      </c>
      <c r="H28" s="147">
        <f>IF(SER_hh_tes!H27=0,0,11630*1000*SER_hh_tes!H27/SER_hh_num!H27)</f>
        <v>3280.6989681225023</v>
      </c>
      <c r="I28" s="147">
        <f>IF(SER_hh_tes!I27=0,0,11630*1000*SER_hh_tes!I27/SER_hh_num!I27)</f>
        <v>3344.7624315487833</v>
      </c>
      <c r="J28" s="147">
        <f>IF(SER_hh_tes!J27=0,0,11630*1000*SER_hh_tes!J27/SER_hh_num!J27)</f>
        <v>3424.1341958129001</v>
      </c>
      <c r="K28" s="147">
        <f>IF(SER_hh_tes!K27=0,0,11630*1000*SER_hh_tes!K27/SER_hh_num!K27)</f>
        <v>3613.0972024284247</v>
      </c>
      <c r="L28" s="147">
        <f>IF(SER_hh_tes!L27=0,0,11630*1000*SER_hh_tes!L27/SER_hh_num!L27)</f>
        <v>3822.1722377406791</v>
      </c>
      <c r="M28" s="147">
        <f>IF(SER_hh_tes!M27=0,0,11630*1000*SER_hh_tes!M27/SER_hh_num!M27)</f>
        <v>4240.6852841019672</v>
      </c>
      <c r="N28" s="147">
        <f>IF(SER_hh_tes!N27=0,0,11630*1000*SER_hh_tes!N27/SER_hh_num!N27)</f>
        <v>4404.9352229602082</v>
      </c>
      <c r="O28" s="147">
        <f>IF(SER_hh_tes!O27=0,0,11630*1000*SER_hh_tes!O27/SER_hh_num!O27)</f>
        <v>4532.4134609006987</v>
      </c>
      <c r="P28" s="147">
        <f>IF(SER_hh_tes!P27=0,0,11630*1000*SER_hh_tes!P27/SER_hh_num!P27)</f>
        <v>4307.9992763931095</v>
      </c>
      <c r="Q28" s="147">
        <f>IF(SER_hh_tes!Q27=0,0,11630*1000*SER_hh_tes!Q27/SER_hh_num!Q27)</f>
        <v>4534.8191299609416</v>
      </c>
      <c r="R28" s="147">
        <f>IF(SER_hh_tes!R27=0,0,11630*1000*SER_hh_tes!R27/SER_hh_num!R27)</f>
        <v>4742.4424882512549</v>
      </c>
      <c r="S28" s="147">
        <f>IF(SER_hh_tes!S27=0,0,11630*1000*SER_hh_tes!S27/SER_hh_num!S27)</f>
        <v>4716.723243386773</v>
      </c>
      <c r="T28" s="147">
        <f>IF(SER_hh_tes!T27=0,0,11630*1000*SER_hh_tes!T27/SER_hh_num!T27)</f>
        <v>4630.4742153231746</v>
      </c>
      <c r="U28" s="147">
        <f>IF(SER_hh_tes!U27=0,0,11630*1000*SER_hh_tes!U27/SER_hh_num!U27)</f>
        <v>4677.7198758478162</v>
      </c>
      <c r="V28" s="147">
        <f>IF(SER_hh_tes!V27=0,0,11630*1000*SER_hh_tes!V27/SER_hh_num!V27)</f>
        <v>4280.3559154153299</v>
      </c>
      <c r="W28" s="147">
        <f>IF(SER_hh_tes!W27=0,0,11630*1000*SER_hh_tes!W27/SER_hh_num!W27)</f>
        <v>4565.2864439277309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7553.2567012576728</v>
      </c>
      <c r="C29" s="131">
        <f>IF(SER_hh_tes!C29=0,0,11630*1000*SER_hh_tes!C29/SER_hh_num!C29)</f>
        <v>7553.7804123931837</v>
      </c>
      <c r="D29" s="131">
        <f>IF(SER_hh_tes!D29=0,0,11630*1000*SER_hh_tes!D29/SER_hh_num!D29)</f>
        <v>7529.3712824804452</v>
      </c>
      <c r="E29" s="131">
        <f>IF(SER_hh_tes!E29=0,0,11630*1000*SER_hh_tes!E29/SER_hh_num!E29)</f>
        <v>7608.8201711634692</v>
      </c>
      <c r="F29" s="131">
        <f>IF(SER_hh_tes!F29=0,0,11630*1000*SER_hh_tes!F29/SER_hh_num!F29)</f>
        <v>7594.3144308646006</v>
      </c>
      <c r="G29" s="131">
        <f>IF(SER_hh_tes!G29=0,0,11630*1000*SER_hh_tes!G29/SER_hh_num!G29)</f>
        <v>7520.0755007309781</v>
      </c>
      <c r="H29" s="131">
        <f>IF(SER_hh_tes!H29=0,0,11630*1000*SER_hh_tes!H29/SER_hh_num!H29)</f>
        <v>7561.7148686855689</v>
      </c>
      <c r="I29" s="131">
        <f>IF(SER_hh_tes!I29=0,0,11630*1000*SER_hh_tes!I29/SER_hh_num!I29)</f>
        <v>7492.7936304609448</v>
      </c>
      <c r="J29" s="131">
        <f>IF(SER_hh_tes!J29=0,0,11630*1000*SER_hh_tes!J29/SER_hh_num!J29)</f>
        <v>7594.9885428370972</v>
      </c>
      <c r="K29" s="131">
        <f>IF(SER_hh_tes!K29=0,0,11630*1000*SER_hh_tes!K29/SER_hh_num!K29)</f>
        <v>8042.0040361587126</v>
      </c>
      <c r="L29" s="131">
        <f>IF(SER_hh_tes!L29=0,0,11630*1000*SER_hh_tes!L29/SER_hh_num!L29)</f>
        <v>8296.682583707181</v>
      </c>
      <c r="M29" s="131">
        <f>IF(SER_hh_tes!M29=0,0,11630*1000*SER_hh_tes!M29/SER_hh_num!M29)</f>
        <v>8404.8227517751584</v>
      </c>
      <c r="N29" s="131">
        <f>IF(SER_hh_tes!N29=0,0,11630*1000*SER_hh_tes!N29/SER_hh_num!N29)</f>
        <v>8465.1689368480747</v>
      </c>
      <c r="O29" s="131">
        <f>IF(SER_hh_tes!O29=0,0,11630*1000*SER_hh_tes!O29/SER_hh_num!O29)</f>
        <v>8595.5112886517854</v>
      </c>
      <c r="P29" s="131">
        <f>IF(SER_hh_tes!P29=0,0,11630*1000*SER_hh_tes!P29/SER_hh_num!P29)</f>
        <v>8656.0014180264825</v>
      </c>
      <c r="Q29" s="131">
        <f>IF(SER_hh_tes!Q29=0,0,11630*1000*SER_hh_tes!Q29/SER_hh_num!Q29)</f>
        <v>8656.3147591474553</v>
      </c>
      <c r="R29" s="131">
        <f>IF(SER_hh_tes!R29=0,0,11630*1000*SER_hh_tes!R29/SER_hh_num!R29)</f>
        <v>8705.6060700064227</v>
      </c>
      <c r="S29" s="131">
        <f>IF(SER_hh_tes!S29=0,0,11630*1000*SER_hh_tes!S29/SER_hh_num!S29)</f>
        <v>8772.1618952960162</v>
      </c>
      <c r="T29" s="131">
        <f>IF(SER_hh_tes!T29=0,0,11630*1000*SER_hh_tes!T29/SER_hh_num!T29)</f>
        <v>8706.9782182966228</v>
      </c>
      <c r="U29" s="131">
        <f>IF(SER_hh_tes!U29=0,0,11630*1000*SER_hh_tes!U29/SER_hh_num!U29)</f>
        <v>8778.0006713016373</v>
      </c>
      <c r="V29" s="131">
        <f>IF(SER_hh_tes!V29=0,0,11630*1000*SER_hh_tes!V29/SER_hh_num!V29)</f>
        <v>8230.0419992570532</v>
      </c>
      <c r="W29" s="131">
        <f>IF(SER_hh_tes!W29=0,0,11630*1000*SER_hh_tes!W29/SER_hh_num!W29)</f>
        <v>8489.6094395460113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6776.6176571156821</v>
      </c>
      <c r="C31" s="133">
        <f>IF(SER_hh_tes!C31=0,0,11630*1000*SER_hh_tes!C31/SER_hh_num!C31)</f>
        <v>7836.9677672625921</v>
      </c>
      <c r="D31" s="133">
        <f>IF(SER_hh_tes!D31=0,0,11630*1000*SER_hh_tes!D31/SER_hh_num!D31)</f>
        <v>7719.5530435986939</v>
      </c>
      <c r="E31" s="133">
        <f>IF(SER_hh_tes!E31=0,0,11630*1000*SER_hh_tes!E31/SER_hh_num!E31)</f>
        <v>7535.493638241026</v>
      </c>
      <c r="F31" s="133">
        <f>IF(SER_hh_tes!F31=0,0,11630*1000*SER_hh_tes!F31/SER_hh_num!F31)</f>
        <v>7703.9773921007763</v>
      </c>
      <c r="G31" s="133">
        <f>IF(SER_hh_tes!G31=0,0,11630*1000*SER_hh_tes!G31/SER_hh_num!G31)</f>
        <v>7555.1115578235949</v>
      </c>
      <c r="H31" s="133">
        <f>IF(SER_hh_tes!H31=0,0,11630*1000*SER_hh_tes!H31/SER_hh_num!H31)</f>
        <v>7452.7119444684167</v>
      </c>
      <c r="I31" s="133">
        <f>IF(SER_hh_tes!I31=0,0,11630*1000*SER_hh_tes!I31/SER_hh_num!I31)</f>
        <v>7491.0336797547689</v>
      </c>
      <c r="J31" s="133">
        <f>IF(SER_hh_tes!J31=0,0,11630*1000*SER_hh_tes!J31/SER_hh_num!J31)</f>
        <v>7636.1098692547739</v>
      </c>
      <c r="K31" s="133">
        <f>IF(SER_hh_tes!K31=0,0,11630*1000*SER_hh_tes!K31/SER_hh_num!K31)</f>
        <v>8546.0392815132873</v>
      </c>
      <c r="L31" s="133">
        <f>IF(SER_hh_tes!L31=0,0,11630*1000*SER_hh_tes!L31/SER_hh_num!L31)</f>
        <v>8287.6231990381457</v>
      </c>
      <c r="M31" s="133">
        <f>IF(SER_hh_tes!M31=0,0,11630*1000*SER_hh_tes!M31/SER_hh_num!M31)</f>
        <v>8395.7563102839431</v>
      </c>
      <c r="N31" s="133">
        <f>IF(SER_hh_tes!N31=0,0,11630*1000*SER_hh_tes!N31/SER_hh_num!N31)</f>
        <v>8472.5656026000979</v>
      </c>
      <c r="O31" s="133">
        <f>IF(SER_hh_tes!O31=0,0,11630*1000*SER_hh_tes!O31/SER_hh_num!O31)</f>
        <v>8549.5189145525055</v>
      </c>
      <c r="P31" s="133">
        <f>IF(SER_hh_tes!P31=0,0,11630*1000*SER_hh_tes!P31/SER_hh_num!P31)</f>
        <v>8587.1606430453212</v>
      </c>
      <c r="Q31" s="133">
        <f>IF(SER_hh_tes!Q31=0,0,11630*1000*SER_hh_tes!Q31/SER_hh_num!Q31)</f>
        <v>8330.9514305115044</v>
      </c>
      <c r="R31" s="133">
        <f>IF(SER_hh_tes!R31=0,0,11630*1000*SER_hh_tes!R31/SER_hh_num!R31)</f>
        <v>8588.0420685513709</v>
      </c>
      <c r="S31" s="133">
        <f>IF(SER_hh_tes!S31=0,0,11630*1000*SER_hh_tes!S31/SER_hh_num!S31)</f>
        <v>9235.7176265697908</v>
      </c>
      <c r="T31" s="133">
        <f>IF(SER_hh_tes!T31=0,0,11630*1000*SER_hh_tes!T31/SER_hh_num!T31)</f>
        <v>8521.5914897007806</v>
      </c>
      <c r="U31" s="133">
        <f>IF(SER_hh_tes!U31=0,0,11630*1000*SER_hh_tes!U31/SER_hh_num!U31)</f>
        <v>9010.4760186844651</v>
      </c>
      <c r="V31" s="133">
        <f>IF(SER_hh_tes!V31=0,0,11630*1000*SER_hh_tes!V31/SER_hh_num!V31)</f>
        <v>8274.5107784287447</v>
      </c>
      <c r="W31" s="133">
        <f>IF(SER_hh_tes!W31=0,0,11630*1000*SER_hh_tes!W31/SER_hh_num!W31)</f>
        <v>8101.3040409824589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8309.9036130926252</v>
      </c>
      <c r="C33" s="68">
        <f>IF(SER_hh_tes!C33=0,0,11630*1000*SER_hh_tes!C33/SER_hh_num!C33)</f>
        <v>7271.3806036898322</v>
      </c>
      <c r="D33" s="68">
        <f>IF(SER_hh_tes!D33=0,0,11630*1000*SER_hh_tes!D33/SER_hh_num!D33)</f>
        <v>7335.7724560983752</v>
      </c>
      <c r="E33" s="68">
        <f>IF(SER_hh_tes!E33=0,0,11630*1000*SER_hh_tes!E33/SER_hh_num!E33)</f>
        <v>7683.6089494609769</v>
      </c>
      <c r="F33" s="68">
        <f>IF(SER_hh_tes!F33=0,0,11630*1000*SER_hh_tes!F33/SER_hh_num!F33)</f>
        <v>7485.0108801565157</v>
      </c>
      <c r="G33" s="68">
        <f>IF(SER_hh_tes!G33=0,0,11630*1000*SER_hh_tes!G33/SER_hh_num!G33)</f>
        <v>7485.3189651611146</v>
      </c>
      <c r="H33" s="68">
        <f>IF(SER_hh_tes!H33=0,0,11630*1000*SER_hh_tes!H33/SER_hh_num!H33)</f>
        <v>7666.4703509994024</v>
      </c>
      <c r="I33" s="68">
        <f>IF(SER_hh_tes!I33=0,0,11630*1000*SER_hh_tes!I33/SER_hh_num!I33)</f>
        <v>7494.4829045170773</v>
      </c>
      <c r="J33" s="68">
        <f>IF(SER_hh_tes!J33=0,0,11630*1000*SER_hh_tes!J33/SER_hh_num!J33)</f>
        <v>7555.1100116796251</v>
      </c>
      <c r="K33" s="68">
        <f>IF(SER_hh_tes!K33=0,0,11630*1000*SER_hh_tes!K33/SER_hh_num!K33)</f>
        <v>7547.9164826755396</v>
      </c>
      <c r="L33" s="68">
        <f>IF(SER_hh_tes!L33=0,0,11630*1000*SER_hh_tes!L33/SER_hh_num!L33)</f>
        <v>8305.7392148607778</v>
      </c>
      <c r="M33" s="68">
        <f>IF(SER_hh_tes!M33=0,0,11630*1000*SER_hh_tes!M33/SER_hh_num!M33)</f>
        <v>8413.647174923557</v>
      </c>
      <c r="N33" s="68">
        <f>IF(SER_hh_tes!N33=0,0,11630*1000*SER_hh_tes!N33/SER_hh_num!N33)</f>
        <v>8458.1568630588372</v>
      </c>
      <c r="O33" s="68">
        <f>IF(SER_hh_tes!O33=0,0,11630*1000*SER_hh_tes!O33/SER_hh_num!O33)</f>
        <v>8638.3648644764271</v>
      </c>
      <c r="P33" s="68">
        <f>IF(SER_hh_tes!P33=0,0,11630*1000*SER_hh_tes!P33/SER_hh_num!P33)</f>
        <v>8719.5145191856227</v>
      </c>
      <c r="Q33" s="68">
        <f>IF(SER_hh_tes!Q33=0,0,11630*1000*SER_hh_tes!Q33/SER_hh_num!Q33)</f>
        <v>8962.2630634742163</v>
      </c>
      <c r="R33" s="68">
        <f>IF(SER_hh_tes!R33=0,0,11630*1000*SER_hh_tes!R33/SER_hh_num!R33)</f>
        <v>8825.2496043380361</v>
      </c>
      <c r="S33" s="68">
        <f>IF(SER_hh_tes!S33=0,0,11630*1000*SER_hh_tes!S33/SER_hh_num!S33)</f>
        <v>8246.405126228683</v>
      </c>
      <c r="T33" s="68">
        <f>IF(SER_hh_tes!T33=0,0,11630*1000*SER_hh_tes!T33/SER_hh_num!T33)</f>
        <v>8922.6042323438178</v>
      </c>
      <c r="U33" s="68">
        <f>IF(SER_hh_tes!U33=0,0,11630*1000*SER_hh_tes!U33/SER_hh_num!U33)</f>
        <v>8502.2579299737681</v>
      </c>
      <c r="V33" s="68">
        <f>IF(SER_hh_tes!V33=0,0,11630*1000*SER_hh_tes!V33/SER_hh_num!V33)</f>
        <v>8178.8265931965088</v>
      </c>
      <c r="W33" s="68">
        <f>IF(SER_hh_tes!W33=0,0,11630*1000*SER_hh_tes!W33/SER_hh_num!W33)</f>
        <v>8932.9640287665879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22413.17090119193</v>
      </c>
      <c r="C3" s="126">
        <f>IF(SER_hh_emi!C3=0,0,1000000*SER_hh_emi!C3/SER_hh_num!C3)</f>
        <v>19016.559082720039</v>
      </c>
      <c r="D3" s="126">
        <f>IF(SER_hh_emi!D3=0,0,1000000*SER_hh_emi!D3/SER_hh_num!D3)</f>
        <v>18041.267251730987</v>
      </c>
      <c r="E3" s="126">
        <f>IF(SER_hh_emi!E3=0,0,1000000*SER_hh_emi!E3/SER_hh_num!E3)</f>
        <v>21805.941189011963</v>
      </c>
      <c r="F3" s="126">
        <f>IF(SER_hh_emi!F3=0,0,1000000*SER_hh_emi!F3/SER_hh_num!F3)</f>
        <v>21879.474020785798</v>
      </c>
      <c r="G3" s="126">
        <f>IF(SER_hh_emi!G3=0,0,1000000*SER_hh_emi!G3/SER_hh_num!G3)</f>
        <v>15039.4594470592</v>
      </c>
      <c r="H3" s="126">
        <f>IF(SER_hh_emi!H3=0,0,1000000*SER_hh_emi!H3/SER_hh_num!H3)</f>
        <v>15460.710670220546</v>
      </c>
      <c r="I3" s="126">
        <f>IF(SER_hh_emi!I3=0,0,1000000*SER_hh_emi!I3/SER_hh_num!I3)</f>
        <v>13217.536605268757</v>
      </c>
      <c r="J3" s="126">
        <f>IF(SER_hh_emi!J3=0,0,1000000*SER_hh_emi!J3/SER_hh_num!J3)</f>
        <v>14640.287614298973</v>
      </c>
      <c r="K3" s="126">
        <f>IF(SER_hh_emi!K3=0,0,1000000*SER_hh_emi!K3/SER_hh_num!K3)</f>
        <v>12747.478811736844</v>
      </c>
      <c r="L3" s="126">
        <f>IF(SER_hh_emi!L3=0,0,1000000*SER_hh_emi!L3/SER_hh_num!L3)</f>
        <v>13346.219285784304</v>
      </c>
      <c r="M3" s="126">
        <f>IF(SER_hh_emi!M3=0,0,1000000*SER_hh_emi!M3/SER_hh_num!M3)</f>
        <v>12626.713590147327</v>
      </c>
      <c r="N3" s="126">
        <f>IF(SER_hh_emi!N3=0,0,1000000*SER_hh_emi!N3/SER_hh_num!N3)</f>
        <v>11877.818241628755</v>
      </c>
      <c r="O3" s="126">
        <f>IF(SER_hh_emi!O3=0,0,1000000*SER_hh_emi!O3/SER_hh_num!O3)</f>
        <v>11311.790388904712</v>
      </c>
      <c r="P3" s="126">
        <f>IF(SER_hh_emi!P3=0,0,1000000*SER_hh_emi!P3/SER_hh_num!P3)</f>
        <v>10789.623341139428</v>
      </c>
      <c r="Q3" s="126">
        <f>IF(SER_hh_emi!Q3=0,0,1000000*SER_hh_emi!Q3/SER_hh_num!Q3)</f>
        <v>10687.45538869224</v>
      </c>
      <c r="R3" s="126">
        <f>IF(SER_hh_emi!R3=0,0,1000000*SER_hh_emi!R3/SER_hh_num!R3)</f>
        <v>10767.228949315078</v>
      </c>
      <c r="S3" s="126">
        <f>IF(SER_hh_emi!S3=0,0,1000000*SER_hh_emi!S3/SER_hh_num!S3)</f>
        <v>11280.819921274426</v>
      </c>
      <c r="T3" s="126">
        <f>IF(SER_hh_emi!T3=0,0,1000000*SER_hh_emi!T3/SER_hh_num!T3)</f>
        <v>10014.45251124961</v>
      </c>
      <c r="U3" s="126">
        <f>IF(SER_hh_emi!U3=0,0,1000000*SER_hh_emi!U3/SER_hh_num!U3)</f>
        <v>10459.452745760969</v>
      </c>
      <c r="V3" s="126">
        <f>IF(SER_hh_emi!V3=0,0,1000000*SER_hh_emi!V3/SER_hh_num!V3)</f>
        <v>9373.8946392694397</v>
      </c>
      <c r="W3" s="126">
        <f>IF(SER_hh_emi!W3=0,0,1000000*SER_hh_emi!W3/SER_hh_num!W3)</f>
        <v>8912.4043000854053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20326.195055012744</v>
      </c>
      <c r="C4" s="131">
        <f>IF(SER_hh_emi!C4=0,0,1000000*SER_hh_emi!C4/SER_hh_num!C4)</f>
        <v>16744.809881149635</v>
      </c>
      <c r="D4" s="131">
        <f>IF(SER_hh_emi!D4=0,0,1000000*SER_hh_emi!D4/SER_hh_num!D4)</f>
        <v>15758.780527887391</v>
      </c>
      <c r="E4" s="131">
        <f>IF(SER_hh_emi!E4=0,0,1000000*SER_hh_emi!E4/SER_hh_num!E4)</f>
        <v>19590.025854693595</v>
      </c>
      <c r="F4" s="131">
        <f>IF(SER_hh_emi!F4=0,0,1000000*SER_hh_emi!F4/SER_hh_num!F4)</f>
        <v>19663.904089913623</v>
      </c>
      <c r="G4" s="131">
        <f>IF(SER_hh_emi!G4=0,0,1000000*SER_hh_emi!G4/SER_hh_num!G4)</f>
        <v>12831.563579916885</v>
      </c>
      <c r="H4" s="131">
        <f>IF(SER_hh_emi!H4=0,0,1000000*SER_hh_emi!H4/SER_hh_num!H4)</f>
        <v>13280.746207563541</v>
      </c>
      <c r="I4" s="131">
        <f>IF(SER_hh_emi!I4=0,0,1000000*SER_hh_emi!I4/SER_hh_num!I4)</f>
        <v>11021.775383320783</v>
      </c>
      <c r="J4" s="131">
        <f>IF(SER_hh_emi!J4=0,0,1000000*SER_hh_emi!J4/SER_hh_num!J4)</f>
        <v>12378.806335858766</v>
      </c>
      <c r="K4" s="131">
        <f>IF(SER_hh_emi!K4=0,0,1000000*SER_hh_emi!K4/SER_hh_num!K4)</f>
        <v>10105.101797202797</v>
      </c>
      <c r="L4" s="131">
        <f>IF(SER_hh_emi!L4=0,0,1000000*SER_hh_emi!L4/SER_hh_num!L4)</f>
        <v>10816.660636069859</v>
      </c>
      <c r="M4" s="131">
        <f>IF(SER_hh_emi!M4=0,0,1000000*SER_hh_emi!M4/SER_hh_num!M4)</f>
        <v>10108.701645144502</v>
      </c>
      <c r="N4" s="131">
        <f>IF(SER_hh_emi!N4=0,0,1000000*SER_hh_emi!N4/SER_hh_num!N4)</f>
        <v>9361.3246061162099</v>
      </c>
      <c r="O4" s="131">
        <f>IF(SER_hh_emi!O4=0,0,1000000*SER_hh_emi!O4/SER_hh_num!O4)</f>
        <v>8798.813345206665</v>
      </c>
      <c r="P4" s="131">
        <f>IF(SER_hh_emi!P4=0,0,1000000*SER_hh_emi!P4/SER_hh_num!P4)</f>
        <v>8286.0129705211493</v>
      </c>
      <c r="Q4" s="131">
        <f>IF(SER_hh_emi!Q4=0,0,1000000*SER_hh_emi!Q4/SER_hh_num!Q4)</f>
        <v>8226.4395234445346</v>
      </c>
      <c r="R4" s="131">
        <f>IF(SER_hh_emi!R4=0,0,1000000*SER_hh_emi!R4/SER_hh_num!R4)</f>
        <v>8216.0608622009622</v>
      </c>
      <c r="S4" s="131">
        <f>IF(SER_hh_emi!S4=0,0,1000000*SER_hh_emi!S4/SER_hh_num!S4)</f>
        <v>8480.2091196358288</v>
      </c>
      <c r="T4" s="131">
        <f>IF(SER_hh_emi!T4=0,0,1000000*SER_hh_emi!T4/SER_hh_num!T4)</f>
        <v>7453.8688731392185</v>
      </c>
      <c r="U4" s="131">
        <f>IF(SER_hh_emi!U4=0,0,1000000*SER_hh_emi!U4/SER_hh_num!U4)</f>
        <v>7758.6640339336327</v>
      </c>
      <c r="V4" s="131">
        <f>IF(SER_hh_emi!V4=0,0,1000000*SER_hh_emi!V4/SER_hh_num!V4)</f>
        <v>6928.8809293746981</v>
      </c>
      <c r="W4" s="131">
        <f>IF(SER_hh_emi!W4=0,0,1000000*SER_hh_emi!W4/SER_hh_num!W4)</f>
        <v>6541.4366511074713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70129.682947636495</v>
      </c>
      <c r="C5" s="133">
        <f>IF(SER_hh_emi!C5=0,0,1000000*SER_hh_emi!C5/SER_hh_num!C5)</f>
        <v>37427.674007594695</v>
      </c>
      <c r="D5" s="133">
        <f>IF(SER_hh_emi!D5=0,0,1000000*SER_hh_emi!D5/SER_hh_num!D5)</f>
        <v>38522.446302292461</v>
      </c>
      <c r="E5" s="133">
        <f>IF(SER_hh_emi!E5=0,0,1000000*SER_hh_emi!E5/SER_hh_num!E5)</f>
        <v>71072.124239003111</v>
      </c>
      <c r="F5" s="133">
        <f>IF(SER_hh_emi!F5=0,0,1000000*SER_hh_emi!F5/SER_hh_num!F5)</f>
        <v>76099.432360348903</v>
      </c>
      <c r="G5" s="133">
        <f>IF(SER_hh_emi!G5=0,0,1000000*SER_hh_emi!G5/SER_hh_num!G5)</f>
        <v>19119.000546219289</v>
      </c>
      <c r="H5" s="133">
        <f>IF(SER_hh_emi!H5=0,0,1000000*SER_hh_emi!H5/SER_hh_num!H5)</f>
        <v>48051.632676092326</v>
      </c>
      <c r="I5" s="133">
        <f>IF(SER_hh_emi!I5=0,0,1000000*SER_hh_emi!I5/SER_hh_num!I5)</f>
        <v>27161.010265465131</v>
      </c>
      <c r="J5" s="133">
        <f>IF(SER_hh_emi!J5=0,0,1000000*SER_hh_emi!J5/SER_hh_num!J5)</f>
        <v>45724.978097857333</v>
      </c>
      <c r="K5" s="133">
        <f>IF(SER_hh_emi!K5=0,0,1000000*SER_hh_emi!K5/SER_hh_num!K5)</f>
        <v>23554.318971461282</v>
      </c>
      <c r="L5" s="133">
        <f>IF(SER_hh_emi!L5=0,0,1000000*SER_hh_emi!L5/SER_hh_num!L5)</f>
        <v>38283.484547891581</v>
      </c>
      <c r="M5" s="133">
        <f>IF(SER_hh_emi!M5=0,0,1000000*SER_hh_emi!M5/SER_hh_num!M5)</f>
        <v>36666.426264654656</v>
      </c>
      <c r="N5" s="133">
        <f>IF(SER_hh_emi!N5=0,0,1000000*SER_hh_emi!N5/SER_hh_num!N5)</f>
        <v>32806.316759567657</v>
      </c>
      <c r="O5" s="133">
        <f>IF(SER_hh_emi!O5=0,0,1000000*SER_hh_emi!O5/SER_hh_num!O5)</f>
        <v>31431.606103586666</v>
      </c>
      <c r="P5" s="133">
        <f>IF(SER_hh_emi!P5=0,0,1000000*SER_hh_emi!P5/SER_hh_num!P5)</f>
        <v>27484.297927039635</v>
      </c>
      <c r="Q5" s="133">
        <f>IF(SER_hh_emi!Q5=0,0,1000000*SER_hh_emi!Q5/SER_hh_num!Q5)</f>
        <v>24530.169981952004</v>
      </c>
      <c r="R5" s="133">
        <f>IF(SER_hh_emi!R5=0,0,1000000*SER_hh_emi!R5/SER_hh_num!R5)</f>
        <v>30888.442544477675</v>
      </c>
      <c r="S5" s="133">
        <f>IF(SER_hh_emi!S5=0,0,1000000*SER_hh_emi!S5/SER_hh_num!S5)</f>
        <v>31274.028761290789</v>
      </c>
      <c r="T5" s="133">
        <f>IF(SER_hh_emi!T5=0,0,1000000*SER_hh_emi!T5/SER_hh_num!T5)</f>
        <v>24119.484043722532</v>
      </c>
      <c r="U5" s="133">
        <f>IF(SER_hh_emi!U5=0,0,1000000*SER_hh_emi!U5/SER_hh_num!U5)</f>
        <v>29999.82095750147</v>
      </c>
      <c r="V5" s="133">
        <f>IF(SER_hh_emi!V5=0,0,1000000*SER_hh_emi!V5/SER_hh_num!V5)</f>
        <v>23779.642737155253</v>
      </c>
      <c r="W5" s="133">
        <f>IF(SER_hh_emi!W5=0,0,1000000*SER_hh_emi!W5/SER_hh_num!W5)</f>
        <v>26934.744145488548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58926.255111214501</v>
      </c>
      <c r="C7" s="133">
        <f>IF(SER_hh_emi!C7=0,0,1000000*SER_hh_emi!C7/SER_hh_num!C7)</f>
        <v>21062.320528099404</v>
      </c>
      <c r="D7" s="133">
        <f>IF(SER_hh_emi!D7=0,0,1000000*SER_hh_emi!D7/SER_hh_num!D7)</f>
        <v>53202.079357153198</v>
      </c>
      <c r="E7" s="133">
        <f>IF(SER_hh_emi!E7=0,0,1000000*SER_hh_emi!E7/SER_hh_num!E7)</f>
        <v>41599.484899339375</v>
      </c>
      <c r="F7" s="133">
        <f>IF(SER_hh_emi!F7=0,0,1000000*SER_hh_emi!F7/SER_hh_num!F7)</f>
        <v>44873.921545732912</v>
      </c>
      <c r="G7" s="133">
        <f>IF(SER_hh_emi!G7=0,0,1000000*SER_hh_emi!G7/SER_hh_num!G7)</f>
        <v>30838.125927843608</v>
      </c>
      <c r="H7" s="133">
        <f>IF(SER_hh_emi!H7=0,0,1000000*SER_hh_emi!H7/SER_hh_num!H7)</f>
        <v>33341.110206163401</v>
      </c>
      <c r="I7" s="133">
        <f>IF(SER_hh_emi!I7=0,0,1000000*SER_hh_emi!I7/SER_hh_num!I7)</f>
        <v>31241.121892259805</v>
      </c>
      <c r="J7" s="133">
        <f>IF(SER_hh_emi!J7=0,0,1000000*SER_hh_emi!J7/SER_hh_num!J7)</f>
        <v>32236.66942081448</v>
      </c>
      <c r="K7" s="133">
        <f>IF(SER_hh_emi!K7=0,0,1000000*SER_hh_emi!K7/SER_hh_num!K7)</f>
        <v>25406.147125177853</v>
      </c>
      <c r="L7" s="133">
        <f>IF(SER_hh_emi!L7=0,0,1000000*SER_hh_emi!L7/SER_hh_num!L7)</f>
        <v>32040.489094131914</v>
      </c>
      <c r="M7" s="133">
        <f>IF(SER_hh_emi!M7=0,0,1000000*SER_hh_emi!M7/SER_hh_num!M7)</f>
        <v>23333.738556175274</v>
      </c>
      <c r="N7" s="133">
        <f>IF(SER_hh_emi!N7=0,0,1000000*SER_hh_emi!N7/SER_hh_num!N7)</f>
        <v>34064.630603030309</v>
      </c>
      <c r="O7" s="133">
        <f>IF(SER_hh_emi!O7=0,0,1000000*SER_hh_emi!O7/SER_hh_num!O7)</f>
        <v>25288.361732757206</v>
      </c>
      <c r="P7" s="133">
        <f>IF(SER_hh_emi!P7=0,0,1000000*SER_hh_emi!P7/SER_hh_num!P7)</f>
        <v>16026.316857327582</v>
      </c>
      <c r="Q7" s="133">
        <f>IF(SER_hh_emi!Q7=0,0,1000000*SER_hh_emi!Q7/SER_hh_num!Q7)</f>
        <v>27471.499379122983</v>
      </c>
      <c r="R7" s="133">
        <f>IF(SER_hh_emi!R7=0,0,1000000*SER_hh_emi!R7/SER_hh_num!R7)</f>
        <v>25147.533241488232</v>
      </c>
      <c r="S7" s="133">
        <f>IF(SER_hh_emi!S7=0,0,1000000*SER_hh_emi!S7/SER_hh_num!S7)</f>
        <v>25932.856298597046</v>
      </c>
      <c r="T7" s="133">
        <f>IF(SER_hh_emi!T7=0,0,1000000*SER_hh_emi!T7/SER_hh_num!T7)</f>
        <v>18838.548683061228</v>
      </c>
      <c r="U7" s="133">
        <f>IF(SER_hh_emi!U7=0,0,1000000*SER_hh_emi!U7/SER_hh_num!U7)</f>
        <v>18100.037603255641</v>
      </c>
      <c r="V7" s="133">
        <f>IF(SER_hh_emi!V7=0,0,1000000*SER_hh_emi!V7/SER_hh_num!V7)</f>
        <v>20260.547454204949</v>
      </c>
      <c r="W7" s="133">
        <f>IF(SER_hh_emi!W7=0,0,1000000*SER_hh_emi!W7/SER_hh_num!W7)</f>
        <v>26198.704431306731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3713.8399074430477</v>
      </c>
      <c r="H8" s="133">
        <f>IF(SER_hh_emi!H8=0,0,1000000*SER_hh_emi!H8/SER_hh_num!H8)</f>
        <v>4260.7369586760915</v>
      </c>
      <c r="I8" s="133">
        <f>IF(SER_hh_emi!I8=0,0,1000000*SER_hh_emi!I8/SER_hh_num!I8)</f>
        <v>4693.0667798449695</v>
      </c>
      <c r="J8" s="133">
        <f>IF(SER_hh_emi!J8=0,0,1000000*SER_hh_emi!J8/SER_hh_num!J8)</f>
        <v>5178.0964314822986</v>
      </c>
      <c r="K8" s="133">
        <f>IF(SER_hh_emi!K8=0,0,1000000*SER_hh_emi!K8/SER_hh_num!K8)</f>
        <v>4760.1071705198347</v>
      </c>
      <c r="L8" s="133">
        <f>IF(SER_hh_emi!L8=0,0,1000000*SER_hh_emi!L8/SER_hh_num!L8)</f>
        <v>4065.5936900066345</v>
      </c>
      <c r="M8" s="133">
        <f>IF(SER_hh_emi!M8=0,0,1000000*SER_hh_emi!M8/SER_hh_num!M8)</f>
        <v>3666.7498897316996</v>
      </c>
      <c r="N8" s="133">
        <f>IF(SER_hh_emi!N8=0,0,1000000*SER_hh_emi!N8/SER_hh_num!N8)</f>
        <v>3115.4742698451782</v>
      </c>
      <c r="O8" s="133">
        <f>IF(SER_hh_emi!O8=0,0,1000000*SER_hh_emi!O8/SER_hh_num!O8)</f>
        <v>3359.7408140863663</v>
      </c>
      <c r="P8" s="133">
        <f>IF(SER_hh_emi!P8=0,0,1000000*SER_hh_emi!P8/SER_hh_num!P8)</f>
        <v>3614.9860131292012</v>
      </c>
      <c r="Q8" s="133">
        <f>IF(SER_hh_emi!Q8=0,0,1000000*SER_hh_emi!Q8/SER_hh_num!Q8)</f>
        <v>3335.8900125855557</v>
      </c>
      <c r="R8" s="133">
        <f>IF(SER_hh_emi!R8=0,0,1000000*SER_hh_emi!R8/SER_hh_num!R8)</f>
        <v>3239.4497597083168</v>
      </c>
      <c r="S8" s="133">
        <f>IF(SER_hh_emi!S8=0,0,1000000*SER_hh_emi!S8/SER_hh_num!S8)</f>
        <v>3155.1578023552061</v>
      </c>
      <c r="T8" s="133">
        <f>IF(SER_hh_emi!T8=0,0,1000000*SER_hh_emi!T8/SER_hh_num!T8)</f>
        <v>3047.5439511775489</v>
      </c>
      <c r="U8" s="133">
        <f>IF(SER_hh_emi!U8=0,0,1000000*SER_hh_emi!U8/SER_hh_num!U8)</f>
        <v>3056.4071187658901</v>
      </c>
      <c r="V8" s="133">
        <f>IF(SER_hh_emi!V8=0,0,1000000*SER_hh_emi!V8/SER_hh_num!V8)</f>
        <v>2892.9039624813672</v>
      </c>
      <c r="W8" s="133">
        <f>IF(SER_hh_emi!W8=0,0,1000000*SER_hh_emi!W8/SER_hh_num!W8)</f>
        <v>2941.9534353268573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32149.469984775642</v>
      </c>
      <c r="C9" s="133">
        <f>IF(SER_hh_emi!C9=0,0,1000000*SER_hh_emi!C9/SER_hh_num!C9)</f>
        <v>35428.817333454565</v>
      </c>
      <c r="D9" s="133">
        <f>IF(SER_hh_emi!D9=0,0,1000000*SER_hh_emi!D9/SER_hh_num!D9)</f>
        <v>30716.795886597858</v>
      </c>
      <c r="E9" s="133">
        <f>IF(SER_hh_emi!E9=0,0,1000000*SER_hh_emi!E9/SER_hh_num!E9)</f>
        <v>29641.556079352293</v>
      </c>
      <c r="F9" s="133">
        <f>IF(SER_hh_emi!F9=0,0,1000000*SER_hh_emi!F9/SER_hh_num!F9)</f>
        <v>26893.612745452221</v>
      </c>
      <c r="G9" s="133">
        <f>IF(SER_hh_emi!G9=0,0,1000000*SER_hh_emi!G9/SER_hh_num!G9)</f>
        <v>24854.179492071802</v>
      </c>
      <c r="H9" s="133">
        <f>IF(SER_hh_emi!H9=0,0,1000000*SER_hh_emi!H9/SER_hh_num!H9)</f>
        <v>21374.310860389203</v>
      </c>
      <c r="I9" s="133">
        <f>IF(SER_hh_emi!I9=0,0,1000000*SER_hh_emi!I9/SER_hh_num!I9)</f>
        <v>19135.926816360603</v>
      </c>
      <c r="J9" s="133">
        <f>IF(SER_hh_emi!J9=0,0,1000000*SER_hh_emi!J9/SER_hh_num!J9)</f>
        <v>20560.060067042505</v>
      </c>
      <c r="K9" s="133">
        <f>IF(SER_hh_emi!K9=0,0,1000000*SER_hh_emi!K9/SER_hh_num!K9)</f>
        <v>18548.549580605475</v>
      </c>
      <c r="L9" s="133">
        <f>IF(SER_hh_emi!L9=0,0,1000000*SER_hh_emi!L9/SER_hh_num!L9)</f>
        <v>19763.082644062724</v>
      </c>
      <c r="M9" s="133">
        <f>IF(SER_hh_emi!M9=0,0,1000000*SER_hh_emi!M9/SER_hh_num!M9)</f>
        <v>18762.908918929475</v>
      </c>
      <c r="N9" s="133">
        <f>IF(SER_hh_emi!N9=0,0,1000000*SER_hh_emi!N9/SER_hh_num!N9)</f>
        <v>17415.715403552345</v>
      </c>
      <c r="O9" s="133">
        <f>IF(SER_hh_emi!O9=0,0,1000000*SER_hh_emi!O9/SER_hh_num!O9)</f>
        <v>16504.488906458977</v>
      </c>
      <c r="P9" s="133">
        <f>IF(SER_hh_emi!P9=0,0,1000000*SER_hh_emi!P9/SER_hh_num!P9)</f>
        <v>15741.98684641048</v>
      </c>
      <c r="Q9" s="133">
        <f>IF(SER_hh_emi!Q9=0,0,1000000*SER_hh_emi!Q9/SER_hh_num!Q9)</f>
        <v>15304.796603419614</v>
      </c>
      <c r="R9" s="133">
        <f>IF(SER_hh_emi!R9=0,0,1000000*SER_hh_emi!R9/SER_hh_num!R9)</f>
        <v>15493.000796157881</v>
      </c>
      <c r="S9" s="133">
        <f>IF(SER_hh_emi!S9=0,0,1000000*SER_hh_emi!S9/SER_hh_num!S9)</f>
        <v>16263.303752595853</v>
      </c>
      <c r="T9" s="133">
        <f>IF(SER_hh_emi!T9=0,0,1000000*SER_hh_emi!T9/SER_hh_num!T9)</f>
        <v>14744.062602382004</v>
      </c>
      <c r="U9" s="133">
        <f>IF(SER_hh_emi!U9=0,0,1000000*SER_hh_emi!U9/SER_hh_num!U9)</f>
        <v>15421.595608841248</v>
      </c>
      <c r="V9" s="133">
        <f>IF(SER_hh_emi!V9=0,0,1000000*SER_hh_emi!V9/SER_hh_num!V9)</f>
        <v>14071.543645971515</v>
      </c>
      <c r="W9" s="133">
        <f>IF(SER_hh_emi!W9=0,0,1000000*SER_hh_emi!W9/SER_hh_num!W9)</f>
        <v>13199.996837120194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40937.632965192817</v>
      </c>
      <c r="C10" s="133">
        <f>IF(SER_hh_emi!C10=0,0,1000000*SER_hh_emi!C10/SER_hh_num!C10)</f>
        <v>42302.653594879157</v>
      </c>
      <c r="D10" s="133">
        <f>IF(SER_hh_emi!D10=0,0,1000000*SER_hh_emi!D10/SER_hh_num!D10)</f>
        <v>29737.729122862132</v>
      </c>
      <c r="E10" s="133">
        <f>IF(SER_hh_emi!E10=0,0,1000000*SER_hh_emi!E10/SER_hh_num!E10)</f>
        <v>27779.685977212917</v>
      </c>
      <c r="F10" s="133">
        <f>IF(SER_hh_emi!F10=0,0,1000000*SER_hh_emi!F10/SER_hh_num!F10)</f>
        <v>22273.997830660701</v>
      </c>
      <c r="G10" s="133">
        <f>IF(SER_hh_emi!G10=0,0,1000000*SER_hh_emi!G10/SER_hh_num!G10)</f>
        <v>21867.919485168797</v>
      </c>
      <c r="H10" s="133">
        <f>IF(SER_hh_emi!H10=0,0,1000000*SER_hh_emi!H10/SER_hh_num!H10)</f>
        <v>18630.17450521317</v>
      </c>
      <c r="I10" s="133">
        <f>IF(SER_hh_emi!I10=0,0,1000000*SER_hh_emi!I10/SER_hh_num!I10)</f>
        <v>22695.567631779624</v>
      </c>
      <c r="J10" s="133">
        <f>IF(SER_hh_emi!J10=0,0,1000000*SER_hh_emi!J10/SER_hh_num!J10)</f>
        <v>25268.30709698399</v>
      </c>
      <c r="K10" s="133">
        <f>IF(SER_hh_emi!K10=0,0,1000000*SER_hh_emi!K10/SER_hh_num!K10)</f>
        <v>21158.309699430065</v>
      </c>
      <c r="L10" s="133">
        <f>IF(SER_hh_emi!L10=0,0,1000000*SER_hh_emi!L10/SER_hh_num!L10)</f>
        <v>23469.863849986588</v>
      </c>
      <c r="M10" s="133">
        <f>IF(SER_hh_emi!M10=0,0,1000000*SER_hh_emi!M10/SER_hh_num!M10)</f>
        <v>20122.365431326314</v>
      </c>
      <c r="N10" s="133">
        <f>IF(SER_hh_emi!N10=0,0,1000000*SER_hh_emi!N10/SER_hh_num!N10)</f>
        <v>18362.585576637895</v>
      </c>
      <c r="O10" s="133">
        <f>IF(SER_hh_emi!O10=0,0,1000000*SER_hh_emi!O10/SER_hh_num!O10)</f>
        <v>18588.365341071891</v>
      </c>
      <c r="P10" s="133">
        <f>IF(SER_hh_emi!P10=0,0,1000000*SER_hh_emi!P10/SER_hh_num!P10)</f>
        <v>17035.98786368623</v>
      </c>
      <c r="Q10" s="133">
        <f>IF(SER_hh_emi!Q10=0,0,1000000*SER_hh_emi!Q10/SER_hh_num!Q10)</f>
        <v>18993.607767906844</v>
      </c>
      <c r="R10" s="133">
        <f>IF(SER_hh_emi!R10=0,0,1000000*SER_hh_emi!R10/SER_hh_num!R10)</f>
        <v>17514.404905563577</v>
      </c>
      <c r="S10" s="133">
        <f>IF(SER_hh_emi!S10=0,0,1000000*SER_hh_emi!S10/SER_hh_num!S10)</f>
        <v>18131.298330321366</v>
      </c>
      <c r="T10" s="133">
        <f>IF(SER_hh_emi!T10=0,0,1000000*SER_hh_emi!T10/SER_hh_num!T10)</f>
        <v>18985.684166216881</v>
      </c>
      <c r="U10" s="133">
        <f>IF(SER_hh_emi!U10=0,0,1000000*SER_hh_emi!U10/SER_hh_num!U10)</f>
        <v>20371.537358052115</v>
      </c>
      <c r="V10" s="133">
        <f>IF(SER_hh_emi!V10=0,0,1000000*SER_hh_emi!V10/SER_hh_num!V10)</f>
        <v>18090.584927830845</v>
      </c>
      <c r="W10" s="133">
        <f>IF(SER_hh_emi!W10=0,0,1000000*SER_hh_emi!W10/SER_hh_num!W10)</f>
        <v>19041.035318521033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4.0991487953655339</v>
      </c>
      <c r="H16" s="131">
        <f>IF(SER_hh_emi!H16=0,0,1000000*SER_hh_emi!H16/SER_hh_num!H16)</f>
        <v>4.3111923865571562</v>
      </c>
      <c r="I16" s="131">
        <f>IF(SER_hh_emi!I16=0,0,1000000*SER_hh_emi!I16/SER_hh_num!I16)</f>
        <v>5.1492757773529831</v>
      </c>
      <c r="J16" s="131">
        <f>IF(SER_hh_emi!J16=0,0,1000000*SER_hh_emi!J16/SER_hh_num!J16)</f>
        <v>4.7118862425627324</v>
      </c>
      <c r="K16" s="131">
        <f>IF(SER_hh_emi!K16=0,0,1000000*SER_hh_emi!K16/SER_hh_num!K16)</f>
        <v>5.7120641747690604</v>
      </c>
      <c r="L16" s="131">
        <f>IF(SER_hh_emi!L16=0,0,1000000*SER_hh_emi!L16/SER_hh_num!L16)</f>
        <v>5.4779588199944484</v>
      </c>
      <c r="M16" s="131">
        <f>IF(SER_hh_emi!M16=0,0,1000000*SER_hh_emi!M16/SER_hh_num!M16)</f>
        <v>5.37161323164616</v>
      </c>
      <c r="N16" s="131">
        <f>IF(SER_hh_emi!N16=0,0,1000000*SER_hh_emi!N16/SER_hh_num!N16)</f>
        <v>5.4573218653526716</v>
      </c>
      <c r="O16" s="131">
        <f>IF(SER_hh_emi!O16=0,0,1000000*SER_hh_emi!O16/SER_hh_num!O16)</f>
        <v>6.6302694432475064</v>
      </c>
      <c r="P16" s="131">
        <f>IF(SER_hh_emi!P16=0,0,1000000*SER_hh_emi!P16/SER_hh_num!P16)</f>
        <v>8.9161852903163989</v>
      </c>
      <c r="Q16" s="131">
        <f>IF(SER_hh_emi!Q16=0,0,1000000*SER_hh_emi!Q16/SER_hh_num!Q16)</f>
        <v>15.731875505512638</v>
      </c>
      <c r="R16" s="131">
        <f>IF(SER_hh_emi!R16=0,0,1000000*SER_hh_emi!R16/SER_hh_num!R16)</f>
        <v>15.409062367524129</v>
      </c>
      <c r="S16" s="131">
        <f>IF(SER_hh_emi!S16=0,0,1000000*SER_hh_emi!S16/SER_hh_num!S16)</f>
        <v>18.309715235075085</v>
      </c>
      <c r="T16" s="131">
        <f>IF(SER_hh_emi!T16=0,0,1000000*SER_hh_emi!T16/SER_hh_num!T16)</f>
        <v>22.634242947358324</v>
      </c>
      <c r="U16" s="131">
        <f>IF(SER_hh_emi!U16=0,0,1000000*SER_hh_emi!U16/SER_hh_num!U16)</f>
        <v>22.241073118077068</v>
      </c>
      <c r="V16" s="131">
        <f>IF(SER_hh_emi!V16=0,0,1000000*SER_hh_emi!V16/SER_hh_num!V16)</f>
        <v>24.971989474111155</v>
      </c>
      <c r="W16" s="131">
        <f>IF(SER_hh_emi!W16=0,0,1000000*SER_hh_emi!W16/SER_hh_num!W16)</f>
        <v>24.939932386132121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3871.6766155145651</v>
      </c>
      <c r="H17" s="133">
        <f>IF(SER_hh_emi!H17=0,0,1000000*SER_hh_emi!H17/SER_hh_num!H17)</f>
        <v>3981.9505543640253</v>
      </c>
      <c r="I17" s="133">
        <f>IF(SER_hh_emi!I17=0,0,1000000*SER_hh_emi!I17/SER_hh_num!I17)</f>
        <v>3926.6272931295239</v>
      </c>
      <c r="J17" s="133">
        <f>IF(SER_hh_emi!J17=0,0,1000000*SER_hh_emi!J17/SER_hh_num!J17)</f>
        <v>3872.6493194245622</v>
      </c>
      <c r="K17" s="133">
        <f>IF(SER_hh_emi!K17=0,0,1000000*SER_hh_emi!K17/SER_hh_num!K17)</f>
        <v>3875.6094442121112</v>
      </c>
      <c r="L17" s="133">
        <f>IF(SER_hh_emi!L17=0,0,1000000*SER_hh_emi!L17/SER_hh_num!L17)</f>
        <v>3979.1802837447717</v>
      </c>
      <c r="M17" s="133">
        <f>IF(SER_hh_emi!M17=0,0,1000000*SER_hh_emi!M17/SER_hh_num!M17)</f>
        <v>3928.0635951982622</v>
      </c>
      <c r="N17" s="133">
        <f>IF(SER_hh_emi!N17=0,0,1000000*SER_hh_emi!N17/SER_hh_num!N17)</f>
        <v>3980.5559427524922</v>
      </c>
      <c r="O17" s="133">
        <f>IF(SER_hh_emi!O17=0,0,1000000*SER_hh_emi!O17/SER_hh_num!O17)</f>
        <v>4140.0889776951653</v>
      </c>
      <c r="P17" s="133">
        <f>IF(SER_hh_emi!P17=0,0,1000000*SER_hh_emi!P17/SER_hh_num!P17)</f>
        <v>3873.1864111592963</v>
      </c>
      <c r="Q17" s="133">
        <f>IF(SER_hh_emi!Q17=0,0,1000000*SER_hh_emi!Q17/SER_hh_num!Q17)</f>
        <v>4440.3849357801182</v>
      </c>
      <c r="R17" s="133">
        <f>IF(SER_hh_emi!R17=0,0,1000000*SER_hh_emi!R17/SER_hh_num!R17)</f>
        <v>3759.963160060393</v>
      </c>
      <c r="S17" s="133">
        <f>IF(SER_hh_emi!S17=0,0,1000000*SER_hh_emi!S17/SER_hh_num!S17)</f>
        <v>3779.1559997945451</v>
      </c>
      <c r="T17" s="133">
        <f>IF(SER_hh_emi!T17=0,0,1000000*SER_hh_emi!T17/SER_hh_num!T17)</f>
        <v>4176.4375931661489</v>
      </c>
      <c r="U17" s="133">
        <f>IF(SER_hh_emi!U17=0,0,1000000*SER_hh_emi!U17/SER_hh_num!U17)</f>
        <v>3851.2876910981581</v>
      </c>
      <c r="V17" s="133">
        <f>IF(SER_hh_emi!V17=0,0,1000000*SER_hh_emi!V17/SER_hh_num!V17)</f>
        <v>3615.371388837355</v>
      </c>
      <c r="W17" s="133">
        <f>IF(SER_hh_emi!W17=0,0,1000000*SER_hh_emi!W17/SER_hh_num!W17)</f>
        <v>3581.5286530374437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921.35578903967405</v>
      </c>
      <c r="C19" s="131">
        <f>IF(SER_hh_emi!C19=0,0,1000000*SER_hh_emi!C19/SER_hh_num!C19)</f>
        <v>909.85110864261969</v>
      </c>
      <c r="D19" s="131">
        <f>IF(SER_hh_emi!D19=0,0,1000000*SER_hh_emi!D19/SER_hh_num!D19)</f>
        <v>930.51457596665898</v>
      </c>
      <c r="E19" s="131">
        <f>IF(SER_hh_emi!E19=0,0,1000000*SER_hh_emi!E19/SER_hh_num!E19)</f>
        <v>913.36177885388224</v>
      </c>
      <c r="F19" s="131">
        <f>IF(SER_hh_emi!F19=0,0,1000000*SER_hh_emi!F19/SER_hh_num!F19)</f>
        <v>903.88618889648274</v>
      </c>
      <c r="G19" s="131">
        <f>IF(SER_hh_emi!G19=0,0,1000000*SER_hh_emi!G19/SER_hh_num!G19)</f>
        <v>924.32997609031429</v>
      </c>
      <c r="H19" s="131">
        <f>IF(SER_hh_emi!H19=0,0,1000000*SER_hh_emi!H19/SER_hh_num!H19)</f>
        <v>939.45429581814949</v>
      </c>
      <c r="I19" s="131">
        <f>IF(SER_hh_emi!I19=0,0,1000000*SER_hh_emi!I19/SER_hh_num!I19)</f>
        <v>951.84043545152826</v>
      </c>
      <c r="J19" s="131">
        <f>IF(SER_hh_emi!J19=0,0,1000000*SER_hh_emi!J19/SER_hh_num!J19)</f>
        <v>988.97860045238326</v>
      </c>
      <c r="K19" s="131">
        <f>IF(SER_hh_emi!K19=0,0,1000000*SER_hh_emi!K19/SER_hh_num!K19)</f>
        <v>1214.7516330982344</v>
      </c>
      <c r="L19" s="131">
        <f>IF(SER_hh_emi!L19=0,0,1000000*SER_hh_emi!L19/SER_hh_num!L19)</f>
        <v>1135.5769165752799</v>
      </c>
      <c r="M19" s="131">
        <f>IF(SER_hh_emi!M19=0,0,1000000*SER_hh_emi!M19/SER_hh_num!M19)</f>
        <v>1127.7262194791529</v>
      </c>
      <c r="N19" s="131">
        <f>IF(SER_hh_emi!N19=0,0,1000000*SER_hh_emi!N19/SER_hh_num!N19)</f>
        <v>1133.6290769359441</v>
      </c>
      <c r="O19" s="131">
        <f>IF(SER_hh_emi!O19=0,0,1000000*SER_hh_emi!O19/SER_hh_num!O19)</f>
        <v>1132.7030673037966</v>
      </c>
      <c r="P19" s="131">
        <f>IF(SER_hh_emi!P19=0,0,1000000*SER_hh_emi!P19/SER_hh_num!P19)</f>
        <v>1122.7491101358366</v>
      </c>
      <c r="Q19" s="131">
        <f>IF(SER_hh_emi!Q19=0,0,1000000*SER_hh_emi!Q19/SER_hh_num!Q19)</f>
        <v>1107.8726357330927</v>
      </c>
      <c r="R19" s="131">
        <f>IF(SER_hh_emi!R19=0,0,1000000*SER_hh_emi!R19/SER_hh_num!R19)</f>
        <v>1102.1855630931077</v>
      </c>
      <c r="S19" s="131">
        <f>IF(SER_hh_emi!S19=0,0,1000000*SER_hh_emi!S19/SER_hh_num!S19)</f>
        <v>1160.2670833208463</v>
      </c>
      <c r="T19" s="131">
        <f>IF(SER_hh_emi!T19=0,0,1000000*SER_hh_emi!T19/SER_hh_num!T19)</f>
        <v>1034.7089711195447</v>
      </c>
      <c r="U19" s="131">
        <f>IF(SER_hh_emi!U19=0,0,1000000*SER_hh_emi!U19/SER_hh_num!U19)</f>
        <v>1076.2411484832555</v>
      </c>
      <c r="V19" s="131">
        <f>IF(SER_hh_emi!V19=0,0,1000000*SER_hh_emi!V19/SER_hh_num!V19)</f>
        <v>979.07601307386244</v>
      </c>
      <c r="W19" s="131">
        <f>IF(SER_hh_emi!W19=0,0,1000000*SER_hh_emi!W19/SER_hh_num!W19)</f>
        <v>948.34809057166115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2808.1022783253838</v>
      </c>
      <c r="C23" s="133">
        <f>IF(SER_hh_emi!C23=0,0,1000000*SER_hh_emi!C23/SER_hh_num!C23)</f>
        <v>2747.2311190236373</v>
      </c>
      <c r="D23" s="133">
        <f>IF(SER_hh_emi!D23=0,0,1000000*SER_hh_emi!D23/SER_hh_num!D23)</f>
        <v>2713.1007416363568</v>
      </c>
      <c r="E23" s="133">
        <f>IF(SER_hh_emi!E23=0,0,1000000*SER_hh_emi!E23/SER_hh_num!E23)</f>
        <v>2585.7690575997585</v>
      </c>
      <c r="F23" s="133">
        <f>IF(SER_hh_emi!F23=0,0,1000000*SER_hh_emi!F23/SER_hh_num!F23)</f>
        <v>2469.4581627969892</v>
      </c>
      <c r="G23" s="133">
        <f>IF(SER_hh_emi!G23=0,0,1000000*SER_hh_emi!G23/SER_hh_num!G23)</f>
        <v>2455.6634920080373</v>
      </c>
      <c r="H23" s="133">
        <f>IF(SER_hh_emi!H23=0,0,1000000*SER_hh_emi!H23/SER_hh_num!H23)</f>
        <v>2416.0955778911461</v>
      </c>
      <c r="I23" s="133">
        <f>IF(SER_hh_emi!I23=0,0,1000000*SER_hh_emi!I23/SER_hh_num!I23)</f>
        <v>2321.2145145887202</v>
      </c>
      <c r="J23" s="133">
        <f>IF(SER_hh_emi!J23=0,0,1000000*SER_hh_emi!J23/SER_hh_num!J23)</f>
        <v>2330.449074559946</v>
      </c>
      <c r="K23" s="133">
        <f>IF(SER_hh_emi!K23=0,0,1000000*SER_hh_emi!K23/SER_hh_num!K23)</f>
        <v>2756.263070199625</v>
      </c>
      <c r="L23" s="133">
        <f>IF(SER_hh_emi!L23=0,0,1000000*SER_hh_emi!L23/SER_hh_num!L23)</f>
        <v>2566.7378625854817</v>
      </c>
      <c r="M23" s="133">
        <f>IF(SER_hh_emi!M23=0,0,1000000*SER_hh_emi!M23/SER_hh_num!M23)</f>
        <v>2538.0928472917658</v>
      </c>
      <c r="N23" s="133">
        <f>IF(SER_hh_emi!N23=0,0,1000000*SER_hh_emi!N23/SER_hh_num!N23)</f>
        <v>2576.8800715422835</v>
      </c>
      <c r="O23" s="133">
        <f>IF(SER_hh_emi!O23=0,0,1000000*SER_hh_emi!O23/SER_hh_num!O23)</f>
        <v>2576.5132223616379</v>
      </c>
      <c r="P23" s="133">
        <f>IF(SER_hh_emi!P23=0,0,1000000*SER_hh_emi!P23/SER_hh_num!P23)</f>
        <v>2543.5734698272568</v>
      </c>
      <c r="Q23" s="133">
        <f>IF(SER_hh_emi!Q23=0,0,1000000*SER_hh_emi!Q23/SER_hh_num!Q23)</f>
        <v>2474.9089238439046</v>
      </c>
      <c r="R23" s="133">
        <f>IF(SER_hh_emi!R23=0,0,1000000*SER_hh_emi!R23/SER_hh_num!R23)</f>
        <v>2469.5723209802923</v>
      </c>
      <c r="S23" s="133">
        <f>IF(SER_hh_emi!S23=0,0,1000000*SER_hh_emi!S23/SER_hh_num!S23)</f>
        <v>2564.90649790719</v>
      </c>
      <c r="T23" s="133">
        <f>IF(SER_hh_emi!T23=0,0,1000000*SER_hh_emi!T23/SER_hh_num!T23)</f>
        <v>2318.4608374170298</v>
      </c>
      <c r="U23" s="133">
        <f>IF(SER_hh_emi!U23=0,0,1000000*SER_hh_emi!U23/SER_hh_num!U23)</f>
        <v>2398.3947491985082</v>
      </c>
      <c r="V23" s="133">
        <f>IF(SER_hh_emi!V23=0,0,1000000*SER_hh_emi!V23/SER_hh_num!V23)</f>
        <v>2193.3536379452344</v>
      </c>
      <c r="W23" s="133">
        <f>IF(SER_hh_emi!W23=0,0,1000000*SER_hh_emi!W23/SER_hh_num!W23)</f>
        <v>2145.5169562198507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1165.6200571395118</v>
      </c>
      <c r="C29" s="131">
        <f>IF(SER_hh_emi!C29=0,0,1000000*SER_hh_emi!C29/SER_hh_num!C29)</f>
        <v>1361.8980929277868</v>
      </c>
      <c r="D29" s="131">
        <f>IF(SER_hh_emi!D29=0,0,1000000*SER_hh_emi!D29/SER_hh_num!D29)</f>
        <v>1351.9721478769366</v>
      </c>
      <c r="E29" s="131">
        <f>IF(SER_hh_emi!E29=0,0,1000000*SER_hh_emi!E29/SER_hh_num!E29)</f>
        <v>1302.5535554644789</v>
      </c>
      <c r="F29" s="131">
        <f>IF(SER_hh_emi!F29=0,0,1000000*SER_hh_emi!F29/SER_hh_num!F29)</f>
        <v>1311.6837419756889</v>
      </c>
      <c r="G29" s="131">
        <f>IF(SER_hh_emi!G29=0,0,1000000*SER_hh_emi!G29/SER_hh_num!G29)</f>
        <v>1283.1600077466212</v>
      </c>
      <c r="H29" s="131">
        <f>IF(SER_hh_emi!H29=0,0,1000000*SER_hh_emi!H29/SER_hh_num!H29)</f>
        <v>1240.0041769030486</v>
      </c>
      <c r="I29" s="131">
        <f>IF(SER_hh_emi!I29=0,0,1000000*SER_hh_emi!I29/SER_hh_num!I29)</f>
        <v>1243.2281930389292</v>
      </c>
      <c r="J29" s="131">
        <f>IF(SER_hh_emi!J29=0,0,1000000*SER_hh_emi!J29/SER_hh_num!J29)</f>
        <v>1271.7998642014529</v>
      </c>
      <c r="K29" s="131">
        <f>IF(SER_hh_emi!K29=0,0,1000000*SER_hh_emi!K29/SER_hh_num!K29)</f>
        <v>1426.6952557127581</v>
      </c>
      <c r="L29" s="131">
        <f>IF(SER_hh_emi!L29=0,0,1000000*SER_hh_emi!L29/SER_hh_num!L29)</f>
        <v>1393.0389273081755</v>
      </c>
      <c r="M29" s="131">
        <f>IF(SER_hh_emi!M29=0,0,1000000*SER_hh_emi!M29/SER_hh_num!M29)</f>
        <v>1389.2979520146262</v>
      </c>
      <c r="N29" s="131">
        <f>IF(SER_hh_emi!N29=0,0,1000000*SER_hh_emi!N29/SER_hh_num!N29)</f>
        <v>1381.8363805756583</v>
      </c>
      <c r="O29" s="131">
        <f>IF(SER_hh_emi!O29=0,0,1000000*SER_hh_emi!O29/SER_hh_num!O29)</f>
        <v>1379.0071426341153</v>
      </c>
      <c r="P29" s="131">
        <f>IF(SER_hh_emi!P29=0,0,1000000*SER_hh_emi!P29/SER_hh_num!P29)</f>
        <v>1379.1234036126207</v>
      </c>
      <c r="Q29" s="131">
        <f>IF(SER_hh_emi!Q29=0,0,1000000*SER_hh_emi!Q29/SER_hh_num!Q29)</f>
        <v>1349.9957432081135</v>
      </c>
      <c r="R29" s="131">
        <f>IF(SER_hh_emi!R29=0,0,1000000*SER_hh_emi!R29/SER_hh_num!R29)</f>
        <v>1445.8687757081823</v>
      </c>
      <c r="S29" s="131">
        <f>IF(SER_hh_emi!S29=0,0,1000000*SER_hh_emi!S29/SER_hh_num!S29)</f>
        <v>1636.6087634278731</v>
      </c>
      <c r="T29" s="131">
        <f>IF(SER_hh_emi!T29=0,0,1000000*SER_hh_emi!T29/SER_hh_num!T29)</f>
        <v>1521.1892809269418</v>
      </c>
      <c r="U29" s="131">
        <f>IF(SER_hh_emi!U29=0,0,1000000*SER_hh_emi!U29/SER_hh_num!U29)</f>
        <v>1619.8492072298388</v>
      </c>
      <c r="V29" s="131">
        <f>IF(SER_hh_emi!V29=0,0,1000000*SER_hh_emi!V29/SER_hh_num!V29)</f>
        <v>1460.9039464606501</v>
      </c>
      <c r="W29" s="131">
        <f>IF(SER_hh_emi!W29=0,0,1000000*SER_hh_emi!W29/SER_hh_num!W29)</f>
        <v>1417.3320252955562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2362.0381391405249</v>
      </c>
      <c r="C31" s="133">
        <f>IF(SER_hh_emi!C31=0,0,1000000*SER_hh_emi!C31/SER_hh_num!C31)</f>
        <v>2727.5941970035592</v>
      </c>
      <c r="D31" s="133">
        <f>IF(SER_hh_emi!D31=0,0,1000000*SER_hh_emi!D31/SER_hh_num!D31)</f>
        <v>2680.0816662612328</v>
      </c>
      <c r="E31" s="133">
        <f>IF(SER_hh_emi!E31=0,0,1000000*SER_hh_emi!E31/SER_hh_num!E31)</f>
        <v>2579.6400160570756</v>
      </c>
      <c r="F31" s="133">
        <f>IF(SER_hh_emi!F31=0,0,1000000*SER_hh_emi!F31/SER_hh_num!F31)</f>
        <v>2627.6805455430504</v>
      </c>
      <c r="G31" s="133">
        <f>IF(SER_hh_emi!G31=0,0,1000000*SER_hh_emi!G31/SER_hh_num!G31)</f>
        <v>2576.6395376615055</v>
      </c>
      <c r="H31" s="133">
        <f>IF(SER_hh_emi!H31=0,0,1000000*SER_hh_emi!H31/SER_hh_num!H31)</f>
        <v>2530.2858723181057</v>
      </c>
      <c r="I31" s="133">
        <f>IF(SER_hh_emi!I31=0,0,1000000*SER_hh_emi!I31/SER_hh_num!I31)</f>
        <v>2538.4711575150809</v>
      </c>
      <c r="J31" s="133">
        <f>IF(SER_hh_emi!J31=0,0,1000000*SER_hh_emi!J31/SER_hh_num!J31)</f>
        <v>2583.2347600172179</v>
      </c>
      <c r="K31" s="133">
        <f>IF(SER_hh_emi!K31=0,0,1000000*SER_hh_emi!K31/SER_hh_num!K31)</f>
        <v>2882.1148229330024</v>
      </c>
      <c r="L31" s="133">
        <f>IF(SER_hh_emi!L31=0,0,1000000*SER_hh_emi!L31/SER_hh_num!L31)</f>
        <v>2786.5013845277899</v>
      </c>
      <c r="M31" s="133">
        <f>IF(SER_hh_emi!M31=0,0,1000000*SER_hh_emi!M31/SER_hh_num!M31)</f>
        <v>2816.6987445630498</v>
      </c>
      <c r="N31" s="133">
        <f>IF(SER_hh_emi!N31=0,0,1000000*SER_hh_emi!N31/SER_hh_num!N31)</f>
        <v>2839.4624892447655</v>
      </c>
      <c r="O31" s="133">
        <f>IF(SER_hh_emi!O31=0,0,1000000*SER_hh_emi!O31/SER_hh_num!O31)</f>
        <v>2859.0192809242944</v>
      </c>
      <c r="P31" s="133">
        <f>IF(SER_hh_emi!P31=0,0,1000000*SER_hh_emi!P31/SER_hh_num!P31)</f>
        <v>2873.9319103089729</v>
      </c>
      <c r="Q31" s="133">
        <f>IF(SER_hh_emi!Q31=0,0,1000000*SER_hh_emi!Q31/SER_hh_num!Q31)</f>
        <v>2785.660208226499</v>
      </c>
      <c r="R31" s="133">
        <f>IF(SER_hh_emi!R31=0,0,1000000*SER_hh_emi!R31/SER_hh_num!R31)</f>
        <v>2866.6068022197792</v>
      </c>
      <c r="S31" s="133">
        <f>IF(SER_hh_emi!S31=0,0,1000000*SER_hh_emi!S31/SER_hh_num!S31)</f>
        <v>3079.5942212959726</v>
      </c>
      <c r="T31" s="133">
        <f>IF(SER_hh_emi!T31=0,0,1000000*SER_hh_emi!T31/SER_hh_num!T31)</f>
        <v>2829.0477302529157</v>
      </c>
      <c r="U31" s="133">
        <f>IF(SER_hh_emi!U31=0,0,1000000*SER_hh_emi!U31/SER_hh_num!U31)</f>
        <v>2985.5243482874866</v>
      </c>
      <c r="V31" s="133">
        <f>IF(SER_hh_emi!V31=0,0,1000000*SER_hh_emi!V31/SER_hh_num!V31)</f>
        <v>2729.3624042421015</v>
      </c>
      <c r="W31" s="133">
        <f>IF(SER_hh_emi!W31=0,0,1000000*SER_hh_emi!W31/SER_hh_num!W31)</f>
        <v>2658.6808020090562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183.81125986496841</v>
      </c>
      <c r="C3" s="126">
        <f>IF(SER_hh_fech!C3=0,0,SER_hh_fech!C3/SER_summary!C$26)</f>
        <v>178.15326161381151</v>
      </c>
      <c r="D3" s="126">
        <f>IF(SER_hh_fech!D3=0,0,SER_hh_fech!D3/SER_summary!D$26)</f>
        <v>165.09479203073309</v>
      </c>
      <c r="E3" s="126">
        <f>IF(SER_hh_fech!E3=0,0,SER_hh_fech!E3/SER_summary!E$26)</f>
        <v>181.27194934482151</v>
      </c>
      <c r="F3" s="126">
        <f>IF(SER_hh_fech!F3=0,0,SER_hh_fech!F3/SER_summary!F$26)</f>
        <v>167.85521342606356</v>
      </c>
      <c r="G3" s="126">
        <f>IF(SER_hh_fech!G3=0,0,SER_hh_fech!G3/SER_summary!G$26)</f>
        <v>143.81927949389888</v>
      </c>
      <c r="H3" s="126">
        <f>IF(SER_hh_fech!H3=0,0,SER_hh_fech!H3/SER_summary!H$26)</f>
        <v>135.13815953534342</v>
      </c>
      <c r="I3" s="126">
        <f>IF(SER_hh_fech!I3=0,0,SER_hh_fech!I3/SER_summary!I$26)</f>
        <v>123.29378353220946</v>
      </c>
      <c r="J3" s="126">
        <f>IF(SER_hh_fech!J3=0,0,SER_hh_fech!J3/SER_summary!J$26)</f>
        <v>129.87498021507128</v>
      </c>
      <c r="K3" s="126">
        <f>IF(SER_hh_fech!K3=0,0,SER_hh_fech!K3/SER_summary!K$26)</f>
        <v>120.41113903618306</v>
      </c>
      <c r="L3" s="126">
        <f>IF(SER_hh_fech!L3=0,0,SER_hh_fech!L3/SER_summary!L$26)</f>
        <v>131.6967346072864</v>
      </c>
      <c r="M3" s="126">
        <f>IF(SER_hh_fech!M3=0,0,SER_hh_fech!M3/SER_summary!M$26)</f>
        <v>123.88673813850949</v>
      </c>
      <c r="N3" s="126">
        <f>IF(SER_hh_fech!N3=0,0,SER_hh_fech!N3/SER_summary!N$26)</f>
        <v>118.31900788534894</v>
      </c>
      <c r="O3" s="126">
        <f>IF(SER_hh_fech!O3=0,0,SER_hh_fech!O3/SER_summary!O$26)</f>
        <v>115.26571277051548</v>
      </c>
      <c r="P3" s="126">
        <f>IF(SER_hh_fech!P3=0,0,SER_hh_fech!P3/SER_summary!P$26)</f>
        <v>108.88885849083012</v>
      </c>
      <c r="Q3" s="126">
        <f>IF(SER_hh_fech!Q3=0,0,SER_hh_fech!Q3/SER_summary!Q$26)</f>
        <v>107.87668136365123</v>
      </c>
      <c r="R3" s="126">
        <f>IF(SER_hh_fech!R3=0,0,SER_hh_fech!R3/SER_summary!R$26)</f>
        <v>109.91608000772145</v>
      </c>
      <c r="S3" s="126">
        <f>IF(SER_hh_fech!S3=0,0,SER_hh_fech!S3/SER_summary!S$26)</f>
        <v>112.39524022298221</v>
      </c>
      <c r="T3" s="126">
        <f>IF(SER_hh_fech!T3=0,0,SER_hh_fech!T3/SER_summary!T$26)</f>
        <v>106.93606873689868</v>
      </c>
      <c r="U3" s="126">
        <f>IF(SER_hh_fech!U3=0,0,SER_hh_fech!U3/SER_summary!U$26)</f>
        <v>108.27606695618181</v>
      </c>
      <c r="V3" s="126">
        <f>IF(SER_hh_fech!V3=0,0,SER_hh_fech!V3/SER_summary!V$26)</f>
        <v>99.67394906124899</v>
      </c>
      <c r="W3" s="126">
        <f>IF(SER_hh_fech!W3=0,0,SER_hh_fech!W3/SER_summary!W$26)</f>
        <v>98.097293815850236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157.42180422881074</v>
      </c>
      <c r="C4" s="131">
        <f>IF(SER_hh_fech!C4=0,0,SER_hh_fech!C4/SER_summary!C$26)</f>
        <v>151.67227224240048</v>
      </c>
      <c r="D4" s="131">
        <f>IF(SER_hh_fech!D4=0,0,SER_hh_fech!D4/SER_summary!D$26)</f>
        <v>138.73749578582104</v>
      </c>
      <c r="E4" s="131">
        <f>IF(SER_hh_fech!E4=0,0,SER_hh_fech!E4/SER_summary!E$26)</f>
        <v>155.00488950543257</v>
      </c>
      <c r="F4" s="131">
        <f>IF(SER_hh_fech!F4=0,0,SER_hh_fech!F4/SER_summary!F$26)</f>
        <v>141.99916980811625</v>
      </c>
      <c r="G4" s="131">
        <f>IF(SER_hh_fech!G4=0,0,SER_hh_fech!G4/SER_summary!G$26)</f>
        <v>118.12204166291278</v>
      </c>
      <c r="H4" s="131">
        <f>IF(SER_hh_fech!H4=0,0,SER_hh_fech!H4/SER_summary!H$26)</f>
        <v>109.24663680857157</v>
      </c>
      <c r="I4" s="131">
        <f>IF(SER_hh_fech!I4=0,0,SER_hh_fech!I4/SER_summary!I$26)</f>
        <v>97.418028357062596</v>
      </c>
      <c r="J4" s="131">
        <f>IF(SER_hh_fech!J4=0,0,SER_hh_fech!J4/SER_summary!J$26)</f>
        <v>103.75589383603645</v>
      </c>
      <c r="K4" s="131">
        <f>IF(SER_hh_fech!K4=0,0,SER_hh_fech!K4/SER_summary!K$26)</f>
        <v>92.434653001161649</v>
      </c>
      <c r="L4" s="131">
        <f>IF(SER_hh_fech!L4=0,0,SER_hh_fech!L4/SER_summary!L$26)</f>
        <v>103.03987511607065</v>
      </c>
      <c r="M4" s="131">
        <f>IF(SER_hh_fech!M4=0,0,SER_hh_fech!M4/SER_summary!M$26)</f>
        <v>95.041665224349188</v>
      </c>
      <c r="N4" s="131">
        <f>IF(SER_hh_fech!N4=0,0,SER_hh_fech!N4/SER_summary!N$26)</f>
        <v>89.326908952819068</v>
      </c>
      <c r="O4" s="131">
        <f>IF(SER_hh_fech!O4=0,0,SER_hh_fech!O4/SER_summary!O$26)</f>
        <v>86.117808679965279</v>
      </c>
      <c r="P4" s="131">
        <f>IF(SER_hh_fech!P4=0,0,SER_hh_fech!P4/SER_summary!P$26)</f>
        <v>79.958698532611052</v>
      </c>
      <c r="Q4" s="131">
        <f>IF(SER_hh_fech!Q4=0,0,SER_hh_fech!Q4/SER_summary!Q$26)</f>
        <v>78.825617982553936</v>
      </c>
      <c r="R4" s="131">
        <f>IF(SER_hh_fech!R4=0,0,SER_hh_fech!R4/SER_summary!R$26)</f>
        <v>80.95276719908685</v>
      </c>
      <c r="S4" s="131">
        <f>IF(SER_hh_fech!S4=0,0,SER_hh_fech!S4/SER_summary!S$26)</f>
        <v>83.151196727551977</v>
      </c>
      <c r="T4" s="131">
        <f>IF(SER_hh_fech!T4=0,0,SER_hh_fech!T4/SER_summary!T$26)</f>
        <v>78.267167259838033</v>
      </c>
      <c r="U4" s="131">
        <f>IF(SER_hh_fech!U4=0,0,SER_hh_fech!U4/SER_summary!U$26)</f>
        <v>79.610732148091557</v>
      </c>
      <c r="V4" s="131">
        <f>IF(SER_hh_fech!V4=0,0,SER_hh_fech!V4/SER_summary!V$26)</f>
        <v>73.074539835630745</v>
      </c>
      <c r="W4" s="131">
        <f>IF(SER_hh_fech!W4=0,0,SER_hh_fech!W4/SER_summary!W$26)</f>
        <v>71.300561584752884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220.85555693498912</v>
      </c>
      <c r="C5" s="133">
        <f>IF(SER_hh_fech!C5=0,0,SER_hh_fech!C5/SER_summary!C$26)</f>
        <v>116.50306488204576</v>
      </c>
      <c r="D5" s="133">
        <f>IF(SER_hh_fech!D5=0,0,SER_hh_fech!D5/SER_summary!D$26)</f>
        <v>119.99305209476016</v>
      </c>
      <c r="E5" s="133">
        <f>IF(SER_hh_fech!E5=0,0,SER_hh_fech!E5/SER_summary!E$26)</f>
        <v>223.56292914578367</v>
      </c>
      <c r="F5" s="133">
        <f>IF(SER_hh_fech!F5=0,0,SER_hh_fech!F5/SER_summary!F$26)</f>
        <v>240.53020836445074</v>
      </c>
      <c r="G5" s="133">
        <f>IF(SER_hh_fech!G5=0,0,SER_hh_fech!G5/SER_summary!G$26)</f>
        <v>59.486087830286451</v>
      </c>
      <c r="H5" s="133">
        <f>IF(SER_hh_fech!H5=0,0,SER_hh_fech!H5/SER_summary!H$26)</f>
        <v>151.54112833622634</v>
      </c>
      <c r="I5" s="133">
        <f>IF(SER_hh_fech!I5=0,0,SER_hh_fech!I5/SER_summary!I$26)</f>
        <v>83.767575557991648</v>
      </c>
      <c r="J5" s="133">
        <f>IF(SER_hh_fech!J5=0,0,SER_hh_fech!J5/SER_summary!J$26)</f>
        <v>142.99801447873415</v>
      </c>
      <c r="K5" s="133">
        <f>IF(SER_hh_fech!K5=0,0,SER_hh_fech!K5/SER_summary!K$26)</f>
        <v>73.805112336665957</v>
      </c>
      <c r="L5" s="133">
        <f>IF(SER_hh_fech!L5=0,0,SER_hh_fech!L5/SER_summary!L$26)</f>
        <v>120.60223036394504</v>
      </c>
      <c r="M5" s="133">
        <f>IF(SER_hh_fech!M5=0,0,SER_hh_fech!M5/SER_summary!M$26)</f>
        <v>115.29452020983278</v>
      </c>
      <c r="N5" s="133">
        <f>IF(SER_hh_fech!N5=0,0,SER_hh_fech!N5/SER_summary!N$26)</f>
        <v>103.27922480104812</v>
      </c>
      <c r="O5" s="133">
        <f>IF(SER_hh_fech!O5=0,0,SER_hh_fech!O5/SER_summary!O$26)</f>
        <v>98.79355139800802</v>
      </c>
      <c r="P5" s="133">
        <f>IF(SER_hh_fech!P5=0,0,SER_hh_fech!P5/SER_summary!P$26)</f>
        <v>86.730555448466163</v>
      </c>
      <c r="Q5" s="133">
        <f>IF(SER_hh_fech!Q5=0,0,SER_hh_fech!Q5/SER_summary!Q$26)</f>
        <v>77.376892006567971</v>
      </c>
      <c r="R5" s="133">
        <f>IF(SER_hh_fech!R5=0,0,SER_hh_fech!R5/SER_summary!R$26)</f>
        <v>98.0492491169923</v>
      </c>
      <c r="S5" s="133">
        <f>IF(SER_hh_fech!S5=0,0,SER_hh_fech!S5/SER_summary!S$26)</f>
        <v>99.209726450261655</v>
      </c>
      <c r="T5" s="133">
        <f>IF(SER_hh_fech!T5=0,0,SER_hh_fech!T5/SER_summary!T$26)</f>
        <v>76.829870266828806</v>
      </c>
      <c r="U5" s="133">
        <f>IF(SER_hh_fech!U5=0,0,SER_hh_fech!U5/SER_summary!U$26)</f>
        <v>95.446221632065829</v>
      </c>
      <c r="V5" s="133">
        <f>IF(SER_hh_fech!V5=0,0,SER_hh_fech!V5/SER_summary!V$26)</f>
        <v>75.771185063641809</v>
      </c>
      <c r="W5" s="133">
        <f>IF(SER_hh_fech!W5=0,0,SER_hh_fech!W5/SER_summary!W$26)</f>
        <v>86.159021592779098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245.44015890777604</v>
      </c>
      <c r="C7" s="133">
        <f>IF(SER_hh_fech!C7=0,0,SER_hh_fech!C7/SER_summary!C$26)</f>
        <v>87.728963729775444</v>
      </c>
      <c r="D7" s="133">
        <f>IF(SER_hh_fech!D7=0,0,SER_hh_fech!D7/SER_summary!D$26)</f>
        <v>221.59777143480281</v>
      </c>
      <c r="E7" s="133">
        <f>IF(SER_hh_fech!E7=0,0,SER_hh_fech!E7/SER_summary!E$26)</f>
        <v>173.27054239074391</v>
      </c>
      <c r="F7" s="133">
        <f>IF(SER_hh_fech!F7=0,0,SER_hh_fech!F7/SER_summary!F$26)</f>
        <v>185.91508316284305</v>
      </c>
      <c r="G7" s="133">
        <f>IF(SER_hh_fech!G7=0,0,SER_hh_fech!G7/SER_summary!G$26)</f>
        <v>127.54133088758219</v>
      </c>
      <c r="H7" s="133">
        <f>IF(SER_hh_fech!H7=0,0,SER_hh_fech!H7/SER_summary!H$26)</f>
        <v>136.55096595859661</v>
      </c>
      <c r="I7" s="133">
        <f>IF(SER_hh_fech!I7=0,0,SER_hh_fech!I7/SER_summary!I$26)</f>
        <v>128.28649178339043</v>
      </c>
      <c r="J7" s="133">
        <f>IF(SER_hh_fech!J7=0,0,SER_hh_fech!J7/SER_summary!J$26)</f>
        <v>132.52379259663329</v>
      </c>
      <c r="K7" s="133">
        <f>IF(SER_hh_fech!K7=0,0,SER_hh_fech!K7/SER_summary!K$26)</f>
        <v>104.3536220915482</v>
      </c>
      <c r="L7" s="133">
        <f>IF(SER_hh_fech!L7=0,0,SER_hh_fech!L7/SER_summary!L$26)</f>
        <v>131.37411457123221</v>
      </c>
      <c r="M7" s="133">
        <f>IF(SER_hh_fech!M7=0,0,SER_hh_fech!M7/SER_summary!M$26)</f>
        <v>96.185809820051418</v>
      </c>
      <c r="N7" s="133">
        <f>IF(SER_hh_fech!N7=0,0,SER_hh_fech!N7/SER_summary!N$26)</f>
        <v>138.92227082675174</v>
      </c>
      <c r="O7" s="133">
        <f>IF(SER_hh_fech!O7=0,0,SER_hh_fech!O7/SER_summary!O$26)</f>
        <v>103.57904069581991</v>
      </c>
      <c r="P7" s="133">
        <f>IF(SER_hh_fech!P7=0,0,SER_hh_fech!P7/SER_summary!P$26)</f>
        <v>65.642503072495316</v>
      </c>
      <c r="Q7" s="133">
        <f>IF(SER_hh_fech!Q7=0,0,SER_hh_fech!Q7/SER_summary!Q$26)</f>
        <v>112.3813652832483</v>
      </c>
      <c r="R7" s="133">
        <f>IF(SER_hh_fech!R7=0,0,SER_hh_fech!R7/SER_summary!R$26)</f>
        <v>103.00142503118977</v>
      </c>
      <c r="S7" s="133">
        <f>IF(SER_hh_fech!S7=0,0,SER_hh_fech!S7/SER_summary!S$26)</f>
        <v>105.98902262792328</v>
      </c>
      <c r="T7" s="133">
        <f>IF(SER_hh_fech!T7=0,0,SER_hh_fech!T7/SER_summary!T$26)</f>
        <v>77.717843951917203</v>
      </c>
      <c r="U7" s="133">
        <f>IF(SER_hh_fech!U7=0,0,SER_hh_fech!U7/SER_summary!U$26)</f>
        <v>75.132319392118262</v>
      </c>
      <c r="V7" s="133">
        <f>IF(SER_hh_fech!V7=0,0,SER_hh_fech!V7/SER_summary!V$26)</f>
        <v>83.139024425349817</v>
      </c>
      <c r="W7" s="133">
        <f>IF(SER_hh_fech!W7=0,0,SER_hh_fech!W7/SER_summary!W$26)</f>
        <v>107.72753334009293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20.705321855939886</v>
      </c>
      <c r="H8" s="133">
        <f>IF(SER_hh_fech!H8=0,0,SER_hh_fech!H8/SER_summary!H$26)</f>
        <v>23.812455437482537</v>
      </c>
      <c r="I8" s="133">
        <f>IF(SER_hh_fech!I8=0,0,SER_hh_fech!I8/SER_summary!I$26)</f>
        <v>26.218501412352342</v>
      </c>
      <c r="J8" s="133">
        <f>IF(SER_hh_fech!J8=0,0,SER_hh_fech!J8/SER_summary!J$26)</f>
        <v>28.908944795483237</v>
      </c>
      <c r="K8" s="133">
        <f>IF(SER_hh_fech!K8=0,0,SER_hh_fech!K8/SER_summary!K$26)</f>
        <v>26.5973141267235</v>
      </c>
      <c r="L8" s="133">
        <f>IF(SER_hh_fech!L8=0,0,SER_hh_fech!L8/SER_summary!L$26)</f>
        <v>22.741340183984082</v>
      </c>
      <c r="M8" s="133">
        <f>IF(SER_hh_fech!M8=0,0,SER_hh_fech!M8/SER_summary!M$26)</f>
        <v>20.541065349644811</v>
      </c>
      <c r="N8" s="133">
        <f>IF(SER_hh_fech!N8=0,0,SER_hh_fech!N8/SER_summary!N$26)</f>
        <v>17.456602314580596</v>
      </c>
      <c r="O8" s="133">
        <f>IF(SER_hh_fech!O8=0,0,SER_hh_fech!O8/SER_summary!O$26)</f>
        <v>18.845670879584269</v>
      </c>
      <c r="P8" s="133">
        <f>IF(SER_hh_fech!P8=0,0,SER_hh_fech!P8/SER_summary!P$26)</f>
        <v>20.241332992725443</v>
      </c>
      <c r="Q8" s="133">
        <f>IF(SER_hh_fech!Q8=0,0,SER_hh_fech!Q8/SER_summary!Q$26)</f>
        <v>18.679535695049317</v>
      </c>
      <c r="R8" s="133">
        <f>IF(SER_hh_fech!R8=0,0,SER_hh_fech!R8/SER_summary!R$26)</f>
        <v>18.145777583684175</v>
      </c>
      <c r="S8" s="133">
        <f>IF(SER_hh_fech!S8=0,0,SER_hh_fech!S8/SER_summary!S$26)</f>
        <v>17.647998974563198</v>
      </c>
      <c r="T8" s="133">
        <f>IF(SER_hh_fech!T8=0,0,SER_hh_fech!T8/SER_summary!T$26)</f>
        <v>17.073898497448774</v>
      </c>
      <c r="U8" s="133">
        <f>IF(SER_hh_fech!U8=0,0,SER_hh_fech!U8/SER_summary!U$26)</f>
        <v>17.097632971781266</v>
      </c>
      <c r="V8" s="133">
        <f>IF(SER_hh_fech!V8=0,0,SER_hh_fech!V8/SER_summary!V$26)</f>
        <v>16.201160309292224</v>
      </c>
      <c r="W8" s="133">
        <f>IF(SER_hh_fech!W8=0,0,SER_hh_fech!W8/SER_summary!W$26)</f>
        <v>16.494305210483478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176.87479360476024</v>
      </c>
      <c r="C9" s="133">
        <f>IF(SER_hh_fech!C9=0,0,SER_hh_fech!C9/SER_summary!C$26)</f>
        <v>194.91658047498163</v>
      </c>
      <c r="D9" s="133">
        <f>IF(SER_hh_fech!D9=0,0,SER_hh_fech!D9/SER_summary!D$26)</f>
        <v>169.14455085694829</v>
      </c>
      <c r="E9" s="133">
        <f>IF(SER_hh_fech!E9=0,0,SER_hh_fech!E9/SER_summary!E$26)</f>
        <v>165.25952574221273</v>
      </c>
      <c r="F9" s="133">
        <f>IF(SER_hh_fech!F9=0,0,SER_hh_fech!F9/SER_summary!F$26)</f>
        <v>150.23288376637839</v>
      </c>
      <c r="G9" s="133">
        <f>IF(SER_hh_fech!G9=0,0,SER_hh_fech!G9/SER_summary!G$26)</f>
        <v>138.56649685337544</v>
      </c>
      <c r="H9" s="133">
        <f>IF(SER_hh_fech!H9=0,0,SER_hh_fech!H9/SER_summary!H$26)</f>
        <v>119.45699295834191</v>
      </c>
      <c r="I9" s="133">
        <f>IF(SER_hh_fech!I9=0,0,SER_hh_fech!I9/SER_summary!I$26)</f>
        <v>106.90564353699548</v>
      </c>
      <c r="J9" s="133">
        <f>IF(SER_hh_fech!J9=0,0,SER_hh_fech!J9/SER_summary!J$26)</f>
        <v>114.78535584162634</v>
      </c>
      <c r="K9" s="133">
        <f>IF(SER_hh_fech!K9=0,0,SER_hh_fech!K9/SER_summary!K$26)</f>
        <v>103.64085977849804</v>
      </c>
      <c r="L9" s="133">
        <f>IF(SER_hh_fech!L9=0,0,SER_hh_fech!L9/SER_summary!L$26)</f>
        <v>110.54695076823789</v>
      </c>
      <c r="M9" s="133">
        <f>IF(SER_hh_fech!M9=0,0,SER_hh_fech!M9/SER_summary!M$26)</f>
        <v>105.10947019660638</v>
      </c>
      <c r="N9" s="133">
        <f>IF(SER_hh_fech!N9=0,0,SER_hh_fech!N9/SER_summary!N$26)</f>
        <v>97.583607339128136</v>
      </c>
      <c r="O9" s="133">
        <f>IF(SER_hh_fech!O9=0,0,SER_hh_fech!O9/SER_summary!O$26)</f>
        <v>92.578024073401025</v>
      </c>
      <c r="P9" s="133">
        <f>IF(SER_hh_fech!P9=0,0,SER_hh_fech!P9/SER_summary!P$26)</f>
        <v>88.143853549651368</v>
      </c>
      <c r="Q9" s="133">
        <f>IF(SER_hh_fech!Q9=0,0,SER_hh_fech!Q9/SER_summary!Q$26)</f>
        <v>85.700215948505885</v>
      </c>
      <c r="R9" s="133">
        <f>IF(SER_hh_fech!R9=0,0,SER_hh_fech!R9/SER_summary!R$26)</f>
        <v>86.784042786400903</v>
      </c>
      <c r="S9" s="133">
        <f>IF(SER_hh_fech!S9=0,0,SER_hh_fech!S9/SER_summary!S$26)</f>
        <v>90.966850448676709</v>
      </c>
      <c r="T9" s="133">
        <f>IF(SER_hh_fech!T9=0,0,SER_hh_fech!T9/SER_summary!T$26)</f>
        <v>82.603772856444209</v>
      </c>
      <c r="U9" s="133">
        <f>IF(SER_hh_fech!U9=0,0,SER_hh_fech!U9/SER_summary!U$26)</f>
        <v>86.268867763161936</v>
      </c>
      <c r="V9" s="133">
        <f>IF(SER_hh_fech!V9=0,0,SER_hh_fech!V9/SER_summary!V$26)</f>
        <v>78.805013012614069</v>
      </c>
      <c r="W9" s="133">
        <f>IF(SER_hh_fech!W9=0,0,SER_hh_fech!W9/SER_summary!W$26)</f>
        <v>74.006873798356821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159.24631957398663</v>
      </c>
      <c r="C10" s="133">
        <f>IF(SER_hh_fech!C10=0,0,SER_hh_fech!C10/SER_summary!C$26)</f>
        <v>216.37667285894554</v>
      </c>
      <c r="D10" s="133">
        <f>IF(SER_hh_fech!D10=0,0,SER_hh_fech!D10/SER_summary!D$26)</f>
        <v>166.66067123680082</v>
      </c>
      <c r="E10" s="133">
        <f>IF(SER_hh_fech!E10=0,0,SER_hh_fech!E10/SER_summary!E$26)</f>
        <v>182.24476892301126</v>
      </c>
      <c r="F10" s="133">
        <f>IF(SER_hh_fech!F10=0,0,SER_hh_fech!F10/SER_summary!F$26)</f>
        <v>166.23952061415895</v>
      </c>
      <c r="G10" s="133">
        <f>IF(SER_hh_fech!G10=0,0,SER_hh_fech!G10/SER_summary!G$26)</f>
        <v>149.27822667142317</v>
      </c>
      <c r="H10" s="133">
        <f>IF(SER_hh_fech!H10=0,0,SER_hh_fech!H10/SER_summary!H$26)</f>
        <v>116.99222224010001</v>
      </c>
      <c r="I10" s="133">
        <f>IF(SER_hh_fech!I10=0,0,SER_hh_fech!I10/SER_summary!I$26)</f>
        <v>151.03210002806711</v>
      </c>
      <c r="J10" s="133">
        <f>IF(SER_hh_fech!J10=0,0,SER_hh_fech!J10/SER_summary!J$26)</f>
        <v>117.19348797685645</v>
      </c>
      <c r="K10" s="133">
        <f>IF(SER_hh_fech!K10=0,0,SER_hh_fech!K10/SER_summary!K$26)</f>
        <v>100.79230341079304</v>
      </c>
      <c r="L10" s="133">
        <f>IF(SER_hh_fech!L10=0,0,SER_hh_fech!L10/SER_summary!L$26)</f>
        <v>129.61019774624546</v>
      </c>
      <c r="M10" s="133">
        <f>IF(SER_hh_fech!M10=0,0,SER_hh_fech!M10/SER_summary!M$26)</f>
        <v>119.76369253266438</v>
      </c>
      <c r="N10" s="133">
        <f>IF(SER_hh_fech!N10=0,0,SER_hh_fech!N10/SER_summary!N$26)</f>
        <v>111.56729278786102</v>
      </c>
      <c r="O10" s="133">
        <f>IF(SER_hh_fech!O10=0,0,SER_hh_fech!O10/SER_summary!O$26)</f>
        <v>112.20672856029779</v>
      </c>
      <c r="P10" s="133">
        <f>IF(SER_hh_fech!P10=0,0,SER_hh_fech!P10/SER_summary!P$26)</f>
        <v>103.25990502236236</v>
      </c>
      <c r="Q10" s="133">
        <f>IF(SER_hh_fech!Q10=0,0,SER_hh_fech!Q10/SER_summary!Q$26)</f>
        <v>111.18546048059942</v>
      </c>
      <c r="R10" s="133">
        <f>IF(SER_hh_fech!R10=0,0,SER_hh_fech!R10/SER_summary!R$26)</f>
        <v>106.90652812357392</v>
      </c>
      <c r="S10" s="133">
        <f>IF(SER_hh_fech!S10=0,0,SER_hh_fech!S10/SER_summary!S$26)</f>
        <v>104.23485894782613</v>
      </c>
      <c r="T10" s="133">
        <f>IF(SER_hh_fech!T10=0,0,SER_hh_fech!T10/SER_summary!T$26)</f>
        <v>107.44568037008317</v>
      </c>
      <c r="U10" s="133">
        <f>IF(SER_hh_fech!U10=0,0,SER_hh_fech!U10/SER_summary!U$26)</f>
        <v>109.61861681426392</v>
      </c>
      <c r="V10" s="133">
        <f>IF(SER_hh_fech!V10=0,0,SER_hh_fech!V10/SER_summary!V$26)</f>
        <v>101.40306539633531</v>
      </c>
      <c r="W10" s="133">
        <f>IF(SER_hh_fech!W10=0,0,SER_hh_fech!W10/SER_summary!W$26)</f>
        <v>103.27780717736152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119.0171600648768</v>
      </c>
      <c r="C12" s="133">
        <f>IF(SER_hh_fech!C12=0,0,SER_hh_fech!C12/SER_summary!C$26)</f>
        <v>122.44300643089385</v>
      </c>
      <c r="D12" s="133">
        <f>IF(SER_hh_fech!D12=0,0,SER_hh_fech!D12/SER_summary!D$26)</f>
        <v>112.73090533735083</v>
      </c>
      <c r="E12" s="133">
        <f>IF(SER_hh_fech!E12=0,0,SER_hh_fech!E12/SER_summary!E$26)</f>
        <v>111.39327650603423</v>
      </c>
      <c r="F12" s="133">
        <f>IF(SER_hh_fech!F12=0,0,SER_hh_fech!F12/SER_summary!F$26)</f>
        <v>111.4775157536137</v>
      </c>
      <c r="G12" s="133">
        <f>IF(SER_hh_fech!G12=0,0,SER_hh_fech!G12/SER_summary!G$26)</f>
        <v>107.65641406973783</v>
      </c>
      <c r="H12" s="133">
        <f>IF(SER_hh_fech!H12=0,0,SER_hh_fech!H12/SER_summary!H$26)</f>
        <v>86.074602446076312</v>
      </c>
      <c r="I12" s="133">
        <f>IF(SER_hh_fech!I12=0,0,SER_hh_fech!I12/SER_summary!I$26)</f>
        <v>78.737109276792168</v>
      </c>
      <c r="J12" s="133">
        <f>IF(SER_hh_fech!J12=0,0,SER_hh_fech!J12/SER_summary!J$26)</f>
        <v>80.216956936327193</v>
      </c>
      <c r="K12" s="133">
        <f>IF(SER_hh_fech!K12=0,0,SER_hh_fech!K12/SER_summary!K$26)</f>
        <v>73.780979737954553</v>
      </c>
      <c r="L12" s="133">
        <f>IF(SER_hh_fech!L12=0,0,SER_hh_fech!L12/SER_summary!L$26)</f>
        <v>90.755726457293434</v>
      </c>
      <c r="M12" s="133">
        <f>IF(SER_hh_fech!M12=0,0,SER_hh_fech!M12/SER_summary!M$26)</f>
        <v>81.259457828086468</v>
      </c>
      <c r="N12" s="133">
        <f>IF(SER_hh_fech!N12=0,0,SER_hh_fech!N12/SER_summary!N$26)</f>
        <v>77.066767245147659</v>
      </c>
      <c r="O12" s="133">
        <f>IF(SER_hh_fech!O12=0,0,SER_hh_fech!O12/SER_summary!O$26)</f>
        <v>73.515926604681212</v>
      </c>
      <c r="P12" s="133">
        <f>IF(SER_hh_fech!P12=0,0,SER_hh_fech!P12/SER_summary!P$26)</f>
        <v>68.689767679186488</v>
      </c>
      <c r="Q12" s="133">
        <f>IF(SER_hh_fech!Q12=0,0,SER_hh_fech!Q12/SER_summary!Q$26)</f>
        <v>69.226222373442795</v>
      </c>
      <c r="R12" s="133">
        <f>IF(SER_hh_fech!R12=0,0,SER_hh_fech!R12/SER_summary!R$26)</f>
        <v>71.54125524978538</v>
      </c>
      <c r="S12" s="133">
        <f>IF(SER_hh_fech!S12=0,0,SER_hh_fech!S12/SER_summary!S$26)</f>
        <v>72.433706129700155</v>
      </c>
      <c r="T12" s="133">
        <f>IF(SER_hh_fech!T12=0,0,SER_hh_fech!T12/SER_summary!T$26)</f>
        <v>72.534458596759464</v>
      </c>
      <c r="U12" s="133">
        <f>IF(SER_hh_fech!U12=0,0,SER_hh_fech!U12/SER_summary!U$26)</f>
        <v>69.814763310058041</v>
      </c>
      <c r="V12" s="133">
        <f>IF(SER_hh_fech!V12=0,0,SER_hh_fech!V12/SER_summary!V$26)</f>
        <v>65.985406298216844</v>
      </c>
      <c r="W12" s="133">
        <f>IF(SER_hh_fech!W12=0,0,SER_hh_fech!W12/SER_summary!W$26)</f>
        <v>67.934011891337533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56.8877140705576</v>
      </c>
      <c r="C13" s="133">
        <f>IF(SER_hh_fech!C13=0,0,SER_hh_fech!C13/SER_summary!C$26)</f>
        <v>59.875810424655704</v>
      </c>
      <c r="D13" s="133">
        <f>IF(SER_hh_fech!D13=0,0,SER_hh_fech!D13/SER_summary!D$26)</f>
        <v>64.034870127185116</v>
      </c>
      <c r="E13" s="133">
        <f>IF(SER_hh_fech!E13=0,0,SER_hh_fech!E13/SER_summary!E$26)</f>
        <v>60.74539841665834</v>
      </c>
      <c r="F13" s="133">
        <f>IF(SER_hh_fech!F13=0,0,SER_hh_fech!F13/SER_summary!F$26)</f>
        <v>53.457022326247063</v>
      </c>
      <c r="G13" s="133">
        <f>IF(SER_hh_fech!G13=0,0,SER_hh_fech!G13/SER_summary!G$26)</f>
        <v>43.156745641021644</v>
      </c>
      <c r="H13" s="133">
        <f>IF(SER_hh_fech!H13=0,0,SER_hh_fech!H13/SER_summary!H$26)</f>
        <v>39.283356602703847</v>
      </c>
      <c r="I13" s="133">
        <f>IF(SER_hh_fech!I13=0,0,SER_hh_fech!I13/SER_summary!I$26)</f>
        <v>35.857838331151257</v>
      </c>
      <c r="J13" s="133">
        <f>IF(SER_hh_fech!J13=0,0,SER_hh_fech!J13/SER_summary!J$26)</f>
        <v>33.856823197817619</v>
      </c>
      <c r="K13" s="133">
        <f>IF(SER_hh_fech!K13=0,0,SER_hh_fech!K13/SER_summary!K$26)</f>
        <v>32.049232244224967</v>
      </c>
      <c r="L13" s="133">
        <f>IF(SER_hh_fech!L13=0,0,SER_hh_fech!L13/SER_summary!L$26)</f>
        <v>31.591543151147437</v>
      </c>
      <c r="M13" s="133">
        <f>IF(SER_hh_fech!M13=0,0,SER_hh_fech!M13/SER_summary!M$26)</f>
        <v>29.302744812699942</v>
      </c>
      <c r="N13" s="133">
        <f>IF(SER_hh_fech!N13=0,0,SER_hh_fech!N13/SER_summary!N$26)</f>
        <v>27.1110124137433</v>
      </c>
      <c r="O13" s="133">
        <f>IF(SER_hh_fech!O13=0,0,SER_hh_fech!O13/SER_summary!O$26)</f>
        <v>24.63384977814156</v>
      </c>
      <c r="P13" s="133">
        <f>IF(SER_hh_fech!P13=0,0,SER_hh_fech!P13/SER_summary!P$26)</f>
        <v>22.32278198368223</v>
      </c>
      <c r="Q13" s="133">
        <f>IF(SER_hh_fech!Q13=0,0,SER_hh_fech!Q13/SER_summary!Q$26)</f>
        <v>21.228891498239253</v>
      </c>
      <c r="R13" s="133">
        <f>IF(SER_hh_fech!R13=0,0,SER_hh_fech!R13/SER_summary!R$26)</f>
        <v>20.667108158664561</v>
      </c>
      <c r="S13" s="133">
        <f>IF(SER_hh_fech!S13=0,0,SER_hh_fech!S13/SER_summary!S$26)</f>
        <v>20.172178309114724</v>
      </c>
      <c r="T13" s="133">
        <f>IF(SER_hh_fech!T13=0,0,SER_hh_fech!T13/SER_summary!T$26)</f>
        <v>19.182312497352054</v>
      </c>
      <c r="U13" s="133">
        <f>IF(SER_hh_fech!U13=0,0,SER_hh_fech!U13/SER_summary!U$26)</f>
        <v>18.345417115976478</v>
      </c>
      <c r="V13" s="133">
        <f>IF(SER_hh_fech!V13=0,0,SER_hh_fech!V13/SER_summary!V$26)</f>
        <v>17.27444624940793</v>
      </c>
      <c r="W13" s="133">
        <f>IF(SER_hh_fech!W13=0,0,SER_hh_fech!W13/SER_summary!W$26)</f>
        <v>17.35377010007084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137.23180727116886</v>
      </c>
      <c r="C14" s="65">
        <f>IF(SER_hh_fech!C14=0,0,SER_hh_fech!C14/SER_summary!C$26)</f>
        <v>136.8501621035808</v>
      </c>
      <c r="D14" s="65">
        <f>IF(SER_hh_fech!D14=0,0,SER_hh_fech!D14/SER_summary!D$26)</f>
        <v>126.63795580523526</v>
      </c>
      <c r="E14" s="65">
        <f>IF(SER_hh_fech!E14=0,0,SER_hh_fech!E14/SER_summary!E$26)</f>
        <v>152.75414685571431</v>
      </c>
      <c r="F14" s="65">
        <f>IF(SER_hh_fech!F14=0,0,SER_hh_fech!F14/SER_summary!F$26)</f>
        <v>106.05415900479986</v>
      </c>
      <c r="G14" s="65">
        <f>IF(SER_hh_fech!G14=0,0,SER_hh_fech!G14/SER_summary!G$26)</f>
        <v>103.64857458273563</v>
      </c>
      <c r="H14" s="65">
        <f>IF(SER_hh_fech!H14=0,0,SER_hh_fech!H14/SER_summary!H$26)</f>
        <v>99.295597972633189</v>
      </c>
      <c r="I14" s="65">
        <f>IF(SER_hh_fech!I14=0,0,SER_hh_fech!I14/SER_summary!I$26)</f>
        <v>91.814132172947112</v>
      </c>
      <c r="J14" s="65">
        <f>IF(SER_hh_fech!J14=0,0,SER_hh_fech!J14/SER_summary!J$26)</f>
        <v>94.370602021978016</v>
      </c>
      <c r="K14" s="65">
        <f>IF(SER_hh_fech!K14=0,0,SER_hh_fech!K14/SER_summary!K$26)</f>
        <v>88.202268385178158</v>
      </c>
      <c r="L14" s="65">
        <f>IF(SER_hh_fech!L14=0,0,SER_hh_fech!L14/SER_summary!L$26)</f>
        <v>95.920277019247195</v>
      </c>
      <c r="M14" s="65">
        <f>IF(SER_hh_fech!M14=0,0,SER_hh_fech!M14/SER_summary!M$26)</f>
        <v>85.201100240022456</v>
      </c>
      <c r="N14" s="65">
        <f>IF(SER_hh_fech!N14=0,0,SER_hh_fech!N14/SER_summary!N$26)</f>
        <v>81.713192335313622</v>
      </c>
      <c r="O14" s="65">
        <f>IF(SER_hh_fech!O14=0,0,SER_hh_fech!O14/SER_summary!O$26)</f>
        <v>84.457229096704111</v>
      </c>
      <c r="P14" s="65">
        <f>IF(SER_hh_fech!P14=0,0,SER_hh_fech!P14/SER_summary!P$26)</f>
        <v>74.577051849711737</v>
      </c>
      <c r="Q14" s="65">
        <f>IF(SER_hh_fech!Q14=0,0,SER_hh_fech!Q14/SER_summary!Q$26)</f>
        <v>71.662080571811259</v>
      </c>
      <c r="R14" s="65">
        <f>IF(SER_hh_fech!R14=0,0,SER_hh_fech!R14/SER_summary!R$26)</f>
        <v>76.997574078607684</v>
      </c>
      <c r="S14" s="65">
        <f>IF(SER_hh_fech!S14=0,0,SER_hh_fech!S14/SER_summary!S$26)</f>
        <v>78.186559295706857</v>
      </c>
      <c r="T14" s="65">
        <f>IF(SER_hh_fech!T14=0,0,SER_hh_fech!T14/SER_summary!T$26)</f>
        <v>76.324936127488286</v>
      </c>
      <c r="U14" s="65">
        <f>IF(SER_hh_fech!U14=0,0,SER_hh_fech!U14/SER_summary!U$26)</f>
        <v>77.754995083187495</v>
      </c>
      <c r="V14" s="65">
        <f>IF(SER_hh_fech!V14=0,0,SER_hh_fech!V14/SER_summary!V$26)</f>
        <v>71.073112148116778</v>
      </c>
      <c r="W14" s="65">
        <f>IF(SER_hh_fech!W14=0,0,SER_hh_fech!W14/SER_summary!W$26)</f>
        <v>69.549143490181564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1.1206947023930016</v>
      </c>
      <c r="C15" s="135">
        <f>IF(SER_hh_fech!C15=0,0,SER_hh_fech!C15/SER_summary!C$26)</f>
        <v>1.1314169248408774</v>
      </c>
      <c r="D15" s="135">
        <f>IF(SER_hh_fech!D15=0,0,SER_hh_fech!D15/SER_summary!D$26)</f>
        <v>1.0262602088795489</v>
      </c>
      <c r="E15" s="135">
        <f>IF(SER_hh_fech!E15=0,0,SER_hh_fech!E15/SER_summary!E$26)</f>
        <v>1.0884612648701668</v>
      </c>
      <c r="F15" s="135">
        <f>IF(SER_hh_fech!F15=0,0,SER_hh_fech!F15/SER_summary!F$26)</f>
        <v>1.0375825950356734</v>
      </c>
      <c r="G15" s="135">
        <f>IF(SER_hh_fech!G15=0,0,SER_hh_fech!G15/SER_summary!G$26)</f>
        <v>0.91088983298899884</v>
      </c>
      <c r="H15" s="135">
        <f>IF(SER_hh_fech!H15=0,0,SER_hh_fech!H15/SER_summary!H$26)</f>
        <v>0.84969833567098141</v>
      </c>
      <c r="I15" s="135">
        <f>IF(SER_hh_fech!I15=0,0,SER_hh_fech!I15/SER_summary!I$26)</f>
        <v>0.78374931297748995</v>
      </c>
      <c r="J15" s="135">
        <f>IF(SER_hh_fech!J15=0,0,SER_hh_fech!J15/SER_summary!J$26)</f>
        <v>0.85482779295171241</v>
      </c>
      <c r="K15" s="135">
        <f>IF(SER_hh_fech!K15=0,0,SER_hh_fech!K15/SER_summary!K$26)</f>
        <v>0.7478359576982585</v>
      </c>
      <c r="L15" s="135">
        <f>IF(SER_hh_fech!L15=0,0,SER_hh_fech!L15/SER_summary!L$26)</f>
        <v>0.80613791661104062</v>
      </c>
      <c r="M15" s="135">
        <f>IF(SER_hh_fech!M15=0,0,SER_hh_fech!M15/SER_summary!M$26)</f>
        <v>0.75659416027291504</v>
      </c>
      <c r="N15" s="135">
        <f>IF(SER_hh_fech!N15=0,0,SER_hh_fech!N15/SER_summary!N$26)</f>
        <v>0.70665804121311238</v>
      </c>
      <c r="O15" s="135">
        <f>IF(SER_hh_fech!O15=0,0,SER_hh_fech!O15/SER_summary!O$26)</f>
        <v>0.67326173792000221</v>
      </c>
      <c r="P15" s="135">
        <f>IF(SER_hh_fech!P15=0,0,SER_hh_fech!P15/SER_summary!P$26)</f>
        <v>0.6357648644210816</v>
      </c>
      <c r="Q15" s="135">
        <f>IF(SER_hh_fech!Q15=0,0,SER_hh_fech!Q15/SER_summary!Q$26)</f>
        <v>0.63168083796716845</v>
      </c>
      <c r="R15" s="135">
        <f>IF(SER_hh_fech!R15=0,0,SER_hh_fech!R15/SER_summary!R$26)</f>
        <v>0.64314697799821008</v>
      </c>
      <c r="S15" s="135">
        <f>IF(SER_hh_fech!S15=0,0,SER_hh_fech!S15/SER_summary!S$26)</f>
        <v>0.67916479111547712</v>
      </c>
      <c r="T15" s="135">
        <f>IF(SER_hh_fech!T15=0,0,SER_hh_fech!T15/SER_summary!T$26)</f>
        <v>0.62802125385771701</v>
      </c>
      <c r="U15" s="135">
        <f>IF(SER_hh_fech!U15=0,0,SER_hh_fech!U15/SER_summary!U$26)</f>
        <v>0.65923319869627273</v>
      </c>
      <c r="V15" s="135">
        <f>IF(SER_hh_fech!V15=0,0,SER_hh_fech!V15/SER_summary!V$26)</f>
        <v>0.61168833704851677</v>
      </c>
      <c r="W15" s="135">
        <f>IF(SER_hh_fech!W15=0,0,SER_hh_fech!W15/SER_summary!W$26)</f>
        <v>0.58819513344298147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15.369022987588327</v>
      </c>
      <c r="C16" s="131">
        <f>IF(SER_hh_fech!C16=0,0,SER_hh_fech!C16/SER_summary!C$26)</f>
        <v>14.580656281191715</v>
      </c>
      <c r="D16" s="131">
        <f>IF(SER_hh_fech!D16=0,0,SER_hh_fech!D16/SER_summary!D$26)</f>
        <v>13.650489499553924</v>
      </c>
      <c r="E16" s="131">
        <f>IF(SER_hh_fech!E16=0,0,SER_hh_fech!E16/SER_summary!E$26)</f>
        <v>13.760354050081499</v>
      </c>
      <c r="F16" s="131">
        <f>IF(SER_hh_fech!F16=0,0,SER_hh_fech!F16/SER_summary!F$26)</f>
        <v>12.579243748378484</v>
      </c>
      <c r="G16" s="131">
        <f>IF(SER_hh_fech!G16=0,0,SER_hh_fech!G16/SER_summary!G$26)</f>
        <v>12.037476657572897</v>
      </c>
      <c r="H16" s="131">
        <f>IF(SER_hh_fech!H16=0,0,SER_hh_fech!H16/SER_summary!H$26)</f>
        <v>11.860546524093083</v>
      </c>
      <c r="I16" s="131">
        <f>IF(SER_hh_fech!I16=0,0,SER_hh_fech!I16/SER_summary!I$26)</f>
        <v>11.251364729783823</v>
      </c>
      <c r="J16" s="131">
        <f>IF(SER_hh_fech!J16=0,0,SER_hh_fech!J16/SER_summary!J$26)</f>
        <v>10.708050338498689</v>
      </c>
      <c r="K16" s="131">
        <f>IF(SER_hh_fech!K16=0,0,SER_hh_fech!K16/SER_summary!K$26)</f>
        <v>10.579168086118564</v>
      </c>
      <c r="L16" s="131">
        <f>IF(SER_hh_fech!L16=0,0,SER_hh_fech!L16/SER_summary!L$26)</f>
        <v>10.664364800485544</v>
      </c>
      <c r="M16" s="131">
        <f>IF(SER_hh_fech!M16=0,0,SER_hh_fech!M16/SER_summary!M$26)</f>
        <v>10.264092040006089</v>
      </c>
      <c r="N16" s="131">
        <f>IF(SER_hh_fech!N16=0,0,SER_hh_fech!N16/SER_summary!N$26)</f>
        <v>10.152431469407345</v>
      </c>
      <c r="O16" s="131">
        <f>IF(SER_hh_fech!O16=0,0,SER_hh_fech!O16/SER_summary!O$26)</f>
        <v>10.382763749256076</v>
      </c>
      <c r="P16" s="131">
        <f>IF(SER_hh_fech!P16=0,0,SER_hh_fech!P16/SER_summary!P$26)</f>
        <v>9.5740620697584866</v>
      </c>
      <c r="Q16" s="131">
        <f>IF(SER_hh_fech!Q16=0,0,SER_hh_fech!Q16/SER_summary!Q$26)</f>
        <v>10.833268372586758</v>
      </c>
      <c r="R16" s="131">
        <f>IF(SER_hh_fech!R16=0,0,SER_hh_fech!R16/SER_summary!R$26)</f>
        <v>8.9593355117340145</v>
      </c>
      <c r="S16" s="131">
        <f>IF(SER_hh_fech!S16=0,0,SER_hh_fech!S16/SER_summary!S$26)</f>
        <v>8.828040271702104</v>
      </c>
      <c r="T16" s="131">
        <f>IF(SER_hh_fech!T16=0,0,SER_hh_fech!T16/SER_summary!T$26)</f>
        <v>9.0698622603682306</v>
      </c>
      <c r="U16" s="131">
        <f>IF(SER_hh_fech!U16=0,0,SER_hh_fech!U16/SER_summary!U$26)</f>
        <v>8.7364014379604971</v>
      </c>
      <c r="V16" s="131">
        <f>IF(SER_hh_fech!V16=0,0,SER_hh_fech!V16/SER_summary!V$26)</f>
        <v>8.1778693619592939</v>
      </c>
      <c r="W16" s="131">
        <f>IF(SER_hh_fech!W16=0,0,SER_hh_fech!W16/SER_summary!W$26)</f>
        <v>8.0082804663504756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21.585289738980066</v>
      </c>
      <c r="H17" s="133">
        <f>IF(SER_hh_fech!H17=0,0,SER_hh_fech!H17/SER_summary!H$26)</f>
        <v>22.254370793055244</v>
      </c>
      <c r="I17" s="133">
        <f>IF(SER_hh_fech!I17=0,0,SER_hh_fech!I17/SER_summary!I$26)</f>
        <v>21.936675538654605</v>
      </c>
      <c r="J17" s="133">
        <f>IF(SER_hh_fech!J17=0,0,SER_hh_fech!J17/SER_summary!J$26)</f>
        <v>21.620726239635136</v>
      </c>
      <c r="K17" s="133">
        <f>IF(SER_hh_fech!K17=0,0,SER_hh_fech!K17/SER_summary!K$26)</f>
        <v>21.655143072954953</v>
      </c>
      <c r="L17" s="133">
        <f>IF(SER_hh_fech!L17=0,0,SER_hh_fech!L17/SER_summary!L$26)</f>
        <v>22.257977404007264</v>
      </c>
      <c r="M17" s="133">
        <f>IF(SER_hh_fech!M17=0,0,SER_hh_fech!M17/SER_summary!M$26)</f>
        <v>22.004939914904362</v>
      </c>
      <c r="N17" s="133">
        <f>IF(SER_hh_fech!N17=0,0,SER_hh_fech!N17/SER_summary!N$26)</f>
        <v>22.30382152603168</v>
      </c>
      <c r="O17" s="133">
        <f>IF(SER_hh_fech!O17=0,0,SER_hh_fech!O17/SER_summary!O$26)</f>
        <v>23.22284920274565</v>
      </c>
      <c r="P17" s="133">
        <f>IF(SER_hh_fech!P17=0,0,SER_hh_fech!P17/SER_summary!P$26)</f>
        <v>21.687070325152188</v>
      </c>
      <c r="Q17" s="133">
        <f>IF(SER_hh_fech!Q17=0,0,SER_hh_fech!Q17/SER_summary!Q$26)</f>
        <v>24.864227715762166</v>
      </c>
      <c r="R17" s="133">
        <f>IF(SER_hh_fech!R17=0,0,SER_hh_fech!R17/SER_summary!R$26)</f>
        <v>21.061433356338103</v>
      </c>
      <c r="S17" s="133">
        <f>IF(SER_hh_fech!S17=0,0,SER_hh_fech!S17/SER_summary!S$26)</f>
        <v>21.138258491953568</v>
      </c>
      <c r="T17" s="133">
        <f>IF(SER_hh_fech!T17=0,0,SER_hh_fech!T17/SER_summary!T$26)</f>
        <v>23.398537540072283</v>
      </c>
      <c r="U17" s="133">
        <f>IF(SER_hh_fech!U17=0,0,SER_hh_fech!U17/SER_summary!U$26)</f>
        <v>21.544218702684852</v>
      </c>
      <c r="V17" s="133">
        <f>IF(SER_hh_fech!V17=0,0,SER_hh_fech!V17/SER_summary!V$26)</f>
        <v>20.247202191234067</v>
      </c>
      <c r="W17" s="133">
        <f>IF(SER_hh_fech!W17=0,0,SER_hh_fech!W17/SER_summary!W$26)</f>
        <v>20.080136556181778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15.369022987588327</v>
      </c>
      <c r="C18" s="133">
        <f>IF(SER_hh_fech!C18=0,0,SER_hh_fech!C18/SER_summary!C$26)</f>
        <v>14.580656281191715</v>
      </c>
      <c r="D18" s="133">
        <f>IF(SER_hh_fech!D18=0,0,SER_hh_fech!D18/SER_summary!D$26)</f>
        <v>13.650489499553924</v>
      </c>
      <c r="E18" s="133">
        <f>IF(SER_hh_fech!E18=0,0,SER_hh_fech!E18/SER_summary!E$26)</f>
        <v>13.760354050081499</v>
      </c>
      <c r="F18" s="133">
        <f>IF(SER_hh_fech!F18=0,0,SER_hh_fech!F18/SER_summary!F$26)</f>
        <v>12.579243748378484</v>
      </c>
      <c r="G18" s="133">
        <f>IF(SER_hh_fech!G18=0,0,SER_hh_fech!G18/SER_summary!G$26)</f>
        <v>12.027357168867679</v>
      </c>
      <c r="H18" s="133">
        <f>IF(SER_hh_fech!H18=0,0,SER_hh_fech!H18/SER_summary!H$26)</f>
        <v>11.849281104587257</v>
      </c>
      <c r="I18" s="133">
        <f>IF(SER_hh_fech!I18=0,0,SER_hh_fech!I18/SER_summary!I$26)</f>
        <v>11.237333894502298</v>
      </c>
      <c r="J18" s="133">
        <f>IF(SER_hh_fech!J18=0,0,SER_hh_fech!J18/SER_summary!J$26)</f>
        <v>10.694756615852864</v>
      </c>
      <c r="K18" s="133">
        <f>IF(SER_hh_fech!K18=0,0,SER_hh_fech!K18/SER_summary!K$26)</f>
        <v>10.562819673302938</v>
      </c>
      <c r="L18" s="133">
        <f>IF(SER_hh_fech!L18=0,0,SER_hh_fech!L18/SER_summary!L$26)</f>
        <v>10.648382392337178</v>
      </c>
      <c r="M18" s="133">
        <f>IF(SER_hh_fech!M18=0,0,SER_hh_fech!M18/SER_summary!M$26)</f>
        <v>10.248014485590531</v>
      </c>
      <c r="N18" s="133">
        <f>IF(SER_hh_fech!N18=0,0,SER_hh_fech!N18/SER_summary!N$26)</f>
        <v>10.135749104270039</v>
      </c>
      <c r="O18" s="133">
        <f>IF(SER_hh_fech!O18=0,0,SER_hh_fech!O18/SER_summary!O$26)</f>
        <v>10.362167625709224</v>
      </c>
      <c r="P18" s="133">
        <f>IF(SER_hh_fech!P18=0,0,SER_hh_fech!P18/SER_summary!P$26)</f>
        <v>9.5461132412047238</v>
      </c>
      <c r="Q18" s="133">
        <f>IF(SER_hh_fech!Q18=0,0,SER_hh_fech!Q18/SER_summary!Q$26)</f>
        <v>10.783381228306107</v>
      </c>
      <c r="R18" s="133">
        <f>IF(SER_hh_fech!R18=0,0,SER_hh_fech!R18/SER_summary!R$26)</f>
        <v>8.9095346607914987</v>
      </c>
      <c r="S18" s="133">
        <f>IF(SER_hh_fech!S18=0,0,SER_hh_fech!S18/SER_summary!S$26)</f>
        <v>8.7681078594097386</v>
      </c>
      <c r="T18" s="133">
        <f>IF(SER_hh_fech!T18=0,0,SER_hh_fech!T18/SER_summary!T$26)</f>
        <v>8.9917847275506126</v>
      </c>
      <c r="U18" s="133">
        <f>IF(SER_hh_fech!U18=0,0,SER_hh_fech!U18/SER_summary!U$26)</f>
        <v>8.6620070446067867</v>
      </c>
      <c r="V18" s="133">
        <f>IF(SER_hh_fech!V18=0,0,SER_hh_fech!V18/SER_summary!V$26)</f>
        <v>8.0939245917964957</v>
      </c>
      <c r="W18" s="133">
        <f>IF(SER_hh_fech!W18=0,0,SER_hh_fech!W18/SER_summary!W$26)</f>
        <v>7.9236287682479256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13.04631828263906</v>
      </c>
      <c r="C19" s="131">
        <f>IF(SER_hh_fech!C19=0,0,SER_hh_fech!C19/SER_summary!C$26)</f>
        <v>12.872197699180342</v>
      </c>
      <c r="D19" s="131">
        <f>IF(SER_hh_fech!D19=0,0,SER_hh_fech!D19/SER_summary!D$26)</f>
        <v>12.669998272515542</v>
      </c>
      <c r="E19" s="131">
        <f>IF(SER_hh_fech!E19=0,0,SER_hh_fech!E19/SER_summary!E$26)</f>
        <v>12.425254096154676</v>
      </c>
      <c r="F19" s="131">
        <f>IF(SER_hh_fech!F19=0,0,SER_hh_fech!F19/SER_summary!F$26)</f>
        <v>12.034088196695391</v>
      </c>
      <c r="G19" s="131">
        <f>IF(SER_hh_fech!G19=0,0,SER_hh_fech!G19/SER_summary!G$26)</f>
        <v>11.897399449224315</v>
      </c>
      <c r="H19" s="131">
        <f>IF(SER_hh_fech!H19=0,0,SER_hh_fech!H19/SER_summary!H$26)</f>
        <v>11.913367257068863</v>
      </c>
      <c r="I19" s="131">
        <f>IF(SER_hh_fech!I19=0,0,SER_hh_fech!I19/SER_summary!I$26)</f>
        <v>11.901323768526648</v>
      </c>
      <c r="J19" s="131">
        <f>IF(SER_hh_fech!J19=0,0,SER_hh_fech!J19/SER_summary!J$26)</f>
        <v>11.906049707529414</v>
      </c>
      <c r="K19" s="131">
        <f>IF(SER_hh_fech!K19=0,0,SER_hh_fech!K19/SER_summary!K$26)</f>
        <v>12.817225373917299</v>
      </c>
      <c r="L19" s="131">
        <f>IF(SER_hh_fech!L19=0,0,SER_hh_fech!L19/SER_summary!L$26)</f>
        <v>13.08877061048212</v>
      </c>
      <c r="M19" s="131">
        <f>IF(SER_hh_fech!M19=0,0,SER_hh_fech!M19/SER_summary!M$26)</f>
        <v>13.083979309446258</v>
      </c>
      <c r="N19" s="131">
        <f>IF(SER_hh_fech!N19=0,0,SER_hh_fech!N19/SER_summary!N$26)</f>
        <v>13.144795888979813</v>
      </c>
      <c r="O19" s="131">
        <f>IF(SER_hh_fech!O19=0,0,SER_hh_fech!O19/SER_summary!O$26)</f>
        <v>13.068606849092767</v>
      </c>
      <c r="P19" s="131">
        <f>IF(SER_hh_fech!P19=0,0,SER_hh_fech!P19/SER_summary!P$26)</f>
        <v>12.913260287030727</v>
      </c>
      <c r="Q19" s="131">
        <f>IF(SER_hh_fech!Q19=0,0,SER_hh_fech!Q19/SER_summary!Q$26)</f>
        <v>12.80475983245036</v>
      </c>
      <c r="R19" s="131">
        <f>IF(SER_hh_fech!R19=0,0,SER_hh_fech!R19/SER_summary!R$26)</f>
        <v>12.907296634559794</v>
      </c>
      <c r="S19" s="131">
        <f>IF(SER_hh_fech!S19=0,0,SER_hh_fech!S19/SER_summary!S$26)</f>
        <v>12.887791336180467</v>
      </c>
      <c r="T19" s="131">
        <f>IF(SER_hh_fech!T19=0,0,SER_hh_fech!T19/SER_summary!T$26)</f>
        <v>12.551613250943662</v>
      </c>
      <c r="U19" s="131">
        <f>IF(SER_hh_fech!U19=0,0,SER_hh_fech!U19/SER_summary!U$26)</f>
        <v>12.417370683818978</v>
      </c>
      <c r="V19" s="131">
        <f>IF(SER_hh_fech!V19=0,0,SER_hh_fech!V19/SER_summary!V$26)</f>
        <v>11.606115812818677</v>
      </c>
      <c r="W19" s="131">
        <f>IF(SER_hh_fech!W19=0,0,SER_hh_fech!W19/SER_summary!W$26)</f>
        <v>11.543215079711183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15.449166382371558</v>
      </c>
      <c r="C23" s="133">
        <f>IF(SER_hh_fech!C23=0,0,SER_hh_fech!C23/SER_summary!C$26)</f>
        <v>15.114275208642182</v>
      </c>
      <c r="D23" s="133">
        <f>IF(SER_hh_fech!D23=0,0,SER_hh_fech!D23/SER_summary!D$26)</f>
        <v>14.939911313274758</v>
      </c>
      <c r="E23" s="133">
        <f>IF(SER_hh_fech!E23=0,0,SER_hh_fech!E23/SER_summary!E$26)</f>
        <v>14.41634733999302</v>
      </c>
      <c r="F23" s="133">
        <f>IF(SER_hh_fech!F23=0,0,SER_hh_fech!F23/SER_summary!F$26)</f>
        <v>13.794867377948338</v>
      </c>
      <c r="G23" s="133">
        <f>IF(SER_hh_fech!G23=0,0,SER_hh_fech!G23/SER_summary!G$26)</f>
        <v>13.690763263652448</v>
      </c>
      <c r="H23" s="133">
        <f>IF(SER_hh_fech!H23=0,0,SER_hh_fech!H23/SER_summary!H$26)</f>
        <v>13.503102594511821</v>
      </c>
      <c r="I23" s="133">
        <f>IF(SER_hh_fech!I23=0,0,SER_hh_fech!I23/SER_summary!I$26)</f>
        <v>12.967803119802937</v>
      </c>
      <c r="J23" s="133">
        <f>IF(SER_hh_fech!J23=0,0,SER_hh_fech!J23/SER_summary!J$26)</f>
        <v>13.010731749901513</v>
      </c>
      <c r="K23" s="133">
        <f>IF(SER_hh_fech!K23=0,0,SER_hh_fech!K23/SER_summary!K$26)</f>
        <v>15.400744577349698</v>
      </c>
      <c r="L23" s="133">
        <f>IF(SER_hh_fech!L23=0,0,SER_hh_fech!L23/SER_summary!L$26)</f>
        <v>14.357327206515166</v>
      </c>
      <c r="M23" s="133">
        <f>IF(SER_hh_fech!M23=0,0,SER_hh_fech!M23/SER_summary!M$26)</f>
        <v>14.218349385019279</v>
      </c>
      <c r="N23" s="133">
        <f>IF(SER_hh_fech!N23=0,0,SER_hh_fech!N23/SER_summary!N$26)</f>
        <v>14.43875529856874</v>
      </c>
      <c r="O23" s="133">
        <f>IF(SER_hh_fech!O23=0,0,SER_hh_fech!O23/SER_summary!O$26)</f>
        <v>14.452341085938409</v>
      </c>
      <c r="P23" s="133">
        <f>IF(SER_hh_fech!P23=0,0,SER_hh_fech!P23/SER_summary!P$26)</f>
        <v>14.242189985589711</v>
      </c>
      <c r="Q23" s="133">
        <f>IF(SER_hh_fech!Q23=0,0,SER_hh_fech!Q23/SER_summary!Q$26)</f>
        <v>13.858415418530722</v>
      </c>
      <c r="R23" s="133">
        <f>IF(SER_hh_fech!R23=0,0,SER_hh_fech!R23/SER_summary!R$26)</f>
        <v>13.833309168951592</v>
      </c>
      <c r="S23" s="133">
        <f>IF(SER_hh_fech!S23=0,0,SER_hh_fech!S23/SER_summary!S$26)</f>
        <v>14.346498679440884</v>
      </c>
      <c r="T23" s="133">
        <f>IF(SER_hh_fech!T23=0,0,SER_hh_fech!T23/SER_summary!T$26)</f>
        <v>12.989202335563704</v>
      </c>
      <c r="U23" s="133">
        <f>IF(SER_hh_fech!U23=0,0,SER_hh_fech!U23/SER_summary!U$26)</f>
        <v>13.416692066795454</v>
      </c>
      <c r="V23" s="133">
        <f>IF(SER_hh_fech!V23=0,0,SER_hh_fech!V23/SER_summary!V$26)</f>
        <v>12.283461312293362</v>
      </c>
      <c r="W23" s="133">
        <f>IF(SER_hh_fech!W23=0,0,SER_hh_fech!W23/SER_summary!W$26)</f>
        <v>12.029018231631515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10.325573109753645</v>
      </c>
      <c r="C25" s="133">
        <f>IF(SER_hh_fech!C25=0,0,SER_hh_fech!C25/SER_summary!C$26)</f>
        <v>10.27230425837668</v>
      </c>
      <c r="D25" s="133">
        <f>IF(SER_hh_fech!D25=0,0,SER_hh_fech!D25/SER_summary!D$26)</f>
        <v>10.025292836019341</v>
      </c>
      <c r="E25" s="133">
        <f>IF(SER_hh_fech!E25=0,0,SER_hh_fech!E25/SER_summary!E$26)</f>
        <v>9.9721758069428486</v>
      </c>
      <c r="F25" s="133">
        <f>IF(SER_hh_fech!F25=0,0,SER_hh_fech!F25/SER_summary!F$26)</f>
        <v>9.8210051490698742</v>
      </c>
      <c r="G25" s="133">
        <f>IF(SER_hh_fech!G25=0,0,SER_hh_fech!G25/SER_summary!G$26)</f>
        <v>9.5470816150219058</v>
      </c>
      <c r="H25" s="133">
        <f>IF(SER_hh_fech!H25=0,0,SER_hh_fech!H25/SER_summary!H$26)</f>
        <v>9.6970079337884325</v>
      </c>
      <c r="I25" s="133">
        <f>IF(SER_hh_fech!I25=0,0,SER_hh_fech!I25/SER_summary!I$26)</f>
        <v>9.6773129688169668</v>
      </c>
      <c r="J25" s="133">
        <f>IF(SER_hh_fech!J25=0,0,SER_hh_fech!J25/SER_summary!J$26)</f>
        <v>9.8484154305824099</v>
      </c>
      <c r="K25" s="133">
        <f>IF(SER_hh_fech!K25=0,0,SER_hh_fech!K25/SER_summary!K$26)</f>
        <v>9.9961027110983327</v>
      </c>
      <c r="L25" s="133">
        <f>IF(SER_hh_fech!L25=0,0,SER_hh_fech!L25/SER_summary!L$26)</f>
        <v>10.402547216293815</v>
      </c>
      <c r="M25" s="133">
        <f>IF(SER_hh_fech!M25=0,0,SER_hh_fech!M25/SER_summary!M$26)</f>
        <v>10.787508185678666</v>
      </c>
      <c r="N25" s="133">
        <f>IF(SER_hh_fech!N25=0,0,SER_hh_fech!N25/SER_summary!N$26)</f>
        <v>10.810856384315297</v>
      </c>
      <c r="O25" s="133">
        <f>IF(SER_hh_fech!O25=0,0,SER_hh_fech!O25/SER_summary!O$26)</f>
        <v>11.173443524455635</v>
      </c>
      <c r="P25" s="133">
        <f>IF(SER_hh_fech!P25=0,0,SER_hh_fech!P25/SER_summary!P$26)</f>
        <v>10.873997822424414</v>
      </c>
      <c r="Q25" s="133">
        <f>IF(SER_hh_fech!Q25=0,0,SER_hh_fech!Q25/SER_summary!Q$26)</f>
        <v>10.748056845071764</v>
      </c>
      <c r="R25" s="133">
        <f>IF(SER_hh_fech!R25=0,0,SER_hh_fech!R25/SER_summary!R$26)</f>
        <v>11.129962634574129</v>
      </c>
      <c r="S25" s="133">
        <f>IF(SER_hh_fech!S25=0,0,SER_hh_fech!S25/SER_summary!S$26)</f>
        <v>11.086800157031119</v>
      </c>
      <c r="T25" s="133">
        <f>IF(SER_hh_fech!T25=0,0,SER_hh_fech!T25/SER_summary!T$26)</f>
        <v>11.217915319489844</v>
      </c>
      <c r="U25" s="133">
        <f>IF(SER_hh_fech!U25=0,0,SER_hh_fech!U25/SER_summary!U$26)</f>
        <v>10.818131652476906</v>
      </c>
      <c r="V25" s="133">
        <f>IF(SER_hh_fech!V25=0,0,SER_hh_fech!V25/SER_summary!V$26)</f>
        <v>10.48255307093123</v>
      </c>
      <c r="W25" s="133">
        <f>IF(SER_hh_fech!W25=0,0,SER_hh_fech!W25/SER_summary!W$26)</f>
        <v>10.76848109850231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12.71398475282871</v>
      </c>
      <c r="C26" s="65">
        <f>IF(SER_hh_fech!C26=0,0,SER_hh_fech!C26/SER_summary!C$26)</f>
        <v>12.574952294396894</v>
      </c>
      <c r="D26" s="65">
        <f>IF(SER_hh_fech!D26=0,0,SER_hh_fech!D26/SER_summary!D$26)</f>
        <v>12.323936192968425</v>
      </c>
      <c r="E26" s="65">
        <f>IF(SER_hh_fech!E26=0,0,SER_hh_fech!E26/SER_summary!E$26)</f>
        <v>12.105727095857102</v>
      </c>
      <c r="F26" s="65">
        <f>IF(SER_hh_fech!F26=0,0,SER_hh_fech!F26/SER_summary!F$26)</f>
        <v>11.695834681278932</v>
      </c>
      <c r="G26" s="65">
        <f>IF(SER_hh_fech!G26=0,0,SER_hh_fech!G26/SER_summary!G$26)</f>
        <v>11.513012211665929</v>
      </c>
      <c r="H26" s="65">
        <f>IF(SER_hh_fech!H26=0,0,SER_hh_fech!H26/SER_summary!H$26)</f>
        <v>11.536318480271309</v>
      </c>
      <c r="I26" s="65">
        <f>IF(SER_hh_fech!I26=0,0,SER_hh_fech!I26/SER_summary!I$26)</f>
        <v>11.930770045608311</v>
      </c>
      <c r="J26" s="65">
        <f>IF(SER_hh_fech!J26=0,0,SER_hh_fech!J26/SER_summary!J$26)</f>
        <v>11.67164561571856</v>
      </c>
      <c r="K26" s="65">
        <f>IF(SER_hh_fech!K26=0,0,SER_hh_fech!K26/SER_summary!K$26)</f>
        <v>11.068170970654963</v>
      </c>
      <c r="L26" s="65">
        <f>IF(SER_hh_fech!L26=0,0,SER_hh_fech!L26/SER_summary!L$26)</f>
        <v>12.872629561303972</v>
      </c>
      <c r="M26" s="65">
        <f>IF(SER_hh_fech!M26=0,0,SER_hh_fech!M26/SER_summary!M$26)</f>
        <v>12.753607161111573</v>
      </c>
      <c r="N26" s="65">
        <f>IF(SER_hh_fech!N26=0,0,SER_hh_fech!N26/SER_summary!N$26)</f>
        <v>12.662586741901533</v>
      </c>
      <c r="O26" s="65">
        <f>IF(SER_hh_fech!O26=0,0,SER_hh_fech!O26/SER_summary!O$26)</f>
        <v>12.164757325450159</v>
      </c>
      <c r="P26" s="65">
        <f>IF(SER_hh_fech!P26=0,0,SER_hh_fech!P26/SER_summary!P$26)</f>
        <v>12.142752349388282</v>
      </c>
      <c r="Q26" s="65">
        <f>IF(SER_hh_fech!Q26=0,0,SER_hh_fech!Q26/SER_summary!Q$26)</f>
        <v>12.378167113138939</v>
      </c>
      <c r="R26" s="65">
        <f>IF(SER_hh_fech!R26=0,0,SER_hh_fech!R26/SER_summary!R$26)</f>
        <v>12.437667598055338</v>
      </c>
      <c r="S26" s="65">
        <f>IF(SER_hh_fech!S26=0,0,SER_hh_fech!S26/SER_summary!S$26)</f>
        <v>11.599771976871804</v>
      </c>
      <c r="T26" s="65">
        <f>IF(SER_hh_fech!T26=0,0,SER_hh_fech!T26/SER_summary!T$26)</f>
        <v>12.415211140032122</v>
      </c>
      <c r="U26" s="65">
        <f>IF(SER_hh_fech!U26=0,0,SER_hh_fech!U26/SER_summary!U$26)</f>
        <v>11.661868062174824</v>
      </c>
      <c r="V26" s="65">
        <f>IF(SER_hh_fech!V26=0,0,SER_hh_fech!V26/SER_summary!V$26)</f>
        <v>10.949199848228252</v>
      </c>
      <c r="W26" s="65">
        <f>IF(SER_hh_fech!W26=0,0,SER_hh_fech!W26/SER_summary!W$26)</f>
        <v>10.896306383550494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2.0324688661840774E-2</v>
      </c>
      <c r="F27" s="146">
        <f>IF(SER_hh_fech!F27=0,0,SER_hh_fech!F27/SER_summary!F$26)</f>
        <v>2.6514611915897702E-2</v>
      </c>
      <c r="G27" s="146">
        <f>IF(SER_hh_fech!G27=0,0,SER_hh_fech!G27/SER_summary!G$26)</f>
        <v>3.195002768952887E-2</v>
      </c>
      <c r="H27" s="146">
        <f>IF(SER_hh_fech!H27=0,0,SER_hh_fech!H27/SER_summary!H$26)</f>
        <v>3.6830329996518182E-2</v>
      </c>
      <c r="I27" s="146">
        <f>IF(SER_hh_fech!I27=0,0,SER_hh_fech!I27/SER_summary!I$26)</f>
        <v>4.5091247548364154E-2</v>
      </c>
      <c r="J27" s="146">
        <f>IF(SER_hh_fech!J27=0,0,SER_hh_fech!J27/SER_summary!J$26)</f>
        <v>5.8219454576179573E-2</v>
      </c>
      <c r="K27" s="146">
        <f>IF(SER_hh_fech!K27=0,0,SER_hh_fech!K27/SER_summary!K$26)</f>
        <v>7.1186558391401214E-2</v>
      </c>
      <c r="L27" s="146">
        <f>IF(SER_hh_fech!L27=0,0,SER_hh_fech!L27/SER_summary!L$26)</f>
        <v>9.3343691576685553E-2</v>
      </c>
      <c r="M27" s="146">
        <f>IF(SER_hh_fech!M27=0,0,SER_hh_fech!M27/SER_summary!M$26)</f>
        <v>0.11626563318123039</v>
      </c>
      <c r="N27" s="146">
        <f>IF(SER_hh_fech!N27=0,0,SER_hh_fech!N27/SER_summary!N$26)</f>
        <v>0.12913079629018659</v>
      </c>
      <c r="O27" s="146">
        <f>IF(SER_hh_fech!O27=0,0,SER_hh_fech!O27/SER_summary!O$26)</f>
        <v>0.13690081256151257</v>
      </c>
      <c r="P27" s="146">
        <f>IF(SER_hh_fech!P27=0,0,SER_hh_fech!P27/SER_summary!P$26)</f>
        <v>0.15316213483024993</v>
      </c>
      <c r="Q27" s="146">
        <f>IF(SER_hh_fech!Q27=0,0,SER_hh_fech!Q27/SER_summary!Q$26)</f>
        <v>0.15997475110970499</v>
      </c>
      <c r="R27" s="146">
        <f>IF(SER_hh_fech!R27=0,0,SER_hh_fech!R27/SER_summary!R$26)</f>
        <v>0.16672427617753455</v>
      </c>
      <c r="S27" s="146">
        <f>IF(SER_hh_fech!S27=0,0,SER_hh_fech!S27/SER_summary!S$26)</f>
        <v>0.17034449622234044</v>
      </c>
      <c r="T27" s="146">
        <f>IF(SER_hh_fech!T27=0,0,SER_hh_fech!T27/SER_summary!T$26)</f>
        <v>0.17222863538719504</v>
      </c>
      <c r="U27" s="146">
        <f>IF(SER_hh_fech!U27=0,0,SER_hh_fech!U27/SER_summary!U$26)</f>
        <v>0.17290417638214231</v>
      </c>
      <c r="V27" s="146">
        <f>IF(SER_hh_fech!V27=0,0,SER_hh_fech!V27/SER_summary!V$26)</f>
        <v>0.17561538397210474</v>
      </c>
      <c r="W27" s="146">
        <f>IF(SER_hh_fech!W27=0,0,SER_hh_fech!W27/SER_summary!W$26)</f>
        <v>0.17809604968960174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3.8320774294027999</v>
      </c>
      <c r="F28" s="147">
        <f>IF(SER_hh_fech!F28=0,0,SER_hh_fech!F28/SER_summary!F$26)</f>
        <v>3.6888101346191551</v>
      </c>
      <c r="G28" s="147">
        <f>IF(SER_hh_fech!G28=0,0,SER_hh_fech!G28/SER_summary!G$26)</f>
        <v>3.7564528150945726</v>
      </c>
      <c r="H28" s="147">
        <f>IF(SER_hh_fech!H28=0,0,SER_hh_fech!H28/SER_summary!H$26)</f>
        <v>3.6452210756916696</v>
      </c>
      <c r="I28" s="147">
        <f>IF(SER_hh_fech!I28=0,0,SER_hh_fech!I28/SER_summary!I$26)</f>
        <v>3.7164027017208703</v>
      </c>
      <c r="J28" s="147">
        <f>IF(SER_hh_fech!J28=0,0,SER_hh_fech!J28/SER_summary!J$26)</f>
        <v>3.8045935509032218</v>
      </c>
      <c r="K28" s="147">
        <f>IF(SER_hh_fech!K28=0,0,SER_hh_fech!K28/SER_summary!K$26)</f>
        <v>4.0145524471426945</v>
      </c>
      <c r="L28" s="147">
        <f>IF(SER_hh_fech!L28=0,0,SER_hh_fech!L28/SER_summary!L$26)</f>
        <v>4.2468580419340878</v>
      </c>
      <c r="M28" s="147">
        <f>IF(SER_hh_fech!M28=0,0,SER_hh_fech!M28/SER_summary!M$26)</f>
        <v>4.7118725378910744</v>
      </c>
      <c r="N28" s="147">
        <f>IF(SER_hh_fech!N28=0,0,SER_hh_fech!N28/SER_summary!N$26)</f>
        <v>4.8943724699557869</v>
      </c>
      <c r="O28" s="147">
        <f>IF(SER_hh_fech!O28=0,0,SER_hh_fech!O28/SER_summary!O$26)</f>
        <v>5.0360149565563326</v>
      </c>
      <c r="P28" s="147">
        <f>IF(SER_hh_fech!P28=0,0,SER_hh_fech!P28/SER_summary!P$26)</f>
        <v>4.7866658626590102</v>
      </c>
      <c r="Q28" s="147">
        <f>IF(SER_hh_fech!Q28=0,0,SER_hh_fech!Q28/SER_summary!Q$26)</f>
        <v>5.0386879221788243</v>
      </c>
      <c r="R28" s="147">
        <f>IF(SER_hh_fech!R28=0,0,SER_hh_fech!R28/SER_summary!R$26)</f>
        <v>5.269380542501394</v>
      </c>
      <c r="S28" s="147">
        <f>IF(SER_hh_fech!S28=0,0,SER_hh_fech!S28/SER_summary!S$26)</f>
        <v>5.240803603763081</v>
      </c>
      <c r="T28" s="147">
        <f>IF(SER_hh_fech!T28=0,0,SER_hh_fech!T28/SER_summary!T$26)</f>
        <v>5.1449713503590839</v>
      </c>
      <c r="U28" s="147">
        <f>IF(SER_hh_fech!U28=0,0,SER_hh_fech!U28/SER_summary!U$26)</f>
        <v>5.1974665287197954</v>
      </c>
      <c r="V28" s="147">
        <f>IF(SER_hh_fech!V28=0,0,SER_hh_fech!V28/SER_summary!V$26)</f>
        <v>4.7559510171281447</v>
      </c>
      <c r="W28" s="147">
        <f>IF(SER_hh_fech!W28=0,0,SER_hh_fech!W28/SER_summary!W$26)</f>
        <v>5.0725404932530331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12.599586921220157</v>
      </c>
      <c r="C29" s="131">
        <f>IF(SER_hh_fech!C29=0,0,SER_hh_fech!C29/SER_summary!C$26)</f>
        <v>12.833366825343127</v>
      </c>
      <c r="D29" s="131">
        <f>IF(SER_hh_fech!D29=0,0,SER_hh_fech!D29/SER_summary!D$26)</f>
        <v>12.765908353358661</v>
      </c>
      <c r="E29" s="131">
        <f>IF(SER_hh_fech!E29=0,0,SER_hh_fech!E29/SER_summary!E$26)</f>
        <v>12.815952546820895</v>
      </c>
      <c r="F29" s="131">
        <f>IF(SER_hh_fech!F29=0,0,SER_hh_fech!F29/SER_summary!F$26)</f>
        <v>12.784793286061081</v>
      </c>
      <c r="G29" s="131">
        <f>IF(SER_hh_fech!G29=0,0,SER_hh_fech!G29/SER_summary!G$26)</f>
        <v>12.607929754355611</v>
      </c>
      <c r="H29" s="131">
        <f>IF(SER_hh_fech!H29=0,0,SER_hh_fech!H29/SER_summary!H$26)</f>
        <v>12.586123605598784</v>
      </c>
      <c r="I29" s="131">
        <f>IF(SER_hh_fech!I29=0,0,SER_hh_fech!I29/SER_summary!I$26)</f>
        <v>12.461088183819351</v>
      </c>
      <c r="J29" s="131">
        <f>IF(SER_hh_fech!J29=0,0,SER_hh_fech!J29/SER_summary!J$26)</f>
        <v>12.615849257458569</v>
      </c>
      <c r="K29" s="131">
        <f>IF(SER_hh_fech!K29=0,0,SER_hh_fech!K29/SER_summary!K$26)</f>
        <v>13.43659857882022</v>
      </c>
      <c r="L29" s="131">
        <f>IF(SER_hh_fech!L29=0,0,SER_hh_fech!L29/SER_summary!L$26)</f>
        <v>13.732656076638033</v>
      </c>
      <c r="M29" s="131">
        <f>IF(SER_hh_fech!M29=0,0,SER_hh_fech!M29/SER_summary!M$26)</f>
        <v>13.873653505382613</v>
      </c>
      <c r="N29" s="131">
        <f>IF(SER_hh_fech!N29=0,0,SER_hh_fech!N29/SER_summary!N$26)</f>
        <v>13.934550424143968</v>
      </c>
      <c r="O29" s="131">
        <f>IF(SER_hh_fech!O29=0,0,SER_hh_fech!O29/SER_summary!O$26)</f>
        <v>14.095481085316429</v>
      </c>
      <c r="P29" s="131">
        <f>IF(SER_hh_fech!P29=0,0,SER_hh_fech!P29/SER_summary!P$26)</f>
        <v>14.150815802552522</v>
      </c>
      <c r="Q29" s="131">
        <f>IF(SER_hh_fech!Q29=0,0,SER_hh_fech!Q29/SER_summary!Q$26)</f>
        <v>14.078884676981398</v>
      </c>
      <c r="R29" s="131">
        <f>IF(SER_hh_fech!R29=0,0,SER_hh_fech!R29/SER_summary!R$26)</f>
        <v>14.245580524692926</v>
      </c>
      <c r="S29" s="131">
        <f>IF(SER_hh_fech!S29=0,0,SER_hh_fech!S29/SER_summary!S$26)</f>
        <v>14.555441400725847</v>
      </c>
      <c r="T29" s="131">
        <f>IF(SER_hh_fech!T29=0,0,SER_hh_fech!T29/SER_summary!T$26)</f>
        <v>14.239787558870956</v>
      </c>
      <c r="U29" s="131">
        <f>IF(SER_hh_fech!U29=0,0,SER_hh_fech!U29/SER_summary!U$26)</f>
        <v>14.402427045434994</v>
      </c>
      <c r="V29" s="131">
        <f>IF(SER_hh_fech!V29=0,0,SER_hh_fech!V29/SER_summary!V$26)</f>
        <v>13.344832328457828</v>
      </c>
      <c r="W29" s="131">
        <f>IF(SER_hh_fech!W29=0,0,SER_hh_fech!W29/SER_summary!W$26)</f>
        <v>13.555675815244353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12.995082299798224</v>
      </c>
      <c r="C31" s="133">
        <f>IF(SER_hh_fech!C31=0,0,SER_hh_fech!C31/SER_summary!C$26)</f>
        <v>15.006239943022594</v>
      </c>
      <c r="D31" s="133">
        <f>IF(SER_hh_fech!D31=0,0,SER_hh_fech!D31/SER_summary!D$26)</f>
        <v>14.758089071962347</v>
      </c>
      <c r="E31" s="133">
        <f>IF(SER_hh_fech!E31=0,0,SER_hh_fech!E31/SER_summary!E$26)</f>
        <v>14.382176310108946</v>
      </c>
      <c r="F31" s="133">
        <f>IF(SER_hh_fech!F31=0,0,SER_hh_fech!F31/SER_summary!F$26)</f>
        <v>14.678727983115563</v>
      </c>
      <c r="G31" s="133">
        <f>IF(SER_hh_fech!G31=0,0,SER_hh_fech!G31/SER_summary!G$26)</f>
        <v>14.365226359677095</v>
      </c>
      <c r="H31" s="133">
        <f>IF(SER_hh_fech!H31=0,0,SER_hh_fech!H31/SER_summary!H$26)</f>
        <v>14.141290617806243</v>
      </c>
      <c r="I31" s="133">
        <f>IF(SER_hh_fech!I31=0,0,SER_hh_fech!I31/SER_summary!I$26)</f>
        <v>14.181539012901794</v>
      </c>
      <c r="J31" s="133">
        <f>IF(SER_hh_fech!J31=0,0,SER_hh_fech!J31/SER_summary!J$26)</f>
        <v>14.422016287119126</v>
      </c>
      <c r="K31" s="133">
        <f>IF(SER_hh_fech!K31=0,0,SER_hh_fech!K31/SER_summary!K$26)</f>
        <v>16.103946938334111</v>
      </c>
      <c r="L31" s="133">
        <f>IF(SER_hh_fech!L31=0,0,SER_hh_fech!L31/SER_summary!L$26)</f>
        <v>15.586598352032002</v>
      </c>
      <c r="M31" s="133">
        <f>IF(SER_hh_fech!M31=0,0,SER_hh_fech!M31/SER_summary!M$26)</f>
        <v>15.779094490288685</v>
      </c>
      <c r="N31" s="133">
        <f>IF(SER_hh_fech!N31=0,0,SER_hh_fech!N31/SER_summary!N$26)</f>
        <v>15.910055153297147</v>
      </c>
      <c r="O31" s="133">
        <f>IF(SER_hh_fech!O31=0,0,SER_hh_fech!O31/SER_summary!O$26)</f>
        <v>16.036991955088315</v>
      </c>
      <c r="P31" s="133">
        <f>IF(SER_hh_fech!P31=0,0,SER_hh_fech!P31/SER_summary!P$26)</f>
        <v>16.091960683584634</v>
      </c>
      <c r="Q31" s="133">
        <f>IF(SER_hh_fech!Q31=0,0,SER_hh_fech!Q31/SER_summary!Q$26)</f>
        <v>15.59848768920131</v>
      </c>
      <c r="R31" s="133">
        <f>IF(SER_hh_fech!R31=0,0,SER_hh_fech!R31/SER_summary!R$26)</f>
        <v>16.057297785547348</v>
      </c>
      <c r="S31" s="133">
        <f>IF(SER_hh_fech!S31=0,0,SER_hh_fech!S31/SER_summary!S$26)</f>
        <v>17.225343093436674</v>
      </c>
      <c r="T31" s="133">
        <f>IF(SER_hh_fech!T31=0,0,SER_hh_fech!T31/SER_summary!T$26)</f>
        <v>15.849771017120931</v>
      </c>
      <c r="U31" s="133">
        <f>IF(SER_hh_fech!U31=0,0,SER_hh_fech!U31/SER_summary!U$26)</f>
        <v>16.701112630553915</v>
      </c>
      <c r="V31" s="133">
        <f>IF(SER_hh_fech!V31=0,0,SER_hh_fech!V31/SER_summary!V$26)</f>
        <v>15.285276810694105</v>
      </c>
      <c r="W31" s="133">
        <f>IF(SER_hh_fech!W31=0,0,SER_hh_fech!W31/SER_summary!W$26)</f>
        <v>14.906113767473071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12.214272328677762</v>
      </c>
      <c r="C33" s="68">
        <f>IF(SER_hh_fech!C33=0,0,SER_hh_fech!C33/SER_summary!C$26)</f>
        <v>10.666536484163846</v>
      </c>
      <c r="D33" s="68">
        <f>IF(SER_hh_fech!D33=0,0,SER_hh_fech!D33/SER_summary!D$26)</f>
        <v>10.737933395114064</v>
      </c>
      <c r="E33" s="68">
        <f>IF(SER_hh_fech!E33=0,0,SER_hh_fech!E33/SER_summary!E$26)</f>
        <v>11.218495840109622</v>
      </c>
      <c r="F33" s="68">
        <f>IF(SER_hh_fech!F33=0,0,SER_hh_fech!F33/SER_summary!F$26)</f>
        <v>10.897065790252729</v>
      </c>
      <c r="G33" s="68">
        <f>IF(SER_hh_fech!G33=0,0,SER_hh_fech!G33/SER_summary!G$26)</f>
        <v>10.864653054920096</v>
      </c>
      <c r="H33" s="68">
        <f>IF(SER_hh_fech!H33=0,0,SER_hh_fech!H33/SER_summary!H$26)</f>
        <v>11.091555715678624</v>
      </c>
      <c r="I33" s="68">
        <f>IF(SER_hh_fech!I33=0,0,SER_hh_fech!I33/SER_summary!I$26)</f>
        <v>10.809727756382047</v>
      </c>
      <c r="J33" s="68">
        <f>IF(SER_hh_fech!J33=0,0,SER_hh_fech!J33/SER_summary!J$26)</f>
        <v>10.864269373183365</v>
      </c>
      <c r="K33" s="68">
        <f>IF(SER_hh_fech!K33=0,0,SER_hh_fech!K33/SER_summary!K$26)</f>
        <v>10.821893283137049</v>
      </c>
      <c r="L33" s="68">
        <f>IF(SER_hh_fech!L33=0,0,SER_hh_fech!L33/SER_summary!L$26)</f>
        <v>11.879277289699495</v>
      </c>
      <c r="M33" s="68">
        <f>IF(SER_hh_fech!M33=0,0,SER_hh_fech!M33/SER_summary!M$26)</f>
        <v>12.019076100189722</v>
      </c>
      <c r="N33" s="68">
        <f>IF(SER_hh_fech!N33=0,0,SER_hh_fech!N33/SER_summary!N$26)</f>
        <v>12.061762684882344</v>
      </c>
      <c r="O33" s="68">
        <f>IF(SER_hh_fech!O33=0,0,SER_hh_fech!O33/SER_summary!O$26)</f>
        <v>12.286470680840761</v>
      </c>
      <c r="P33" s="68">
        <f>IF(SER_hh_fech!P33=0,0,SER_hh_fech!P33/SER_summary!P$26)</f>
        <v>12.359898555800436</v>
      </c>
      <c r="Q33" s="68">
        <f>IF(SER_hh_fech!Q33=0,0,SER_hh_fech!Q33/SER_summary!Q$26)</f>
        <v>12.649959153052077</v>
      </c>
      <c r="R33" s="68">
        <f>IF(SER_hh_fech!R33=0,0,SER_hh_fech!R33/SER_summary!R$26)</f>
        <v>12.401816671681431</v>
      </c>
      <c r="S33" s="68">
        <f>IF(SER_hh_fech!S33=0,0,SER_hh_fech!S33/SER_summary!S$26)</f>
        <v>11.527285791841765</v>
      </c>
      <c r="T33" s="68">
        <f>IF(SER_hh_fech!T33=0,0,SER_hh_fech!T33/SER_summary!T$26)</f>
        <v>12.367192263545441</v>
      </c>
      <c r="U33" s="68">
        <f>IF(SER_hh_fech!U33=0,0,SER_hh_fech!U33/SER_summary!U$26)</f>
        <v>11.675919173407783</v>
      </c>
      <c r="V33" s="68">
        <f>IF(SER_hh_fech!V33=0,0,SER_hh_fech!V33/SER_summary!V$26)</f>
        <v>11.109991301858603</v>
      </c>
      <c r="W33" s="68">
        <f>IF(SER_hh_fech!W33=0,0,SER_hh_fech!W33/SER_summary!W$26)</f>
        <v>12.0137892852268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110.05425195942837</v>
      </c>
      <c r="C3" s="126">
        <f>IF(SER_hh_tesh!C3=0,0,SER_hh_tesh!C3/SER_summary!C$26)</f>
        <v>108.24088406505997</v>
      </c>
      <c r="D3" s="126">
        <f>IF(SER_hh_tesh!D3=0,0,SER_hh_tesh!D3/SER_summary!D$26)</f>
        <v>101.26466914652511</v>
      </c>
      <c r="E3" s="126">
        <f>IF(SER_hh_tesh!E3=0,0,SER_hh_tesh!E3/SER_summary!E$26)</f>
        <v>111.27289937237187</v>
      </c>
      <c r="F3" s="126">
        <f>IF(SER_hh_tesh!F3=0,0,SER_hh_tesh!F3/SER_summary!F$26)</f>
        <v>103.60350028572324</v>
      </c>
      <c r="G3" s="126">
        <f>IF(SER_hh_tesh!G3=0,0,SER_hh_tesh!G3/SER_summary!G$26)</f>
        <v>91.962848980066681</v>
      </c>
      <c r="H3" s="126">
        <f>IF(SER_hh_tesh!H3=0,0,SER_hh_tesh!H3/SER_summary!H$26)</f>
        <v>86.951554923879414</v>
      </c>
      <c r="I3" s="126">
        <f>IF(SER_hh_tesh!I3=0,0,SER_hh_tesh!I3/SER_summary!I$26)</f>
        <v>80.975413652993879</v>
      </c>
      <c r="J3" s="126">
        <f>IF(SER_hh_tesh!J3=0,0,SER_hh_tesh!J3/SER_summary!J$26)</f>
        <v>85.834276938780889</v>
      </c>
      <c r="K3" s="126">
        <f>IF(SER_hh_tesh!K3=0,0,SER_hh_tesh!K3/SER_summary!K$26)</f>
        <v>81.226059887807509</v>
      </c>
      <c r="L3" s="126">
        <f>IF(SER_hh_tesh!L3=0,0,SER_hh_tesh!L3/SER_summary!L$26)</f>
        <v>90.24122990788247</v>
      </c>
      <c r="M3" s="126">
        <f>IF(SER_hh_tesh!M3=0,0,SER_hh_tesh!M3/SER_summary!M$26)</f>
        <v>86.140844451977998</v>
      </c>
      <c r="N3" s="126">
        <f>IF(SER_hh_tesh!N3=0,0,SER_hh_tesh!N3/SER_summary!N$26)</f>
        <v>83.72229057245157</v>
      </c>
      <c r="O3" s="126">
        <f>IF(SER_hh_tesh!O3=0,0,SER_hh_tesh!O3/SER_summary!O$26)</f>
        <v>83.102925371479955</v>
      </c>
      <c r="P3" s="126">
        <f>IF(SER_hh_tesh!P3=0,0,SER_hh_tesh!P3/SER_summary!P$26)</f>
        <v>79.0393014628998</v>
      </c>
      <c r="Q3" s="126">
        <f>IF(SER_hh_tesh!Q3=0,0,SER_hh_tesh!Q3/SER_summary!Q$26)</f>
        <v>79.86491030956104</v>
      </c>
      <c r="R3" s="126">
        <f>IF(SER_hh_tesh!R3=0,0,SER_hh_tesh!R3/SER_summary!R$26)</f>
        <v>81.459075635753479</v>
      </c>
      <c r="S3" s="126">
        <f>IF(SER_hh_tesh!S3=0,0,SER_hh_tesh!S3/SER_summary!S$26)</f>
        <v>84.167426352125773</v>
      </c>
      <c r="T3" s="126">
        <f>IF(SER_hh_tesh!T3=0,0,SER_hh_tesh!T3/SER_summary!T$26)</f>
        <v>82.105506998673462</v>
      </c>
      <c r="U3" s="126">
        <f>IF(SER_hh_tesh!U3=0,0,SER_hh_tesh!U3/SER_summary!U$26)</f>
        <v>83.987416817771759</v>
      </c>
      <c r="V3" s="126">
        <f>IF(SER_hh_tesh!V3=0,0,SER_hh_tesh!V3/SER_summary!V$26)</f>
        <v>78.550194385742728</v>
      </c>
      <c r="W3" s="126">
        <f>IF(SER_hh_tesh!W3=0,0,SER_hh_tesh!W3/SER_summary!W$26)</f>
        <v>78.943394143638116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92.558838531095034</v>
      </c>
      <c r="C4" s="131">
        <f>IF(SER_hh_tesh!C4=0,0,SER_hh_tesh!C4/SER_summary!C$26)</f>
        <v>90.683538156718953</v>
      </c>
      <c r="D4" s="131">
        <f>IF(SER_hh_tesh!D4=0,0,SER_hh_tesh!D4/SER_summary!D$26)</f>
        <v>83.435600087803181</v>
      </c>
      <c r="E4" s="131">
        <f>IF(SER_hh_tesh!E4=0,0,SER_hh_tesh!E4/SER_summary!E$26)</f>
        <v>93.147755997975551</v>
      </c>
      <c r="F4" s="131">
        <f>IF(SER_hh_tesh!F4=0,0,SER_hh_tesh!F4/SER_summary!F$26)</f>
        <v>85.564140045550744</v>
      </c>
      <c r="G4" s="131">
        <f>IF(SER_hh_tesh!G4=0,0,SER_hh_tesh!G4/SER_summary!G$26)</f>
        <v>73.583963004456052</v>
      </c>
      <c r="H4" s="131">
        <f>IF(SER_hh_tesh!H4=0,0,SER_hh_tesh!H4/SER_summary!H$26)</f>
        <v>67.857614076847511</v>
      </c>
      <c r="I4" s="131">
        <f>IF(SER_hh_tesh!I4=0,0,SER_hh_tesh!I4/SER_summary!I$26)</f>
        <v>61.479649744638593</v>
      </c>
      <c r="J4" s="131">
        <f>IF(SER_hh_tesh!J4=0,0,SER_hh_tesh!J4/SER_summary!J$26)</f>
        <v>65.822922779429192</v>
      </c>
      <c r="K4" s="131">
        <f>IF(SER_hh_tesh!K4=0,0,SER_hh_tesh!K4/SER_summary!K$26)</f>
        <v>59.778007894674403</v>
      </c>
      <c r="L4" s="131">
        <f>IF(SER_hh_tesh!L4=0,0,SER_hh_tesh!L4/SER_summary!L$26)</f>
        <v>67.815314767521059</v>
      </c>
      <c r="M4" s="131">
        <f>IF(SER_hh_tesh!M4=0,0,SER_hh_tesh!M4/SER_summary!M$26)</f>
        <v>63.196347975642567</v>
      </c>
      <c r="N4" s="131">
        <f>IF(SER_hh_tesh!N4=0,0,SER_hh_tesh!N4/SER_summary!N$26)</f>
        <v>60.341288678741556</v>
      </c>
      <c r="O4" s="131">
        <f>IF(SER_hh_tesh!O4=0,0,SER_hh_tesh!O4/SER_summary!O$26)</f>
        <v>59.139693353701134</v>
      </c>
      <c r="P4" s="131">
        <f>IF(SER_hh_tesh!P4=0,0,SER_hh_tesh!P4/SER_summary!P$26)</f>
        <v>55.211509276103534</v>
      </c>
      <c r="Q4" s="131">
        <f>IF(SER_hh_tesh!Q4=0,0,SER_hh_tesh!Q4/SER_summary!Q$26)</f>
        <v>54.861140799037642</v>
      </c>
      <c r="R4" s="131">
        <f>IF(SER_hh_tesh!R4=0,0,SER_hh_tesh!R4/SER_summary!R$26)</f>
        <v>57.097122216235178</v>
      </c>
      <c r="S4" s="131">
        <f>IF(SER_hh_tesh!S4=0,0,SER_hh_tesh!S4/SER_summary!S$26)</f>
        <v>59.443134042521649</v>
      </c>
      <c r="T4" s="131">
        <f>IF(SER_hh_tesh!T4=0,0,SER_hh_tesh!T4/SER_summary!T$26)</f>
        <v>57.055011212586379</v>
      </c>
      <c r="U4" s="131">
        <f>IF(SER_hh_tesh!U4=0,0,SER_hh_tesh!U4/SER_summary!U$26)</f>
        <v>58.744593918124409</v>
      </c>
      <c r="V4" s="131">
        <f>IF(SER_hh_tesh!V4=0,0,SER_hh_tesh!V4/SER_summary!V$26)</f>
        <v>54.898477863955002</v>
      </c>
      <c r="W4" s="131">
        <f>IF(SER_hh_tesh!W4=0,0,SER_hh_tesh!W4/SER_summary!W$26)</f>
        <v>54.52571906116362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112.21688209164869</v>
      </c>
      <c r="C5" s="133">
        <f>IF(SER_hh_tesh!C5=0,0,SER_hh_tesh!C5/SER_summary!C$26)</f>
        <v>59.195298848797208</v>
      </c>
      <c r="D5" s="133">
        <f>IF(SER_hh_tesh!D5=0,0,SER_hh_tesh!D5/SER_summary!D$26)</f>
        <v>60.968564095031496</v>
      </c>
      <c r="E5" s="133">
        <f>IF(SER_hh_tesh!E5=0,0,SER_hh_tesh!E5/SER_summary!E$26)</f>
        <v>115.58740426485555</v>
      </c>
      <c r="F5" s="133">
        <f>IF(SER_hh_tesh!F5=0,0,SER_hh_tesh!F5/SER_summary!F$26)</f>
        <v>126.36806065918663</v>
      </c>
      <c r="G5" s="133">
        <f>IF(SER_hh_tesh!G5=0,0,SER_hh_tesh!G5/SER_summary!G$26)</f>
        <v>31.354885695537103</v>
      </c>
      <c r="H5" s="133">
        <f>IF(SER_hh_tesh!H5=0,0,SER_hh_tesh!H5/SER_summary!H$26)</f>
        <v>79.876739763274713</v>
      </c>
      <c r="I5" s="133">
        <f>IF(SER_hh_tesh!I5=0,0,SER_hh_tesh!I5/SER_summary!I$26)</f>
        <v>44.153563503899484</v>
      </c>
      <c r="J5" s="133">
        <f>IF(SER_hh_tesh!J5=0,0,SER_hh_tesh!J5/SER_summary!J$26)</f>
        <v>75.373697652826095</v>
      </c>
      <c r="K5" s="133">
        <f>IF(SER_hh_tesh!K5=0,0,SER_hh_tesh!K5/SER_summary!K$26)</f>
        <v>38.902387860245547</v>
      </c>
      <c r="L5" s="133">
        <f>IF(SER_hh_tesh!L5=0,0,SER_hh_tesh!L5/SER_summary!L$26)</f>
        <v>63.568966889818768</v>
      </c>
      <c r="M5" s="133">
        <f>IF(SER_hh_tesh!M5=0,0,SER_hh_tesh!M5/SER_summary!M$26)</f>
        <v>60.771293496637547</v>
      </c>
      <c r="N5" s="133">
        <f>IF(SER_hh_tesh!N5=0,0,SER_hh_tesh!N5/SER_summary!N$26)</f>
        <v>58.421360014712675</v>
      </c>
      <c r="O5" s="133">
        <f>IF(SER_hh_tesh!O5=0,0,SER_hh_tesh!O5/SER_summary!O$26)</f>
        <v>62.868926424650795</v>
      </c>
      <c r="P5" s="133">
        <f>IF(SER_hh_tesh!P5=0,0,SER_hh_tesh!P5/SER_summary!P$26)</f>
        <v>55.206357382017281</v>
      </c>
      <c r="Q5" s="133">
        <f>IF(SER_hh_tesh!Q5=0,0,SER_hh_tesh!Q5/SER_summary!Q$26)</f>
        <v>49.250558420881624</v>
      </c>
      <c r="R5" s="133">
        <f>IF(SER_hh_tesh!R5=0,0,SER_hh_tesh!R5/SER_summary!R$26)</f>
        <v>62.458591223901387</v>
      </c>
      <c r="S5" s="133">
        <f>IF(SER_hh_tesh!S5=0,0,SER_hh_tesh!S5/SER_summary!S$26)</f>
        <v>63.187926088048819</v>
      </c>
      <c r="T5" s="133">
        <f>IF(SER_hh_tesh!T5=0,0,SER_hh_tesh!T5/SER_summary!T$26)</f>
        <v>48.93391341229691</v>
      </c>
      <c r="U5" s="133">
        <f>IF(SER_hh_tesh!U5=0,0,SER_hh_tesh!U5/SER_summary!U$26)</f>
        <v>61.80098481869215</v>
      </c>
      <c r="V5" s="133">
        <f>IF(SER_hh_tesh!V5=0,0,SER_hh_tesh!V5/SER_summary!V$26)</f>
        <v>49.766610912825215</v>
      </c>
      <c r="W5" s="133">
        <f>IF(SER_hh_tesh!W5=0,0,SER_hh_tesh!W5/SER_summary!W$26)</f>
        <v>56.69252767475615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107.94054862737492</v>
      </c>
      <c r="C7" s="133">
        <f>IF(SER_hh_tesh!C7=0,0,SER_hh_tesh!C7/SER_summary!C$26)</f>
        <v>40.212208986564875</v>
      </c>
      <c r="D7" s="133">
        <f>IF(SER_hh_tesh!D7=0,0,SER_hh_tesh!D7/SER_summary!D$26)</f>
        <v>106.34482870260968</v>
      </c>
      <c r="E7" s="133">
        <f>IF(SER_hh_tesh!E7=0,0,SER_hh_tesh!E7/SER_summary!E$26)</f>
        <v>84.358490211342371</v>
      </c>
      <c r="F7" s="133">
        <f>IF(SER_hh_tesh!F7=0,0,SER_hh_tesh!F7/SER_summary!F$26)</f>
        <v>91.951714711091682</v>
      </c>
      <c r="G7" s="133">
        <f>IF(SER_hh_tesh!G7=0,0,SER_hh_tesh!G7/SER_summary!G$26)</f>
        <v>63.629628007634516</v>
      </c>
      <c r="H7" s="133">
        <f>IF(SER_hh_tesh!H7=0,0,SER_hh_tesh!H7/SER_summary!H$26)</f>
        <v>68.979470372673973</v>
      </c>
      <c r="I7" s="133">
        <f>IF(SER_hh_tesh!I7=0,0,SER_hh_tesh!I7/SER_summary!I$26)</f>
        <v>65.338991071403214</v>
      </c>
      <c r="J7" s="133">
        <f>IF(SER_hh_tesh!J7=0,0,SER_hh_tesh!J7/SER_summary!J$26)</f>
        <v>67.912661545898274</v>
      </c>
      <c r="K7" s="133">
        <f>IF(SER_hh_tesh!K7=0,0,SER_hh_tesh!K7/SER_summary!K$26)</f>
        <v>53.630445671947221</v>
      </c>
      <c r="L7" s="133">
        <f>IF(SER_hh_tesh!L7=0,0,SER_hh_tesh!L7/SER_summary!L$26)</f>
        <v>68.145386387450003</v>
      </c>
      <c r="M7" s="133">
        <f>IF(SER_hh_tesh!M7=0,0,SER_hh_tesh!M7/SER_summary!M$26)</f>
        <v>50.411509466164418</v>
      </c>
      <c r="N7" s="133">
        <f>IF(SER_hh_tesh!N7=0,0,SER_hh_tesh!N7/SER_summary!N$26)</f>
        <v>74.435660054696555</v>
      </c>
      <c r="O7" s="133">
        <f>IF(SER_hh_tesh!O7=0,0,SER_hh_tesh!O7/SER_summary!O$26)</f>
        <v>56.244832424130955</v>
      </c>
      <c r="P7" s="133">
        <f>IF(SER_hh_tesh!P7=0,0,SER_hh_tesh!P7/SER_summary!P$26)</f>
        <v>36.301890882945742</v>
      </c>
      <c r="Q7" s="133">
        <f>IF(SER_hh_tesh!Q7=0,0,SER_hh_tesh!Q7/SER_summary!Q$26)</f>
        <v>64.868093130194978</v>
      </c>
      <c r="R7" s="133">
        <f>IF(SER_hh_tesh!R7=0,0,SER_hh_tesh!R7/SER_summary!R$26)</f>
        <v>60.814934330598483</v>
      </c>
      <c r="S7" s="133">
        <f>IF(SER_hh_tesh!S7=0,0,SER_hh_tesh!S7/SER_summary!S$26)</f>
        <v>63.663939129884689</v>
      </c>
      <c r="T7" s="133">
        <f>IF(SER_hh_tesh!T7=0,0,SER_hh_tesh!T7/SER_summary!T$26)</f>
        <v>47.304747736695084</v>
      </c>
      <c r="U7" s="133">
        <f>IF(SER_hh_tesh!U7=0,0,SER_hh_tesh!U7/SER_summary!U$26)</f>
        <v>46.371419460414828</v>
      </c>
      <c r="V7" s="133">
        <f>IF(SER_hh_tesh!V7=0,0,SER_hh_tesh!V7/SER_summary!V$26)</f>
        <v>52.49915750102744</v>
      </c>
      <c r="W7" s="133">
        <f>IF(SER_hh_tesh!W7=0,0,SER_hh_tesh!W7/SER_summary!W$26)</f>
        <v>69.091322304773911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41.399363400696203</v>
      </c>
      <c r="H8" s="133">
        <f>IF(SER_hh_tesh!H8=0,0,SER_hh_tesh!H8/SER_summary!H$26)</f>
        <v>49.34635133723404</v>
      </c>
      <c r="I8" s="133">
        <f>IF(SER_hh_tesh!I8=0,0,SER_hh_tesh!I8/SER_summary!I$26)</f>
        <v>56.634576954487841</v>
      </c>
      <c r="J8" s="133">
        <f>IF(SER_hh_tesh!J8=0,0,SER_hh_tesh!J8/SER_summary!J$26)</f>
        <v>64.749337346220855</v>
      </c>
      <c r="K8" s="133">
        <f>IF(SER_hh_tesh!K8=0,0,SER_hh_tesh!K8/SER_summary!K$26)</f>
        <v>61.846949999632656</v>
      </c>
      <c r="L8" s="133">
        <f>IF(SER_hh_tesh!L8=0,0,SER_hh_tesh!L8/SER_summary!L$26)</f>
        <v>54.894100822901045</v>
      </c>
      <c r="M8" s="133">
        <f>IF(SER_hh_tesh!M8=0,0,SER_hh_tesh!M8/SER_summary!M$26)</f>
        <v>52.475117082029939</v>
      </c>
      <c r="N8" s="133">
        <f>IF(SER_hh_tesh!N8=0,0,SER_hh_tesh!N8/SER_summary!N$26)</f>
        <v>47.558819761890412</v>
      </c>
      <c r="O8" s="133">
        <f>IF(SER_hh_tesh!O8=0,0,SER_hh_tesh!O8/SER_summary!O$26)</f>
        <v>54.463239137446067</v>
      </c>
      <c r="P8" s="133">
        <f>IF(SER_hh_tesh!P8=0,0,SER_hh_tesh!P8/SER_summary!P$26)</f>
        <v>61.164531922108864</v>
      </c>
      <c r="Q8" s="133">
        <f>IF(SER_hh_tesh!Q8=0,0,SER_hh_tesh!Q8/SER_summary!Q$26)</f>
        <v>57.955178711491421</v>
      </c>
      <c r="R8" s="133">
        <f>IF(SER_hh_tesh!R8=0,0,SER_hh_tesh!R8/SER_summary!R$26)</f>
        <v>57.245804415600425</v>
      </c>
      <c r="S8" s="133">
        <f>IF(SER_hh_tesh!S8=0,0,SER_hh_tesh!S8/SER_summary!S$26)</f>
        <v>56.423964437601065</v>
      </c>
      <c r="T8" s="133">
        <f>IF(SER_hh_tesh!T8=0,0,SER_hh_tesh!T8/SER_summary!T$26)</f>
        <v>55.586855864833836</v>
      </c>
      <c r="U8" s="133">
        <f>IF(SER_hh_tesh!U8=0,0,SER_hh_tesh!U8/SER_summary!U$26)</f>
        <v>56.779988620940486</v>
      </c>
      <c r="V8" s="133">
        <f>IF(SER_hh_tesh!V8=0,0,SER_hh_tesh!V8/SER_summary!V$26)</f>
        <v>54.903631466045915</v>
      </c>
      <c r="W8" s="133">
        <f>IF(SER_hh_tesh!W8=0,0,SER_hh_tesh!W8/SER_summary!W$26)</f>
        <v>56.782889663590446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85.504021506086247</v>
      </c>
      <c r="C9" s="133">
        <f>IF(SER_hh_tesh!C9=0,0,SER_hh_tesh!C9/SER_summary!C$26)</f>
        <v>96.342182558245867</v>
      </c>
      <c r="D9" s="133">
        <f>IF(SER_hh_tesh!D9=0,0,SER_hh_tesh!D9/SER_summary!D$26)</f>
        <v>85.361629390445501</v>
      </c>
      <c r="E9" s="133">
        <f>IF(SER_hh_tesh!E9=0,0,SER_hh_tesh!E9/SER_summary!E$26)</f>
        <v>85.080028519862722</v>
      </c>
      <c r="F9" s="133">
        <f>IF(SER_hh_tesh!F9=0,0,SER_hh_tesh!F9/SER_summary!F$26)</f>
        <v>79.085405562977769</v>
      </c>
      <c r="G9" s="133">
        <f>IF(SER_hh_tesh!G9=0,0,SER_hh_tesh!G9/SER_summary!G$26)</f>
        <v>75.064989216083006</v>
      </c>
      <c r="H9" s="133">
        <f>IF(SER_hh_tesh!H9=0,0,SER_hh_tesh!H9/SER_summary!H$26)</f>
        <v>66.192020362371167</v>
      </c>
      <c r="I9" s="133">
        <f>IF(SER_hh_tesh!I9=0,0,SER_hh_tesh!I9/SER_summary!I$26)</f>
        <v>60.47666736183433</v>
      </c>
      <c r="J9" s="133">
        <f>IF(SER_hh_tesh!J9=0,0,SER_hh_tesh!J9/SER_summary!J$26)</f>
        <v>65.968163500418299</v>
      </c>
      <c r="K9" s="133">
        <f>IF(SER_hh_tesh!K9=0,0,SER_hh_tesh!K9/SER_summary!K$26)</f>
        <v>60.058728161495956</v>
      </c>
      <c r="L9" s="133">
        <f>IF(SER_hh_tesh!L9=0,0,SER_hh_tesh!L9/SER_summary!L$26)</f>
        <v>64.961714239071839</v>
      </c>
      <c r="M9" s="133">
        <f>IF(SER_hh_tesh!M9=0,0,SER_hh_tesh!M9/SER_summary!M$26)</f>
        <v>62.825389626847979</v>
      </c>
      <c r="N9" s="133">
        <f>IF(SER_hh_tesh!N9=0,0,SER_hh_tesh!N9/SER_summary!N$26)</f>
        <v>59.360014592829479</v>
      </c>
      <c r="O9" s="133">
        <f>IF(SER_hh_tesh!O9=0,0,SER_hh_tesh!O9/SER_summary!O$26)</f>
        <v>57.333608365540947</v>
      </c>
      <c r="P9" s="133">
        <f>IF(SER_hh_tesh!P9=0,0,SER_hh_tesh!P9/SER_summary!P$26)</f>
        <v>55.083650557660917</v>
      </c>
      <c r="Q9" s="133">
        <f>IF(SER_hh_tesh!Q9=0,0,SER_hh_tesh!Q9/SER_summary!Q$26)</f>
        <v>54.28465478826687</v>
      </c>
      <c r="R9" s="133">
        <f>IF(SER_hh_tesh!R9=0,0,SER_hh_tesh!R9/SER_summary!R$26)</f>
        <v>55.737946248286732</v>
      </c>
      <c r="S9" s="133">
        <f>IF(SER_hh_tesh!S9=0,0,SER_hh_tesh!S9/SER_summary!S$26)</f>
        <v>59.561443387410236</v>
      </c>
      <c r="T9" s="133">
        <f>IF(SER_hh_tesh!T9=0,0,SER_hh_tesh!T9/SER_summary!T$26)</f>
        <v>55.050050446733458</v>
      </c>
      <c r="U9" s="133">
        <f>IF(SER_hh_tesh!U9=0,0,SER_hh_tesh!U9/SER_summary!U$26)</f>
        <v>58.587775130839397</v>
      </c>
      <c r="V9" s="133">
        <f>IF(SER_hh_tesh!V9=0,0,SER_hh_tesh!V9/SER_summary!V$26)</f>
        <v>54.524831980102171</v>
      </c>
      <c r="W9" s="133">
        <f>IF(SER_hh_tesh!W9=0,0,SER_hh_tesh!W9/SER_summary!W$26)</f>
        <v>52.131446740817715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69.136159229533177</v>
      </c>
      <c r="C10" s="133">
        <f>IF(SER_hh_tesh!C10=0,0,SER_hh_tesh!C10/SER_summary!C$26)</f>
        <v>99.528590886421583</v>
      </c>
      <c r="D10" s="133">
        <f>IF(SER_hh_tesh!D10=0,0,SER_hh_tesh!D10/SER_summary!D$26)</f>
        <v>79.545439025513431</v>
      </c>
      <c r="E10" s="133">
        <f>IF(SER_hh_tesh!E10=0,0,SER_hh_tesh!E10/SER_summary!E$26)</f>
        <v>89.471200990075346</v>
      </c>
      <c r="F10" s="133">
        <f>IF(SER_hh_tesh!F10=0,0,SER_hh_tesh!F10/SER_summary!F$26)</f>
        <v>83.135335284245343</v>
      </c>
      <c r="G10" s="133">
        <f>IF(SER_hh_tesh!G10=0,0,SER_hh_tesh!G10/SER_summary!G$26)</f>
        <v>75.848953435179936</v>
      </c>
      <c r="H10" s="133">
        <f>IF(SER_hh_tesh!H10=0,0,SER_hh_tesh!H10/SER_summary!H$26)</f>
        <v>59.994304936491169</v>
      </c>
      <c r="I10" s="133">
        <f>IF(SER_hh_tesh!I10=0,0,SER_hh_tesh!I10/SER_summary!I$26)</f>
        <v>78.012555375681799</v>
      </c>
      <c r="J10" s="133">
        <f>IF(SER_hh_tesh!J10=0,0,SER_hh_tesh!J10/SER_summary!J$26)</f>
        <v>60.834282611520848</v>
      </c>
      <c r="K10" s="133">
        <f>IF(SER_hh_tesh!K10=0,0,SER_hh_tesh!K10/SER_summary!K$26)</f>
        <v>52.578801421631688</v>
      </c>
      <c r="L10" s="133">
        <f>IF(SER_hh_tesh!L10=0,0,SER_hh_tesh!L10/SER_summary!L$26)</f>
        <v>67.968321965832942</v>
      </c>
      <c r="M10" s="133">
        <f>IF(SER_hh_tesh!M10=0,0,SER_hh_tesh!M10/SER_summary!M$26)</f>
        <v>63.106590459765336</v>
      </c>
      <c r="N10" s="133">
        <f>IF(SER_hh_tesh!N10=0,0,SER_hh_tesh!N10/SER_summary!N$26)</f>
        <v>59.019271927252397</v>
      </c>
      <c r="O10" s="133">
        <f>IF(SER_hh_tesh!O10=0,0,SER_hh_tesh!O10/SER_summary!O$26)</f>
        <v>59.520826384313203</v>
      </c>
      <c r="P10" s="133">
        <f>IF(SER_hh_tesh!P10=0,0,SER_hh_tesh!P10/SER_summary!P$26)</f>
        <v>54.792881548378659</v>
      </c>
      <c r="Q10" s="133">
        <f>IF(SER_hh_tesh!Q10=0,0,SER_hh_tesh!Q10/SER_summary!Q$26)</f>
        <v>59.016542587859099</v>
      </c>
      <c r="R10" s="133">
        <f>IF(SER_hh_tesh!R10=0,0,SER_hh_tesh!R10/SER_summary!R$26)</f>
        <v>56.758136722388578</v>
      </c>
      <c r="S10" s="133">
        <f>IF(SER_hh_tesh!S10=0,0,SER_hh_tesh!S10/SER_summary!S$26)</f>
        <v>55.356074083661262</v>
      </c>
      <c r="T10" s="133">
        <f>IF(SER_hh_tesh!T10=0,0,SER_hh_tesh!T10/SER_summary!T$26)</f>
        <v>57.084907471265282</v>
      </c>
      <c r="U10" s="133">
        <f>IF(SER_hh_tesh!U10=0,0,SER_hh_tesh!U10/SER_summary!U$26)</f>
        <v>58.267289222170035</v>
      </c>
      <c r="V10" s="133">
        <f>IF(SER_hh_tesh!V10=0,0,SER_hh_tesh!V10/SER_summary!V$26)</f>
        <v>53.927095451808782</v>
      </c>
      <c r="W10" s="133">
        <f>IF(SER_hh_tesh!W10=0,0,SER_hh_tesh!W10/SER_summary!W$26)</f>
        <v>54.951095529681254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89.470358577674276</v>
      </c>
      <c r="C12" s="133">
        <f>IF(SER_hh_tesh!C12=0,0,SER_hh_tesh!C12/SER_summary!C$26)</f>
        <v>92.364851737024694</v>
      </c>
      <c r="D12" s="133">
        <f>IF(SER_hh_tesh!D12=0,0,SER_hh_tesh!D12/SER_summary!D$26)</f>
        <v>85.228119128595552</v>
      </c>
      <c r="E12" s="133">
        <f>IF(SER_hh_tesh!E12=0,0,SER_hh_tesh!E12/SER_summary!E$26)</f>
        <v>84.462460928071351</v>
      </c>
      <c r="F12" s="133">
        <f>IF(SER_hh_tesh!F12=0,0,SER_hh_tesh!F12/SER_summary!F$26)</f>
        <v>84.878730339280793</v>
      </c>
      <c r="G12" s="133">
        <f>IF(SER_hh_tesh!G12=0,0,SER_hh_tesh!G12/SER_summary!G$26)</f>
        <v>82.276553385294861</v>
      </c>
      <c r="H12" s="133">
        <f>IF(SER_hh_tesh!H12=0,0,SER_hh_tesh!H12/SER_summary!H$26)</f>
        <v>65.9649978863592</v>
      </c>
      <c r="I12" s="133">
        <f>IF(SER_hh_tesh!I12=0,0,SER_hh_tesh!I12/SER_summary!I$26)</f>
        <v>60.506999769430664</v>
      </c>
      <c r="J12" s="133">
        <f>IF(SER_hh_tesh!J12=0,0,SER_hh_tesh!J12/SER_summary!J$26)</f>
        <v>61.863351675329831</v>
      </c>
      <c r="K12" s="133">
        <f>IF(SER_hh_tesh!K12=0,0,SER_hh_tesh!K12/SER_summary!K$26)</f>
        <v>57.212754066860647</v>
      </c>
      <c r="L12" s="133">
        <f>IF(SER_hh_tesh!L12=0,0,SER_hh_tesh!L12/SER_summary!L$26)</f>
        <v>70.806101455884303</v>
      </c>
      <c r="M12" s="133">
        <f>IF(SER_hh_tesh!M12=0,0,SER_hh_tesh!M12/SER_summary!M$26)</f>
        <v>63.749412303506944</v>
      </c>
      <c r="N12" s="133">
        <f>IF(SER_hh_tesh!N12=0,0,SER_hh_tesh!N12/SER_summary!N$26)</f>
        <v>60.807670862207317</v>
      </c>
      <c r="O12" s="133">
        <f>IF(SER_hh_tesh!O12=0,0,SER_hh_tesh!O12/SER_summary!O$26)</f>
        <v>58.307886342740829</v>
      </c>
      <c r="P12" s="133">
        <f>IF(SER_hh_tesh!P12=0,0,SER_hh_tesh!P12/SER_summary!P$26)</f>
        <v>54.583297194425661</v>
      </c>
      <c r="Q12" s="133">
        <f>IF(SER_hh_tesh!Q12=0,0,SER_hh_tesh!Q12/SER_summary!Q$26)</f>
        <v>55.159500402407524</v>
      </c>
      <c r="R12" s="133">
        <f>IF(SER_hh_tesh!R12=0,0,SER_hh_tesh!R12/SER_summary!R$26)</f>
        <v>57.217044264752943</v>
      </c>
      <c r="S12" s="133">
        <f>IF(SER_hh_tesh!S12=0,0,SER_hh_tesh!S12/SER_summary!S$26)</f>
        <v>58.19068618931049</v>
      </c>
      <c r="T12" s="133">
        <f>IF(SER_hh_tesh!T12=0,0,SER_hh_tesh!T12/SER_summary!T$26)</f>
        <v>58.555355947026911</v>
      </c>
      <c r="U12" s="133">
        <f>IF(SER_hh_tesh!U12=0,0,SER_hh_tesh!U12/SER_summary!U$26)</f>
        <v>56.642652633129146</v>
      </c>
      <c r="V12" s="133">
        <f>IF(SER_hh_tesh!V12=0,0,SER_hh_tesh!V12/SER_summary!V$26)</f>
        <v>53.858590243241075</v>
      </c>
      <c r="W12" s="133">
        <f>IF(SER_hh_tesh!W12=0,0,SER_hh_tesh!W12/SER_summary!W$26)</f>
        <v>55.831656453453867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74.351788054082519</v>
      </c>
      <c r="C13" s="133">
        <f>IF(SER_hh_tesh!C13=0,0,SER_hh_tesh!C13/SER_summary!C$26)</f>
        <v>79.57021972803409</v>
      </c>
      <c r="D13" s="133">
        <f>IF(SER_hh_tesh!D13=0,0,SER_hh_tesh!D13/SER_summary!D$26)</f>
        <v>88.897404978526353</v>
      </c>
      <c r="E13" s="133">
        <f>IF(SER_hh_tesh!E13=0,0,SER_hh_tesh!E13/SER_summary!E$26)</f>
        <v>87.855390085844633</v>
      </c>
      <c r="F13" s="133">
        <f>IF(SER_hh_tesh!F13=0,0,SER_hh_tesh!F13/SER_summary!F$26)</f>
        <v>81.105790531585484</v>
      </c>
      <c r="G13" s="133">
        <f>IF(SER_hh_tesh!G13=0,0,SER_hh_tesh!G13/SER_summary!G$26)</f>
        <v>68.952780719511011</v>
      </c>
      <c r="H13" s="133">
        <f>IF(SER_hh_tesh!H13=0,0,SER_hh_tesh!H13/SER_summary!H$26)</f>
        <v>66.111260150638032</v>
      </c>
      <c r="I13" s="133">
        <f>IF(SER_hh_tesh!I13=0,0,SER_hh_tesh!I13/SER_summary!I$26)</f>
        <v>63.533662601044959</v>
      </c>
      <c r="J13" s="133">
        <f>IF(SER_hh_tesh!J13=0,0,SER_hh_tesh!J13/SER_summary!J$26)</f>
        <v>62.534760886349517</v>
      </c>
      <c r="K13" s="133">
        <f>IF(SER_hh_tesh!K13=0,0,SER_hh_tesh!K13/SER_summary!K$26)</f>
        <v>62.060365003191421</v>
      </c>
      <c r="L13" s="133">
        <f>IF(SER_hh_tesh!L13=0,0,SER_hh_tesh!L13/SER_summary!L$26)</f>
        <v>63.716821139829641</v>
      </c>
      <c r="M13" s="133">
        <f>IF(SER_hh_tesh!M13=0,0,SER_hh_tesh!M13/SER_summary!M$26)</f>
        <v>62.108365121141532</v>
      </c>
      <c r="N13" s="133">
        <f>IF(SER_hh_tesh!N13=0,0,SER_hh_tesh!N13/SER_summary!N$26)</f>
        <v>60.468424541054851</v>
      </c>
      <c r="O13" s="133">
        <f>IF(SER_hh_tesh!O13=0,0,SER_hh_tesh!O13/SER_summary!O$26)</f>
        <v>57.76984342489888</v>
      </c>
      <c r="P13" s="133">
        <f>IF(SER_hh_tesh!P13=0,0,SER_hh_tesh!P13/SER_summary!P$26)</f>
        <v>54.822453407170585</v>
      </c>
      <c r="Q13" s="133">
        <f>IF(SER_hh_tesh!Q13=0,0,SER_hh_tesh!Q13/SER_summary!Q$26)</f>
        <v>54.508064131819452</v>
      </c>
      <c r="R13" s="133">
        <f>IF(SER_hh_tesh!R13=0,0,SER_hh_tesh!R13/SER_summary!R$26)</f>
        <v>55.590381071740303</v>
      </c>
      <c r="S13" s="133">
        <f>IF(SER_hh_tesh!S13=0,0,SER_hh_tesh!S13/SER_summary!S$26)</f>
        <v>56.938964047047946</v>
      </c>
      <c r="T13" s="133">
        <f>IF(SER_hh_tesh!T13=0,0,SER_hh_tesh!T13/SER_summary!T$26)</f>
        <v>56.861942546287118</v>
      </c>
      <c r="U13" s="133">
        <f>IF(SER_hh_tesh!U13=0,0,SER_hh_tesh!U13/SER_summary!U$26)</f>
        <v>56.706790378491434</v>
      </c>
      <c r="V13" s="133">
        <f>IF(SER_hh_tesh!V13=0,0,SER_hh_tesh!V13/SER_summary!V$26)</f>
        <v>55.421725323639777</v>
      </c>
      <c r="W13" s="133">
        <f>IF(SER_hh_tesh!W13=0,0,SER_hh_tesh!W13/SER_summary!W$26)</f>
        <v>57.218601734281222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91.659367905827196</v>
      </c>
      <c r="C14" s="65">
        <f>IF(SER_hh_tesh!C14=0,0,SER_hh_tesh!C14/SER_summary!C$26)</f>
        <v>91.796661987053838</v>
      </c>
      <c r="D14" s="65">
        <f>IF(SER_hh_tesh!D14=0,0,SER_hh_tesh!D14/SER_summary!D$26)</f>
        <v>85.193554902665909</v>
      </c>
      <c r="E14" s="65">
        <f>IF(SER_hh_tesh!E14=0,0,SER_hh_tesh!E14/SER_summary!E$26)</f>
        <v>103.01290598776947</v>
      </c>
      <c r="F14" s="65">
        <f>IF(SER_hh_tesh!F14=0,0,SER_hh_tesh!F14/SER_summary!F$26)</f>
        <v>71.581366463415364</v>
      </c>
      <c r="G14" s="65">
        <f>IF(SER_hh_tesh!G14=0,0,SER_hh_tesh!G14/SER_summary!G$26)</f>
        <v>70.3028108698186</v>
      </c>
      <c r="H14" s="65">
        <f>IF(SER_hh_tesh!H14=0,0,SER_hh_tesh!H14/SER_summary!H$26)</f>
        <v>67.957746322053708</v>
      </c>
      <c r="I14" s="65">
        <f>IF(SER_hh_tesh!I14=0,0,SER_hh_tesh!I14/SER_summary!I$26)</f>
        <v>63.507534579793216</v>
      </c>
      <c r="J14" s="65">
        <f>IF(SER_hh_tesh!J14=0,0,SER_hh_tesh!J14/SER_summary!J$26)</f>
        <v>65.8384045620504</v>
      </c>
      <c r="K14" s="65">
        <f>IF(SER_hh_tesh!K14=0,0,SER_hh_tesh!K14/SER_summary!K$26)</f>
        <v>62.040418126726927</v>
      </c>
      <c r="L14" s="65">
        <f>IF(SER_hh_tesh!L14=0,0,SER_hh_tesh!L14/SER_summary!L$26)</f>
        <v>67.96394981111979</v>
      </c>
      <c r="M14" s="65">
        <f>IF(SER_hh_tesh!M14=0,0,SER_hh_tesh!M14/SER_summary!M$26)</f>
        <v>60.88447062566857</v>
      </c>
      <c r="N14" s="65">
        <f>IF(SER_hh_tesh!N14=0,0,SER_hh_tesh!N14/SER_summary!N$26)</f>
        <v>59.008237839118188</v>
      </c>
      <c r="O14" s="65">
        <f>IF(SER_hh_tesh!O14=0,0,SER_hh_tesh!O14/SER_summary!O$26)</f>
        <v>61.646596299410852</v>
      </c>
      <c r="P14" s="65">
        <f>IF(SER_hh_tesh!P14=0,0,SER_hh_tesh!P14/SER_summary!P$26)</f>
        <v>54.596072955412438</v>
      </c>
      <c r="Q14" s="65">
        <f>IF(SER_hh_tesh!Q14=0,0,SER_hh_tesh!Q14/SER_summary!Q$26)</f>
        <v>52.71009535041707</v>
      </c>
      <c r="R14" s="65">
        <f>IF(SER_hh_tesh!R14=0,0,SER_hh_tesh!R14/SER_summary!R$26)</f>
        <v>57.108335836484805</v>
      </c>
      <c r="S14" s="65">
        <f>IF(SER_hh_tesh!S14=0,0,SER_hh_tesh!S14/SER_summary!S$26)</f>
        <v>58.639410607815726</v>
      </c>
      <c r="T14" s="65">
        <f>IF(SER_hh_tesh!T14=0,0,SER_hh_tesh!T14/SER_summary!T$26)</f>
        <v>57.933708552489286</v>
      </c>
      <c r="U14" s="65">
        <f>IF(SER_hh_tesh!U14=0,0,SER_hh_tesh!U14/SER_summary!U$26)</f>
        <v>59.685648521326449</v>
      </c>
      <c r="V14" s="65">
        <f>IF(SER_hh_tesh!V14=0,0,SER_hh_tesh!V14/SER_summary!V$26)</f>
        <v>55.176423054504838</v>
      </c>
      <c r="W14" s="65">
        <f>IF(SER_hh_tesh!W14=0,0,SER_hh_tesh!W14/SER_summary!W$26)</f>
        <v>54.592401239883728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1.1206947023930016</v>
      </c>
      <c r="C15" s="135">
        <f>IF(SER_hh_tesh!C15=0,0,SER_hh_tesh!C15/SER_summary!C$26)</f>
        <v>1.1314169248408774</v>
      </c>
      <c r="D15" s="135">
        <f>IF(SER_hh_tesh!D15=0,0,SER_hh_tesh!D15/SER_summary!D$26)</f>
        <v>1.0262602088795489</v>
      </c>
      <c r="E15" s="135">
        <f>IF(SER_hh_tesh!E15=0,0,SER_hh_tesh!E15/SER_summary!E$26)</f>
        <v>1.0884612648701668</v>
      </c>
      <c r="F15" s="135">
        <f>IF(SER_hh_tesh!F15=0,0,SER_hh_tesh!F15/SER_summary!F$26)</f>
        <v>1.0375825950356734</v>
      </c>
      <c r="G15" s="135">
        <f>IF(SER_hh_tesh!G15=0,0,SER_hh_tesh!G15/SER_summary!G$26)</f>
        <v>0.91088983298899884</v>
      </c>
      <c r="H15" s="135">
        <f>IF(SER_hh_tesh!H15=0,0,SER_hh_tesh!H15/SER_summary!H$26)</f>
        <v>0.84969833567098141</v>
      </c>
      <c r="I15" s="135">
        <f>IF(SER_hh_tesh!I15=0,0,SER_hh_tesh!I15/SER_summary!I$26)</f>
        <v>0.78374931297748995</v>
      </c>
      <c r="J15" s="135">
        <f>IF(SER_hh_tesh!J15=0,0,SER_hh_tesh!J15/SER_summary!J$26)</f>
        <v>0.85482779295171241</v>
      </c>
      <c r="K15" s="135">
        <f>IF(SER_hh_tesh!K15=0,0,SER_hh_tesh!K15/SER_summary!K$26)</f>
        <v>0.7478359576982585</v>
      </c>
      <c r="L15" s="135">
        <f>IF(SER_hh_tesh!L15=0,0,SER_hh_tesh!L15/SER_summary!L$26)</f>
        <v>0.80613791661104062</v>
      </c>
      <c r="M15" s="135">
        <f>IF(SER_hh_tesh!M15=0,0,SER_hh_tesh!M15/SER_summary!M$26)</f>
        <v>0.75659416027291504</v>
      </c>
      <c r="N15" s="135">
        <f>IF(SER_hh_tesh!N15=0,0,SER_hh_tesh!N15/SER_summary!N$26)</f>
        <v>0.70665804121311238</v>
      </c>
      <c r="O15" s="135">
        <f>IF(SER_hh_tesh!O15=0,0,SER_hh_tesh!O15/SER_summary!O$26)</f>
        <v>0.67326173792000221</v>
      </c>
      <c r="P15" s="135">
        <f>IF(SER_hh_tesh!P15=0,0,SER_hh_tesh!P15/SER_summary!P$26)</f>
        <v>0.6357648644210816</v>
      </c>
      <c r="Q15" s="135">
        <f>IF(SER_hh_tesh!Q15=0,0,SER_hh_tesh!Q15/SER_summary!Q$26)</f>
        <v>0.63168083796716845</v>
      </c>
      <c r="R15" s="135">
        <f>IF(SER_hh_tesh!R15=0,0,SER_hh_tesh!R15/SER_summary!R$26)</f>
        <v>0.64314697799821008</v>
      </c>
      <c r="S15" s="135">
        <f>IF(SER_hh_tesh!S15=0,0,SER_hh_tesh!S15/SER_summary!S$26)</f>
        <v>0.67916479111547712</v>
      </c>
      <c r="T15" s="135">
        <f>IF(SER_hh_tesh!T15=0,0,SER_hh_tesh!T15/SER_summary!T$26)</f>
        <v>0.62802125385771701</v>
      </c>
      <c r="U15" s="135">
        <f>IF(SER_hh_tesh!U15=0,0,SER_hh_tesh!U15/SER_summary!U$26)</f>
        <v>0.65923319869627273</v>
      </c>
      <c r="V15" s="135">
        <f>IF(SER_hh_tesh!V15=0,0,SER_hh_tesh!V15/SER_summary!V$26)</f>
        <v>0.61168833704851677</v>
      </c>
      <c r="W15" s="135">
        <f>IF(SER_hh_tesh!W15=0,0,SER_hh_tesh!W15/SER_summary!W$26)</f>
        <v>0.58819513344298147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27.266944520378452</v>
      </c>
      <c r="C16" s="131">
        <f>IF(SER_hh_tesh!C16=0,0,SER_hh_tesh!C16/SER_summary!C$26)</f>
        <v>27.122702707701947</v>
      </c>
      <c r="D16" s="131">
        <f>IF(SER_hh_tesh!D16=0,0,SER_hh_tesh!D16/SER_summary!D$26)</f>
        <v>27.204454842869616</v>
      </c>
      <c r="E16" s="131">
        <f>IF(SER_hh_tesh!E16=0,0,SER_hh_tesh!E16/SER_summary!E$26)</f>
        <v>28.618329746126559</v>
      </c>
      <c r="F16" s="131">
        <f>IF(SER_hh_tesh!F16=0,0,SER_hh_tesh!F16/SER_summary!F$26)</f>
        <v>27.29125933664783</v>
      </c>
      <c r="G16" s="131">
        <f>IF(SER_hh_tesh!G16=0,0,SER_hh_tesh!G16/SER_summary!G$26)</f>
        <v>27.478011947021045</v>
      </c>
      <c r="H16" s="131">
        <f>IF(SER_hh_tesh!H16=0,0,SER_hh_tesh!H16/SER_summary!H$26)</f>
        <v>28.335346097539954</v>
      </c>
      <c r="I16" s="131">
        <f>IF(SER_hh_tesh!I16=0,0,SER_hh_tesh!I16/SER_summary!I$26)</f>
        <v>27.94377710108375</v>
      </c>
      <c r="J16" s="131">
        <f>IF(SER_hh_tesh!J16=0,0,SER_hh_tesh!J16/SER_summary!J$26)</f>
        <v>27.544386196647036</v>
      </c>
      <c r="K16" s="131">
        <f>IF(SER_hh_tesh!K16=0,0,SER_hh_tesh!K16/SER_summary!K$26)</f>
        <v>27.606871223043452</v>
      </c>
      <c r="L16" s="131">
        <f>IF(SER_hh_tesh!L16=0,0,SER_hh_tesh!L16/SER_summary!L$26)</f>
        <v>28.379637409887682</v>
      </c>
      <c r="M16" s="131">
        <f>IF(SER_hh_tesh!M16=0,0,SER_hh_tesh!M16/SER_summary!M$26)</f>
        <v>28.083295740402651</v>
      </c>
      <c r="N16" s="131">
        <f>IF(SER_hh_tesh!N16=0,0,SER_hh_tesh!N16/SER_summary!N$26)</f>
        <v>28.517406799334935</v>
      </c>
      <c r="O16" s="131">
        <f>IF(SER_hh_tesh!O16=0,0,SER_hh_tesh!O16/SER_summary!O$26)</f>
        <v>29.927239860260556</v>
      </c>
      <c r="P16" s="131">
        <f>IF(SER_hh_tesh!P16=0,0,SER_hh_tesh!P16/SER_summary!P$26)</f>
        <v>28.484864306259105</v>
      </c>
      <c r="Q16" s="131">
        <f>IF(SER_hh_tesh!Q16=0,0,SER_hh_tesh!Q16/SER_summary!Q$26)</f>
        <v>33.457298557335207</v>
      </c>
      <c r="R16" s="131">
        <f>IF(SER_hh_tesh!R16=0,0,SER_hh_tesh!R16/SER_summary!R$26)</f>
        <v>28.651993379124907</v>
      </c>
      <c r="S16" s="131">
        <f>IF(SER_hh_tesh!S16=0,0,SER_hh_tesh!S16/SER_summary!S$26)</f>
        <v>29.135949544110975</v>
      </c>
      <c r="T16" s="131">
        <f>IF(SER_hh_tesh!T16=0,0,SER_hh_tesh!T16/SER_summary!T$26)</f>
        <v>30.776636534788818</v>
      </c>
      <c r="U16" s="131">
        <f>IF(SER_hh_tesh!U16=0,0,SER_hh_tesh!U16/SER_summary!U$26)</f>
        <v>30.404174733663712</v>
      </c>
      <c r="V16" s="131">
        <f>IF(SER_hh_tesh!V16=0,0,SER_hh_tesh!V16/SER_summary!V$26)</f>
        <v>28.993261370178772</v>
      </c>
      <c r="W16" s="131">
        <f>IF(SER_hh_tesh!W16=0,0,SER_hh_tesh!W16/SER_summary!W$26)</f>
        <v>29.153802428892639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27.478004020551467</v>
      </c>
      <c r="H17" s="133">
        <f>IF(SER_hh_tesh!H17=0,0,SER_hh_tesh!H17/SER_summary!H$26)</f>
        <v>28.335343683058479</v>
      </c>
      <c r="I17" s="133">
        <f>IF(SER_hh_tesh!I17=0,0,SER_hh_tesh!I17/SER_summary!I$26)</f>
        <v>27.943778386872651</v>
      </c>
      <c r="J17" s="133">
        <f>IF(SER_hh_tesh!J17=0,0,SER_hh_tesh!J17/SER_summary!J$26)</f>
        <v>27.544389803890478</v>
      </c>
      <c r="K17" s="133">
        <f>IF(SER_hh_tesh!K17=0,0,SER_hh_tesh!K17/SER_summary!K$26)</f>
        <v>27.606877214957947</v>
      </c>
      <c r="L17" s="133">
        <f>IF(SER_hh_tesh!L17=0,0,SER_hh_tesh!L17/SER_summary!L$26)</f>
        <v>28.37964606000288</v>
      </c>
      <c r="M17" s="133">
        <f>IF(SER_hh_tesh!M17=0,0,SER_hh_tesh!M17/SER_summary!M$26)</f>
        <v>28.083306311713716</v>
      </c>
      <c r="N17" s="133">
        <f>IF(SER_hh_tesh!N17=0,0,SER_hh_tesh!N17/SER_summary!N$26)</f>
        <v>28.517399016326472</v>
      </c>
      <c r="O17" s="133">
        <f>IF(SER_hh_tesh!O17=0,0,SER_hh_tesh!O17/SER_summary!O$26)</f>
        <v>29.927220837032845</v>
      </c>
      <c r="P17" s="133">
        <f>IF(SER_hh_tesh!P17=0,0,SER_hh_tesh!P17/SER_summary!P$26)</f>
        <v>28.484843447689535</v>
      </c>
      <c r="Q17" s="133">
        <f>IF(SER_hh_tesh!Q17=0,0,SER_hh_tesh!Q17/SER_summary!Q$26)</f>
        <v>33.457281251450766</v>
      </c>
      <c r="R17" s="133">
        <f>IF(SER_hh_tesh!R17=0,0,SER_hh_tesh!R17/SER_summary!R$26)</f>
        <v>28.651990130628242</v>
      </c>
      <c r="S17" s="133">
        <f>IF(SER_hh_tesh!S17=0,0,SER_hh_tesh!S17/SER_summary!S$26)</f>
        <v>29.135957992472733</v>
      </c>
      <c r="T17" s="133">
        <f>IF(SER_hh_tesh!T17=0,0,SER_hh_tesh!T17/SER_summary!T$26)</f>
        <v>32.628855329377551</v>
      </c>
      <c r="U17" s="133">
        <f>IF(SER_hh_tesh!U17=0,0,SER_hh_tesh!U17/SER_summary!U$26)</f>
        <v>30.404196637798407</v>
      </c>
      <c r="V17" s="133">
        <f>IF(SER_hh_tesh!V17=0,0,SER_hh_tesh!V17/SER_summary!V$26)</f>
        <v>28.993282374331283</v>
      </c>
      <c r="W17" s="133">
        <f>IF(SER_hh_tesh!W17=0,0,SER_hh_tesh!W17/SER_summary!W$26)</f>
        <v>29.153814936092544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27.266944520378452</v>
      </c>
      <c r="C18" s="133">
        <f>IF(SER_hh_tesh!C18=0,0,SER_hh_tesh!C18/SER_summary!C$26)</f>
        <v>27.122702707701947</v>
      </c>
      <c r="D18" s="133">
        <f>IF(SER_hh_tesh!D18=0,0,SER_hh_tesh!D18/SER_summary!D$26)</f>
        <v>27.204454842869616</v>
      </c>
      <c r="E18" s="133">
        <f>IF(SER_hh_tesh!E18=0,0,SER_hh_tesh!E18/SER_summary!E$26)</f>
        <v>28.618329746126559</v>
      </c>
      <c r="F18" s="133">
        <f>IF(SER_hh_tesh!F18=0,0,SER_hh_tesh!F18/SER_summary!F$26)</f>
        <v>27.29125933664783</v>
      </c>
      <c r="G18" s="133">
        <f>IF(SER_hh_tesh!G18=0,0,SER_hh_tesh!G18/SER_summary!G$26)</f>
        <v>27.478011955422112</v>
      </c>
      <c r="H18" s="133">
        <f>IF(SER_hh_tesh!H18=0,0,SER_hh_tesh!H18/SER_summary!H$26)</f>
        <v>28.335346100156901</v>
      </c>
      <c r="I18" s="133">
        <f>IF(SER_hh_tesh!I18=0,0,SER_hh_tesh!I18/SER_summary!I$26)</f>
        <v>27.943777099395387</v>
      </c>
      <c r="J18" s="133">
        <f>IF(SER_hh_tesh!J18=0,0,SER_hh_tesh!J18/SER_summary!J$26)</f>
        <v>27.544386192252723</v>
      </c>
      <c r="K18" s="133">
        <f>IF(SER_hh_tesh!K18=0,0,SER_hh_tesh!K18/SER_summary!K$26)</f>
        <v>27.606871214199241</v>
      </c>
      <c r="L18" s="133">
        <f>IF(SER_hh_tesh!L18=0,0,SER_hh_tesh!L18/SER_summary!L$26)</f>
        <v>28.379637397963045</v>
      </c>
      <c r="M18" s="133">
        <f>IF(SER_hh_tesh!M18=0,0,SER_hh_tesh!M18/SER_summary!M$26)</f>
        <v>28.083295725926618</v>
      </c>
      <c r="N18" s="133">
        <f>IF(SER_hh_tesh!N18=0,0,SER_hh_tesh!N18/SER_summary!N$26)</f>
        <v>28.517406810020052</v>
      </c>
      <c r="O18" s="133">
        <f>IF(SER_hh_tesh!O18=0,0,SER_hh_tesh!O18/SER_summary!O$26)</f>
        <v>29.927239890774739</v>
      </c>
      <c r="P18" s="133">
        <f>IF(SER_hh_tesh!P18=0,0,SER_hh_tesh!P18/SER_summary!P$26)</f>
        <v>28.484864354386914</v>
      </c>
      <c r="Q18" s="133">
        <f>IF(SER_hh_tesh!Q18=0,0,SER_hh_tesh!Q18/SER_summary!Q$26)</f>
        <v>33.457298618866361</v>
      </c>
      <c r="R18" s="133">
        <f>IF(SER_hh_tesh!R18=0,0,SER_hh_tesh!R18/SER_summary!R$26)</f>
        <v>28.651993392492663</v>
      </c>
      <c r="S18" s="133">
        <f>IF(SER_hh_tesh!S18=0,0,SER_hh_tesh!S18/SER_summary!S$26)</f>
        <v>29.135949502980054</v>
      </c>
      <c r="T18" s="133">
        <f>IF(SER_hh_tesh!T18=0,0,SER_hh_tesh!T18/SER_summary!T$26)</f>
        <v>30.766543719444979</v>
      </c>
      <c r="U18" s="133">
        <f>IF(SER_hh_tesh!U18=0,0,SER_hh_tesh!U18/SER_summary!U$26)</f>
        <v>30.40417460643323</v>
      </c>
      <c r="V18" s="133">
        <f>IF(SER_hh_tesh!V18=0,0,SER_hh_tesh!V18/SER_summary!V$26)</f>
        <v>28.993261224090435</v>
      </c>
      <c r="W18" s="133">
        <f>IF(SER_hh_tesh!W18=0,0,SER_hh_tesh!W18/SER_summary!W$26)</f>
        <v>29.153802341188172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7.7837363513472075</v>
      </c>
      <c r="C19" s="131">
        <f>IF(SER_hh_tesh!C19=0,0,SER_hh_tesh!C19/SER_summary!C$26)</f>
        <v>7.721823711254868</v>
      </c>
      <c r="D19" s="131">
        <f>IF(SER_hh_tesh!D19=0,0,SER_hh_tesh!D19/SER_summary!D$26)</f>
        <v>7.6268369792820829</v>
      </c>
      <c r="E19" s="131">
        <f>IF(SER_hh_tesh!E19=0,0,SER_hh_tesh!E19/SER_summary!E$26)</f>
        <v>7.5373631534601291</v>
      </c>
      <c r="F19" s="131">
        <f>IF(SER_hh_tesh!F19=0,0,SER_hh_tesh!F19/SER_summary!F$26)</f>
        <v>7.3510611947838589</v>
      </c>
      <c r="G19" s="131">
        <f>IF(SER_hh_tesh!G19=0,0,SER_hh_tesh!G19/SER_summary!G$26)</f>
        <v>7.3024703714220385</v>
      </c>
      <c r="H19" s="131">
        <f>IF(SER_hh_tesh!H19=0,0,SER_hh_tesh!H19/SER_summary!H$26)</f>
        <v>7.3664125777540805</v>
      </c>
      <c r="I19" s="131">
        <f>IF(SER_hh_tesh!I19=0,0,SER_hh_tesh!I19/SER_summary!I$26)</f>
        <v>7.4119135344585718</v>
      </c>
      <c r="J19" s="131">
        <f>IF(SER_hh_tesh!J19=0,0,SER_hh_tesh!J19/SER_summary!J$26)</f>
        <v>7.4640226263950948</v>
      </c>
      <c r="K19" s="131">
        <f>IF(SER_hh_tesh!K19=0,0,SER_hh_tesh!K19/SER_summary!K$26)</f>
        <v>8.0171186041928806</v>
      </c>
      <c r="L19" s="131">
        <f>IF(SER_hh_tesh!L19=0,0,SER_hh_tesh!L19/SER_summary!L$26)</f>
        <v>8.32298887223447</v>
      </c>
      <c r="M19" s="131">
        <f>IF(SER_hh_tesh!M19=0,0,SER_hh_tesh!M19/SER_summary!M$26)</f>
        <v>8.4416323561674833</v>
      </c>
      <c r="N19" s="131">
        <f>IF(SER_hh_tesh!N19=0,0,SER_hh_tesh!N19/SER_summary!N$26)</f>
        <v>8.6024821958102198</v>
      </c>
      <c r="O19" s="131">
        <f>IF(SER_hh_tesh!O19=0,0,SER_hh_tesh!O19/SER_summary!O$26)</f>
        <v>8.6945195622171152</v>
      </c>
      <c r="P19" s="131">
        <f>IF(SER_hh_tesh!P19=0,0,SER_hh_tesh!P19/SER_summary!P$26)</f>
        <v>8.6580177246811392</v>
      </c>
      <c r="Q19" s="131">
        <f>IF(SER_hh_tesh!Q19=0,0,SER_hh_tesh!Q19/SER_summary!Q$26)</f>
        <v>8.6918190658502184</v>
      </c>
      <c r="R19" s="131">
        <f>IF(SER_hh_tesh!R19=0,0,SER_hh_tesh!R19/SER_summary!R$26)</f>
        <v>8.8992768173232264</v>
      </c>
      <c r="S19" s="131">
        <f>IF(SER_hh_tesh!S19=0,0,SER_hh_tesh!S19/SER_summary!S$26)</f>
        <v>9.03407330241971</v>
      </c>
      <c r="T19" s="131">
        <f>IF(SER_hh_tesh!T19=0,0,SER_hh_tesh!T19/SER_summary!T$26)</f>
        <v>9.0051788340952257</v>
      </c>
      <c r="U19" s="131">
        <f>IF(SER_hh_tesh!U19=0,0,SER_hh_tesh!U19/SER_summary!U$26)</f>
        <v>9.0667033954562637</v>
      </c>
      <c r="V19" s="131">
        <f>IF(SER_hh_tesh!V19=0,0,SER_hh_tesh!V19/SER_summary!V$26)</f>
        <v>8.6628836934487694</v>
      </c>
      <c r="W19" s="131">
        <f>IF(SER_hh_tesh!W19=0,0,SER_hh_tesh!W19/SER_summary!W$26)</f>
        <v>8.8038569577282715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7.7322324390781256</v>
      </c>
      <c r="C23" s="133">
        <f>IF(SER_hh_tesh!C23=0,0,SER_hh_tesh!C23/SER_summary!C$26)</f>
        <v>7.6385255196623216</v>
      </c>
      <c r="D23" s="133">
        <f>IF(SER_hh_tesh!D23=0,0,SER_hh_tesh!D23/SER_summary!D$26)</f>
        <v>7.6455863946845328</v>
      </c>
      <c r="E23" s="133">
        <f>IF(SER_hh_tesh!E23=0,0,SER_hh_tesh!E23/SER_summary!E$26)</f>
        <v>7.4736917587349776</v>
      </c>
      <c r="F23" s="133">
        <f>IF(SER_hh_tesh!F23=0,0,SER_hh_tesh!F23/SER_summary!F$26)</f>
        <v>7.2530088300519244</v>
      </c>
      <c r="G23" s="133">
        <f>IF(SER_hh_tesh!G23=0,0,SER_hh_tesh!G23/SER_summary!G$26)</f>
        <v>7.3062314796882548</v>
      </c>
      <c r="H23" s="133">
        <f>IF(SER_hh_tesh!H23=0,0,SER_hh_tesh!H23/SER_summary!H$26)</f>
        <v>7.3185603417516631</v>
      </c>
      <c r="I23" s="133">
        <f>IF(SER_hh_tesh!I23=0,0,SER_hh_tesh!I23/SER_summary!I$26)</f>
        <v>7.1467713472261263</v>
      </c>
      <c r="J23" s="133">
        <f>IF(SER_hh_tesh!J23=0,0,SER_hh_tesh!J23/SER_summary!J$26)</f>
        <v>7.2744382694556862</v>
      </c>
      <c r="K23" s="133">
        <f>IF(SER_hh_tesh!K23=0,0,SER_hh_tesh!K23/SER_summary!K$26)</f>
        <v>8.7157874848452899</v>
      </c>
      <c r="L23" s="133">
        <f>IF(SER_hh_tesh!L23=0,0,SER_hh_tesh!L23/SER_summary!L$26)</f>
        <v>8.2341367473401963</v>
      </c>
      <c r="M23" s="133">
        <f>IF(SER_hh_tesh!M23=0,0,SER_hh_tesh!M23/SER_summary!M$26)</f>
        <v>8.2802865200574054</v>
      </c>
      <c r="N23" s="133">
        <f>IF(SER_hh_tesh!N23=0,0,SER_hh_tesh!N23/SER_summary!N$26)</f>
        <v>8.5450911103079683</v>
      </c>
      <c r="O23" s="133">
        <f>IF(SER_hh_tesh!O23=0,0,SER_hh_tesh!O23/SER_summary!O$26)</f>
        <v>8.7106850470462884</v>
      </c>
      <c r="P23" s="133">
        <f>IF(SER_hh_tesh!P23=0,0,SER_hh_tesh!P23/SER_summary!P$26)</f>
        <v>8.6816307006416658</v>
      </c>
      <c r="Q23" s="133">
        <f>IF(SER_hh_tesh!Q23=0,0,SER_hh_tesh!Q23/SER_summary!Q$26)</f>
        <v>8.6062159794484021</v>
      </c>
      <c r="R23" s="133">
        <f>IF(SER_hh_tesh!R23=0,0,SER_hh_tesh!R23/SER_summary!R$26)</f>
        <v>8.7503973866220068</v>
      </c>
      <c r="S23" s="133">
        <f>IF(SER_hh_tesh!S23=0,0,SER_hh_tesh!S23/SER_summary!S$26)</f>
        <v>9.3203127271776793</v>
      </c>
      <c r="T23" s="133">
        <f>IF(SER_hh_tesh!T23=0,0,SER_hh_tesh!T23/SER_summary!T$26)</f>
        <v>8.639867959567967</v>
      </c>
      <c r="U23" s="133">
        <f>IF(SER_hh_tesh!U23=0,0,SER_hh_tesh!U23/SER_summary!U$26)</f>
        <v>9.1693278080914293</v>
      </c>
      <c r="V23" s="133">
        <f>IF(SER_hh_tesh!V23=0,0,SER_hh_tesh!V23/SER_summary!V$26)</f>
        <v>8.6115944128997857</v>
      </c>
      <c r="W23" s="133">
        <f>IF(SER_hh_tesh!W23=0,0,SER_hh_tesh!W23/SER_summary!W$26)</f>
        <v>8.6414596823770395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7.7357598430903654</v>
      </c>
      <c r="C25" s="133">
        <f>IF(SER_hh_tesh!C25=0,0,SER_hh_tesh!C25/SER_summary!C$26)</f>
        <v>7.7183280260791269</v>
      </c>
      <c r="D25" s="133">
        <f>IF(SER_hh_tesh!D25=0,0,SER_hh_tesh!D25/SER_summary!D$26)</f>
        <v>7.5595111309657419</v>
      </c>
      <c r="E25" s="133">
        <f>IF(SER_hh_tesh!E25=0,0,SER_hh_tesh!E25/SER_summary!E$26)</f>
        <v>7.5471939427268655</v>
      </c>
      <c r="F25" s="133">
        <f>IF(SER_hh_tesh!F25=0,0,SER_hh_tesh!F25/SER_summary!F$26)</f>
        <v>7.4605409563765805</v>
      </c>
      <c r="G25" s="133">
        <f>IF(SER_hh_tesh!G25=0,0,SER_hh_tesh!G25/SER_summary!G$26)</f>
        <v>7.2775844994348704</v>
      </c>
      <c r="H25" s="133">
        <f>IF(SER_hh_tesh!H25=0,0,SER_hh_tesh!H25/SER_summary!H$26)</f>
        <v>7.4181766581616193</v>
      </c>
      <c r="I25" s="133">
        <f>IF(SER_hh_tesh!I25=0,0,SER_hh_tesh!I25/SER_summary!I$26)</f>
        <v>7.4281038196770997</v>
      </c>
      <c r="J25" s="133">
        <f>IF(SER_hh_tesh!J25=0,0,SER_hh_tesh!J25/SER_summary!J$26)</f>
        <v>7.5868163845455543</v>
      </c>
      <c r="K25" s="133">
        <f>IF(SER_hh_tesh!K25=0,0,SER_hh_tesh!K25/SER_summary!K$26)</f>
        <v>7.7302867469216121</v>
      </c>
      <c r="L25" s="133">
        <f>IF(SER_hh_tesh!L25=0,0,SER_hh_tesh!L25/SER_summary!L$26)</f>
        <v>8.0853290028047713</v>
      </c>
      <c r="M25" s="133">
        <f>IF(SER_hh_tesh!M25=0,0,SER_hh_tesh!M25/SER_summary!M$26)</f>
        <v>8.4363319920466946</v>
      </c>
      <c r="N25" s="133">
        <f>IF(SER_hh_tesh!N25=0,0,SER_hh_tesh!N25/SER_summary!N$26)</f>
        <v>8.5129212032094017</v>
      </c>
      <c r="O25" s="133">
        <f>IF(SER_hh_tesh!O25=0,0,SER_hh_tesh!O25/SER_summary!O$26)</f>
        <v>8.8575461090893572</v>
      </c>
      <c r="P25" s="133">
        <f>IF(SER_hh_tesh!P25=0,0,SER_hh_tesh!P25/SER_summary!P$26)</f>
        <v>8.6441401452147897</v>
      </c>
      <c r="Q25" s="133">
        <f>IF(SER_hh_tesh!Q25=0,0,SER_hh_tesh!Q25/SER_summary!Q$26)</f>
        <v>8.5743026559988191</v>
      </c>
      <c r="R25" s="133">
        <f>IF(SER_hh_tesh!R25=0,0,SER_hh_tesh!R25/SER_summary!R$26)</f>
        <v>8.9202824436965127</v>
      </c>
      <c r="S25" s="133">
        <f>IF(SER_hh_tesh!S25=0,0,SER_hh_tesh!S25/SER_summary!S$26)</f>
        <v>8.9348013721644417</v>
      </c>
      <c r="T25" s="133">
        <f>IF(SER_hh_tesh!T25=0,0,SER_hh_tesh!T25/SER_summary!T$26)</f>
        <v>9.0951002480904428</v>
      </c>
      <c r="U25" s="133">
        <f>IF(SER_hh_tesh!U25=0,0,SER_hh_tesh!U25/SER_summary!U$26)</f>
        <v>8.8216306677563185</v>
      </c>
      <c r="V25" s="133">
        <f>IF(SER_hh_tesh!V25=0,0,SER_hh_tesh!V25/SER_summary!V$26)</f>
        <v>8.6010558146445177</v>
      </c>
      <c r="W25" s="133">
        <f>IF(SER_hh_tesh!W25=0,0,SER_hh_tesh!W25/SER_summary!W$26)</f>
        <v>8.8921593905796161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7.8486348579502021</v>
      </c>
      <c r="C26" s="65">
        <f>IF(SER_hh_tesh!C26=0,0,SER_hh_tesh!C26/SER_summary!C$26)</f>
        <v>7.7874922594910361</v>
      </c>
      <c r="D26" s="65">
        <f>IF(SER_hh_tesh!D26=0,0,SER_hh_tesh!D26/SER_summary!D$26)</f>
        <v>7.6501127761878029</v>
      </c>
      <c r="E26" s="65">
        <f>IF(SER_hh_tesh!E26=0,0,SER_hh_tesh!E26/SER_summary!E$26)</f>
        <v>7.5368283258412214</v>
      </c>
      <c r="F26" s="65">
        <f>IF(SER_hh_tesh!F26=0,0,SER_hh_tesh!F26/SER_summary!F$26)</f>
        <v>7.3067904711114418</v>
      </c>
      <c r="G26" s="65">
        <f>IF(SER_hh_tesh!G26=0,0,SER_hh_tesh!G26/SER_summary!G$26)</f>
        <v>7.2313366899978195</v>
      </c>
      <c r="H26" s="65">
        <f>IF(SER_hh_tesh!H26=0,0,SER_hh_tesh!H26/SER_summary!H$26)</f>
        <v>7.2870889726147547</v>
      </c>
      <c r="I26" s="65">
        <f>IF(SER_hh_tesh!I26=0,0,SER_hh_tesh!I26/SER_summary!I$26)</f>
        <v>7.5750049031428093</v>
      </c>
      <c r="J26" s="65">
        <f>IF(SER_hh_tesh!J26=0,0,SER_hh_tesh!J26/SER_summary!J$26)</f>
        <v>7.4524524698719858</v>
      </c>
      <c r="K26" s="65">
        <f>IF(SER_hh_tesh!K26=0,0,SER_hh_tesh!K26/SER_summary!K$26)</f>
        <v>7.0931620734568233</v>
      </c>
      <c r="L26" s="65">
        <f>IF(SER_hh_tesh!L26=0,0,SER_hh_tesh!L26/SER_summary!L$26)</f>
        <v>8.3152299453087473</v>
      </c>
      <c r="M26" s="65">
        <f>IF(SER_hh_tesh!M26=0,0,SER_hh_tesh!M26/SER_summary!M$26)</f>
        <v>8.3115237783340028</v>
      </c>
      <c r="N26" s="65">
        <f>IF(SER_hh_tesh!N26=0,0,SER_hh_tesh!N26/SER_summary!N$26)</f>
        <v>8.3495229836345164</v>
      </c>
      <c r="O26" s="65">
        <f>IF(SER_hh_tesh!O26=0,0,SER_hh_tesh!O26/SER_summary!O$26)</f>
        <v>8.1209962470708845</v>
      </c>
      <c r="P26" s="65">
        <f>IF(SER_hh_tesh!P26=0,0,SER_hh_tesh!P26/SER_summary!P$26)</f>
        <v>8.1490623551248085</v>
      </c>
      <c r="Q26" s="65">
        <f>IF(SER_hh_tesh!Q26=0,0,SER_hh_tesh!Q26/SER_summary!Q$26)</f>
        <v>8.3909188801834667</v>
      </c>
      <c r="R26" s="65">
        <f>IF(SER_hh_tesh!R26=0,0,SER_hh_tesh!R26/SER_summary!R$26)</f>
        <v>8.5581245023356765</v>
      </c>
      <c r="S26" s="65">
        <f>IF(SER_hh_tesh!S26=0,0,SER_hh_tesh!S26/SER_summary!S$26)</f>
        <v>8.1280721481959919</v>
      </c>
      <c r="T26" s="65">
        <f>IF(SER_hh_tesh!T26=0,0,SER_hh_tesh!T26/SER_summary!T$26)</f>
        <v>8.9047260043682623</v>
      </c>
      <c r="U26" s="65">
        <f>IF(SER_hh_tesh!U26=0,0,SER_hh_tesh!U26/SER_summary!U$26)</f>
        <v>8.5497945662688277</v>
      </c>
      <c r="V26" s="65">
        <f>IF(SER_hh_tesh!V26=0,0,SER_hh_tesh!V26/SER_summary!V$26)</f>
        <v>8.2172106336546236</v>
      </c>
      <c r="W26" s="65">
        <f>IF(SER_hh_tesh!W26=0,0,SER_hh_tesh!W26/SER_summary!W$26)</f>
        <v>8.3882005550183685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2.0324688661840774E-2</v>
      </c>
      <c r="F27" s="146">
        <f>IF(SER_hh_tesh!F27=0,0,SER_hh_tesh!F27/SER_summary!F$26)</f>
        <v>2.6514611915897702E-2</v>
      </c>
      <c r="G27" s="146">
        <f>IF(SER_hh_tesh!G27=0,0,SER_hh_tesh!G27/SER_summary!G$26)</f>
        <v>3.195002768952887E-2</v>
      </c>
      <c r="H27" s="146">
        <f>IF(SER_hh_tesh!H27=0,0,SER_hh_tesh!H27/SER_summary!H$26)</f>
        <v>3.6830329996518182E-2</v>
      </c>
      <c r="I27" s="146">
        <f>IF(SER_hh_tesh!I27=0,0,SER_hh_tesh!I27/SER_summary!I$26)</f>
        <v>4.5091247548364154E-2</v>
      </c>
      <c r="J27" s="146">
        <f>IF(SER_hh_tesh!J27=0,0,SER_hh_tesh!J27/SER_summary!J$26)</f>
        <v>5.8219454576179573E-2</v>
      </c>
      <c r="K27" s="146">
        <f>IF(SER_hh_tesh!K27=0,0,SER_hh_tesh!K27/SER_summary!K$26)</f>
        <v>7.1186558391401214E-2</v>
      </c>
      <c r="L27" s="146">
        <f>IF(SER_hh_tesh!L27=0,0,SER_hh_tesh!L27/SER_summary!L$26)</f>
        <v>9.3343691576685553E-2</v>
      </c>
      <c r="M27" s="146">
        <f>IF(SER_hh_tesh!M27=0,0,SER_hh_tesh!M27/SER_summary!M$26)</f>
        <v>0.11626563318123039</v>
      </c>
      <c r="N27" s="146">
        <f>IF(SER_hh_tesh!N27=0,0,SER_hh_tesh!N27/SER_summary!N$26)</f>
        <v>0.12913079629018659</v>
      </c>
      <c r="O27" s="146">
        <f>IF(SER_hh_tesh!O27=0,0,SER_hh_tesh!O27/SER_summary!O$26)</f>
        <v>0.13690081256151257</v>
      </c>
      <c r="P27" s="146">
        <f>IF(SER_hh_tesh!P27=0,0,SER_hh_tesh!P27/SER_summary!P$26)</f>
        <v>0.15316213483024993</v>
      </c>
      <c r="Q27" s="146">
        <f>IF(SER_hh_tesh!Q27=0,0,SER_hh_tesh!Q27/SER_summary!Q$26)</f>
        <v>0.15997475110970499</v>
      </c>
      <c r="R27" s="146">
        <f>IF(SER_hh_tesh!R27=0,0,SER_hh_tesh!R27/SER_summary!R$26)</f>
        <v>0.16672427617753455</v>
      </c>
      <c r="S27" s="146">
        <f>IF(SER_hh_tesh!S27=0,0,SER_hh_tesh!S27/SER_summary!S$26)</f>
        <v>0.17034449622234044</v>
      </c>
      <c r="T27" s="146">
        <f>IF(SER_hh_tesh!T27=0,0,SER_hh_tesh!T27/SER_summary!T$26)</f>
        <v>0.17222863538719504</v>
      </c>
      <c r="U27" s="146">
        <f>IF(SER_hh_tesh!U27=0,0,SER_hh_tesh!U27/SER_summary!U$26)</f>
        <v>0.17290417638214231</v>
      </c>
      <c r="V27" s="146">
        <f>IF(SER_hh_tesh!V27=0,0,SER_hh_tesh!V27/SER_summary!V$26)</f>
        <v>0.17561538397210474</v>
      </c>
      <c r="W27" s="146">
        <f>IF(SER_hh_tesh!W27=0,0,SER_hh_tesh!W27/SER_summary!W$26)</f>
        <v>0.17809604968960174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3.8320774294027999</v>
      </c>
      <c r="F28" s="147">
        <f>IF(SER_hh_tesh!F28=0,0,SER_hh_tesh!F28/SER_summary!F$26)</f>
        <v>3.6888101346191551</v>
      </c>
      <c r="G28" s="147">
        <f>IF(SER_hh_tesh!G28=0,0,SER_hh_tesh!G28/SER_summary!G$26)</f>
        <v>3.7564528150945726</v>
      </c>
      <c r="H28" s="147">
        <f>IF(SER_hh_tesh!H28=0,0,SER_hh_tesh!H28/SER_summary!H$26)</f>
        <v>3.6452210756916696</v>
      </c>
      <c r="I28" s="147">
        <f>IF(SER_hh_tesh!I28=0,0,SER_hh_tesh!I28/SER_summary!I$26)</f>
        <v>3.7164027017208703</v>
      </c>
      <c r="J28" s="147">
        <f>IF(SER_hh_tesh!J28=0,0,SER_hh_tesh!J28/SER_summary!J$26)</f>
        <v>3.8045935509032218</v>
      </c>
      <c r="K28" s="147">
        <f>IF(SER_hh_tesh!K28=0,0,SER_hh_tesh!K28/SER_summary!K$26)</f>
        <v>4.0145524471426945</v>
      </c>
      <c r="L28" s="147">
        <f>IF(SER_hh_tesh!L28=0,0,SER_hh_tesh!L28/SER_summary!L$26)</f>
        <v>4.2468580419340878</v>
      </c>
      <c r="M28" s="147">
        <f>IF(SER_hh_tesh!M28=0,0,SER_hh_tesh!M28/SER_summary!M$26)</f>
        <v>4.7118725378910744</v>
      </c>
      <c r="N28" s="147">
        <f>IF(SER_hh_tesh!N28=0,0,SER_hh_tesh!N28/SER_summary!N$26)</f>
        <v>4.8943724699557869</v>
      </c>
      <c r="O28" s="147">
        <f>IF(SER_hh_tesh!O28=0,0,SER_hh_tesh!O28/SER_summary!O$26)</f>
        <v>5.0360149565563326</v>
      </c>
      <c r="P28" s="147">
        <f>IF(SER_hh_tesh!P28=0,0,SER_hh_tesh!P28/SER_summary!P$26)</f>
        <v>4.7866658626590102</v>
      </c>
      <c r="Q28" s="147">
        <f>IF(SER_hh_tesh!Q28=0,0,SER_hh_tesh!Q28/SER_summary!Q$26)</f>
        <v>5.0386879221788243</v>
      </c>
      <c r="R28" s="147">
        <f>IF(SER_hh_tesh!R28=0,0,SER_hh_tesh!R28/SER_summary!R$26)</f>
        <v>5.269380542501394</v>
      </c>
      <c r="S28" s="147">
        <f>IF(SER_hh_tesh!S28=0,0,SER_hh_tesh!S28/SER_summary!S$26)</f>
        <v>5.240803603763081</v>
      </c>
      <c r="T28" s="147">
        <f>IF(SER_hh_tesh!T28=0,0,SER_hh_tesh!T28/SER_summary!T$26)</f>
        <v>5.1449713503590839</v>
      </c>
      <c r="U28" s="147">
        <f>IF(SER_hh_tesh!U28=0,0,SER_hh_tesh!U28/SER_summary!U$26)</f>
        <v>5.1974665287197954</v>
      </c>
      <c r="V28" s="147">
        <f>IF(SER_hh_tesh!V28=0,0,SER_hh_tesh!V28/SER_summary!V$26)</f>
        <v>4.7559510171281447</v>
      </c>
      <c r="W28" s="147">
        <f>IF(SER_hh_tesh!W28=0,0,SER_hh_tesh!W28/SER_summary!W$26)</f>
        <v>5.0725404932530331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8.3925074458418578</v>
      </c>
      <c r="C29" s="131">
        <f>IF(SER_hh_tesh!C29=0,0,SER_hh_tesh!C29/SER_summary!C$26)</f>
        <v>8.3930893471035368</v>
      </c>
      <c r="D29" s="131">
        <f>IF(SER_hh_tesh!D29=0,0,SER_hh_tesh!D29/SER_summary!D$26)</f>
        <v>8.3659680916449393</v>
      </c>
      <c r="E29" s="131">
        <f>IF(SER_hh_tesh!E29=0,0,SER_hh_tesh!E29/SER_summary!E$26)</f>
        <v>8.4542446346260771</v>
      </c>
      <c r="F29" s="131">
        <f>IF(SER_hh_tesh!F29=0,0,SER_hh_tesh!F29/SER_summary!F$26)</f>
        <v>8.4381271454051099</v>
      </c>
      <c r="G29" s="131">
        <f>IF(SER_hh_tesh!G29=0,0,SER_hh_tesh!G29/SER_summary!G$26)</f>
        <v>8.3556394452566405</v>
      </c>
      <c r="H29" s="131">
        <f>IF(SER_hh_tesh!H29=0,0,SER_hh_tesh!H29/SER_summary!H$26)</f>
        <v>8.4019054096506327</v>
      </c>
      <c r="I29" s="131">
        <f>IF(SER_hh_tesh!I29=0,0,SER_hh_tesh!I29/SER_summary!I$26)</f>
        <v>8.3253262560677168</v>
      </c>
      <c r="J29" s="131">
        <f>IF(SER_hh_tesh!J29=0,0,SER_hh_tesh!J29/SER_summary!J$26)</f>
        <v>8.4388761587078847</v>
      </c>
      <c r="K29" s="131">
        <f>IF(SER_hh_tesh!K29=0,0,SER_hh_tesh!K29/SER_summary!K$26)</f>
        <v>8.9355600401763482</v>
      </c>
      <c r="L29" s="131">
        <f>IF(SER_hh_tesh!L29=0,0,SER_hh_tesh!L29/SER_summary!L$26)</f>
        <v>9.2185362041190899</v>
      </c>
      <c r="M29" s="131">
        <f>IF(SER_hh_tesh!M29=0,0,SER_hh_tesh!M29/SER_summary!M$26)</f>
        <v>9.3386919464168425</v>
      </c>
      <c r="N29" s="131">
        <f>IF(SER_hh_tesh!N29=0,0,SER_hh_tesh!N29/SER_summary!N$26)</f>
        <v>9.4057432631645277</v>
      </c>
      <c r="O29" s="131">
        <f>IF(SER_hh_tesh!O29=0,0,SER_hh_tesh!O29/SER_summary!O$26)</f>
        <v>9.5505680985019854</v>
      </c>
      <c r="P29" s="131">
        <f>IF(SER_hh_tesh!P29=0,0,SER_hh_tesh!P29/SER_summary!P$26)</f>
        <v>9.6177793533627582</v>
      </c>
      <c r="Q29" s="131">
        <f>IF(SER_hh_tesh!Q29=0,0,SER_hh_tesh!Q29/SER_summary!Q$26)</f>
        <v>9.6181275101638395</v>
      </c>
      <c r="R29" s="131">
        <f>IF(SER_hh_tesh!R29=0,0,SER_hh_tesh!R29/SER_summary!R$26)</f>
        <v>9.6728956333404685</v>
      </c>
      <c r="S29" s="131">
        <f>IF(SER_hh_tesh!S29=0,0,SER_hh_tesh!S29/SER_summary!S$26)</f>
        <v>9.7468465503289075</v>
      </c>
      <c r="T29" s="131">
        <f>IF(SER_hh_tesh!T29=0,0,SER_hh_tesh!T29/SER_summary!T$26)</f>
        <v>9.6744202425518058</v>
      </c>
      <c r="U29" s="131">
        <f>IF(SER_hh_tesh!U29=0,0,SER_hh_tesh!U29/SER_summary!U$26)</f>
        <v>9.7533340792240413</v>
      </c>
      <c r="V29" s="131">
        <f>IF(SER_hh_tesh!V29=0,0,SER_hh_tesh!V29/SER_summary!V$26)</f>
        <v>9.1444911102856139</v>
      </c>
      <c r="W29" s="131">
        <f>IF(SER_hh_tesh!W29=0,0,SER_hh_tesh!W29/SER_summary!W$26)</f>
        <v>9.432899377273344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7.5295751745729804</v>
      </c>
      <c r="C31" s="133">
        <f>IF(SER_hh_tesh!C31=0,0,SER_hh_tesh!C31/SER_summary!C$26)</f>
        <v>8.7077419636251019</v>
      </c>
      <c r="D31" s="133">
        <f>IF(SER_hh_tesh!D31=0,0,SER_hh_tesh!D31/SER_summary!D$26)</f>
        <v>8.5772811595541043</v>
      </c>
      <c r="E31" s="133">
        <f>IF(SER_hh_tesh!E31=0,0,SER_hh_tesh!E31/SER_summary!E$26)</f>
        <v>8.3727707091566952</v>
      </c>
      <c r="F31" s="133">
        <f>IF(SER_hh_tesh!F31=0,0,SER_hh_tesh!F31/SER_summary!F$26)</f>
        <v>8.5599748801119731</v>
      </c>
      <c r="G31" s="133">
        <f>IF(SER_hh_tesh!G31=0,0,SER_hh_tesh!G31/SER_summary!G$26)</f>
        <v>8.3945683975817715</v>
      </c>
      <c r="H31" s="133">
        <f>IF(SER_hh_tesh!H31=0,0,SER_hh_tesh!H31/SER_summary!H$26)</f>
        <v>8.2807910494093537</v>
      </c>
      <c r="I31" s="133">
        <f>IF(SER_hh_tesh!I31=0,0,SER_hh_tesh!I31/SER_summary!I$26)</f>
        <v>8.3233707552830758</v>
      </c>
      <c r="J31" s="133">
        <f>IF(SER_hh_tesh!J31=0,0,SER_hh_tesh!J31/SER_summary!J$26)</f>
        <v>8.4845665213941928</v>
      </c>
      <c r="K31" s="133">
        <f>IF(SER_hh_tesh!K31=0,0,SER_hh_tesh!K31/SER_summary!K$26)</f>
        <v>9.495599201681431</v>
      </c>
      <c r="L31" s="133">
        <f>IF(SER_hh_tesh!L31=0,0,SER_hh_tesh!L31/SER_summary!L$26)</f>
        <v>9.2084702211534957</v>
      </c>
      <c r="M31" s="133">
        <f>IF(SER_hh_tesh!M31=0,0,SER_hh_tesh!M31/SER_summary!M$26)</f>
        <v>9.3286181225377138</v>
      </c>
      <c r="N31" s="133">
        <f>IF(SER_hh_tesh!N31=0,0,SER_hh_tesh!N31/SER_summary!N$26)</f>
        <v>9.4139617806667761</v>
      </c>
      <c r="O31" s="133">
        <f>IF(SER_hh_tesh!O31=0,0,SER_hh_tesh!O31/SER_summary!O$26)</f>
        <v>9.4994654606138962</v>
      </c>
      <c r="P31" s="133">
        <f>IF(SER_hh_tesh!P31=0,0,SER_hh_tesh!P31/SER_summary!P$26)</f>
        <v>9.5412896033836905</v>
      </c>
      <c r="Q31" s="133">
        <f>IF(SER_hh_tesh!Q31=0,0,SER_hh_tesh!Q31/SER_summary!Q$26)</f>
        <v>9.2566127005683381</v>
      </c>
      <c r="R31" s="133">
        <f>IF(SER_hh_tesh!R31=0,0,SER_hh_tesh!R31/SER_summary!R$26)</f>
        <v>9.5422689650570778</v>
      </c>
      <c r="S31" s="133">
        <f>IF(SER_hh_tesh!S31=0,0,SER_hh_tesh!S31/SER_summary!S$26)</f>
        <v>10.261908473966434</v>
      </c>
      <c r="T31" s="133">
        <f>IF(SER_hh_tesh!T31=0,0,SER_hh_tesh!T31/SER_summary!T$26)</f>
        <v>9.4684349885564245</v>
      </c>
      <c r="U31" s="133">
        <f>IF(SER_hh_tesh!U31=0,0,SER_hh_tesh!U31/SER_summary!U$26)</f>
        <v>10.011640020760517</v>
      </c>
      <c r="V31" s="133">
        <f>IF(SER_hh_tesh!V31=0,0,SER_hh_tesh!V31/SER_summary!V$26)</f>
        <v>9.1939008649208276</v>
      </c>
      <c r="W31" s="133">
        <f>IF(SER_hh_tesh!W31=0,0,SER_hh_tesh!W31/SER_summary!W$26)</f>
        <v>9.0014489344249515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9.2332262367695837</v>
      </c>
      <c r="C33" s="68">
        <f>IF(SER_hh_tesh!C33=0,0,SER_hh_tesh!C33/SER_summary!C$26)</f>
        <v>8.0793117818775908</v>
      </c>
      <c r="D33" s="68">
        <f>IF(SER_hh_tesh!D33=0,0,SER_hh_tesh!D33/SER_summary!D$26)</f>
        <v>8.1508582845537507</v>
      </c>
      <c r="E33" s="68">
        <f>IF(SER_hh_tesh!E33=0,0,SER_hh_tesh!E33/SER_summary!E$26)</f>
        <v>8.5373432771788629</v>
      </c>
      <c r="F33" s="68">
        <f>IF(SER_hh_tesh!F33=0,0,SER_hh_tesh!F33/SER_summary!F$26)</f>
        <v>8.3166787557294608</v>
      </c>
      <c r="G33" s="68">
        <f>IF(SER_hh_tesh!G33=0,0,SER_hh_tesh!G33/SER_summary!G$26)</f>
        <v>8.3170210724012374</v>
      </c>
      <c r="H33" s="68">
        <f>IF(SER_hh_tesh!H33=0,0,SER_hh_tesh!H33/SER_summary!H$26)</f>
        <v>8.5183003899993377</v>
      </c>
      <c r="I33" s="68">
        <f>IF(SER_hh_tesh!I33=0,0,SER_hh_tesh!I33/SER_summary!I$26)</f>
        <v>8.3272032272411973</v>
      </c>
      <c r="J33" s="68">
        <f>IF(SER_hh_tesh!J33=0,0,SER_hh_tesh!J33/SER_summary!J$26)</f>
        <v>8.3945666796440275</v>
      </c>
      <c r="K33" s="68">
        <f>IF(SER_hh_tesh!K33=0,0,SER_hh_tesh!K33/SER_summary!K$26)</f>
        <v>8.3865738696394896</v>
      </c>
      <c r="L33" s="68">
        <f>IF(SER_hh_tesh!L33=0,0,SER_hh_tesh!L33/SER_summary!L$26)</f>
        <v>9.2285991276230863</v>
      </c>
      <c r="M33" s="68">
        <f>IF(SER_hh_tesh!M33=0,0,SER_hh_tesh!M33/SER_summary!M$26)</f>
        <v>9.3484968610261738</v>
      </c>
      <c r="N33" s="68">
        <f>IF(SER_hh_tesh!N33=0,0,SER_hh_tesh!N33/SER_summary!N$26)</f>
        <v>9.397952070065374</v>
      </c>
      <c r="O33" s="68">
        <f>IF(SER_hh_tesh!O33=0,0,SER_hh_tesh!O33/SER_summary!O$26)</f>
        <v>9.5981831827515869</v>
      </c>
      <c r="P33" s="68">
        <f>IF(SER_hh_tesh!P33=0,0,SER_hh_tesh!P33/SER_summary!P$26)</f>
        <v>9.688349465761803</v>
      </c>
      <c r="Q33" s="68">
        <f>IF(SER_hh_tesh!Q33=0,0,SER_hh_tesh!Q33/SER_summary!Q$26)</f>
        <v>9.9580700705269063</v>
      </c>
      <c r="R33" s="68">
        <f>IF(SER_hh_tesh!R33=0,0,SER_hh_tesh!R33/SER_summary!R$26)</f>
        <v>9.8058328937089279</v>
      </c>
      <c r="S33" s="68">
        <f>IF(SER_hh_tesh!S33=0,0,SER_hh_tesh!S33/SER_summary!S$26)</f>
        <v>9.1626723624763144</v>
      </c>
      <c r="T33" s="68">
        <f>IF(SER_hh_tesh!T33=0,0,SER_hh_tesh!T33/SER_summary!T$26)</f>
        <v>9.9140047026042453</v>
      </c>
      <c r="U33" s="68">
        <f>IF(SER_hh_tesh!U33=0,0,SER_hh_tesh!U33/SER_summary!U$26)</f>
        <v>9.4469532555264095</v>
      </c>
      <c r="V33" s="68">
        <f>IF(SER_hh_tesh!V33=0,0,SER_hh_tesh!V33/SER_summary!V$26)</f>
        <v>9.0875851035516764</v>
      </c>
      <c r="W33" s="68">
        <f>IF(SER_hh_tesh!W33=0,0,SER_hh_tesh!W33/SER_summary!W$26)</f>
        <v>9.9255155875184293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24.903523223546589</v>
      </c>
      <c r="C3" s="126">
        <f>IF(SER_hh_emih!C3=0,0,SER_hh_emih!C3/SER_summary!C$26)</f>
        <v>21.129510091911154</v>
      </c>
      <c r="D3" s="126">
        <f>IF(SER_hh_emih!D3=0,0,SER_hh_emih!D3/SER_summary!D$26)</f>
        <v>20.045852501923321</v>
      </c>
      <c r="E3" s="126">
        <f>IF(SER_hh_emih!E3=0,0,SER_hh_emih!E3/SER_summary!E$26)</f>
        <v>24.228823543346625</v>
      </c>
      <c r="F3" s="126">
        <f>IF(SER_hh_emih!F3=0,0,SER_hh_emih!F3/SER_summary!F$26)</f>
        <v>24.310526689761993</v>
      </c>
      <c r="G3" s="126">
        <f>IF(SER_hh_emih!G3=0,0,SER_hh_emih!G3/SER_summary!G$26)</f>
        <v>16.710510496732443</v>
      </c>
      <c r="H3" s="126">
        <f>IF(SER_hh_emih!H3=0,0,SER_hh_emih!H3/SER_summary!H$26)</f>
        <v>17.178567411356163</v>
      </c>
      <c r="I3" s="126">
        <f>IF(SER_hh_emih!I3=0,0,SER_hh_emih!I3/SER_summary!I$26)</f>
        <v>14.686151783631953</v>
      </c>
      <c r="J3" s="126">
        <f>IF(SER_hh_emih!J3=0,0,SER_hh_emih!J3/SER_summary!J$26)</f>
        <v>16.266986238109968</v>
      </c>
      <c r="K3" s="126">
        <f>IF(SER_hh_emih!K3=0,0,SER_hh_emih!K3/SER_summary!K$26)</f>
        <v>14.163865346374273</v>
      </c>
      <c r="L3" s="126">
        <f>IF(SER_hh_emih!L3=0,0,SER_hh_emih!L3/SER_summary!L$26)</f>
        <v>14.829132539760337</v>
      </c>
      <c r="M3" s="126">
        <f>IF(SER_hh_emih!M3=0,0,SER_hh_emih!M3/SER_summary!M$26)</f>
        <v>14.029681766830363</v>
      </c>
      <c r="N3" s="126">
        <f>IF(SER_hh_emih!N3=0,0,SER_hh_emih!N3/SER_summary!N$26)</f>
        <v>13.197575824031949</v>
      </c>
      <c r="O3" s="126">
        <f>IF(SER_hh_emih!O3=0,0,SER_hh_emih!O3/SER_summary!O$26)</f>
        <v>12.568655987671903</v>
      </c>
      <c r="P3" s="126">
        <f>IF(SER_hh_emih!P3=0,0,SER_hh_emih!P3/SER_summary!P$26)</f>
        <v>11.988470379043809</v>
      </c>
      <c r="Q3" s="126">
        <f>IF(SER_hh_emih!Q3=0,0,SER_hh_emih!Q3/SER_summary!Q$26)</f>
        <v>11.874950431880267</v>
      </c>
      <c r="R3" s="126">
        <f>IF(SER_hh_emih!R3=0,0,SER_hh_emih!R3/SER_summary!R$26)</f>
        <v>11.963587721461197</v>
      </c>
      <c r="S3" s="126">
        <f>IF(SER_hh_emih!S3=0,0,SER_hh_emih!S3/SER_summary!S$26)</f>
        <v>12.534244356971584</v>
      </c>
      <c r="T3" s="126">
        <f>IF(SER_hh_emih!T3=0,0,SER_hh_emih!T3/SER_summary!T$26)</f>
        <v>11.127169456944014</v>
      </c>
      <c r="U3" s="126">
        <f>IF(SER_hh_emih!U3=0,0,SER_hh_emih!U3/SER_summary!U$26)</f>
        <v>11.621614161956632</v>
      </c>
      <c r="V3" s="126">
        <f>IF(SER_hh_emih!V3=0,0,SER_hh_emih!V3/SER_summary!V$26)</f>
        <v>10.415438488077156</v>
      </c>
      <c r="W3" s="126">
        <f>IF(SER_hh_emih!W3=0,0,SER_hh_emih!W3/SER_summary!W$26)</f>
        <v>9.9026714445393367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22.584661172236384</v>
      </c>
      <c r="C4" s="131">
        <f>IF(SER_hh_emih!C4=0,0,SER_hh_emih!C4/SER_summary!C$26)</f>
        <v>18.605344312388482</v>
      </c>
      <c r="D4" s="131">
        <f>IF(SER_hh_emih!D4=0,0,SER_hh_emih!D4/SER_summary!D$26)</f>
        <v>17.5097561420971</v>
      </c>
      <c r="E4" s="131">
        <f>IF(SER_hh_emih!E4=0,0,SER_hh_emih!E4/SER_summary!E$26)</f>
        <v>21.766695394103994</v>
      </c>
      <c r="F4" s="131">
        <f>IF(SER_hh_emih!F4=0,0,SER_hh_emih!F4/SER_summary!F$26)</f>
        <v>21.848782322126244</v>
      </c>
      <c r="G4" s="131">
        <f>IF(SER_hh_emih!G4=0,0,SER_hh_emih!G4/SER_summary!G$26)</f>
        <v>14.257292866574314</v>
      </c>
      <c r="H4" s="131">
        <f>IF(SER_hh_emih!H4=0,0,SER_hh_emih!H4/SER_summary!H$26)</f>
        <v>14.756384675070603</v>
      </c>
      <c r="I4" s="131">
        <f>IF(SER_hh_emih!I4=0,0,SER_hh_emih!I4/SER_summary!I$26)</f>
        <v>12.246417092578648</v>
      </c>
      <c r="J4" s="131">
        <f>IF(SER_hh_emih!J4=0,0,SER_hh_emih!J4/SER_summary!J$26)</f>
        <v>13.754229262065294</v>
      </c>
      <c r="K4" s="131">
        <f>IF(SER_hh_emih!K4=0,0,SER_hh_emih!K4/SER_summary!K$26)</f>
        <v>11.227890885780887</v>
      </c>
      <c r="L4" s="131">
        <f>IF(SER_hh_emih!L4=0,0,SER_hh_emih!L4/SER_summary!L$26)</f>
        <v>12.018511817855398</v>
      </c>
      <c r="M4" s="131">
        <f>IF(SER_hh_emih!M4=0,0,SER_hh_emih!M4/SER_summary!M$26)</f>
        <v>11.231890716827223</v>
      </c>
      <c r="N4" s="131">
        <f>IF(SER_hh_emih!N4=0,0,SER_hh_emih!N4/SER_summary!N$26)</f>
        <v>10.401471784573566</v>
      </c>
      <c r="O4" s="131">
        <f>IF(SER_hh_emih!O4=0,0,SER_hh_emih!O4/SER_summary!O$26)</f>
        <v>9.7764592724518504</v>
      </c>
      <c r="P4" s="131">
        <f>IF(SER_hh_emih!P4=0,0,SER_hh_emih!P4/SER_summary!P$26)</f>
        <v>9.2066810783568318</v>
      </c>
      <c r="Q4" s="131">
        <f>IF(SER_hh_emih!Q4=0,0,SER_hh_emih!Q4/SER_summary!Q$26)</f>
        <v>9.1404883593828163</v>
      </c>
      <c r="R4" s="131">
        <f>IF(SER_hh_emih!R4=0,0,SER_hh_emih!R4/SER_summary!R$26)</f>
        <v>9.1289565135566235</v>
      </c>
      <c r="S4" s="131">
        <f>IF(SER_hh_emih!S4=0,0,SER_hh_emih!S4/SER_summary!S$26)</f>
        <v>9.4224545773731432</v>
      </c>
      <c r="T4" s="131">
        <f>IF(SER_hh_emih!T4=0,0,SER_hh_emih!T4/SER_summary!T$26)</f>
        <v>8.2820765257102451</v>
      </c>
      <c r="U4" s="131">
        <f>IF(SER_hh_emih!U4=0,0,SER_hh_emih!U4/SER_summary!U$26)</f>
        <v>8.6207378154818137</v>
      </c>
      <c r="V4" s="131">
        <f>IF(SER_hh_emih!V4=0,0,SER_hh_emih!V4/SER_summary!V$26)</f>
        <v>7.6987565881941089</v>
      </c>
      <c r="W4" s="131">
        <f>IF(SER_hh_emih!W4=0,0,SER_hh_emih!W4/SER_summary!W$26)</f>
        <v>7.2682629456749659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77.921869941818329</v>
      </c>
      <c r="C5" s="133">
        <f>IF(SER_hh_emih!C5=0,0,SER_hh_emih!C5/SER_summary!C$26)</f>
        <v>41.586304452882992</v>
      </c>
      <c r="D5" s="133">
        <f>IF(SER_hh_emih!D5=0,0,SER_hh_emih!D5/SER_summary!D$26)</f>
        <v>42.802718113658287</v>
      </c>
      <c r="E5" s="133">
        <f>IF(SER_hh_emih!E5=0,0,SER_hh_emih!E5/SER_summary!E$26)</f>
        <v>78.969026932225674</v>
      </c>
      <c r="F5" s="133">
        <f>IF(SER_hh_emih!F5=0,0,SER_hh_emih!F5/SER_summary!F$26)</f>
        <v>84.554924844832101</v>
      </c>
      <c r="G5" s="133">
        <f>IF(SER_hh_emih!G5=0,0,SER_hh_emih!G5/SER_summary!G$26)</f>
        <v>21.243333940243652</v>
      </c>
      <c r="H5" s="133">
        <f>IF(SER_hh_emih!H5=0,0,SER_hh_emih!H5/SER_summary!H$26)</f>
        <v>53.390702973435921</v>
      </c>
      <c r="I5" s="133">
        <f>IF(SER_hh_emih!I5=0,0,SER_hh_emih!I5/SER_summary!I$26)</f>
        <v>30.178900294961256</v>
      </c>
      <c r="J5" s="133">
        <f>IF(SER_hh_emih!J5=0,0,SER_hh_emih!J5/SER_summary!J$26)</f>
        <v>50.805531219841477</v>
      </c>
      <c r="K5" s="133">
        <f>IF(SER_hh_emih!K5=0,0,SER_hh_emih!K5/SER_summary!K$26)</f>
        <v>26.171465523845871</v>
      </c>
      <c r="L5" s="133">
        <f>IF(SER_hh_emih!L5=0,0,SER_hh_emih!L5/SER_summary!L$26)</f>
        <v>42.537205053212865</v>
      </c>
      <c r="M5" s="133">
        <f>IF(SER_hh_emih!M5=0,0,SER_hh_emih!M5/SER_summary!M$26)</f>
        <v>40.74047362739406</v>
      </c>
      <c r="N5" s="133">
        <f>IF(SER_hh_emih!N5=0,0,SER_hh_emih!N5/SER_summary!N$26)</f>
        <v>36.451463066186285</v>
      </c>
      <c r="O5" s="133">
        <f>IF(SER_hh_emih!O5=0,0,SER_hh_emih!O5/SER_summary!O$26)</f>
        <v>34.924006781762969</v>
      </c>
      <c r="P5" s="133">
        <f>IF(SER_hh_emih!P5=0,0,SER_hh_emih!P5/SER_summary!P$26)</f>
        <v>30.538108807821818</v>
      </c>
      <c r="Q5" s="133">
        <f>IF(SER_hh_emih!Q5=0,0,SER_hh_emih!Q5/SER_summary!Q$26)</f>
        <v>27.255744424391114</v>
      </c>
      <c r="R5" s="133">
        <f>IF(SER_hh_emih!R5=0,0,SER_hh_emih!R5/SER_summary!R$26)</f>
        <v>34.320491716086302</v>
      </c>
      <c r="S5" s="133">
        <f>IF(SER_hh_emih!S5=0,0,SER_hh_emih!S5/SER_summary!S$26)</f>
        <v>34.748920845878651</v>
      </c>
      <c r="T5" s="133">
        <f>IF(SER_hh_emih!T5=0,0,SER_hh_emih!T5/SER_summary!T$26)</f>
        <v>26.799426715247264</v>
      </c>
      <c r="U5" s="133">
        <f>IF(SER_hh_emih!U5=0,0,SER_hh_emih!U5/SER_summary!U$26)</f>
        <v>33.333134397223859</v>
      </c>
      <c r="V5" s="133">
        <f>IF(SER_hh_emih!V5=0,0,SER_hh_emih!V5/SER_summary!V$26)</f>
        <v>26.421825263505838</v>
      </c>
      <c r="W5" s="133">
        <f>IF(SER_hh_emih!W5=0,0,SER_hh_emih!W5/SER_summary!W$26)</f>
        <v>29.927493494987267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65.473616790238339</v>
      </c>
      <c r="C7" s="133">
        <f>IF(SER_hh_emih!C7=0,0,SER_hh_emih!C7/SER_summary!C$26)</f>
        <v>23.402578364554895</v>
      </c>
      <c r="D7" s="133">
        <f>IF(SER_hh_emih!D7=0,0,SER_hh_emih!D7/SER_summary!D$26)</f>
        <v>59.113421507947997</v>
      </c>
      <c r="E7" s="133">
        <f>IF(SER_hh_emih!E7=0,0,SER_hh_emih!E7/SER_summary!E$26)</f>
        <v>46.221649888154865</v>
      </c>
      <c r="F7" s="133">
        <f>IF(SER_hh_emih!F7=0,0,SER_hh_emih!F7/SER_summary!F$26)</f>
        <v>49.859912828592115</v>
      </c>
      <c r="G7" s="133">
        <f>IF(SER_hh_emih!G7=0,0,SER_hh_emih!G7/SER_summary!G$26)</f>
        <v>34.264584364270668</v>
      </c>
      <c r="H7" s="133">
        <f>IF(SER_hh_emih!H7=0,0,SER_hh_emih!H7/SER_summary!H$26)</f>
        <v>37.045678006848227</v>
      </c>
      <c r="I7" s="133">
        <f>IF(SER_hh_emih!I7=0,0,SER_hh_emih!I7/SER_summary!I$26)</f>
        <v>34.712357658066452</v>
      </c>
      <c r="J7" s="133">
        <f>IF(SER_hh_emih!J7=0,0,SER_hh_emih!J7/SER_summary!J$26)</f>
        <v>35.818521578682748</v>
      </c>
      <c r="K7" s="133">
        <f>IF(SER_hh_emih!K7=0,0,SER_hh_emih!K7/SER_summary!K$26)</f>
        <v>28.229052361308728</v>
      </c>
      <c r="L7" s="133">
        <f>IF(SER_hh_emih!L7=0,0,SER_hh_emih!L7/SER_summary!L$26)</f>
        <v>35.600543437924351</v>
      </c>
      <c r="M7" s="133">
        <f>IF(SER_hh_emih!M7=0,0,SER_hh_emih!M7/SER_summary!M$26)</f>
        <v>25.926376173528084</v>
      </c>
      <c r="N7" s="133">
        <f>IF(SER_hh_emih!N7=0,0,SER_hh_emih!N7/SER_summary!N$26)</f>
        <v>37.849589558922567</v>
      </c>
      <c r="O7" s="133">
        <f>IF(SER_hh_emih!O7=0,0,SER_hh_emih!O7/SER_summary!O$26)</f>
        <v>28.098179703063565</v>
      </c>
      <c r="P7" s="133">
        <f>IF(SER_hh_emih!P7=0,0,SER_hh_emih!P7/SER_summary!P$26)</f>
        <v>17.807018730363978</v>
      </c>
      <c r="Q7" s="133">
        <f>IF(SER_hh_emih!Q7=0,0,SER_hh_emih!Q7/SER_summary!Q$26)</f>
        <v>30.523888199025535</v>
      </c>
      <c r="R7" s="133">
        <f>IF(SER_hh_emih!R7=0,0,SER_hh_emih!R7/SER_summary!R$26)</f>
        <v>27.94170360165359</v>
      </c>
      <c r="S7" s="133">
        <f>IF(SER_hh_emih!S7=0,0,SER_hh_emih!S7/SER_summary!S$26)</f>
        <v>28.81428477621894</v>
      </c>
      <c r="T7" s="133">
        <f>IF(SER_hh_emih!T7=0,0,SER_hh_emih!T7/SER_summary!T$26)</f>
        <v>20.931720758956924</v>
      </c>
      <c r="U7" s="133">
        <f>IF(SER_hh_emih!U7=0,0,SER_hh_emih!U7/SER_summary!U$26)</f>
        <v>20.111152892506269</v>
      </c>
      <c r="V7" s="133">
        <f>IF(SER_hh_emih!V7=0,0,SER_hh_emih!V7/SER_summary!V$26)</f>
        <v>22.511719393561055</v>
      </c>
      <c r="W7" s="133">
        <f>IF(SER_hh_emih!W7=0,0,SER_hh_emih!W7/SER_summary!W$26)</f>
        <v>29.109671590340806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4.1264887860478305</v>
      </c>
      <c r="H8" s="133">
        <f>IF(SER_hh_emih!H8=0,0,SER_hh_emih!H8/SER_summary!H$26)</f>
        <v>4.7341521763067691</v>
      </c>
      <c r="I8" s="133">
        <f>IF(SER_hh_emih!I8=0,0,SER_hh_emih!I8/SER_summary!I$26)</f>
        <v>5.2145186442721885</v>
      </c>
      <c r="J8" s="133">
        <f>IF(SER_hh_emih!J8=0,0,SER_hh_emih!J8/SER_summary!J$26)</f>
        <v>5.7534404794247758</v>
      </c>
      <c r="K8" s="133">
        <f>IF(SER_hh_emih!K8=0,0,SER_hh_emih!K8/SER_summary!K$26)</f>
        <v>5.2890079672442614</v>
      </c>
      <c r="L8" s="133">
        <f>IF(SER_hh_emih!L8=0,0,SER_hh_emih!L8/SER_summary!L$26)</f>
        <v>4.5173263222295938</v>
      </c>
      <c r="M8" s="133">
        <f>IF(SER_hh_emih!M8=0,0,SER_hh_emih!M8/SER_summary!M$26)</f>
        <v>4.0741665441463333</v>
      </c>
      <c r="N8" s="133">
        <f>IF(SER_hh_emih!N8=0,0,SER_hh_emih!N8/SER_summary!N$26)</f>
        <v>3.4616380776057536</v>
      </c>
      <c r="O8" s="133">
        <f>IF(SER_hh_emih!O8=0,0,SER_hh_emih!O8/SER_summary!O$26)</f>
        <v>3.7330453489848519</v>
      </c>
      <c r="P8" s="133">
        <f>IF(SER_hh_emih!P8=0,0,SER_hh_emih!P8/SER_summary!P$26)</f>
        <v>4.0166511256991129</v>
      </c>
      <c r="Q8" s="133">
        <f>IF(SER_hh_emih!Q8=0,0,SER_hh_emih!Q8/SER_summary!Q$26)</f>
        <v>3.7065444584283953</v>
      </c>
      <c r="R8" s="133">
        <f>IF(SER_hh_emih!R8=0,0,SER_hh_emih!R8/SER_summary!R$26)</f>
        <v>3.5993886218981292</v>
      </c>
      <c r="S8" s="133">
        <f>IF(SER_hh_emih!S8=0,0,SER_hh_emih!S8/SER_summary!S$26)</f>
        <v>3.5057308915057845</v>
      </c>
      <c r="T8" s="133">
        <f>IF(SER_hh_emih!T8=0,0,SER_hh_emih!T8/SER_summary!T$26)</f>
        <v>3.3861599457528331</v>
      </c>
      <c r="U8" s="133">
        <f>IF(SER_hh_emih!U8=0,0,SER_hh_emih!U8/SER_summary!U$26)</f>
        <v>3.3960079097398781</v>
      </c>
      <c r="V8" s="133">
        <f>IF(SER_hh_emih!V8=0,0,SER_hh_emih!V8/SER_summary!V$26)</f>
        <v>3.2143377360904082</v>
      </c>
      <c r="W8" s="133">
        <f>IF(SER_hh_emih!W8=0,0,SER_hh_emih!W8/SER_summary!W$26)</f>
        <v>3.2688371503631739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35.721633316417382</v>
      </c>
      <c r="C9" s="133">
        <f>IF(SER_hh_emih!C9=0,0,SER_hh_emih!C9/SER_summary!C$26)</f>
        <v>39.365352592727291</v>
      </c>
      <c r="D9" s="133">
        <f>IF(SER_hh_emih!D9=0,0,SER_hh_emih!D9/SER_summary!D$26)</f>
        <v>34.129773207330956</v>
      </c>
      <c r="E9" s="133">
        <f>IF(SER_hh_emih!E9=0,0,SER_hh_emih!E9/SER_summary!E$26)</f>
        <v>32.935062310391437</v>
      </c>
      <c r="F9" s="133">
        <f>IF(SER_hh_emih!F9=0,0,SER_hh_emih!F9/SER_summary!F$26)</f>
        <v>29.881791939391352</v>
      </c>
      <c r="G9" s="133">
        <f>IF(SER_hh_emih!G9=0,0,SER_hh_emih!G9/SER_summary!G$26)</f>
        <v>27.615754991190887</v>
      </c>
      <c r="H9" s="133">
        <f>IF(SER_hh_emih!H9=0,0,SER_hh_emih!H9/SER_summary!H$26)</f>
        <v>23.74923428932134</v>
      </c>
      <c r="I9" s="133">
        <f>IF(SER_hh_emih!I9=0,0,SER_hh_emih!I9/SER_summary!I$26)</f>
        <v>21.262140907067337</v>
      </c>
      <c r="J9" s="133">
        <f>IF(SER_hh_emih!J9=0,0,SER_hh_emih!J9/SER_summary!J$26)</f>
        <v>22.84451118560278</v>
      </c>
      <c r="K9" s="133">
        <f>IF(SER_hh_emih!K9=0,0,SER_hh_emih!K9/SER_summary!K$26)</f>
        <v>20.609499534006087</v>
      </c>
      <c r="L9" s="133">
        <f>IF(SER_hh_emih!L9=0,0,SER_hh_emih!L9/SER_summary!L$26)</f>
        <v>21.958980715625248</v>
      </c>
      <c r="M9" s="133">
        <f>IF(SER_hh_emih!M9=0,0,SER_hh_emih!M9/SER_summary!M$26)</f>
        <v>20.847676576588306</v>
      </c>
      <c r="N9" s="133">
        <f>IF(SER_hh_emih!N9=0,0,SER_hh_emih!N9/SER_summary!N$26)</f>
        <v>19.350794892835939</v>
      </c>
      <c r="O9" s="133">
        <f>IF(SER_hh_emih!O9=0,0,SER_hh_emih!O9/SER_summary!O$26)</f>
        <v>18.338321007176642</v>
      </c>
      <c r="P9" s="133">
        <f>IF(SER_hh_emih!P9=0,0,SER_hh_emih!P9/SER_summary!P$26)</f>
        <v>17.491096496011643</v>
      </c>
      <c r="Q9" s="133">
        <f>IF(SER_hh_emih!Q9=0,0,SER_hh_emih!Q9/SER_summary!Q$26)</f>
        <v>17.005329559355125</v>
      </c>
      <c r="R9" s="133">
        <f>IF(SER_hh_emih!R9=0,0,SER_hh_emih!R9/SER_summary!R$26)</f>
        <v>17.214445329064311</v>
      </c>
      <c r="S9" s="133">
        <f>IF(SER_hh_emih!S9=0,0,SER_hh_emih!S9/SER_summary!S$26)</f>
        <v>18.070337502884282</v>
      </c>
      <c r="T9" s="133">
        <f>IF(SER_hh_emih!T9=0,0,SER_hh_emih!T9/SER_summary!T$26)</f>
        <v>16.382291780424453</v>
      </c>
      <c r="U9" s="133">
        <f>IF(SER_hh_emih!U9=0,0,SER_hh_emih!U9/SER_summary!U$26)</f>
        <v>17.135106232045832</v>
      </c>
      <c r="V9" s="133">
        <f>IF(SER_hh_emih!V9=0,0,SER_hh_emih!V9/SER_summary!V$26)</f>
        <v>15.635048495523906</v>
      </c>
      <c r="W9" s="133">
        <f>IF(SER_hh_emih!W9=0,0,SER_hh_emih!W9/SER_summary!W$26)</f>
        <v>14.666663152355767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45.486258850214242</v>
      </c>
      <c r="C10" s="133">
        <f>IF(SER_hh_emih!C10=0,0,SER_hh_emih!C10/SER_summary!C$26)</f>
        <v>47.002948438754622</v>
      </c>
      <c r="D10" s="133">
        <f>IF(SER_hh_emih!D10=0,0,SER_hh_emih!D10/SER_summary!D$26)</f>
        <v>33.041921247624593</v>
      </c>
      <c r="E10" s="133">
        <f>IF(SER_hh_emih!E10=0,0,SER_hh_emih!E10/SER_summary!E$26)</f>
        <v>30.866317752458798</v>
      </c>
      <c r="F10" s="133">
        <f>IF(SER_hh_emih!F10=0,0,SER_hh_emih!F10/SER_summary!F$26)</f>
        <v>24.748886478511885</v>
      </c>
      <c r="G10" s="133">
        <f>IF(SER_hh_emih!G10=0,0,SER_hh_emih!G10/SER_summary!G$26)</f>
        <v>24.297688316854217</v>
      </c>
      <c r="H10" s="133">
        <f>IF(SER_hh_emih!H10=0,0,SER_hh_emih!H10/SER_summary!H$26)</f>
        <v>20.700193894681302</v>
      </c>
      <c r="I10" s="133">
        <f>IF(SER_hh_emih!I10=0,0,SER_hh_emih!I10/SER_summary!I$26)</f>
        <v>25.217297368644026</v>
      </c>
      <c r="J10" s="133">
        <f>IF(SER_hh_emih!J10=0,0,SER_hh_emih!J10/SER_summary!J$26)</f>
        <v>28.075896774426653</v>
      </c>
      <c r="K10" s="133">
        <f>IF(SER_hh_emih!K10=0,0,SER_hh_emih!K10/SER_summary!K$26)</f>
        <v>23.509232999366741</v>
      </c>
      <c r="L10" s="133">
        <f>IF(SER_hh_emih!L10=0,0,SER_hh_emih!L10/SER_summary!L$26)</f>
        <v>26.077626499985097</v>
      </c>
      <c r="M10" s="133">
        <f>IF(SER_hh_emih!M10=0,0,SER_hh_emih!M10/SER_summary!M$26)</f>
        <v>22.358183812584794</v>
      </c>
      <c r="N10" s="133">
        <f>IF(SER_hh_emih!N10=0,0,SER_hh_emih!N10/SER_summary!N$26)</f>
        <v>20.402872862930995</v>
      </c>
      <c r="O10" s="133">
        <f>IF(SER_hh_emih!O10=0,0,SER_hh_emih!O10/SER_summary!O$26)</f>
        <v>20.653739267857659</v>
      </c>
      <c r="P10" s="133">
        <f>IF(SER_hh_emih!P10=0,0,SER_hh_emih!P10/SER_summary!P$26)</f>
        <v>18.928875404095812</v>
      </c>
      <c r="Q10" s="133">
        <f>IF(SER_hh_emih!Q10=0,0,SER_hh_emih!Q10/SER_summary!Q$26)</f>
        <v>21.104008631007606</v>
      </c>
      <c r="R10" s="133">
        <f>IF(SER_hh_emih!R10=0,0,SER_hh_emih!R10/SER_summary!R$26)</f>
        <v>19.460449895070639</v>
      </c>
      <c r="S10" s="133">
        <f>IF(SER_hh_emih!S10=0,0,SER_hh_emih!S10/SER_summary!S$26)</f>
        <v>20.145887033690407</v>
      </c>
      <c r="T10" s="133">
        <f>IF(SER_hh_emih!T10=0,0,SER_hh_emih!T10/SER_summary!T$26)</f>
        <v>21.095204629129874</v>
      </c>
      <c r="U10" s="133">
        <f>IF(SER_hh_emih!U10=0,0,SER_hh_emih!U10/SER_summary!U$26)</f>
        <v>22.635041508946795</v>
      </c>
      <c r="V10" s="133">
        <f>IF(SER_hh_emih!V10=0,0,SER_hh_emih!V10/SER_summary!V$26)</f>
        <v>20.100649919812049</v>
      </c>
      <c r="W10" s="133">
        <f>IF(SER_hh_emih!W10=0,0,SER_hh_emih!W10/SER_summary!W$26)</f>
        <v>21.15670590946781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4.5546097726283704E-3</v>
      </c>
      <c r="H16" s="131">
        <f>IF(SER_hh_emih!H16=0,0,SER_hh_emih!H16/SER_summary!H$26)</f>
        <v>4.7902137628412856E-3</v>
      </c>
      <c r="I16" s="131">
        <f>IF(SER_hh_emih!I16=0,0,SER_hh_emih!I16/SER_summary!I$26)</f>
        <v>5.7214175303922036E-3</v>
      </c>
      <c r="J16" s="131">
        <f>IF(SER_hh_emih!J16=0,0,SER_hh_emih!J16/SER_summary!J$26)</f>
        <v>5.2354291584030353E-3</v>
      </c>
      <c r="K16" s="131">
        <f>IF(SER_hh_emih!K16=0,0,SER_hh_emih!K16/SER_summary!K$26)</f>
        <v>6.3467379719656233E-3</v>
      </c>
      <c r="L16" s="131">
        <f>IF(SER_hh_emih!L16=0,0,SER_hh_emih!L16/SER_summary!L$26)</f>
        <v>6.0866209111049424E-3</v>
      </c>
      <c r="M16" s="131">
        <f>IF(SER_hh_emih!M16=0,0,SER_hh_emih!M16/SER_summary!M$26)</f>
        <v>5.9684591462735113E-3</v>
      </c>
      <c r="N16" s="131">
        <f>IF(SER_hh_emih!N16=0,0,SER_hh_emih!N16/SER_summary!N$26)</f>
        <v>6.0636909615029684E-3</v>
      </c>
      <c r="O16" s="131">
        <f>IF(SER_hh_emih!O16=0,0,SER_hh_emih!O16/SER_summary!O$26)</f>
        <v>7.3669660480527857E-3</v>
      </c>
      <c r="P16" s="131">
        <f>IF(SER_hh_emih!P16=0,0,SER_hh_emih!P16/SER_summary!P$26)</f>
        <v>9.9068725447959988E-3</v>
      </c>
      <c r="Q16" s="131">
        <f>IF(SER_hh_emih!Q16=0,0,SER_hh_emih!Q16/SER_summary!Q$26)</f>
        <v>1.7479861672791822E-2</v>
      </c>
      <c r="R16" s="131">
        <f>IF(SER_hh_emih!R16=0,0,SER_hh_emih!R16/SER_summary!R$26)</f>
        <v>1.7121180408360141E-2</v>
      </c>
      <c r="S16" s="131">
        <f>IF(SER_hh_emih!S16=0,0,SER_hh_emih!S16/SER_summary!S$26)</f>
        <v>2.0344128038972318E-2</v>
      </c>
      <c r="T16" s="131">
        <f>IF(SER_hh_emih!T16=0,0,SER_hh_emih!T16/SER_summary!T$26)</f>
        <v>2.5149158830398144E-2</v>
      </c>
      <c r="U16" s="131">
        <f>IF(SER_hh_emih!U16=0,0,SER_hh_emih!U16/SER_summary!U$26)</f>
        <v>2.4712303464530076E-2</v>
      </c>
      <c r="V16" s="131">
        <f>IF(SER_hh_emih!V16=0,0,SER_hh_emih!V16/SER_summary!V$26)</f>
        <v>2.7746654971234616E-2</v>
      </c>
      <c r="W16" s="131">
        <f>IF(SER_hh_emih!W16=0,0,SER_hh_emih!W16/SER_summary!W$26)</f>
        <v>2.7711035984591237E-2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4.3018629061272939</v>
      </c>
      <c r="H17" s="133">
        <f>IF(SER_hh_emih!H17=0,0,SER_hh_emih!H17/SER_summary!H$26)</f>
        <v>4.4243895048489179</v>
      </c>
      <c r="I17" s="133">
        <f>IF(SER_hh_emih!I17=0,0,SER_hh_emih!I17/SER_summary!I$26)</f>
        <v>4.3629192145883602</v>
      </c>
      <c r="J17" s="133">
        <f>IF(SER_hh_emih!J17=0,0,SER_hh_emih!J17/SER_summary!J$26)</f>
        <v>4.3029436882495133</v>
      </c>
      <c r="K17" s="133">
        <f>IF(SER_hh_emih!K17=0,0,SER_hh_emih!K17/SER_summary!K$26)</f>
        <v>4.3062327157912348</v>
      </c>
      <c r="L17" s="133">
        <f>IF(SER_hh_emih!L17=0,0,SER_hh_emih!L17/SER_summary!L$26)</f>
        <v>4.4213114263830793</v>
      </c>
      <c r="M17" s="133">
        <f>IF(SER_hh_emih!M17=0,0,SER_hh_emih!M17/SER_summary!M$26)</f>
        <v>4.3645151057758467</v>
      </c>
      <c r="N17" s="133">
        <f>IF(SER_hh_emih!N17=0,0,SER_hh_emih!N17/SER_summary!N$26)</f>
        <v>4.4228399363916582</v>
      </c>
      <c r="O17" s="133">
        <f>IF(SER_hh_emih!O17=0,0,SER_hh_emih!O17/SER_summary!O$26)</f>
        <v>4.6000988641057399</v>
      </c>
      <c r="P17" s="133">
        <f>IF(SER_hh_emih!P17=0,0,SER_hh_emih!P17/SER_summary!P$26)</f>
        <v>4.3035404568436624</v>
      </c>
      <c r="Q17" s="133">
        <f>IF(SER_hh_emih!Q17=0,0,SER_hh_emih!Q17/SER_summary!Q$26)</f>
        <v>4.9337610397556872</v>
      </c>
      <c r="R17" s="133">
        <f>IF(SER_hh_emih!R17=0,0,SER_hh_emih!R17/SER_summary!R$26)</f>
        <v>4.1777368445115473</v>
      </c>
      <c r="S17" s="133">
        <f>IF(SER_hh_emih!S17=0,0,SER_hh_emih!S17/SER_summary!S$26)</f>
        <v>4.1990622219939393</v>
      </c>
      <c r="T17" s="133">
        <f>IF(SER_hh_emih!T17=0,0,SER_hh_emih!T17/SER_summary!T$26)</f>
        <v>4.6404862146290551</v>
      </c>
      <c r="U17" s="133">
        <f>IF(SER_hh_emih!U17=0,0,SER_hh_emih!U17/SER_summary!U$26)</f>
        <v>4.2792085456646198</v>
      </c>
      <c r="V17" s="133">
        <f>IF(SER_hh_emih!V17=0,0,SER_hh_emih!V17/SER_summary!V$26)</f>
        <v>4.0170793209303941</v>
      </c>
      <c r="W17" s="133">
        <f>IF(SER_hh_emih!W17=0,0,SER_hh_emih!W17/SER_summary!W$26)</f>
        <v>3.9794762811527145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1.0237286544885267</v>
      </c>
      <c r="C19" s="131">
        <f>IF(SER_hh_emih!C19=0,0,SER_hh_emih!C19/SER_summary!C$26)</f>
        <v>1.0109456762695774</v>
      </c>
      <c r="D19" s="131">
        <f>IF(SER_hh_emih!D19=0,0,SER_hh_emih!D19/SER_summary!D$26)</f>
        <v>1.0339050844073989</v>
      </c>
      <c r="E19" s="131">
        <f>IF(SER_hh_emih!E19=0,0,SER_hh_emih!E19/SER_summary!E$26)</f>
        <v>1.014846420948758</v>
      </c>
      <c r="F19" s="131">
        <f>IF(SER_hh_emih!F19=0,0,SER_hh_emih!F19/SER_summary!F$26)</f>
        <v>1.0043179876627584</v>
      </c>
      <c r="G19" s="131">
        <f>IF(SER_hh_emih!G19=0,0,SER_hh_emih!G19/SER_summary!G$26)</f>
        <v>1.0270333067670157</v>
      </c>
      <c r="H19" s="131">
        <f>IF(SER_hh_emih!H19=0,0,SER_hh_emih!H19/SER_summary!H$26)</f>
        <v>1.0438381064646107</v>
      </c>
      <c r="I19" s="131">
        <f>IF(SER_hh_emih!I19=0,0,SER_hh_emih!I19/SER_summary!I$26)</f>
        <v>1.0576004838350315</v>
      </c>
      <c r="J19" s="131">
        <f>IF(SER_hh_emih!J19=0,0,SER_hh_emih!J19/SER_summary!J$26)</f>
        <v>1.0988651116137591</v>
      </c>
      <c r="K19" s="131">
        <f>IF(SER_hh_emih!K19=0,0,SER_hh_emih!K19/SER_summary!K$26)</f>
        <v>1.3497240367758161</v>
      </c>
      <c r="L19" s="131">
        <f>IF(SER_hh_emih!L19=0,0,SER_hh_emih!L19/SER_summary!L$26)</f>
        <v>1.2617521295280889</v>
      </c>
      <c r="M19" s="131">
        <f>IF(SER_hh_emih!M19=0,0,SER_hh_emih!M19/SER_summary!M$26)</f>
        <v>1.2530291327546144</v>
      </c>
      <c r="N19" s="131">
        <f>IF(SER_hh_emih!N19=0,0,SER_hh_emih!N19/SER_summary!N$26)</f>
        <v>1.2595878632621602</v>
      </c>
      <c r="O19" s="131">
        <f>IF(SER_hh_emih!O19=0,0,SER_hh_emih!O19/SER_summary!O$26)</f>
        <v>1.2585589636708854</v>
      </c>
      <c r="P19" s="131">
        <f>IF(SER_hh_emih!P19=0,0,SER_hh_emih!P19/SER_summary!P$26)</f>
        <v>1.2474990112620408</v>
      </c>
      <c r="Q19" s="131">
        <f>IF(SER_hh_emih!Q19=0,0,SER_hh_emih!Q19/SER_summary!Q$26)</f>
        <v>1.2309695952589919</v>
      </c>
      <c r="R19" s="131">
        <f>IF(SER_hh_emih!R19=0,0,SER_hh_emih!R19/SER_summary!R$26)</f>
        <v>1.2246506256590084</v>
      </c>
      <c r="S19" s="131">
        <f>IF(SER_hh_emih!S19=0,0,SER_hh_emih!S19/SER_summary!S$26)</f>
        <v>1.2891856481342736</v>
      </c>
      <c r="T19" s="131">
        <f>IF(SER_hh_emih!T19=0,0,SER_hh_emih!T19/SER_summary!T$26)</f>
        <v>1.1496766345772722</v>
      </c>
      <c r="U19" s="131">
        <f>IF(SER_hh_emih!U19=0,0,SER_hh_emih!U19/SER_summary!U$26)</f>
        <v>1.1958234983147285</v>
      </c>
      <c r="V19" s="131">
        <f>IF(SER_hh_emih!V19=0,0,SER_hh_emih!V19/SER_summary!V$26)</f>
        <v>1.0878622367487361</v>
      </c>
      <c r="W19" s="131">
        <f>IF(SER_hh_emih!W19=0,0,SER_hh_emih!W19/SER_summary!W$26)</f>
        <v>1.0537201006351788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3.1201136425837599</v>
      </c>
      <c r="C23" s="133">
        <f>IF(SER_hh_emih!C23=0,0,SER_hh_emih!C23/SER_summary!C$26)</f>
        <v>3.0524790211373749</v>
      </c>
      <c r="D23" s="133">
        <f>IF(SER_hh_emih!D23=0,0,SER_hh_emih!D23/SER_summary!D$26)</f>
        <v>3.0145563795959518</v>
      </c>
      <c r="E23" s="133">
        <f>IF(SER_hh_emih!E23=0,0,SER_hh_emih!E23/SER_summary!E$26)</f>
        <v>2.8730767306663982</v>
      </c>
      <c r="F23" s="133">
        <f>IF(SER_hh_emih!F23=0,0,SER_hh_emih!F23/SER_summary!F$26)</f>
        <v>2.7438424031077653</v>
      </c>
      <c r="G23" s="133">
        <f>IF(SER_hh_emih!G23=0,0,SER_hh_emih!G23/SER_summary!G$26)</f>
        <v>2.7285149911200413</v>
      </c>
      <c r="H23" s="133">
        <f>IF(SER_hh_emih!H23=0,0,SER_hh_emih!H23/SER_summary!H$26)</f>
        <v>2.6845506421012737</v>
      </c>
      <c r="I23" s="133">
        <f>IF(SER_hh_emih!I23=0,0,SER_hh_emih!I23/SER_summary!I$26)</f>
        <v>2.5791272384319113</v>
      </c>
      <c r="J23" s="133">
        <f>IF(SER_hh_emih!J23=0,0,SER_hh_emih!J23/SER_summary!J$26)</f>
        <v>2.5893878606221619</v>
      </c>
      <c r="K23" s="133">
        <f>IF(SER_hh_emih!K23=0,0,SER_hh_emih!K23/SER_summary!K$26)</f>
        <v>3.0625145224440282</v>
      </c>
      <c r="L23" s="133">
        <f>IF(SER_hh_emih!L23=0,0,SER_hh_emih!L23/SER_summary!L$26)</f>
        <v>2.851930958428313</v>
      </c>
      <c r="M23" s="133">
        <f>IF(SER_hh_emih!M23=0,0,SER_hh_emih!M23/SER_summary!M$26)</f>
        <v>2.8201031636575173</v>
      </c>
      <c r="N23" s="133">
        <f>IF(SER_hh_emih!N23=0,0,SER_hh_emih!N23/SER_summary!N$26)</f>
        <v>2.8632000794914263</v>
      </c>
      <c r="O23" s="133">
        <f>IF(SER_hh_emih!O23=0,0,SER_hh_emih!O23/SER_summary!O$26)</f>
        <v>2.8627924692907092</v>
      </c>
      <c r="P23" s="133">
        <f>IF(SER_hh_emih!P23=0,0,SER_hh_emih!P23/SER_summary!P$26)</f>
        <v>2.8261927442525074</v>
      </c>
      <c r="Q23" s="133">
        <f>IF(SER_hh_emih!Q23=0,0,SER_hh_emih!Q23/SER_summary!Q$26)</f>
        <v>2.7498988042710053</v>
      </c>
      <c r="R23" s="133">
        <f>IF(SER_hh_emih!R23=0,0,SER_hh_emih!R23/SER_summary!R$26)</f>
        <v>2.7439692455336577</v>
      </c>
      <c r="S23" s="133">
        <f>IF(SER_hh_emih!S23=0,0,SER_hh_emih!S23/SER_summary!S$26)</f>
        <v>2.8498961087857668</v>
      </c>
      <c r="T23" s="133">
        <f>IF(SER_hh_emih!T23=0,0,SER_hh_emih!T23/SER_summary!T$26)</f>
        <v>2.5760675971300335</v>
      </c>
      <c r="U23" s="133">
        <f>IF(SER_hh_emih!U23=0,0,SER_hh_emih!U23/SER_summary!U$26)</f>
        <v>2.6648830546650091</v>
      </c>
      <c r="V23" s="133">
        <f>IF(SER_hh_emih!V23=0,0,SER_hh_emih!V23/SER_summary!V$26)</f>
        <v>2.4370595977169272</v>
      </c>
      <c r="W23" s="133">
        <f>IF(SER_hh_emih!W23=0,0,SER_hh_emih!W23/SER_summary!W$26)</f>
        <v>2.383907729133167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1.2951333968216798</v>
      </c>
      <c r="C29" s="131">
        <f>IF(SER_hh_emih!C29=0,0,SER_hh_emih!C29/SER_summary!C$26)</f>
        <v>1.5132201032530965</v>
      </c>
      <c r="D29" s="131">
        <f>IF(SER_hh_emih!D29=0,0,SER_hh_emih!D29/SER_summary!D$26)</f>
        <v>1.5021912754188185</v>
      </c>
      <c r="E29" s="131">
        <f>IF(SER_hh_emih!E29=0,0,SER_hh_emih!E29/SER_summary!E$26)</f>
        <v>1.4472817282938655</v>
      </c>
      <c r="F29" s="131">
        <f>IF(SER_hh_emih!F29=0,0,SER_hh_emih!F29/SER_summary!F$26)</f>
        <v>1.4574263799729874</v>
      </c>
      <c r="G29" s="131">
        <f>IF(SER_hh_emih!G29=0,0,SER_hh_emih!G29/SER_summary!G$26)</f>
        <v>1.4257333419406901</v>
      </c>
      <c r="H29" s="131">
        <f>IF(SER_hh_emih!H29=0,0,SER_hh_emih!H29/SER_summary!H$26)</f>
        <v>1.3777824187811654</v>
      </c>
      <c r="I29" s="131">
        <f>IF(SER_hh_emih!I29=0,0,SER_hh_emih!I29/SER_summary!I$26)</f>
        <v>1.3813646589321436</v>
      </c>
      <c r="J29" s="131">
        <f>IF(SER_hh_emih!J29=0,0,SER_hh_emih!J29/SER_summary!J$26)</f>
        <v>1.4131109602238363</v>
      </c>
      <c r="K29" s="131">
        <f>IF(SER_hh_emih!K29=0,0,SER_hh_emih!K29/SER_summary!K$26)</f>
        <v>1.5852169507919536</v>
      </c>
      <c r="L29" s="131">
        <f>IF(SER_hh_emih!L29=0,0,SER_hh_emih!L29/SER_summary!L$26)</f>
        <v>1.5478210303424171</v>
      </c>
      <c r="M29" s="131">
        <f>IF(SER_hh_emih!M29=0,0,SER_hh_emih!M29/SER_summary!M$26)</f>
        <v>1.5436643911273624</v>
      </c>
      <c r="N29" s="131">
        <f>IF(SER_hh_emih!N29=0,0,SER_hh_emih!N29/SER_summary!N$26)</f>
        <v>1.5353737561951759</v>
      </c>
      <c r="O29" s="131">
        <f>IF(SER_hh_emih!O29=0,0,SER_hh_emih!O29/SER_summary!O$26)</f>
        <v>1.5322301584823506</v>
      </c>
      <c r="P29" s="131">
        <f>IF(SER_hh_emih!P29=0,0,SER_hh_emih!P29/SER_summary!P$26)</f>
        <v>1.5323593373473563</v>
      </c>
      <c r="Q29" s="131">
        <f>IF(SER_hh_emih!Q29=0,0,SER_hh_emih!Q29/SER_summary!Q$26)</f>
        <v>1.4999952702312371</v>
      </c>
      <c r="R29" s="131">
        <f>IF(SER_hh_emih!R29=0,0,SER_hh_emih!R29/SER_summary!R$26)</f>
        <v>1.60652086189798</v>
      </c>
      <c r="S29" s="131">
        <f>IF(SER_hh_emih!S29=0,0,SER_hh_emih!S29/SER_summary!S$26)</f>
        <v>1.8184541815865256</v>
      </c>
      <c r="T29" s="131">
        <f>IF(SER_hh_emih!T29=0,0,SER_hh_emih!T29/SER_summary!T$26)</f>
        <v>1.690210312141047</v>
      </c>
      <c r="U29" s="131">
        <f>IF(SER_hh_emih!U29=0,0,SER_hh_emih!U29/SER_summary!U$26)</f>
        <v>1.7998324524775988</v>
      </c>
      <c r="V29" s="131">
        <f>IF(SER_hh_emih!V29=0,0,SER_hh_emih!V29/SER_summary!V$26)</f>
        <v>1.6232266071785002</v>
      </c>
      <c r="W29" s="131">
        <f>IF(SER_hh_emih!W29=0,0,SER_hh_emih!W29/SER_summary!W$26)</f>
        <v>1.5748133614395063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2.6244868212672499</v>
      </c>
      <c r="C31" s="133">
        <f>IF(SER_hh_emih!C31=0,0,SER_hh_emih!C31/SER_summary!C$26)</f>
        <v>3.0306602188928435</v>
      </c>
      <c r="D31" s="133">
        <f>IF(SER_hh_emih!D31=0,0,SER_hh_emih!D31/SER_summary!D$26)</f>
        <v>2.9778685180680364</v>
      </c>
      <c r="E31" s="133">
        <f>IF(SER_hh_emih!E31=0,0,SER_hh_emih!E31/SER_summary!E$26)</f>
        <v>2.8662666845078619</v>
      </c>
      <c r="F31" s="133">
        <f>IF(SER_hh_emih!F31=0,0,SER_hh_emih!F31/SER_summary!F$26)</f>
        <v>2.9196450506033891</v>
      </c>
      <c r="G31" s="133">
        <f>IF(SER_hh_emih!G31=0,0,SER_hh_emih!G31/SER_summary!G$26)</f>
        <v>2.8629328196238948</v>
      </c>
      <c r="H31" s="133">
        <f>IF(SER_hh_emih!H31=0,0,SER_hh_emih!H31/SER_summary!H$26)</f>
        <v>2.811428747020118</v>
      </c>
      <c r="I31" s="133">
        <f>IF(SER_hh_emih!I31=0,0,SER_hh_emih!I31/SER_summary!I$26)</f>
        <v>2.8205235083500897</v>
      </c>
      <c r="J31" s="133">
        <f>IF(SER_hh_emih!J31=0,0,SER_hh_emih!J31/SER_summary!J$26)</f>
        <v>2.8702608444635751</v>
      </c>
      <c r="K31" s="133">
        <f>IF(SER_hh_emih!K31=0,0,SER_hh_emih!K31/SER_summary!K$26)</f>
        <v>3.2023498032588922</v>
      </c>
      <c r="L31" s="133">
        <f>IF(SER_hh_emih!L31=0,0,SER_hh_emih!L31/SER_summary!L$26)</f>
        <v>3.0961126494753222</v>
      </c>
      <c r="M31" s="133">
        <f>IF(SER_hh_emih!M31=0,0,SER_hh_emih!M31/SER_summary!M$26)</f>
        <v>3.1296652717367222</v>
      </c>
      <c r="N31" s="133">
        <f>IF(SER_hh_emih!N31=0,0,SER_hh_emih!N31/SER_summary!N$26)</f>
        <v>3.1549583213830728</v>
      </c>
      <c r="O31" s="133">
        <f>IF(SER_hh_emih!O31=0,0,SER_hh_emih!O31/SER_summary!O$26)</f>
        <v>3.1766880899158831</v>
      </c>
      <c r="P31" s="133">
        <f>IF(SER_hh_emih!P31=0,0,SER_hh_emih!P31/SER_summary!P$26)</f>
        <v>3.1932576781210811</v>
      </c>
      <c r="Q31" s="133">
        <f>IF(SER_hh_emih!Q31=0,0,SER_hh_emih!Q31/SER_summary!Q$26)</f>
        <v>3.0951780091405543</v>
      </c>
      <c r="R31" s="133">
        <f>IF(SER_hh_emih!R31=0,0,SER_hh_emih!R31/SER_summary!R$26)</f>
        <v>3.1851186691330877</v>
      </c>
      <c r="S31" s="133">
        <f>IF(SER_hh_emih!S31=0,0,SER_hh_emih!S31/SER_summary!S$26)</f>
        <v>3.4217713569955253</v>
      </c>
      <c r="T31" s="133">
        <f>IF(SER_hh_emih!T31=0,0,SER_hh_emih!T31/SER_summary!T$26)</f>
        <v>3.1433863669476847</v>
      </c>
      <c r="U31" s="133">
        <f>IF(SER_hh_emih!U31=0,0,SER_hh_emih!U31/SER_summary!U$26)</f>
        <v>3.317249275874985</v>
      </c>
      <c r="V31" s="133">
        <f>IF(SER_hh_emih!V31=0,0,SER_hh_emih!V31/SER_summary!V$26)</f>
        <v>3.032624893602335</v>
      </c>
      <c r="W31" s="133">
        <f>IF(SER_hh_emih!W31=0,0,SER_hh_emih!W31/SER_summary!W$26)</f>
        <v>2.9540897800100616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4077.0587469568768</v>
      </c>
      <c r="D3" s="125">
        <f t="shared" si="0"/>
        <v>3779.7187050443385</v>
      </c>
      <c r="E3" s="125">
        <f t="shared" si="0"/>
        <v>5156.0430301856159</v>
      </c>
      <c r="F3" s="125">
        <f t="shared" si="0"/>
        <v>5937.0374657408602</v>
      </c>
      <c r="G3" s="125">
        <f t="shared" si="0"/>
        <v>9591.7589222840179</v>
      </c>
      <c r="H3" s="125">
        <f t="shared" si="0"/>
        <v>10357.939158209734</v>
      </c>
      <c r="I3" s="125">
        <f t="shared" si="0"/>
        <v>9425.0084868336489</v>
      </c>
      <c r="J3" s="125">
        <f t="shared" si="0"/>
        <v>6634.4027757849863</v>
      </c>
      <c r="K3" s="125">
        <f t="shared" si="0"/>
        <v>1059.5923534146066</v>
      </c>
      <c r="L3" s="125">
        <f t="shared" si="0"/>
        <v>4526.0416610564798</v>
      </c>
      <c r="M3" s="125">
        <f t="shared" si="0"/>
        <v>5040.5679503433039</v>
      </c>
      <c r="N3" s="125">
        <f t="shared" si="0"/>
        <v>2866.1415966510017</v>
      </c>
      <c r="O3" s="125">
        <f t="shared" si="0"/>
        <v>2652.777538190865</v>
      </c>
      <c r="P3" s="125">
        <f t="shared" si="0"/>
        <v>4811.3216261174684</v>
      </c>
      <c r="Q3" s="125">
        <f t="shared" si="0"/>
        <v>7345.1661178103013</v>
      </c>
      <c r="R3" s="125">
        <f t="shared" si="0"/>
        <v>5327.2155631152682</v>
      </c>
      <c r="S3" s="125">
        <f t="shared" si="0"/>
        <v>6865.6267859451318</v>
      </c>
      <c r="T3" s="125">
        <f t="shared" si="0"/>
        <v>6293.9222136074441</v>
      </c>
      <c r="U3" s="125">
        <f t="shared" si="0"/>
        <v>6134.6865717415803</v>
      </c>
      <c r="V3" s="125">
        <f t="shared" si="0"/>
        <v>5766.0571434790436</v>
      </c>
      <c r="W3" s="125">
        <f t="shared" si="0"/>
        <v>5465.2692543616395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4077.0587469568768</v>
      </c>
      <c r="D4" s="140">
        <f t="shared" si="1"/>
        <v>3779.7187050443385</v>
      </c>
      <c r="E4" s="140">
        <f t="shared" si="1"/>
        <v>5156.0430301856159</v>
      </c>
      <c r="F4" s="140">
        <f t="shared" si="1"/>
        <v>5937.0374657408602</v>
      </c>
      <c r="G4" s="140">
        <f t="shared" si="1"/>
        <v>9591.7589222840179</v>
      </c>
      <c r="H4" s="140">
        <f t="shared" si="1"/>
        <v>10357.939158209734</v>
      </c>
      <c r="I4" s="140">
        <f t="shared" si="1"/>
        <v>9425.0084868336489</v>
      </c>
      <c r="J4" s="140">
        <f t="shared" si="1"/>
        <v>6634.4027757849863</v>
      </c>
      <c r="K4" s="140">
        <f t="shared" si="1"/>
        <v>1059.5923534146066</v>
      </c>
      <c r="L4" s="140">
        <f t="shared" si="1"/>
        <v>4526.0416610564798</v>
      </c>
      <c r="M4" s="140">
        <f t="shared" si="1"/>
        <v>5040.5679503433039</v>
      </c>
      <c r="N4" s="140">
        <f t="shared" si="1"/>
        <v>2866.1415966510017</v>
      </c>
      <c r="O4" s="140">
        <f t="shared" si="1"/>
        <v>2652.777538190865</v>
      </c>
      <c r="P4" s="140">
        <f t="shared" si="1"/>
        <v>4811.3216261174684</v>
      </c>
      <c r="Q4" s="140">
        <f t="shared" si="1"/>
        <v>7345.1661178103013</v>
      </c>
      <c r="R4" s="140">
        <f t="shared" ref="R4:W4" si="2">SUM(R5:R14)</f>
        <v>5327.2155631152682</v>
      </c>
      <c r="S4" s="140">
        <f t="shared" si="2"/>
        <v>6865.6267859451318</v>
      </c>
      <c r="T4" s="140">
        <f t="shared" si="2"/>
        <v>6293.9222136074441</v>
      </c>
      <c r="U4" s="140">
        <f t="shared" si="2"/>
        <v>6134.6865717415803</v>
      </c>
      <c r="V4" s="140">
        <f t="shared" si="2"/>
        <v>5766.0571434790436</v>
      </c>
      <c r="W4" s="140">
        <f t="shared" si="2"/>
        <v>5465.2692543616395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768.10342605196558</v>
      </c>
      <c r="F5" s="141">
        <v>696.09177577832952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152.72751183267582</v>
      </c>
      <c r="O5" s="141">
        <v>215.21657709126174</v>
      </c>
      <c r="P5" s="141">
        <v>12.590792734054045</v>
      </c>
      <c r="Q5" s="141">
        <v>0</v>
      </c>
      <c r="R5" s="141">
        <v>19.142516869820064</v>
      </c>
      <c r="S5" s="141">
        <v>0</v>
      </c>
      <c r="T5" s="141">
        <v>0</v>
      </c>
      <c r="U5" s="141">
        <v>73.898399080129025</v>
      </c>
      <c r="V5" s="141">
        <v>46.257544181660919</v>
      </c>
      <c r="W5" s="141">
        <v>16.071903299043601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26.095189532540839</v>
      </c>
      <c r="D7" s="141">
        <v>72.479295528654575</v>
      </c>
      <c r="E7" s="141">
        <v>40.240597151813922</v>
      </c>
      <c r="F7" s="141">
        <v>59.894037616379144</v>
      </c>
      <c r="G7" s="141">
        <v>39.894420800224459</v>
      </c>
      <c r="H7" s="141">
        <v>85.947688861524838</v>
      </c>
      <c r="I7" s="141">
        <v>46.048599002382112</v>
      </c>
      <c r="J7" s="141">
        <v>24.65592551772129</v>
      </c>
      <c r="K7" s="141">
        <v>0</v>
      </c>
      <c r="L7" s="141">
        <v>25.333538775703406</v>
      </c>
      <c r="M7" s="141">
        <v>25.638933689153195</v>
      </c>
      <c r="N7" s="141">
        <v>34.759375614525752</v>
      </c>
      <c r="O7" s="141">
        <v>13.941390836820005</v>
      </c>
      <c r="P7" s="141">
        <v>61.868663984607707</v>
      </c>
      <c r="Q7" s="141">
        <v>194.85051194273407</v>
      </c>
      <c r="R7" s="141">
        <v>60.82154735005517</v>
      </c>
      <c r="S7" s="141">
        <v>26.05476122378472</v>
      </c>
      <c r="T7" s="141">
        <v>0</v>
      </c>
      <c r="U7" s="141">
        <v>13.220209783088157</v>
      </c>
      <c r="V7" s="141">
        <v>44.319685424742694</v>
      </c>
      <c r="W7" s="141">
        <v>24.921230272699905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0.97401005401308494</v>
      </c>
      <c r="H8" s="141">
        <v>1.5540130648254182</v>
      </c>
      <c r="I8" s="141">
        <v>2.2003504259812345</v>
      </c>
      <c r="J8" s="141">
        <v>2.2838447687015422</v>
      </c>
      <c r="K8" s="141">
        <v>0.71307737158085061</v>
      </c>
      <c r="L8" s="141">
        <v>2.483183897199841</v>
      </c>
      <c r="M8" s="141">
        <v>5.4147109703191632</v>
      </c>
      <c r="N8" s="141">
        <v>5.6046230559724339</v>
      </c>
      <c r="O8" s="141">
        <v>7.894603479731062</v>
      </c>
      <c r="P8" s="141">
        <v>25.500907529472784</v>
      </c>
      <c r="Q8" s="141">
        <v>20.283741402978041</v>
      </c>
      <c r="R8" s="141">
        <v>9.5466774466063864</v>
      </c>
      <c r="S8" s="141">
        <v>8.2625531041851801</v>
      </c>
      <c r="T8" s="141">
        <v>12.486953140115995</v>
      </c>
      <c r="U8" s="141">
        <v>16.005465951763348</v>
      </c>
      <c r="V8" s="141">
        <v>18.684396994456282</v>
      </c>
      <c r="W8" s="141">
        <v>14.876453360804083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1908.1171121407826</v>
      </c>
      <c r="D9" s="141">
        <v>2182.9932283204662</v>
      </c>
      <c r="E9" s="141">
        <v>2505.8856272967546</v>
      </c>
      <c r="F9" s="141">
        <v>3104.2047087575984</v>
      </c>
      <c r="G9" s="141">
        <v>6184.2328593618349</v>
      </c>
      <c r="H9" s="141">
        <v>6355.9479491134634</v>
      </c>
      <c r="I9" s="141">
        <v>5588.6071931580709</v>
      </c>
      <c r="J9" s="141">
        <v>3442.6925401903868</v>
      </c>
      <c r="K9" s="141">
        <v>13.783116418506172</v>
      </c>
      <c r="L9" s="141">
        <v>1363.8483722587334</v>
      </c>
      <c r="M9" s="141">
        <v>1959.2808910461285</v>
      </c>
      <c r="N9" s="141">
        <v>906.24563096331656</v>
      </c>
      <c r="O9" s="141">
        <v>896.38011846858547</v>
      </c>
      <c r="P9" s="141">
        <v>2409.9875634016694</v>
      </c>
      <c r="Q9" s="141">
        <v>3871.7875094550895</v>
      </c>
      <c r="R9" s="141">
        <v>2278.6899084993302</v>
      </c>
      <c r="S9" s="141">
        <v>3319.7502616263982</v>
      </c>
      <c r="T9" s="141">
        <v>2633.9217199426371</v>
      </c>
      <c r="U9" s="141">
        <v>2805.0934653457575</v>
      </c>
      <c r="V9" s="141">
        <v>2428.3021940313274</v>
      </c>
      <c r="W9" s="141">
        <v>2165.4136488890804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82.327362209626983</v>
      </c>
      <c r="D10" s="141">
        <v>101.44441840021588</v>
      </c>
      <c r="E10" s="141">
        <v>145.23882067920565</v>
      </c>
      <c r="F10" s="141">
        <v>144.16049824485958</v>
      </c>
      <c r="G10" s="141">
        <v>245.5732962484077</v>
      </c>
      <c r="H10" s="141">
        <v>203.74255836575989</v>
      </c>
      <c r="I10" s="141">
        <v>166.70128440148571</v>
      </c>
      <c r="J10" s="141">
        <v>78.871058249814396</v>
      </c>
      <c r="K10" s="141">
        <v>25.086655125166672</v>
      </c>
      <c r="L10" s="141">
        <v>131.60365414975999</v>
      </c>
      <c r="M10" s="141">
        <v>187.96676988745762</v>
      </c>
      <c r="N10" s="141">
        <v>112.2685748094996</v>
      </c>
      <c r="O10" s="141">
        <v>114.2736959852483</v>
      </c>
      <c r="P10" s="141">
        <v>257.46958560227654</v>
      </c>
      <c r="Q10" s="141">
        <v>247.43085793130055</v>
      </c>
      <c r="R10" s="141">
        <v>60.547770669770195</v>
      </c>
      <c r="S10" s="141">
        <v>70.171396020676355</v>
      </c>
      <c r="T10" s="141">
        <v>128.47605660992323</v>
      </c>
      <c r="U10" s="141">
        <v>151.20330463566967</v>
      </c>
      <c r="V10" s="141">
        <v>151.8813691893707</v>
      </c>
      <c r="W10" s="141">
        <v>151.172935124855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1236.1887588509896</v>
      </c>
      <c r="D12" s="141">
        <v>841.44559042289427</v>
      </c>
      <c r="E12" s="141">
        <v>1236.0116612048917</v>
      </c>
      <c r="F12" s="141">
        <v>1897.5038270603713</v>
      </c>
      <c r="G12" s="141">
        <v>2042.7018233742831</v>
      </c>
      <c r="H12" s="141">
        <v>1355.9404232763118</v>
      </c>
      <c r="I12" s="141">
        <v>945.00507760271034</v>
      </c>
      <c r="J12" s="141">
        <v>1203.5211719193705</v>
      </c>
      <c r="K12" s="141">
        <v>598.98243289507457</v>
      </c>
      <c r="L12" s="141">
        <v>2163.1954927740981</v>
      </c>
      <c r="M12" s="141">
        <v>1859.0818354847022</v>
      </c>
      <c r="N12" s="141">
        <v>935.56854972302312</v>
      </c>
      <c r="O12" s="141">
        <v>667.68042861162417</v>
      </c>
      <c r="P12" s="141">
        <v>1066.463919618004</v>
      </c>
      <c r="Q12" s="141">
        <v>1511.1184658703442</v>
      </c>
      <c r="R12" s="141">
        <v>1266.0926487338484</v>
      </c>
      <c r="S12" s="141">
        <v>1363.3690509300989</v>
      </c>
      <c r="T12" s="141">
        <v>1389.2843990946619</v>
      </c>
      <c r="U12" s="141">
        <v>1233.3624511953899</v>
      </c>
      <c r="V12" s="141">
        <v>1408.7830362154134</v>
      </c>
      <c r="W12" s="141">
        <v>1752.5690715018359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12.284161031568267</v>
      </c>
      <c r="D13" s="141">
        <v>23.569751979665831</v>
      </c>
      <c r="E13" s="141">
        <v>26.57940982080547</v>
      </c>
      <c r="F13" s="141">
        <v>35.182618283321744</v>
      </c>
      <c r="G13" s="141">
        <v>56.46564175428022</v>
      </c>
      <c r="H13" s="141">
        <v>80.545555323616213</v>
      </c>
      <c r="I13" s="141">
        <v>83.43811825136892</v>
      </c>
      <c r="J13" s="141">
        <v>67.920916013470119</v>
      </c>
      <c r="K13" s="141">
        <v>21.3711368051584</v>
      </c>
      <c r="L13" s="141">
        <v>56.988054356750617</v>
      </c>
      <c r="M13" s="141">
        <v>80.094276198049769</v>
      </c>
      <c r="N13" s="141">
        <v>50.068278875332325</v>
      </c>
      <c r="O13" s="141">
        <v>49.877975095387924</v>
      </c>
      <c r="P13" s="141">
        <v>149.50007008113533</v>
      </c>
      <c r="Q13" s="141">
        <v>170.75340201444521</v>
      </c>
      <c r="R13" s="141">
        <v>134.19558826752666</v>
      </c>
      <c r="S13" s="141">
        <v>166.60418175072124</v>
      </c>
      <c r="T13" s="141">
        <v>210.41626973255492</v>
      </c>
      <c r="U13" s="141">
        <v>228.31471071066903</v>
      </c>
      <c r="V13" s="141">
        <v>252.76365288202223</v>
      </c>
      <c r="W13" s="141">
        <v>200.08858892124485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812.04616319136846</v>
      </c>
      <c r="D14" s="142">
        <v>557.78642039244153</v>
      </c>
      <c r="E14" s="142">
        <v>433.98348798017912</v>
      </c>
      <c r="F14" s="142">
        <v>0</v>
      </c>
      <c r="G14" s="142">
        <v>1021.9168706909734</v>
      </c>
      <c r="H14" s="142">
        <v>2274.2609702042323</v>
      </c>
      <c r="I14" s="142">
        <v>2593.0078639916501</v>
      </c>
      <c r="J14" s="142">
        <v>1814.4573191255215</v>
      </c>
      <c r="K14" s="142">
        <v>399.6559347991199</v>
      </c>
      <c r="L14" s="142">
        <v>782.58936484423452</v>
      </c>
      <c r="M14" s="142">
        <v>923.09053306749286</v>
      </c>
      <c r="N14" s="142">
        <v>668.89905177665605</v>
      </c>
      <c r="O14" s="142">
        <v>687.51274862220657</v>
      </c>
      <c r="P14" s="142">
        <v>827.94012316624867</v>
      </c>
      <c r="Q14" s="142">
        <v>1328.9416291934106</v>
      </c>
      <c r="R14" s="142">
        <v>1498.1789052783113</v>
      </c>
      <c r="S14" s="142">
        <v>1911.4145812892677</v>
      </c>
      <c r="T14" s="142">
        <v>1919.336815087551</v>
      </c>
      <c r="U14" s="142">
        <v>1613.5885650391133</v>
      </c>
      <c r="V14" s="142">
        <v>1415.0652645600503</v>
      </c>
      <c r="W14" s="142">
        <v>1140.1554229920753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3252.7284227339401</v>
      </c>
      <c r="D15" s="144">
        <f t="shared" si="3"/>
        <v>3198.3625326722313</v>
      </c>
      <c r="E15" s="144">
        <f t="shared" si="3"/>
        <v>4695.4801323846314</v>
      </c>
      <c r="F15" s="144">
        <f t="shared" si="3"/>
        <v>5901.8548474575382</v>
      </c>
      <c r="G15" s="144">
        <f t="shared" si="3"/>
        <v>8513.3764098387637</v>
      </c>
      <c r="H15" s="144">
        <f t="shared" si="3"/>
        <v>8003.1326326818853</v>
      </c>
      <c r="I15" s="144">
        <f t="shared" si="3"/>
        <v>6748.5625045906299</v>
      </c>
      <c r="J15" s="144">
        <f t="shared" si="3"/>
        <v>4752.0245406459944</v>
      </c>
      <c r="K15" s="144">
        <f t="shared" si="3"/>
        <v>638.56528181032832</v>
      </c>
      <c r="L15" s="144">
        <f t="shared" si="3"/>
        <v>3686.4642418554949</v>
      </c>
      <c r="M15" s="144">
        <f t="shared" si="3"/>
        <v>4037.3831410777611</v>
      </c>
      <c r="N15" s="144">
        <f t="shared" si="3"/>
        <v>2147.1742659990132</v>
      </c>
      <c r="O15" s="144">
        <f t="shared" si="3"/>
        <v>1915.3868144732708</v>
      </c>
      <c r="P15" s="144">
        <f t="shared" si="3"/>
        <v>3833.8814328700846</v>
      </c>
      <c r="Q15" s="144">
        <f t="shared" si="3"/>
        <v>5845.4710866024461</v>
      </c>
      <c r="R15" s="144">
        <f t="shared" ref="R15:W15" si="4">SUM(R5:R12)</f>
        <v>3694.8410695694301</v>
      </c>
      <c r="S15" s="144">
        <f t="shared" si="4"/>
        <v>4787.6080229051431</v>
      </c>
      <c r="T15" s="144">
        <f t="shared" si="4"/>
        <v>4164.1691287873382</v>
      </c>
      <c r="U15" s="144">
        <f t="shared" si="4"/>
        <v>4292.7832959917978</v>
      </c>
      <c r="V15" s="144">
        <f t="shared" si="4"/>
        <v>4098.2282260369711</v>
      </c>
      <c r="W15" s="144">
        <f t="shared" si="4"/>
        <v>4125.0252424483187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2529.6321519498815</v>
      </c>
      <c r="D16" s="140">
        <f t="shared" si="5"/>
        <v>3779.7187050443385</v>
      </c>
      <c r="E16" s="140">
        <f t="shared" si="5"/>
        <v>3231.5964590715307</v>
      </c>
      <c r="F16" s="140">
        <f t="shared" si="5"/>
        <v>3612.697698009285</v>
      </c>
      <c r="G16" s="140">
        <f t="shared" si="5"/>
        <v>6238.1456575697994</v>
      </c>
      <c r="H16" s="140">
        <f t="shared" si="5"/>
        <v>7268.6653021909833</v>
      </c>
      <c r="I16" s="140">
        <f t="shared" si="5"/>
        <v>7501.1462170298919</v>
      </c>
      <c r="J16" s="140">
        <f t="shared" si="5"/>
        <v>6634.4027757849854</v>
      </c>
      <c r="K16" s="140">
        <f t="shared" si="5"/>
        <v>1059.5923534146068</v>
      </c>
      <c r="L16" s="140">
        <f t="shared" si="5"/>
        <v>4526.0416610564798</v>
      </c>
      <c r="M16" s="140">
        <f t="shared" si="5"/>
        <v>5040.5679503433048</v>
      </c>
      <c r="N16" s="140">
        <f t="shared" si="5"/>
        <v>2866.1415966510017</v>
      </c>
      <c r="O16" s="140">
        <f t="shared" si="5"/>
        <v>2652.777538190865</v>
      </c>
      <c r="P16" s="140">
        <f t="shared" si="5"/>
        <v>4811.3216261174684</v>
      </c>
      <c r="Q16" s="140">
        <f t="shared" si="5"/>
        <v>7345.1661178103022</v>
      </c>
      <c r="R16" s="140">
        <f t="shared" ref="R16:W16" si="6">SUM(R17:R18)</f>
        <v>5327.2155631152664</v>
      </c>
      <c r="S16" s="140">
        <f t="shared" si="6"/>
        <v>6865.6267859451327</v>
      </c>
      <c r="T16" s="140">
        <f t="shared" si="6"/>
        <v>6293.9222136074441</v>
      </c>
      <c r="U16" s="140">
        <f t="shared" si="6"/>
        <v>6134.6865717415794</v>
      </c>
      <c r="V16" s="140">
        <f t="shared" si="6"/>
        <v>4963.5383844574271</v>
      </c>
      <c r="W16" s="140">
        <f t="shared" si="6"/>
        <v>5465.2692543616386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25.316174289564177</v>
      </c>
      <c r="H17" s="141">
        <v>6.5887061654429226</v>
      </c>
      <c r="I17" s="141">
        <v>14.040799415728126</v>
      </c>
      <c r="J17" s="141">
        <v>2.6511518470836455</v>
      </c>
      <c r="K17" s="141">
        <v>3.4480108720987346</v>
      </c>
      <c r="L17" s="141">
        <v>1.6188611245427136</v>
      </c>
      <c r="M17" s="141">
        <v>5.1758715710180763</v>
      </c>
      <c r="N17" s="141">
        <v>3.2859766809719679</v>
      </c>
      <c r="O17" s="141">
        <v>8.8977411683938232</v>
      </c>
      <c r="P17" s="141">
        <v>31.567886135544413</v>
      </c>
      <c r="Q17" s="141">
        <v>69.688926289366748</v>
      </c>
      <c r="R17" s="141">
        <v>29.69720587549676</v>
      </c>
      <c r="S17" s="141">
        <v>50.715563169681545</v>
      </c>
      <c r="T17" s="141">
        <v>41.793236682955381</v>
      </c>
      <c r="U17" s="141">
        <v>36.59746550500774</v>
      </c>
      <c r="V17" s="141">
        <v>76.934350759242932</v>
      </c>
      <c r="W17" s="141">
        <v>28.430104605671374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2529.6321519498815</v>
      </c>
      <c r="D18" s="141">
        <v>3779.7187050443385</v>
      </c>
      <c r="E18" s="141">
        <v>3231.5964590715307</v>
      </c>
      <c r="F18" s="141">
        <v>3612.697698009285</v>
      </c>
      <c r="G18" s="141">
        <v>6212.8294832802349</v>
      </c>
      <c r="H18" s="141">
        <v>7262.0765960255403</v>
      </c>
      <c r="I18" s="141">
        <v>7487.1054176141633</v>
      </c>
      <c r="J18" s="141">
        <v>6631.751623937902</v>
      </c>
      <c r="K18" s="141">
        <v>1056.144342542508</v>
      </c>
      <c r="L18" s="141">
        <v>4524.4227999319373</v>
      </c>
      <c r="M18" s="141">
        <v>5035.3920787722864</v>
      </c>
      <c r="N18" s="141">
        <v>2862.8556199700297</v>
      </c>
      <c r="O18" s="141">
        <v>2643.8797970224714</v>
      </c>
      <c r="P18" s="141">
        <v>4779.7537399819239</v>
      </c>
      <c r="Q18" s="141">
        <v>7275.4771915209358</v>
      </c>
      <c r="R18" s="141">
        <v>5297.51835723977</v>
      </c>
      <c r="S18" s="141">
        <v>6814.9112227754513</v>
      </c>
      <c r="T18" s="141">
        <v>6252.1289769244886</v>
      </c>
      <c r="U18" s="141">
        <v>6098.0891062365718</v>
      </c>
      <c r="V18" s="141">
        <v>4886.6040336981841</v>
      </c>
      <c r="W18" s="141">
        <v>5436.8391497559669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4077.0587469568763</v>
      </c>
      <c r="D19" s="140">
        <f t="shared" si="7"/>
        <v>3779.718705044339</v>
      </c>
      <c r="E19" s="140">
        <f t="shared" si="7"/>
        <v>5156.0430301856159</v>
      </c>
      <c r="F19" s="140">
        <f t="shared" si="7"/>
        <v>5937.0374657408602</v>
      </c>
      <c r="G19" s="140">
        <f t="shared" si="7"/>
        <v>9591.7589222840179</v>
      </c>
      <c r="H19" s="140">
        <f t="shared" si="7"/>
        <v>10357.939158209734</v>
      </c>
      <c r="I19" s="140">
        <f t="shared" si="7"/>
        <v>9425.0084868336489</v>
      </c>
      <c r="J19" s="140">
        <f t="shared" si="7"/>
        <v>6634.4027757849854</v>
      </c>
      <c r="K19" s="140">
        <f t="shared" si="7"/>
        <v>1059.5923534146066</v>
      </c>
      <c r="L19" s="140">
        <f t="shared" si="7"/>
        <v>4526.0416610564789</v>
      </c>
      <c r="M19" s="140">
        <f t="shared" si="7"/>
        <v>5040.5679503433039</v>
      </c>
      <c r="N19" s="140">
        <f t="shared" si="7"/>
        <v>2866.1415966510017</v>
      </c>
      <c r="O19" s="140">
        <f t="shared" si="7"/>
        <v>2652.777538190865</v>
      </c>
      <c r="P19" s="140">
        <f t="shared" si="7"/>
        <v>4811.3216261174684</v>
      </c>
      <c r="Q19" s="140">
        <f t="shared" si="7"/>
        <v>7345.1661178103013</v>
      </c>
      <c r="R19" s="140">
        <f t="shared" ref="R19:W19" si="8">SUM(R20:R26)</f>
        <v>5327.2155631152673</v>
      </c>
      <c r="S19" s="140">
        <f t="shared" si="8"/>
        <v>6865.6267859451327</v>
      </c>
      <c r="T19" s="140">
        <f t="shared" si="8"/>
        <v>6293.9222136074441</v>
      </c>
      <c r="U19" s="140">
        <f t="shared" si="8"/>
        <v>6134.6865717415794</v>
      </c>
      <c r="V19" s="140">
        <f t="shared" si="8"/>
        <v>5766.0571434790436</v>
      </c>
      <c r="W19" s="140">
        <f t="shared" si="8"/>
        <v>5465.2692543616386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1475.0044857044206</v>
      </c>
      <c r="D23" s="141">
        <v>1742.4067686832732</v>
      </c>
      <c r="E23" s="141">
        <v>2273.3452399297144</v>
      </c>
      <c r="F23" s="141">
        <v>2782.9800529987988</v>
      </c>
      <c r="G23" s="141">
        <v>4203.1615588489767</v>
      </c>
      <c r="H23" s="141">
        <v>4787.7948787237483</v>
      </c>
      <c r="I23" s="141">
        <v>5266.5106500202937</v>
      </c>
      <c r="J23" s="141">
        <v>3379.9107662743045</v>
      </c>
      <c r="K23" s="141">
        <v>642.10939052688332</v>
      </c>
      <c r="L23" s="141">
        <v>1715.8282141208435</v>
      </c>
      <c r="M23" s="141">
        <v>1949.9295931345621</v>
      </c>
      <c r="N23" s="141">
        <v>921.92169483981979</v>
      </c>
      <c r="O23" s="141">
        <v>997.87338579113589</v>
      </c>
      <c r="P23" s="141">
        <v>2288.8147374154419</v>
      </c>
      <c r="Q23" s="141">
        <v>3877.8593811079327</v>
      </c>
      <c r="R23" s="141">
        <v>2292.6662001663453</v>
      </c>
      <c r="S23" s="141">
        <v>3505.3020368569132</v>
      </c>
      <c r="T23" s="141">
        <v>2495.5582916052958</v>
      </c>
      <c r="U23" s="141">
        <v>2979.6875498124473</v>
      </c>
      <c r="V23" s="141">
        <v>2521.6861243086996</v>
      </c>
      <c r="W23" s="141">
        <v>2257.786757099796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944.20060899130237</v>
      </c>
      <c r="D25" s="141">
        <v>1048.1143573880825</v>
      </c>
      <c r="E25" s="141">
        <v>1363.1538124788183</v>
      </c>
      <c r="F25" s="141">
        <v>1488.6360666933831</v>
      </c>
      <c r="G25" s="141">
        <v>1772.8495247646879</v>
      </c>
      <c r="H25" s="141">
        <v>1795.6524388901141</v>
      </c>
      <c r="I25" s="141">
        <v>1385.372937210662</v>
      </c>
      <c r="J25" s="141">
        <v>1065.3983037428004</v>
      </c>
      <c r="K25" s="141">
        <v>278.77980082354338</v>
      </c>
      <c r="L25" s="141">
        <v>1067.0265464117183</v>
      </c>
      <c r="M25" s="141">
        <v>1476.7517680813521</v>
      </c>
      <c r="N25" s="141">
        <v>943.87143017378912</v>
      </c>
      <c r="O25" s="141">
        <v>898.51228804682466</v>
      </c>
      <c r="P25" s="141">
        <v>1365.0255814292154</v>
      </c>
      <c r="Q25" s="141">
        <v>1618.8911568023773</v>
      </c>
      <c r="R25" s="141">
        <v>1346.2673023298514</v>
      </c>
      <c r="S25" s="141">
        <v>1493.1245277585138</v>
      </c>
      <c r="T25" s="141">
        <v>1485.8896484728796</v>
      </c>
      <c r="U25" s="141">
        <v>1305.1591745793457</v>
      </c>
      <c r="V25" s="141">
        <v>1392.4005807305075</v>
      </c>
      <c r="W25" s="141">
        <v>1431.9230745753673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1657.8536522611537</v>
      </c>
      <c r="D26" s="142">
        <v>989.19757897298291</v>
      </c>
      <c r="E26" s="142">
        <v>1519.5439777770839</v>
      </c>
      <c r="F26" s="142">
        <v>1665.4213460486783</v>
      </c>
      <c r="G26" s="142">
        <v>3615.7478386703524</v>
      </c>
      <c r="H26" s="142">
        <v>3774.4918405958706</v>
      </c>
      <c r="I26" s="142">
        <v>2773.1248996026934</v>
      </c>
      <c r="J26" s="142">
        <v>2189.0937057678802</v>
      </c>
      <c r="K26" s="142">
        <v>138.70316206417991</v>
      </c>
      <c r="L26" s="142">
        <v>1743.1869005239171</v>
      </c>
      <c r="M26" s="142">
        <v>1613.8865891273897</v>
      </c>
      <c r="N26" s="142">
        <v>1000.3484716373929</v>
      </c>
      <c r="O26" s="142">
        <v>756.39186435290435</v>
      </c>
      <c r="P26" s="142">
        <v>1157.4813072728111</v>
      </c>
      <c r="Q26" s="142">
        <v>1848.4155798999916</v>
      </c>
      <c r="R26" s="142">
        <v>1688.2820606190703</v>
      </c>
      <c r="S26" s="142">
        <v>1867.2002213297053</v>
      </c>
      <c r="T26" s="142">
        <v>2312.4742735292689</v>
      </c>
      <c r="U26" s="142">
        <v>1849.8398473497866</v>
      </c>
      <c r="V26" s="142">
        <v>1851.9704384398362</v>
      </c>
      <c r="W26" s="142">
        <v>1775.5594226864753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1137.068863548131</v>
      </c>
      <c r="F27" s="151">
        <v>441.49609663583908</v>
      </c>
      <c r="G27" s="151">
        <v>369.96584386681496</v>
      </c>
      <c r="H27" s="151">
        <v>472.19646561379216</v>
      </c>
      <c r="I27" s="151">
        <v>603.27623501604796</v>
      </c>
      <c r="J27" s="151">
        <v>885.17468206099443</v>
      </c>
      <c r="K27" s="151">
        <v>346.9587897405072</v>
      </c>
      <c r="L27" s="151">
        <v>1142.1862683154479</v>
      </c>
      <c r="M27" s="151">
        <v>829.15670116138722</v>
      </c>
      <c r="N27" s="151">
        <v>544.93696381280915</v>
      </c>
      <c r="O27" s="151">
        <v>372.97893810255442</v>
      </c>
      <c r="P27" s="151">
        <v>1488.2558904327243</v>
      </c>
      <c r="Q27" s="151">
        <v>418.9021163266562</v>
      </c>
      <c r="R27" s="151">
        <v>451.25040606892617</v>
      </c>
      <c r="S27" s="151">
        <v>855.08262724507074</v>
      </c>
      <c r="T27" s="151">
        <v>975.96140689509764</v>
      </c>
      <c r="U27" s="151">
        <v>767.8996240574279</v>
      </c>
      <c r="V27" s="151">
        <v>1752.5572364703951</v>
      </c>
      <c r="W27" s="151">
        <v>249.33881572661141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4077.0587469568773</v>
      </c>
      <c r="D29" s="140">
        <f t="shared" si="9"/>
        <v>3779.7187050443385</v>
      </c>
      <c r="E29" s="140">
        <f t="shared" si="9"/>
        <v>5156.0430301856159</v>
      </c>
      <c r="F29" s="140">
        <f t="shared" si="9"/>
        <v>5937.0374657408611</v>
      </c>
      <c r="G29" s="140">
        <f t="shared" si="9"/>
        <v>9591.7589222840161</v>
      </c>
      <c r="H29" s="140">
        <f t="shared" si="9"/>
        <v>10357.939158209734</v>
      </c>
      <c r="I29" s="140">
        <f t="shared" si="9"/>
        <v>9425.0084868336489</v>
      </c>
      <c r="J29" s="140">
        <f t="shared" si="9"/>
        <v>6634.4027757849854</v>
      </c>
      <c r="K29" s="140">
        <f t="shared" si="9"/>
        <v>1059.5923534146066</v>
      </c>
      <c r="L29" s="140">
        <f t="shared" si="9"/>
        <v>4526.0416610564789</v>
      </c>
      <c r="M29" s="140">
        <f t="shared" si="9"/>
        <v>5040.5679503433039</v>
      </c>
      <c r="N29" s="140">
        <f t="shared" si="9"/>
        <v>2866.1415966510021</v>
      </c>
      <c r="O29" s="140">
        <f t="shared" si="9"/>
        <v>2652.777538190865</v>
      </c>
      <c r="P29" s="140">
        <f t="shared" si="9"/>
        <v>4811.3216261174684</v>
      </c>
      <c r="Q29" s="140">
        <f t="shared" si="9"/>
        <v>7345.1661178103013</v>
      </c>
      <c r="R29" s="140">
        <f t="shared" ref="R29:W29" si="10">SUM(R30:R33)</f>
        <v>5327.2155631152673</v>
      </c>
      <c r="S29" s="140">
        <f t="shared" si="10"/>
        <v>6865.6267859451309</v>
      </c>
      <c r="T29" s="140">
        <f t="shared" si="10"/>
        <v>6293.9222136074441</v>
      </c>
      <c r="U29" s="140">
        <f t="shared" si="10"/>
        <v>6134.6865717415794</v>
      </c>
      <c r="V29" s="140">
        <f t="shared" si="10"/>
        <v>5766.0571434790436</v>
      </c>
      <c r="W29" s="140">
        <f t="shared" si="10"/>
        <v>5465.2692543616395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2214.5376753550108</v>
      </c>
      <c r="D31" s="141">
        <v>2037.9864444903526</v>
      </c>
      <c r="E31" s="141">
        <v>2575.4929672530934</v>
      </c>
      <c r="F31" s="141">
        <v>2662.5862804273024</v>
      </c>
      <c r="G31" s="141">
        <v>4675.1633227657403</v>
      </c>
      <c r="H31" s="141">
        <v>4537.3079712214012</v>
      </c>
      <c r="I31" s="141">
        <v>4647.613213002739</v>
      </c>
      <c r="J31" s="141">
        <v>3429.2889723799849</v>
      </c>
      <c r="K31" s="141">
        <v>558.47963276505857</v>
      </c>
      <c r="L31" s="141">
        <v>2466.1110476414165</v>
      </c>
      <c r="M31" s="141">
        <v>2097.4811774376631</v>
      </c>
      <c r="N31" s="141">
        <v>1227.3448614433014</v>
      </c>
      <c r="O31" s="141">
        <v>1229.2711323046651</v>
      </c>
      <c r="P31" s="141">
        <v>2264.5833630557991</v>
      </c>
      <c r="Q31" s="141">
        <v>3802.4471562316967</v>
      </c>
      <c r="R31" s="141">
        <v>3413.1305629155768</v>
      </c>
      <c r="S31" s="141">
        <v>4820.2059729037055</v>
      </c>
      <c r="T31" s="141">
        <v>3418.4476114007466</v>
      </c>
      <c r="U31" s="141">
        <v>3366.6170226358477</v>
      </c>
      <c r="V31" s="141">
        <v>2552.8233870616236</v>
      </c>
      <c r="W31" s="141">
        <v>2664.4366730987726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1862.5210716018662</v>
      </c>
      <c r="D33" s="153">
        <v>1741.732260553986</v>
      </c>
      <c r="E33" s="153">
        <v>2580.5500629325229</v>
      </c>
      <c r="F33" s="153">
        <v>3274.4511853135582</v>
      </c>
      <c r="G33" s="153">
        <v>4916.5955995182758</v>
      </c>
      <c r="H33" s="153">
        <v>5820.631186988332</v>
      </c>
      <c r="I33" s="153">
        <v>4777.395273830909</v>
      </c>
      <c r="J33" s="153">
        <v>3205.113803405</v>
      </c>
      <c r="K33" s="153">
        <v>501.11272064954795</v>
      </c>
      <c r="L33" s="153">
        <v>2059.9306134150629</v>
      </c>
      <c r="M33" s="153">
        <v>2943.0867729056408</v>
      </c>
      <c r="N33" s="153">
        <v>1638.7967352077005</v>
      </c>
      <c r="O33" s="153">
        <v>1423.5064058862001</v>
      </c>
      <c r="P33" s="153">
        <v>2546.7382630616694</v>
      </c>
      <c r="Q33" s="153">
        <v>3542.7189615786046</v>
      </c>
      <c r="R33" s="153">
        <v>1914.0850001996903</v>
      </c>
      <c r="S33" s="153">
        <v>2045.4208130414258</v>
      </c>
      <c r="T33" s="153">
        <v>2875.4746022066975</v>
      </c>
      <c r="U33" s="153">
        <v>2768.0695491057318</v>
      </c>
      <c r="V33" s="153">
        <v>3213.23375641742</v>
      </c>
      <c r="W33" s="153">
        <v>2800.8325812628664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55.902320740761027</v>
      </c>
      <c r="D3" s="126">
        <f t="shared" si="0"/>
        <v>49.711540757010816</v>
      </c>
      <c r="E3" s="126">
        <f t="shared" si="0"/>
        <v>68.33891144917142</v>
      </c>
      <c r="F3" s="126">
        <f t="shared" si="0"/>
        <v>73.370651877239652</v>
      </c>
      <c r="G3" s="126">
        <f t="shared" si="0"/>
        <v>105.3170387970938</v>
      </c>
      <c r="H3" s="126">
        <f t="shared" si="0"/>
        <v>100.9535134967599</v>
      </c>
      <c r="I3" s="126">
        <f t="shared" si="0"/>
        <v>85.487088173875065</v>
      </c>
      <c r="J3" s="126">
        <f t="shared" si="0"/>
        <v>61.22999573860988</v>
      </c>
      <c r="K3" s="126">
        <f t="shared" si="0"/>
        <v>8.3213141778551538</v>
      </c>
      <c r="L3" s="126">
        <f t="shared" si="0"/>
        <v>40.09172682575538</v>
      </c>
      <c r="M3" s="126">
        <f t="shared" si="0"/>
        <v>41.390835741184489</v>
      </c>
      <c r="N3" s="126">
        <f t="shared" si="0"/>
        <v>22.062941017547274</v>
      </c>
      <c r="O3" s="126">
        <f t="shared" si="0"/>
        <v>19.782846827147601</v>
      </c>
      <c r="P3" s="126">
        <f t="shared" si="0"/>
        <v>32.406334359566998</v>
      </c>
      <c r="Q3" s="126">
        <f t="shared" si="0"/>
        <v>48.538715641843503</v>
      </c>
      <c r="R3" s="126">
        <f t="shared" ref="R3:W3" si="1">SUM(R4,R16,R19,R29)</f>
        <v>33.689201030383913</v>
      </c>
      <c r="S3" s="126">
        <f t="shared" si="1"/>
        <v>43.358474291006097</v>
      </c>
      <c r="T3" s="126">
        <f t="shared" si="1"/>
        <v>36.224360215165341</v>
      </c>
      <c r="U3" s="126">
        <f t="shared" si="1"/>
        <v>34.314080548939174</v>
      </c>
      <c r="V3" s="126">
        <f t="shared" si="1"/>
        <v>27.733170307255442</v>
      </c>
      <c r="W3" s="126">
        <f t="shared" si="1"/>
        <v>24.121982138764519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45.660097929906691</v>
      </c>
      <c r="D4" s="131">
        <f t="shared" si="2"/>
        <v>39.089131405107452</v>
      </c>
      <c r="E4" s="131">
        <f t="shared" si="2"/>
        <v>55.863628851056532</v>
      </c>
      <c r="F4" s="131">
        <f t="shared" si="2"/>
        <v>59.473591078341315</v>
      </c>
      <c r="G4" s="131">
        <f t="shared" si="2"/>
        <v>82.655727785508958</v>
      </c>
      <c r="H4" s="131">
        <f t="shared" si="2"/>
        <v>76.182807293079321</v>
      </c>
      <c r="I4" s="131">
        <f t="shared" si="2"/>
        <v>62.478871708883702</v>
      </c>
      <c r="J4" s="131">
        <f t="shared" si="2"/>
        <v>44.227937372451642</v>
      </c>
      <c r="K4" s="131">
        <f t="shared" si="2"/>
        <v>5.5078784414229611</v>
      </c>
      <c r="L4" s="131">
        <f t="shared" si="2"/>
        <v>28.068512635788256</v>
      </c>
      <c r="M4" s="131">
        <f t="shared" si="2"/>
        <v>28.322000111070547</v>
      </c>
      <c r="N4" s="131">
        <f t="shared" si="2"/>
        <v>14.734303441445384</v>
      </c>
      <c r="O4" s="131">
        <f t="shared" si="2"/>
        <v>12.975741908975548</v>
      </c>
      <c r="P4" s="131">
        <f t="shared" si="2"/>
        <v>20.54213511604431</v>
      </c>
      <c r="Q4" s="131">
        <f t="shared" si="2"/>
        <v>29.835929505236571</v>
      </c>
      <c r="R4" s="131">
        <f t="shared" ref="R4:W4" si="3">SUM(R5:R15)</f>
        <v>20.579181437080546</v>
      </c>
      <c r="S4" s="131">
        <f t="shared" si="3"/>
        <v>26.145203740784247</v>
      </c>
      <c r="T4" s="131">
        <f t="shared" si="3"/>
        <v>21.248168959500809</v>
      </c>
      <c r="U4" s="131">
        <f t="shared" si="3"/>
        <v>19.866967163063439</v>
      </c>
      <c r="V4" s="131">
        <f t="shared" si="3"/>
        <v>15.744535310608693</v>
      </c>
      <c r="W4" s="131">
        <f t="shared" si="3"/>
        <v>12.44232719651489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11.192870101345774</v>
      </c>
      <c r="F5" s="133">
        <v>10.833269451795099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0.84815383215052231</v>
      </c>
      <c r="O5" s="133">
        <v>1.247527693366179</v>
      </c>
      <c r="P5" s="133">
        <v>6.1043616578076491E-2</v>
      </c>
      <c r="Q5" s="133">
        <v>0</v>
      </c>
      <c r="R5" s="133">
        <v>9.3171388967920488E-2</v>
      </c>
      <c r="S5" s="133">
        <v>0</v>
      </c>
      <c r="T5" s="133">
        <v>0</v>
      </c>
      <c r="U5" s="133">
        <v>0.28060330752781792</v>
      </c>
      <c r="V5" s="133">
        <v>0.12868347325979382</v>
      </c>
      <c r="W5" s="133">
        <v>4.2242722755550563E-2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0.16032902767465904</v>
      </c>
      <c r="D7" s="133">
        <v>1.1532254364665355</v>
      </c>
      <c r="E7" s="133">
        <v>0.49617226791371494</v>
      </c>
      <c r="F7" s="133">
        <v>0.78589534407740103</v>
      </c>
      <c r="G7" s="133">
        <v>0.35289156969205759</v>
      </c>
      <c r="H7" s="133">
        <v>0.80311911111718137</v>
      </c>
      <c r="I7" s="133">
        <v>0.39561242323479939</v>
      </c>
      <c r="J7" s="133">
        <v>0.21295083792185709</v>
      </c>
      <c r="K7" s="133">
        <v>0</v>
      </c>
      <c r="L7" s="133">
        <v>0.20321892467222169</v>
      </c>
      <c r="M7" s="133">
        <v>0.14468615849340499</v>
      </c>
      <c r="N7" s="133">
        <v>0.27178312861313347</v>
      </c>
      <c r="O7" s="133">
        <v>7.6184701097273863E-2</v>
      </c>
      <c r="P7" s="133">
        <v>0.20150516730135606</v>
      </c>
      <c r="Q7" s="133">
        <v>1.0665550788725253</v>
      </c>
      <c r="R7" s="133">
        <v>0.29296021452118304</v>
      </c>
      <c r="S7" s="133">
        <v>0.12290929366741689</v>
      </c>
      <c r="T7" s="133">
        <v>0</v>
      </c>
      <c r="U7" s="133">
        <v>3.8911821593225926E-2</v>
      </c>
      <c r="V7" s="133">
        <v>0.13510375336450126</v>
      </c>
      <c r="W7" s="133">
        <v>8.3713196448493704E-2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1.4925262931653241E-3</v>
      </c>
      <c r="H8" s="133">
        <v>2.6319603614988482E-3</v>
      </c>
      <c r="I8" s="133">
        <v>3.9582717659703915E-3</v>
      </c>
      <c r="J8" s="133">
        <v>4.342849798321495E-3</v>
      </c>
      <c r="K8" s="133">
        <v>1.1872730992573031E-3</v>
      </c>
      <c r="L8" s="133">
        <v>3.3900694544814138E-3</v>
      </c>
      <c r="M8" s="133">
        <v>6.5107296053296421E-3</v>
      </c>
      <c r="N8" s="133">
        <v>5.5541634600926497E-3</v>
      </c>
      <c r="O8" s="133">
        <v>8.1194732638593722E-3</v>
      </c>
      <c r="P8" s="133">
        <v>2.7204610847170914E-2</v>
      </c>
      <c r="Q8" s="133">
        <v>1.8936503384082183E-2</v>
      </c>
      <c r="R8" s="133">
        <v>8.2419522693416673E-3</v>
      </c>
      <c r="S8" s="133">
        <v>6.5761928491778277E-3</v>
      </c>
      <c r="T8" s="133">
        <v>9.1336572658330586E-3</v>
      </c>
      <c r="U8" s="133">
        <v>1.1071853845509334E-2</v>
      </c>
      <c r="V8" s="133">
        <v>1.1416080947826311E-2</v>
      </c>
      <c r="W8" s="133">
        <v>7.8522583682640139E-3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24.547094270859269</v>
      </c>
      <c r="D9" s="133">
        <v>24.282896690087579</v>
      </c>
      <c r="E9" s="133">
        <v>27.088255073668137</v>
      </c>
      <c r="F9" s="133">
        <v>30.390412504620784</v>
      </c>
      <c r="G9" s="133">
        <v>56.008382335300567</v>
      </c>
      <c r="H9" s="133">
        <v>49.409130396386914</v>
      </c>
      <c r="I9" s="133">
        <v>38.552536767022517</v>
      </c>
      <c r="J9" s="133">
        <v>25.081938427438292</v>
      </c>
      <c r="K9" s="133">
        <v>8.8138178784750956E-2</v>
      </c>
      <c r="L9" s="133">
        <v>9.0777445158581376</v>
      </c>
      <c r="M9" s="133">
        <v>12.070634806612608</v>
      </c>
      <c r="N9" s="133">
        <v>5.0054344624910838</v>
      </c>
      <c r="O9" s="133">
        <v>4.5000838978812858</v>
      </c>
      <c r="P9" s="133">
        <v>10.903780608702556</v>
      </c>
      <c r="Q9" s="133">
        <v>16.24665219034615</v>
      </c>
      <c r="R9" s="133">
        <v>9.2506033703984318</v>
      </c>
      <c r="S9" s="133">
        <v>13.558411600762518</v>
      </c>
      <c r="T9" s="133">
        <v>9.2941150428638704</v>
      </c>
      <c r="U9" s="133">
        <v>9.7686729820284892</v>
      </c>
      <c r="V9" s="133">
        <v>7.2086751732912813</v>
      </c>
      <c r="W9" s="133">
        <v>5.1668374662738898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1.1884097654227266</v>
      </c>
      <c r="D10" s="133">
        <v>1.1576605472443431</v>
      </c>
      <c r="E10" s="133">
        <v>1.8425778307466414</v>
      </c>
      <c r="F10" s="133">
        <v>1.6771653647408176</v>
      </c>
      <c r="G10" s="133">
        <v>2.5722971064200837</v>
      </c>
      <c r="H10" s="133">
        <v>1.6621680446845655</v>
      </c>
      <c r="I10" s="133">
        <v>1.7369834201874998</v>
      </c>
      <c r="J10" s="133">
        <v>0.6273687011765372</v>
      </c>
      <c r="K10" s="133">
        <v>0.16818092550573557</v>
      </c>
      <c r="L10" s="133">
        <v>1.1120835686553339</v>
      </c>
      <c r="M10" s="133">
        <v>1.4355446077293132</v>
      </c>
      <c r="N10" s="133">
        <v>0.77598985922202235</v>
      </c>
      <c r="O10" s="133">
        <v>0.76808251076168677</v>
      </c>
      <c r="P10" s="133">
        <v>1.5392027351731323</v>
      </c>
      <c r="Q10" s="133">
        <v>1.5318915822280561</v>
      </c>
      <c r="R10" s="133">
        <v>0.34275207284405756</v>
      </c>
      <c r="S10" s="133">
        <v>0.36613169094662024</v>
      </c>
      <c r="T10" s="133">
        <v>0.6494790266400533</v>
      </c>
      <c r="U10" s="133">
        <v>0.72651900172764616</v>
      </c>
      <c r="V10" s="133">
        <v>0.62105060305641313</v>
      </c>
      <c r="W10" s="133">
        <v>0.53093196474491211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11.263593213827834</v>
      </c>
      <c r="D12" s="133">
        <v>6.978094230214448</v>
      </c>
      <c r="E12" s="133">
        <v>10.00796389674497</v>
      </c>
      <c r="F12" s="133">
        <v>15.197586945069185</v>
      </c>
      <c r="G12" s="133">
        <v>15.591425050805631</v>
      </c>
      <c r="H12" s="133">
        <v>8.1409887669952568</v>
      </c>
      <c r="I12" s="133">
        <v>5.0950461972057015</v>
      </c>
      <c r="J12" s="133">
        <v>6.4847404015754773</v>
      </c>
      <c r="K12" s="133">
        <v>2.9058978164793912</v>
      </c>
      <c r="L12" s="133">
        <v>12.651289400952228</v>
      </c>
      <c r="M12" s="133">
        <v>9.4946777915689715</v>
      </c>
      <c r="N12" s="133">
        <v>4.3905068506268092</v>
      </c>
      <c r="O12" s="133">
        <v>2.8774818938453639</v>
      </c>
      <c r="P12" s="133">
        <v>4.1037498544770612</v>
      </c>
      <c r="Q12" s="133">
        <v>5.5917236251524232</v>
      </c>
      <c r="R12" s="133">
        <v>4.6044068158564819</v>
      </c>
      <c r="S12" s="133">
        <v>4.7514587551350003</v>
      </c>
      <c r="T12" s="133">
        <v>4.5555972732704921</v>
      </c>
      <c r="U12" s="133">
        <v>3.621626375734988</v>
      </c>
      <c r="V12" s="133">
        <v>3.5999766646443265</v>
      </c>
      <c r="W12" s="133">
        <v>3.9016251951042964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5.5080836611842522E-2</v>
      </c>
      <c r="D13" s="133">
        <v>0.107561849456763</v>
      </c>
      <c r="E13" s="133">
        <v>0.10953764804355551</v>
      </c>
      <c r="F13" s="133">
        <v>0.12268115537478838</v>
      </c>
      <c r="G13" s="133">
        <v>0.15392211828696023</v>
      </c>
      <c r="H13" s="133">
        <v>0.19405633841789299</v>
      </c>
      <c r="I13" s="133">
        <v>0.17805495442736102</v>
      </c>
      <c r="J13" s="133">
        <v>0.13135845338249888</v>
      </c>
      <c r="K13" s="133">
        <v>3.7582633615767178E-2</v>
      </c>
      <c r="L13" s="133">
        <v>9.458582729876383E-2</v>
      </c>
      <c r="M13" s="133">
        <v>0.11865238198439189</v>
      </c>
      <c r="N13" s="133">
        <v>6.5547808772912317E-2</v>
      </c>
      <c r="O13" s="133">
        <v>5.6358732147953873E-2</v>
      </c>
      <c r="P13" s="133">
        <v>0.14606050684266347</v>
      </c>
      <c r="Q13" s="133">
        <v>0.15259793054536105</v>
      </c>
      <c r="R13" s="133">
        <v>0.11484388077016668</v>
      </c>
      <c r="S13" s="133">
        <v>0.13726720044342403</v>
      </c>
      <c r="T13" s="133">
        <v>0.16220088567544341</v>
      </c>
      <c r="U13" s="133">
        <v>0.16292252863641563</v>
      </c>
      <c r="V13" s="133">
        <v>0.1612726602251075</v>
      </c>
      <c r="W13" s="133">
        <v>0.11019198601205958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8.1191384683743184</v>
      </c>
      <c r="D14" s="65">
        <v>5.0954165171979469</v>
      </c>
      <c r="E14" s="65">
        <v>4.7121750495822923</v>
      </c>
      <c r="F14" s="65">
        <v>0</v>
      </c>
      <c r="G14" s="65">
        <v>7.2877635282644357</v>
      </c>
      <c r="H14" s="65">
        <v>15.384708449274289</v>
      </c>
      <c r="I14" s="65">
        <v>16.065339184087943</v>
      </c>
      <c r="J14" s="65">
        <v>11.384013724496562</v>
      </c>
      <c r="K14" s="65">
        <v>2.2952477838699497</v>
      </c>
      <c r="L14" s="65">
        <v>4.7772633477049569</v>
      </c>
      <c r="M14" s="65">
        <v>4.8788873996111208</v>
      </c>
      <c r="N14" s="65">
        <v>3.2902997700426075</v>
      </c>
      <c r="O14" s="65">
        <v>3.3705123573029647</v>
      </c>
      <c r="P14" s="65">
        <v>3.4108217836135832</v>
      </c>
      <c r="Q14" s="65">
        <v>5.0006184952020227</v>
      </c>
      <c r="R14" s="65">
        <v>5.742861284287482</v>
      </c>
      <c r="S14" s="65">
        <v>7.0237923763693422</v>
      </c>
      <c r="T14" s="65">
        <v>6.4497093871108024</v>
      </c>
      <c r="U14" s="65">
        <v>5.1235553100480251</v>
      </c>
      <c r="V14" s="65">
        <v>3.7755743203854468</v>
      </c>
      <c r="W14" s="65">
        <v>2.5206601551617842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0.32645234713603888</v>
      </c>
      <c r="D15" s="135">
        <v>0.3142761344398336</v>
      </c>
      <c r="E15" s="135">
        <v>0.41407698301144741</v>
      </c>
      <c r="F15" s="135">
        <v>0.46658031266324768</v>
      </c>
      <c r="G15" s="135">
        <v>0.68755355044607069</v>
      </c>
      <c r="H15" s="135">
        <v>0.5860042258417234</v>
      </c>
      <c r="I15" s="135">
        <v>0.45134049095190731</v>
      </c>
      <c r="J15" s="135">
        <v>0.30122397666210232</v>
      </c>
      <c r="K15" s="135">
        <v>1.1643830068109814E-2</v>
      </c>
      <c r="L15" s="135">
        <v>0.14893698119212861</v>
      </c>
      <c r="M15" s="135">
        <v>0.17240623546540745</v>
      </c>
      <c r="N15" s="135">
        <v>8.1033566066200241E-2</v>
      </c>
      <c r="O15" s="135">
        <v>7.139064930897944E-2</v>
      </c>
      <c r="P15" s="135">
        <v>0.14876623250871004</v>
      </c>
      <c r="Q15" s="135">
        <v>0.2269540995059483</v>
      </c>
      <c r="R15" s="135">
        <v>0.12934045716547996</v>
      </c>
      <c r="S15" s="135">
        <v>0.17865663061074569</v>
      </c>
      <c r="T15" s="135">
        <v>0.12793368667431729</v>
      </c>
      <c r="U15" s="135">
        <v>0.13308398192132506</v>
      </c>
      <c r="V15" s="135">
        <v>0.10278258143399628</v>
      </c>
      <c r="W15" s="135">
        <v>7.8272251645640556E-2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2.3318277718610627</v>
      </c>
      <c r="D16" s="131">
        <f t="shared" si="4"/>
        <v>3.3702029391497854</v>
      </c>
      <c r="E16" s="131">
        <f t="shared" si="4"/>
        <v>2.9221033751529366</v>
      </c>
      <c r="F16" s="131">
        <f t="shared" si="4"/>
        <v>3.0065637793050528</v>
      </c>
      <c r="G16" s="131">
        <f t="shared" si="4"/>
        <v>5.0829534381547736</v>
      </c>
      <c r="H16" s="131">
        <f t="shared" si="4"/>
        <v>5.8951522080878647</v>
      </c>
      <c r="I16" s="131">
        <f t="shared" si="4"/>
        <v>5.8124702372021391</v>
      </c>
      <c r="J16" s="131">
        <f t="shared" si="4"/>
        <v>4.8890127647556305</v>
      </c>
      <c r="K16" s="131">
        <f t="shared" si="4"/>
        <v>0.7522463928235632</v>
      </c>
      <c r="L16" s="131">
        <f t="shared" si="4"/>
        <v>3.1638624815236467</v>
      </c>
      <c r="M16" s="131">
        <f t="shared" si="4"/>
        <v>3.3383029644308913</v>
      </c>
      <c r="N16" s="131">
        <f t="shared" si="4"/>
        <v>1.8238397125564596</v>
      </c>
      <c r="O16" s="131">
        <f t="shared" si="4"/>
        <v>1.6677145774170992</v>
      </c>
      <c r="P16" s="131">
        <f t="shared" si="4"/>
        <v>2.7233514338769451</v>
      </c>
      <c r="Q16" s="131">
        <f t="shared" si="4"/>
        <v>4.684872363032925</v>
      </c>
      <c r="R16" s="131">
        <f t="shared" ref="R16:W16" si="5">SUM(R17:R18)</f>
        <v>2.7751029857367375</v>
      </c>
      <c r="S16" s="131">
        <f t="shared" si="5"/>
        <v>3.5331752534601768</v>
      </c>
      <c r="T16" s="131">
        <f t="shared" si="5"/>
        <v>3.3045411707626835</v>
      </c>
      <c r="U16" s="131">
        <f t="shared" si="5"/>
        <v>3.0598504207496182</v>
      </c>
      <c r="V16" s="131">
        <f t="shared" si="5"/>
        <v>2.2968282669445834</v>
      </c>
      <c r="W16" s="131">
        <f t="shared" si="5"/>
        <v>2.2932504309743487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4.2288156613111312E-2</v>
      </c>
      <c r="H17" s="133">
        <v>1.121051559906565E-2</v>
      </c>
      <c r="I17" s="133">
        <v>2.3365397462522832E-2</v>
      </c>
      <c r="J17" s="133">
        <v>4.2796235058054572E-3</v>
      </c>
      <c r="K17" s="133">
        <v>5.4908715507237154E-3</v>
      </c>
      <c r="L17" s="133">
        <v>2.5963563535896126E-3</v>
      </c>
      <c r="M17" s="133">
        <v>8.0455884897915261E-3</v>
      </c>
      <c r="N17" s="133">
        <v>5.0305216512076256E-3</v>
      </c>
      <c r="O17" s="133">
        <v>1.3848092328220686E-2</v>
      </c>
      <c r="P17" s="133">
        <v>4.5991146795455705E-2</v>
      </c>
      <c r="Q17" s="133">
        <v>0.11836370866835179</v>
      </c>
      <c r="R17" s="133">
        <v>4.1347345167036517E-2</v>
      </c>
      <c r="S17" s="133">
        <v>6.9470886349909527E-2</v>
      </c>
      <c r="T17" s="133">
        <v>6.1098002469615956E-2</v>
      </c>
      <c r="U17" s="133">
        <v>4.7161812346446202E-2</v>
      </c>
      <c r="V17" s="133">
        <v>9.1019187012471386E-2</v>
      </c>
      <c r="W17" s="133">
        <v>3.0298846023256956E-2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2.3318277718610627</v>
      </c>
      <c r="D18" s="133">
        <v>3.3702029391497854</v>
      </c>
      <c r="E18" s="133">
        <v>2.9221033751529366</v>
      </c>
      <c r="F18" s="133">
        <v>3.0065637793050528</v>
      </c>
      <c r="G18" s="133">
        <v>5.0406652815416626</v>
      </c>
      <c r="H18" s="133">
        <v>5.8839416924887988</v>
      </c>
      <c r="I18" s="133">
        <v>5.7891048397396165</v>
      </c>
      <c r="J18" s="133">
        <v>4.8847331412498249</v>
      </c>
      <c r="K18" s="133">
        <v>0.74675552127283951</v>
      </c>
      <c r="L18" s="133">
        <v>3.1612661251700569</v>
      </c>
      <c r="M18" s="133">
        <v>3.3302573759410996</v>
      </c>
      <c r="N18" s="133">
        <v>1.8188091909052519</v>
      </c>
      <c r="O18" s="133">
        <v>1.6538664850888785</v>
      </c>
      <c r="P18" s="133">
        <v>2.6773602870814894</v>
      </c>
      <c r="Q18" s="133">
        <v>4.566508654364573</v>
      </c>
      <c r="R18" s="133">
        <v>2.7337556405697012</v>
      </c>
      <c r="S18" s="133">
        <v>3.4637043671102674</v>
      </c>
      <c r="T18" s="133">
        <v>3.2434431682930676</v>
      </c>
      <c r="U18" s="133">
        <v>3.0126886084031721</v>
      </c>
      <c r="V18" s="133">
        <v>2.2058090799321119</v>
      </c>
      <c r="W18" s="133">
        <v>2.2629515849510917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3.8529586214846665</v>
      </c>
      <c r="D19" s="131">
        <f t="shared" si="6"/>
        <v>3.524316126383944</v>
      </c>
      <c r="E19" s="131">
        <f t="shared" si="6"/>
        <v>4.5093696797225933</v>
      </c>
      <c r="F19" s="131">
        <f t="shared" si="6"/>
        <v>5.1734926222186886</v>
      </c>
      <c r="G19" s="131">
        <f t="shared" si="6"/>
        <v>8.3489658137221614</v>
      </c>
      <c r="H19" s="131">
        <f t="shared" si="6"/>
        <v>9.0145560707037315</v>
      </c>
      <c r="I19" s="131">
        <f t="shared" si="6"/>
        <v>8.1802980715734819</v>
      </c>
      <c r="J19" s="131">
        <f t="shared" si="6"/>
        <v>5.6427610646934019</v>
      </c>
      <c r="K19" s="131">
        <f t="shared" si="6"/>
        <v>0.95333464924419264</v>
      </c>
      <c r="L19" s="131">
        <f t="shared" si="6"/>
        <v>4.0229694115073622</v>
      </c>
      <c r="M19" s="131">
        <f t="shared" si="6"/>
        <v>4.4729359159323847</v>
      </c>
      <c r="N19" s="131">
        <f t="shared" si="6"/>
        <v>2.489459246367665</v>
      </c>
      <c r="O19" s="131">
        <f t="shared" si="6"/>
        <v>2.2857627669975056</v>
      </c>
      <c r="P19" s="131">
        <f t="shared" si="6"/>
        <v>3.936626436249052</v>
      </c>
      <c r="Q19" s="131">
        <f t="shared" si="6"/>
        <v>6.0469198382895444</v>
      </c>
      <c r="R19" s="131">
        <f t="shared" ref="R19:W19" si="7">SUM(R20:R27)</f>
        <v>4.3332592654595716</v>
      </c>
      <c r="S19" s="131">
        <f t="shared" si="7"/>
        <v>5.5654543791364137</v>
      </c>
      <c r="T19" s="131">
        <f t="shared" si="7"/>
        <v>4.9182822269099713</v>
      </c>
      <c r="U19" s="131">
        <f t="shared" si="7"/>
        <v>4.7531134534734498</v>
      </c>
      <c r="V19" s="131">
        <f t="shared" si="7"/>
        <v>4.1297676327450663</v>
      </c>
      <c r="W19" s="131">
        <f t="shared" si="7"/>
        <v>3.930089031354445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1.5703461069147961</v>
      </c>
      <c r="D23" s="133">
        <v>1.8318849492707485</v>
      </c>
      <c r="E23" s="133">
        <v>2.2610777982114385</v>
      </c>
      <c r="F23" s="133">
        <v>2.6807137685770246</v>
      </c>
      <c r="G23" s="133">
        <v>4.0314337112801724</v>
      </c>
      <c r="H23" s="133">
        <v>4.5316546342003816</v>
      </c>
      <c r="I23" s="133">
        <v>4.7916509681720632</v>
      </c>
      <c r="J23" s="133">
        <v>3.0471216777197463</v>
      </c>
      <c r="K23" s="133">
        <v>0.59912741602257391</v>
      </c>
      <c r="L23" s="133">
        <v>1.7161895438564374</v>
      </c>
      <c r="M23" s="133">
        <v>1.8768241344405361</v>
      </c>
      <c r="N23" s="133">
        <v>0.85816192982101858</v>
      </c>
      <c r="O23" s="133">
        <v>0.90299436402250932</v>
      </c>
      <c r="P23" s="133">
        <v>1.9574408609820242</v>
      </c>
      <c r="Q23" s="133">
        <v>3.3224785684310896</v>
      </c>
      <c r="R23" s="133">
        <v>1.9270598197613533</v>
      </c>
      <c r="S23" s="133">
        <v>2.9477193293310595</v>
      </c>
      <c r="T23" s="133">
        <v>1.9727626929498137</v>
      </c>
      <c r="U23" s="133">
        <v>2.3894986449230773</v>
      </c>
      <c r="V23" s="133">
        <v>1.8282250985385138</v>
      </c>
      <c r="W23" s="133">
        <v>1.6727191436619608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0.72690799730353128</v>
      </c>
      <c r="D25" s="133">
        <v>0.78639037808194667</v>
      </c>
      <c r="E25" s="133">
        <v>0.99391864324908508</v>
      </c>
      <c r="F25" s="133">
        <v>1.0814304940217132</v>
      </c>
      <c r="G25" s="133">
        <v>1.2548476245080746</v>
      </c>
      <c r="H25" s="133">
        <v>1.285896824985689</v>
      </c>
      <c r="I25" s="133">
        <v>0.98529776752233833</v>
      </c>
      <c r="J25" s="133">
        <v>0.75815968849535509</v>
      </c>
      <c r="K25" s="133">
        <v>0.18878997564213318</v>
      </c>
      <c r="L25" s="133">
        <v>0.8129761855119676</v>
      </c>
      <c r="M25" s="133">
        <v>1.1377658008187868</v>
      </c>
      <c r="N25" s="133">
        <v>0.72344577483425954</v>
      </c>
      <c r="O25" s="133">
        <v>0.69561279377062391</v>
      </c>
      <c r="P25" s="133">
        <v>1.0150571409380866</v>
      </c>
      <c r="Q25" s="133">
        <v>1.2333922810866977</v>
      </c>
      <c r="R25" s="133">
        <v>1.0453752235400098</v>
      </c>
      <c r="S25" s="133">
        <v>1.1186263958867293</v>
      </c>
      <c r="T25" s="133">
        <v>1.1430093952575411</v>
      </c>
      <c r="U25" s="133">
        <v>0.94916901697925193</v>
      </c>
      <c r="V25" s="133">
        <v>0.94251897350920921</v>
      </c>
      <c r="W25" s="133">
        <v>1.0190045094845719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1.5557045172663388</v>
      </c>
      <c r="D26" s="65">
        <v>0.90604079903124857</v>
      </c>
      <c r="E26" s="65">
        <v>0.91731142479258532</v>
      </c>
      <c r="F26" s="65">
        <v>1.2856376963166232</v>
      </c>
      <c r="G26" s="65">
        <v>2.9556250800486357</v>
      </c>
      <c r="H26" s="65">
        <v>3.0646864151296223</v>
      </c>
      <c r="I26" s="65">
        <v>2.2313426427830558</v>
      </c>
      <c r="J26" s="65">
        <v>1.5796597786755784</v>
      </c>
      <c r="K26" s="65">
        <v>5.2563753245876227E-2</v>
      </c>
      <c r="L26" s="65">
        <v>1.1216483390928396</v>
      </c>
      <c r="M26" s="65">
        <v>1.1611721762395932</v>
      </c>
      <c r="N26" s="65">
        <v>0.70606325114542634</v>
      </c>
      <c r="O26" s="65">
        <v>0.54440412292603046</v>
      </c>
      <c r="P26" s="65">
        <v>0.42775814187270839</v>
      </c>
      <c r="Q26" s="65">
        <v>1.3322717661162933</v>
      </c>
      <c r="R26" s="65">
        <v>1.1833009376770818</v>
      </c>
      <c r="S26" s="65">
        <v>1.1622961134651446</v>
      </c>
      <c r="T26" s="65">
        <v>1.4268579780088104</v>
      </c>
      <c r="U26" s="65">
        <v>1.1198973096926779</v>
      </c>
      <c r="V26" s="65">
        <v>0.74453730563966369</v>
      </c>
      <c r="W26" s="65">
        <v>1.1462330873016942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0.33706181346948466</v>
      </c>
      <c r="F27" s="148">
        <v>0.12571066330332786</v>
      </c>
      <c r="G27" s="148">
        <v>0.10705939788527866</v>
      </c>
      <c r="H27" s="148">
        <v>0.13231819638804063</v>
      </c>
      <c r="I27" s="148">
        <v>0.17200669309602509</v>
      </c>
      <c r="J27" s="148">
        <v>0.2578199198027224</v>
      </c>
      <c r="K27" s="148">
        <v>0.11285350433360933</v>
      </c>
      <c r="L27" s="148">
        <v>0.37215534304611786</v>
      </c>
      <c r="M27" s="148">
        <v>0.29717380443346897</v>
      </c>
      <c r="N27" s="148">
        <v>0.20178829056696013</v>
      </c>
      <c r="O27" s="148">
        <v>0.14275148627834217</v>
      </c>
      <c r="P27" s="148">
        <v>0.53637029245623224</v>
      </c>
      <c r="Q27" s="148">
        <v>0.15877722265546323</v>
      </c>
      <c r="R27" s="148">
        <v>0.17752328448112631</v>
      </c>
      <c r="S27" s="148">
        <v>0.33681254045348025</v>
      </c>
      <c r="T27" s="148">
        <v>0.37565216069380575</v>
      </c>
      <c r="U27" s="148">
        <v>0.29454848187844312</v>
      </c>
      <c r="V27" s="148">
        <v>0.61448625505768018</v>
      </c>
      <c r="W27" s="148">
        <v>9.2132290906217468E-2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4.0574364175086082</v>
      </c>
      <c r="D29" s="131">
        <f t="shared" si="8"/>
        <v>3.727890286369635</v>
      </c>
      <c r="E29" s="131">
        <f t="shared" si="8"/>
        <v>5.0438095432393499</v>
      </c>
      <c r="F29" s="131">
        <f t="shared" si="8"/>
        <v>5.7170043973746001</v>
      </c>
      <c r="G29" s="131">
        <f t="shared" si="8"/>
        <v>9.2293917597079016</v>
      </c>
      <c r="H29" s="131">
        <f t="shared" si="8"/>
        <v>9.860997924888979</v>
      </c>
      <c r="I29" s="131">
        <f t="shared" si="8"/>
        <v>9.0154481562157383</v>
      </c>
      <c r="J29" s="131">
        <f t="shared" si="8"/>
        <v>6.4702845367092081</v>
      </c>
      <c r="K29" s="131">
        <f t="shared" si="8"/>
        <v>1.1078546943644367</v>
      </c>
      <c r="L29" s="131">
        <f t="shared" si="8"/>
        <v>4.8363822969361125</v>
      </c>
      <c r="M29" s="131">
        <f t="shared" si="8"/>
        <v>5.2575967497506664</v>
      </c>
      <c r="N29" s="131">
        <f t="shared" si="8"/>
        <v>3.0153386171777656</v>
      </c>
      <c r="O29" s="131">
        <f t="shared" si="8"/>
        <v>2.8536275737574517</v>
      </c>
      <c r="P29" s="131">
        <f t="shared" si="8"/>
        <v>5.2042213733966847</v>
      </c>
      <c r="Q29" s="131">
        <f t="shared" si="8"/>
        <v>7.9709939352844588</v>
      </c>
      <c r="R29" s="131">
        <f t="shared" ref="R29:W29" si="9">SUM(R30:R33)</f>
        <v>6.0016573421070598</v>
      </c>
      <c r="S29" s="131">
        <f t="shared" si="9"/>
        <v>8.114640917625259</v>
      </c>
      <c r="T29" s="131">
        <f t="shared" si="9"/>
        <v>6.7533678579918739</v>
      </c>
      <c r="U29" s="131">
        <f t="shared" si="9"/>
        <v>6.6341495116526676</v>
      </c>
      <c r="V29" s="131">
        <f t="shared" si="9"/>
        <v>5.5620390969570987</v>
      </c>
      <c r="W29" s="131">
        <f t="shared" si="9"/>
        <v>5.4563154799208364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2.5456382360677519</v>
      </c>
      <c r="D31" s="133">
        <v>2.3038894249988688</v>
      </c>
      <c r="E31" s="133">
        <v>2.8376172966774629</v>
      </c>
      <c r="F31" s="133">
        <v>2.9944455317443626</v>
      </c>
      <c r="G31" s="133">
        <v>5.1482717329882304</v>
      </c>
      <c r="H31" s="133">
        <v>4.9212060755685663</v>
      </c>
      <c r="I31" s="133">
        <v>5.0591411371423032</v>
      </c>
      <c r="J31" s="133">
        <v>3.7996713838410225</v>
      </c>
      <c r="K31" s="133">
        <v>0.69156308943488698</v>
      </c>
      <c r="L31" s="133">
        <v>2.9574589403196008</v>
      </c>
      <c r="M31" s="133">
        <v>2.5463630691439136</v>
      </c>
      <c r="N31" s="133">
        <v>1.5036403764799977</v>
      </c>
      <c r="O31" s="133">
        <v>1.5196787496590414</v>
      </c>
      <c r="P31" s="133">
        <v>2.8119029673842522</v>
      </c>
      <c r="Q31" s="133">
        <v>4.5805773361880417</v>
      </c>
      <c r="R31" s="133">
        <v>4.2192286158835115</v>
      </c>
      <c r="S31" s="133">
        <v>6.3607681893965404</v>
      </c>
      <c r="T31" s="133">
        <v>4.1267166066130292</v>
      </c>
      <c r="U31" s="133">
        <v>4.2596960287585075</v>
      </c>
      <c r="V31" s="133">
        <v>2.942223276158078</v>
      </c>
      <c r="W31" s="133">
        <v>2.9842460713551038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1.5117981814408559</v>
      </c>
      <c r="D33" s="68">
        <v>1.424000861370766</v>
      </c>
      <c r="E33" s="68">
        <v>2.2061922465618871</v>
      </c>
      <c r="F33" s="68">
        <v>2.722558865630238</v>
      </c>
      <c r="G33" s="68">
        <v>4.0811200267196703</v>
      </c>
      <c r="H33" s="68">
        <v>4.9397918493204127</v>
      </c>
      <c r="I33" s="68">
        <v>3.9563070190734351</v>
      </c>
      <c r="J33" s="68">
        <v>2.6706131528681856</v>
      </c>
      <c r="K33" s="68">
        <v>0.41629160492954964</v>
      </c>
      <c r="L33" s="68">
        <v>1.8789233566165118</v>
      </c>
      <c r="M33" s="68">
        <v>2.7112336806067523</v>
      </c>
      <c r="N33" s="68">
        <v>1.5116982406977679</v>
      </c>
      <c r="O33" s="68">
        <v>1.3339488240984101</v>
      </c>
      <c r="P33" s="68">
        <v>2.3923184060124325</v>
      </c>
      <c r="Q33" s="68">
        <v>3.390416599096417</v>
      </c>
      <c r="R33" s="68">
        <v>1.7824287262235481</v>
      </c>
      <c r="S33" s="68">
        <v>1.7538727282287176</v>
      </c>
      <c r="T33" s="68">
        <v>2.6266512513788447</v>
      </c>
      <c r="U33" s="68">
        <v>2.3744534828941606</v>
      </c>
      <c r="V33" s="68">
        <v>2.6198158207990203</v>
      </c>
      <c r="W33" s="68">
        <v>2.4720694085657327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40.021409330270465</v>
      </c>
      <c r="D3" s="126">
        <f t="shared" si="0"/>
        <v>37.372048912117556</v>
      </c>
      <c r="E3" s="126">
        <f t="shared" si="0"/>
        <v>48.988081663625053</v>
      </c>
      <c r="F3" s="126">
        <f t="shared" si="0"/>
        <v>53.192424185012662</v>
      </c>
      <c r="G3" s="126">
        <f t="shared" si="0"/>
        <v>78.35820211823156</v>
      </c>
      <c r="H3" s="126">
        <f t="shared" si="0"/>
        <v>78.082239997503933</v>
      </c>
      <c r="I3" s="126">
        <f t="shared" si="0"/>
        <v>68.559829156512166</v>
      </c>
      <c r="J3" s="126">
        <f t="shared" si="0"/>
        <v>51.88942686224842</v>
      </c>
      <c r="K3" s="126">
        <f t="shared" si="0"/>
        <v>7.7773159555020062</v>
      </c>
      <c r="L3" s="126">
        <f t="shared" si="0"/>
        <v>35.908882522279015</v>
      </c>
      <c r="M3" s="126">
        <f t="shared" si="0"/>
        <v>37.428690289255158</v>
      </c>
      <c r="N3" s="126">
        <f t="shared" si="0"/>
        <v>20.412172401198635</v>
      </c>
      <c r="O3" s="126">
        <f t="shared" si="0"/>
        <v>18.644122075574813</v>
      </c>
      <c r="P3" s="126">
        <f t="shared" si="0"/>
        <v>31.303482237160381</v>
      </c>
      <c r="Q3" s="126">
        <f t="shared" si="0"/>
        <v>49.156428123238044</v>
      </c>
      <c r="R3" s="126">
        <f t="shared" ref="R3:W3" si="1">SUM(R4,R16,R19,R29)</f>
        <v>33.586955800851143</v>
      </c>
      <c r="S3" s="126">
        <f t="shared" si="1"/>
        <v>43.337470452412262</v>
      </c>
      <c r="T3" s="126">
        <f t="shared" si="1"/>
        <v>38.224471316585024</v>
      </c>
      <c r="U3" s="126">
        <f t="shared" si="1"/>
        <v>36.174511659614602</v>
      </c>
      <c r="V3" s="126">
        <f t="shared" si="1"/>
        <v>29.196692272859949</v>
      </c>
      <c r="W3" s="126">
        <f t="shared" si="1"/>
        <v>26.513262828798357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29.658335819269706</v>
      </c>
      <c r="D4" s="131">
        <f t="shared" si="2"/>
        <v>24.830597090998243</v>
      </c>
      <c r="E4" s="131">
        <f t="shared" si="2"/>
        <v>35.591017479904082</v>
      </c>
      <c r="F4" s="131">
        <f t="shared" si="2"/>
        <v>38.517172765034005</v>
      </c>
      <c r="G4" s="131">
        <f t="shared" si="2"/>
        <v>53.861711936866136</v>
      </c>
      <c r="H4" s="131">
        <f t="shared" si="2"/>
        <v>50.031395688159883</v>
      </c>
      <c r="I4" s="131">
        <f t="shared" si="2"/>
        <v>41.523210036264047</v>
      </c>
      <c r="J4" s="131">
        <f t="shared" si="2"/>
        <v>30.216158633714684</v>
      </c>
      <c r="K4" s="131">
        <f t="shared" si="2"/>
        <v>4.234040583401768</v>
      </c>
      <c r="L4" s="131">
        <f t="shared" si="2"/>
        <v>20.537514022955797</v>
      </c>
      <c r="M4" s="131">
        <f t="shared" si="2"/>
        <v>20.466095964133661</v>
      </c>
      <c r="N4" s="131">
        <f t="shared" si="2"/>
        <v>10.74322469319959</v>
      </c>
      <c r="O4" s="131">
        <f t="shared" si="2"/>
        <v>9.5020758482752807</v>
      </c>
      <c r="P4" s="131">
        <f t="shared" si="2"/>
        <v>15.352227177322503</v>
      </c>
      <c r="Q4" s="131">
        <f t="shared" si="2"/>
        <v>22.539401503630177</v>
      </c>
      <c r="R4" s="131">
        <f t="shared" ref="R4:W4" si="3">SUM(R5:R15)</f>
        <v>16.105905573783751</v>
      </c>
      <c r="S4" s="131">
        <f t="shared" si="3"/>
        <v>20.560052492040541</v>
      </c>
      <c r="T4" s="131">
        <f t="shared" si="3"/>
        <v>17.083803994306848</v>
      </c>
      <c r="U4" s="131">
        <f t="shared" si="3"/>
        <v>15.973669379772831</v>
      </c>
      <c r="V4" s="131">
        <f t="shared" si="3"/>
        <v>12.881629099259364</v>
      </c>
      <c r="W4" s="131">
        <f t="shared" si="3"/>
        <v>10.231621989327593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6.6447098704124912</v>
      </c>
      <c r="F5" s="133">
        <v>6.496634455132031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0.5482142376982243</v>
      </c>
      <c r="O5" s="133">
        <v>0.81230562368862658</v>
      </c>
      <c r="P5" s="133">
        <v>4.0034362538489229E-2</v>
      </c>
      <c r="Q5" s="133">
        <v>0</v>
      </c>
      <c r="R5" s="133">
        <v>6.235402330971937E-2</v>
      </c>
      <c r="S5" s="133">
        <v>0</v>
      </c>
      <c r="T5" s="133">
        <v>0</v>
      </c>
      <c r="U5" s="133">
        <v>0.19551246243392795</v>
      </c>
      <c r="V5" s="133">
        <v>9.0664029002064467E-2</v>
      </c>
      <c r="W5" s="133">
        <v>3.0024794911899449E-2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8.0440099919854235E-2</v>
      </c>
      <c r="D7" s="133">
        <v>0.5851774682182177</v>
      </c>
      <c r="E7" s="133">
        <v>0.25470373097689669</v>
      </c>
      <c r="F7" s="133">
        <v>0.40805230289756922</v>
      </c>
      <c r="G7" s="133">
        <v>0.18536501717563725</v>
      </c>
      <c r="H7" s="133">
        <v>0.42683520209413695</v>
      </c>
      <c r="I7" s="133">
        <v>0.21278190689804014</v>
      </c>
      <c r="J7" s="133">
        <v>0.11597606908164214</v>
      </c>
      <c r="K7" s="133">
        <v>0</v>
      </c>
      <c r="L7" s="133">
        <v>0.11375392227640201</v>
      </c>
      <c r="M7" s="133">
        <v>8.281111748470274E-2</v>
      </c>
      <c r="N7" s="133">
        <v>0.16059462415571282</v>
      </c>
      <c r="O7" s="133">
        <v>4.6935649700829418E-2</v>
      </c>
      <c r="P7" s="133">
        <v>0.12996029995084832</v>
      </c>
      <c r="Q7" s="133">
        <v>0.71335594661674862</v>
      </c>
      <c r="R7" s="133">
        <v>0.19936766900279959</v>
      </c>
      <c r="S7" s="133">
        <v>8.4670985532729393E-2</v>
      </c>
      <c r="T7" s="133">
        <v>0</v>
      </c>
      <c r="U7" s="133">
        <v>2.7230010262158447E-2</v>
      </c>
      <c r="V7" s="133">
        <v>9.5103259501158749E-2</v>
      </c>
      <c r="W7" s="133">
        <v>5.9152004858018269E-2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2.9842394542695431E-3</v>
      </c>
      <c r="H8" s="133">
        <v>5.6042516567660246E-3</v>
      </c>
      <c r="I8" s="133">
        <v>8.9527706301772165E-3</v>
      </c>
      <c r="J8" s="133">
        <v>1.0411071300831512E-2</v>
      </c>
      <c r="K8" s="133">
        <v>3.0110536989267256E-3</v>
      </c>
      <c r="L8" s="133">
        <v>9.079467688130392E-3</v>
      </c>
      <c r="M8" s="133">
        <v>1.8455473791013973E-2</v>
      </c>
      <c r="N8" s="133">
        <v>1.6707105212653426E-2</v>
      </c>
      <c r="O8" s="133">
        <v>2.5957658373872511E-2</v>
      </c>
      <c r="P8" s="133">
        <v>9.2142128512179386E-2</v>
      </c>
      <c r="Q8" s="133">
        <v>6.708755758567253E-2</v>
      </c>
      <c r="R8" s="133">
        <v>2.9691565892479902E-2</v>
      </c>
      <c r="S8" s="133">
        <v>2.3943328736423467E-2</v>
      </c>
      <c r="T8" s="133">
        <v>3.3484758908018525E-2</v>
      </c>
      <c r="U8" s="133">
        <v>4.0813289515079856E-2</v>
      </c>
      <c r="V8" s="133">
        <v>4.2350858261870468E-2</v>
      </c>
      <c r="W8" s="133">
        <v>2.9334201545918457E-2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14.087314839193393</v>
      </c>
      <c r="D9" s="133">
        <v>14.125102807523927</v>
      </c>
      <c r="E9" s="133">
        <v>15.96830872942207</v>
      </c>
      <c r="F9" s="133">
        <v>18.149102041211329</v>
      </c>
      <c r="G9" s="133">
        <v>33.879439626838611</v>
      </c>
      <c r="H9" s="133">
        <v>30.267305338066556</v>
      </c>
      <c r="I9" s="133">
        <v>23.913334575341889</v>
      </c>
      <c r="J9" s="133">
        <v>15.753333840461268</v>
      </c>
      <c r="K9" s="133">
        <v>5.6060567266700639E-2</v>
      </c>
      <c r="L9" s="133">
        <v>5.8482271881428733</v>
      </c>
      <c r="M9" s="133">
        <v>7.9026448205473638</v>
      </c>
      <c r="N9" s="133">
        <v>3.3442567679322082</v>
      </c>
      <c r="O9" s="133">
        <v>3.0821513848724771</v>
      </c>
      <c r="P9" s="133">
        <v>7.6713651527024727</v>
      </c>
      <c r="Q9" s="133">
        <v>11.687151811410342</v>
      </c>
      <c r="R9" s="133">
        <v>6.7375988776453219</v>
      </c>
      <c r="S9" s="133">
        <v>9.969184277074957</v>
      </c>
      <c r="T9" s="133">
        <v>6.8851106600946421</v>
      </c>
      <c r="U9" s="133">
        <v>7.2816164063650533</v>
      </c>
      <c r="V9" s="133">
        <v>5.4021788429096249</v>
      </c>
      <c r="W9" s="133">
        <v>3.886306125219932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0.62810952339286674</v>
      </c>
      <c r="D10" s="133">
        <v>0.61216446572581906</v>
      </c>
      <c r="E10" s="133">
        <v>0.97483789114606711</v>
      </c>
      <c r="F10" s="133">
        <v>0.88777695311001803</v>
      </c>
      <c r="G10" s="133">
        <v>1.3622978288480381</v>
      </c>
      <c r="H10" s="133">
        <v>0.88074482194806902</v>
      </c>
      <c r="I10" s="133">
        <v>0.92086512976322055</v>
      </c>
      <c r="J10" s="133">
        <v>0.33277341998689081</v>
      </c>
      <c r="K10" s="133">
        <v>8.9253910520394678E-2</v>
      </c>
      <c r="L10" s="133">
        <v>0.59048810104691174</v>
      </c>
      <c r="M10" s="133">
        <v>0.76259839396304163</v>
      </c>
      <c r="N10" s="133">
        <v>0.41239584642829541</v>
      </c>
      <c r="O10" s="133">
        <v>0.40833260077272793</v>
      </c>
      <c r="P10" s="133">
        <v>0.81852424340324836</v>
      </c>
      <c r="Q10" s="133">
        <v>0.81492552831633669</v>
      </c>
      <c r="R10" s="133">
        <v>0.18243039791219429</v>
      </c>
      <c r="S10" s="133">
        <v>0.19498848279503531</v>
      </c>
      <c r="T10" s="133">
        <v>0.34609265096407832</v>
      </c>
      <c r="U10" s="133">
        <v>0.38735533317548415</v>
      </c>
      <c r="V10" s="133">
        <v>0.33127350290137791</v>
      </c>
      <c r="W10" s="133">
        <v>0.28330686598465155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8.7492972165787144</v>
      </c>
      <c r="D12" s="133">
        <v>5.4342747241811651</v>
      </c>
      <c r="E12" s="133">
        <v>7.8142270925225086</v>
      </c>
      <c r="F12" s="133">
        <v>11.897386389819951</v>
      </c>
      <c r="G12" s="133">
        <v>12.238373867342096</v>
      </c>
      <c r="H12" s="133">
        <v>6.4076286844495343</v>
      </c>
      <c r="I12" s="133">
        <v>4.0214012145728555</v>
      </c>
      <c r="J12" s="133">
        <v>5.1331132777771318</v>
      </c>
      <c r="K12" s="133">
        <v>2.3072610966512173</v>
      </c>
      <c r="L12" s="133">
        <v>10.077507814723795</v>
      </c>
      <c r="M12" s="133">
        <v>7.5968283874179745</v>
      </c>
      <c r="N12" s="133">
        <v>3.5340222740371048</v>
      </c>
      <c r="O12" s="133">
        <v>2.3342744670313818</v>
      </c>
      <c r="P12" s="133">
        <v>3.3591743231355244</v>
      </c>
      <c r="Q12" s="133">
        <v>4.6159014626028627</v>
      </c>
      <c r="R12" s="133">
        <v>3.8253193973795847</v>
      </c>
      <c r="S12" s="133">
        <v>3.9720210514081535</v>
      </c>
      <c r="T12" s="133">
        <v>3.8309954279312</v>
      </c>
      <c r="U12" s="133">
        <v>3.0628587754037717</v>
      </c>
      <c r="V12" s="133">
        <v>3.0608336028996139</v>
      </c>
      <c r="W12" s="133">
        <v>3.3335642861704509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7.494124804788449E-2</v>
      </c>
      <c r="D13" s="133">
        <v>0.15906974986174238</v>
      </c>
      <c r="E13" s="133">
        <v>0.17532104799633796</v>
      </c>
      <c r="F13" s="133">
        <v>0.21164031019986415</v>
      </c>
      <c r="G13" s="133">
        <v>0.2852172332652283</v>
      </c>
      <c r="H13" s="133">
        <v>0.38502572515093059</v>
      </c>
      <c r="I13" s="133">
        <v>0.37720687120931157</v>
      </c>
      <c r="J13" s="133">
        <v>0.29641646553296258</v>
      </c>
      <c r="K13" s="133">
        <v>9.0143784946176739E-2</v>
      </c>
      <c r="L13" s="133">
        <v>0.24067289627395802</v>
      </c>
      <c r="M13" s="133">
        <v>0.32095092798575925</v>
      </c>
      <c r="N13" s="133">
        <v>0.18895256514539632</v>
      </c>
      <c r="O13" s="133">
        <v>0.17334793570436774</v>
      </c>
      <c r="P13" s="133">
        <v>0.47756634947045262</v>
      </c>
      <c r="Q13" s="133">
        <v>0.52319038795476203</v>
      </c>
      <c r="R13" s="133">
        <v>0.40057803144585652</v>
      </c>
      <c r="S13" s="133">
        <v>0.48395789121348598</v>
      </c>
      <c r="T13" s="133">
        <v>0.57578141796343951</v>
      </c>
      <c r="U13" s="133">
        <v>0.58147337833181878</v>
      </c>
      <c r="V13" s="133">
        <v>0.57932533256981922</v>
      </c>
      <c r="W13" s="133">
        <v>0.39875444393057236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5.7117805450009511</v>
      </c>
      <c r="D14" s="65">
        <v>3.6005317410475381</v>
      </c>
      <c r="E14" s="65">
        <v>3.3448321344162624</v>
      </c>
      <c r="F14" s="65">
        <v>0</v>
      </c>
      <c r="G14" s="65">
        <v>5.2204805734961877</v>
      </c>
      <c r="H14" s="65">
        <v>11.072247438952161</v>
      </c>
      <c r="I14" s="65">
        <v>11.61732707689665</v>
      </c>
      <c r="J14" s="65">
        <v>8.2729105129118583</v>
      </c>
      <c r="K14" s="65">
        <v>1.6766663402502426</v>
      </c>
      <c r="L14" s="65">
        <v>3.5088476516116005</v>
      </c>
      <c r="M14" s="65">
        <v>3.6094006074783982</v>
      </c>
      <c r="N14" s="65">
        <v>2.4570477065237957</v>
      </c>
      <c r="O14" s="65">
        <v>2.5473798788220186</v>
      </c>
      <c r="P14" s="65">
        <v>2.6146940851005791</v>
      </c>
      <c r="Q14" s="65">
        <v>3.8908347096375016</v>
      </c>
      <c r="R14" s="65">
        <v>4.5392251540303139</v>
      </c>
      <c r="S14" s="65">
        <v>5.6526298446690122</v>
      </c>
      <c r="T14" s="65">
        <v>5.2844053917711538</v>
      </c>
      <c r="U14" s="65">
        <v>4.2637257423642128</v>
      </c>
      <c r="V14" s="65">
        <v>3.1771170897798382</v>
      </c>
      <c r="W14" s="65">
        <v>2.1329070150605083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0.32645234713603888</v>
      </c>
      <c r="D15" s="135">
        <v>0.3142761344398336</v>
      </c>
      <c r="E15" s="135">
        <v>0.41407698301144741</v>
      </c>
      <c r="F15" s="135">
        <v>0.46658031266324768</v>
      </c>
      <c r="G15" s="135">
        <v>0.68755355044607069</v>
      </c>
      <c r="H15" s="135">
        <v>0.5860042258417234</v>
      </c>
      <c r="I15" s="135">
        <v>0.45134049095190731</v>
      </c>
      <c r="J15" s="135">
        <v>0.30122397666210232</v>
      </c>
      <c r="K15" s="135">
        <v>1.1643830068109814E-2</v>
      </c>
      <c r="L15" s="135">
        <v>0.14893698119212861</v>
      </c>
      <c r="M15" s="135">
        <v>0.17240623546540745</v>
      </c>
      <c r="N15" s="135">
        <v>8.1033566066200241E-2</v>
      </c>
      <c r="O15" s="135">
        <v>7.139064930897944E-2</v>
      </c>
      <c r="P15" s="135">
        <v>0.14876623250871004</v>
      </c>
      <c r="Q15" s="135">
        <v>0.2269540995059483</v>
      </c>
      <c r="R15" s="135">
        <v>0.12934045716547996</v>
      </c>
      <c r="S15" s="135">
        <v>0.17865663061074569</v>
      </c>
      <c r="T15" s="135">
        <v>0.12793368667431729</v>
      </c>
      <c r="U15" s="135">
        <v>0.13308398192132506</v>
      </c>
      <c r="V15" s="135">
        <v>0.10278258143399628</v>
      </c>
      <c r="W15" s="135">
        <v>7.8272251645640556E-2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5.2761173440504656</v>
      </c>
      <c r="D16" s="131">
        <f t="shared" si="4"/>
        <v>7.869640775453969</v>
      </c>
      <c r="E16" s="131">
        <f t="shared" si="4"/>
        <v>7.0372234999641767</v>
      </c>
      <c r="F16" s="131">
        <f t="shared" si="4"/>
        <v>7.4610478691864879</v>
      </c>
      <c r="G16" s="131">
        <f t="shared" si="4"/>
        <v>12.935854777814416</v>
      </c>
      <c r="H16" s="131">
        <f t="shared" si="4"/>
        <v>15.490753271366536</v>
      </c>
      <c r="I16" s="131">
        <f t="shared" si="4"/>
        <v>15.693618989814883</v>
      </c>
      <c r="J16" s="131">
        <f t="shared" si="4"/>
        <v>13.597686497656417</v>
      </c>
      <c r="K16" s="131">
        <f t="shared" si="4"/>
        <v>2.143751549899215</v>
      </c>
      <c r="L16" s="131">
        <f t="shared" si="4"/>
        <v>9.3043124078500981</v>
      </c>
      <c r="M16" s="131">
        <f t="shared" si="4"/>
        <v>10.130083687947465</v>
      </c>
      <c r="N16" s="131">
        <f t="shared" si="4"/>
        <v>5.7458036740106087</v>
      </c>
      <c r="O16" s="131">
        <f t="shared" si="4"/>
        <v>5.4677822511754046</v>
      </c>
      <c r="P16" s="131">
        <f t="shared" si="4"/>
        <v>9.2891546509634875</v>
      </c>
      <c r="Q16" s="131">
        <f t="shared" si="4"/>
        <v>16.495298846450925</v>
      </c>
      <c r="R16" s="131">
        <f t="shared" ref="R16:W16" si="5">SUM(R17:R18)</f>
        <v>10.058540111648387</v>
      </c>
      <c r="S16" s="131">
        <f t="shared" si="5"/>
        <v>12.99550730085768</v>
      </c>
      <c r="T16" s="131">
        <f t="shared" si="5"/>
        <v>12.341560060212185</v>
      </c>
      <c r="U16" s="131">
        <f t="shared" si="5"/>
        <v>11.599997052525369</v>
      </c>
      <c r="V16" s="131">
        <f t="shared" si="5"/>
        <v>8.6924746845728791</v>
      </c>
      <c r="W16" s="131">
        <f t="shared" si="5"/>
        <v>8.9331240395115348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5.3832686588328758E-2</v>
      </c>
      <c r="H17" s="133">
        <v>1.4284769546775726E-2</v>
      </c>
      <c r="I17" s="133">
        <v>2.9795689435826861E-2</v>
      </c>
      <c r="J17" s="133">
        <v>5.4615107542721466E-3</v>
      </c>
      <c r="K17" s="133">
        <v>7.0143863066956481E-3</v>
      </c>
      <c r="L17" s="133">
        <v>3.3215764981342957E-3</v>
      </c>
      <c r="M17" s="133">
        <v>1.0336264545971006E-2</v>
      </c>
      <c r="N17" s="133">
        <v>6.5284774800975802E-3</v>
      </c>
      <c r="O17" s="133">
        <v>1.8279655903337494E-2</v>
      </c>
      <c r="P17" s="133">
        <v>6.2135470183637263E-2</v>
      </c>
      <c r="Q17" s="133">
        <v>0.16385279392892033</v>
      </c>
      <c r="R17" s="133">
        <v>5.8380068201291477E-2</v>
      </c>
      <c r="S17" s="133">
        <v>9.9994045944351059E-2</v>
      </c>
      <c r="T17" s="133">
        <v>8.9907135300885427E-2</v>
      </c>
      <c r="U17" s="133">
        <v>7.1007840235212033E-2</v>
      </c>
      <c r="V17" s="133">
        <v>0.14004311705779976</v>
      </c>
      <c r="W17" s="133">
        <v>4.7433486058649575E-2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5.2761173440504656</v>
      </c>
      <c r="D18" s="133">
        <v>7.869640775453969</v>
      </c>
      <c r="E18" s="133">
        <v>7.0372234999641767</v>
      </c>
      <c r="F18" s="133">
        <v>7.4610478691864879</v>
      </c>
      <c r="G18" s="133">
        <v>12.882022091226087</v>
      </c>
      <c r="H18" s="133">
        <v>15.47646850181976</v>
      </c>
      <c r="I18" s="133">
        <v>15.663823300379056</v>
      </c>
      <c r="J18" s="133">
        <v>13.592224986902146</v>
      </c>
      <c r="K18" s="133">
        <v>2.1367371635925192</v>
      </c>
      <c r="L18" s="133">
        <v>9.3009908313519638</v>
      </c>
      <c r="M18" s="133">
        <v>10.119747423401494</v>
      </c>
      <c r="N18" s="133">
        <v>5.7392751965305111</v>
      </c>
      <c r="O18" s="133">
        <v>5.449502595272067</v>
      </c>
      <c r="P18" s="133">
        <v>9.2270191807798501</v>
      </c>
      <c r="Q18" s="133">
        <v>16.331446052522004</v>
      </c>
      <c r="R18" s="133">
        <v>10.000160043447096</v>
      </c>
      <c r="S18" s="133">
        <v>12.895513254913329</v>
      </c>
      <c r="T18" s="133">
        <v>12.2516529249113</v>
      </c>
      <c r="U18" s="133">
        <v>11.528989212290156</v>
      </c>
      <c r="V18" s="133">
        <v>8.5524315675150788</v>
      </c>
      <c r="W18" s="133">
        <v>8.8856905534528856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2.4301754296196574</v>
      </c>
      <c r="D19" s="131">
        <f t="shared" si="6"/>
        <v>2.2204528338641119</v>
      </c>
      <c r="E19" s="131">
        <f t="shared" si="6"/>
        <v>2.9861907759192525</v>
      </c>
      <c r="F19" s="131">
        <f t="shared" si="6"/>
        <v>3.3430249387936364</v>
      </c>
      <c r="G19" s="131">
        <f t="shared" si="6"/>
        <v>5.3591163373736981</v>
      </c>
      <c r="H19" s="131">
        <f t="shared" si="6"/>
        <v>5.8155557213823181</v>
      </c>
      <c r="I19" s="131">
        <f t="shared" si="6"/>
        <v>5.2708131728301995</v>
      </c>
      <c r="J19" s="131">
        <f t="shared" si="6"/>
        <v>3.7418401357616622</v>
      </c>
      <c r="K19" s="131">
        <f t="shared" si="6"/>
        <v>0.6639136894921317</v>
      </c>
      <c r="L19" s="131">
        <f t="shared" si="6"/>
        <v>2.8385568992486192</v>
      </c>
      <c r="M19" s="131">
        <f t="shared" si="6"/>
        <v>3.1891714674761462</v>
      </c>
      <c r="N19" s="131">
        <f t="shared" si="6"/>
        <v>1.8371629756352199</v>
      </c>
      <c r="O19" s="131">
        <f t="shared" si="6"/>
        <v>1.7132627278251973</v>
      </c>
      <c r="P19" s="131">
        <f t="shared" si="6"/>
        <v>3.08061611055455</v>
      </c>
      <c r="Q19" s="131">
        <f t="shared" si="6"/>
        <v>4.6678342332361771</v>
      </c>
      <c r="R19" s="131">
        <f t="shared" ref="R19:W19" si="7">SUM(R20:R27)</f>
        <v>3.4496479700656861</v>
      </c>
      <c r="S19" s="131">
        <f t="shared" si="7"/>
        <v>4.503713759634123</v>
      </c>
      <c r="T19" s="131">
        <f t="shared" si="7"/>
        <v>4.0882443275047482</v>
      </c>
      <c r="U19" s="131">
        <f t="shared" si="7"/>
        <v>3.9688879426080335</v>
      </c>
      <c r="V19" s="131">
        <f t="shared" si="7"/>
        <v>3.5465913842289201</v>
      </c>
      <c r="W19" s="131">
        <f t="shared" si="7"/>
        <v>3.341195365244217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0.87018930995758093</v>
      </c>
      <c r="D23" s="133">
        <v>1.0266686048519524</v>
      </c>
      <c r="E23" s="133">
        <v>1.2820802195121193</v>
      </c>
      <c r="F23" s="133">
        <v>1.5377989140109884</v>
      </c>
      <c r="G23" s="133">
        <v>2.3403790435195337</v>
      </c>
      <c r="H23" s="133">
        <v>2.66295859203013</v>
      </c>
      <c r="I23" s="133">
        <v>2.8510571683548251</v>
      </c>
      <c r="J23" s="133">
        <v>1.8369155818807901</v>
      </c>
      <c r="K23" s="133">
        <v>0.36624008519876777</v>
      </c>
      <c r="L23" s="133">
        <v>1.0647260413114672</v>
      </c>
      <c r="M23" s="133">
        <v>1.1902461165551654</v>
      </c>
      <c r="N23" s="133">
        <v>0.56111971051385556</v>
      </c>
      <c r="O23" s="133">
        <v>0.61435782190118948</v>
      </c>
      <c r="P23" s="133">
        <v>1.3921047960402475</v>
      </c>
      <c r="Q23" s="133">
        <v>2.453924157877998</v>
      </c>
      <c r="R23" s="133">
        <v>1.4580059828157304</v>
      </c>
      <c r="S23" s="133">
        <v>2.2786828123673466</v>
      </c>
      <c r="T23" s="133">
        <v>1.5534812022045277</v>
      </c>
      <c r="U23" s="133">
        <v>1.9102074684623116</v>
      </c>
      <c r="V23" s="133">
        <v>1.4778812638036867</v>
      </c>
      <c r="W23" s="133">
        <v>1.3599031762135965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0.56285507330706186</v>
      </c>
      <c r="D25" s="133">
        <v>0.61061158881163413</v>
      </c>
      <c r="E25" s="133">
        <v>0.77395652061547249</v>
      </c>
      <c r="F25" s="133">
        <v>0.84450866790053558</v>
      </c>
      <c r="G25" s="133">
        <v>0.98279404266613057</v>
      </c>
      <c r="H25" s="133">
        <v>1.0101051456752206</v>
      </c>
      <c r="I25" s="133">
        <v>0.77632899851435166</v>
      </c>
      <c r="J25" s="133">
        <v>0.59925389224797787</v>
      </c>
      <c r="K25" s="133">
        <v>0.14971867077301601</v>
      </c>
      <c r="L25" s="133">
        <v>0.64699612384617233</v>
      </c>
      <c r="M25" s="133">
        <v>0.9098755272027127</v>
      </c>
      <c r="N25" s="133">
        <v>0.58232732475659998</v>
      </c>
      <c r="O25" s="133">
        <v>0.5646895283804565</v>
      </c>
      <c r="P25" s="133">
        <v>0.83211695968155919</v>
      </c>
      <c r="Q25" s="133">
        <v>1.020395874150771</v>
      </c>
      <c r="R25" s="133">
        <v>0.87088353837003363</v>
      </c>
      <c r="S25" s="133">
        <v>0.93819102841303614</v>
      </c>
      <c r="T25" s="133">
        <v>0.96483903973884422</v>
      </c>
      <c r="U25" s="133">
        <v>0.80614094416329696</v>
      </c>
      <c r="V25" s="133">
        <v>0.8051312786928766</v>
      </c>
      <c r="W25" s="133">
        <v>0.87508728797772772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0.99713104635501459</v>
      </c>
      <c r="D26" s="65">
        <v>0.58317264020052517</v>
      </c>
      <c r="E26" s="65">
        <v>0.59309222232217595</v>
      </c>
      <c r="F26" s="65">
        <v>0.83500669357878399</v>
      </c>
      <c r="G26" s="65">
        <v>1.928883853302755</v>
      </c>
      <c r="H26" s="65">
        <v>2.0101737872889269</v>
      </c>
      <c r="I26" s="65">
        <v>1.4714203128649983</v>
      </c>
      <c r="J26" s="65">
        <v>1.0478507418301721</v>
      </c>
      <c r="K26" s="65">
        <v>3.510142918673869E-2</v>
      </c>
      <c r="L26" s="65">
        <v>0.7546793910448617</v>
      </c>
      <c r="M26" s="65">
        <v>0.791876019284799</v>
      </c>
      <c r="N26" s="65">
        <v>0.49192764979780429</v>
      </c>
      <c r="O26" s="65">
        <v>0.39146389126520897</v>
      </c>
      <c r="P26" s="65">
        <v>0.32002406237651065</v>
      </c>
      <c r="Q26" s="65">
        <v>1.0347369785519447</v>
      </c>
      <c r="R26" s="65">
        <v>0.94323516439879584</v>
      </c>
      <c r="S26" s="65">
        <v>0.95002737840025986</v>
      </c>
      <c r="T26" s="65">
        <v>1.1942719248675706</v>
      </c>
      <c r="U26" s="65">
        <v>0.95799104810398195</v>
      </c>
      <c r="V26" s="65">
        <v>0.64909258667467662</v>
      </c>
      <c r="W26" s="65">
        <v>1.0140726101466753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0.33706181346948466</v>
      </c>
      <c r="F27" s="148">
        <v>0.12571066330332786</v>
      </c>
      <c r="G27" s="148">
        <v>0.10705939788527866</v>
      </c>
      <c r="H27" s="148">
        <v>0.13231819638804063</v>
      </c>
      <c r="I27" s="148">
        <v>0.17200669309602509</v>
      </c>
      <c r="J27" s="148">
        <v>0.2578199198027224</v>
      </c>
      <c r="K27" s="148">
        <v>0.11285350433360933</v>
      </c>
      <c r="L27" s="148">
        <v>0.37215534304611786</v>
      </c>
      <c r="M27" s="148">
        <v>0.29717380443346897</v>
      </c>
      <c r="N27" s="148">
        <v>0.20178829056696013</v>
      </c>
      <c r="O27" s="148">
        <v>0.14275148627834217</v>
      </c>
      <c r="P27" s="148">
        <v>0.53637029245623224</v>
      </c>
      <c r="Q27" s="148">
        <v>0.15877722265546323</v>
      </c>
      <c r="R27" s="148">
        <v>0.17752328448112631</v>
      </c>
      <c r="S27" s="148">
        <v>0.33681254045348025</v>
      </c>
      <c r="T27" s="148">
        <v>0.37565216069380575</v>
      </c>
      <c r="U27" s="148">
        <v>0.29454848187844312</v>
      </c>
      <c r="V27" s="148">
        <v>0.61448625505768018</v>
      </c>
      <c r="W27" s="148">
        <v>9.2132290906217468E-2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2.6567807373306329</v>
      </c>
      <c r="D29" s="131">
        <f t="shared" si="8"/>
        <v>2.4513582118012271</v>
      </c>
      <c r="E29" s="131">
        <f t="shared" si="8"/>
        <v>3.3736499078375415</v>
      </c>
      <c r="F29" s="131">
        <f t="shared" si="8"/>
        <v>3.8711786119985403</v>
      </c>
      <c r="G29" s="131">
        <f t="shared" si="8"/>
        <v>6.201519066177319</v>
      </c>
      <c r="H29" s="131">
        <f t="shared" si="8"/>
        <v>6.7445353165951865</v>
      </c>
      <c r="I29" s="131">
        <f t="shared" si="8"/>
        <v>6.0721869576030318</v>
      </c>
      <c r="J29" s="131">
        <f t="shared" si="8"/>
        <v>4.3337415951156526</v>
      </c>
      <c r="K29" s="131">
        <f t="shared" si="8"/>
        <v>0.73561013270889175</v>
      </c>
      <c r="L29" s="131">
        <f t="shared" si="8"/>
        <v>3.2284991922245041</v>
      </c>
      <c r="M29" s="131">
        <f t="shared" si="8"/>
        <v>3.6433391696978901</v>
      </c>
      <c r="N29" s="131">
        <f t="shared" si="8"/>
        <v>2.0859810583532172</v>
      </c>
      <c r="O29" s="131">
        <f t="shared" si="8"/>
        <v>1.9610012482989316</v>
      </c>
      <c r="P29" s="131">
        <f t="shared" si="8"/>
        <v>3.5814842983198392</v>
      </c>
      <c r="Q29" s="131">
        <f t="shared" si="8"/>
        <v>5.4538935399207658</v>
      </c>
      <c r="R29" s="131">
        <f t="shared" ref="R29:W29" si="9">SUM(R30:R33)</f>
        <v>3.9728621453533179</v>
      </c>
      <c r="S29" s="131">
        <f t="shared" si="9"/>
        <v>5.278196899879914</v>
      </c>
      <c r="T29" s="131">
        <f t="shared" si="9"/>
        <v>4.7108629345612414</v>
      </c>
      <c r="U29" s="131">
        <f t="shared" si="9"/>
        <v>4.6319572847083652</v>
      </c>
      <c r="V29" s="131">
        <f t="shared" si="9"/>
        <v>4.0759971047987866</v>
      </c>
      <c r="W29" s="131">
        <f t="shared" si="9"/>
        <v>4.0073214347150143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1.4922837816978376</v>
      </c>
      <c r="D31" s="133">
        <v>1.3527381307290098</v>
      </c>
      <c r="E31" s="133">
        <v>1.6687541590774022</v>
      </c>
      <c r="F31" s="133">
        <v>1.7637579113439072</v>
      </c>
      <c r="G31" s="133">
        <v>3.0370920425228207</v>
      </c>
      <c r="H31" s="133">
        <v>2.9075880750518914</v>
      </c>
      <c r="I31" s="133">
        <v>2.9935878855612041</v>
      </c>
      <c r="J31" s="133">
        <v>2.2516274605775899</v>
      </c>
      <c r="K31" s="133">
        <v>0.41038597416468664</v>
      </c>
      <c r="L31" s="133">
        <v>1.7573687987822242</v>
      </c>
      <c r="M31" s="133">
        <v>1.5141823586564094</v>
      </c>
      <c r="N31" s="133">
        <v>0.89413240374827962</v>
      </c>
      <c r="O31" s="133">
        <v>0.90366954400276056</v>
      </c>
      <c r="P31" s="133">
        <v>1.6720843618338732</v>
      </c>
      <c r="Q31" s="133">
        <v>2.7238179342779758</v>
      </c>
      <c r="R31" s="133">
        <v>2.5203876921562687</v>
      </c>
      <c r="S31" s="133">
        <v>3.8278642534517395</v>
      </c>
      <c r="T31" s="133">
        <v>2.5047819495529304</v>
      </c>
      <c r="U31" s="133">
        <v>2.6083251888697494</v>
      </c>
      <c r="V31" s="133">
        <v>1.8162824274863616</v>
      </c>
      <c r="W31" s="133">
        <v>1.856011314421063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1.1644969556327953</v>
      </c>
      <c r="D33" s="68">
        <v>1.0986200810722173</v>
      </c>
      <c r="E33" s="68">
        <v>1.7048957487601391</v>
      </c>
      <c r="F33" s="68">
        <v>2.1074207006546333</v>
      </c>
      <c r="G33" s="68">
        <v>3.1644270236544987</v>
      </c>
      <c r="H33" s="68">
        <v>3.8369472415432946</v>
      </c>
      <c r="I33" s="68">
        <v>3.0785990720418273</v>
      </c>
      <c r="J33" s="68">
        <v>2.0821141345380632</v>
      </c>
      <c r="K33" s="68">
        <v>0.32522415854420517</v>
      </c>
      <c r="L33" s="68">
        <v>1.4711303934422797</v>
      </c>
      <c r="M33" s="68">
        <v>2.1291568110414807</v>
      </c>
      <c r="N33" s="68">
        <v>1.1918486546049376</v>
      </c>
      <c r="O33" s="68">
        <v>1.057331704296171</v>
      </c>
      <c r="P33" s="68">
        <v>1.909399936485966</v>
      </c>
      <c r="Q33" s="68">
        <v>2.7300756056427899</v>
      </c>
      <c r="R33" s="68">
        <v>1.4524744531970493</v>
      </c>
      <c r="S33" s="68">
        <v>1.4503326464281743</v>
      </c>
      <c r="T33" s="68">
        <v>2.206080985008311</v>
      </c>
      <c r="U33" s="68">
        <v>2.0236320958386158</v>
      </c>
      <c r="V33" s="68">
        <v>2.259714677312425</v>
      </c>
      <c r="W33" s="68">
        <v>2.1513101202939513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0.71591677769271866</v>
      </c>
      <c r="D3" s="127">
        <f>IF(SER_hh_tes_in!D3=0,"",SER_hh_tes_in!D3/SER_hh_fec_in!D3)</f>
        <v>0.75177812522028853</v>
      </c>
      <c r="E3" s="127">
        <f>IF(SER_hh_tes_in!E3=0,"",SER_hh_tes_in!E3/SER_hh_fec_in!E3)</f>
        <v>0.7168402396936191</v>
      </c>
      <c r="F3" s="127">
        <f>IF(SER_hh_tes_in!F3=0,"",SER_hh_tes_in!F3/SER_hh_fec_in!F3)</f>
        <v>0.72498230319681145</v>
      </c>
      <c r="G3" s="127">
        <f>IF(SER_hh_tes_in!G3=0,"",SER_hh_tes_in!G3/SER_hh_fec_in!G3)</f>
        <v>0.74402207860399727</v>
      </c>
      <c r="H3" s="127">
        <f>IF(SER_hh_tes_in!H3=0,"",SER_hh_tes_in!H3/SER_hh_fec_in!H3)</f>
        <v>0.77344747392085544</v>
      </c>
      <c r="I3" s="127">
        <f>IF(SER_hh_tes_in!I3=0,"",SER_hh_tes_in!I3/SER_hh_fec_in!I3)</f>
        <v>0.80199045985828898</v>
      </c>
      <c r="J3" s="127">
        <f>IF(SER_hh_tes_in!J3=0,"",SER_hh_tes_in!J3/SER_hh_fec_in!J3)</f>
        <v>0.84745109380317063</v>
      </c>
      <c r="K3" s="127">
        <f>IF(SER_hh_tes_in!K3=0,"",SER_hh_tes_in!K3/SER_hh_fec_in!K3)</f>
        <v>0.93462592437612235</v>
      </c>
      <c r="L3" s="127">
        <f>IF(SER_hh_tes_in!L3=0,"",SER_hh_tes_in!L3/SER_hh_fec_in!L3)</f>
        <v>0.89566814316440824</v>
      </c>
      <c r="M3" s="127">
        <f>IF(SER_hh_tes_in!M3=0,"",SER_hh_tes_in!M3/SER_hh_fec_in!M3)</f>
        <v>0.90427481395387876</v>
      </c>
      <c r="N3" s="127">
        <f>IF(SER_hh_tes_in!N3=0,"",SER_hh_tes_in!N3/SER_hh_fec_in!N3)</f>
        <v>0.92517912208369057</v>
      </c>
      <c r="O3" s="127">
        <f>IF(SER_hh_tes_in!O3=0,"",SER_hh_tes_in!O3/SER_hh_fec_in!O3)</f>
        <v>0.94243878236927259</v>
      </c>
      <c r="P3" s="127">
        <f>IF(SER_hh_tes_in!P3=0,"",SER_hh_tes_in!P3/SER_hh_fec_in!P3)</f>
        <v>0.96596800766881452</v>
      </c>
      <c r="Q3" s="127">
        <f>IF(SER_hh_tes_in!Q3=0,"",SER_hh_tes_in!Q3/SER_hh_fec_in!Q3)</f>
        <v>1.0127261810129569</v>
      </c>
      <c r="R3" s="127">
        <f>IF(SER_hh_tes_in!R3=0,"",SER_hh_tes_in!R3/SER_hh_fec_in!R3)</f>
        <v>0.99696504439388289</v>
      </c>
      <c r="S3" s="127">
        <f>IF(SER_hh_tes_in!S3=0,"",SER_hh_tes_in!S3/SER_hh_fec_in!S3)</f>
        <v>0.99951557708297423</v>
      </c>
      <c r="T3" s="127">
        <f>IF(SER_hh_tes_in!T3=0,"",SER_hh_tes_in!T3/SER_hh_fec_in!T3)</f>
        <v>1.0552145321418911</v>
      </c>
      <c r="U3" s="127">
        <f>IF(SER_hh_tes_in!U3=0,"",SER_hh_tes_in!U3/SER_hh_fec_in!U3)</f>
        <v>1.0542177170687135</v>
      </c>
      <c r="V3" s="127">
        <f>IF(SER_hh_tes_in!V3=0,"",SER_hh_tes_in!V3/SER_hh_fec_in!V3)</f>
        <v>1.0527715349305602</v>
      </c>
      <c r="W3" s="127">
        <f>IF(SER_hh_tes_in!W3=0,"",SER_hh_tes_in!W3/SER_hh_fec_in!W3)</f>
        <v>1.099132843904689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0.64954604050123887</v>
      </c>
      <c r="D4" s="136">
        <f>IF(SER_hh_tes_in!D4=0,"",SER_hh_tes_in!D4/SER_hh_fec_in!D4)</f>
        <v>0.63523020846029432</v>
      </c>
      <c r="E4" s="136">
        <f>IF(SER_hh_tes_in!E4=0,"",SER_hh_tes_in!E4/SER_hh_fec_in!E4)</f>
        <v>0.63710536196631196</v>
      </c>
      <c r="F4" s="136">
        <f>IF(SER_hh_tes_in!F4=0,"",SER_hh_tes_in!F4/SER_hh_fec_in!F4)</f>
        <v>0.64763489250712025</v>
      </c>
      <c r="G4" s="136">
        <f>IF(SER_hh_tes_in!G4=0,"",SER_hh_tes_in!G4/SER_hh_fec_in!G4)</f>
        <v>0.65163919524895975</v>
      </c>
      <c r="H4" s="136">
        <f>IF(SER_hh_tes_in!H4=0,"",SER_hh_tes_in!H4/SER_hh_fec_in!H4)</f>
        <v>0.6567281709072027</v>
      </c>
      <c r="I4" s="136">
        <f>IF(SER_hh_tes_in!I4=0,"",SER_hh_tes_in!I4/SER_hh_fec_in!I4)</f>
        <v>0.66459602903424353</v>
      </c>
      <c r="J4" s="136">
        <f>IF(SER_hh_tes_in!J4=0,"",SER_hh_tes_in!J4/SER_hh_fec_in!J4)</f>
        <v>0.68319167541680326</v>
      </c>
      <c r="K4" s="136">
        <f>IF(SER_hh_tes_in!K4=0,"",SER_hh_tes_in!K4/SER_hh_fec_in!K4)</f>
        <v>0.76872440603607495</v>
      </c>
      <c r="L4" s="136">
        <f>IF(SER_hh_tes_in!L4=0,"",SER_hh_tes_in!L4/SER_hh_fec_in!L4)</f>
        <v>0.73169228057954905</v>
      </c>
      <c r="M4" s="136">
        <f>IF(SER_hh_tes_in!M4=0,"",SER_hh_tes_in!M4/SER_hh_fec_in!M4)</f>
        <v>0.72262184463920831</v>
      </c>
      <c r="N4" s="136">
        <f>IF(SER_hh_tes_in!N4=0,"",SER_hh_tes_in!N4/SER_hh_fec_in!N4)</f>
        <v>0.72913013743021682</v>
      </c>
      <c r="O4" s="136">
        <f>IF(SER_hh_tes_in!O4=0,"",SER_hh_tes_in!O4/SER_hh_fec_in!O4)</f>
        <v>0.73229537971177805</v>
      </c>
      <c r="P4" s="136">
        <f>IF(SER_hh_tes_in!P4=0,"",SER_hh_tes_in!P4/SER_hh_fec_in!P4)</f>
        <v>0.74735304244648548</v>
      </c>
      <c r="Q4" s="136">
        <f>IF(SER_hh_tes_in!Q4=0,"",SER_hh_tes_in!Q4/SER_hh_fec_in!Q4)</f>
        <v>0.75544492420369325</v>
      </c>
      <c r="R4" s="136">
        <f>IF(SER_hh_tes_in!R4=0,"",SER_hh_tes_in!R4/SER_hh_fec_in!R4)</f>
        <v>0.78263101100626709</v>
      </c>
      <c r="S4" s="136">
        <f>IF(SER_hh_tes_in!S4=0,"",SER_hh_tes_in!S4/SER_hh_fec_in!S4)</f>
        <v>0.78637950944588142</v>
      </c>
      <c r="T4" s="136">
        <f>IF(SER_hh_tes_in!T4=0,"",SER_hh_tes_in!T4/SER_hh_fec_in!T4)</f>
        <v>0.80401299645483448</v>
      </c>
      <c r="U4" s="136">
        <f>IF(SER_hh_tes_in!U4=0,"",SER_hh_tes_in!U4/SER_hh_fec_in!U4)</f>
        <v>0.80403159922018663</v>
      </c>
      <c r="V4" s="136">
        <f>IF(SER_hh_tes_in!V4=0,"",SER_hh_tes_in!V4/SER_hh_fec_in!V4)</f>
        <v>0.81816508681457889</v>
      </c>
      <c r="W4" s="136">
        <f>IF(SER_hh_tes_in!W4=0,"",SER_hh_tes_in!W4/SER_hh_fec_in!W4)</f>
        <v>0.82232381673691091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>
        <f>IF(SER_hh_tes_in!E5=0,"",SER_hh_tes_in!E5/SER_hh_fec_in!E5)</f>
        <v>0.59365558701637799</v>
      </c>
      <c r="F5" s="137">
        <f>IF(SER_hh_tes_in!F5=0,"",SER_hh_tes_in!F5/SER_hh_fec_in!F5)</f>
        <v>0.59969287056323728</v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>
        <f>IF(SER_hh_tes_in!N5=0,"",SER_hh_tes_in!N5/SER_hh_fec_in!N5)</f>
        <v>0.64636180008549726</v>
      </c>
      <c r="O5" s="137">
        <f>IF(SER_hh_tes_in!O5=0,"",SER_hh_tes_in!O5/SER_hh_fec_in!O5)</f>
        <v>0.65113233798986747</v>
      </c>
      <c r="P5" s="137">
        <f>IF(SER_hh_tes_in!P5=0,"",SER_hh_tes_in!P5/SER_hh_fec_in!P5)</f>
        <v>0.65583208831154627</v>
      </c>
      <c r="Q5" s="137" t="str">
        <f>IF(SER_hh_tes_in!Q5=0,"",SER_hh_tes_in!Q5/SER_hh_fec_in!Q5)</f>
        <v/>
      </c>
      <c r="R5" s="137">
        <f>IF(SER_hh_tes_in!R5=0,"",SER_hh_tes_in!R5/SER_hh_fec_in!R5)</f>
        <v>0.66924003173536739</v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>
        <f>IF(SER_hh_tes_in!U5=0,"",SER_hh_tes_in!U5/SER_hh_fec_in!U5)</f>
        <v>0.69675751207795578</v>
      </c>
      <c r="V5" s="137">
        <f>IF(SER_hh_tes_in!V5=0,"",SER_hh_tes_in!V5/SER_hh_fec_in!V5)</f>
        <v>0.70455068320254732</v>
      </c>
      <c r="W5" s="137">
        <f>IF(SER_hh_tes_in!W5=0,"",SER_hh_tes_in!W5/SER_hh_fec_in!W5)</f>
        <v>0.71076845793407772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0.50171887827501793</v>
      </c>
      <c r="D7" s="137">
        <f>IF(SER_hh_tes_in!D7=0,"",SER_hh_tes_in!D7/SER_hh_fec_in!D7)</f>
        <v>0.5074267785934311</v>
      </c>
      <c r="E7" s="137">
        <f>IF(SER_hh_tes_in!E7=0,"",SER_hh_tes_in!E7/SER_hh_fec_in!E7)</f>
        <v>0.51333729724126786</v>
      </c>
      <c r="F7" s="137">
        <f>IF(SER_hh_tes_in!F7=0,"",SER_hh_tes_in!F7/SER_hh_fec_in!F7)</f>
        <v>0.5192196467032143</v>
      </c>
      <c r="G7" s="137">
        <f>IF(SER_hh_tes_in!G7=0,"",SER_hh_tes_in!G7/SER_hh_fec_in!G7)</f>
        <v>0.5252747106919885</v>
      </c>
      <c r="H7" s="137">
        <f>IF(SER_hh_tes_in!H7=0,"",SER_hh_tes_in!H7/SER_hh_fec_in!H7)</f>
        <v>0.5314718529115644</v>
      </c>
      <c r="I7" s="137">
        <f>IF(SER_hh_tes_in!I7=0,"",SER_hh_tes_in!I7/SER_hh_fec_in!I7)</f>
        <v>0.53785446159195116</v>
      </c>
      <c r="J7" s="137">
        <f>IF(SER_hh_tes_in!J7=0,"",SER_hh_tes_in!J7/SER_hh_fec_in!J7)</f>
        <v>0.54461428850634475</v>
      </c>
      <c r="K7" s="137" t="str">
        <f>IF(SER_hh_tes_in!K7=0,"",SER_hh_tes_in!K7/SER_hh_fec_in!K7)</f>
        <v/>
      </c>
      <c r="L7" s="137">
        <f>IF(SER_hh_tes_in!L7=0,"",SER_hh_tes_in!L7/SER_hh_fec_in!L7)</f>
        <v>0.55976047732699774</v>
      </c>
      <c r="M7" s="137">
        <f>IF(SER_hh_tes_in!M7=0,"",SER_hh_tes_in!M7/SER_hh_fec_in!M7)</f>
        <v>0.57234996316857356</v>
      </c>
      <c r="N7" s="137">
        <f>IF(SER_hh_tes_in!N7=0,"",SER_hh_tes_in!N7/SER_hh_fec_in!N7)</f>
        <v>0.59089254353352216</v>
      </c>
      <c r="O7" s="137">
        <f>IF(SER_hh_tes_in!O7=0,"",SER_hh_tes_in!O7/SER_hh_fec_in!O7)</f>
        <v>0.61607709979594483</v>
      </c>
      <c r="P7" s="137">
        <f>IF(SER_hh_tes_in!P7=0,"",SER_hh_tes_in!P7/SER_hh_fec_in!P7)</f>
        <v>0.64494772859342808</v>
      </c>
      <c r="Q7" s="137">
        <f>IF(SER_hh_tes_in!Q7=0,"",SER_hh_tes_in!Q7/SER_hh_fec_in!Q7)</f>
        <v>0.66884116980704844</v>
      </c>
      <c r="R7" s="137">
        <f>IF(SER_hh_tes_in!R7=0,"",SER_hh_tes_in!R7/SER_hh_fec_in!R7)</f>
        <v>0.68052813699856141</v>
      </c>
      <c r="S7" s="137">
        <f>IF(SER_hh_tes_in!S7=0,"",SER_hh_tes_in!S7/SER_hh_fec_in!S7)</f>
        <v>0.68889001804731365</v>
      </c>
      <c r="T7" s="137" t="str">
        <f>IF(SER_hh_tes_in!T7=0,"",SER_hh_tes_in!T7/SER_hh_fec_in!T7)</f>
        <v/>
      </c>
      <c r="U7" s="137">
        <f>IF(SER_hh_tes_in!U7=0,"",SER_hh_tes_in!U7/SER_hh_fec_in!U7)</f>
        <v>0.69978760045761668</v>
      </c>
      <c r="V7" s="137">
        <f>IF(SER_hh_tes_in!V7=0,"",SER_hh_tes_in!V7/SER_hh_fec_in!V7)</f>
        <v>0.70392758996544125</v>
      </c>
      <c r="W7" s="137">
        <f>IF(SER_hh_tes_in!W7=0,"",SER_hh_tes_in!W7/SER_hh_fec_in!W7)</f>
        <v>0.70660310879913391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>
        <f>IF(SER_hh_tes_in!G8=0,"",SER_hh_tes_in!G8/SER_hh_fec_in!G8)</f>
        <v>1.9994551974964669</v>
      </c>
      <c r="H8" s="137">
        <f>IF(SER_hh_tes_in!H8=0,"",SER_hh_tes_in!H8/SER_hh_fec_in!H8)</f>
        <v>2.1293070134135745</v>
      </c>
      <c r="I8" s="137">
        <f>IF(SER_hh_tes_in!I8=0,"",SER_hh_tes_in!I8/SER_hh_fec_in!I8)</f>
        <v>2.2617877597857148</v>
      </c>
      <c r="J8" s="137">
        <f>IF(SER_hh_tes_in!J8=0,"",SER_hh_tes_in!J8/SER_hh_fec_in!J8)</f>
        <v>2.3972902090363282</v>
      </c>
      <c r="K8" s="137">
        <f>IF(SER_hh_tes_in!K8=0,"",SER_hh_tes_in!K8/SER_hh_fec_in!K8)</f>
        <v>2.5361087527463444</v>
      </c>
      <c r="L8" s="137">
        <f>IF(SER_hh_tes_in!L8=0,"",SER_hh_tes_in!L8/SER_hh_fec_in!L8)</f>
        <v>2.6782541803466673</v>
      </c>
      <c r="M8" s="137">
        <f>IF(SER_hh_tes_in!M8=0,"",SER_hh_tes_in!M8/SER_hh_fec_in!M8)</f>
        <v>2.8346245213295971</v>
      </c>
      <c r="N8" s="137">
        <f>IF(SER_hh_tes_in!N8=0,"",SER_hh_tes_in!N8/SER_hh_fec_in!N8)</f>
        <v>3.0080326826345751</v>
      </c>
      <c r="O8" s="137">
        <f>IF(SER_hh_tes_in!O8=0,"",SER_hh_tes_in!O8/SER_hh_fec_in!O8)</f>
        <v>3.1969633411335652</v>
      </c>
      <c r="P8" s="137">
        <f>IF(SER_hh_tes_in!P8=0,"",SER_hh_tes_in!P8/SER_hh_fec_in!P8)</f>
        <v>3.3870041012463705</v>
      </c>
      <c r="Q8" s="137">
        <f>IF(SER_hh_tes_in!Q8=0,"",SER_hh_tes_in!Q8/SER_hh_fec_in!Q8)</f>
        <v>3.542763741803864</v>
      </c>
      <c r="R8" s="137">
        <f>IF(SER_hh_tes_in!R8=0,"",SER_hh_tes_in!R8/SER_hh_fec_in!R8)</f>
        <v>3.6024918517092481</v>
      </c>
      <c r="S8" s="137">
        <f>IF(SER_hh_tes_in!S8=0,"",SER_hh_tes_in!S8/SER_hh_fec_in!S8)</f>
        <v>3.6409103695030662</v>
      </c>
      <c r="T8" s="137">
        <f>IF(SER_hh_tes_in!T8=0,"",SER_hh_tes_in!T8/SER_hh_fec_in!T8)</f>
        <v>3.6660844537354622</v>
      </c>
      <c r="U8" s="137">
        <f>IF(SER_hh_tes_in!U8=0,"",SER_hh_tes_in!U8/SER_hh_fec_in!U8)</f>
        <v>3.6862200390798545</v>
      </c>
      <c r="V8" s="137">
        <f>IF(SER_hh_tes_in!V8=0,"",SER_hh_tes_in!V8/SER_hh_fec_in!V8)</f>
        <v>3.7097545519712103</v>
      </c>
      <c r="W8" s="137">
        <f>IF(SER_hh_tes_in!W8=0,"",SER_hh_tes_in!W8/SER_hh_fec_in!W8)</f>
        <v>3.735766217840804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0.57388930370943936</v>
      </c>
      <c r="D9" s="137">
        <f>IF(SER_hh_tes_in!D9=0,"",SER_hh_tes_in!D9/SER_hh_fec_in!D9)</f>
        <v>0.58168936712109298</v>
      </c>
      <c r="E9" s="137">
        <f>IF(SER_hh_tes_in!E9=0,"",SER_hh_tes_in!E9/SER_hh_fec_in!E9)</f>
        <v>0.58949196565062223</v>
      </c>
      <c r="F9" s="137">
        <f>IF(SER_hh_tes_in!F9=0,"",SER_hh_tes_in!F9/SER_hh_fec_in!F9)</f>
        <v>0.59719827884704768</v>
      </c>
      <c r="G9" s="137">
        <f>IF(SER_hh_tes_in!G9=0,"",SER_hh_tes_in!G9/SER_hh_fec_in!G9)</f>
        <v>0.60489944922914363</v>
      </c>
      <c r="H9" s="137">
        <f>IF(SER_hh_tes_in!H9=0,"",SER_hh_tes_in!H9/SER_hh_fec_in!H9)</f>
        <v>0.61258526703962957</v>
      </c>
      <c r="I9" s="137">
        <f>IF(SER_hh_tes_in!I9=0,"",SER_hh_tes_in!I9/SER_hh_fec_in!I9)</f>
        <v>0.62027914582775612</v>
      </c>
      <c r="J9" s="137">
        <f>IF(SER_hh_tes_in!J9=0,"",SER_hh_tes_in!J9/SER_hh_fec_in!J9)</f>
        <v>0.62807481511189611</v>
      </c>
      <c r="K9" s="137">
        <f>IF(SER_hh_tes_in!K9=0,"",SER_hh_tes_in!K9/SER_hh_fec_in!K9)</f>
        <v>0.63605316152050828</v>
      </c>
      <c r="L9" s="137">
        <f>IF(SER_hh_tes_in!L9=0,"",SER_hh_tes_in!L9/SER_hh_fec_in!L9)</f>
        <v>0.64423791371595218</v>
      </c>
      <c r="M9" s="137">
        <f>IF(SER_hh_tes_in!M9=0,"",SER_hh_tes_in!M9/SER_hh_fec_in!M9)</f>
        <v>0.65470001761780494</v>
      </c>
      <c r="N9" s="137">
        <f>IF(SER_hh_tes_in!N9=0,"",SER_hh_tes_in!N9/SER_hh_fec_in!N9)</f>
        <v>0.66812517334766031</v>
      </c>
      <c r="O9" s="137">
        <f>IF(SER_hh_tes_in!O9=0,"",SER_hh_tes_in!O9/SER_hh_fec_in!O9)</f>
        <v>0.6849097605321548</v>
      </c>
      <c r="P9" s="137">
        <f>IF(SER_hh_tes_in!P9=0,"",SER_hh_tes_in!P9/SER_hh_fec_in!P9)</f>
        <v>0.7035509451262969</v>
      </c>
      <c r="Q9" s="137">
        <f>IF(SER_hh_tes_in!Q9=0,"",SER_hh_tes_in!Q9/SER_hh_fec_in!Q9)</f>
        <v>0.71935754360242354</v>
      </c>
      <c r="R9" s="137">
        <f>IF(SER_hh_tes_in!R9=0,"",SER_hh_tes_in!R9/SER_hh_fec_in!R9)</f>
        <v>0.72834155869284967</v>
      </c>
      <c r="S9" s="137">
        <f>IF(SER_hh_tes_in!S9=0,"",SER_hh_tes_in!S9/SER_hh_fec_in!S9)</f>
        <v>0.73527671017999596</v>
      </c>
      <c r="T9" s="137">
        <f>IF(SER_hh_tes_in!T9=0,"",SER_hh_tes_in!T9/SER_hh_fec_in!T9)</f>
        <v>0.74080325327811714</v>
      </c>
      <c r="U9" s="137">
        <f>IF(SER_hh_tes_in!U9=0,"",SER_hh_tes_in!U9/SER_hh_fec_in!U9)</f>
        <v>0.74540486919370774</v>
      </c>
      <c r="V9" s="137">
        <f>IF(SER_hh_tes_in!V9=0,"",SER_hh_tes_in!V9/SER_hh_fec_in!V9)</f>
        <v>0.74939967650715211</v>
      </c>
      <c r="W9" s="137">
        <f>IF(SER_hh_tes_in!W9=0,"",SER_hh_tes_in!W9/SER_hh_fec_in!W9)</f>
        <v>0.75216341729103697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0.52852941945444487</v>
      </c>
      <c r="D10" s="137">
        <f>IF(SER_hh_tes_in!D10=0,"",SER_hh_tes_in!D10/SER_hh_fec_in!D10)</f>
        <v>0.52879444426347177</v>
      </c>
      <c r="E10" s="137">
        <f>IF(SER_hh_tes_in!E10=0,"",SER_hh_tes_in!E10/SER_hh_fec_in!E10)</f>
        <v>0.52906198852454855</v>
      </c>
      <c r="F10" s="137">
        <f>IF(SER_hh_tes_in!F10=0,"",SER_hh_tes_in!F10/SER_hh_fec_in!F10)</f>
        <v>0.52933179504765859</v>
      </c>
      <c r="G10" s="137">
        <f>IF(SER_hh_tes_in!G10=0,"",SER_hh_tes_in!G10/SER_hh_fec_in!G10)</f>
        <v>0.52960360817105401</v>
      </c>
      <c r="H10" s="137">
        <f>IF(SER_hh_tes_in!H10=0,"",SER_hh_tes_in!H10/SER_hh_fec_in!H10)</f>
        <v>0.52987712329363823</v>
      </c>
      <c r="I10" s="137">
        <f>IF(SER_hh_tes_in!I10=0,"",SER_hh_tes_in!I10/SER_hh_fec_in!I10)</f>
        <v>0.53015193988657483</v>
      </c>
      <c r="J10" s="137">
        <f>IF(SER_hh_tes_in!J10=0,"",SER_hh_tes_in!J10/SER_hh_fec_in!J10)</f>
        <v>0.53042719434811381</v>
      </c>
      <c r="K10" s="137">
        <f>IF(SER_hh_tes_in!K10=0,"",SER_hh_tes_in!K10/SER_hh_fec_in!K10)</f>
        <v>0.53070174427926309</v>
      </c>
      <c r="L10" s="137">
        <f>IF(SER_hh_tes_in!L10=0,"",SER_hh_tes_in!L10/SER_hh_fec_in!L10)</f>
        <v>0.5309745757334543</v>
      </c>
      <c r="M10" s="137">
        <f>IF(SER_hh_tes_in!M10=0,"",SER_hh_tes_in!M10/SER_hh_fec_in!M10)</f>
        <v>0.53122584269205619</v>
      </c>
      <c r="N10" s="137">
        <f>IF(SER_hh_tes_in!N10=0,"",SER_hh_tes_in!N10/SER_hh_fec_in!N10)</f>
        <v>0.53144489135688922</v>
      </c>
      <c r="O10" s="137">
        <f>IF(SER_hh_tes_in!O10=0,"",SER_hh_tes_in!O10/SER_hh_fec_in!O10)</f>
        <v>0.5316259582161238</v>
      </c>
      <c r="P10" s="137">
        <f>IF(SER_hh_tes_in!P10=0,"",SER_hh_tes_in!P10/SER_hh_fec_in!P10)</f>
        <v>0.53178455618530285</v>
      </c>
      <c r="Q10" s="137">
        <f>IF(SER_hh_tes_in!Q10=0,"",SER_hh_tes_in!Q10/SER_hh_fec_in!Q10)</f>
        <v>0.53197337055085203</v>
      </c>
      <c r="R10" s="137">
        <f>IF(SER_hh_tes_in!R10=0,"",SER_hh_tes_in!R10/SER_hh_fec_in!R10)</f>
        <v>0.5322517713705992</v>
      </c>
      <c r="S10" s="137">
        <f>IF(SER_hh_tes_in!S10=0,"",SER_hh_tes_in!S10/SER_hh_fec_in!S10)</f>
        <v>0.5325637949856229</v>
      </c>
      <c r="T10" s="137">
        <f>IF(SER_hh_tes_in!T10=0,"",SER_hh_tes_in!T10/SER_hh_fec_in!T10)</f>
        <v>0.53287733208956378</v>
      </c>
      <c r="U10" s="137">
        <f>IF(SER_hh_tes_in!U10=0,"",SER_hh_tes_in!U10/SER_hh_fec_in!U10)</f>
        <v>0.53316614191006939</v>
      </c>
      <c r="V10" s="137">
        <f>IF(SER_hh_tes_in!V10=0,"",SER_hh_tes_in!V10/SER_hh_fec_in!V10)</f>
        <v>0.53340822997524195</v>
      </c>
      <c r="W10" s="137">
        <f>IF(SER_hh_tes_in!W10=0,"",SER_hh_tes_in!W10/SER_hh_fec_in!W10)</f>
        <v>0.53360295630489529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0.77677673993389384</v>
      </c>
      <c r="D12" s="137">
        <f>IF(SER_hh_tes_in!D12=0,"",SER_hh_tes_in!D12/SER_hh_fec_in!D12)</f>
        <v>0.77876201508590992</v>
      </c>
      <c r="E12" s="137">
        <f>IF(SER_hh_tes_in!E12=0,"",SER_hh_tes_in!E12/SER_hh_fec_in!E12)</f>
        <v>0.78080088748761767</v>
      </c>
      <c r="F12" s="137">
        <f>IF(SER_hh_tes_in!F12=0,"",SER_hh_tes_in!F12/SER_hh_fec_in!F12)</f>
        <v>0.78284706860519238</v>
      </c>
      <c r="G12" s="137">
        <f>IF(SER_hh_tes_in!G12=0,"",SER_hh_tes_in!G12/SER_hh_fec_in!G12)</f>
        <v>0.78494260963719431</v>
      </c>
      <c r="H12" s="137">
        <f>IF(SER_hh_tes_in!H12=0,"",SER_hh_tes_in!H12/SER_hh_fec_in!H12)</f>
        <v>0.78708236405226173</v>
      </c>
      <c r="I12" s="137">
        <f>IF(SER_hh_tes_in!I12=0,"",SER_hh_tes_in!I12/SER_hh_fec_in!I12)</f>
        <v>0.78927669326694827</v>
      </c>
      <c r="J12" s="137">
        <f>IF(SER_hh_tes_in!J12=0,"",SER_hh_tes_in!J12/SER_hh_fec_in!J12)</f>
        <v>0.79156804434762484</v>
      </c>
      <c r="K12" s="137">
        <f>IF(SER_hh_tes_in!K12=0,"",SER_hh_tes_in!K12/SER_hh_fec_in!K12)</f>
        <v>0.79399250846561231</v>
      </c>
      <c r="L12" s="137">
        <f>IF(SER_hh_tes_in!L12=0,"",SER_hh_tes_in!L12/SER_hh_fec_in!L12)</f>
        <v>0.79655974148890218</v>
      </c>
      <c r="M12" s="137">
        <f>IF(SER_hh_tes_in!M12=0,"",SER_hh_tes_in!M12/SER_hh_fec_in!M12)</f>
        <v>0.80011439610554891</v>
      </c>
      <c r="N12" s="137">
        <f>IF(SER_hh_tes_in!N12=0,"",SER_hh_tes_in!N12/SER_hh_fec_in!N12)</f>
        <v>0.80492353030552066</v>
      </c>
      <c r="O12" s="137">
        <f>IF(SER_hh_tes_in!O12=0,"",SER_hh_tes_in!O12/SER_hh_fec_in!O12)</f>
        <v>0.81122125286840319</v>
      </c>
      <c r="P12" s="137">
        <f>IF(SER_hh_tes_in!P12=0,"",SER_hh_tes_in!P12/SER_hh_fec_in!P12)</f>
        <v>0.81856215467684312</v>
      </c>
      <c r="Q12" s="137">
        <f>IF(SER_hh_tes_in!Q12=0,"",SER_hh_tes_in!Q12/SER_hh_fec_in!Q12)</f>
        <v>0.82548812710267649</v>
      </c>
      <c r="R12" s="137">
        <f>IF(SER_hh_tes_in!R12=0,"",SER_hh_tes_in!R12/SER_hh_fec_in!R12)</f>
        <v>0.83079526861225528</v>
      </c>
      <c r="S12" s="137">
        <f>IF(SER_hh_tes_in!S12=0,"",SER_hh_tes_in!S12/SER_hh_fec_in!S12)</f>
        <v>0.83595823011522674</v>
      </c>
      <c r="T12" s="137">
        <f>IF(SER_hh_tes_in!T12=0,"",SER_hh_tes_in!T12/SER_hh_fec_in!T12)</f>
        <v>0.84094251491657956</v>
      </c>
      <c r="U12" s="137">
        <f>IF(SER_hh_tes_in!U12=0,"",SER_hh_tes_in!U12/SER_hh_fec_in!U12)</f>
        <v>0.84571362632131875</v>
      </c>
      <c r="V12" s="137">
        <f>IF(SER_hh_tes_in!V12=0,"",SER_hh_tes_in!V12/SER_hh_fec_in!V12)</f>
        <v>0.85023706763444273</v>
      </c>
      <c r="W12" s="137">
        <f>IF(SER_hh_tes_in!W12=0,"",SER_hh_tes_in!W12/SER_hh_fec_in!W12)</f>
        <v>0.8544040289552568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1.3605684419065618</v>
      </c>
      <c r="D13" s="137">
        <f>IF(SER_hh_tes_in!D13=0,"",SER_hh_tes_in!D13/SER_hh_fec_in!D13)</f>
        <v>1.4788677460002599</v>
      </c>
      <c r="E13" s="137">
        <f>IF(SER_hh_tes_in!E13=0,"",SER_hh_tes_in!E13/SER_hh_fec_in!E13)</f>
        <v>1.6005551618802785</v>
      </c>
      <c r="F13" s="137">
        <f>IF(SER_hh_tes_in!F13=0,"",SER_hh_tes_in!F13/SER_hh_fec_in!F13)</f>
        <v>1.7251248535547892</v>
      </c>
      <c r="G13" s="137">
        <f>IF(SER_hh_tes_in!G13=0,"",SER_hh_tes_in!G13/SER_hh_fec_in!G13)</f>
        <v>1.8529970639664135</v>
      </c>
      <c r="H13" s="137">
        <f>IF(SER_hh_tes_in!H13=0,"",SER_hh_tes_in!H13/SER_hh_fec_in!H13)</f>
        <v>1.984092497518902</v>
      </c>
      <c r="I13" s="137">
        <f>IF(SER_hh_tes_in!I13=0,"",SER_hh_tes_in!I13/SER_hh_fec_in!I13)</f>
        <v>2.1184856800106409</v>
      </c>
      <c r="J13" s="137">
        <f>IF(SER_hh_tes_in!J13=0,"",SER_hh_tes_in!J13/SER_hh_fec_in!J13)</f>
        <v>2.2565465556284838</v>
      </c>
      <c r="K13" s="137">
        <f>IF(SER_hh_tes_in!K13=0,"",SER_hh_tes_in!K13/SER_hh_fec_in!K13)</f>
        <v>2.3985489113875826</v>
      </c>
      <c r="L13" s="137">
        <f>IF(SER_hh_tes_in!L13=0,"",SER_hh_tes_in!L13/SER_hh_fec_in!L13)</f>
        <v>2.5444921628031629</v>
      </c>
      <c r="M13" s="137">
        <f>IF(SER_hh_tes_in!M13=0,"",SER_hh_tes_in!M13/SER_hh_fec_in!M13)</f>
        <v>2.7049682662753343</v>
      </c>
      <c r="N13" s="137">
        <f>IF(SER_hh_tes_in!N13=0,"",SER_hh_tes_in!N13/SER_hh_fec_in!N13)</f>
        <v>2.8826679134311677</v>
      </c>
      <c r="O13" s="137">
        <f>IF(SER_hh_tes_in!O13=0,"",SER_hh_tes_in!O13/SER_hh_fec_in!O13)</f>
        <v>3.0757955173528724</v>
      </c>
      <c r="P13" s="137">
        <f>IF(SER_hh_tes_in!P13=0,"",SER_hh_tes_in!P13/SER_hh_fec_in!P13)</f>
        <v>3.2696473522776941</v>
      </c>
      <c r="Q13" s="137">
        <f>IF(SER_hh_tes_in!Q13=0,"",SER_hh_tes_in!Q13/SER_hh_fec_in!Q13)</f>
        <v>3.4285549357383922</v>
      </c>
      <c r="R13" s="137">
        <f>IF(SER_hh_tes_in!R13=0,"",SER_hh_tes_in!R13/SER_hh_fec_in!R13)</f>
        <v>3.4880224245253459</v>
      </c>
      <c r="S13" s="137">
        <f>IF(SER_hh_tes_in!S13=0,"",SER_hh_tes_in!S13/SER_hh_fec_in!S13)</f>
        <v>3.5256630109022571</v>
      </c>
      <c r="T13" s="137">
        <f>IF(SER_hh_tes_in!T13=0,"",SER_hh_tes_in!T13/SER_hh_fec_in!T13)</f>
        <v>3.5498044019041419</v>
      </c>
      <c r="U13" s="137">
        <f>IF(SER_hh_tes_in!U13=0,"",SER_hh_tes_in!U13/SER_hh_fec_in!U13)</f>
        <v>3.5690176380054708</v>
      </c>
      <c r="V13" s="137">
        <f>IF(SER_hh_tes_in!V13=0,"",SER_hh_tes_in!V13/SER_hh_fec_in!V13)</f>
        <v>3.5922104326994155</v>
      </c>
      <c r="W13" s="137">
        <f>IF(SER_hh_tes_in!W13=0,"",SER_hh_tes_in!W13/SER_hh_fec_in!W13)</f>
        <v>3.6187245403393677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0.70349589026588077</v>
      </c>
      <c r="D14" s="138">
        <f>IF(SER_hh_tes_in!D14=0,"",SER_hh_tes_in!D14/SER_hh_fec_in!D14)</f>
        <v>0.70662167241776919</v>
      </c>
      <c r="E14" s="138">
        <f>IF(SER_hh_tes_in!E14=0,"",SER_hh_tes_in!E14/SER_hh_fec_in!E14)</f>
        <v>0.70982764842591384</v>
      </c>
      <c r="F14" s="138" t="str">
        <f>IF(SER_hh_tes_in!F14=0,"",SER_hh_tes_in!F14/SER_hh_fec_in!F14)</f>
        <v/>
      </c>
      <c r="G14" s="138">
        <f>IF(SER_hh_tes_in!G14=0,"",SER_hh_tes_in!G14/SER_hh_fec_in!G14)</f>
        <v>0.71633506675256153</v>
      </c>
      <c r="H14" s="138">
        <f>IF(SER_hh_tes_in!H14=0,"",SER_hh_tes_in!H14/SER_hh_fec_in!H14)</f>
        <v>0.71969172997064168</v>
      </c>
      <c r="I14" s="138">
        <f>IF(SER_hh_tes_in!I14=0,"",SER_hh_tes_in!I14/SER_hh_fec_in!I14)</f>
        <v>0.72312989746292655</v>
      </c>
      <c r="J14" s="138">
        <f>IF(SER_hh_tes_in!J14=0,"",SER_hh_tes_in!J14/SER_hh_fec_in!J14)</f>
        <v>0.72671297778830757</v>
      </c>
      <c r="K14" s="138">
        <f>IF(SER_hh_tes_in!K14=0,"",SER_hh_tes_in!K14/SER_hh_fec_in!K14)</f>
        <v>0.73049469954100765</v>
      </c>
      <c r="L14" s="138">
        <f>IF(SER_hh_tes_in!L14=0,"",SER_hh_tes_in!L14/SER_hh_fec_in!L14)</f>
        <v>0.73448905706596324</v>
      </c>
      <c r="M14" s="138">
        <f>IF(SER_hh_tes_in!M14=0,"",SER_hh_tes_in!M14/SER_hh_fec_in!M14)</f>
        <v>0.73979994040569397</v>
      </c>
      <c r="N14" s="138">
        <f>IF(SER_hh_tes_in!N14=0,"",SER_hh_tes_in!N14/SER_hh_fec_in!N14)</f>
        <v>0.74675497013817016</v>
      </c>
      <c r="O14" s="138">
        <f>IF(SER_hh_tes_in!O14=0,"",SER_hh_tes_in!O14/SER_hh_fec_in!O14)</f>
        <v>0.75578416833350381</v>
      </c>
      <c r="P14" s="138">
        <f>IF(SER_hh_tes_in!P14=0,"",SER_hh_tes_in!P14/SER_hh_fec_in!P14)</f>
        <v>0.76658771726573494</v>
      </c>
      <c r="Q14" s="138">
        <f>IF(SER_hh_tes_in!Q14=0,"",SER_hh_tes_in!Q14/SER_hh_fec_in!Q14)</f>
        <v>0.77807069532912121</v>
      </c>
      <c r="R14" s="138">
        <f>IF(SER_hh_tes_in!R14=0,"",SER_hh_tes_in!R14/SER_hh_fec_in!R14)</f>
        <v>0.79041177025286558</v>
      </c>
      <c r="S14" s="138">
        <f>IF(SER_hh_tes_in!S14=0,"",SER_hh_tes_in!S14/SER_hh_fec_in!S14)</f>
        <v>0.8047831629657175</v>
      </c>
      <c r="T14" s="138">
        <f>IF(SER_hh_tes_in!T14=0,"",SER_hh_tes_in!T14/SER_hh_fec_in!T14)</f>
        <v>0.81932457334148889</v>
      </c>
      <c r="U14" s="138">
        <f>IF(SER_hh_tes_in!U14=0,"",SER_hh_tes_in!U14/SER_hh_fec_in!U14)</f>
        <v>0.83218107043802891</v>
      </c>
      <c r="V14" s="138">
        <f>IF(SER_hh_tes_in!V14=0,"",SER_hh_tes_in!V14/SER_hh_fec_in!V14)</f>
        <v>0.84149239828908673</v>
      </c>
      <c r="W14" s="138">
        <f>IF(SER_hh_tes_in!W14=0,"",SER_hh_tes_in!W14/SER_hh_fec_in!W14)</f>
        <v>0.84617000458898095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2.2626531031661599</v>
      </c>
      <c r="D16" s="136">
        <f>IF(SER_hh_tes_in!D16=0,"",SER_hh_tes_in!D16/SER_hh_fec_in!D16)</f>
        <v>2.3350643618628126</v>
      </c>
      <c r="E16" s="136">
        <f>IF(SER_hh_tes_in!E16=0,"",SER_hh_tes_in!E16/SER_hh_fec_in!E16)</f>
        <v>2.4082732869078813</v>
      </c>
      <c r="F16" s="136">
        <f>IF(SER_hh_tes_in!F16=0,"",SER_hh_tes_in!F16/SER_hh_fec_in!F16)</f>
        <v>2.4815864278492237</v>
      </c>
      <c r="G16" s="136">
        <f>IF(SER_hh_tes_in!G16=0,"",SER_hh_tes_in!G16/SER_hh_fec_in!G16)</f>
        <v>2.5449485097999291</v>
      </c>
      <c r="H16" s="136">
        <f>IF(SER_hh_tes_in!H16=0,"",SER_hh_tes_in!H16/SER_hh_fec_in!H16)</f>
        <v>2.627710485594243</v>
      </c>
      <c r="I16" s="136">
        <f>IF(SER_hh_tes_in!I16=0,"",SER_hh_tes_in!I16/SER_hh_fec_in!I16)</f>
        <v>2.6999912858683444</v>
      </c>
      <c r="J16" s="136">
        <f>IF(SER_hh_tes_in!J16=0,"",SER_hh_tes_in!J16/SER_hh_fec_in!J16)</f>
        <v>2.7812744928139037</v>
      </c>
      <c r="K16" s="136">
        <f>IF(SER_hh_tes_in!K16=0,"",SER_hh_tes_in!K16/SER_hh_fec_in!K16)</f>
        <v>2.8497997070516026</v>
      </c>
      <c r="L16" s="136">
        <f>IF(SER_hh_tes_in!L16=0,"",SER_hh_tes_in!L16/SER_hh_fec_in!L16)</f>
        <v>2.9408080983878118</v>
      </c>
      <c r="M16" s="136">
        <f>IF(SER_hh_tes_in!M16=0,"",SER_hh_tes_in!M16/SER_hh_fec_in!M16)</f>
        <v>3.0345010012218667</v>
      </c>
      <c r="N16" s="136">
        <f>IF(SER_hh_tes_in!N16=0,"",SER_hh_tes_in!N16/SER_hh_fec_in!N16)</f>
        <v>3.1503885097209379</v>
      </c>
      <c r="O16" s="136">
        <f>IF(SER_hh_tes_in!O16=0,"",SER_hh_tes_in!O16/SER_hh_fec_in!O16)</f>
        <v>3.2786079376026827</v>
      </c>
      <c r="P16" s="136">
        <f>IF(SER_hh_tes_in!P16=0,"",SER_hh_tes_in!P16/SER_hh_fec_in!P16)</f>
        <v>3.4109276296153626</v>
      </c>
      <c r="Q16" s="136">
        <f>IF(SER_hh_tes_in!Q16=0,"",SER_hh_tes_in!Q16/SER_hh_fec_in!Q16)</f>
        <v>3.5209708116299856</v>
      </c>
      <c r="R16" s="136">
        <f>IF(SER_hh_tes_in!R16=0,"",SER_hh_tes_in!R16/SER_hh_fec_in!R16)</f>
        <v>3.6245646245730354</v>
      </c>
      <c r="S16" s="136">
        <f>IF(SER_hh_tes_in!S16=0,"",SER_hh_tes_in!S16/SER_hh_fec_in!S16)</f>
        <v>3.6781383227822255</v>
      </c>
      <c r="T16" s="136">
        <f>IF(SER_hh_tes_in!T16=0,"",SER_hh_tes_in!T16/SER_hh_fec_in!T16)</f>
        <v>3.7347272805694143</v>
      </c>
      <c r="U16" s="136">
        <f>IF(SER_hh_tes_in!U16=0,"",SER_hh_tes_in!U16/SER_hh_fec_in!U16)</f>
        <v>3.7910340237100679</v>
      </c>
      <c r="V16" s="136">
        <f>IF(SER_hh_tes_in!V16=0,"",SER_hh_tes_in!V16/SER_hh_fec_in!V16)</f>
        <v>3.7845557761862074</v>
      </c>
      <c r="W16" s="136">
        <f>IF(SER_hh_tes_in!W16=0,"",SER_hh_tes_in!W16/SER_hh_fec_in!W16)</f>
        <v>3.8953983912328574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>
        <f>IF(SER_hh_tes_in!G17=0,"",SER_hh_tes_in!G17/SER_hh_fec_in!G17)</f>
        <v>1.2729967655208243</v>
      </c>
      <c r="H17" s="137">
        <f>IF(SER_hh_tes_in!H17=0,"",SER_hh_tes_in!H17/SER_hh_fec_in!H17)</f>
        <v>1.274229487532786</v>
      </c>
      <c r="I17" s="137">
        <f>IF(SER_hh_tes_in!I17=0,"",SER_hh_tes_in!I17/SER_hh_fec_in!I17)</f>
        <v>1.2752057602965223</v>
      </c>
      <c r="J17" s="137">
        <f>IF(SER_hh_tes_in!J17=0,"",SER_hh_tes_in!J17/SER_hh_fec_in!J17)</f>
        <v>1.2761661736980878</v>
      </c>
      <c r="K17" s="137">
        <f>IF(SER_hh_tes_in!K17=0,"",SER_hh_tes_in!K17/SER_hh_fec_in!K17)</f>
        <v>1.277463193574639</v>
      </c>
      <c r="L17" s="137">
        <f>IF(SER_hh_tes_in!L17=0,"",SER_hh_tes_in!L17/SER_hh_fec_in!L17)</f>
        <v>1.2793222677395668</v>
      </c>
      <c r="M17" s="137">
        <f>IF(SER_hh_tes_in!M17=0,"",SER_hh_tes_in!M17/SER_hh_fec_in!M17)</f>
        <v>1.2847120579291316</v>
      </c>
      <c r="N17" s="137">
        <f>IF(SER_hh_tes_in!N17=0,"",SER_hh_tes_in!N17/SER_hh_fec_in!N17)</f>
        <v>1.2977734582516618</v>
      </c>
      <c r="O17" s="137">
        <f>IF(SER_hh_tes_in!O17=0,"",SER_hh_tes_in!O17/SER_hh_fec_in!O17)</f>
        <v>1.3200125670801481</v>
      </c>
      <c r="P17" s="137">
        <f>IF(SER_hh_tes_in!P17=0,"",SER_hh_tes_in!P17/SER_hh_fec_in!P17)</f>
        <v>1.3510311117046716</v>
      </c>
      <c r="Q17" s="137">
        <f>IF(SER_hh_tes_in!Q17=0,"",SER_hh_tes_in!Q17/SER_hh_fec_in!Q17)</f>
        <v>1.3843161537631969</v>
      </c>
      <c r="R17" s="137">
        <f>IF(SER_hh_tes_in!R17=0,"",SER_hh_tes_in!R17/SER_hh_fec_in!R17)</f>
        <v>1.4119423620898885</v>
      </c>
      <c r="S17" s="137">
        <f>IF(SER_hh_tes_in!S17=0,"",SER_hh_tes_in!S17/SER_hh_fec_in!S17)</f>
        <v>1.439366203573438</v>
      </c>
      <c r="T17" s="137">
        <f>IF(SER_hh_tes_in!T17=0,"",SER_hh_tes_in!T17/SER_hh_fec_in!T17)</f>
        <v>1.4715233177319709</v>
      </c>
      <c r="U17" s="137">
        <f>IF(SER_hh_tes_in!U17=0,"",SER_hh_tes_in!U17/SER_hh_fec_in!U17)</f>
        <v>1.5056215336593761</v>
      </c>
      <c r="V17" s="137">
        <f>IF(SER_hh_tes_in!V17=0,"",SER_hh_tes_in!V17/SER_hh_fec_in!V17)</f>
        <v>1.5386109418732903</v>
      </c>
      <c r="W17" s="137">
        <f>IF(SER_hh_tes_in!W17=0,"",SER_hh_tes_in!W17/SER_hh_fec_in!W17)</f>
        <v>1.5655212090335162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2.2626531031661599</v>
      </c>
      <c r="D18" s="137">
        <f>IF(SER_hh_tes_in!D18=0,"",SER_hh_tes_in!D18/SER_hh_fec_in!D18)</f>
        <v>2.3350643618628126</v>
      </c>
      <c r="E18" s="137">
        <f>IF(SER_hh_tes_in!E18=0,"",SER_hh_tes_in!E18/SER_hh_fec_in!E18)</f>
        <v>2.4082732869078813</v>
      </c>
      <c r="F18" s="137">
        <f>IF(SER_hh_tes_in!F18=0,"",SER_hh_tes_in!F18/SER_hh_fec_in!F18)</f>
        <v>2.4815864278492237</v>
      </c>
      <c r="G18" s="137">
        <f>IF(SER_hh_tes_in!G18=0,"",SER_hh_tes_in!G18/SER_hh_fec_in!G18)</f>
        <v>2.5556194215867838</v>
      </c>
      <c r="H18" s="137">
        <f>IF(SER_hh_tes_in!H18=0,"",SER_hh_tes_in!H18/SER_hh_fec_in!H18)</f>
        <v>2.6302892364783954</v>
      </c>
      <c r="I18" s="137">
        <f>IF(SER_hh_tes_in!I18=0,"",SER_hh_tes_in!I18/SER_hh_fec_in!I18)</f>
        <v>2.7057418606161545</v>
      </c>
      <c r="J18" s="137">
        <f>IF(SER_hh_tes_in!J18=0,"",SER_hh_tes_in!J18/SER_hh_fec_in!J18)</f>
        <v>2.7825931517365126</v>
      </c>
      <c r="K18" s="137">
        <f>IF(SER_hh_tes_in!K18=0,"",SER_hh_tes_in!K18/SER_hh_fec_in!K18)</f>
        <v>2.861361051539955</v>
      </c>
      <c r="L18" s="137">
        <f>IF(SER_hh_tes_in!L18=0,"",SER_hh_tes_in!L18/SER_hh_fec_in!L18)</f>
        <v>2.9421726811600295</v>
      </c>
      <c r="M18" s="137">
        <f>IF(SER_hh_tes_in!M18=0,"",SER_hh_tes_in!M18/SER_hh_fec_in!M18)</f>
        <v>3.038728326678279</v>
      </c>
      <c r="N18" s="137">
        <f>IF(SER_hh_tes_in!N18=0,"",SER_hh_tes_in!N18/SER_hh_fec_in!N18)</f>
        <v>3.1555125327214655</v>
      </c>
      <c r="O18" s="137">
        <f>IF(SER_hh_tes_in!O18=0,"",SER_hh_tes_in!O18/SER_hh_fec_in!O18)</f>
        <v>3.2950075743140848</v>
      </c>
      <c r="P18" s="137">
        <f>IF(SER_hh_tes_in!P18=0,"",SER_hh_tes_in!P18/SER_hh_fec_in!P18)</f>
        <v>3.4463121102158234</v>
      </c>
      <c r="Q18" s="137">
        <f>IF(SER_hh_tes_in!Q18=0,"",SER_hh_tes_in!Q18/SER_hh_fec_in!Q18)</f>
        <v>3.5763528088165892</v>
      </c>
      <c r="R18" s="137">
        <f>IF(SER_hh_tes_in!R18=0,"",SER_hh_tes_in!R18/SER_hh_fec_in!R18)</f>
        <v>3.6580299625328299</v>
      </c>
      <c r="S18" s="137">
        <f>IF(SER_hh_tes_in!S18=0,"",SER_hh_tes_in!S18/SER_hh_fec_in!S18)</f>
        <v>3.7230409665914768</v>
      </c>
      <c r="T18" s="137">
        <f>IF(SER_hh_tes_in!T18=0,"",SER_hh_tes_in!T18/SER_hh_fec_in!T18)</f>
        <v>3.7773601352660662</v>
      </c>
      <c r="U18" s="137">
        <f>IF(SER_hh_tes_in!U18=0,"",SER_hh_tes_in!U18/SER_hh_fec_in!U18)</f>
        <v>3.8268107696669369</v>
      </c>
      <c r="V18" s="137">
        <f>IF(SER_hh_tes_in!V18=0,"",SER_hh_tes_in!V18/SER_hh_fec_in!V18)</f>
        <v>3.8772311009701239</v>
      </c>
      <c r="W18" s="137">
        <f>IF(SER_hh_tes_in!W18=0,"",SER_hh_tes_in!W18/SER_hh_fec_in!W18)</f>
        <v>3.9265933096155607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0.6307296984890105</v>
      </c>
      <c r="D19" s="136">
        <f>IF(SER_hh_tes_in!D19=0,"",SER_hh_tes_in!D19/SER_hh_fec_in!D19)</f>
        <v>0.63003792912934975</v>
      </c>
      <c r="E19" s="136">
        <f>IF(SER_hh_tes_in!E19=0,"",SER_hh_tes_in!E19/SER_hh_fec_in!E19)</f>
        <v>0.66221910998943789</v>
      </c>
      <c r="F19" s="136">
        <f>IF(SER_hh_tes_in!F19=0,"",SER_hh_tes_in!F19/SER_hh_fec_in!F19)</f>
        <v>0.64618337802131753</v>
      </c>
      <c r="G19" s="136">
        <f>IF(SER_hh_tes_in!G19=0,"",SER_hh_tes_in!G19/SER_hh_fec_in!G19)</f>
        <v>0.64188984084299183</v>
      </c>
      <c r="H19" s="136">
        <f>IF(SER_hh_tes_in!H19=0,"",SER_hh_tes_in!H19/SER_hh_fec_in!H19)</f>
        <v>0.64512946347765299</v>
      </c>
      <c r="I19" s="136">
        <f>IF(SER_hh_tes_in!I19=0,"",SER_hh_tes_in!I19/SER_hh_fec_in!I19)</f>
        <v>0.64433020981793609</v>
      </c>
      <c r="J19" s="136">
        <f>IF(SER_hh_tes_in!J19=0,"",SER_hh_tes_in!J19/SER_hh_fec_in!J19)</f>
        <v>0.66312220079178108</v>
      </c>
      <c r="K19" s="136">
        <f>IF(SER_hh_tes_in!K19=0,"",SER_hh_tes_in!K19/SER_hh_fec_in!K19)</f>
        <v>0.69641199973008949</v>
      </c>
      <c r="L19" s="136">
        <f>IF(SER_hh_tes_in!L19=0,"",SER_hh_tes_in!L19/SER_hh_fec_in!L19)</f>
        <v>0.70558749244505026</v>
      </c>
      <c r="M19" s="136">
        <f>IF(SER_hh_tes_in!M19=0,"",SER_hh_tes_in!M19/SER_hh_fec_in!M19)</f>
        <v>0.71299288150238627</v>
      </c>
      <c r="N19" s="136">
        <f>IF(SER_hh_tes_in!N19=0,"",SER_hh_tes_in!N19/SER_hh_fec_in!N19)</f>
        <v>0.73797672258174085</v>
      </c>
      <c r="O19" s="136">
        <f>IF(SER_hh_tes_in!O19=0,"",SER_hh_tes_in!O19/SER_hh_fec_in!O19)</f>
        <v>0.74953654533260095</v>
      </c>
      <c r="P19" s="136">
        <f>IF(SER_hh_tes_in!P19=0,"",SER_hh_tes_in!P19/SER_hh_fec_in!P19)</f>
        <v>0.78255230981222157</v>
      </c>
      <c r="Q19" s="136">
        <f>IF(SER_hh_tes_in!Q19=0,"",SER_hh_tes_in!Q19/SER_hh_fec_in!Q19)</f>
        <v>0.77193585462785619</v>
      </c>
      <c r="R19" s="136">
        <f>IF(SER_hh_tes_in!R19=0,"",SER_hh_tes_in!R19/SER_hh_fec_in!R19)</f>
        <v>0.79608621564900239</v>
      </c>
      <c r="S19" s="136">
        <f>IF(SER_hh_tes_in!S19=0,"",SER_hh_tes_in!S19/SER_hh_fec_in!S19)</f>
        <v>0.80922660627989196</v>
      </c>
      <c r="T19" s="136">
        <f>IF(SER_hh_tes_in!T19=0,"",SER_hh_tes_in!T19/SER_hh_fec_in!T19)</f>
        <v>0.83123418683382178</v>
      </c>
      <c r="U19" s="136">
        <f>IF(SER_hh_tes_in!U19=0,"",SER_hh_tes_in!U19/SER_hh_fec_in!U19)</f>
        <v>0.83500803872200335</v>
      </c>
      <c r="V19" s="136">
        <f>IF(SER_hh_tes_in!V19=0,"",SER_hh_tes_in!V19/SER_hh_fec_in!V19)</f>
        <v>0.85878715211671419</v>
      </c>
      <c r="W19" s="136">
        <f>IF(SER_hh_tes_in!W19=0,"",SER_hh_tes_in!W19/SER_hh_fec_in!W19)</f>
        <v>0.85015767800372843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0.55413854699026277</v>
      </c>
      <c r="D23" s="137">
        <f>IF(SER_hh_tes_in!D23=0,"",SER_hh_tes_in!D23/SER_hh_fec_in!D23)</f>
        <v>0.5604438233201583</v>
      </c>
      <c r="E23" s="137">
        <f>IF(SER_hh_tes_in!E23=0,"",SER_hh_tes_in!E23/SER_hh_fec_in!E23)</f>
        <v>0.56702171881315733</v>
      </c>
      <c r="F23" s="137">
        <f>IF(SER_hh_tes_in!F23=0,"",SER_hh_tes_in!F23/SER_hh_fec_in!F23)</f>
        <v>0.57365278308966283</v>
      </c>
      <c r="G23" s="137">
        <f>IF(SER_hh_tes_in!G23=0,"",SER_hh_tes_in!G23/SER_hh_fec_in!G23)</f>
        <v>0.58053268666455438</v>
      </c>
      <c r="H23" s="137">
        <f>IF(SER_hh_tes_in!H23=0,"",SER_hh_tes_in!H23/SER_hh_fec_in!H23)</f>
        <v>0.58763493844671899</v>
      </c>
      <c r="I23" s="137">
        <f>IF(SER_hh_tes_in!I23=0,"",SER_hh_tes_in!I23/SER_hh_fec_in!I23)</f>
        <v>0.59500518449540929</v>
      </c>
      <c r="J23" s="137">
        <f>IF(SER_hh_tes_in!J23=0,"",SER_hh_tes_in!J23/SER_hh_fec_in!J23)</f>
        <v>0.60283630788758324</v>
      </c>
      <c r="K23" s="137">
        <f>IF(SER_hh_tes_in!K23=0,"",SER_hh_tes_in!K23/SER_hh_fec_in!K23)</f>
        <v>0.61128914385211275</v>
      </c>
      <c r="L23" s="137">
        <f>IF(SER_hh_tes_in!L23=0,"",SER_hh_tes_in!L23/SER_hh_fec_in!L23)</f>
        <v>0.62040119351789591</v>
      </c>
      <c r="M23" s="137">
        <f>IF(SER_hh_tes_in!M23=0,"",SER_hh_tes_in!M23/SER_hh_fec_in!M23)</f>
        <v>0.6341809521273909</v>
      </c>
      <c r="N23" s="137">
        <f>IF(SER_hh_tes_in!N23=0,"",SER_hh_tes_in!N23/SER_hh_fec_in!N23)</f>
        <v>0.65386227355819049</v>
      </c>
      <c r="O23" s="137">
        <f>IF(SER_hh_tes_in!O23=0,"",SER_hh_tes_in!O23/SER_hh_fec_in!O23)</f>
        <v>0.68035620860849044</v>
      </c>
      <c r="P23" s="137">
        <f>IF(SER_hh_tes_in!P23=0,"",SER_hh_tes_in!P23/SER_hh_fec_in!P23)</f>
        <v>0.71118613276614928</v>
      </c>
      <c r="Q23" s="137">
        <f>IF(SER_hh_tes_in!Q23=0,"",SER_hh_tes_in!Q23/SER_hh_fec_in!Q23)</f>
        <v>0.7385823888208759</v>
      </c>
      <c r="R23" s="137">
        <f>IF(SER_hh_tes_in!R23=0,"",SER_hh_tes_in!R23/SER_hh_fec_in!R23)</f>
        <v>0.75659612009153376</v>
      </c>
      <c r="S23" s="137">
        <f>IF(SER_hh_tes_in!S23=0,"",SER_hh_tes_in!S23/SER_hh_fec_in!S23)</f>
        <v>0.77303248979422312</v>
      </c>
      <c r="T23" s="137">
        <f>IF(SER_hh_tes_in!T23=0,"",SER_hh_tes_in!T23/SER_hh_fec_in!T23)</f>
        <v>0.7874648115337447</v>
      </c>
      <c r="U23" s="137">
        <f>IF(SER_hh_tes_in!U23=0,"",SER_hh_tes_in!U23/SER_hh_fec_in!U23)</f>
        <v>0.79941768224932597</v>
      </c>
      <c r="V23" s="137">
        <f>IF(SER_hh_tes_in!V23=0,"",SER_hh_tes_in!V23/SER_hh_fec_in!V23)</f>
        <v>0.80836942069393281</v>
      </c>
      <c r="W23" s="137">
        <f>IF(SER_hh_tes_in!W23=0,"",SER_hh_tes_in!W23/SER_hh_fec_in!W23)</f>
        <v>0.81298954541553259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0.77431404716274332</v>
      </c>
      <c r="D25" s="137">
        <f>IF(SER_hh_tes_in!D25=0,"",SER_hh_tes_in!D25/SER_hh_fec_in!D25)</f>
        <v>0.77647388095077208</v>
      </c>
      <c r="E25" s="137">
        <f>IF(SER_hh_tes_in!E25=0,"",SER_hh_tes_in!E25/SER_hh_fec_in!E25)</f>
        <v>0.7786920246162562</v>
      </c>
      <c r="F25" s="137">
        <f>IF(SER_hh_tes_in!F25=0,"",SER_hh_tes_in!F25/SER_hh_fec_in!F25)</f>
        <v>0.78091811962866597</v>
      </c>
      <c r="G25" s="137">
        <f>IF(SER_hh_tes_in!G25=0,"",SER_hh_tes_in!G25/SER_hh_fec_in!G25)</f>
        <v>0.7831979146084812</v>
      </c>
      <c r="H25" s="137">
        <f>IF(SER_hh_tes_in!H25=0,"",SER_hh_tes_in!H25/SER_hh_fec_in!H25)</f>
        <v>0.78552581050696835</v>
      </c>
      <c r="I25" s="137">
        <f>IF(SER_hh_tes_in!I25=0,"",SER_hh_tes_in!I25/SER_hh_fec_in!I25)</f>
        <v>0.78791307978554914</v>
      </c>
      <c r="J25" s="137">
        <f>IF(SER_hh_tes_in!J25=0,"",SER_hh_tes_in!J25/SER_hh_fec_in!J25)</f>
        <v>0.79040590173985392</v>
      </c>
      <c r="K25" s="137">
        <f>IF(SER_hh_tes_in!K25=0,"",SER_hh_tes_in!K25/SER_hh_fec_in!K25)</f>
        <v>0.79304354091776563</v>
      </c>
      <c r="L25" s="137">
        <f>IF(SER_hh_tes_in!L25=0,"",SER_hh_tes_in!L25/SER_hh_fec_in!L25)</f>
        <v>0.79583650219560842</v>
      </c>
      <c r="M25" s="137">
        <f>IF(SER_hh_tes_in!M25=0,"",SER_hh_tes_in!M25/SER_hh_fec_in!M25)</f>
        <v>0.79970370576082173</v>
      </c>
      <c r="N25" s="137">
        <f>IF(SER_hh_tes_in!N25=0,"",SER_hh_tes_in!N25/SER_hh_fec_in!N25)</f>
        <v>0.80493569112351293</v>
      </c>
      <c r="O25" s="137">
        <f>IF(SER_hh_tes_in!O25=0,"",SER_hh_tes_in!O25/SER_hh_fec_in!O25)</f>
        <v>0.81178715146901259</v>
      </c>
      <c r="P25" s="137">
        <f>IF(SER_hh_tes_in!P25=0,"",SER_hh_tes_in!P25/SER_hh_fec_in!P25)</f>
        <v>0.8197735143388486</v>
      </c>
      <c r="Q25" s="137">
        <f>IF(SER_hh_tes_in!Q25=0,"",SER_hh_tes_in!Q25/SER_hh_fec_in!Q25)</f>
        <v>0.82730846446658224</v>
      </c>
      <c r="R25" s="137">
        <f>IF(SER_hh_tes_in!R25=0,"",SER_hh_tes_in!R25/SER_hh_fec_in!R25)</f>
        <v>0.83308224526396779</v>
      </c>
      <c r="S25" s="137">
        <f>IF(SER_hh_tes_in!S25=0,"",SER_hh_tes_in!S25/SER_hh_fec_in!S25)</f>
        <v>0.83869916878667705</v>
      </c>
      <c r="T25" s="137">
        <f>IF(SER_hh_tes_in!T25=0,"",SER_hh_tes_in!T25/SER_hh_fec_in!T25)</f>
        <v>0.84412170516012963</v>
      </c>
      <c r="U25" s="137">
        <f>IF(SER_hh_tes_in!U25=0,"",SER_hh_tes_in!U25/SER_hh_fec_in!U25)</f>
        <v>0.8493123245097649</v>
      </c>
      <c r="V25" s="137">
        <f>IF(SER_hh_tes_in!V25=0,"",SER_hh_tes_in!V25/SER_hh_fec_in!V25)</f>
        <v>0.85423349696101347</v>
      </c>
      <c r="W25" s="137">
        <f>IF(SER_hh_tes_in!W25=0,"",SER_hh_tes_in!W25/SER_hh_fec_in!W25)</f>
        <v>0.85876684532079284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0.64095143729939064</v>
      </c>
      <c r="D26" s="138">
        <f>IF(SER_hh_tes_in!D26=0,"",SER_hh_tes_in!D26/SER_hh_fec_in!D26)</f>
        <v>0.64364942596852315</v>
      </c>
      <c r="E26" s="138">
        <f>IF(SER_hh_tes_in!E26=0,"",SER_hh_tes_in!E26/SER_hh_fec_in!E26)</f>
        <v>0.64655492812190907</v>
      </c>
      <c r="F26" s="138">
        <f>IF(SER_hh_tes_in!F26=0,"",SER_hh_tes_in!F26/SER_hh_fec_in!F26)</f>
        <v>0.64948834027743141</v>
      </c>
      <c r="G26" s="138">
        <f>IF(SER_hh_tes_in!G26=0,"",SER_hh_tes_in!G26/SER_hh_fec_in!G26)</f>
        <v>0.65261452351426608</v>
      </c>
      <c r="H26" s="138">
        <f>IF(SER_hh_tes_in!H26=0,"",SER_hh_tes_in!H26/SER_hh_fec_in!H26)</f>
        <v>0.65591499912199203</v>
      </c>
      <c r="I26" s="138">
        <f>IF(SER_hh_tes_in!I26=0,"",SER_hh_tes_in!I26/SER_hh_fec_in!I26)</f>
        <v>0.6594327041721213</v>
      </c>
      <c r="J26" s="138">
        <f>IF(SER_hh_tes_in!J26=0,"",SER_hh_tes_in!J26/SER_hh_fec_in!J26)</f>
        <v>0.66333950890913573</v>
      </c>
      <c r="K26" s="138">
        <f>IF(SER_hh_tes_in!K26=0,"",SER_hh_tes_in!K26/SER_hh_fec_in!K26)</f>
        <v>0.66778772479479465</v>
      </c>
      <c r="L26" s="138">
        <f>IF(SER_hh_tes_in!L26=0,"",SER_hh_tes_in!L26/SER_hh_fec_in!L26)</f>
        <v>0.67283065889905125</v>
      </c>
      <c r="M26" s="138">
        <f>IF(SER_hh_tes_in!M26=0,"",SER_hh_tes_in!M26/SER_hh_fec_in!M26)</f>
        <v>0.68196261974624284</v>
      </c>
      <c r="N26" s="138">
        <f>IF(SER_hh_tes_in!N26=0,"",SER_hh_tes_in!N26/SER_hh_fec_in!N26)</f>
        <v>0.69671895400272432</v>
      </c>
      <c r="O26" s="138">
        <f>IF(SER_hh_tes_in!O26=0,"",SER_hh_tes_in!O26/SER_hh_fec_in!O26)</f>
        <v>0.71906856465596269</v>
      </c>
      <c r="P26" s="138">
        <f>IF(SER_hh_tes_in!P26=0,"",SER_hh_tes_in!P26/SER_hh_fec_in!P26)</f>
        <v>0.74814253908869588</v>
      </c>
      <c r="Q26" s="138">
        <f>IF(SER_hh_tes_in!Q26=0,"",SER_hh_tes_in!Q26/SER_hh_fec_in!Q26)</f>
        <v>0.77667110034787235</v>
      </c>
      <c r="R26" s="138">
        <f>IF(SER_hh_tes_in!R26=0,"",SER_hh_tes_in!R26/SER_hh_fec_in!R26)</f>
        <v>0.79712196142635106</v>
      </c>
      <c r="S26" s="138">
        <f>IF(SER_hh_tes_in!S26=0,"",SER_hh_tes_in!S26/SER_hh_fec_in!S26)</f>
        <v>0.81737120807188324</v>
      </c>
      <c r="T26" s="138">
        <f>IF(SER_hh_tes_in!T26=0,"",SER_hh_tes_in!T26/SER_hh_fec_in!T26)</f>
        <v>0.83699425119673432</v>
      </c>
      <c r="U26" s="138">
        <f>IF(SER_hh_tes_in!U26=0,"",SER_hh_tes_in!U26/SER_hh_fec_in!U26)</f>
        <v>0.85542758234402205</v>
      </c>
      <c r="V26" s="138">
        <f>IF(SER_hh_tes_in!V26=0,"",SER_hh_tes_in!V26/SER_hh_fec_in!V26)</f>
        <v>0.8718066667149923</v>
      </c>
      <c r="W26" s="138">
        <f>IF(SER_hh_tes_in!W26=0,"",SER_hh_tes_in!W26/SER_hh_fec_in!W26)</f>
        <v>0.88470017257473077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0.6547929441028626</v>
      </c>
      <c r="D29" s="136">
        <f>IF(SER_hh_tes_in!D29=0,"",SER_hh_tes_in!D29/SER_hh_fec_in!D29)</f>
        <v>0.65757252051225346</v>
      </c>
      <c r="E29" s="136">
        <f>IF(SER_hh_tes_in!E29=0,"",SER_hh_tes_in!E29/SER_hh_fec_in!E29)</f>
        <v>0.66886940890929025</v>
      </c>
      <c r="F29" s="136">
        <f>IF(SER_hh_tes_in!F29=0,"",SER_hh_tes_in!F29/SER_hh_fec_in!F29)</f>
        <v>0.67713409732136787</v>
      </c>
      <c r="G29" s="136">
        <f>IF(SER_hh_tes_in!G29=0,"",SER_hh_tes_in!G29/SER_hh_fec_in!G29)</f>
        <v>0.67193150184076589</v>
      </c>
      <c r="H29" s="136">
        <f>IF(SER_hh_tes_in!H29=0,"",SER_hh_tes_in!H29/SER_hh_fec_in!H29)</f>
        <v>0.68396072770404936</v>
      </c>
      <c r="I29" s="136">
        <f>IF(SER_hh_tes_in!I29=0,"",SER_hh_tes_in!I29/SER_hh_fec_in!I29)</f>
        <v>0.67353134890100141</v>
      </c>
      <c r="J29" s="136">
        <f>IF(SER_hh_tes_in!J29=0,"",SER_hh_tes_in!J29/SER_hh_fec_in!J29)</f>
        <v>0.66979150152178579</v>
      </c>
      <c r="K29" s="136">
        <f>IF(SER_hh_tes_in!K29=0,"",SER_hh_tes_in!K29/SER_hh_fec_in!K29)</f>
        <v>0.6639951398417846</v>
      </c>
      <c r="L29" s="136">
        <f>IF(SER_hh_tes_in!L29=0,"",SER_hh_tes_in!L29/SER_hh_fec_in!L29)</f>
        <v>0.66754424981453275</v>
      </c>
      <c r="M29" s="136">
        <f>IF(SER_hh_tes_in!M29=0,"",SER_hh_tes_in!M29/SER_hh_fec_in!M29)</f>
        <v>0.69296664295729227</v>
      </c>
      <c r="N29" s="136">
        <f>IF(SER_hh_tes_in!N29=0,"",SER_hh_tes_in!N29/SER_hh_fec_in!N29)</f>
        <v>0.69178998553257365</v>
      </c>
      <c r="O29" s="136">
        <f>IF(SER_hh_tes_in!O29=0,"",SER_hh_tes_in!O29/SER_hh_fec_in!O29)</f>
        <v>0.68719592785432271</v>
      </c>
      <c r="P29" s="136">
        <f>IF(SER_hh_tes_in!P29=0,"",SER_hh_tes_in!P29/SER_hh_fec_in!P29)</f>
        <v>0.68818830740520176</v>
      </c>
      <c r="Q29" s="136">
        <f>IF(SER_hh_tes_in!Q29=0,"",SER_hh_tes_in!Q29/SER_hh_fec_in!Q29)</f>
        <v>0.68421749962429679</v>
      </c>
      <c r="R29" s="136">
        <f>IF(SER_hh_tes_in!R29=0,"",SER_hh_tes_in!R29/SER_hh_fec_in!R29)</f>
        <v>0.66196084162954338</v>
      </c>
      <c r="S29" s="136">
        <f>IF(SER_hh_tes_in!S29=0,"",SER_hh_tes_in!S29/SER_hh_fec_in!S29)</f>
        <v>0.6504535386668191</v>
      </c>
      <c r="T29" s="136">
        <f>IF(SER_hh_tes_in!T29=0,"",SER_hh_tes_in!T29/SER_hh_fec_in!T29)</f>
        <v>0.69755757921382133</v>
      </c>
      <c r="U29" s="136">
        <f>IF(SER_hh_tes_in!U29=0,"",SER_hh_tes_in!U29/SER_hh_fec_in!U29)</f>
        <v>0.69819911000987889</v>
      </c>
      <c r="V29" s="136">
        <f>IF(SER_hh_tes_in!V29=0,"",SER_hh_tes_in!V29/SER_hh_fec_in!V29)</f>
        <v>0.73282424552331871</v>
      </c>
      <c r="W29" s="136">
        <f>IF(SER_hh_tes_in!W29=0,"",SER_hh_tes_in!W29/SER_hh_fec_in!W29)</f>
        <v>0.73443726805422094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0.58621203930491272</v>
      </c>
      <c r="D31" s="137">
        <f>IF(SER_hh_tes_in!D31=0,"",SER_hh_tes_in!D31/SER_hh_fec_in!D31)</f>
        <v>0.58715410386055056</v>
      </c>
      <c r="E31" s="137">
        <f>IF(SER_hh_tes_in!E31=0,"",SER_hh_tes_in!E31/SER_hh_fec_in!E31)</f>
        <v>0.58808288243496731</v>
      </c>
      <c r="F31" s="137">
        <f>IF(SER_hh_tes_in!F31=0,"",SER_hh_tes_in!F31/SER_hh_fec_in!F31)</f>
        <v>0.58900984928467226</v>
      </c>
      <c r="G31" s="137">
        <f>IF(SER_hh_tes_in!G31=0,"",SER_hh_tes_in!G31/SER_hh_fec_in!G31)</f>
        <v>0.58992458052714136</v>
      </c>
      <c r="H31" s="137">
        <f>IF(SER_hh_tes_in!H31=0,"",SER_hh_tes_in!H31/SER_hh_fec_in!H31)</f>
        <v>0.59082835191289285</v>
      </c>
      <c r="I31" s="137">
        <f>IF(SER_hh_tes_in!I31=0,"",SER_hh_tes_in!I31/SER_hh_fec_in!I31)</f>
        <v>0.59171859499696755</v>
      </c>
      <c r="J31" s="137">
        <f>IF(SER_hh_tes_in!J31=0,"",SER_hh_tes_in!J31/SER_hh_fec_in!J31)</f>
        <v>0.59258478776695112</v>
      </c>
      <c r="K31" s="137">
        <f>IF(SER_hh_tes_in!K31=0,"",SER_hh_tes_in!K31/SER_hh_fec_in!K31)</f>
        <v>0.59341798374467158</v>
      </c>
      <c r="L31" s="137">
        <f>IF(SER_hh_tes_in!L31=0,"",SER_hh_tes_in!L31/SER_hh_fec_in!L31)</f>
        <v>0.59421578938043085</v>
      </c>
      <c r="M31" s="137">
        <f>IF(SER_hh_tes_in!M31=0,"",SER_hh_tes_in!M31/SER_hh_fec_in!M31)</f>
        <v>0.59464511443981827</v>
      </c>
      <c r="N31" s="137">
        <f>IF(SER_hh_tes_in!N31=0,"",SER_hh_tes_in!N31/SER_hh_fec_in!N31)</f>
        <v>0.59464511443981827</v>
      </c>
      <c r="O31" s="137">
        <f>IF(SER_hh_tes_in!O31=0,"",SER_hh_tes_in!O31/SER_hh_fec_in!O31)</f>
        <v>0.59464511443981827</v>
      </c>
      <c r="P31" s="137">
        <f>IF(SER_hh_tes_in!P31=0,"",SER_hh_tes_in!P31/SER_hh_fec_in!P31)</f>
        <v>0.59464511443981827</v>
      </c>
      <c r="Q31" s="137">
        <f>IF(SER_hh_tes_in!Q31=0,"",SER_hh_tes_in!Q31/SER_hh_fec_in!Q31)</f>
        <v>0.59464511443981827</v>
      </c>
      <c r="R31" s="137">
        <f>IF(SER_hh_tes_in!R31=0,"",SER_hh_tes_in!R31/SER_hh_fec_in!R31)</f>
        <v>0.59735746071405915</v>
      </c>
      <c r="S31" s="137">
        <f>IF(SER_hh_tes_in!S31=0,"",SER_hh_tes_in!S31/SER_hh_fec_in!S31)</f>
        <v>0.60179276142036187</v>
      </c>
      <c r="T31" s="137">
        <f>IF(SER_hh_tes_in!T31=0,"",SER_hh_tes_in!T31/SER_hh_fec_in!T31)</f>
        <v>0.60696727891104474</v>
      </c>
      <c r="U31" s="137">
        <f>IF(SER_hh_tes_in!U31=0,"",SER_hh_tes_in!U31/SER_hh_fec_in!U31)</f>
        <v>0.6123266005978244</v>
      </c>
      <c r="V31" s="137">
        <f>IF(SER_hh_tes_in!V31=0,"",SER_hh_tes_in!V31/SER_hh_fec_in!V31)</f>
        <v>0.61731631389241226</v>
      </c>
      <c r="W31" s="137">
        <f>IF(SER_hh_tes_in!W31=0,"",SER_hh_tes_in!W31/SER_hh_fec_in!W31)</f>
        <v>0.62193641879480621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0.77027275857875643</v>
      </c>
      <c r="D33" s="150">
        <f>IF(SER_hh_tes_in!D33=0,"",SER_hh_tes_in!D33/SER_hh_fec_in!D33)</f>
        <v>0.77150239924340214</v>
      </c>
      <c r="E33" s="150">
        <f>IF(SER_hh_tes_in!E33=0,"",SER_hh_tes_in!E33/SER_hh_fec_in!E33)</f>
        <v>0.77277750903940279</v>
      </c>
      <c r="F33" s="150">
        <f>IF(SER_hh_tes_in!F33=0,"",SER_hh_tes_in!F33/SER_hh_fec_in!F33)</f>
        <v>0.77405881917149733</v>
      </c>
      <c r="G33" s="150">
        <f>IF(SER_hh_tes_in!G33=0,"",SER_hh_tes_in!G33/SER_hh_fec_in!G33)</f>
        <v>0.77538200369911869</v>
      </c>
      <c r="H33" s="150">
        <f>IF(SER_hh_tes_in!H33=0,"",SER_hh_tes_in!H33/SER_hh_fec_in!H33)</f>
        <v>0.77674269657154871</v>
      </c>
      <c r="I33" s="150">
        <f>IF(SER_hh_tes_in!I33=0,"",SER_hh_tes_in!I33/SER_hh_fec_in!I33)</f>
        <v>0.77814968787807415</v>
      </c>
      <c r="J33" s="150">
        <f>IF(SER_hh_tes_in!J33=0,"",SER_hh_tes_in!J33/SER_hh_fec_in!J33)</f>
        <v>0.77963898751188054</v>
      </c>
      <c r="K33" s="150">
        <f>IF(SER_hh_tes_in!K33=0,"",SER_hh_tes_in!K33/SER_hh_fec_in!K33)</f>
        <v>0.7812412133539034</v>
      </c>
      <c r="L33" s="150">
        <f>IF(SER_hh_tes_in!L33=0,"",SER_hh_tes_in!L33/SER_hh_fec_in!L33)</f>
        <v>0.78296455694256262</v>
      </c>
      <c r="M33" s="150">
        <f>IF(SER_hh_tes_in!M33=0,"",SER_hh_tes_in!M33/SER_hh_fec_in!M33)</f>
        <v>0.7853092215072337</v>
      </c>
      <c r="N33" s="150">
        <f>IF(SER_hh_tes_in!N33=0,"",SER_hh_tes_in!N33/SER_hh_fec_in!N33)</f>
        <v>0.7884170415219941</v>
      </c>
      <c r="O33" s="150">
        <f>IF(SER_hh_tes_in!O33=0,"",SER_hh_tes_in!O33/SER_hh_fec_in!O33)</f>
        <v>0.79263288455672265</v>
      </c>
      <c r="P33" s="150">
        <f>IF(SER_hh_tes_in!P33=0,"",SER_hh_tes_in!P33/SER_hh_fec_in!P33)</f>
        <v>0.79813787817174164</v>
      </c>
      <c r="Q33" s="150">
        <f>IF(SER_hh_tes_in!Q33=0,"",SER_hh_tes_in!Q33/SER_hh_fec_in!Q33)</f>
        <v>0.80523308149517225</v>
      </c>
      <c r="R33" s="150">
        <f>IF(SER_hh_tes_in!R33=0,"",SER_hh_tes_in!R33/SER_hh_fec_in!R33)</f>
        <v>0.81488501157318272</v>
      </c>
      <c r="S33" s="150">
        <f>IF(SER_hh_tes_in!S33=0,"",SER_hh_tes_in!S33/SER_hh_fec_in!S33)</f>
        <v>0.82693152307174733</v>
      </c>
      <c r="T33" s="150">
        <f>IF(SER_hh_tes_in!T33=0,"",SER_hh_tes_in!T33/SER_hh_fec_in!T33)</f>
        <v>0.83988347667024399</v>
      </c>
      <c r="U33" s="150">
        <f>IF(SER_hh_tes_in!U33=0,"",SER_hh_tes_in!U33/SER_hh_fec_in!U33)</f>
        <v>0.85225173304808755</v>
      </c>
      <c r="V33" s="150">
        <f>IF(SER_hh_tes_in!V33=0,"",SER_hh_tes_in!V33/SER_hh_fec_in!V33)</f>
        <v>0.86254715288467587</v>
      </c>
      <c r="W33" s="150">
        <f>IF(SER_hh_tes_in!W33=0,"",SER_hh_tes_in!W33/SER_hh_fec_in!W33)</f>
        <v>0.87024664956398523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70.823442748145311</v>
      </c>
      <c r="D3" s="126">
        <f t="shared" si="0"/>
        <v>72.936778506432958</v>
      </c>
      <c r="E3" s="126">
        <f t="shared" si="0"/>
        <v>125.75189481792948</v>
      </c>
      <c r="F3" s="126">
        <f t="shared" si="0"/>
        <v>133.07382413353074</v>
      </c>
      <c r="G3" s="126">
        <f t="shared" si="0"/>
        <v>157.16719918610602</v>
      </c>
      <c r="H3" s="126">
        <f t="shared" si="0"/>
        <v>142.08464261512745</v>
      </c>
      <c r="I3" s="126">
        <f t="shared" si="0"/>
        <v>116.64065459429342</v>
      </c>
      <c r="J3" s="126">
        <f t="shared" si="0"/>
        <v>76.339400085367657</v>
      </c>
      <c r="K3" s="126">
        <f t="shared" si="0"/>
        <v>3.66045130519807</v>
      </c>
      <c r="L3" s="126">
        <f t="shared" si="0"/>
        <v>35.024662031634108</v>
      </c>
      <c r="M3" s="126">
        <f t="shared" si="0"/>
        <v>41.650617627827138</v>
      </c>
      <c r="N3" s="126">
        <f t="shared" si="0"/>
        <v>23.007913745485695</v>
      </c>
      <c r="O3" s="126">
        <f t="shared" si="0"/>
        <v>23.012280076000412</v>
      </c>
      <c r="P3" s="126">
        <f t="shared" si="0"/>
        <v>40.507077264681826</v>
      </c>
      <c r="Q3" s="126">
        <f t="shared" si="0"/>
        <v>62.798258636322856</v>
      </c>
      <c r="R3" s="126">
        <f t="shared" ref="R3:W3" si="1">SUM(R4,R16,R19,R29)</f>
        <v>37.66300078981434</v>
      </c>
      <c r="S3" s="126">
        <f t="shared" si="1"/>
        <v>54.216000198629771</v>
      </c>
      <c r="T3" s="126">
        <f t="shared" si="1"/>
        <v>37.150393961597992</v>
      </c>
      <c r="U3" s="126">
        <f t="shared" si="1"/>
        <v>41.065377952715153</v>
      </c>
      <c r="V3" s="126">
        <f t="shared" si="1"/>
        <v>30.256197036033271</v>
      </c>
      <c r="W3" s="126">
        <f t="shared" si="1"/>
        <v>24.428766703094404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61.155840126466472</v>
      </c>
      <c r="D4" s="131">
        <f t="shared" si="2"/>
        <v>63.231411921935432</v>
      </c>
      <c r="E4" s="131">
        <f t="shared" si="2"/>
        <v>113.93425515080682</v>
      </c>
      <c r="F4" s="131">
        <f t="shared" si="2"/>
        <v>119.94579883117903</v>
      </c>
      <c r="G4" s="131">
        <f t="shared" si="2"/>
        <v>135.7923423472929</v>
      </c>
      <c r="H4" s="131">
        <f t="shared" si="2"/>
        <v>120.20220250835463</v>
      </c>
      <c r="I4" s="131">
        <f t="shared" si="2"/>
        <v>93.801179167663648</v>
      </c>
      <c r="J4" s="131">
        <f t="shared" si="2"/>
        <v>60.481938257896871</v>
      </c>
      <c r="K4" s="131">
        <f t="shared" si="2"/>
        <v>0.66279435619527738</v>
      </c>
      <c r="L4" s="131">
        <f t="shared" si="2"/>
        <v>24.221712027170845</v>
      </c>
      <c r="M4" s="131">
        <f t="shared" si="2"/>
        <v>31.428989081742337</v>
      </c>
      <c r="N4" s="131">
        <f t="shared" si="2"/>
        <v>17.54946495501267</v>
      </c>
      <c r="O4" s="131">
        <f t="shared" si="2"/>
        <v>17.399195659540453</v>
      </c>
      <c r="P4" s="131">
        <f t="shared" si="2"/>
        <v>29.394079656071781</v>
      </c>
      <c r="Q4" s="131">
        <f t="shared" si="2"/>
        <v>44.287079358247723</v>
      </c>
      <c r="R4" s="131">
        <f t="shared" ref="R4:W4" si="3">SUM(R5:R15)</f>
        <v>23.388608989257765</v>
      </c>
      <c r="S4" s="131">
        <f t="shared" si="3"/>
        <v>32.550380154523573</v>
      </c>
      <c r="T4" s="131">
        <f t="shared" si="3"/>
        <v>22.940988755606462</v>
      </c>
      <c r="U4" s="131">
        <f t="shared" si="3"/>
        <v>25.59677887218934</v>
      </c>
      <c r="V4" s="131">
        <f t="shared" si="3"/>
        <v>19.038789599056376</v>
      </c>
      <c r="W4" s="131">
        <f t="shared" si="3"/>
        <v>13.625418007290902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45.980974764842571</v>
      </c>
      <c r="F5" s="133">
        <v>44.290291681384332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3.4814193459078062</v>
      </c>
      <c r="O5" s="133">
        <v>5.1289135174483764</v>
      </c>
      <c r="P5" s="133">
        <v>0.24997120340145709</v>
      </c>
      <c r="Q5" s="133">
        <v>0</v>
      </c>
      <c r="R5" s="133">
        <v>0.37929010591219109</v>
      </c>
      <c r="S5" s="133">
        <v>0</v>
      </c>
      <c r="T5" s="133">
        <v>0</v>
      </c>
      <c r="U5" s="133">
        <v>1.1396983328780605</v>
      </c>
      <c r="V5" s="133">
        <v>0.5218686704382085</v>
      </c>
      <c r="W5" s="133">
        <v>0.17064800056971768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0.49740778964358251</v>
      </c>
      <c r="D7" s="133">
        <v>3.5777882747319856</v>
      </c>
      <c r="E7" s="133">
        <v>1.5393341720141462</v>
      </c>
      <c r="F7" s="133">
        <v>2.4512145184002572</v>
      </c>
      <c r="G7" s="133">
        <v>1.1025937385126188</v>
      </c>
      <c r="H7" s="133">
        <v>2.5339757022820684</v>
      </c>
      <c r="I7" s="133">
        <v>1.2449526069154337</v>
      </c>
      <c r="J7" s="133">
        <v>0.66938020949804133</v>
      </c>
      <c r="K7" s="133">
        <v>0</v>
      </c>
      <c r="L7" s="133">
        <v>0.64045805065635342</v>
      </c>
      <c r="M7" s="133">
        <v>0.45356288908245063</v>
      </c>
      <c r="N7" s="133">
        <v>0.86117518913114588</v>
      </c>
      <c r="O7" s="133">
        <v>0.24035534478075965</v>
      </c>
      <c r="P7" s="133">
        <v>0.63572894360851828</v>
      </c>
      <c r="Q7" s="133">
        <v>3.3690585082174329</v>
      </c>
      <c r="R7" s="133">
        <v>0.92426819316190056</v>
      </c>
      <c r="S7" s="133">
        <v>0.38860769348770124</v>
      </c>
      <c r="T7" s="133">
        <v>0</v>
      </c>
      <c r="U7" s="133">
        <v>0.1211355033989405</v>
      </c>
      <c r="V7" s="133">
        <v>0.42545229609353702</v>
      </c>
      <c r="W7" s="133">
        <v>0.26307781720373741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3.4593968750448612E-3</v>
      </c>
      <c r="H8" s="133">
        <v>6.0855115734464648E-3</v>
      </c>
      <c r="I8" s="133">
        <v>9.1557027225238063E-3</v>
      </c>
      <c r="J8" s="133">
        <v>1.0051940486550705E-2</v>
      </c>
      <c r="K8" s="133">
        <v>2.7457866001497598E-3</v>
      </c>
      <c r="L8" s="133">
        <v>7.8316581097308147E-3</v>
      </c>
      <c r="M8" s="133">
        <v>1.5018452586988782E-2</v>
      </c>
      <c r="N8" s="133">
        <v>1.2809150043377779E-2</v>
      </c>
      <c r="O8" s="133">
        <v>1.8705065539679749E-2</v>
      </c>
      <c r="P8" s="133">
        <v>6.2783747516469132E-2</v>
      </c>
      <c r="Q8" s="133">
        <v>4.3700121168322524E-2</v>
      </c>
      <c r="R8" s="133">
        <v>1.90135392679225E-2</v>
      </c>
      <c r="S8" s="133">
        <v>1.5192783914451299E-2</v>
      </c>
      <c r="T8" s="133">
        <v>2.1066830386180391E-2</v>
      </c>
      <c r="U8" s="133">
        <v>2.5576008172759183E-2</v>
      </c>
      <c r="V8" s="133">
        <v>2.6341599465544437E-2</v>
      </c>
      <c r="W8" s="133">
        <v>1.8098123787604427E-2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57.656087378504047</v>
      </c>
      <c r="D9" s="133">
        <v>56.984349914495006</v>
      </c>
      <c r="E9" s="133">
        <v>62.784542263100867</v>
      </c>
      <c r="F9" s="133">
        <v>70.300423864220576</v>
      </c>
      <c r="G9" s="133">
        <v>129.81695780792165</v>
      </c>
      <c r="H9" s="133">
        <v>114.24177934424019</v>
      </c>
      <c r="I9" s="133">
        <v>89.174161529935617</v>
      </c>
      <c r="J9" s="133">
        <v>58.054541158062555</v>
      </c>
      <c r="K9" s="133">
        <v>0.20383568904253044</v>
      </c>
      <c r="L9" s="133">
        <v>20.971190239687932</v>
      </c>
      <c r="M9" s="133">
        <v>27.843616234587817</v>
      </c>
      <c r="N9" s="133">
        <v>11.543657568420354</v>
      </c>
      <c r="O9" s="133">
        <v>10.366973510288641</v>
      </c>
      <c r="P9" s="133">
        <v>25.164124293398775</v>
      </c>
      <c r="Q9" s="133">
        <v>37.492701524533892</v>
      </c>
      <c r="R9" s="133">
        <v>21.34041846970025</v>
      </c>
      <c r="S9" s="133">
        <v>31.32359746708585</v>
      </c>
      <c r="T9" s="133">
        <v>21.436927125577078</v>
      </c>
      <c r="U9" s="133">
        <v>22.565657342623545</v>
      </c>
      <c r="V9" s="133">
        <v>16.633381889974149</v>
      </c>
      <c r="W9" s="133">
        <v>11.908684058715018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3.0023449583188406</v>
      </c>
      <c r="D10" s="133">
        <v>2.669273732708437</v>
      </c>
      <c r="E10" s="133">
        <v>3.6294039508492406</v>
      </c>
      <c r="F10" s="133">
        <v>2.903868767173881</v>
      </c>
      <c r="G10" s="133">
        <v>4.8693314039835922</v>
      </c>
      <c r="H10" s="133">
        <v>3.4203619502589384</v>
      </c>
      <c r="I10" s="133">
        <v>3.3729093280900679</v>
      </c>
      <c r="J10" s="133">
        <v>1.7479649498497203</v>
      </c>
      <c r="K10" s="133">
        <v>0.45621288055259712</v>
      </c>
      <c r="L10" s="133">
        <v>2.6022320787168258</v>
      </c>
      <c r="M10" s="133">
        <v>3.1167915054850832</v>
      </c>
      <c r="N10" s="133">
        <v>1.6504037015099877</v>
      </c>
      <c r="O10" s="133">
        <v>1.6442482214829979</v>
      </c>
      <c r="P10" s="133">
        <v>3.2814714681465644</v>
      </c>
      <c r="Q10" s="133">
        <v>3.3816192043280751</v>
      </c>
      <c r="R10" s="133">
        <v>0.72561868121550166</v>
      </c>
      <c r="S10" s="133">
        <v>0.82298221003557126</v>
      </c>
      <c r="T10" s="133">
        <v>1.482994799643204</v>
      </c>
      <c r="U10" s="133">
        <v>1.7447116851160329</v>
      </c>
      <c r="V10" s="133">
        <v>1.4317451430849348</v>
      </c>
      <c r="W10" s="133">
        <v>1.2649100070148254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9.801603999119668E-2</v>
      </c>
      <c r="H16" s="131">
        <f t="shared" si="4"/>
        <v>2.592049767176784E-2</v>
      </c>
      <c r="I16" s="131">
        <f t="shared" si="4"/>
        <v>5.4045463729806807E-2</v>
      </c>
      <c r="J16" s="131">
        <f t="shared" si="4"/>
        <v>9.9055971960684743E-3</v>
      </c>
      <c r="K16" s="131">
        <f t="shared" si="4"/>
        <v>1.2698646618500795E-2</v>
      </c>
      <c r="L16" s="131">
        <f t="shared" si="4"/>
        <v>5.9980409149026481E-3</v>
      </c>
      <c r="M16" s="131">
        <f t="shared" si="4"/>
        <v>1.8558947551660595E-2</v>
      </c>
      <c r="N16" s="131">
        <f t="shared" si="4"/>
        <v>1.1601514267587678E-2</v>
      </c>
      <c r="O16" s="131">
        <f t="shared" si="4"/>
        <v>3.1902251067427202E-2</v>
      </c>
      <c r="P16" s="131">
        <f t="shared" si="4"/>
        <v>0.10613996886851401</v>
      </c>
      <c r="Q16" s="131">
        <f t="shared" si="4"/>
        <v>0.27315013262094384</v>
      </c>
      <c r="R16" s="131">
        <f t="shared" ref="R16:W16" si="5">SUM(R17:R18)</f>
        <v>9.5385091452439272E-2</v>
      </c>
      <c r="S16" s="131">
        <f t="shared" si="5"/>
        <v>0.16049653482889201</v>
      </c>
      <c r="T16" s="131">
        <f t="shared" si="5"/>
        <v>0.14092287651045696</v>
      </c>
      <c r="U16" s="131">
        <f t="shared" si="5"/>
        <v>0.10894389637414457</v>
      </c>
      <c r="V16" s="131">
        <f t="shared" si="5"/>
        <v>0.21001874276465435</v>
      </c>
      <c r="W16" s="131">
        <f t="shared" si="5"/>
        <v>6.9833701367585127E-2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9.801603999119668E-2</v>
      </c>
      <c r="H17" s="133">
        <v>2.592049767176784E-2</v>
      </c>
      <c r="I17" s="133">
        <v>5.4045463729806807E-2</v>
      </c>
      <c r="J17" s="133">
        <v>9.9055971960684743E-3</v>
      </c>
      <c r="K17" s="133">
        <v>1.2698646618500795E-2</v>
      </c>
      <c r="L17" s="133">
        <v>5.9980409149026481E-3</v>
      </c>
      <c r="M17" s="133">
        <v>1.8558947551660595E-2</v>
      </c>
      <c r="N17" s="133">
        <v>1.1601514267587678E-2</v>
      </c>
      <c r="O17" s="133">
        <v>3.1902251067427202E-2</v>
      </c>
      <c r="P17" s="133">
        <v>0.10613996886851401</v>
      </c>
      <c r="Q17" s="133">
        <v>0.27315013262094384</v>
      </c>
      <c r="R17" s="133">
        <v>9.5385091452439272E-2</v>
      </c>
      <c r="S17" s="133">
        <v>0.16049653482889201</v>
      </c>
      <c r="T17" s="133">
        <v>0.14092287651045696</v>
      </c>
      <c r="U17" s="133">
        <v>0.10894389637414457</v>
      </c>
      <c r="V17" s="133">
        <v>0.21001874276465435</v>
      </c>
      <c r="W17" s="133">
        <v>6.9833701367585127E-2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3.6884207701217178</v>
      </c>
      <c r="D19" s="131">
        <f t="shared" si="6"/>
        <v>4.2988599871181501</v>
      </c>
      <c r="E19" s="131">
        <f t="shared" si="6"/>
        <v>5.2406747572294474</v>
      </c>
      <c r="F19" s="131">
        <f t="shared" si="6"/>
        <v>6.2011436719051698</v>
      </c>
      <c r="G19" s="131">
        <f t="shared" si="6"/>
        <v>9.3441095454177905</v>
      </c>
      <c r="H19" s="131">
        <f t="shared" si="6"/>
        <v>10.477907314525032</v>
      </c>
      <c r="I19" s="131">
        <f t="shared" si="6"/>
        <v>11.083355163189912</v>
      </c>
      <c r="J19" s="131">
        <f t="shared" si="6"/>
        <v>7.0528540433416973</v>
      </c>
      <c r="K19" s="131">
        <f t="shared" si="6"/>
        <v>1.3855919347673327</v>
      </c>
      <c r="L19" s="131">
        <f t="shared" si="6"/>
        <v>3.9647004108458703</v>
      </c>
      <c r="M19" s="131">
        <f t="shared" si="6"/>
        <v>4.32931422219374</v>
      </c>
      <c r="N19" s="131">
        <f t="shared" si="6"/>
        <v>1.9791144066200557</v>
      </c>
      <c r="O19" s="131">
        <f t="shared" si="6"/>
        <v>2.0802542495193825</v>
      </c>
      <c r="P19" s="131">
        <f t="shared" si="6"/>
        <v>4.5174501294913991</v>
      </c>
      <c r="Q19" s="131">
        <f t="shared" si="6"/>
        <v>7.6673456062453837</v>
      </c>
      <c r="R19" s="131">
        <f t="shared" ref="R19:W19" si="7">SUM(R20:R27)</f>
        <v>4.4455762854830034</v>
      </c>
      <c r="S19" s="131">
        <f t="shared" si="7"/>
        <v>6.8100288172931416</v>
      </c>
      <c r="T19" s="131">
        <f t="shared" si="7"/>
        <v>4.5501879296505026</v>
      </c>
      <c r="U19" s="131">
        <f t="shared" si="7"/>
        <v>5.519747435623616</v>
      </c>
      <c r="V19" s="131">
        <f t="shared" si="7"/>
        <v>4.2184680976466522</v>
      </c>
      <c r="W19" s="131">
        <f t="shared" si="7"/>
        <v>3.8553339312219608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3.6884207701217178</v>
      </c>
      <c r="D23" s="133">
        <v>4.2988599871181501</v>
      </c>
      <c r="E23" s="133">
        <v>5.2406747572294474</v>
      </c>
      <c r="F23" s="133">
        <v>6.2011436719051698</v>
      </c>
      <c r="G23" s="133">
        <v>9.3441095454177905</v>
      </c>
      <c r="H23" s="133">
        <v>10.477907314525032</v>
      </c>
      <c r="I23" s="133">
        <v>11.083355163189912</v>
      </c>
      <c r="J23" s="133">
        <v>7.0528540433416973</v>
      </c>
      <c r="K23" s="133">
        <v>1.3855919347673327</v>
      </c>
      <c r="L23" s="133">
        <v>3.9647004108458703</v>
      </c>
      <c r="M23" s="133">
        <v>4.32931422219374</v>
      </c>
      <c r="N23" s="133">
        <v>1.9791144066200557</v>
      </c>
      <c r="O23" s="133">
        <v>2.0802542495193825</v>
      </c>
      <c r="P23" s="133">
        <v>4.5174501294913991</v>
      </c>
      <c r="Q23" s="133">
        <v>7.6673456062453837</v>
      </c>
      <c r="R23" s="133">
        <v>4.4455762854830034</v>
      </c>
      <c r="S23" s="133">
        <v>6.8100288172931416</v>
      </c>
      <c r="T23" s="133">
        <v>4.5501879296505026</v>
      </c>
      <c r="U23" s="133">
        <v>5.519747435623616</v>
      </c>
      <c r="V23" s="133">
        <v>4.2184680976466522</v>
      </c>
      <c r="W23" s="133">
        <v>3.8553339312219608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5.9791818515571089</v>
      </c>
      <c r="D29" s="131">
        <f t="shared" si="8"/>
        <v>5.4065065973793729</v>
      </c>
      <c r="E29" s="131">
        <f t="shared" si="8"/>
        <v>6.5769649098932161</v>
      </c>
      <c r="F29" s="131">
        <f t="shared" si="8"/>
        <v>6.9268816304465242</v>
      </c>
      <c r="G29" s="131">
        <f t="shared" si="8"/>
        <v>11.932731253404128</v>
      </c>
      <c r="H29" s="131">
        <f t="shared" si="8"/>
        <v>11.37861229457603</v>
      </c>
      <c r="I29" s="131">
        <f t="shared" si="8"/>
        <v>11.702074799710063</v>
      </c>
      <c r="J29" s="131">
        <f t="shared" si="8"/>
        <v>8.79470218693303</v>
      </c>
      <c r="K29" s="131">
        <f t="shared" si="8"/>
        <v>1.5993663676169594</v>
      </c>
      <c r="L29" s="131">
        <f t="shared" si="8"/>
        <v>6.832251552702485</v>
      </c>
      <c r="M29" s="131">
        <f t="shared" si="8"/>
        <v>5.8737553763394033</v>
      </c>
      <c r="N29" s="131">
        <f t="shared" si="8"/>
        <v>3.4677328695853791</v>
      </c>
      <c r="O29" s="131">
        <f t="shared" si="8"/>
        <v>3.5009279158731488</v>
      </c>
      <c r="P29" s="131">
        <f t="shared" si="8"/>
        <v>6.4894075102501354</v>
      </c>
      <c r="Q29" s="131">
        <f t="shared" si="8"/>
        <v>10.57068353920881</v>
      </c>
      <c r="R29" s="131">
        <f t="shared" ref="R29:W29" si="9">SUM(R30:R33)</f>
        <v>9.7334304236211349</v>
      </c>
      <c r="S29" s="131">
        <f t="shared" si="9"/>
        <v>14.69509469198416</v>
      </c>
      <c r="T29" s="131">
        <f t="shared" si="9"/>
        <v>9.5182943998305696</v>
      </c>
      <c r="U29" s="131">
        <f t="shared" si="9"/>
        <v>9.8399077485280539</v>
      </c>
      <c r="V29" s="131">
        <f t="shared" si="9"/>
        <v>6.7889205965655872</v>
      </c>
      <c r="W29" s="131">
        <f t="shared" si="9"/>
        <v>6.8781810632139564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5.9791818515571089</v>
      </c>
      <c r="D31" s="133">
        <v>5.4065065973793729</v>
      </c>
      <c r="E31" s="133">
        <v>6.5769649098932161</v>
      </c>
      <c r="F31" s="133">
        <v>6.9268816304465242</v>
      </c>
      <c r="G31" s="133">
        <v>11.932731253404128</v>
      </c>
      <c r="H31" s="133">
        <v>11.37861229457603</v>
      </c>
      <c r="I31" s="133">
        <v>11.702074799710063</v>
      </c>
      <c r="J31" s="133">
        <v>8.79470218693303</v>
      </c>
      <c r="K31" s="133">
        <v>1.5993663676169594</v>
      </c>
      <c r="L31" s="133">
        <v>6.832251552702485</v>
      </c>
      <c r="M31" s="133">
        <v>5.8737553763394033</v>
      </c>
      <c r="N31" s="133">
        <v>3.4677328695853791</v>
      </c>
      <c r="O31" s="133">
        <v>3.5009279158731488</v>
      </c>
      <c r="P31" s="133">
        <v>6.4894075102501354</v>
      </c>
      <c r="Q31" s="133">
        <v>10.57068353920881</v>
      </c>
      <c r="R31" s="133">
        <v>9.7334304236211349</v>
      </c>
      <c r="S31" s="133">
        <v>14.69509469198416</v>
      </c>
      <c r="T31" s="133">
        <v>9.5182943998305696</v>
      </c>
      <c r="U31" s="133">
        <v>9.8399077485280539</v>
      </c>
      <c r="V31" s="133">
        <v>6.7889205965655872</v>
      </c>
      <c r="W31" s="133">
        <v>6.8781810632139564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159463.97404754572</v>
      </c>
      <c r="D3" s="126">
        <f>IF(SER_hh_fec_in!D3=0,0,11630*1000*SER_hh_fec_in!D3/SER_hh_num_in!D3)</f>
        <v>152959.85339661772</v>
      </c>
      <c r="E3" s="126">
        <f>IF(SER_hh_fec_in!E3=0,0,11630*1000*SER_hh_fec_in!E3/SER_hh_num_in!E3)</f>
        <v>154145.63755594796</v>
      </c>
      <c r="F3" s="126">
        <f>IF(SER_hh_fec_in!F3=0,0,11630*1000*SER_hh_fec_in!F3/SER_hh_num_in!F3)</f>
        <v>143724.99521119613</v>
      </c>
      <c r="G3" s="126">
        <f>IF(SER_hh_fec_in!G3=0,0,11630*1000*SER_hh_fec_in!G3/SER_hh_num_in!G3)</f>
        <v>127696.82506975884</v>
      </c>
      <c r="H3" s="126">
        <f>IF(SER_hh_fec_in!H3=0,0,11630*1000*SER_hh_fec_in!H3/SER_hh_num_in!H3)</f>
        <v>113351.63723535977</v>
      </c>
      <c r="I3" s="126">
        <f>IF(SER_hh_fec_in!I3=0,0,11630*1000*SER_hh_fec_in!I3/SER_hh_num_in!I3)</f>
        <v>105486.89020822044</v>
      </c>
      <c r="J3" s="126">
        <f>IF(SER_hh_fec_in!J3=0,0,11630*1000*SER_hh_fec_in!J3/SER_hh_num_in!J3)</f>
        <v>107335.18517132483</v>
      </c>
      <c r="K3" s="126">
        <f>IF(SER_hh_fec_in!K3=0,0,11630*1000*SER_hh_fec_in!K3/SER_hh_num_in!K3)</f>
        <v>91334.071614036773</v>
      </c>
      <c r="L3" s="126">
        <f>IF(SER_hh_fec_in!L3=0,0,11630*1000*SER_hh_fec_in!L3/SER_hh_num_in!L3)</f>
        <v>103018.66794454074</v>
      </c>
      <c r="M3" s="126">
        <f>IF(SER_hh_fec_in!M3=0,0,11630*1000*SER_hh_fec_in!M3/SER_hh_num_in!M3)</f>
        <v>95500.23418237819</v>
      </c>
      <c r="N3" s="126">
        <f>IF(SER_hh_fec_in!N3=0,0,11630*1000*SER_hh_fec_in!N3/SER_hh_num_in!N3)</f>
        <v>89525.236413265375</v>
      </c>
      <c r="O3" s="126">
        <f>IF(SER_hh_fec_in!O3=0,0,11630*1000*SER_hh_fec_in!O3/SER_hh_num_in!O3)</f>
        <v>86729.665525075368</v>
      </c>
      <c r="P3" s="126">
        <f>IF(SER_hh_fec_in!P3=0,0,11630*1000*SER_hh_fec_in!P3/SER_hh_num_in!P3)</f>
        <v>78333.08556133564</v>
      </c>
      <c r="Q3" s="126">
        <f>IF(SER_hh_fec_in!Q3=0,0,11630*1000*SER_hh_fec_in!Q3/SER_hh_num_in!Q3)</f>
        <v>76853.981769840088</v>
      </c>
      <c r="R3" s="126">
        <f>IF(SER_hh_fec_in!R3=0,0,11630*1000*SER_hh_fec_in!R3/SER_hh_num_in!R3)</f>
        <v>73547.87943933763</v>
      </c>
      <c r="S3" s="126">
        <f>IF(SER_hh_fec_in!S3=0,0,11630*1000*SER_hh_fec_in!S3/SER_hh_num_in!S3)</f>
        <v>73446.90757684171</v>
      </c>
      <c r="T3" s="126">
        <f>IF(SER_hh_fec_in!T3=0,0,11630*1000*SER_hh_fec_in!T3/SER_hh_num_in!T3)</f>
        <v>66935.893867824823</v>
      </c>
      <c r="U3" s="126">
        <f>IF(SER_hh_fec_in!U3=0,0,11630*1000*SER_hh_fec_in!U3/SER_hh_num_in!U3)</f>
        <v>65051.857518267563</v>
      </c>
      <c r="V3" s="126">
        <f>IF(SER_hh_fec_in!V3=0,0,11630*1000*SER_hh_fec_in!V3/SER_hh_num_in!V3)</f>
        <v>55937.144334087025</v>
      </c>
      <c r="W3" s="126">
        <f>IF(SER_hh_fec_in!W3=0,0,11630*1000*SER_hh_fec_in!W3/SER_hh_num_in!W3)</f>
        <v>51331.167636424012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130247.55635939124</v>
      </c>
      <c r="D4" s="131">
        <f>IF(SER_hh_fec_in!D4=0,0,11630*1000*SER_hh_fec_in!D4/SER_hh_num_in!D4)</f>
        <v>120275.2463125604</v>
      </c>
      <c r="E4" s="131">
        <f>IF(SER_hh_fec_in!E4=0,0,11630*1000*SER_hh_fec_in!E4/SER_hh_num_in!E4)</f>
        <v>126006.31913547058</v>
      </c>
      <c r="F4" s="131">
        <f>IF(SER_hh_fec_in!F4=0,0,11630*1000*SER_hh_fec_in!F4/SER_hh_num_in!F4)</f>
        <v>116502.18955706012</v>
      </c>
      <c r="G4" s="131">
        <f>IF(SER_hh_fec_in!G4=0,0,11630*1000*SER_hh_fec_in!G4/SER_hh_num_in!G4)</f>
        <v>100220.00364418718</v>
      </c>
      <c r="H4" s="131">
        <f>IF(SER_hh_fec_in!H4=0,0,11630*1000*SER_hh_fec_in!H4/SER_hh_num_in!H4)</f>
        <v>85538.835021661769</v>
      </c>
      <c r="I4" s="131">
        <f>IF(SER_hh_fec_in!I4=0,0,11630*1000*SER_hh_fec_in!I4/SER_hh_num_in!I4)</f>
        <v>77095.875190923049</v>
      </c>
      <c r="J4" s="131">
        <f>IF(SER_hh_fec_in!J4=0,0,11630*1000*SER_hh_fec_in!J4/SER_hh_num_in!J4)</f>
        <v>77530.853797273696</v>
      </c>
      <c r="K4" s="131">
        <f>IF(SER_hh_fec_in!K4=0,0,11630*1000*SER_hh_fec_in!K4/SER_hh_num_in!K4)</f>
        <v>60454.028445300042</v>
      </c>
      <c r="L4" s="131">
        <f>IF(SER_hh_fec_in!L4=0,0,11630*1000*SER_hh_fec_in!L4/SER_hh_num_in!L4)</f>
        <v>72124.126643151525</v>
      </c>
      <c r="M4" s="131">
        <f>IF(SER_hh_fec_in!M4=0,0,11630*1000*SER_hh_fec_in!M4/SER_hh_num_in!M4)</f>
        <v>65346.775311166413</v>
      </c>
      <c r="N4" s="131">
        <f>IF(SER_hh_fec_in!N4=0,0,11630*1000*SER_hh_fec_in!N4/SER_hh_num_in!N4)</f>
        <v>59787.677351404636</v>
      </c>
      <c r="O4" s="131">
        <f>IF(SER_hh_fec_in!O4=0,0,11630*1000*SER_hh_fec_in!O4/SER_hh_num_in!O4)</f>
        <v>56886.744639846969</v>
      </c>
      <c r="P4" s="131">
        <f>IF(SER_hh_fec_in!P4=0,0,11630*1000*SER_hh_fec_in!P4/SER_hh_num_in!P4)</f>
        <v>49654.7622388698</v>
      </c>
      <c r="Q4" s="131">
        <f>IF(SER_hh_fec_in!Q4=0,0,11630*1000*SER_hh_fec_in!Q4/SER_hh_num_in!Q4)</f>
        <v>47240.845827098128</v>
      </c>
      <c r="R4" s="131">
        <f>IF(SER_hh_fec_in!R4=0,0,11630*1000*SER_hh_fec_in!R4/SER_hh_num_in!R4)</f>
        <v>44927.012484789906</v>
      </c>
      <c r="S4" s="131">
        <f>IF(SER_hh_fec_in!S4=0,0,11630*1000*SER_hh_fec_in!S4/SER_hh_num_in!S4)</f>
        <v>44288.559367629867</v>
      </c>
      <c r="T4" s="131">
        <f>IF(SER_hh_fec_in!T4=0,0,11630*1000*SER_hh_fec_in!T4/SER_hh_num_in!T4)</f>
        <v>39262.672243506568</v>
      </c>
      <c r="U4" s="131">
        <f>IF(SER_hh_fec_in!U4=0,0,11630*1000*SER_hh_fec_in!U4/SER_hh_num_in!U4)</f>
        <v>37663.346840038161</v>
      </c>
      <c r="V4" s="131">
        <f>IF(SER_hh_fec_in!V4=0,0,11630*1000*SER_hh_fec_in!V4/SER_hh_num_in!V4)</f>
        <v>31756.352929915185</v>
      </c>
      <c r="W4" s="131">
        <f>IF(SER_hh_fec_in!W4=0,0,11630*1000*SER_hh_fec_in!W4/SER_hh_num_in!W4)</f>
        <v>26477.060609591153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169473.37411022634</v>
      </c>
      <c r="F5" s="133">
        <f>IF(SER_hh_fec_in!F5=0,0,11630*1000*SER_hh_fec_in!F5/SER_hh_num_in!F5)</f>
        <v>180997.5754755919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64585.803497652349</v>
      </c>
      <c r="O5" s="133">
        <f>IF(SER_hh_fec_in!O5=0,0,11630*1000*SER_hh_fec_in!O5/SER_hh_num_in!O5)</f>
        <v>67414.635387014278</v>
      </c>
      <c r="P5" s="133">
        <f>IF(SER_hh_fec_in!P5=0,0,11630*1000*SER_hh_fec_in!P5/SER_hh_num_in!P5)</f>
        <v>56385.429877094051</v>
      </c>
      <c r="Q5" s="133">
        <f>IF(SER_hh_fec_in!Q5=0,0,11630*1000*SER_hh_fec_in!Q5/SER_hh_num_in!Q5)</f>
        <v>0</v>
      </c>
      <c r="R5" s="133">
        <f>IF(SER_hh_fec_in!R5=0,0,11630*1000*SER_hh_fec_in!R5/SER_hh_num_in!R5)</f>
        <v>56606.101541709169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44160.854729883336</v>
      </c>
      <c r="V5" s="133">
        <f>IF(SER_hh_fec_in!V5=0,0,11630*1000*SER_hh_fec_in!V5/SER_hh_num_in!V5)</f>
        <v>32353.399223574299</v>
      </c>
      <c r="W5" s="133">
        <f>IF(SER_hh_fec_in!W5=0,0,11630*1000*SER_hh_fec_in!W5/SER_hh_num_in!W5)</f>
        <v>30567.808709767938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71454.801641930419</v>
      </c>
      <c r="D7" s="133">
        <f>IF(SER_hh_fec_in!D7=0,0,11630*1000*SER_hh_fec_in!D7/SER_hh_num_in!D7)</f>
        <v>185046.11183483966</v>
      </c>
      <c r="E7" s="133">
        <f>IF(SER_hh_fec_in!E7=0,0,11630*1000*SER_hh_fec_in!E7/SER_hh_num_in!E7)</f>
        <v>143399.54882047244</v>
      </c>
      <c r="F7" s="133">
        <f>IF(SER_hh_fec_in!F7=0,0,11630*1000*SER_hh_fec_in!F7/SER_hh_num_in!F7)</f>
        <v>152602.21576914826</v>
      </c>
      <c r="G7" s="133">
        <f>IF(SER_hh_fec_in!G7=0,0,11630*1000*SER_hh_fec_in!G7/SER_hh_num_in!G7)</f>
        <v>102874.75975827524</v>
      </c>
      <c r="H7" s="133">
        <f>IF(SER_hh_fec_in!H7=0,0,11630*1000*SER_hh_fec_in!H7/SER_hh_num_in!H7)</f>
        <v>108673.95489064822</v>
      </c>
      <c r="I7" s="133">
        <f>IF(SER_hh_fec_in!I7=0,0,11630*1000*SER_hh_fec_in!I7/SER_hh_num_in!I7)</f>
        <v>99915.580102289474</v>
      </c>
      <c r="J7" s="133">
        <f>IF(SER_hh_fec_in!J7=0,0,11630*1000*SER_hh_fec_in!J7/SER_hh_num_in!J7)</f>
        <v>100447.18229097279</v>
      </c>
      <c r="K7" s="133">
        <f>IF(SER_hh_fec_in!K7=0,0,11630*1000*SER_hh_fec_in!K7/SER_hh_num_in!K7)</f>
        <v>0</v>
      </c>
      <c r="L7" s="133">
        <f>IF(SER_hh_fec_in!L7=0,0,11630*1000*SER_hh_fec_in!L7/SER_hh_num_in!L7)</f>
        <v>93292.77345984662</v>
      </c>
      <c r="M7" s="133">
        <f>IF(SER_hh_fec_in!M7=0,0,11630*1000*SER_hh_fec_in!M7/SER_hh_num_in!M7)</f>
        <v>65630.65545858418</v>
      </c>
      <c r="N7" s="133">
        <f>IF(SER_hh_fec_in!N7=0,0,11630*1000*SER_hh_fec_in!N7/SER_hh_num_in!N7)</f>
        <v>90934.826356600184</v>
      </c>
      <c r="O7" s="133">
        <f>IF(SER_hh_fec_in!O7=0,0,11630*1000*SER_hh_fec_in!O7/SER_hh_num_in!O7)</f>
        <v>63553.779112285163</v>
      </c>
      <c r="P7" s="133">
        <f>IF(SER_hh_fec_in!P7=0,0,11630*1000*SER_hh_fec_in!P7/SER_hh_num_in!P7)</f>
        <v>37878.708618919125</v>
      </c>
      <c r="Q7" s="133">
        <f>IF(SER_hh_fec_in!Q7=0,0,11630*1000*SER_hh_fec_in!Q7/SER_hh_num_in!Q7)</f>
        <v>63659.240325388389</v>
      </c>
      <c r="R7" s="133">
        <f>IF(SER_hh_fec_in!R7=0,0,11630*1000*SER_hh_fec_in!R7/SER_hh_num_in!R7)</f>
        <v>56018.425103061243</v>
      </c>
      <c r="S7" s="133">
        <f>IF(SER_hh_fec_in!S7=0,0,11630*1000*SER_hh_fec_in!S7/SER_hh_num_in!S7)</f>
        <v>54862.720601222172</v>
      </c>
      <c r="T7" s="133">
        <f>IF(SER_hh_fec_in!T7=0,0,11630*1000*SER_hh_fec_in!T7/SER_hh_num_in!T7)</f>
        <v>0</v>
      </c>
      <c r="U7" s="133">
        <f>IF(SER_hh_fec_in!U7=0,0,11630*1000*SER_hh_fec_in!U7/SER_hh_num_in!U7)</f>
        <v>34231.263539261781</v>
      </c>
      <c r="V7" s="133">
        <f>IF(SER_hh_fec_in!V7=0,0,11630*1000*SER_hh_fec_in!V7/SER_hh_num_in!V7)</f>
        <v>35452.793416082146</v>
      </c>
      <c r="W7" s="133">
        <f>IF(SER_hh_fec_in!W7=0,0,11630*1000*SER_hh_fec_in!W7/SER_hh_num_in!W7)</f>
        <v>39066.46919283516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17821.254224219258</v>
      </c>
      <c r="H8" s="133">
        <f>IF(SER_hh_fec_in!H8=0,0,11630*1000*SER_hh_fec_in!H8/SER_hh_num_in!H8)</f>
        <v>19697.195407858671</v>
      </c>
      <c r="I8" s="133">
        <f>IF(SER_hh_fec_in!I8=0,0,11630*1000*SER_hh_fec_in!I8/SER_hh_num_in!I8)</f>
        <v>20921.531450021979</v>
      </c>
      <c r="J8" s="133">
        <f>IF(SER_hh_fec_in!J8=0,0,11630*1000*SER_hh_fec_in!J8/SER_hh_num_in!J8)</f>
        <v>22115.05083298391</v>
      </c>
      <c r="K8" s="133">
        <f>IF(SER_hh_fec_in!K8=0,0,11630*1000*SER_hh_fec_in!K8/SER_hh_num_in!K8)</f>
        <v>19363.938184927872</v>
      </c>
      <c r="L8" s="133">
        <f>IF(SER_hh_fec_in!L8=0,0,11630*1000*SER_hh_fec_in!L8/SER_hh_num_in!L8)</f>
        <v>15877.401508634979</v>
      </c>
      <c r="M8" s="133">
        <f>IF(SER_hh_fec_in!M8=0,0,11630*1000*SER_hh_fec_in!M8/SER_hh_num_in!M8)</f>
        <v>13984.086265184444</v>
      </c>
      <c r="N8" s="133">
        <f>IF(SER_hh_fec_in!N8=0,0,11630*1000*SER_hh_fec_in!N8/SER_hh_num_in!N8)</f>
        <v>11525.292672812933</v>
      </c>
      <c r="O8" s="133">
        <f>IF(SER_hh_fec_in!O8=0,0,11630*1000*SER_hh_fec_in!O8/SER_hh_num_in!O8)</f>
        <v>11961.268770638921</v>
      </c>
      <c r="P8" s="133">
        <f>IF(SER_hh_fec_in!P8=0,0,11630*1000*SER_hh_fec_in!P8/SER_hh_num_in!P8)</f>
        <v>12406.994683892292</v>
      </c>
      <c r="Q8" s="133">
        <f>IF(SER_hh_fec_in!Q8=0,0,11630*1000*SER_hh_fec_in!Q8/SER_hh_num_in!Q8)</f>
        <v>10857.540035712622</v>
      </c>
      <c r="R8" s="133">
        <f>IF(SER_hh_fec_in!R8=0,0,11630*1000*SER_hh_fec_in!R8/SER_hh_num_in!R8)</f>
        <v>10040.55132568843</v>
      </c>
      <c r="S8" s="133">
        <f>IF(SER_hh_fec_in!S8=0,0,11630*1000*SER_hh_fec_in!S8/SER_hh_num_in!S8)</f>
        <v>9256.3547697138092</v>
      </c>
      <c r="T8" s="133">
        <f>IF(SER_hh_fec_in!T8=0,0,11630*1000*SER_hh_fec_in!T8/SER_hh_num_in!T8)</f>
        <v>8506.8337175366159</v>
      </c>
      <c r="U8" s="133">
        <f>IF(SER_hh_fec_in!U8=0,0,11630*1000*SER_hh_fec_in!U8/SER_hh_num_in!U8)</f>
        <v>8045.1053790837768</v>
      </c>
      <c r="V8" s="133">
        <f>IF(SER_hh_fec_in!V8=0,0,11630*1000*SER_hh_fec_in!V8/SER_hh_num_in!V8)</f>
        <v>7105.8767089252578</v>
      </c>
      <c r="W8" s="133">
        <f>IF(SER_hh_fec_in!W8=0,0,11630*1000*SER_hh_fec_in!W8/SER_hh_num_in!W8)</f>
        <v>6138.6785282788987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149614.87665177969</v>
      </c>
      <c r="D9" s="133">
        <f>IF(SER_hh_fec_in!D9=0,0,11630*1000*SER_hh_fec_in!D9/SER_hh_num_in!D9)</f>
        <v>129368.28426306981</v>
      </c>
      <c r="E9" s="133">
        <f>IF(SER_hh_fec_in!E9=0,0,11630*1000*SER_hh_fec_in!E9/SER_hh_num_in!E9)</f>
        <v>125718.58949788088</v>
      </c>
      <c r="F9" s="133">
        <f>IF(SER_hh_fec_in!F9=0,0,11630*1000*SER_hh_fec_in!F9/SER_hh_num_in!F9)</f>
        <v>113858.63066041088</v>
      </c>
      <c r="G9" s="133">
        <f>IF(SER_hh_fec_in!G9=0,0,11630*1000*SER_hh_fec_in!G9/SER_hh_num_in!G9)</f>
        <v>105328.74511241524</v>
      </c>
      <c r="H9" s="133">
        <f>IF(SER_hh_fec_in!H9=0,0,11630*1000*SER_hh_fec_in!H9/SER_hh_num_in!H9)</f>
        <v>90407.944040845992</v>
      </c>
      <c r="I9" s="133">
        <f>IF(SER_hh_fec_in!I9=0,0,11630*1000*SER_hh_fec_in!I9/SER_hh_num_in!I9)</f>
        <v>80228.57701457174</v>
      </c>
      <c r="J9" s="133">
        <f>IF(SER_hh_fec_in!J9=0,0,11630*1000*SER_hh_fec_in!J9/SER_hh_num_in!J9)</f>
        <v>84731.047139915579</v>
      </c>
      <c r="K9" s="133">
        <f>IF(SER_hh_fec_in!K9=0,0,11630*1000*SER_hh_fec_in!K9/SER_hh_num_in!K9)</f>
        <v>74369.757037701143</v>
      </c>
      <c r="L9" s="133">
        <f>IF(SER_hh_fec_in!L9=0,0,11630*1000*SER_hh_fec_in!L9/SER_hh_num_in!L9)</f>
        <v>77409.022048824816</v>
      </c>
      <c r="M9" s="133">
        <f>IF(SER_hh_fec_in!M9=0,0,11630*1000*SER_hh_fec_in!M9/SER_hh_num_in!M9)</f>
        <v>71649.49315968169</v>
      </c>
      <c r="N9" s="133">
        <f>IF(SER_hh_fec_in!N9=0,0,11630*1000*SER_hh_fec_in!N9/SER_hh_num_in!N9)</f>
        <v>64235.567940771332</v>
      </c>
      <c r="O9" s="133">
        <f>IF(SER_hh_fec_in!O9=0,0,11630*1000*SER_hh_fec_in!O9/SER_hh_num_in!O9)</f>
        <v>58385.917596847641</v>
      </c>
      <c r="P9" s="133">
        <f>IF(SER_hh_fec_in!P9=0,0,11630*1000*SER_hh_fec_in!P9/SER_hh_num_in!P9)</f>
        <v>52618.930655483768</v>
      </c>
      <c r="Q9" s="133">
        <f>IF(SER_hh_fec_in!Q9=0,0,11630*1000*SER_hh_fec_in!Q9/SER_hh_num_in!Q9)</f>
        <v>48801.37779056943</v>
      </c>
      <c r="R9" s="133">
        <f>IF(SER_hh_fec_in!R9=0,0,11630*1000*SER_hh_fec_in!R9/SER_hh_num_in!R9)</f>
        <v>47213.320599899162</v>
      </c>
      <c r="S9" s="133">
        <f>IF(SER_hh_fec_in!S9=0,0,11630*1000*SER_hh_fec_in!S9/SER_hh_num_in!S9)</f>
        <v>47498.852169565325</v>
      </c>
      <c r="T9" s="133">
        <f>IF(SER_hh_fec_in!T9=0,0,11630*1000*SER_hh_fec_in!T9/SER_hh_num_in!T9)</f>
        <v>41037.877902787812</v>
      </c>
      <c r="U9" s="133">
        <f>IF(SER_hh_fec_in!U9=0,0,11630*1000*SER_hh_fec_in!U9/SER_hh_num_in!U9)</f>
        <v>40501.205462324135</v>
      </c>
      <c r="V9" s="133">
        <f>IF(SER_hh_fec_in!V9=0,0,11630*1000*SER_hh_fec_in!V9/SER_hh_num_in!V9)</f>
        <v>34524.900760475954</v>
      </c>
      <c r="W9" s="133">
        <f>IF(SER_hh_fec_in!W9=0,0,11630*1000*SER_hh_fec_in!W9/SER_hh_num_in!W9)</f>
        <v>27750.042013263104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167881.06895340467</v>
      </c>
      <c r="D10" s="133">
        <f>IF(SER_hh_fec_in!D10=0,0,11630*1000*SER_hh_fec_in!D10/SER_hh_num_in!D10)</f>
        <v>132718.90535500433</v>
      </c>
      <c r="E10" s="133">
        <f>IF(SER_hh_fec_in!E10=0,0,11630*1000*SER_hh_fec_in!E10/SER_hh_num_in!E10)</f>
        <v>147544.43799096154</v>
      </c>
      <c r="F10" s="133">
        <f>IF(SER_hh_fec_in!F10=0,0,11630*1000*SER_hh_fec_in!F10/SER_hh_num_in!F10)</f>
        <v>135303.59168713004</v>
      </c>
      <c r="G10" s="133">
        <f>IF(SER_hh_fec_in!G10=0,0,11630*1000*SER_hh_fec_in!G10/SER_hh_num_in!G10)</f>
        <v>121820.31110338833</v>
      </c>
      <c r="H10" s="133">
        <f>IF(SER_hh_fec_in!H10=0,0,11630*1000*SER_hh_fec_in!H10/SER_hh_num_in!H10)</f>
        <v>94879.609418560169</v>
      </c>
      <c r="I10" s="133">
        <f>IF(SER_hh_fec_in!I10=0,0,11630*1000*SER_hh_fec_in!I10/SER_hh_num_in!I10)</f>
        <v>121181.53287966257</v>
      </c>
      <c r="J10" s="133">
        <f>IF(SER_hh_fec_in!J10=0,0,11630*1000*SER_hh_fec_in!J10/SER_hh_num_in!J10)</f>
        <v>92509.193569750263</v>
      </c>
      <c r="K10" s="133">
        <f>IF(SER_hh_fec_in!K10=0,0,11630*1000*SER_hh_fec_in!K10/SER_hh_num_in!K10)</f>
        <v>77967.515153884422</v>
      </c>
      <c r="L10" s="133">
        <f>IF(SER_hh_fec_in!L10=0,0,11630*1000*SER_hh_fec_in!L10/SER_hh_num_in!L10)</f>
        <v>98276.388957586707</v>
      </c>
      <c r="M10" s="133">
        <f>IF(SER_hh_fec_in!M10=0,0,11630*1000*SER_hh_fec_in!M10/SER_hh_num_in!M10)</f>
        <v>88820.932539767702</v>
      </c>
      <c r="N10" s="133">
        <f>IF(SER_hh_fec_in!N10=0,0,11630*1000*SER_hh_fec_in!N10/SER_hh_num_in!N10)</f>
        <v>80385.469202451219</v>
      </c>
      <c r="O10" s="133">
        <f>IF(SER_hh_fec_in!O10=0,0,11630*1000*SER_hh_fec_in!O10/SER_hh_num_in!O10)</f>
        <v>78170.216891484466</v>
      </c>
      <c r="P10" s="133">
        <f>IF(SER_hh_fec_in!P10=0,0,11630*1000*SER_hh_fec_in!P10/SER_hh_num_in!P10)</f>
        <v>69526.378302856334</v>
      </c>
      <c r="Q10" s="133">
        <f>IF(SER_hh_fec_in!Q10=0,0,11630*1000*SER_hh_fec_in!Q10/SER_hh_num_in!Q10)</f>
        <v>72003.545759271845</v>
      </c>
      <c r="R10" s="133">
        <f>IF(SER_hh_fec_in!R10=0,0,11630*1000*SER_hh_fec_in!R10/SER_hh_num_in!R10)</f>
        <v>65835.728765594191</v>
      </c>
      <c r="S10" s="133">
        <f>IF(SER_hh_fec_in!S10=0,0,11630*1000*SER_hh_fec_in!S10/SER_hh_num_in!S10)</f>
        <v>60681.585477571505</v>
      </c>
      <c r="T10" s="133">
        <f>IF(SER_hh_fec_in!T10=0,0,11630*1000*SER_hh_fec_in!T10/SER_hh_num_in!T10)</f>
        <v>58792.597462400692</v>
      </c>
      <c r="U10" s="133">
        <f>IF(SER_hh_fec_in!U10=0,0,11630*1000*SER_hh_fec_in!U10/SER_hh_num_in!U10)</f>
        <v>55881.159545102055</v>
      </c>
      <c r="V10" s="133">
        <f>IF(SER_hh_fec_in!V10=0,0,11630*1000*SER_hh_fec_in!V10/SER_hh_num_in!V10)</f>
        <v>47555.658420095206</v>
      </c>
      <c r="W10" s="133">
        <f>IF(SER_hh_fec_in!W10=0,0,11630*1000*SER_hh_fec_in!W10/SER_hh_num_in!W10)</f>
        <v>40845.530616201628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105967.30324467215</v>
      </c>
      <c r="D12" s="133">
        <f>IF(SER_hh_fec_in!D12=0,0,11630*1000*SER_hh_fec_in!D12/SER_hh_num_in!D12)</f>
        <v>96447.395792527692</v>
      </c>
      <c r="E12" s="133">
        <f>IF(SER_hh_fec_in!E12=0,0,11630*1000*SER_hh_fec_in!E12/SER_hh_num_in!E12)</f>
        <v>94167.898064717199</v>
      </c>
      <c r="F12" s="133">
        <f>IF(SER_hh_fec_in!F12=0,0,11630*1000*SER_hh_fec_in!F12/SER_hh_num_in!F12)</f>
        <v>93147.604579524879</v>
      </c>
      <c r="G12" s="133">
        <f>IF(SER_hh_fec_in!G12=0,0,11630*1000*SER_hh_fec_in!G12/SER_hh_num_in!G12)</f>
        <v>88768.840985973322</v>
      </c>
      <c r="H12" s="133">
        <f>IF(SER_hh_fec_in!H12=0,0,11630*1000*SER_hh_fec_in!H12/SER_hh_num_in!H12)</f>
        <v>69825.854982170655</v>
      </c>
      <c r="I12" s="133">
        <f>IF(SER_hh_fec_in!I12=0,0,11630*1000*SER_hh_fec_in!I12/SER_hh_num_in!I12)</f>
        <v>62703.776601731515</v>
      </c>
      <c r="J12" s="133">
        <f>IF(SER_hh_fec_in!J12=0,0,11630*1000*SER_hh_fec_in!J12/SER_hh_num_in!J12)</f>
        <v>62664.066598884361</v>
      </c>
      <c r="K12" s="133">
        <f>IF(SER_hh_fec_in!K12=0,0,11630*1000*SER_hh_fec_in!K12/SER_hh_num_in!K12)</f>
        <v>56421.674075332005</v>
      </c>
      <c r="L12" s="133">
        <f>IF(SER_hh_fec_in!L12=0,0,11630*1000*SER_hh_fec_in!L12/SER_hh_num_in!L12)</f>
        <v>68017.197809703299</v>
      </c>
      <c r="M12" s="133">
        <f>IF(SER_hh_fec_in!M12=0,0,11630*1000*SER_hh_fec_in!M12/SER_hh_num_in!M12)</f>
        <v>59396.579864467065</v>
      </c>
      <c r="N12" s="133">
        <f>IF(SER_hh_fec_in!N12=0,0,11630*1000*SER_hh_fec_in!N12/SER_hh_num_in!N12)</f>
        <v>54578.143619627524</v>
      </c>
      <c r="O12" s="133">
        <f>IF(SER_hh_fec_in!O12=0,0,11630*1000*SER_hh_fec_in!O12/SER_hh_num_in!O12)</f>
        <v>50121.454802874781</v>
      </c>
      <c r="P12" s="133">
        <f>IF(SER_hh_fec_in!P12=0,0,11630*1000*SER_hh_fec_in!P12/SER_hh_num_in!P12)</f>
        <v>44752.203923282643</v>
      </c>
      <c r="Q12" s="133">
        <f>IF(SER_hh_fec_in!Q12=0,0,11630*1000*SER_hh_fec_in!Q12/SER_hh_num_in!Q12)</f>
        <v>43035.504647259389</v>
      </c>
      <c r="R12" s="133">
        <f>IF(SER_hh_fec_in!R12=0,0,11630*1000*SER_hh_fec_in!R12/SER_hh_num_in!R12)</f>
        <v>42294.891548389154</v>
      </c>
      <c r="S12" s="133">
        <f>IF(SER_hh_fec_in!S12=0,0,11630*1000*SER_hh_fec_in!S12/SER_hh_num_in!S12)</f>
        <v>40531.553275704551</v>
      </c>
      <c r="T12" s="133">
        <f>IF(SER_hh_fec_in!T12=0,0,11630*1000*SER_hh_fec_in!T12/SER_hh_num_in!T12)</f>
        <v>38135.889471343449</v>
      </c>
      <c r="U12" s="133">
        <f>IF(SER_hh_fec_in!U12=0,0,11630*1000*SER_hh_fec_in!U12/SER_hh_num_in!U12)</f>
        <v>34150.151651669927</v>
      </c>
      <c r="V12" s="133">
        <f>IF(SER_hh_fec_in!V12=0,0,11630*1000*SER_hh_fec_in!V12/SER_hh_num_in!V12)</f>
        <v>29719.074927455069</v>
      </c>
      <c r="W12" s="133">
        <f>IF(SER_hh_fec_in!W12=0,0,11630*1000*SER_hh_fec_in!W12/SER_hh_num_in!W12)</f>
        <v>25891.077137506949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52147.649981917166</v>
      </c>
      <c r="D13" s="133">
        <f>IF(SER_hh_fec_in!D13=0,0,11630*1000*SER_hh_fec_in!D13/SER_hh_num_in!D13)</f>
        <v>53074.139696564154</v>
      </c>
      <c r="E13" s="133">
        <f>IF(SER_hh_fec_in!E13=0,0,11630*1000*SER_hh_fec_in!E13/SER_hh_num_in!E13)</f>
        <v>47928.936546565703</v>
      </c>
      <c r="F13" s="133">
        <f>IF(SER_hh_fec_in!F13=0,0,11630*1000*SER_hh_fec_in!F13/SER_hh_num_in!F13)</f>
        <v>40553.600232906836</v>
      </c>
      <c r="G13" s="133">
        <f>IF(SER_hh_fec_in!G13=0,0,11630*1000*SER_hh_fec_in!G13/SER_hh_num_in!G13)</f>
        <v>31702.716555800995</v>
      </c>
      <c r="H13" s="133">
        <f>IF(SER_hh_fec_in!H13=0,0,11630*1000*SER_hh_fec_in!H13/SER_hh_num_in!H13)</f>
        <v>28019.860397416272</v>
      </c>
      <c r="I13" s="133">
        <f>IF(SER_hh_fec_in!I13=0,0,11630*1000*SER_hh_fec_in!I13/SER_hh_num_in!I13)</f>
        <v>24818.142635380376</v>
      </c>
      <c r="J13" s="133">
        <f>IF(SER_hh_fec_in!J13=0,0,11630*1000*SER_hh_fec_in!J13/SER_hh_num_in!J13)</f>
        <v>22492.317573212466</v>
      </c>
      <c r="K13" s="133">
        <f>IF(SER_hh_fec_in!K13=0,0,11630*1000*SER_hh_fec_in!K13/SER_hh_num_in!K13)</f>
        <v>20452.165597754811</v>
      </c>
      <c r="L13" s="133">
        <f>IF(SER_hh_fec_in!L13=0,0,11630*1000*SER_hh_fec_in!L13/SER_hh_num_in!L13)</f>
        <v>19302.872924881969</v>
      </c>
      <c r="M13" s="133">
        <f>IF(SER_hh_fec_in!M13=0,0,11630*1000*SER_hh_fec_in!M13/SER_hh_num_in!M13)</f>
        <v>17228.786724613386</v>
      </c>
      <c r="N13" s="133">
        <f>IF(SER_hh_fec_in!N13=0,0,11630*1000*SER_hh_fec_in!N13/SER_hh_num_in!N13)</f>
        <v>15225.628544714189</v>
      </c>
      <c r="O13" s="133">
        <f>IF(SER_hh_fec_in!O13=0,0,11630*1000*SER_hh_fec_in!O13/SER_hh_num_in!O13)</f>
        <v>13141.111956273289</v>
      </c>
      <c r="P13" s="133">
        <f>IF(SER_hh_fec_in!P13=0,0,11630*1000*SER_hh_fec_in!P13/SER_hh_num_in!P13)</f>
        <v>11362.427413300085</v>
      </c>
      <c r="Q13" s="133">
        <f>IF(SER_hh_fec_in!Q13=0,0,11630*1000*SER_hh_fec_in!Q13/SER_hh_num_in!Q13)</f>
        <v>10393.432349256582</v>
      </c>
      <c r="R13" s="133">
        <f>IF(SER_hh_fec_in!R13=0,0,11630*1000*SER_hh_fec_in!R13/SER_hh_num_in!R13)</f>
        <v>9952.8930168283496</v>
      </c>
      <c r="S13" s="133">
        <f>IF(SER_hh_fec_in!S13=0,0,11630*1000*SER_hh_fec_in!S13/SER_hh_num_in!S13)</f>
        <v>9582.0976663457041</v>
      </c>
      <c r="T13" s="133">
        <f>IF(SER_hh_fec_in!T13=0,0,11630*1000*SER_hh_fec_in!T13/SER_hh_num_in!T13)</f>
        <v>8965.0686365796246</v>
      </c>
      <c r="U13" s="133">
        <f>IF(SER_hh_fec_in!U13=0,0,11630*1000*SER_hh_fec_in!U13/SER_hh_num_in!U13)</f>
        <v>8299.022880057335</v>
      </c>
      <c r="V13" s="133">
        <f>IF(SER_hh_fec_in!V13=0,0,11630*1000*SER_hh_fec_in!V13/SER_hh_num_in!V13)</f>
        <v>7420.3747929431911</v>
      </c>
      <c r="W13" s="133">
        <f>IF(SER_hh_fec_in!W13=0,0,11630*1000*SER_hh_fec_in!W13/SER_hh_num_in!W13)</f>
        <v>6404.8270030264748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116281.04985570973</v>
      </c>
      <c r="D14" s="65">
        <f>IF(SER_hh_fec_in!D14=0,0,11630*1000*SER_hh_fec_in!D14/SER_hh_num_in!D14)</f>
        <v>106240.83328044954</v>
      </c>
      <c r="E14" s="65">
        <f>IF(SER_hh_fec_in!E14=0,0,11630*1000*SER_hh_fec_in!E14/SER_hh_num_in!E14)</f>
        <v>126278.06666493496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82938.928071915288</v>
      </c>
      <c r="H14" s="65">
        <f>IF(SER_hh_fec_in!H14=0,0,11630*1000*SER_hh_fec_in!H14/SER_hh_num_in!H14)</f>
        <v>78673.539056950132</v>
      </c>
      <c r="I14" s="65">
        <f>IF(SER_hh_fec_in!I14=0,0,11630*1000*SER_hh_fec_in!I14/SER_hh_num_in!I14)</f>
        <v>72055.274997632805</v>
      </c>
      <c r="J14" s="65">
        <f>IF(SER_hh_fec_in!J14=0,0,11630*1000*SER_hh_fec_in!J14/SER_hh_num_in!J14)</f>
        <v>72967.315472431932</v>
      </c>
      <c r="K14" s="65">
        <f>IF(SER_hh_fec_in!K14=0,0,11630*1000*SER_hh_fec_in!K14/SER_hh_num_in!K14)</f>
        <v>66791.781135002166</v>
      </c>
      <c r="L14" s="65">
        <f>IF(SER_hh_fec_in!L14=0,0,11630*1000*SER_hh_fec_in!L14/SER_hh_num_in!L14)</f>
        <v>70994.54098110208</v>
      </c>
      <c r="M14" s="65">
        <f>IF(SER_hh_fec_in!M14=0,0,11630*1000*SER_hh_fec_in!M14/SER_hh_num_in!M14)</f>
        <v>61469.009186912139</v>
      </c>
      <c r="N14" s="65">
        <f>IF(SER_hh_fec_in!N14=0,0,11630*1000*SER_hh_fec_in!N14/SER_hh_num_in!N14)</f>
        <v>57207.715011640539</v>
      </c>
      <c r="O14" s="65">
        <f>IF(SER_hh_fec_in!O14=0,0,11630*1000*SER_hh_fec_in!O14/SER_hh_num_in!O14)</f>
        <v>57015.755408157027</v>
      </c>
      <c r="P14" s="65">
        <f>IF(SER_hh_fec_in!P14=0,0,11630*1000*SER_hh_fec_in!P14/SER_hh_num_in!P14)</f>
        <v>47911.504991117275</v>
      </c>
      <c r="Q14" s="65">
        <f>IF(SER_hh_fec_in!Q14=0,0,11630*1000*SER_hh_fec_in!Q14/SER_hh_num_in!Q14)</f>
        <v>43762.037264569342</v>
      </c>
      <c r="R14" s="65">
        <f>IF(SER_hh_fec_in!R14=0,0,11630*1000*SER_hh_fec_in!R14/SER_hh_num_in!R14)</f>
        <v>44580.441295064273</v>
      </c>
      <c r="S14" s="65">
        <f>IF(SER_hh_fec_in!S14=0,0,11630*1000*SER_hh_fec_in!S14/SER_hh_num_in!S14)</f>
        <v>42736.257291747228</v>
      </c>
      <c r="T14" s="65">
        <f>IF(SER_hh_fec_in!T14=0,0,11630*1000*SER_hh_fec_in!T14/SER_hh_num_in!T14)</f>
        <v>39081.269937854566</v>
      </c>
      <c r="U14" s="65">
        <f>IF(SER_hh_fec_in!U14=0,0,11630*1000*SER_hh_fec_in!U14/SER_hh_num_in!U14)</f>
        <v>36928.216738084127</v>
      </c>
      <c r="V14" s="65">
        <f>IF(SER_hh_fec_in!V14=0,0,11630*1000*SER_hh_fec_in!V14/SER_hh_num_in!V14)</f>
        <v>31030.32096525564</v>
      </c>
      <c r="W14" s="65">
        <f>IF(SER_hh_fec_in!W14=0,0,11630*1000*SER_hh_fec_in!W14/SER_hh_num_in!W14)</f>
        <v>25711.650370964649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1167.2172723233468</v>
      </c>
      <c r="D15" s="135">
        <f>IF(SER_hh_fec_in!D15=0,0,11630*1000*SER_hh_fec_in!D15/SER_hh_num_in!D15)</f>
        <v>1142.7820974633187</v>
      </c>
      <c r="E15" s="135">
        <f>IF(SER_hh_fec_in!E15=0,0,11630*1000*SER_hh_fec_in!E15/SER_hh_num_in!E15)</f>
        <v>1025.6065783793317</v>
      </c>
      <c r="F15" s="135">
        <f>IF(SER_hh_fec_in!F15=0,0,11630*1000*SER_hh_fec_in!F15/SER_hh_num_in!F15)</f>
        <v>919.42773526718986</v>
      </c>
      <c r="G15" s="135">
        <f>IF(SER_hh_fec_in!G15=0,0,11630*1000*SER_hh_fec_in!G15/SER_hh_num_in!G15)</f>
        <v>939.25693012312661</v>
      </c>
      <c r="H15" s="135">
        <f>IF(SER_hh_fec_in!H15=0,0,11630*1000*SER_hh_fec_in!H15/SER_hh_num_in!H15)</f>
        <v>851.57018624286241</v>
      </c>
      <c r="I15" s="135">
        <f>IF(SER_hh_fec_in!I15=0,0,11630*1000*SER_hh_fec_in!I15/SER_hh_num_in!I15)</f>
        <v>777.80859348936178</v>
      </c>
      <c r="J15" s="135">
        <f>IF(SER_hh_fec_in!J15=0,0,11630*1000*SER_hh_fec_in!J15/SER_hh_num_in!J15)</f>
        <v>737.20891350952854</v>
      </c>
      <c r="K15" s="135">
        <f>IF(SER_hh_fec_in!K15=0,0,11630*1000*SER_hh_fec_in!K15/SER_hh_num_in!K15)</f>
        <v>212.06562202725576</v>
      </c>
      <c r="L15" s="135">
        <f>IF(SER_hh_fec_in!L15=0,0,11630*1000*SER_hh_fec_in!L15/SER_hh_num_in!L15)</f>
        <v>469.86406964105674</v>
      </c>
      <c r="M15" s="135">
        <f>IF(SER_hh_fec_in!M15=0,0,11630*1000*SER_hh_fec_in!M15/SER_hh_num_in!M15)</f>
        <v>496.62973475622141</v>
      </c>
      <c r="N15" s="135">
        <f>IF(SER_hh_fec_in!N15=0,0,11630*1000*SER_hh_fec_in!N15/SER_hh_num_in!N15)</f>
        <v>438.91191705924717</v>
      </c>
      <c r="O15" s="135">
        <f>IF(SER_hh_fec_in!O15=0,0,11630*1000*SER_hh_fec_in!O15/SER_hh_num_in!O15)</f>
        <v>433.47549705867385</v>
      </c>
      <c r="P15" s="135">
        <f>IF(SER_hh_fec_in!P15=0,0,11630*1000*SER_hh_fec_in!P15/SER_hh_num_in!P15)</f>
        <v>451.27928820195365</v>
      </c>
      <c r="Q15" s="135">
        <f>IF(SER_hh_fec_in!Q15=0,0,11630*1000*SER_hh_fec_in!Q15/SER_hh_num_in!Q15)</f>
        <v>451.54208072361149</v>
      </c>
      <c r="R15" s="135">
        <f>IF(SER_hh_fec_in!R15=0,0,11630*1000*SER_hh_fec_in!R15/SER_hh_num_in!R15)</f>
        <v>407.1161623765928</v>
      </c>
      <c r="S15" s="135">
        <f>IF(SER_hh_fec_in!S15=0,0,11630*1000*SER_hh_fec_in!S15/SER_hh_num_in!S15)</f>
        <v>433.99054476940404</v>
      </c>
      <c r="T15" s="135">
        <f>IF(SER_hh_fec_in!T15=0,0,11630*1000*SER_hh_fec_in!T15/SER_hh_num_in!T15)</f>
        <v>357.30267671803171</v>
      </c>
      <c r="U15" s="135">
        <f>IF(SER_hh_fec_in!U15=0,0,11630*1000*SER_hh_fec_in!U15/SER_hh_num_in!U15)</f>
        <v>360.55086013546759</v>
      </c>
      <c r="V15" s="135">
        <f>IF(SER_hh_fec_in!V15=0,0,11630*1000*SER_hh_fec_in!V15/SER_hh_num_in!V15)</f>
        <v>291.67761192092115</v>
      </c>
      <c r="W15" s="135">
        <f>IF(SER_hh_fec_in!W15=0,0,11630*1000*SER_hh_fec_in!W15/SER_hh_num_in!W15)</f>
        <v>220.67896149370162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10720.593097237585</v>
      </c>
      <c r="D16" s="131">
        <f>IF(SER_hh_fec_in!D16=0,0,11630*1000*SER_hh_fec_in!D16/SER_hh_num_in!D16)</f>
        <v>10369.941056725336</v>
      </c>
      <c r="E16" s="131">
        <f>IF(SER_hh_fec_in!E16=0,0,11630*1000*SER_hh_fec_in!E16/SER_hh_num_in!E16)</f>
        <v>10516.183775864332</v>
      </c>
      <c r="F16" s="131">
        <f>IF(SER_hh_fec_in!F16=0,0,11630*1000*SER_hh_fec_in!F16/SER_hh_num_in!F16)</f>
        <v>9678.7330898418004</v>
      </c>
      <c r="G16" s="131">
        <f>IF(SER_hh_fec_in!G16=0,0,11630*1000*SER_hh_fec_in!G16/SER_hh_num_in!G16)</f>
        <v>9476.3334700282412</v>
      </c>
      <c r="H16" s="131">
        <f>IF(SER_hh_fec_in!H16=0,0,11630*1000*SER_hh_fec_in!H16/SER_hh_num_in!H16)</f>
        <v>9432.3534417516421</v>
      </c>
      <c r="I16" s="131">
        <f>IF(SER_hh_fec_in!I16=0,0,11630*1000*SER_hh_fec_in!I16/SER_hh_num_in!I16)</f>
        <v>9011.8265799419351</v>
      </c>
      <c r="J16" s="131">
        <f>IF(SER_hh_fec_in!J16=0,0,11630*1000*SER_hh_fec_in!J16/SER_hh_num_in!J16)</f>
        <v>8570.3597408404821</v>
      </c>
      <c r="K16" s="131">
        <f>IF(SER_hh_fec_in!K16=0,0,11630*1000*SER_hh_fec_in!K16/SER_hh_num_in!K16)</f>
        <v>8256.5955863545187</v>
      </c>
      <c r="L16" s="131">
        <f>IF(SER_hh_fec_in!L16=0,0,11630*1000*SER_hh_fec_in!L16/SER_hh_num_in!L16)</f>
        <v>8129.7794884926143</v>
      </c>
      <c r="M16" s="131">
        <f>IF(SER_hh_fec_in!M16=0,0,11630*1000*SER_hh_fec_in!M16/SER_hh_num_in!M16)</f>
        <v>7702.3985905570407</v>
      </c>
      <c r="N16" s="131">
        <f>IF(SER_hh_fec_in!N16=0,0,11630*1000*SER_hh_fec_in!N16/SER_hh_num_in!N16)</f>
        <v>7400.6308278056904</v>
      </c>
      <c r="O16" s="131">
        <f>IF(SER_hh_fec_in!O16=0,0,11630*1000*SER_hh_fec_in!O16/SER_hh_num_in!O16)</f>
        <v>7311.4010715682452</v>
      </c>
      <c r="P16" s="131">
        <f>IF(SER_hh_fec_in!P16=0,0,11630*1000*SER_hh_fec_in!P16/SER_hh_num_in!P16)</f>
        <v>6582.9266129413372</v>
      </c>
      <c r="Q16" s="131">
        <f>IF(SER_hh_fec_in!Q16=0,0,11630*1000*SER_hh_fec_in!Q16/SER_hh_num_in!Q16)</f>
        <v>7417.8125733547995</v>
      </c>
      <c r="R16" s="131">
        <f>IF(SER_hh_fec_in!R16=0,0,11630*1000*SER_hh_fec_in!R16/SER_hh_num_in!R16)</f>
        <v>6058.4084390316475</v>
      </c>
      <c r="S16" s="131">
        <f>IF(SER_hh_fec_in!S16=0,0,11630*1000*SER_hh_fec_in!S16/SER_hh_num_in!S16)</f>
        <v>5985.0075570464078</v>
      </c>
      <c r="T16" s="131">
        <f>IF(SER_hh_fec_in!T16=0,0,11630*1000*SER_hh_fec_in!T16/SER_hh_num_in!T16)</f>
        <v>6106.1787088630563</v>
      </c>
      <c r="U16" s="131">
        <f>IF(SER_hh_fec_in!U16=0,0,11630*1000*SER_hh_fec_in!U16/SER_hh_num_in!U16)</f>
        <v>5800.7951958359808</v>
      </c>
      <c r="V16" s="131">
        <f>IF(SER_hh_fec_in!V16=0,0,11630*1000*SER_hh_fec_in!V16/SER_hh_num_in!V16)</f>
        <v>5381.6674065038887</v>
      </c>
      <c r="W16" s="131">
        <f>IF(SER_hh_fec_in!W16=0,0,11630*1000*SER_hh_fec_in!W16/SER_hh_num_in!W16)</f>
        <v>4879.9979051255141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19426.760765082061</v>
      </c>
      <c r="H17" s="133">
        <f>IF(SER_hh_fec_in!H17=0,0,11630*1000*SER_hh_fec_in!H17/SER_hh_num_in!H17)</f>
        <v>19788.148559569116</v>
      </c>
      <c r="I17" s="133">
        <f>IF(SER_hh_fec_in!I17=0,0,11630*1000*SER_hh_fec_in!I17/SER_hh_num_in!I17)</f>
        <v>19353.568443171775</v>
      </c>
      <c r="J17" s="133">
        <f>IF(SER_hh_fec_in!J17=0,0,11630*1000*SER_hh_fec_in!J17/SER_hh_num_in!J17)</f>
        <v>18773.734679614197</v>
      </c>
      <c r="K17" s="133">
        <f>IF(SER_hh_fec_in!K17=0,0,11630*1000*SER_hh_fec_in!K17/SER_hh_num_in!K17)</f>
        <v>18520.485724584512</v>
      </c>
      <c r="L17" s="133">
        <f>IF(SER_hh_fec_in!L17=0,0,11630*1000*SER_hh_fec_in!L17/SER_hh_num_in!L17)</f>
        <v>18652.387122321365</v>
      </c>
      <c r="M17" s="133">
        <f>IF(SER_hh_fec_in!M17=0,0,11630*1000*SER_hh_fec_in!M17/SER_hh_num_in!M17)</f>
        <v>18078.152220819207</v>
      </c>
      <c r="N17" s="133">
        <f>IF(SER_hh_fec_in!N17=0,0,11630*1000*SER_hh_fec_in!N17/SER_hh_num_in!N17)</f>
        <v>17804.437609776141</v>
      </c>
      <c r="O17" s="133">
        <f>IF(SER_hh_fec_in!O17=0,0,11630*1000*SER_hh_fec_in!O17/SER_hh_num_in!O17)</f>
        <v>18100.471875861404</v>
      </c>
      <c r="P17" s="133">
        <f>IF(SER_hh_fec_in!P17=0,0,11630*1000*SER_hh_fec_in!P17/SER_hh_num_in!P17)</f>
        <v>16943.707758401211</v>
      </c>
      <c r="Q17" s="133">
        <f>IF(SER_hh_fec_in!Q17=0,0,11630*1000*SER_hh_fec_in!Q17/SER_hh_num_in!Q17)</f>
        <v>19753.065588886402</v>
      </c>
      <c r="R17" s="133">
        <f>IF(SER_hh_fec_in!R17=0,0,11630*1000*SER_hh_fec_in!R17/SER_hh_num_in!R17)</f>
        <v>16192.419795607824</v>
      </c>
      <c r="S17" s="133">
        <f>IF(SER_hh_fec_in!S17=0,0,11630*1000*SER_hh_fec_in!S17/SER_hh_num_in!S17)</f>
        <v>15930.936338935287</v>
      </c>
      <c r="T17" s="133">
        <f>IF(SER_hh_fec_in!T17=0,0,11630*1000*SER_hh_fec_in!T17/SER_hh_num_in!T17)</f>
        <v>17002.027723098716</v>
      </c>
      <c r="U17" s="133">
        <f>IF(SER_hh_fec_in!U17=0,0,11630*1000*SER_hh_fec_in!U17/SER_hh_num_in!U17)</f>
        <v>14987.154711959973</v>
      </c>
      <c r="V17" s="133">
        <f>IF(SER_hh_fec_in!V17=0,0,11630*1000*SER_hh_fec_in!V17/SER_hh_num_in!V17)</f>
        <v>13759.17434161056</v>
      </c>
      <c r="W17" s="133">
        <f>IF(SER_hh_fec_in!W17=0,0,11630*1000*SER_hh_fec_in!W17/SER_hh_num_in!W17)</f>
        <v>12394.452434768209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10720.593097237585</v>
      </c>
      <c r="D18" s="133">
        <f>IF(SER_hh_fec_in!D18=0,0,11630*1000*SER_hh_fec_in!D18/SER_hh_num_in!D18)</f>
        <v>10369.941056725336</v>
      </c>
      <c r="E18" s="133">
        <f>IF(SER_hh_fec_in!E18=0,0,11630*1000*SER_hh_fec_in!E18/SER_hh_num_in!E18)</f>
        <v>10516.183775864332</v>
      </c>
      <c r="F18" s="133">
        <f>IF(SER_hh_fec_in!F18=0,0,11630*1000*SER_hh_fec_in!F18/SER_hh_num_in!F18)</f>
        <v>9678.7330898418004</v>
      </c>
      <c r="G18" s="133">
        <f>IF(SER_hh_fec_in!G18=0,0,11630*1000*SER_hh_fec_in!G18/SER_hh_num_in!G18)</f>
        <v>9435.7872499307578</v>
      </c>
      <c r="H18" s="133">
        <f>IF(SER_hh_fec_in!H18=0,0,11630*1000*SER_hh_fec_in!H18/SER_hh_num_in!H18)</f>
        <v>9422.9578797194044</v>
      </c>
      <c r="I18" s="133">
        <f>IF(SER_hh_fec_in!I18=0,0,11630*1000*SER_hh_fec_in!I18/SER_hh_num_in!I18)</f>
        <v>8992.4323928680842</v>
      </c>
      <c r="J18" s="133">
        <f>IF(SER_hh_fec_in!J18=0,0,11630*1000*SER_hh_fec_in!J18/SER_hh_num_in!J18)</f>
        <v>8566.280773796876</v>
      </c>
      <c r="K18" s="133">
        <f>IF(SER_hh_fec_in!K18=0,0,11630*1000*SER_hh_fec_in!K18/SER_hh_num_in!K18)</f>
        <v>8223.0869044811243</v>
      </c>
      <c r="L18" s="133">
        <f>IF(SER_hh_fec_in!L18=0,0,11630*1000*SER_hh_fec_in!L18/SER_hh_num_in!L18)</f>
        <v>8126.0144468109474</v>
      </c>
      <c r="M18" s="133">
        <f>IF(SER_hh_fec_in!M18=0,0,11630*1000*SER_hh_fec_in!M18/SER_hh_num_in!M18)</f>
        <v>7691.7333697752956</v>
      </c>
      <c r="N18" s="133">
        <f>IF(SER_hh_fec_in!N18=0,0,11630*1000*SER_hh_fec_in!N18/SER_hh_num_in!N18)</f>
        <v>7388.6893710865943</v>
      </c>
      <c r="O18" s="133">
        <f>IF(SER_hh_fec_in!O18=0,0,11630*1000*SER_hh_fec_in!O18/SER_hh_num_in!O18)</f>
        <v>7275.0914180158452</v>
      </c>
      <c r="P18" s="133">
        <f>IF(SER_hh_fec_in!P18=0,0,11630*1000*SER_hh_fec_in!P18/SER_hh_num_in!P18)</f>
        <v>6514.4988283173516</v>
      </c>
      <c r="Q18" s="133">
        <f>IF(SER_hh_fec_in!Q18=0,0,11630*1000*SER_hh_fec_in!Q18/SER_hh_num_in!Q18)</f>
        <v>7299.658050217552</v>
      </c>
      <c r="R18" s="133">
        <f>IF(SER_hh_fec_in!R18=0,0,11630*1000*SER_hh_fec_in!R18/SER_hh_num_in!R18)</f>
        <v>6001.598476081811</v>
      </c>
      <c r="S18" s="133">
        <f>IF(SER_hh_fec_in!S18=0,0,11630*1000*SER_hh_fec_in!S18/SER_hh_num_in!S18)</f>
        <v>5910.9914234637299</v>
      </c>
      <c r="T18" s="133">
        <f>IF(SER_hh_fec_in!T18=0,0,11630*1000*SER_hh_fec_in!T18/SER_hh_num_in!T18)</f>
        <v>6033.3438715789252</v>
      </c>
      <c r="U18" s="133">
        <f>IF(SER_hh_fec_in!U18=0,0,11630*1000*SER_hh_fec_in!U18/SER_hh_num_in!U18)</f>
        <v>5745.6635849901977</v>
      </c>
      <c r="V18" s="133">
        <f>IF(SER_hh_fec_in!V18=0,0,11630*1000*SER_hh_fec_in!V18/SER_hh_num_in!V18)</f>
        <v>5249.7725256031927</v>
      </c>
      <c r="W18" s="133">
        <f>IF(SER_hh_fec_in!W18=0,0,11630*1000*SER_hh_fec_in!W18/SER_hh_num_in!W18)</f>
        <v>4840.7036162109907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10990.743952687182</v>
      </c>
      <c r="D19" s="131">
        <f>IF(SER_hh_fec_in!D19=0,0,11630*1000*SER_hh_fec_in!D19/SER_hh_num_in!D19)</f>
        <v>10844.139405174188</v>
      </c>
      <c r="E19" s="131">
        <f>IF(SER_hh_fec_in!E19=0,0,11630*1000*SER_hh_fec_in!E19/SER_hh_num_in!E19)</f>
        <v>10171.359910719324</v>
      </c>
      <c r="F19" s="131">
        <f>IF(SER_hh_fec_in!F19=0,0,11630*1000*SER_hh_fec_in!F19/SER_hh_num_in!F19)</f>
        <v>10134.300068610944</v>
      </c>
      <c r="G19" s="131">
        <f>IF(SER_hh_fec_in!G19=0,0,11630*1000*SER_hh_fec_in!G19/SER_hh_num_in!G19)</f>
        <v>10123.114352676763</v>
      </c>
      <c r="H19" s="131">
        <f>IF(SER_hh_fec_in!H19=0,0,11630*1000*SER_hh_fec_in!H19/SER_hh_num_in!H19)</f>
        <v>10121.635732836727</v>
      </c>
      <c r="I19" s="131">
        <f>IF(SER_hh_fec_in!I19=0,0,11630*1000*SER_hh_fec_in!I19/SER_hh_num_in!I19)</f>
        <v>10094.088159740324</v>
      </c>
      <c r="J19" s="131">
        <f>IF(SER_hh_fec_in!J19=0,0,11630*1000*SER_hh_fec_in!J19/SER_hh_num_in!J19)</f>
        <v>9891.6682330339008</v>
      </c>
      <c r="K19" s="131">
        <f>IF(SER_hh_fec_in!K19=0,0,11630*1000*SER_hh_fec_in!K19/SER_hh_num_in!K19)</f>
        <v>10463.72403026547</v>
      </c>
      <c r="L19" s="131">
        <f>IF(SER_hh_fec_in!L19=0,0,11630*1000*SER_hh_fec_in!L19/SER_hh_num_in!L19)</f>
        <v>10337.318513526334</v>
      </c>
      <c r="M19" s="131">
        <f>IF(SER_hh_fec_in!M19=0,0,11630*1000*SER_hh_fec_in!M19/SER_hh_num_in!M19)</f>
        <v>10320.314142129684</v>
      </c>
      <c r="N19" s="131">
        <f>IF(SER_hh_fec_in!N19=0,0,11630*1000*SER_hh_fec_in!N19/SER_hh_num_in!N19)</f>
        <v>10101.528504064818</v>
      </c>
      <c r="O19" s="131">
        <f>IF(SER_hh_fec_in!O19=0,0,11630*1000*SER_hh_fec_in!O19/SER_hh_num_in!O19)</f>
        <v>10020.976353075686</v>
      </c>
      <c r="P19" s="131">
        <f>IF(SER_hh_fec_in!P19=0,0,11630*1000*SER_hh_fec_in!P19/SER_hh_num_in!P19)</f>
        <v>9515.6734492766336</v>
      </c>
      <c r="Q19" s="131">
        <f>IF(SER_hh_fec_in!Q19=0,0,11630*1000*SER_hh_fec_in!Q19/SER_hh_num_in!Q19)</f>
        <v>9574.4162339343384</v>
      </c>
      <c r="R19" s="131">
        <f>IF(SER_hh_fec_in!R19=0,0,11630*1000*SER_hh_fec_in!R19/SER_hh_num_in!R19)</f>
        <v>9460.0649551759816</v>
      </c>
      <c r="S19" s="131">
        <f>IF(SER_hh_fec_in!S19=0,0,11630*1000*SER_hh_fec_in!S19/SER_hh_num_in!S19)</f>
        <v>9427.5783475239077</v>
      </c>
      <c r="T19" s="131">
        <f>IF(SER_hh_fec_in!T19=0,0,11630*1000*SER_hh_fec_in!T19/SER_hh_num_in!T19)</f>
        <v>9088.0726449554022</v>
      </c>
      <c r="U19" s="131">
        <f>IF(SER_hh_fec_in!U19=0,0,11630*1000*SER_hh_fec_in!U19/SER_hh_num_in!U19)</f>
        <v>9010.8449417006032</v>
      </c>
      <c r="V19" s="131">
        <f>IF(SER_hh_fec_in!V19=0,0,11630*1000*SER_hh_fec_in!V19/SER_hh_num_in!V19)</f>
        <v>8329.6430079855108</v>
      </c>
      <c r="W19" s="131">
        <f>IF(SER_hh_fec_in!W19=0,0,11630*1000*SER_hh_fec_in!W19/SER_hh_num_in!W19)</f>
        <v>8363.1626013988425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12381.742157683761</v>
      </c>
      <c r="D23" s="133">
        <f>IF(SER_hh_fec_in!D23=0,0,11630*1000*SER_hh_fec_in!D23/SER_hh_num_in!D23)</f>
        <v>12227.237831564864</v>
      </c>
      <c r="E23" s="133">
        <f>IF(SER_hh_fec_in!E23=0,0,11630*1000*SER_hh_fec_in!E23/SER_hh_num_in!E23)</f>
        <v>11567.242111458636</v>
      </c>
      <c r="F23" s="133">
        <f>IF(SER_hh_fec_in!F23=0,0,11630*1000*SER_hh_fec_in!F23/SER_hh_num_in!F23)</f>
        <v>11202.631903508025</v>
      </c>
      <c r="G23" s="133">
        <f>IF(SER_hh_fec_in!G23=0,0,11630*1000*SER_hh_fec_in!G23/SER_hh_num_in!G23)</f>
        <v>11154.835093949583</v>
      </c>
      <c r="H23" s="133">
        <f>IF(SER_hh_fec_in!H23=0,0,11630*1000*SER_hh_fec_in!H23/SER_hh_num_in!H23)</f>
        <v>11007.811472867272</v>
      </c>
      <c r="I23" s="133">
        <f>IF(SER_hh_fec_in!I23=0,0,11630*1000*SER_hh_fec_in!I23/SER_hh_num_in!I23)</f>
        <v>10581.370562618411</v>
      </c>
      <c r="J23" s="133">
        <f>IF(SER_hh_fec_in!J23=0,0,11630*1000*SER_hh_fec_in!J23/SER_hh_num_in!J23)</f>
        <v>10484.899620869044</v>
      </c>
      <c r="K23" s="133">
        <f>IF(SER_hh_fec_in!K23=0,0,11630*1000*SER_hh_fec_in!K23/SER_hh_num_in!K23)</f>
        <v>10851.502798650956</v>
      </c>
      <c r="L23" s="133">
        <f>IF(SER_hh_fec_in!L23=0,0,11630*1000*SER_hh_fec_in!L23/SER_hh_num_in!L23)</f>
        <v>11632.449117452652</v>
      </c>
      <c r="M23" s="133">
        <f>IF(SER_hh_fec_in!M23=0,0,11630*1000*SER_hh_fec_in!M23/SER_hh_num_in!M23)</f>
        <v>11193.975803226425</v>
      </c>
      <c r="N23" s="133">
        <f>IF(SER_hh_fec_in!N23=0,0,11630*1000*SER_hh_fec_in!N23/SER_hh_num_in!N23)</f>
        <v>10825.673481469057</v>
      </c>
      <c r="O23" s="133">
        <f>IF(SER_hh_fec_in!O23=0,0,11630*1000*SER_hh_fec_in!O23/SER_hh_num_in!O23)</f>
        <v>10524.20537827623</v>
      </c>
      <c r="P23" s="133">
        <f>IF(SER_hh_fec_in!P23=0,0,11630*1000*SER_hh_fec_in!P23/SER_hh_num_in!P23)</f>
        <v>9946.2122648369113</v>
      </c>
      <c r="Q23" s="133">
        <f>IF(SER_hh_fec_in!Q23=0,0,11630*1000*SER_hh_fec_in!Q23/SER_hh_num_in!Q23)</f>
        <v>9964.3700179282205</v>
      </c>
      <c r="R23" s="133">
        <f>IF(SER_hh_fec_in!R23=0,0,11630*1000*SER_hh_fec_in!R23/SER_hh_num_in!R23)</f>
        <v>9775.3897633237884</v>
      </c>
      <c r="S23" s="133">
        <f>IF(SER_hh_fec_in!S23=0,0,11630*1000*SER_hh_fec_in!S23/SER_hh_num_in!S23)</f>
        <v>9780.0347700878065</v>
      </c>
      <c r="T23" s="133">
        <f>IF(SER_hh_fec_in!T23=0,0,11630*1000*SER_hh_fec_in!T23/SER_hh_num_in!T23)</f>
        <v>9193.6262102889377</v>
      </c>
      <c r="U23" s="133">
        <f>IF(SER_hh_fec_in!U23=0,0,11630*1000*SER_hh_fec_in!U23/SER_hh_num_in!U23)</f>
        <v>9326.4373448164351</v>
      </c>
      <c r="V23" s="133">
        <f>IF(SER_hh_fec_in!V23=0,0,11630*1000*SER_hh_fec_in!V23/SER_hh_num_in!V23)</f>
        <v>8431.7622605913311</v>
      </c>
      <c r="W23" s="133">
        <f>IF(SER_hh_fec_in!W23=0,0,11630*1000*SER_hh_fec_in!W23/SER_hh_num_in!W23)</f>
        <v>8616.2803371995924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8953.5422114072626</v>
      </c>
      <c r="D25" s="133">
        <f>IF(SER_hh_fec_in!D25=0,0,11630*1000*SER_hh_fec_in!D25/SER_hh_num_in!D25)</f>
        <v>8725.8799887870246</v>
      </c>
      <c r="E25" s="133">
        <f>IF(SER_hh_fec_in!E25=0,0,11630*1000*SER_hh_fec_in!E25/SER_hh_num_in!E25)</f>
        <v>8479.8015566320955</v>
      </c>
      <c r="F25" s="133">
        <f>IF(SER_hh_fec_in!F25=0,0,11630*1000*SER_hh_fec_in!F25/SER_hh_num_in!F25)</f>
        <v>8448.6980578195526</v>
      </c>
      <c r="G25" s="133">
        <f>IF(SER_hh_fec_in!G25=0,0,11630*1000*SER_hh_fec_in!G25/SER_hh_num_in!G25)</f>
        <v>8231.8762360646306</v>
      </c>
      <c r="H25" s="133">
        <f>IF(SER_hh_fec_in!H25=0,0,11630*1000*SER_hh_fec_in!H25/SER_hh_num_in!H25)</f>
        <v>8328.4380377235921</v>
      </c>
      <c r="I25" s="133">
        <f>IF(SER_hh_fec_in!I25=0,0,11630*1000*SER_hh_fec_in!I25/SER_hh_num_in!I25)</f>
        <v>8271.4283847327097</v>
      </c>
      <c r="J25" s="133">
        <f>IF(SER_hh_fec_in!J25=0,0,11630*1000*SER_hh_fec_in!J25/SER_hh_num_in!J25)</f>
        <v>8276.1509439474412</v>
      </c>
      <c r="K25" s="133">
        <f>IF(SER_hh_fec_in!K25=0,0,11630*1000*SER_hh_fec_in!K25/SER_hh_num_in!K25)</f>
        <v>7875.8482868267574</v>
      </c>
      <c r="L25" s="133">
        <f>IF(SER_hh_fec_in!L25=0,0,11630*1000*SER_hh_fec_in!L25/SER_hh_num_in!L25)</f>
        <v>8860.991387046477</v>
      </c>
      <c r="M25" s="133">
        <f>IF(SER_hh_fec_in!M25=0,0,11630*1000*SER_hh_fec_in!M25/SER_hh_num_in!M25)</f>
        <v>8960.3524096092679</v>
      </c>
      <c r="N25" s="133">
        <f>IF(SER_hh_fec_in!N25=0,0,11630*1000*SER_hh_fec_in!N25/SER_hh_num_in!N25)</f>
        <v>8914.0046963528512</v>
      </c>
      <c r="O25" s="133">
        <f>IF(SER_hh_fec_in!O25=0,0,11630*1000*SER_hh_fec_in!O25/SER_hh_num_in!O25)</f>
        <v>9003.7464141289056</v>
      </c>
      <c r="P25" s="133">
        <f>IF(SER_hh_fec_in!P25=0,0,11630*1000*SER_hh_fec_in!P25/SER_hh_num_in!P25)</f>
        <v>8648.2734900467585</v>
      </c>
      <c r="Q25" s="133">
        <f>IF(SER_hh_fec_in!Q25=0,0,11630*1000*SER_hh_fec_in!Q25/SER_hh_num_in!Q25)</f>
        <v>8860.6032399183405</v>
      </c>
      <c r="R25" s="133">
        <f>IF(SER_hh_fec_in!R25=0,0,11630*1000*SER_hh_fec_in!R25/SER_hh_num_in!R25)</f>
        <v>9030.6834524838887</v>
      </c>
      <c r="S25" s="133">
        <f>IF(SER_hh_fec_in!S25=0,0,11630*1000*SER_hh_fec_in!S25/SER_hh_num_in!S25)</f>
        <v>8713.020744286332</v>
      </c>
      <c r="T25" s="133">
        <f>IF(SER_hh_fec_in!T25=0,0,11630*1000*SER_hh_fec_in!T25/SER_hh_num_in!T25)</f>
        <v>8946.2897063097953</v>
      </c>
      <c r="U25" s="133">
        <f>IF(SER_hh_fec_in!U25=0,0,11630*1000*SER_hh_fec_in!U25/SER_hh_num_in!U25)</f>
        <v>8457.8462784254116</v>
      </c>
      <c r="V25" s="133">
        <f>IF(SER_hh_fec_in!V25=0,0,11630*1000*SER_hh_fec_in!V25/SER_hh_num_in!V25)</f>
        <v>7872.3722279412405</v>
      </c>
      <c r="W25" s="133">
        <f>IF(SER_hh_fec_in!W25=0,0,11630*1000*SER_hh_fec_in!W25/SER_hh_num_in!W25)</f>
        <v>8276.2982563291389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10913.414167246074</v>
      </c>
      <c r="D26" s="65">
        <f>IF(SER_hh_fec_in!D26=0,0,11630*1000*SER_hh_fec_in!D26/SER_hh_num_in!D26)</f>
        <v>10652.325396584109</v>
      </c>
      <c r="E26" s="65">
        <f>IF(SER_hh_fec_in!E26=0,0,11630*1000*SER_hh_fec_in!E26/SER_hh_num_in!E26)</f>
        <v>7020.7457147402183</v>
      </c>
      <c r="F26" s="65">
        <f>IF(SER_hh_fec_in!F26=0,0,11630*1000*SER_hh_fec_in!F26/SER_hh_num_in!F26)</f>
        <v>8977.8880543574469</v>
      </c>
      <c r="G26" s="65">
        <f>IF(SER_hh_fec_in!G26=0,0,11630*1000*SER_hh_fec_in!G26/SER_hh_num_in!G26)</f>
        <v>9506.7248089972527</v>
      </c>
      <c r="H26" s="65">
        <f>IF(SER_hh_fec_in!H26=0,0,11630*1000*SER_hh_fec_in!H26/SER_hh_num_in!H26)</f>
        <v>9442.9408018883769</v>
      </c>
      <c r="I26" s="65">
        <f>IF(SER_hh_fec_in!I26=0,0,11630*1000*SER_hh_fec_in!I26/SER_hh_num_in!I26)</f>
        <v>9357.8601307445188</v>
      </c>
      <c r="J26" s="65">
        <f>IF(SER_hh_fec_in!J26=0,0,11630*1000*SER_hh_fec_in!J26/SER_hh_num_in!J26)</f>
        <v>8392.2598551132942</v>
      </c>
      <c r="K26" s="65">
        <f>IF(SER_hh_fec_in!K26=0,0,11630*1000*SER_hh_fec_in!K26/SER_hh_num_in!K26)</f>
        <v>4407.372125854462</v>
      </c>
      <c r="L26" s="65">
        <f>IF(SER_hh_fec_in!L26=0,0,11630*1000*SER_hh_fec_in!L26/SER_hh_num_in!L26)</f>
        <v>7483.288326529474</v>
      </c>
      <c r="M26" s="65">
        <f>IF(SER_hh_fec_in!M26=0,0,11630*1000*SER_hh_fec_in!M26/SER_hh_num_in!M26)</f>
        <v>8367.6464632921725</v>
      </c>
      <c r="N26" s="65">
        <f>IF(SER_hh_fec_in!N26=0,0,11630*1000*SER_hh_fec_in!N26/SER_hh_num_in!N26)</f>
        <v>8208.6551273282948</v>
      </c>
      <c r="O26" s="65">
        <f>IF(SER_hh_fec_in!O26=0,0,11630*1000*SER_hh_fec_in!O26/SER_hh_num_in!O26)</f>
        <v>8370.5553272261659</v>
      </c>
      <c r="P26" s="65">
        <f>IF(SER_hh_fec_in!P26=0,0,11630*1000*SER_hh_fec_in!P26/SER_hh_num_in!P26)</f>
        <v>4297.9762685766318</v>
      </c>
      <c r="Q26" s="65">
        <f>IF(SER_hh_fec_in!Q26=0,0,11630*1000*SER_hh_fec_in!Q26/SER_hh_num_in!Q26)</f>
        <v>8382.4875793195861</v>
      </c>
      <c r="R26" s="65">
        <f>IF(SER_hh_fec_in!R26=0,0,11630*1000*SER_hh_fec_in!R26/SER_hh_num_in!R26)</f>
        <v>8151.3570665663519</v>
      </c>
      <c r="S26" s="65">
        <f>IF(SER_hh_fec_in!S26=0,0,11630*1000*SER_hh_fec_in!S26/SER_hh_num_in!S26)</f>
        <v>7239.450619801928</v>
      </c>
      <c r="T26" s="65">
        <f>IF(SER_hh_fec_in!T26=0,0,11630*1000*SER_hh_fec_in!T26/SER_hh_num_in!T26)</f>
        <v>7176.018550431857</v>
      </c>
      <c r="U26" s="65">
        <f>IF(SER_hh_fec_in!U26=0,0,11630*1000*SER_hh_fec_in!U26/SER_hh_num_in!U26)</f>
        <v>7040.8288211466215</v>
      </c>
      <c r="V26" s="65">
        <f>IF(SER_hh_fec_in!V26=0,0,11630*1000*SER_hh_fec_in!V26/SER_hh_num_in!V26)</f>
        <v>4675.5437802149272</v>
      </c>
      <c r="W26" s="65">
        <f>IF(SER_hh_fec_in!W26=0,0,11630*1000*SER_hh_fec_in!W26/SER_hh_num_in!W26)</f>
        <v>7507.8820990113436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760.27854455454121</v>
      </c>
      <c r="F27" s="146">
        <f>IF(SER_hh_fec_in!F27=0,0,11630*1000*SER_hh_fec_in!F27/SER_hh_num_in!F19)</f>
        <v>246.25329091388241</v>
      </c>
      <c r="G27" s="146">
        <f>IF(SER_hh_fec_in!G27=0,0,11630*1000*SER_hh_fec_in!G27/SER_hh_num_in!G19)</f>
        <v>129.80943406668771</v>
      </c>
      <c r="H27" s="146">
        <f>IF(SER_hh_fec_in!H27=0,0,11630*1000*SER_hh_fec_in!H27/SER_hh_num_in!H19)</f>
        <v>148.56822389936582</v>
      </c>
      <c r="I27" s="146">
        <f>IF(SER_hh_fec_in!I27=0,0,11630*1000*SER_hh_fec_in!I27/SER_hh_num_in!I19)</f>
        <v>212.24785563867678</v>
      </c>
      <c r="J27" s="146">
        <f>IF(SER_hh_fec_in!J27=0,0,11630*1000*SER_hh_fec_in!J27/SER_hh_num_in!J19)</f>
        <v>451.95411985683728</v>
      </c>
      <c r="K27" s="146">
        <f>IF(SER_hh_fec_in!K27=0,0,11630*1000*SER_hh_fec_in!K27/SER_hh_num_in!K19)</f>
        <v>1238.6709390364158</v>
      </c>
      <c r="L27" s="146">
        <f>IF(SER_hh_fec_in!L27=0,0,11630*1000*SER_hh_fec_in!L27/SER_hh_num_in!L19)</f>
        <v>956.28077771958908</v>
      </c>
      <c r="M27" s="146">
        <f>IF(SER_hh_fec_in!M27=0,0,11630*1000*SER_hh_fec_in!M27/SER_hh_num_in!M19)</f>
        <v>685.66307995626823</v>
      </c>
      <c r="N27" s="146">
        <f>IF(SER_hh_fec_in!N27=0,0,11630*1000*SER_hh_fec_in!N27/SER_hh_num_in!N19)</f>
        <v>818.80037679782026</v>
      </c>
      <c r="O27" s="146">
        <f>IF(SER_hh_fec_in!O27=0,0,11630*1000*SER_hh_fec_in!O27/SER_hh_num_in!O19)</f>
        <v>625.83453060648969</v>
      </c>
      <c r="P27" s="146">
        <f>IF(SER_hh_fec_in!P27=0,0,11630*1000*SER_hh_fec_in!P27/SER_hh_num_in!P19)</f>
        <v>1296.5224497576917</v>
      </c>
      <c r="Q27" s="146">
        <f>IF(SER_hh_fec_in!Q27=0,0,11630*1000*SER_hh_fec_in!Q27/SER_hh_num_in!Q19)</f>
        <v>251.40059051973202</v>
      </c>
      <c r="R27" s="146">
        <f>IF(SER_hh_fec_in!R27=0,0,11630*1000*SER_hh_fec_in!R27/SER_hh_num_in!R19)</f>
        <v>387.55627101152209</v>
      </c>
      <c r="S27" s="146">
        <f>IF(SER_hh_fec_in!S27=0,0,11630*1000*SER_hh_fec_in!S27/SER_hh_num_in!S19)</f>
        <v>570.54220504570253</v>
      </c>
      <c r="T27" s="146">
        <f>IF(SER_hh_fec_in!T27=0,0,11630*1000*SER_hh_fec_in!T27/SER_hh_num_in!T19)</f>
        <v>694.13546602523161</v>
      </c>
      <c r="U27" s="146">
        <f>IF(SER_hh_fec_in!U27=0,0,11630*1000*SER_hh_fec_in!U27/SER_hh_num_in!U19)</f>
        <v>558.39834752532408</v>
      </c>
      <c r="V27" s="146">
        <f>IF(SER_hh_fec_in!V27=0,0,11630*1000*SER_hh_fec_in!V27/SER_hh_num_in!V19)</f>
        <v>1239.4041488823816</v>
      </c>
      <c r="W27" s="146">
        <f>IF(SER_hh_fec_in!W27=0,0,11630*1000*SER_hh_fec_in!W27/SER_hh_num_in!W19)</f>
        <v>196.05594772557345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3447.4859142813698</v>
      </c>
      <c r="F28" s="147">
        <f>IF(SER_hh_fec_in!F27=0,0,11630*1000*SER_hh_fec_in!F27/SER_hh_num_in!F27)</f>
        <v>3311.5015633391263</v>
      </c>
      <c r="G28" s="147">
        <f>IF(SER_hh_fec_in!G27=0,0,11630*1000*SER_hh_fec_in!G27/SER_hh_num_in!G27)</f>
        <v>3365.4479678238031</v>
      </c>
      <c r="H28" s="147">
        <f>IF(SER_hh_fec_in!H27=0,0,11630*1000*SER_hh_fec_in!H27/SER_hh_num_in!H27)</f>
        <v>3258.9414281036597</v>
      </c>
      <c r="I28" s="147">
        <f>IF(SER_hh_fec_in!I27=0,0,11630*1000*SER_hh_fec_in!I27/SER_hh_num_in!I27)</f>
        <v>3315.9566457206088</v>
      </c>
      <c r="J28" s="147">
        <f>IF(SER_hh_fec_in!J27=0,0,11630*1000*SER_hh_fec_in!J27/SER_hh_num_in!J27)</f>
        <v>3387.4055913170014</v>
      </c>
      <c r="K28" s="147">
        <f>IF(SER_hh_fec_in!K27=0,0,11630*1000*SER_hh_fec_in!K27/SER_hh_num_in!K27)</f>
        <v>3782.8303942998355</v>
      </c>
      <c r="L28" s="147">
        <f>IF(SER_hh_fec_in!L27=0,0,11630*1000*SER_hh_fec_in!L27/SER_hh_num_in!L27)</f>
        <v>3789.3702276860163</v>
      </c>
      <c r="M28" s="147">
        <f>IF(SER_hh_fec_in!M27=0,0,11630*1000*SER_hh_fec_in!M27/SER_hh_num_in!M27)</f>
        <v>4168.2487046420702</v>
      </c>
      <c r="N28" s="147">
        <f>IF(SER_hh_fec_in!N27=0,0,11630*1000*SER_hh_fec_in!N27/SER_hh_num_in!N27)</f>
        <v>4306.5491518022491</v>
      </c>
      <c r="O28" s="147">
        <f>IF(SER_hh_fec_in!O27=0,0,11630*1000*SER_hh_fec_in!O27/SER_hh_num_in!O27)</f>
        <v>4451.1891043044106</v>
      </c>
      <c r="P28" s="147">
        <f>IF(SER_hh_fec_in!P27=0,0,11630*1000*SER_hh_fec_in!P27/SER_hh_num_in!P27)</f>
        <v>4191.4744241007029</v>
      </c>
      <c r="Q28" s="147">
        <f>IF(SER_hh_fec_in!Q27=0,0,11630*1000*SER_hh_fec_in!Q27/SER_hh_num_in!Q27)</f>
        <v>4408.1398195732463</v>
      </c>
      <c r="R28" s="147">
        <f>IF(SER_hh_fec_in!R27=0,0,11630*1000*SER_hh_fec_in!R27/SER_hh_num_in!R27)</f>
        <v>4575.2774307756354</v>
      </c>
      <c r="S28" s="147">
        <f>IF(SER_hh_fec_in!S27=0,0,11630*1000*SER_hh_fec_in!S27/SER_hh_num_in!S27)</f>
        <v>4580.9957080923214</v>
      </c>
      <c r="T28" s="147">
        <f>IF(SER_hh_fec_in!T27=0,0,11630*1000*SER_hh_fec_in!T27/SER_hh_num_in!T27)</f>
        <v>4476.4419965825045</v>
      </c>
      <c r="U28" s="147">
        <f>IF(SER_hh_fec_in!U27=0,0,11630*1000*SER_hh_fec_in!U27/SER_hh_num_in!U27)</f>
        <v>4460.9982046170499</v>
      </c>
      <c r="V28" s="147">
        <f>IF(SER_hh_fec_in!V27=0,0,11630*1000*SER_hh_fec_in!V27/SER_hh_num_in!V27)</f>
        <v>4077.7413699273166</v>
      </c>
      <c r="W28" s="147">
        <f>IF(SER_hh_fec_in!W27=0,0,11630*1000*SER_hh_fec_in!W27/SER_hh_num_in!W27)</f>
        <v>4297.3595591877611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11574.026391168953</v>
      </c>
      <c r="D29" s="131">
        <f>IF(SER_hh_fec_in!D29=0,0,11630*1000*SER_hh_fec_in!D29/SER_hh_num_in!D29)</f>
        <v>11470.526622157791</v>
      </c>
      <c r="E29" s="131">
        <f>IF(SER_hh_fec_in!E29=0,0,11630*1000*SER_hh_fec_in!E29/SER_hh_num_in!E29)</f>
        <v>11376.845508165186</v>
      </c>
      <c r="F29" s="131">
        <f>IF(SER_hh_fec_in!F29=0,0,11630*1000*SER_hh_fec_in!F29/SER_hh_num_in!F29)</f>
        <v>11198.979545797714</v>
      </c>
      <c r="G29" s="131">
        <f>IF(SER_hh_fec_in!G29=0,0,11630*1000*SER_hh_fec_in!G29/SER_hh_num_in!G29)</f>
        <v>11190.630106020566</v>
      </c>
      <c r="H29" s="131">
        <f>IF(SER_hh_fec_in!H29=0,0,11630*1000*SER_hh_fec_in!H29/SER_hh_num_in!H29)</f>
        <v>11072.029301848177</v>
      </c>
      <c r="I29" s="131">
        <f>IF(SER_hh_fec_in!I29=0,0,11630*1000*SER_hh_fec_in!I29/SER_hh_num_in!I29)</f>
        <v>11124.622561694212</v>
      </c>
      <c r="J29" s="131">
        <f>IF(SER_hh_fec_in!J29=0,0,11630*1000*SER_hh_fec_in!J29/SER_hh_num_in!J29)</f>
        <v>11342.303400176746</v>
      </c>
      <c r="K29" s="131">
        <f>IF(SER_hh_fec_in!K29=0,0,11630*1000*SER_hh_fec_in!K29/SER_hh_num_in!K29)</f>
        <v>12159.723552116744</v>
      </c>
      <c r="L29" s="131">
        <f>IF(SER_hh_fec_in!L29=0,0,11630*1000*SER_hh_fec_in!L29/SER_hh_num_in!L29)</f>
        <v>12427.443299370263</v>
      </c>
      <c r="M29" s="131">
        <f>IF(SER_hh_fec_in!M29=0,0,11630*1000*SER_hh_fec_in!M29/SER_hh_num_in!M29)</f>
        <v>12130.746138525068</v>
      </c>
      <c r="N29" s="131">
        <f>IF(SER_hh_fec_in!N29=0,0,11630*1000*SER_hh_fec_in!N29/SER_hh_num_in!N29)</f>
        <v>12235.399729990222</v>
      </c>
      <c r="O29" s="131">
        <f>IF(SER_hh_fec_in!O29=0,0,11630*1000*SER_hh_fec_in!O29/SER_hh_num_in!O29)</f>
        <v>12510.543460584497</v>
      </c>
      <c r="P29" s="131">
        <f>IF(SER_hh_fec_in!P29=0,0,11630*1000*SER_hh_fec_in!P29/SER_hh_num_in!P29)</f>
        <v>12579.723260247853</v>
      </c>
      <c r="Q29" s="131">
        <f>IF(SER_hh_fec_in!Q29=0,0,11630*1000*SER_hh_fec_in!Q29/SER_hh_num_in!Q29)</f>
        <v>12620.907135452811</v>
      </c>
      <c r="R29" s="131">
        <f>IF(SER_hh_fec_in!R29=0,0,11630*1000*SER_hh_fec_in!R29/SER_hh_num_in!R29)</f>
        <v>13102.393560340113</v>
      </c>
      <c r="S29" s="131">
        <f>IF(SER_hh_fec_in!S29=0,0,11630*1000*SER_hh_fec_in!S29/SER_hh_num_in!S29)</f>
        <v>13745.762304641528</v>
      </c>
      <c r="T29" s="131">
        <f>IF(SER_hh_fec_in!T29=0,0,11630*1000*SER_hh_fec_in!T29/SER_hh_num_in!T29)</f>
        <v>12478.970270499785</v>
      </c>
      <c r="U29" s="131">
        <f>IF(SER_hh_fec_in!U29=0,0,11630*1000*SER_hh_fec_in!U29/SER_hh_num_in!U29)</f>
        <v>12576.870540692824</v>
      </c>
      <c r="V29" s="131">
        <f>IF(SER_hh_fec_in!V29=0,0,11630*1000*SER_hh_fec_in!V29/SER_hh_num_in!V29)</f>
        <v>11218.500456723084</v>
      </c>
      <c r="W29" s="131">
        <f>IF(SER_hh_fec_in!W29=0,0,11630*1000*SER_hh_fec_in!W29/SER_hh_num_in!W29)</f>
        <v>11610.946520308504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13368.82773092667</v>
      </c>
      <c r="D31" s="133">
        <f>IF(SER_hh_fec_in!D31=0,0,11630*1000*SER_hh_fec_in!D31/SER_hh_num_in!D31)</f>
        <v>13147.405413404204</v>
      </c>
      <c r="E31" s="133">
        <f>IF(SER_hh_fec_in!E31=0,0,11630*1000*SER_hh_fec_in!E31/SER_hh_num_in!E31)</f>
        <v>12813.659202322273</v>
      </c>
      <c r="F31" s="133">
        <f>IF(SER_hh_fec_in!F31=0,0,11630*1000*SER_hh_fec_in!F31/SER_hh_num_in!F31)</f>
        <v>13079.539164679396</v>
      </c>
      <c r="G31" s="133">
        <f>IF(SER_hh_fec_in!G31=0,0,11630*1000*SER_hh_fec_in!G31/SER_hh_num_in!G31)</f>
        <v>12806.910929313273</v>
      </c>
      <c r="H31" s="133">
        <f>IF(SER_hh_fec_in!H31=0,0,11630*1000*SER_hh_fec_in!H31/SER_hh_num_in!H31)</f>
        <v>12614.005269617101</v>
      </c>
      <c r="I31" s="133">
        <f>IF(SER_hh_fec_in!I31=0,0,11630*1000*SER_hh_fec_in!I31/SER_hh_num_in!I31)</f>
        <v>12659.79089231286</v>
      </c>
      <c r="J31" s="133">
        <f>IF(SER_hh_fec_in!J31=0,0,11630*1000*SER_hh_fec_in!J31/SER_hh_num_in!J31)</f>
        <v>12886.105122661143</v>
      </c>
      <c r="K31" s="133">
        <f>IF(SER_hh_fec_in!K31=0,0,11630*1000*SER_hh_fec_in!K31/SER_hh_num_in!K31)</f>
        <v>14401.382357145363</v>
      </c>
      <c r="L31" s="133">
        <f>IF(SER_hh_fec_in!L31=0,0,11630*1000*SER_hh_fec_in!L31/SER_hh_num_in!L31)</f>
        <v>13947.160858312729</v>
      </c>
      <c r="M31" s="133">
        <f>IF(SER_hh_fec_in!M31=0,0,11630*1000*SER_hh_fec_in!M31/SER_hh_num_in!M31)</f>
        <v>14118.935994611016</v>
      </c>
      <c r="N31" s="133">
        <f>IF(SER_hh_fec_in!N31=0,0,11630*1000*SER_hh_fec_in!N31/SER_hh_num_in!N31)</f>
        <v>14248.104284152105</v>
      </c>
      <c r="O31" s="133">
        <f>IF(SER_hh_fec_in!O31=0,0,11630*1000*SER_hh_fec_in!O31/SER_hh_num_in!O31)</f>
        <v>14377.5147679579</v>
      </c>
      <c r="P31" s="133">
        <f>IF(SER_hh_fec_in!P31=0,0,11630*1000*SER_hh_fec_in!P31/SER_hh_num_in!P31)</f>
        <v>14440.815932936388</v>
      </c>
      <c r="Q31" s="133">
        <f>IF(SER_hh_fec_in!Q31=0,0,11630*1000*SER_hh_fec_in!Q31/SER_hh_num_in!Q31)</f>
        <v>14009.95522911111</v>
      </c>
      <c r="R31" s="133">
        <f>IF(SER_hh_fec_in!R31=0,0,11630*1000*SER_hh_fec_in!R31/SER_hh_num_in!R31)</f>
        <v>14376.721868151684</v>
      </c>
      <c r="S31" s="133">
        <f>IF(SER_hh_fec_in!S31=0,0,11630*1000*SER_hh_fec_in!S31/SER_hh_num_in!S31)</f>
        <v>15347.006841311095</v>
      </c>
      <c r="T31" s="133">
        <f>IF(SER_hh_fec_in!T31=0,0,11630*1000*SER_hh_fec_in!T31/SER_hh_num_in!T31)</f>
        <v>14039.622539437889</v>
      </c>
      <c r="U31" s="133">
        <f>IF(SER_hh_fec_in!U31=0,0,11630*1000*SER_hh_fec_in!U31/SER_hh_num_in!U31)</f>
        <v>14715.147128815548</v>
      </c>
      <c r="V31" s="133">
        <f>IF(SER_hh_fec_in!V31=0,0,11630*1000*SER_hh_fec_in!V31/SER_hh_num_in!V31)</f>
        <v>13404.004709117171</v>
      </c>
      <c r="W31" s="133">
        <f>IF(SER_hh_fec_in!W31=0,0,11630*1000*SER_hh_fec_in!W31/SER_hh_num_in!W31)</f>
        <v>13025.936086330565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9440.007481384102</v>
      </c>
      <c r="D33" s="68">
        <f>IF(SER_hh_fec_in!D33=0,0,11630*1000*SER_hh_fec_in!D33/SER_hh_num_in!D33)</f>
        <v>9508.4246831797645</v>
      </c>
      <c r="E33" s="68">
        <f>IF(SER_hh_fec_in!E33=0,0,11630*1000*SER_hh_fec_in!E33/SER_hh_num_in!E33)</f>
        <v>9942.8475331949649</v>
      </c>
      <c r="F33" s="68">
        <f>IF(SER_hh_fec_in!F33=0,0,11630*1000*SER_hh_fec_in!F33/SER_hh_num_in!F33)</f>
        <v>9669.8218465723185</v>
      </c>
      <c r="G33" s="68">
        <f>IF(SER_hh_fec_in!G33=0,0,11630*1000*SER_hh_fec_in!G33/SER_hh_num_in!G33)</f>
        <v>9653.7176894109798</v>
      </c>
      <c r="H33" s="68">
        <f>IF(SER_hh_fec_in!H33=0,0,11630*1000*SER_hh_fec_in!H33/SER_hh_num_in!H33)</f>
        <v>9870.0256659487204</v>
      </c>
      <c r="I33" s="68">
        <f>IF(SER_hh_fec_in!I33=0,0,11630*1000*SER_hh_fec_in!I33/SER_hh_num_in!I33)</f>
        <v>9631.1584021239996</v>
      </c>
      <c r="J33" s="68">
        <f>IF(SER_hh_fec_in!J33=0,0,11630*1000*SER_hh_fec_in!J33/SER_hh_num_in!J33)</f>
        <v>9690.5236047658491</v>
      </c>
      <c r="K33" s="68">
        <f>IF(SER_hh_fec_in!K33=0,0,11630*1000*SER_hh_fec_in!K33/SER_hh_num_in!K33)</f>
        <v>9661.4417591616766</v>
      </c>
      <c r="L33" s="68">
        <f>IF(SER_hh_fec_in!L33=0,0,11630*1000*SER_hh_fec_in!L33/SER_hh_num_in!L33)</f>
        <v>10608.065385864051</v>
      </c>
      <c r="M33" s="68">
        <f>IF(SER_hh_fec_in!M33=0,0,11630*1000*SER_hh_fec_in!M33/SER_hh_num_in!M33)</f>
        <v>10713.801575862499</v>
      </c>
      <c r="N33" s="68">
        <f>IF(SER_hh_fec_in!N33=0,0,11630*1000*SER_hh_fec_in!N33/SER_hh_num_in!N33)</f>
        <v>10728.023898025904</v>
      </c>
      <c r="O33" s="68">
        <f>IF(SER_hh_fec_in!O33=0,0,11630*1000*SER_hh_fec_in!O33/SER_hh_num_in!O33)</f>
        <v>10898.317534866603</v>
      </c>
      <c r="P33" s="68">
        <f>IF(SER_hh_fec_in!P33=0,0,11630*1000*SER_hh_fec_in!P33/SER_hh_num_in!P33)</f>
        <v>10924.822336660696</v>
      </c>
      <c r="Q33" s="68">
        <f>IF(SER_hh_fec_in!Q33=0,0,11630*1000*SER_hh_fec_in!Q33/SER_hh_num_in!Q33)</f>
        <v>11130.023429778754</v>
      </c>
      <c r="R33" s="68">
        <f>IF(SER_hh_fec_in!R33=0,0,11630*1000*SER_hh_fec_in!R33/SER_hh_num_in!R33)</f>
        <v>10830.055135386991</v>
      </c>
      <c r="S33" s="68">
        <f>IF(SER_hh_fec_in!S33=0,0,11630*1000*SER_hh_fec_in!S33/SER_hh_num_in!S33)</f>
        <v>9972.295040339397</v>
      </c>
      <c r="T33" s="68">
        <f>IF(SER_hh_fec_in!T33=0,0,11630*1000*SER_hh_fec_in!T33/SER_hh_num_in!T33)</f>
        <v>10623.621585839375</v>
      </c>
      <c r="U33" s="68">
        <f>IF(SER_hh_fec_in!U33=0,0,11630*1000*SER_hh_fec_in!U33/SER_hh_num_in!U33)</f>
        <v>9976.228384500133</v>
      </c>
      <c r="V33" s="68">
        <f>IF(SER_hh_fec_in!V33=0,0,11630*1000*SER_hh_fec_in!V33/SER_hh_num_in!V33)</f>
        <v>9482.179108520033</v>
      </c>
      <c r="W33" s="68">
        <f>IF(SER_hh_fec_in!W33=0,0,11630*1000*SER_hh_fec_in!W33/SER_hh_num_in!W33)</f>
        <v>10264.864602744774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114162.93445819426</v>
      </c>
      <c r="D3" s="126">
        <f>IF(SER_hh_tes_in!D3=0,0,11630*1000*SER_hh_tes_in!D3/SER_hh_num_in!D3)</f>
        <v>114991.87182047946</v>
      </c>
      <c r="E3" s="126">
        <f>IF(SER_hh_tes_in!E3=0,0,11630*1000*SER_hh_tes_in!E3/SER_hh_num_in!E3)</f>
        <v>110497.79577333148</v>
      </c>
      <c r="F3" s="126">
        <f>IF(SER_hh_tes_in!F3=0,0,11630*1000*SER_hh_tes_in!F3/SER_hh_num_in!F3)</f>
        <v>104198.07805516367</v>
      </c>
      <c r="G3" s="126">
        <f>IF(SER_hh_tes_in!G3=0,0,11630*1000*SER_hh_tes_in!G3/SER_hh_num_in!G3)</f>
        <v>95009.257219533014</v>
      </c>
      <c r="H3" s="126">
        <f>IF(SER_hh_tes_in!H3=0,0,11630*1000*SER_hh_tes_in!H3/SER_hh_num_in!H3)</f>
        <v>87671.537484482207</v>
      </c>
      <c r="I3" s="126">
        <f>IF(SER_hh_tes_in!I3=0,0,11630*1000*SER_hh_tes_in!I3/SER_hh_num_in!I3)</f>
        <v>84599.479587111564</v>
      </c>
      <c r="J3" s="126">
        <f>IF(SER_hh_tes_in!J3=0,0,11630*1000*SER_hh_tes_in!J3/SER_hh_num_in!J3)</f>
        <v>90961.320077005075</v>
      </c>
      <c r="K3" s="126">
        <f>IF(SER_hh_tes_in!K3=0,0,11630*1000*SER_hh_tes_in!K3/SER_hh_num_in!K3)</f>
        <v>85363.191109304084</v>
      </c>
      <c r="L3" s="126">
        <f>IF(SER_hh_tes_in!L3=0,0,11630*1000*SER_hh_tes_in!L3/SER_hh_num_in!L3)</f>
        <v>92270.539029157531</v>
      </c>
      <c r="M3" s="126">
        <f>IF(SER_hh_tes_in!M3=0,0,11630*1000*SER_hh_tes_in!M3/SER_hh_num_in!M3)</f>
        <v>86358.456497821899</v>
      </c>
      <c r="N3" s="126">
        <f>IF(SER_hh_tes_in!N3=0,0,11630*1000*SER_hh_tes_in!N3/SER_hh_num_in!N3)</f>
        <v>82826.87962915971</v>
      </c>
      <c r="O3" s="126">
        <f>IF(SER_hh_tes_in!O3=0,0,11630*1000*SER_hh_tes_in!O3/SER_hh_num_in!O3)</f>
        <v>81737.400372746328</v>
      </c>
      <c r="P3" s="126">
        <f>IF(SER_hh_tes_in!P3=0,0,11630*1000*SER_hh_tes_in!P3/SER_hh_num_in!P3)</f>
        <v>75667.254594234168</v>
      </c>
      <c r="Q3" s="126">
        <f>IF(SER_hh_tes_in!Q3=0,0,11630*1000*SER_hh_tes_in!Q3/SER_hh_num_in!Q3)</f>
        <v>77832.039453409539</v>
      </c>
      <c r="R3" s="126">
        <f>IF(SER_hh_tes_in!R3=0,0,11630*1000*SER_hh_tes_in!R3/SER_hh_num_in!R3)</f>
        <v>73324.664890315194</v>
      </c>
      <c r="S3" s="126">
        <f>IF(SER_hh_tes_in!S3=0,0,11630*1000*SER_hh_tes_in!S3/SER_hh_num_in!S3)</f>
        <v>73411.328211626824</v>
      </c>
      <c r="T3" s="126">
        <f>IF(SER_hh_tes_in!T3=0,0,11630*1000*SER_hh_tes_in!T3/SER_hh_num_in!T3)</f>
        <v>70631.727931236033</v>
      </c>
      <c r="U3" s="126">
        <f>IF(SER_hh_tes_in!U3=0,0,11630*1000*SER_hh_tes_in!U3/SER_hh_num_in!U3)</f>
        <v>68578.820723987257</v>
      </c>
      <c r="V3" s="126">
        <f>IF(SER_hh_tes_in!V3=0,0,11630*1000*SER_hh_tes_in!V3/SER_hh_num_in!V3)</f>
        <v>58889.033300229086</v>
      </c>
      <c r="W3" s="126">
        <f>IF(SER_hh_tes_in!W3=0,0,11630*1000*SER_hh_tes_in!W3/SER_hh_num_in!W3)</f>
        <v>56419.77226517105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84601.784518204542</v>
      </c>
      <c r="D4" s="131">
        <f>IF(SER_hh_tes_in!D4=0,0,11630*1000*SER_hh_tes_in!D4/SER_hh_num_in!D4)</f>
        <v>76402.469787740993</v>
      </c>
      <c r="E4" s="131">
        <f>IF(SER_hh_tes_in!E4=0,0,11630*1000*SER_hh_tes_in!E4/SER_hh_num_in!E4)</f>
        <v>80279.301562846609</v>
      </c>
      <c r="F4" s="131">
        <f>IF(SER_hh_tes_in!F4=0,0,11630*1000*SER_hh_tes_in!F4/SER_hh_num_in!F4)</f>
        <v>75450.883010630787</v>
      </c>
      <c r="G4" s="131">
        <f>IF(SER_hh_tes_in!G4=0,0,11630*1000*SER_hh_tes_in!G4/SER_hh_num_in!G4)</f>
        <v>65307.282522545953</v>
      </c>
      <c r="H4" s="131">
        <f>IF(SER_hh_tes_in!H4=0,0,11630*1000*SER_hh_tes_in!H4/SER_hh_num_in!H4)</f>
        <v>56175.762665308888</v>
      </c>
      <c r="I4" s="131">
        <f>IF(SER_hh_tes_in!I4=0,0,11630*1000*SER_hh_tes_in!I4/SER_hh_num_in!I4)</f>
        <v>51237.612506807105</v>
      </c>
      <c r="J4" s="131">
        <f>IF(SER_hh_tes_in!J4=0,0,11630*1000*SER_hh_tes_in!J4/SER_hh_num_in!J4)</f>
        <v>52968.433902254641</v>
      </c>
      <c r="K4" s="131">
        <f>IF(SER_hh_tes_in!K4=0,0,11630*1000*SER_hh_tes_in!K4/SER_hh_num_in!K4)</f>
        <v>46472.487109101254</v>
      </c>
      <c r="L4" s="131">
        <f>IF(SER_hh_tes_in!L4=0,0,11630*1000*SER_hh_tes_in!L4/SER_hh_num_in!L4)</f>
        <v>52772.666708335753</v>
      </c>
      <c r="M4" s="131">
        <f>IF(SER_hh_tes_in!M4=0,0,11630*1000*SER_hh_tes_in!M4/SER_hh_num_in!M4)</f>
        <v>47221.007316578944</v>
      </c>
      <c r="N4" s="131">
        <f>IF(SER_hh_tes_in!N4=0,0,11630*1000*SER_hh_tes_in!N4/SER_hh_num_in!N4)</f>
        <v>43592.997403863126</v>
      </c>
      <c r="O4" s="131">
        <f>IF(SER_hh_tes_in!O4=0,0,11630*1000*SER_hh_tes_in!O4/SER_hh_num_in!O4)</f>
        <v>41657.90026660369</v>
      </c>
      <c r="P4" s="131">
        <f>IF(SER_hh_tes_in!P4=0,0,11630*1000*SER_hh_tes_in!P4/SER_hh_num_in!P4)</f>
        <v>37109.637631176207</v>
      </c>
      <c r="Q4" s="131">
        <f>IF(SER_hh_tes_in!Q4=0,0,11630*1000*SER_hh_tes_in!Q4/SER_hh_num_in!Q4)</f>
        <v>35687.857195170509</v>
      </c>
      <c r="R4" s="131">
        <f>IF(SER_hh_tes_in!R4=0,0,11630*1000*SER_hh_tes_in!R4/SER_hh_num_in!R4)</f>
        <v>35161.273202462311</v>
      </c>
      <c r="S4" s="131">
        <f>IF(SER_hh_tes_in!S4=0,0,11630*1000*SER_hh_tes_in!S4/SER_hh_num_in!S4)</f>
        <v>34827.615589581575</v>
      </c>
      <c r="T4" s="131">
        <f>IF(SER_hh_tes_in!T4=0,0,11630*1000*SER_hh_tes_in!T4/SER_hh_num_in!T4)</f>
        <v>31567.698759325773</v>
      </c>
      <c r="U4" s="131">
        <f>IF(SER_hh_tes_in!U4=0,0,11630*1000*SER_hh_tes_in!U4/SER_hh_num_in!U4)</f>
        <v>30282.520991780446</v>
      </c>
      <c r="V4" s="131">
        <f>IF(SER_hh_tes_in!V4=0,0,11630*1000*SER_hh_tes_in!V4/SER_hh_num_in!V4)</f>
        <v>25981.939251818465</v>
      </c>
      <c r="W4" s="131">
        <f>IF(SER_hh_tes_in!W4=0,0,11630*1000*SER_hh_tes_in!W4/SER_hh_num_in!W4)</f>
        <v>21772.717536453514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100608.81539105266</v>
      </c>
      <c r="F5" s="133">
        <f>IF(SER_hh_tes_in!F5=0,0,11630*1000*SER_hh_tes_in!F5/SER_hh_num_in!F5)</f>
        <v>108542.95560194392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41745.796208710781</v>
      </c>
      <c r="O5" s="133">
        <f>IF(SER_hh_tes_in!O5=0,0,11630*1000*SER_hh_tes_in!O5/SER_hh_num_in!O5)</f>
        <v>43895.849154281066</v>
      </c>
      <c r="P5" s="133">
        <f>IF(SER_hh_tes_in!P5=0,0,11630*1000*SER_hh_tes_in!P5/SER_hh_num_in!P5)</f>
        <v>36979.374226638844</v>
      </c>
      <c r="Q5" s="133">
        <f>IF(SER_hh_tes_in!Q5=0,0,11630*1000*SER_hh_tes_in!Q5/SER_hh_num_in!Q5)</f>
        <v>0</v>
      </c>
      <c r="R5" s="133">
        <f>IF(SER_hh_tes_in!R5=0,0,11630*1000*SER_hh_tes_in!R5/SER_hh_num_in!R5)</f>
        <v>37883.069192188879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30769.407272829543</v>
      </c>
      <c r="V5" s="133">
        <f>IF(SER_hh_tes_in!V5=0,0,11630*1000*SER_hh_tes_in!V5/SER_hh_num_in!V5)</f>
        <v>22794.609526894037</v>
      </c>
      <c r="W5" s="133">
        <f>IF(SER_hh_tes_in!W5=0,0,11630*1000*SER_hh_tes_in!W5/SER_hh_num_in!W5)</f>
        <v>21726.634259065628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35850.222927153241</v>
      </c>
      <c r="D7" s="133">
        <f>IF(SER_hh_tes_in!D7=0,0,11630*1000*SER_hh_tes_in!D7/SER_hh_num_in!D7)</f>
        <v>93897.352419592484</v>
      </c>
      <c r="E7" s="133">
        <f>IF(SER_hh_tes_in!E7=0,0,11630*1000*SER_hh_tes_in!E7/SER_hh_num_in!E7)</f>
        <v>73612.336817118558</v>
      </c>
      <c r="F7" s="133">
        <f>IF(SER_hh_tes_in!F7=0,0,11630*1000*SER_hh_tes_in!F7/SER_hh_num_in!F7)</f>
        <v>79234.068557784849</v>
      </c>
      <c r="G7" s="133">
        <f>IF(SER_hh_tes_in!G7=0,0,11630*1000*SER_hh_tes_in!G7/SER_hh_num_in!G7)</f>
        <v>54037.509669535844</v>
      </c>
      <c r="H7" s="133">
        <f>IF(SER_hh_tes_in!H7=0,0,11630*1000*SER_hh_tes_in!H7/SER_hh_num_in!H7)</f>
        <v>57757.148168960579</v>
      </c>
      <c r="I7" s="133">
        <f>IF(SER_hh_tes_in!I7=0,0,11630*1000*SER_hh_tes_in!I7/SER_hh_num_in!I7)</f>
        <v>53740.040540564369</v>
      </c>
      <c r="J7" s="133">
        <f>IF(SER_hh_tes_in!J7=0,0,11630*1000*SER_hh_tes_in!J7/SER_hh_num_in!J7)</f>
        <v>54704.97071586526</v>
      </c>
      <c r="K7" s="133">
        <f>IF(SER_hh_tes_in!K7=0,0,11630*1000*SER_hh_tes_in!K7/SER_hh_num_in!K7)</f>
        <v>0</v>
      </c>
      <c r="L7" s="133">
        <f>IF(SER_hh_tes_in!L7=0,0,11630*1000*SER_hh_tes_in!L7/SER_hh_num_in!L7)</f>
        <v>52221.607403043214</v>
      </c>
      <c r="M7" s="133">
        <f>IF(SER_hh_tes_in!M7=0,0,11630*1000*SER_hh_tes_in!M7/SER_hh_num_in!M7)</f>
        <v>37563.703234449997</v>
      </c>
      <c r="N7" s="133">
        <f>IF(SER_hh_tes_in!N7=0,0,11630*1000*SER_hh_tes_in!N7/SER_hh_num_in!N7)</f>
        <v>53732.710841630658</v>
      </c>
      <c r="O7" s="133">
        <f>IF(SER_hh_tes_in!O7=0,0,11630*1000*SER_hh_tes_in!O7/SER_hh_num_in!O7)</f>
        <v>39154.027916568746</v>
      </c>
      <c r="P7" s="133">
        <f>IF(SER_hh_tes_in!P7=0,0,11630*1000*SER_hh_tes_in!P7/SER_hh_num_in!P7)</f>
        <v>24429.787085824195</v>
      </c>
      <c r="Q7" s="133">
        <f>IF(SER_hh_tes_in!Q7=0,0,11630*1000*SER_hh_tes_in!Q7/SER_hh_num_in!Q7)</f>
        <v>42577.920768260803</v>
      </c>
      <c r="R7" s="133">
        <f>IF(SER_hh_tes_in!R7=0,0,11630*1000*SER_hh_tes_in!R7/SER_hh_num_in!R7)</f>
        <v>38122.114472979716</v>
      </c>
      <c r="S7" s="133">
        <f>IF(SER_hh_tes_in!S7=0,0,11630*1000*SER_hh_tes_in!S7/SER_hh_num_in!S7)</f>
        <v>37794.380585100662</v>
      </c>
      <c r="T7" s="133">
        <f>IF(SER_hh_tes_in!T7=0,0,11630*1000*SER_hh_tes_in!T7/SER_hh_num_in!T7)</f>
        <v>0</v>
      </c>
      <c r="U7" s="133">
        <f>IF(SER_hh_tes_in!U7=0,0,11630*1000*SER_hh_tes_in!U7/SER_hh_num_in!U7)</f>
        <v>23954.613772772307</v>
      </c>
      <c r="V7" s="133">
        <f>IF(SER_hh_tes_in!V7=0,0,11630*1000*SER_hh_tes_in!V7/SER_hh_num_in!V7)</f>
        <v>24956.199426925366</v>
      </c>
      <c r="W7" s="133">
        <f>IF(SER_hh_tes_in!W7=0,0,11630*1000*SER_hh_tes_in!W7/SER_hh_num_in!W7)</f>
        <v>27604.488581462916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35632.799384521066</v>
      </c>
      <c r="H8" s="133">
        <f>IF(SER_hh_tes_in!H8=0,0,11630*1000*SER_hh_tes_in!H8/SER_hh_num_in!H8)</f>
        <v>41941.376326531121</v>
      </c>
      <c r="I8" s="133">
        <f>IF(SER_hh_tes_in!I8=0,0,11630*1000*SER_hh_tes_in!I8/SER_hh_num_in!I8)</f>
        <v>47320.063749631583</v>
      </c>
      <c r="J8" s="133">
        <f>IF(SER_hh_tes_in!J8=0,0,11630*1000*SER_hh_tes_in!J8/SER_hh_num_in!J8)</f>
        <v>53016.194834253016</v>
      </c>
      <c r="K8" s="133">
        <f>IF(SER_hh_tes_in!K8=0,0,11630*1000*SER_hh_tes_in!K8/SER_hh_num_in!K8)</f>
        <v>49109.053118434742</v>
      </c>
      <c r="L8" s="133">
        <f>IF(SER_hh_tes_in!L8=0,0,11630*1000*SER_hh_tes_in!L8/SER_hh_num_in!L8)</f>
        <v>42523.71696354411</v>
      </c>
      <c r="M8" s="133">
        <f>IF(SER_hh_tes_in!M8=0,0,11630*1000*SER_hh_tes_in!M8/SER_hh_num_in!M8)</f>
        <v>39639.633835680244</v>
      </c>
      <c r="N8" s="133">
        <f>IF(SER_hh_tes_in!N8=0,0,11630*1000*SER_hh_tes_in!N8/SER_hh_num_in!N8)</f>
        <v>34668.457036750093</v>
      </c>
      <c r="O8" s="133">
        <f>IF(SER_hh_tes_in!O8=0,0,11630*1000*SER_hh_tes_in!O8/SER_hh_num_in!O8)</f>
        <v>38239.737773178371</v>
      </c>
      <c r="P8" s="133">
        <f>IF(SER_hh_tes_in!P8=0,0,11630*1000*SER_hh_tes_in!P8/SER_hh_num_in!P8)</f>
        <v>42022.541878485114</v>
      </c>
      <c r="Q8" s="133">
        <f>IF(SER_hh_tes_in!Q8=0,0,11630*1000*SER_hh_tes_in!Q8/SER_hh_num_in!Q8)</f>
        <v>38465.699163706508</v>
      </c>
      <c r="R8" s="133">
        <f>IF(SER_hh_tes_in!R8=0,0,11630*1000*SER_hh_tes_in!R8/SER_hh_num_in!R8)</f>
        <v>36171.004337461054</v>
      </c>
      <c r="S8" s="133">
        <f>IF(SER_hh_tes_in!S8=0,0,11630*1000*SER_hh_tes_in!S8/SER_hh_num_in!S8)</f>
        <v>33701.558064850178</v>
      </c>
      <c r="T8" s="133">
        <f>IF(SER_hh_tes_in!T8=0,0,11630*1000*SER_hh_tes_in!T8/SER_hh_num_in!T8)</f>
        <v>31186.77084237364</v>
      </c>
      <c r="U8" s="133">
        <f>IF(SER_hh_tes_in!U8=0,0,11630*1000*SER_hh_tes_in!U8/SER_hh_num_in!U8)</f>
        <v>29656.028664887748</v>
      </c>
      <c r="V8" s="133">
        <f>IF(SER_hh_tes_in!V8=0,0,11630*1000*SER_hh_tes_in!V8/SER_hh_num_in!V8)</f>
        <v>26361.058466681683</v>
      </c>
      <c r="W8" s="133">
        <f>IF(SER_hh_tes_in!W8=0,0,11630*1000*SER_hh_tes_in!W8/SER_hh_num_in!W8)</f>
        <v>22932.66786812901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85862.377386263513</v>
      </c>
      <c r="D9" s="133">
        <f>IF(SER_hh_tes_in!D9=0,0,11630*1000*SER_hh_tes_in!D9/SER_hh_num_in!D9)</f>
        <v>75252.155398526724</v>
      </c>
      <c r="E9" s="133">
        <f>IF(SER_hh_tes_in!E9=0,0,11630*1000*SER_hh_tes_in!E9/SER_hh_num_in!E9)</f>
        <v>74110.098441929469</v>
      </c>
      <c r="F9" s="133">
        <f>IF(SER_hh_tes_in!F9=0,0,11630*1000*SER_hh_tes_in!F9/SER_hh_num_in!F9)</f>
        <v>67996.178262279078</v>
      </c>
      <c r="G9" s="133">
        <f>IF(SER_hh_tes_in!G9=0,0,11630*1000*SER_hh_tes_in!G9/SER_hh_num_in!G9)</f>
        <v>63713.299906496832</v>
      </c>
      <c r="H9" s="133">
        <f>IF(SER_hh_tes_in!H9=0,0,11630*1000*SER_hh_tes_in!H9/SER_hh_num_in!H9)</f>
        <v>55382.57454276552</v>
      </c>
      <c r="I9" s="133">
        <f>IF(SER_hh_tes_in!I9=0,0,11630*1000*SER_hh_tes_in!I9/SER_hh_num_in!I9)</f>
        <v>49764.113221574902</v>
      </c>
      <c r="J9" s="133">
        <f>IF(SER_hh_tes_in!J9=0,0,11630*1000*SER_hh_tes_in!J9/SER_hh_num_in!J9)</f>
        <v>53217.436766639825</v>
      </c>
      <c r="K9" s="133">
        <f>IF(SER_hh_tes_in!K9=0,0,11630*1000*SER_hh_tes_in!K9/SER_hh_num_in!K9)</f>
        <v>47303.119085341888</v>
      </c>
      <c r="L9" s="133">
        <f>IF(SER_hh_tes_in!L9=0,0,11630*1000*SER_hh_tes_in!L9/SER_hh_num_in!L9)</f>
        <v>49869.826867527045</v>
      </c>
      <c r="M9" s="133">
        <f>IF(SER_hh_tes_in!M9=0,0,11630*1000*SER_hh_tes_in!M9/SER_hh_num_in!M9)</f>
        <v>46908.924433950393</v>
      </c>
      <c r="N9" s="133">
        <f>IF(SER_hh_tes_in!N9=0,0,11630*1000*SER_hh_tes_in!N9/SER_hh_num_in!N9)</f>
        <v>42917.399965513257</v>
      </c>
      <c r="O9" s="133">
        <f>IF(SER_hh_tes_in!O9=0,0,11630*1000*SER_hh_tes_in!O9/SER_hh_num_in!O9)</f>
        <v>39989.084839707029</v>
      </c>
      <c r="P9" s="133">
        <f>IF(SER_hh_tes_in!P9=0,0,11630*1000*SER_hh_tes_in!P9/SER_hh_num_in!P9)</f>
        <v>37020.098394200679</v>
      </c>
      <c r="Q9" s="133">
        <f>IF(SER_hh_tes_in!Q9=0,0,11630*1000*SER_hh_tes_in!Q9/SER_hh_num_in!Q9)</f>
        <v>35105.639251837893</v>
      </c>
      <c r="R9" s="133">
        <f>IF(SER_hh_tes_in!R9=0,0,11630*1000*SER_hh_tes_in!R9/SER_hh_num_in!R9)</f>
        <v>34387.423516795781</v>
      </c>
      <c r="S9" s="133">
        <f>IF(SER_hh_tes_in!S9=0,0,11630*1000*SER_hh_tes_in!S9/SER_hh_num_in!S9)</f>
        <v>34924.799760563954</v>
      </c>
      <c r="T9" s="133">
        <f>IF(SER_hh_tes_in!T9=0,0,11630*1000*SER_hh_tes_in!T9/SER_hh_num_in!T9)</f>
        <v>30400.993458015364</v>
      </c>
      <c r="U9" s="133">
        <f>IF(SER_hh_tes_in!U9=0,0,11630*1000*SER_hh_tes_in!U9/SER_hh_num_in!U9)</f>
        <v>30189.795759831202</v>
      </c>
      <c r="V9" s="133">
        <f>IF(SER_hh_tes_in!V9=0,0,11630*1000*SER_hh_tes_in!V9/SER_hh_num_in!V9)</f>
        <v>25872.94946134221</v>
      </c>
      <c r="W9" s="133">
        <f>IF(SER_hh_tes_in!W9=0,0,11630*1000*SER_hh_tes_in!W9/SER_hh_num_in!W9)</f>
        <v>20872.566430665822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88730.083911334616</v>
      </c>
      <c r="D10" s="133">
        <f>IF(SER_hh_tes_in!D10=0,0,11630*1000*SER_hh_tes_in!D10/SER_hh_num_in!D10)</f>
        <v>70181.019800455833</v>
      </c>
      <c r="E10" s="133">
        <f>IF(SER_hh_tes_in!E10=0,0,11630*1000*SER_hh_tes_in!E10/SER_hh_num_in!E10)</f>
        <v>78060.153759235051</v>
      </c>
      <c r="F10" s="133">
        <f>IF(SER_hh_tes_in!F10=0,0,11630*1000*SER_hh_tes_in!F10/SER_hh_num_in!F10)</f>
        <v>71620.493064144001</v>
      </c>
      <c r="G10" s="133">
        <f>IF(SER_hh_tes_in!G10=0,0,11630*1000*SER_hh_tes_in!G10/SER_hh_num_in!G10)</f>
        <v>64516.476308874779</v>
      </c>
      <c r="H10" s="133">
        <f>IF(SER_hh_tes_in!H10=0,0,11630*1000*SER_hh_tes_in!H10/SER_hh_num_in!H10)</f>
        <v>50274.534497930639</v>
      </c>
      <c r="I10" s="133">
        <f>IF(SER_hh_tes_in!I10=0,0,11630*1000*SER_hh_tes_in!I10/SER_hh_num_in!I10)</f>
        <v>64244.62473458187</v>
      </c>
      <c r="J10" s="133">
        <f>IF(SER_hh_tes_in!J10=0,0,11630*1000*SER_hh_tes_in!J10/SER_hh_num_in!J10)</f>
        <v>49069.391996609193</v>
      </c>
      <c r="K10" s="133">
        <f>IF(SER_hh_tes_in!K10=0,0,11630*1000*SER_hh_tes_in!K10/SER_hh_num_in!K10)</f>
        <v>41377.49628928634</v>
      </c>
      <c r="L10" s="133">
        <f>IF(SER_hh_tes_in!L10=0,0,11630*1000*SER_hh_tes_in!L10/SER_hh_num_in!L10)</f>
        <v>52182.263931370537</v>
      </c>
      <c r="M10" s="133">
        <f>IF(SER_hh_tes_in!M10=0,0,11630*1000*SER_hh_tes_in!M10/SER_hh_num_in!M10)</f>
        <v>47183.974737132368</v>
      </c>
      <c r="N10" s="133">
        <f>IF(SER_hh_tes_in!N10=0,0,11630*1000*SER_hh_tes_in!N10/SER_hh_num_in!N10)</f>
        <v>42720.446946969249</v>
      </c>
      <c r="O10" s="133">
        <f>IF(SER_hh_tes_in!O10=0,0,11630*1000*SER_hh_tes_in!O10/SER_hh_num_in!O10)</f>
        <v>41557.316458897651</v>
      </c>
      <c r="P10" s="133">
        <f>IF(SER_hh_tes_in!P10=0,0,11630*1000*SER_hh_tes_in!P10/SER_hh_num_in!P10)</f>
        <v>36973.054228955923</v>
      </c>
      <c r="Q10" s="133">
        <f>IF(SER_hh_tes_in!Q10=0,0,11630*1000*SER_hh_tes_in!Q10/SER_hh_num_in!Q10)</f>
        <v>38303.968929172355</v>
      </c>
      <c r="R10" s="133">
        <f>IF(SER_hh_tes_in!R10=0,0,11630*1000*SER_hh_tes_in!R10/SER_hh_num_in!R10)</f>
        <v>35041.183254961819</v>
      </c>
      <c r="S10" s="133">
        <f>IF(SER_hh_tes_in!S10=0,0,11630*1000*SER_hh_tes_in!S10/SER_hh_num_in!S10)</f>
        <v>32316.815447679946</v>
      </c>
      <c r="T10" s="133">
        <f>IF(SER_hh_tes_in!T10=0,0,11630*1000*SER_hh_tes_in!T10/SER_hh_num_in!T10)</f>
        <v>31329.242482379737</v>
      </c>
      <c r="U10" s="133">
        <f>IF(SER_hh_tes_in!U10=0,0,11630*1000*SER_hh_tes_in!U10/SER_hh_num_in!U10)</f>
        <v>29793.942240123106</v>
      </c>
      <c r="V10" s="133">
        <f>IF(SER_hh_tes_in!V10=0,0,11630*1000*SER_hh_tes_in!V10/SER_hh_num_in!V10)</f>
        <v>25366.579583170191</v>
      </c>
      <c r="W10" s="133">
        <f>IF(SER_hh_tes_in!W10=0,0,11630*1000*SER_hh_tes_in!W10/SER_hh_num_in!W10)</f>
        <v>21795.295888647302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82312.936353982761</v>
      </c>
      <c r="D12" s="133">
        <f>IF(SER_hh_tes_in!D12=0,0,11630*1000*SER_hh_tes_in!D12/SER_hh_num_in!D12)</f>
        <v>75109.568297177175</v>
      </c>
      <c r="E12" s="133">
        <f>IF(SER_hh_tes_in!E12=0,0,11630*1000*SER_hh_tes_in!E12/SER_hh_num_in!E12)</f>
        <v>73526.378381774688</v>
      </c>
      <c r="F12" s="133">
        <f>IF(SER_hh_tes_in!F12=0,0,11630*1000*SER_hh_tes_in!F12/SER_hh_num_in!F12)</f>
        <v>72920.32919267664</v>
      </c>
      <c r="G12" s="133">
        <f>IF(SER_hh_tes_in!G12=0,0,11630*1000*SER_hh_tes_in!G12/SER_hh_num_in!G12)</f>
        <v>69678.445697999021</v>
      </c>
      <c r="H12" s="133">
        <f>IF(SER_hh_tes_in!H12=0,0,11630*1000*SER_hh_tes_in!H12/SER_hh_num_in!H12)</f>
        <v>54958.699011337274</v>
      </c>
      <c r="I12" s="133">
        <f>IF(SER_hh_tes_in!I12=0,0,11630*1000*SER_hh_tes_in!I12/SER_hh_num_in!I12)</f>
        <v>49490.629451564091</v>
      </c>
      <c r="J12" s="133">
        <f>IF(SER_hh_tes_in!J12=0,0,11630*1000*SER_hh_tes_in!J12/SER_hh_num_in!J12)</f>
        <v>49602.872648548218</v>
      </c>
      <c r="K12" s="133">
        <f>IF(SER_hh_tes_in!K12=0,0,11630*1000*SER_hh_tes_in!K12/SER_hh_num_in!K12)</f>
        <v>44798.386530902062</v>
      </c>
      <c r="L12" s="133">
        <f>IF(SER_hh_tes_in!L12=0,0,11630*1000*SER_hh_tes_in!L12/SER_hh_num_in!L12)</f>
        <v>54179.761504096779</v>
      </c>
      <c r="M12" s="133">
        <f>IF(SER_hh_tes_in!M12=0,0,11630*1000*SER_hh_tes_in!M12/SER_hh_num_in!M12)</f>
        <v>47524.058628993072</v>
      </c>
      <c r="N12" s="133">
        <f>IF(SER_hh_tes_in!N12=0,0,11630*1000*SER_hh_tes_in!N12/SER_hh_num_in!N12)</f>
        <v>43931.232039832314</v>
      </c>
      <c r="O12" s="133">
        <f>IF(SER_hh_tes_in!O12=0,0,11630*1000*SER_hh_tes_in!O12/SER_hh_num_in!O12)</f>
        <v>40659.589360775128</v>
      </c>
      <c r="P12" s="133">
        <f>IF(SER_hh_tes_in!P12=0,0,11630*1000*SER_hh_tes_in!P12/SER_hh_num_in!P12)</f>
        <v>36632.460469979713</v>
      </c>
      <c r="Q12" s="133">
        <f>IF(SER_hh_tes_in!Q12=0,0,11630*1000*SER_hh_tes_in!Q12/SER_hh_num_in!Q12)</f>
        <v>35525.298130184688</v>
      </c>
      <c r="R12" s="133">
        <f>IF(SER_hh_tes_in!R12=0,0,11630*1000*SER_hh_tes_in!R12/SER_hh_num_in!R12)</f>
        <v>35138.395784870176</v>
      </c>
      <c r="S12" s="133">
        <f>IF(SER_hh_tes_in!S12=0,0,11630*1000*SER_hh_tes_in!S12/SER_hh_num_in!S12)</f>
        <v>33882.685540179002</v>
      </c>
      <c r="T12" s="133">
        <f>IF(SER_hh_tes_in!T12=0,0,11630*1000*SER_hh_tes_in!T12/SER_hh_num_in!T12)</f>
        <v>32070.090800612266</v>
      </c>
      <c r="U12" s="133">
        <f>IF(SER_hh_tes_in!U12=0,0,11630*1000*SER_hh_tes_in!U12/SER_hh_num_in!U12)</f>
        <v>28881.248592756743</v>
      </c>
      <c r="V12" s="133">
        <f>IF(SER_hh_tes_in!V12=0,0,11630*1000*SER_hh_tes_in!V12/SER_hh_num_in!V12)</f>
        <v>25268.259119127688</v>
      </c>
      <c r="W12" s="133">
        <f>IF(SER_hh_tes_in!W12=0,0,11630*1000*SER_hh_tes_in!W12/SER_hh_num_in!W12)</f>
        <v>22121.440620277277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70950.446884985795</v>
      </c>
      <c r="D13" s="133">
        <f>IF(SER_hh_tes_in!D13=0,0,11630*1000*SER_hh_tes_in!D13/SER_hh_num_in!D13)</f>
        <v>78489.633343960741</v>
      </c>
      <c r="E13" s="133">
        <f>IF(SER_hh_tes_in!E13=0,0,11630*1000*SER_hh_tes_in!E13/SER_hh_num_in!E13)</f>
        <v>76712.90679303807</v>
      </c>
      <c r="F13" s="133">
        <f>IF(SER_hh_tes_in!F13=0,0,11630*1000*SER_hh_tes_in!F13/SER_hh_num_in!F13)</f>
        <v>69960.023662912863</v>
      </c>
      <c r="G13" s="133">
        <f>IF(SER_hh_tes_in!G13=0,0,11630*1000*SER_hh_tes_in!G13/SER_hh_num_in!G13)</f>
        <v>58745.040697658653</v>
      </c>
      <c r="H13" s="133">
        <f>IF(SER_hh_tes_in!H13=0,0,11630*1000*SER_hh_tes_in!H13/SER_hh_num_in!H13)</f>
        <v>55593.994796040635</v>
      </c>
      <c r="I13" s="133">
        <f>IF(SER_hh_tes_in!I13=0,0,11630*1000*SER_hh_tes_in!I13/SER_hh_num_in!I13)</f>
        <v>52576.879777514871</v>
      </c>
      <c r="J13" s="133">
        <f>IF(SER_hh_tes_in!J13=0,0,11630*1000*SER_hh_tes_in!J13/SER_hh_num_in!J13)</f>
        <v>50754.961747934605</v>
      </c>
      <c r="K13" s="133">
        <f>IF(SER_hh_tes_in!K13=0,0,11630*1000*SER_hh_tes_in!K13/SER_hh_num_in!K13)</f>
        <v>49055.519530013371</v>
      </c>
      <c r="L13" s="133">
        <f>IF(SER_hh_tes_in!L13=0,0,11630*1000*SER_hh_tes_in!L13/SER_hh_num_in!L13)</f>
        <v>49116.008876947526</v>
      </c>
      <c r="M13" s="133">
        <f>IF(SER_hh_tes_in!M13=0,0,11630*1000*SER_hh_tes_in!M13/SER_hh_num_in!M13)</f>
        <v>46603.321356504966</v>
      </c>
      <c r="N13" s="133">
        <f>IF(SER_hh_tes_in!N13=0,0,11630*1000*SER_hh_tes_in!N13/SER_hh_num_in!N13)</f>
        <v>43890.430867669274</v>
      </c>
      <c r="O13" s="133">
        <f>IF(SER_hh_tes_in!O13=0,0,11630*1000*SER_hh_tes_in!O13/SER_hh_num_in!O13)</f>
        <v>40419.373248137614</v>
      </c>
      <c r="P13" s="133">
        <f>IF(SER_hh_tes_in!P13=0,0,11630*1000*SER_hh_tes_in!P13/SER_hh_num_in!P13)</f>
        <v>37151.130707344113</v>
      </c>
      <c r="Q13" s="133">
        <f>IF(SER_hh_tes_in!Q13=0,0,11630*1000*SER_hh_tes_in!Q13/SER_hh_num_in!Q13)</f>
        <v>35634.453780306736</v>
      </c>
      <c r="R13" s="133">
        <f>IF(SER_hh_tes_in!R13=0,0,11630*1000*SER_hh_tes_in!R13/SER_hh_num_in!R13)</f>
        <v>34715.914031599008</v>
      </c>
      <c r="S13" s="133">
        <f>IF(SER_hh_tes_in!S13=0,0,11630*1000*SER_hh_tes_in!S13/SER_hh_num_in!S13)</f>
        <v>33783.247309087885</v>
      </c>
      <c r="T13" s="133">
        <f>IF(SER_hh_tes_in!T13=0,0,11630*1000*SER_hh_tes_in!T13/SER_hh_num_in!T13)</f>
        <v>31824.24010950312</v>
      </c>
      <c r="U13" s="133">
        <f>IF(SER_hh_tes_in!U13=0,0,11630*1000*SER_hh_tes_in!U13/SER_hh_num_in!U13)</f>
        <v>29619.359037135589</v>
      </c>
      <c r="V13" s="133">
        <f>IF(SER_hh_tes_in!V13=0,0,11630*1000*SER_hh_tes_in!V13/SER_hh_num_in!V13)</f>
        <v>26655.547745750297</v>
      </c>
      <c r="W13" s="133">
        <f>IF(SER_hh_tes_in!W13=0,0,11630*1000*SER_hh_tes_in!W13/SER_hh_num_in!W13)</f>
        <v>23177.30465248015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81803.240689293787</v>
      </c>
      <c r="D14" s="65">
        <f>IF(SER_hh_tes_in!D14=0,0,11630*1000*SER_hh_tes_in!D14/SER_hh_num_in!D14)</f>
        <v>75072.075291688656</v>
      </c>
      <c r="E14" s="65">
        <f>IF(SER_hh_tes_in!E14=0,0,11630*1000*SER_hh_tes_in!E14/SER_hh_num_in!E14)</f>
        <v>89635.663108541557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59412.062576781333</v>
      </c>
      <c r="H14" s="65">
        <f>IF(SER_hh_tes_in!H14=0,0,11630*1000*SER_hh_tes_in!H14/SER_hh_num_in!H14)</f>
        <v>56620.695426809281</v>
      </c>
      <c r="I14" s="65">
        <f>IF(SER_hh_tes_in!I14=0,0,11630*1000*SER_hh_tes_in!I14/SER_hh_num_in!I14)</f>
        <v>52105.323620701187</v>
      </c>
      <c r="J14" s="65">
        <f>IF(SER_hh_tes_in!J14=0,0,11630*1000*SER_hh_tes_in!J14/SER_hh_num_in!J14)</f>
        <v>53026.29510818985</v>
      </c>
      <c r="K14" s="65">
        <f>IF(SER_hh_tes_in!K14=0,0,11630*1000*SER_hh_tes_in!K14/SER_hh_num_in!K14)</f>
        <v>48791.042092022159</v>
      </c>
      <c r="L14" s="65">
        <f>IF(SER_hh_tes_in!L14=0,0,11630*1000*SER_hh_tes_in!L14/SER_hh_num_in!L14)</f>
        <v>52144.713462040541</v>
      </c>
      <c r="M14" s="65">
        <f>IF(SER_hh_tes_in!M14=0,0,11630*1000*SER_hh_tes_in!M14/SER_hh_num_in!M14)</f>
        <v>45474.769333274649</v>
      </c>
      <c r="N14" s="65">
        <f>IF(SER_hh_tes_in!N14=0,0,11630*1000*SER_hh_tes_in!N14/SER_hh_num_in!N14)</f>
        <v>42720.145515190583</v>
      </c>
      <c r="O14" s="65">
        <f>IF(SER_hh_tes_in!O14=0,0,11630*1000*SER_hh_tes_in!O14/SER_hh_num_in!O14)</f>
        <v>43091.605283060431</v>
      </c>
      <c r="P14" s="65">
        <f>IF(SER_hh_tes_in!P14=0,0,11630*1000*SER_hh_tes_in!P14/SER_hh_num_in!P14)</f>
        <v>36728.371241906454</v>
      </c>
      <c r="Q14" s="65">
        <f>IF(SER_hh_tes_in!Q14=0,0,11630*1000*SER_hh_tes_in!Q14/SER_hh_num_in!Q14)</f>
        <v>34049.958763462375</v>
      </c>
      <c r="R14" s="65">
        <f>IF(SER_hh_tes_in!R14=0,0,11630*1000*SER_hh_tes_in!R14/SER_hh_num_in!R14)</f>
        <v>35236.905522685709</v>
      </c>
      <c r="S14" s="65">
        <f>IF(SER_hh_tes_in!S14=0,0,11630*1000*SER_hh_tes_in!S14/SER_hh_num_in!S14)</f>
        <v>34393.420316569041</v>
      </c>
      <c r="T14" s="65">
        <f>IF(SER_hh_tes_in!T14=0,0,11630*1000*SER_hh_tes_in!T14/SER_hh_num_in!T14)</f>
        <v>32020.244817476243</v>
      </c>
      <c r="U14" s="65">
        <f>IF(SER_hh_tes_in!U14=0,0,11630*1000*SER_hh_tes_in!U14/SER_hh_num_in!U14)</f>
        <v>30730.962934466388</v>
      </c>
      <c r="V14" s="65">
        <f>IF(SER_hh_tes_in!V14=0,0,11630*1000*SER_hh_tes_in!V14/SER_hh_num_in!V14)</f>
        <v>26111.779208733096</v>
      </c>
      <c r="W14" s="65">
        <f>IF(SER_hh_tes_in!W14=0,0,11630*1000*SER_hh_tes_in!W14/SER_hh_num_in!W14)</f>
        <v>21756.427312389431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1167.2172723233468</v>
      </c>
      <c r="D15" s="135">
        <f>IF(SER_hh_tes_in!D15=0,0,11630*1000*SER_hh_tes_in!D15/SER_hh_num_in!D15)</f>
        <v>1142.7820974633187</v>
      </c>
      <c r="E15" s="135">
        <f>IF(SER_hh_tes_in!E15=0,0,11630*1000*SER_hh_tes_in!E15/SER_hh_num_in!E15)</f>
        <v>1025.6065783793317</v>
      </c>
      <c r="F15" s="135">
        <f>IF(SER_hh_tes_in!F15=0,0,11630*1000*SER_hh_tes_in!F15/SER_hh_num_in!F15)</f>
        <v>919.42773526718986</v>
      </c>
      <c r="G15" s="135">
        <f>IF(SER_hh_tes_in!G15=0,0,11630*1000*SER_hh_tes_in!G15/SER_hh_num_in!G15)</f>
        <v>939.25693012312661</v>
      </c>
      <c r="H15" s="135">
        <f>IF(SER_hh_tes_in!H15=0,0,11630*1000*SER_hh_tes_in!H15/SER_hh_num_in!H15)</f>
        <v>851.57018624286241</v>
      </c>
      <c r="I15" s="135">
        <f>IF(SER_hh_tes_in!I15=0,0,11630*1000*SER_hh_tes_in!I15/SER_hh_num_in!I15)</f>
        <v>777.80859348936178</v>
      </c>
      <c r="J15" s="135">
        <f>IF(SER_hh_tes_in!J15=0,0,11630*1000*SER_hh_tes_in!J15/SER_hh_num_in!J15)</f>
        <v>737.20891350952854</v>
      </c>
      <c r="K15" s="135">
        <f>IF(SER_hh_tes_in!K15=0,0,11630*1000*SER_hh_tes_in!K15/SER_hh_num_in!K15)</f>
        <v>212.06562202725576</v>
      </c>
      <c r="L15" s="135">
        <f>IF(SER_hh_tes_in!L15=0,0,11630*1000*SER_hh_tes_in!L15/SER_hh_num_in!L15)</f>
        <v>469.86406964105674</v>
      </c>
      <c r="M15" s="135">
        <f>IF(SER_hh_tes_in!M15=0,0,11630*1000*SER_hh_tes_in!M15/SER_hh_num_in!M15)</f>
        <v>496.62973475622141</v>
      </c>
      <c r="N15" s="135">
        <f>IF(SER_hh_tes_in!N15=0,0,11630*1000*SER_hh_tes_in!N15/SER_hh_num_in!N15)</f>
        <v>438.91191705924717</v>
      </c>
      <c r="O15" s="135">
        <f>IF(SER_hh_tes_in!O15=0,0,11630*1000*SER_hh_tes_in!O15/SER_hh_num_in!O15)</f>
        <v>433.47549705867385</v>
      </c>
      <c r="P15" s="135">
        <f>IF(SER_hh_tes_in!P15=0,0,11630*1000*SER_hh_tes_in!P15/SER_hh_num_in!P15)</f>
        <v>451.27928820195365</v>
      </c>
      <c r="Q15" s="135">
        <f>IF(SER_hh_tes_in!Q15=0,0,11630*1000*SER_hh_tes_in!Q15/SER_hh_num_in!Q15)</f>
        <v>451.54208072361149</v>
      </c>
      <c r="R15" s="135">
        <f>IF(SER_hh_tes_in!R15=0,0,11630*1000*SER_hh_tes_in!R15/SER_hh_num_in!R15)</f>
        <v>407.1161623765928</v>
      </c>
      <c r="S15" s="135">
        <f>IF(SER_hh_tes_in!S15=0,0,11630*1000*SER_hh_tes_in!S15/SER_hh_num_in!S15)</f>
        <v>433.99054476940404</v>
      </c>
      <c r="T15" s="135">
        <f>IF(SER_hh_tes_in!T15=0,0,11630*1000*SER_hh_tes_in!T15/SER_hh_num_in!T15)</f>
        <v>357.30267671803171</v>
      </c>
      <c r="U15" s="135">
        <f>IF(SER_hh_tes_in!U15=0,0,11630*1000*SER_hh_tes_in!U15/SER_hh_num_in!U15)</f>
        <v>360.55086013546759</v>
      </c>
      <c r="V15" s="135">
        <f>IF(SER_hh_tes_in!V15=0,0,11630*1000*SER_hh_tes_in!V15/SER_hh_num_in!V15)</f>
        <v>291.67761192092115</v>
      </c>
      <c r="W15" s="135">
        <f>IF(SER_hh_tes_in!W15=0,0,11630*1000*SER_hh_tes_in!W15/SER_hh_num_in!W15)</f>
        <v>220.67896149370162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24256.983239246336</v>
      </c>
      <c r="D16" s="131">
        <f>IF(SER_hh_tes_in!D16=0,0,11630*1000*SER_hh_tes_in!D16/SER_hh_num_in!D16)</f>
        <v>24214.479796177326</v>
      </c>
      <c r="E16" s="131">
        <f>IF(SER_hh_tes_in!E16=0,0,11630*1000*SER_hh_tes_in!E16/SER_hh_num_in!E16)</f>
        <v>25325.844467628125</v>
      </c>
      <c r="F16" s="131">
        <f>IF(SER_hh_tes_in!F16=0,0,11630*1000*SER_hh_tes_in!F16/SER_hh_num_in!F16)</f>
        <v>24018.61267452659</v>
      </c>
      <c r="G16" s="131">
        <f>IF(SER_hh_tes_in!G16=0,0,11630*1000*SER_hh_tes_in!G16/SER_hh_num_in!G16)</f>
        <v>24116.780742915558</v>
      </c>
      <c r="H16" s="131">
        <f>IF(SER_hh_tes_in!H16=0,0,11630*1000*SER_hh_tes_in!H16/SER_hh_num_in!H16)</f>
        <v>24785.494042721737</v>
      </c>
      <c r="I16" s="131">
        <f>IF(SER_hh_tes_in!I16=0,0,11630*1000*SER_hh_tes_in!I16/SER_hh_num_in!I16)</f>
        <v>24331.853235599949</v>
      </c>
      <c r="J16" s="131">
        <f>IF(SER_hh_tes_in!J16=0,0,11630*1000*SER_hh_tes_in!J16/SER_hh_num_in!J16)</f>
        <v>23836.522941438812</v>
      </c>
      <c r="K16" s="131">
        <f>IF(SER_hh_tes_in!K16=0,0,11630*1000*SER_hh_tes_in!K16/SER_hh_num_in!K16)</f>
        <v>23529.64368323666</v>
      </c>
      <c r="L16" s="131">
        <f>IF(SER_hh_tes_in!L16=0,0,11630*1000*SER_hh_tes_in!L16/SER_hh_num_in!L16)</f>
        <v>23908.121357866199</v>
      </c>
      <c r="M16" s="131">
        <f>IF(SER_hh_tes_in!M16=0,0,11630*1000*SER_hh_tes_in!M16/SER_hh_num_in!M16)</f>
        <v>23372.936234855235</v>
      </c>
      <c r="N16" s="131">
        <f>IF(SER_hh_tes_in!N16=0,0,11630*1000*SER_hh_tes_in!N16/SER_hh_num_in!N16)</f>
        <v>23314.862324605601</v>
      </c>
      <c r="O16" s="131">
        <f>IF(SER_hh_tes_in!O16=0,0,11630*1000*SER_hh_tes_in!O16/SER_hh_num_in!O16)</f>
        <v>23971.217588240408</v>
      </c>
      <c r="P16" s="131">
        <f>IF(SER_hh_tes_in!P16=0,0,11630*1000*SER_hh_tes_in!P16/SER_hh_num_in!P16)</f>
        <v>22453.886267811882</v>
      </c>
      <c r="Q16" s="131">
        <f>IF(SER_hh_tes_in!Q16=0,0,11630*1000*SER_hh_tes_in!Q16/SER_hh_num_in!Q16)</f>
        <v>26117.901556924156</v>
      </c>
      <c r="R16" s="131">
        <f>IF(SER_hh_tes_in!R16=0,0,11630*1000*SER_hh_tes_in!R16/SER_hh_num_in!R16)</f>
        <v>21959.092909328851</v>
      </c>
      <c r="S16" s="131">
        <f>IF(SER_hh_tes_in!S16=0,0,11630*1000*SER_hh_tes_in!S16/SER_hh_num_in!S16)</f>
        <v>22013.68565771362</v>
      </c>
      <c r="T16" s="131">
        <f>IF(SER_hh_tes_in!T16=0,0,11630*1000*SER_hh_tes_in!T16/SER_hh_num_in!T16)</f>
        <v>22804.912204022978</v>
      </c>
      <c r="U16" s="131">
        <f>IF(SER_hh_tes_in!U16=0,0,11630*1000*SER_hh_tes_in!U16/SER_hh_num_in!U16)</f>
        <v>21991.011951988112</v>
      </c>
      <c r="V16" s="131">
        <f>IF(SER_hh_tes_in!V16=0,0,11630*1000*SER_hh_tes_in!V16/SER_hh_num_in!V16)</f>
        <v>20367.220468797339</v>
      </c>
      <c r="W16" s="131">
        <f>IF(SER_hh_tes_in!W16=0,0,11630*1000*SER_hh_tes_in!W16/SER_hh_num_in!W16)</f>
        <v>19009.535988845641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24730.203618496322</v>
      </c>
      <c r="H17" s="133">
        <f>IF(SER_hh_tes_in!H17=0,0,11630*1000*SER_hh_tes_in!H17/SER_hh_num_in!H17)</f>
        <v>25214.642398282387</v>
      </c>
      <c r="I17" s="133">
        <f>IF(SER_hh_tes_in!I17=0,0,11630*1000*SER_hh_tes_in!I17/SER_hh_num_in!I17)</f>
        <v>24679.781961025645</v>
      </c>
      <c r="J17" s="133">
        <f>IF(SER_hh_tes_in!J17=0,0,11630*1000*SER_hh_tes_in!J17/SER_hh_num_in!J17)</f>
        <v>23958.405152106345</v>
      </c>
      <c r="K17" s="133">
        <f>IF(SER_hh_tes_in!K17=0,0,11630*1000*SER_hh_tes_in!K17/SER_hh_num_in!K17)</f>
        <v>23659.238840281247</v>
      </c>
      <c r="L17" s="133">
        <f>IF(SER_hh_tes_in!L17=0,0,11630*1000*SER_hh_tes_in!L17/SER_hh_num_in!L17)</f>
        <v>23862.414192084463</v>
      </c>
      <c r="M17" s="133">
        <f>IF(SER_hh_tes_in!M17=0,0,11630*1000*SER_hh_tes_in!M17/SER_hh_num_in!M17)</f>
        <v>23225.220143164748</v>
      </c>
      <c r="N17" s="133">
        <f>IF(SER_hh_tes_in!N17=0,0,11630*1000*SER_hh_tes_in!N17/SER_hh_num_in!N17)</f>
        <v>23106.126569065134</v>
      </c>
      <c r="O17" s="133">
        <f>IF(SER_hh_tes_in!O17=0,0,11630*1000*SER_hh_tes_in!O17/SER_hh_num_in!O17)</f>
        <v>23892.850346217838</v>
      </c>
      <c r="P17" s="133">
        <f>IF(SER_hh_tes_in!P17=0,0,11630*1000*SER_hh_tes_in!P17/SER_hh_num_in!P17)</f>
        <v>22891.476329231853</v>
      </c>
      <c r="Q17" s="133">
        <f>IF(SER_hh_tes_in!Q17=0,0,11630*1000*SER_hh_tes_in!Q17/SER_hh_num_in!Q17)</f>
        <v>27344.487781039385</v>
      </c>
      <c r="R17" s="133">
        <f>IF(SER_hh_tes_in!R17=0,0,11630*1000*SER_hh_tes_in!R17/SER_hh_num_in!R17)</f>
        <v>22862.763454161581</v>
      </c>
      <c r="S17" s="133">
        <f>IF(SER_hh_tes_in!S17=0,0,11630*1000*SER_hh_tes_in!S17/SER_hh_num_in!S17)</f>
        <v>22930.45135754341</v>
      </c>
      <c r="T17" s="133">
        <f>IF(SER_hh_tes_in!T17=0,0,11630*1000*SER_hh_tes_in!T17/SER_hh_num_in!T17)</f>
        <v>25018.880243265168</v>
      </c>
      <c r="U17" s="133">
        <f>IF(SER_hh_tes_in!U17=0,0,11630*1000*SER_hh_tes_in!U17/SER_hh_num_in!U17)</f>
        <v>22564.98286261152</v>
      </c>
      <c r="V17" s="133">
        <f>IF(SER_hh_tes_in!V17=0,0,11630*1000*SER_hh_tes_in!V17/SER_hh_num_in!V17)</f>
        <v>21170.016193144234</v>
      </c>
      <c r="W17" s="133">
        <f>IF(SER_hh_tes_in!W17=0,0,11630*1000*SER_hh_tes_in!W17/SER_hh_num_in!W17)</f>
        <v>19403.778160986734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24256.983239246336</v>
      </c>
      <c r="D18" s="133">
        <f>IF(SER_hh_tes_in!D18=0,0,11630*1000*SER_hh_tes_in!D18/SER_hh_num_in!D18)</f>
        <v>24214.479796177326</v>
      </c>
      <c r="E18" s="133">
        <f>IF(SER_hh_tes_in!E18=0,0,11630*1000*SER_hh_tes_in!E18/SER_hh_num_in!E18)</f>
        <v>25325.844467628125</v>
      </c>
      <c r="F18" s="133">
        <f>IF(SER_hh_tes_in!F18=0,0,11630*1000*SER_hh_tes_in!F18/SER_hh_num_in!F18)</f>
        <v>24018.61267452659</v>
      </c>
      <c r="G18" s="133">
        <f>IF(SER_hh_tes_in!G18=0,0,11630*1000*SER_hh_tes_in!G18/SER_hh_num_in!G18)</f>
        <v>24114.281153883992</v>
      </c>
      <c r="H18" s="133">
        <f>IF(SER_hh_tes_in!H18=0,0,11630*1000*SER_hh_tes_in!H18/SER_hh_num_in!H18)</f>
        <v>24785.104686815226</v>
      </c>
      <c r="I18" s="133">
        <f>IF(SER_hh_tes_in!I18=0,0,11630*1000*SER_hh_tes_in!I18/SER_hh_num_in!I18)</f>
        <v>24331.200754143876</v>
      </c>
      <c r="J18" s="133">
        <f>IF(SER_hh_tes_in!J18=0,0,11630*1000*SER_hh_tes_in!J18/SER_hh_num_in!J18)</f>
        <v>23836.474217019342</v>
      </c>
      <c r="K18" s="133">
        <f>IF(SER_hh_tes_in!K18=0,0,11630*1000*SER_hh_tes_in!K18/SER_hh_num_in!K18)</f>
        <v>23529.22059191054</v>
      </c>
      <c r="L18" s="133">
        <f>IF(SER_hh_tes_in!L18=0,0,11630*1000*SER_hh_tes_in!L18/SER_hh_num_in!L18)</f>
        <v>23908.137712118903</v>
      </c>
      <c r="M18" s="133">
        <f>IF(SER_hh_tes_in!M18=0,0,11630*1000*SER_hh_tes_in!M18/SER_hh_num_in!M18)</f>
        <v>23373.088071992763</v>
      </c>
      <c r="N18" s="133">
        <f>IF(SER_hh_tes_in!N18=0,0,11630*1000*SER_hh_tes_in!N18/SER_hh_num_in!N18)</f>
        <v>23315.101910849629</v>
      </c>
      <c r="O18" s="133">
        <f>IF(SER_hh_tes_in!O18=0,0,11630*1000*SER_hh_tes_in!O18/SER_hh_num_in!O18)</f>
        <v>23971.481326189605</v>
      </c>
      <c r="P18" s="133">
        <f>IF(SER_hh_tes_in!P18=0,0,11630*1000*SER_hh_tes_in!P18/SER_hh_num_in!P18)</f>
        <v>22450.996204016879</v>
      </c>
      <c r="Q18" s="133">
        <f>IF(SER_hh_tes_in!Q18=0,0,11630*1000*SER_hh_tes_in!Q18/SER_hh_num_in!Q18)</f>
        <v>26106.15257129617</v>
      </c>
      <c r="R18" s="133">
        <f>IF(SER_hh_tes_in!R18=0,0,11630*1000*SER_hh_tes_in!R18/SER_hh_num_in!R18)</f>
        <v>21954.027048598637</v>
      </c>
      <c r="S18" s="133">
        <f>IF(SER_hh_tes_in!S18=0,0,11630*1000*SER_hh_tes_in!S18/SER_hh_num_in!S18)</f>
        <v>22006.863222726333</v>
      </c>
      <c r="T18" s="133">
        <f>IF(SER_hh_tes_in!T18=0,0,11630*1000*SER_hh_tes_in!T18/SER_hh_num_in!T18)</f>
        <v>22790.11262285406</v>
      </c>
      <c r="U18" s="133">
        <f>IF(SER_hh_tes_in!U18=0,0,11630*1000*SER_hh_tes_in!U18/SER_hh_num_in!U18)</f>
        <v>21987.567285923629</v>
      </c>
      <c r="V18" s="133">
        <f>IF(SER_hh_tes_in!V18=0,0,11630*1000*SER_hh_tes_in!V18/SER_hh_num_in!V18)</f>
        <v>20354.581309287176</v>
      </c>
      <c r="W18" s="133">
        <f>IF(SER_hh_tes_in!W18=0,0,11630*1000*SER_hh_tes_in!W18/SER_hh_num_in!W18)</f>
        <v>19007.474433245927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6932.1886194483031</v>
      </c>
      <c r="D19" s="131">
        <f>IF(SER_hh_tes_in!D19=0,0,11630*1000*SER_hh_tes_in!D19/SER_hh_num_in!D19)</f>
        <v>6832.2191340259233</v>
      </c>
      <c r="E19" s="131">
        <f>IF(SER_hh_tes_in!E19=0,0,11630*1000*SER_hh_tes_in!E19/SER_hh_num_in!E19)</f>
        <v>6735.6689074588003</v>
      </c>
      <c r="F19" s="131">
        <f>IF(SER_hh_tes_in!F19=0,0,11630*1000*SER_hh_tes_in!F19/SER_hh_num_in!F19)</f>
        <v>6548.6162522166906</v>
      </c>
      <c r="G19" s="131">
        <f>IF(SER_hh_tes_in!G19=0,0,11630*1000*SER_hh_tes_in!G19/SER_hh_num_in!G19)</f>
        <v>6497.924260675094</v>
      </c>
      <c r="H19" s="131">
        <f>IF(SER_hh_tes_in!H19=0,0,11630*1000*SER_hh_tes_in!H19/SER_hh_num_in!H19)</f>
        <v>6529.7654298411971</v>
      </c>
      <c r="I19" s="131">
        <f>IF(SER_hh_tes_in!I19=0,0,11630*1000*SER_hh_tes_in!I19/SER_hh_num_in!I19)</f>
        <v>6503.9259418862266</v>
      </c>
      <c r="J19" s="131">
        <f>IF(SER_hh_tes_in!J19=0,0,11630*1000*SER_hh_tes_in!J19/SER_hh_num_in!J19)</f>
        <v>6559.3848081915876</v>
      </c>
      <c r="K19" s="131">
        <f>IF(SER_hh_tes_in!K19=0,0,11630*1000*SER_hh_tes_in!K19/SER_hh_num_in!K19)</f>
        <v>7287.0629765409676</v>
      </c>
      <c r="L19" s="131">
        <f>IF(SER_hh_tes_in!L19=0,0,11630*1000*SER_hh_tes_in!L19/SER_hh_num_in!L19)</f>
        <v>7293.8826485648406</v>
      </c>
      <c r="M19" s="131">
        <f>IF(SER_hh_tes_in!M19=0,0,11630*1000*SER_hh_tes_in!M19/SER_hh_num_in!M19)</f>
        <v>7358.3105182068703</v>
      </c>
      <c r="N19" s="131">
        <f>IF(SER_hh_tes_in!N19=0,0,11630*1000*SER_hh_tes_in!N19/SER_hh_num_in!N19)</f>
        <v>7454.6928984957904</v>
      </c>
      <c r="O19" s="131">
        <f>IF(SER_hh_tes_in!O19=0,0,11630*1000*SER_hh_tes_in!O19/SER_hh_num_in!O19)</f>
        <v>7511.0879965440354</v>
      </c>
      <c r="P19" s="131">
        <f>IF(SER_hh_tes_in!P19=0,0,11630*1000*SER_hh_tes_in!P19/SER_hh_num_in!P19)</f>
        <v>7446.5122371502603</v>
      </c>
      <c r="Q19" s="131">
        <f>IF(SER_hh_tes_in!Q19=0,0,11630*1000*SER_hh_tes_in!Q19/SER_hh_num_in!Q19)</f>
        <v>7390.8351781049223</v>
      </c>
      <c r="R19" s="131">
        <f>IF(SER_hh_tes_in!R19=0,0,11630*1000*SER_hh_tes_in!R19/SER_hh_num_in!R19)</f>
        <v>7531.0273099597953</v>
      </c>
      <c r="S19" s="131">
        <f>IF(SER_hh_tes_in!S19=0,0,11630*1000*SER_hh_tes_in!S19/SER_hh_num_in!S19)</f>
        <v>7629.0472316045634</v>
      </c>
      <c r="T19" s="131">
        <f>IF(SER_hh_tes_in!T19=0,0,11630*1000*SER_hh_tes_in!T19/SER_hh_num_in!T19)</f>
        <v>7554.3166749162046</v>
      </c>
      <c r="U19" s="131">
        <f>IF(SER_hh_tes_in!U19=0,0,11630*1000*SER_hh_tes_in!U19/SER_hh_num_in!U19)</f>
        <v>7524.1279619975048</v>
      </c>
      <c r="V19" s="131">
        <f>IF(SER_hh_tes_in!V19=0,0,11630*1000*SER_hh_tes_in!V19/SER_hh_num_in!V19)</f>
        <v>7153.3903969767771</v>
      </c>
      <c r="W19" s="131">
        <f>IF(SER_hh_tes_in!W19=0,0,11630*1000*SER_hh_tes_in!W19/SER_hh_num_in!W19)</f>
        <v>7110.0068979728603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6861.2006084669592</v>
      </c>
      <c r="D23" s="133">
        <f>IF(SER_hh_tes_in!D23=0,0,11630*1000*SER_hh_tes_in!D23/SER_hh_num_in!D23)</f>
        <v>6852.6799189670928</v>
      </c>
      <c r="E23" s="133">
        <f>IF(SER_hh_tes_in!E23=0,0,11630*1000*SER_hh_tes_in!E23/SER_hh_num_in!E23)</f>
        <v>6558.8775039672119</v>
      </c>
      <c r="F23" s="133">
        <f>IF(SER_hh_tes_in!F23=0,0,11630*1000*SER_hh_tes_in!F23/SER_hh_num_in!F23)</f>
        <v>6426.4209693764251</v>
      </c>
      <c r="G23" s="133">
        <f>IF(SER_hh_tes_in!G23=0,0,11630*1000*SER_hh_tes_in!G23/SER_hh_num_in!G23)</f>
        <v>6475.7463863906087</v>
      </c>
      <c r="H23" s="133">
        <f>IF(SER_hh_tes_in!H23=0,0,11630*1000*SER_hh_tes_in!H23/SER_hh_num_in!H23)</f>
        <v>6468.5746172914451</v>
      </c>
      <c r="I23" s="133">
        <f>IF(SER_hh_tes_in!I23=0,0,11630*1000*SER_hh_tes_in!I23/SER_hh_num_in!I23)</f>
        <v>6295.9703438250608</v>
      </c>
      <c r="J23" s="133">
        <f>IF(SER_hh_tes_in!J23=0,0,11630*1000*SER_hh_tes_in!J23/SER_hh_num_in!J23)</f>
        <v>6320.678176016615</v>
      </c>
      <c r="K23" s="133">
        <f>IF(SER_hh_tes_in!K23=0,0,11630*1000*SER_hh_tes_in!K23/SER_hh_num_in!K23)</f>
        <v>6633.4058552961487</v>
      </c>
      <c r="L23" s="133">
        <f>IF(SER_hh_tes_in!L23=0,0,11630*1000*SER_hh_tes_in!L23/SER_hh_num_in!L23)</f>
        <v>7216.7853160038203</v>
      </c>
      <c r="M23" s="133">
        <f>IF(SER_hh_tes_in!M23=0,0,11630*1000*SER_hh_tes_in!M23/SER_hh_num_in!M23)</f>
        <v>7099.006232981108</v>
      </c>
      <c r="N23" s="133">
        <f>IF(SER_hh_tes_in!N23=0,0,11630*1000*SER_hh_tes_in!N23/SER_hh_num_in!N23)</f>
        <v>7078.49947539197</v>
      </c>
      <c r="O23" s="133">
        <f>IF(SER_hh_tes_in!O23=0,0,11630*1000*SER_hh_tes_in!O23/SER_hh_num_in!O23)</f>
        <v>7160.2084697810988</v>
      </c>
      <c r="P23" s="133">
        <f>IF(SER_hh_tes_in!P23=0,0,11630*1000*SER_hh_tes_in!P23/SER_hh_num_in!P23)</f>
        <v>7073.6082363006053</v>
      </c>
      <c r="Q23" s="133">
        <f>IF(SER_hh_tes_in!Q23=0,0,11630*1000*SER_hh_tes_in!Q23/SER_hh_num_in!Q23)</f>
        <v>7359.5082109365394</v>
      </c>
      <c r="R23" s="133">
        <f>IF(SER_hh_tes_in!R23=0,0,11630*1000*SER_hh_tes_in!R23/SER_hh_num_in!R23)</f>
        <v>7396.0219673132742</v>
      </c>
      <c r="S23" s="133">
        <f>IF(SER_hh_tes_in!S23=0,0,11630*1000*SER_hh_tes_in!S23/SER_hh_num_in!S23)</f>
        <v>7560.28462859505</v>
      </c>
      <c r="T23" s="133">
        <f>IF(SER_hh_tes_in!T23=0,0,11630*1000*SER_hh_tes_in!T23/SER_hh_num_in!T23)</f>
        <v>7239.657130996874</v>
      </c>
      <c r="U23" s="133">
        <f>IF(SER_hh_tes_in!U23=0,0,11630*1000*SER_hh_tes_in!U23/SER_hh_num_in!U23)</f>
        <v>7455.7189258367125</v>
      </c>
      <c r="V23" s="133">
        <f>IF(SER_hh_tes_in!V23=0,0,11630*1000*SER_hh_tes_in!V23/SER_hh_num_in!V23)</f>
        <v>6815.9787740231814</v>
      </c>
      <c r="W23" s="133">
        <f>IF(SER_hh_tes_in!W23=0,0,11630*1000*SER_hh_tes_in!W23/SER_hh_num_in!W23)</f>
        <v>7004.9458345126886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6932.8535061572165</v>
      </c>
      <c r="D25" s="133">
        <f>IF(SER_hh_tes_in!D25=0,0,11630*1000*SER_hh_tes_in!D25/SER_hh_num_in!D25)</f>
        <v>6775.417899604141</v>
      </c>
      <c r="E25" s="133">
        <f>IF(SER_hh_tes_in!E25=0,0,11630*1000*SER_hh_tes_in!E25/SER_hh_num_in!E25)</f>
        <v>6603.1538424779274</v>
      </c>
      <c r="F25" s="133">
        <f>IF(SER_hh_tes_in!F25=0,0,11630*1000*SER_hh_tes_in!F25/SER_hh_num_in!F25)</f>
        <v>6597.7414006228082</v>
      </c>
      <c r="G25" s="133">
        <f>IF(SER_hh_tes_in!G25=0,0,11630*1000*SER_hh_tes_in!G25/SER_hh_num_in!G25)</f>
        <v>6447.1883014009327</v>
      </c>
      <c r="H25" s="133">
        <f>IF(SER_hh_tes_in!H25=0,0,11630*1000*SER_hh_tes_in!H25/SER_hh_num_in!H25)</f>
        <v>6542.2030398398883</v>
      </c>
      <c r="I25" s="133">
        <f>IF(SER_hh_tes_in!I25=0,0,11630*1000*SER_hh_tes_in!I25/SER_hh_num_in!I25)</f>
        <v>6517.1666128403585</v>
      </c>
      <c r="J25" s="133">
        <f>IF(SER_hh_tes_in!J25=0,0,11630*1000*SER_hh_tes_in!J25/SER_hh_num_in!J25)</f>
        <v>6541.5185497859202</v>
      </c>
      <c r="K25" s="133">
        <f>IF(SER_hh_tes_in!K25=0,0,11630*1000*SER_hh_tes_in!K25/SER_hh_num_in!K25)</f>
        <v>6245.8906131162103</v>
      </c>
      <c r="L25" s="133">
        <f>IF(SER_hh_tes_in!L25=0,0,11630*1000*SER_hh_tes_in!L25/SER_hh_num_in!L25)</f>
        <v>7051.9003914524801</v>
      </c>
      <c r="M25" s="133">
        <f>IF(SER_hh_tes_in!M25=0,0,11630*1000*SER_hh_tes_in!M25/SER_hh_num_in!M25)</f>
        <v>7165.6270268874396</v>
      </c>
      <c r="N25" s="133">
        <f>IF(SER_hh_tes_in!N25=0,0,11630*1000*SER_hh_tes_in!N25/SER_hh_num_in!N25)</f>
        <v>7175.2005309370215</v>
      </c>
      <c r="O25" s="133">
        <f>IF(SER_hh_tes_in!O25=0,0,11630*1000*SER_hh_tes_in!O25/SER_hh_num_in!O25)</f>
        <v>7309.125654075041</v>
      </c>
      <c r="P25" s="133">
        <f>IF(SER_hh_tes_in!P25=0,0,11630*1000*SER_hh_tes_in!P25/SER_hh_num_in!P25)</f>
        <v>7089.6255518991311</v>
      </c>
      <c r="Q25" s="133">
        <f>IF(SER_hh_tes_in!Q25=0,0,11630*1000*SER_hh_tes_in!Q25/SER_hh_num_in!Q25)</f>
        <v>7330.4520606644655</v>
      </c>
      <c r="R25" s="133">
        <f>IF(SER_hh_tes_in!R25=0,0,11630*1000*SER_hh_tes_in!R25/SER_hh_num_in!R25)</f>
        <v>7523.3020468634386</v>
      </c>
      <c r="S25" s="133">
        <f>IF(SER_hh_tes_in!S25=0,0,11630*1000*SER_hh_tes_in!S25/SER_hh_num_in!S25)</f>
        <v>7307.6032558540192</v>
      </c>
      <c r="T25" s="133">
        <f>IF(SER_hh_tes_in!T25=0,0,11630*1000*SER_hh_tes_in!T25/SER_hh_num_in!T25)</f>
        <v>7551.7573217467398</v>
      </c>
      <c r="U25" s="133">
        <f>IF(SER_hh_tes_in!U25=0,0,11630*1000*SER_hh_tes_in!U25/SER_hh_num_in!U25)</f>
        <v>7183.3530830757491</v>
      </c>
      <c r="V25" s="133">
        <f>IF(SER_hh_tes_in!V25=0,0,11630*1000*SER_hh_tes_in!V25/SER_hh_num_in!V25)</f>
        <v>6724.8440576530111</v>
      </c>
      <c r="W25" s="133">
        <f>IF(SER_hh_tes_in!W25=0,0,11630*1000*SER_hh_tes_in!W25/SER_hh_num_in!W25)</f>
        <v>7107.4105445217519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6994.9684963399031</v>
      </c>
      <c r="D26" s="65">
        <f>IF(SER_hh_tes_in!D26=0,0,11630*1000*SER_hh_tes_in!D26/SER_hh_num_in!D26)</f>
        <v>6856.3631267412829</v>
      </c>
      <c r="E26" s="65">
        <f>IF(SER_hh_tes_in!E26=0,0,11630*1000*SER_hh_tes_in!E26/SER_hh_num_in!E26)</f>
        <v>4539.2977409560626</v>
      </c>
      <c r="F26" s="65">
        <f>IF(SER_hh_tes_in!F26=0,0,11630*1000*SER_hh_tes_in!F26/SER_hh_num_in!F26)</f>
        <v>5831.0336116211965</v>
      </c>
      <c r="G26" s="65">
        <f>IF(SER_hh_tes_in!G26=0,0,11630*1000*SER_hh_tes_in!G26/SER_hh_num_in!G26)</f>
        <v>6204.2266814049945</v>
      </c>
      <c r="H26" s="65">
        <f>IF(SER_hh_tes_in!H26=0,0,11630*1000*SER_hh_tes_in!H26/SER_hh_num_in!H26)</f>
        <v>6193.7665077796373</v>
      </c>
      <c r="I26" s="65">
        <f>IF(SER_hh_tes_in!I26=0,0,11630*1000*SER_hh_tes_in!I26/SER_hh_num_in!I26)</f>
        <v>6170.8790112813385</v>
      </c>
      <c r="J26" s="65">
        <f>IF(SER_hh_tes_in!J26=0,0,11630*1000*SER_hh_tes_in!J26/SER_hh_num_in!J26)</f>
        <v>5566.9175309287075</v>
      </c>
      <c r="K26" s="65">
        <f>IF(SER_hh_tes_in!K26=0,0,11630*1000*SER_hh_tes_in!K26/SER_hh_num_in!K26)</f>
        <v>2943.1890042483487</v>
      </c>
      <c r="L26" s="65">
        <f>IF(SER_hh_tes_in!L26=0,0,11630*1000*SER_hh_tes_in!L26/SER_hh_num_in!L26)</f>
        <v>5034.9858154704043</v>
      </c>
      <c r="M26" s="65">
        <f>IF(SER_hh_tes_in!M26=0,0,11630*1000*SER_hh_tes_in!M26/SER_hh_num_in!M26)</f>
        <v>5706.4221032171126</v>
      </c>
      <c r="N26" s="65">
        <f>IF(SER_hh_tes_in!N26=0,0,11630*1000*SER_hh_tes_in!N26/SER_hh_num_in!N26)</f>
        <v>5719.1256140812693</v>
      </c>
      <c r="O26" s="65">
        <f>IF(SER_hh_tes_in!O26=0,0,11630*1000*SER_hh_tes_in!O26/SER_hh_num_in!O26)</f>
        <v>6019.0032045218404</v>
      </c>
      <c r="P26" s="65">
        <f>IF(SER_hh_tes_in!P26=0,0,11630*1000*SER_hh_tes_in!P26/SER_hh_num_in!P26)</f>
        <v>3215.4988785158798</v>
      </c>
      <c r="Q26" s="65">
        <f>IF(SER_hh_tes_in!Q26=0,0,11630*1000*SER_hh_tes_in!Q26/SER_hh_num_in!Q26)</f>
        <v>6510.4358518825156</v>
      </c>
      <c r="R26" s="65">
        <f>IF(SER_hh_tes_in!R26=0,0,11630*1000*SER_hh_tes_in!R26/SER_hh_num_in!R26)</f>
        <v>6497.6257331879178</v>
      </c>
      <c r="S26" s="65">
        <f>IF(SER_hh_tes_in!S26=0,0,11630*1000*SER_hh_tes_in!S26/SER_hh_num_in!S26)</f>
        <v>5917.3184988842449</v>
      </c>
      <c r="T26" s="65">
        <f>IF(SER_hh_tes_in!T26=0,0,11630*1000*SER_hh_tes_in!T26/SER_hh_num_in!T26)</f>
        <v>6006.286273192587</v>
      </c>
      <c r="U26" s="65">
        <f>IF(SER_hh_tes_in!U26=0,0,11630*1000*SER_hh_tes_in!U26/SER_hh_num_in!U26)</f>
        <v>6022.9191761715647</v>
      </c>
      <c r="V26" s="65">
        <f>IF(SER_hh_tes_in!V26=0,0,11630*1000*SER_hh_tes_in!V26/SER_hh_num_in!V26)</f>
        <v>4076.1702381091904</v>
      </c>
      <c r="W26" s="65">
        <f>IF(SER_hh_tes_in!W26=0,0,11630*1000*SER_hh_tes_in!W26/SER_hh_num_in!W26)</f>
        <v>6642.2245886660676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760.27854455454121</v>
      </c>
      <c r="F27" s="146">
        <f>IF(SER_hh_tes_in!F27=0,0,11630*1000*SER_hh_tes_in!F27/SER_hh_num_in!F19)</f>
        <v>246.25329091388241</v>
      </c>
      <c r="G27" s="146">
        <f>IF(SER_hh_tes_in!G27=0,0,11630*1000*SER_hh_tes_in!G27/SER_hh_num_in!G19)</f>
        <v>129.80943406668771</v>
      </c>
      <c r="H27" s="146">
        <f>IF(SER_hh_tes_in!H27=0,0,11630*1000*SER_hh_tes_in!H27/SER_hh_num_in!H19)</f>
        <v>148.56822389936582</v>
      </c>
      <c r="I27" s="146">
        <f>IF(SER_hh_tes_in!I27=0,0,11630*1000*SER_hh_tes_in!I27/SER_hh_num_in!I19)</f>
        <v>212.24785563867678</v>
      </c>
      <c r="J27" s="146">
        <f>IF(SER_hh_tes_in!J27=0,0,11630*1000*SER_hh_tes_in!J27/SER_hh_num_in!J19)</f>
        <v>451.95411985683728</v>
      </c>
      <c r="K27" s="146">
        <f>IF(SER_hh_tes_in!K27=0,0,11630*1000*SER_hh_tes_in!K27/SER_hh_num_in!K19)</f>
        <v>1238.6709390364158</v>
      </c>
      <c r="L27" s="146">
        <f>IF(SER_hh_tes_in!L27=0,0,11630*1000*SER_hh_tes_in!L27/SER_hh_num_in!L19)</f>
        <v>956.28077771958908</v>
      </c>
      <c r="M27" s="146">
        <f>IF(SER_hh_tes_in!M27=0,0,11630*1000*SER_hh_tes_in!M27/SER_hh_num_in!M19)</f>
        <v>685.66307995626823</v>
      </c>
      <c r="N27" s="146">
        <f>IF(SER_hh_tes_in!N27=0,0,11630*1000*SER_hh_tes_in!N27/SER_hh_num_in!N19)</f>
        <v>818.80037679782026</v>
      </c>
      <c r="O27" s="146">
        <f>IF(SER_hh_tes_in!O27=0,0,11630*1000*SER_hh_tes_in!O27/SER_hh_num_in!O19)</f>
        <v>625.83453060648969</v>
      </c>
      <c r="P27" s="146">
        <f>IF(SER_hh_tes_in!P27=0,0,11630*1000*SER_hh_tes_in!P27/SER_hh_num_in!P19)</f>
        <v>1296.5224497576917</v>
      </c>
      <c r="Q27" s="146">
        <f>IF(SER_hh_tes_in!Q27=0,0,11630*1000*SER_hh_tes_in!Q27/SER_hh_num_in!Q19)</f>
        <v>251.40059051973202</v>
      </c>
      <c r="R27" s="146">
        <f>IF(SER_hh_tes_in!R27=0,0,11630*1000*SER_hh_tes_in!R27/SER_hh_num_in!R19)</f>
        <v>387.55627101152209</v>
      </c>
      <c r="S27" s="146">
        <f>IF(SER_hh_tes_in!S27=0,0,11630*1000*SER_hh_tes_in!S27/SER_hh_num_in!S19)</f>
        <v>570.54220504570253</v>
      </c>
      <c r="T27" s="146">
        <f>IF(SER_hh_tes_in!T27=0,0,11630*1000*SER_hh_tes_in!T27/SER_hh_num_in!T19)</f>
        <v>694.13546602523161</v>
      </c>
      <c r="U27" s="146">
        <f>IF(SER_hh_tes_in!U27=0,0,11630*1000*SER_hh_tes_in!U27/SER_hh_num_in!U19)</f>
        <v>558.39834752532408</v>
      </c>
      <c r="V27" s="146">
        <f>IF(SER_hh_tes_in!V27=0,0,11630*1000*SER_hh_tes_in!V27/SER_hh_num_in!V19)</f>
        <v>1239.4041488823816</v>
      </c>
      <c r="W27" s="146">
        <f>IF(SER_hh_tes_in!W27=0,0,11630*1000*SER_hh_tes_in!W27/SER_hh_num_in!W19)</f>
        <v>196.05594772557345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3447.4859142813698</v>
      </c>
      <c r="F28" s="147">
        <f>IF(SER_hh_tes_in!F27=0,0,11630*1000*SER_hh_tes_in!F27/SER_hh_num_in!F27)</f>
        <v>3311.5015633391263</v>
      </c>
      <c r="G28" s="147">
        <f>IF(SER_hh_tes_in!G27=0,0,11630*1000*SER_hh_tes_in!G27/SER_hh_num_in!G27)</f>
        <v>3365.4479678238031</v>
      </c>
      <c r="H28" s="147">
        <f>IF(SER_hh_tes_in!H27=0,0,11630*1000*SER_hh_tes_in!H27/SER_hh_num_in!H27)</f>
        <v>3258.9414281036597</v>
      </c>
      <c r="I28" s="147">
        <f>IF(SER_hh_tes_in!I27=0,0,11630*1000*SER_hh_tes_in!I27/SER_hh_num_in!I27)</f>
        <v>3315.9566457206088</v>
      </c>
      <c r="J28" s="147">
        <f>IF(SER_hh_tes_in!J27=0,0,11630*1000*SER_hh_tes_in!J27/SER_hh_num_in!J27)</f>
        <v>3387.4055913170014</v>
      </c>
      <c r="K28" s="147">
        <f>IF(SER_hh_tes_in!K27=0,0,11630*1000*SER_hh_tes_in!K27/SER_hh_num_in!K27)</f>
        <v>3782.8303942998355</v>
      </c>
      <c r="L28" s="147">
        <f>IF(SER_hh_tes_in!L27=0,0,11630*1000*SER_hh_tes_in!L27/SER_hh_num_in!L27)</f>
        <v>3789.3702276860163</v>
      </c>
      <c r="M28" s="147">
        <f>IF(SER_hh_tes_in!M27=0,0,11630*1000*SER_hh_tes_in!M27/SER_hh_num_in!M27)</f>
        <v>4168.2487046420702</v>
      </c>
      <c r="N28" s="147">
        <f>IF(SER_hh_tes_in!N27=0,0,11630*1000*SER_hh_tes_in!N27/SER_hh_num_in!N27)</f>
        <v>4306.5491518022491</v>
      </c>
      <c r="O28" s="147">
        <f>IF(SER_hh_tes_in!O27=0,0,11630*1000*SER_hh_tes_in!O27/SER_hh_num_in!O27)</f>
        <v>4451.1891043044106</v>
      </c>
      <c r="P28" s="147">
        <f>IF(SER_hh_tes_in!P27=0,0,11630*1000*SER_hh_tes_in!P27/SER_hh_num_in!P27)</f>
        <v>4191.4744241007029</v>
      </c>
      <c r="Q28" s="147">
        <f>IF(SER_hh_tes_in!Q27=0,0,11630*1000*SER_hh_tes_in!Q27/SER_hh_num_in!Q27)</f>
        <v>4408.1398195732463</v>
      </c>
      <c r="R28" s="147">
        <f>IF(SER_hh_tes_in!R27=0,0,11630*1000*SER_hh_tes_in!R27/SER_hh_num_in!R27)</f>
        <v>4575.2774307756354</v>
      </c>
      <c r="S28" s="147">
        <f>IF(SER_hh_tes_in!S27=0,0,11630*1000*SER_hh_tes_in!S27/SER_hh_num_in!S27)</f>
        <v>4580.9957080923214</v>
      </c>
      <c r="T28" s="147">
        <f>IF(SER_hh_tes_in!T27=0,0,11630*1000*SER_hh_tes_in!T27/SER_hh_num_in!T27)</f>
        <v>4476.4419965825045</v>
      </c>
      <c r="U28" s="147">
        <f>IF(SER_hh_tes_in!U27=0,0,11630*1000*SER_hh_tes_in!U27/SER_hh_num_in!U27)</f>
        <v>4460.9982046170499</v>
      </c>
      <c r="V28" s="147">
        <f>IF(SER_hh_tes_in!V27=0,0,11630*1000*SER_hh_tes_in!V27/SER_hh_num_in!V27)</f>
        <v>4077.7413699273166</v>
      </c>
      <c r="W28" s="147">
        <f>IF(SER_hh_tes_in!W27=0,0,11630*1000*SER_hh_tes_in!W27/SER_hh_num_in!W27)</f>
        <v>4297.3595591877611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7578.5908157977474</v>
      </c>
      <c r="D29" s="131">
        <f>IF(SER_hh_tes_in!D29=0,0,11630*1000*SER_hh_tes_in!D29/SER_hh_num_in!D29)</f>
        <v>7542.7031025352026</v>
      </c>
      <c r="E29" s="131">
        <f>IF(SER_hh_tes_in!E29=0,0,11630*1000*SER_hh_tes_in!E29/SER_hh_num_in!E29)</f>
        <v>7609.6239302987633</v>
      </c>
      <c r="F29" s="131">
        <f>IF(SER_hh_tes_in!F29=0,0,11630*1000*SER_hh_tes_in!F29/SER_hh_num_in!F29)</f>
        <v>7583.2109056641966</v>
      </c>
      <c r="G29" s="131">
        <f>IF(SER_hh_tes_in!G29=0,0,11630*1000*SER_hh_tes_in!G29/SER_hh_num_in!G29)</f>
        <v>7519.3368936828874</v>
      </c>
      <c r="H29" s="131">
        <f>IF(SER_hh_tes_in!H29=0,0,11630*1000*SER_hh_tes_in!H29/SER_hh_num_in!H29)</f>
        <v>7572.8332184526371</v>
      </c>
      <c r="I29" s="131">
        <f>IF(SER_hh_tes_in!I29=0,0,11630*1000*SER_hh_tes_in!I29/SER_hh_num_in!I29)</f>
        <v>7492.7820399924158</v>
      </c>
      <c r="J29" s="131">
        <f>IF(SER_hh_tes_in!J29=0,0,11630*1000*SER_hh_tes_in!J29/SER_hh_num_in!J29)</f>
        <v>7596.9784251200408</v>
      </c>
      <c r="K29" s="131">
        <f>IF(SER_hh_tes_in!K29=0,0,11630*1000*SER_hh_tes_in!K29/SER_hh_num_in!K29)</f>
        <v>8073.9973404251987</v>
      </c>
      <c r="L29" s="131">
        <f>IF(SER_hh_tes_in!L29=0,0,11630*1000*SER_hh_tes_in!L29/SER_hh_num_in!L29)</f>
        <v>8295.868314390762</v>
      </c>
      <c r="M29" s="131">
        <f>IF(SER_hh_tes_in!M29=0,0,11630*1000*SER_hh_tes_in!M29/SER_hh_num_in!M29)</f>
        <v>8406.2024281808517</v>
      </c>
      <c r="N29" s="131">
        <f>IF(SER_hh_tes_in!N29=0,0,11630*1000*SER_hh_tes_in!N29/SER_hh_num_in!N29)</f>
        <v>8464.3270021951921</v>
      </c>
      <c r="O29" s="131">
        <f>IF(SER_hh_tes_in!O29=0,0,11630*1000*SER_hh_tes_in!O29/SER_hh_num_in!O29)</f>
        <v>8597.1945213581912</v>
      </c>
      <c r="P29" s="131">
        <f>IF(SER_hh_tes_in!P29=0,0,11630*1000*SER_hh_tes_in!P29/SER_hh_num_in!P29)</f>
        <v>8657.2184580958165</v>
      </c>
      <c r="Q29" s="131">
        <f>IF(SER_hh_tes_in!Q29=0,0,11630*1000*SER_hh_tes_in!Q29/SER_hh_num_in!Q29)</f>
        <v>8635.4455232099681</v>
      </c>
      <c r="R29" s="131">
        <f>IF(SER_hh_tes_in!R29=0,0,11630*1000*SER_hh_tes_in!R29/SER_hh_num_in!R29)</f>
        <v>8673.2714685642513</v>
      </c>
      <c r="S29" s="131">
        <f>IF(SER_hh_tes_in!S29=0,0,11630*1000*SER_hh_tes_in!S29/SER_hh_num_in!S29)</f>
        <v>8940.9797327270535</v>
      </c>
      <c r="T29" s="131">
        <f>IF(SER_hh_tes_in!T29=0,0,11630*1000*SER_hh_tes_in!T29/SER_hh_num_in!T29)</f>
        <v>8704.8002929710765</v>
      </c>
      <c r="U29" s="131">
        <f>IF(SER_hh_tes_in!U29=0,0,11630*1000*SER_hh_tes_in!U29/SER_hh_num_in!U29)</f>
        <v>8781.1598182211947</v>
      </c>
      <c r="V29" s="131">
        <f>IF(SER_hh_tes_in!V29=0,0,11630*1000*SER_hh_tes_in!V29/SER_hh_num_in!V29)</f>
        <v>8221.1891331011011</v>
      </c>
      <c r="W29" s="131">
        <f>IF(SER_hh_tes_in!W29=0,0,11630*1000*SER_hh_tes_in!W29/SER_hh_num_in!W29)</f>
        <v>8527.5118418990387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7836.9677672625921</v>
      </c>
      <c r="D31" s="133">
        <f>IF(SER_hh_tes_in!D31=0,0,11630*1000*SER_hh_tes_in!D31/SER_hh_num_in!D31)</f>
        <v>7719.5530435986948</v>
      </c>
      <c r="E31" s="133">
        <f>IF(SER_hh_tes_in!E31=0,0,11630*1000*SER_hh_tes_in!E31/SER_hh_num_in!E31)</f>
        <v>7535.493638241026</v>
      </c>
      <c r="F31" s="133">
        <f>IF(SER_hh_tes_in!F31=0,0,11630*1000*SER_hh_tes_in!F31/SER_hh_num_in!F31)</f>
        <v>7703.9773921007782</v>
      </c>
      <c r="G31" s="133">
        <f>IF(SER_hh_tes_in!G31=0,0,11630*1000*SER_hh_tes_in!G31/SER_hh_num_in!G31)</f>
        <v>7555.111557823594</v>
      </c>
      <c r="H31" s="133">
        <f>IF(SER_hh_tes_in!H31=0,0,11630*1000*SER_hh_tes_in!H31/SER_hh_num_in!H31)</f>
        <v>7452.7119444684176</v>
      </c>
      <c r="I31" s="133">
        <f>IF(SER_hh_tes_in!I31=0,0,11630*1000*SER_hh_tes_in!I31/SER_hh_num_in!I31)</f>
        <v>7491.0336797547716</v>
      </c>
      <c r="J31" s="133">
        <f>IF(SER_hh_tes_in!J31=0,0,11630*1000*SER_hh_tes_in!J31/SER_hh_num_in!J31)</f>
        <v>7636.1098692547748</v>
      </c>
      <c r="K31" s="133">
        <f>IF(SER_hh_tes_in!K31=0,0,11630*1000*SER_hh_tes_in!K31/SER_hh_num_in!K31)</f>
        <v>8546.0392815132873</v>
      </c>
      <c r="L31" s="133">
        <f>IF(SER_hh_tes_in!L31=0,0,11630*1000*SER_hh_tes_in!L31/SER_hh_num_in!L31)</f>
        <v>8287.6231990381457</v>
      </c>
      <c r="M31" s="133">
        <f>IF(SER_hh_tes_in!M31=0,0,11630*1000*SER_hh_tes_in!M31/SER_hh_num_in!M31)</f>
        <v>8395.7563102839376</v>
      </c>
      <c r="N31" s="133">
        <f>IF(SER_hh_tes_in!N31=0,0,11630*1000*SER_hh_tes_in!N31/SER_hh_num_in!N31)</f>
        <v>8472.5656026000925</v>
      </c>
      <c r="O31" s="133">
        <f>IF(SER_hh_tes_in!O31=0,0,11630*1000*SER_hh_tes_in!O31/SER_hh_num_in!O31)</f>
        <v>8549.5189145525019</v>
      </c>
      <c r="P31" s="133">
        <f>IF(SER_hh_tes_in!P31=0,0,11630*1000*SER_hh_tes_in!P31/SER_hh_num_in!P31)</f>
        <v>8587.1606430453085</v>
      </c>
      <c r="Q31" s="133">
        <f>IF(SER_hh_tes_in!Q31=0,0,11630*1000*SER_hh_tes_in!Q31/SER_hh_num_in!Q31)</f>
        <v>8330.9514305115063</v>
      </c>
      <c r="R31" s="133">
        <f>IF(SER_hh_tes_in!R31=0,0,11630*1000*SER_hh_tes_in!R31/SER_hh_num_in!R31)</f>
        <v>8588.0420685513745</v>
      </c>
      <c r="S31" s="133">
        <f>IF(SER_hh_tes_in!S31=0,0,11630*1000*SER_hh_tes_in!S31/SER_hh_num_in!S31)</f>
        <v>9235.717626569789</v>
      </c>
      <c r="T31" s="133">
        <f>IF(SER_hh_tes_in!T31=0,0,11630*1000*SER_hh_tes_in!T31/SER_hh_num_in!T31)</f>
        <v>8521.591489700786</v>
      </c>
      <c r="U31" s="133">
        <f>IF(SER_hh_tes_in!U31=0,0,11630*1000*SER_hh_tes_in!U31/SER_hh_num_in!U31)</f>
        <v>9010.4760186844615</v>
      </c>
      <c r="V31" s="133">
        <f>IF(SER_hh_tes_in!V31=0,0,11630*1000*SER_hh_tes_in!V31/SER_hh_num_in!V31)</f>
        <v>8274.5107784287466</v>
      </c>
      <c r="W31" s="133">
        <f>IF(SER_hh_tes_in!W31=0,0,11630*1000*SER_hh_tes_in!W31/SER_hh_num_in!W31)</f>
        <v>8101.3040409824662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7271.3806036898313</v>
      </c>
      <c r="D33" s="68">
        <f>IF(SER_hh_tes_in!D33=0,0,11630*1000*SER_hh_tes_in!D33/SER_hh_num_in!D33)</f>
        <v>7335.7724560983752</v>
      </c>
      <c r="E33" s="68">
        <f>IF(SER_hh_tes_in!E33=0,0,11630*1000*SER_hh_tes_in!E33/SER_hh_num_in!E33)</f>
        <v>7683.6089494609751</v>
      </c>
      <c r="F33" s="68">
        <f>IF(SER_hh_tes_in!F33=0,0,11630*1000*SER_hh_tes_in!F33/SER_hh_num_in!F33)</f>
        <v>7485.0108801565157</v>
      </c>
      <c r="G33" s="68">
        <f>IF(SER_hh_tes_in!G33=0,0,11630*1000*SER_hh_tes_in!G33/SER_hh_num_in!G33)</f>
        <v>7485.3189651611119</v>
      </c>
      <c r="H33" s="68">
        <f>IF(SER_hh_tes_in!H33=0,0,11630*1000*SER_hh_tes_in!H33/SER_hh_num_in!H33)</f>
        <v>7666.4703509994051</v>
      </c>
      <c r="I33" s="68">
        <f>IF(SER_hh_tes_in!I33=0,0,11630*1000*SER_hh_tes_in!I33/SER_hh_num_in!I33)</f>
        <v>7494.4829045170809</v>
      </c>
      <c r="J33" s="68">
        <f>IF(SER_hh_tes_in!J33=0,0,11630*1000*SER_hh_tes_in!J33/SER_hh_num_in!J33)</f>
        <v>7555.1100116796242</v>
      </c>
      <c r="K33" s="68">
        <f>IF(SER_hh_tes_in!K33=0,0,11630*1000*SER_hh_tes_in!K33/SER_hh_num_in!K33)</f>
        <v>7547.9164826755396</v>
      </c>
      <c r="L33" s="68">
        <f>IF(SER_hh_tes_in!L33=0,0,11630*1000*SER_hh_tes_in!L33/SER_hh_num_in!L33)</f>
        <v>8305.7392148607814</v>
      </c>
      <c r="M33" s="68">
        <f>IF(SER_hh_tes_in!M33=0,0,11630*1000*SER_hh_tes_in!M33/SER_hh_num_in!M33)</f>
        <v>8413.6471749235534</v>
      </c>
      <c r="N33" s="68">
        <f>IF(SER_hh_tes_in!N33=0,0,11630*1000*SER_hh_tes_in!N33/SER_hh_num_in!N33)</f>
        <v>8458.1568630588354</v>
      </c>
      <c r="O33" s="68">
        <f>IF(SER_hh_tes_in!O33=0,0,11630*1000*SER_hh_tes_in!O33/SER_hh_num_in!O33)</f>
        <v>8638.3648644764253</v>
      </c>
      <c r="P33" s="68">
        <f>IF(SER_hh_tes_in!P33=0,0,11630*1000*SER_hh_tes_in!P33/SER_hh_num_in!P33)</f>
        <v>8719.5145191856172</v>
      </c>
      <c r="Q33" s="68">
        <f>IF(SER_hh_tes_in!Q33=0,0,11630*1000*SER_hh_tes_in!Q33/SER_hh_num_in!Q33)</f>
        <v>8962.2630634742127</v>
      </c>
      <c r="R33" s="68">
        <f>IF(SER_hh_tes_in!R33=0,0,11630*1000*SER_hh_tes_in!R33/SER_hh_num_in!R33)</f>
        <v>8825.2496043380343</v>
      </c>
      <c r="S33" s="68">
        <f>IF(SER_hh_tes_in!S33=0,0,11630*1000*SER_hh_tes_in!S33/SER_hh_num_in!S33)</f>
        <v>8246.4051262286885</v>
      </c>
      <c r="T33" s="68">
        <f>IF(SER_hh_tes_in!T33=0,0,11630*1000*SER_hh_tes_in!T33/SER_hh_num_in!T33)</f>
        <v>8922.6042323438251</v>
      </c>
      <c r="U33" s="68">
        <f>IF(SER_hh_tes_in!U33=0,0,11630*1000*SER_hh_tes_in!U33/SER_hh_num_in!U33)</f>
        <v>8502.2579299737608</v>
      </c>
      <c r="V33" s="68">
        <f>IF(SER_hh_tes_in!V33=0,0,11630*1000*SER_hh_tes_in!V33/SER_hh_num_in!V33)</f>
        <v>8178.826593196507</v>
      </c>
      <c r="W33" s="68">
        <f>IF(SER_hh_tes_in!W33=0,0,11630*1000*SER_hh_tes_in!W33/SER_hh_num_in!W33)</f>
        <v>8932.9640287665861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17371.20977248808</v>
      </c>
      <c r="D3" s="126">
        <f>IF(SER_hh_emi_in!D3=0,0,1000000*SER_hh_emi_in!D3/SER_hh_num_in!D3)</f>
        <v>19296.880058585568</v>
      </c>
      <c r="E3" s="126">
        <f>IF(SER_hh_emi_in!E3=0,0,1000000*SER_hh_emi_in!E3/SER_hh_num_in!E3)</f>
        <v>24389.225241474072</v>
      </c>
      <c r="F3" s="126">
        <f>IF(SER_hh_emi_in!F3=0,0,1000000*SER_hh_emi_in!F3/SER_hh_num_in!F3)</f>
        <v>22414.179614230372</v>
      </c>
      <c r="G3" s="126">
        <f>IF(SER_hh_emi_in!G3=0,0,1000000*SER_hh_emi_in!G3/SER_hh_num_in!G3)</f>
        <v>16385.649437140037</v>
      </c>
      <c r="H3" s="126">
        <f>IF(SER_hh_emi_in!H3=0,0,1000000*SER_hh_emi_in!H3/SER_hh_num_in!H3)</f>
        <v>13717.462561315657</v>
      </c>
      <c r="I3" s="126">
        <f>IF(SER_hh_emi_in!I3=0,0,1000000*SER_hh_emi_in!I3/SER_hh_num_in!I3)</f>
        <v>12375.655126171572</v>
      </c>
      <c r="J3" s="126">
        <f>IF(SER_hh_emi_in!J3=0,0,1000000*SER_hh_emi_in!J3/SER_hh_num_in!J3)</f>
        <v>11506.597152045106</v>
      </c>
      <c r="K3" s="126">
        <f>IF(SER_hh_emi_in!K3=0,0,1000000*SER_hh_emi_in!K3/SER_hh_num_in!K3)</f>
        <v>3454.5844856298022</v>
      </c>
      <c r="L3" s="126">
        <f>IF(SER_hh_emi_in!L3=0,0,1000000*SER_hh_emi_in!L3/SER_hh_num_in!L3)</f>
        <v>7738.4753951775519</v>
      </c>
      <c r="M3" s="126">
        <f>IF(SER_hh_emi_in!M3=0,0,1000000*SER_hh_emi_in!M3/SER_hh_num_in!M3)</f>
        <v>8263.0802794733463</v>
      </c>
      <c r="N3" s="126">
        <f>IF(SER_hh_emi_in!N3=0,0,1000000*SER_hh_emi_in!N3/SER_hh_num_in!N3)</f>
        <v>8027.4867691009167</v>
      </c>
      <c r="O3" s="126">
        <f>IF(SER_hh_emi_in!O3=0,0,1000000*SER_hh_emi_in!O3/SER_hh_num_in!O3)</f>
        <v>8674.7869901274389</v>
      </c>
      <c r="P3" s="126">
        <f>IF(SER_hh_emi_in!P3=0,0,1000000*SER_hh_emi_in!P3/SER_hh_num_in!P3)</f>
        <v>8419.1164948931728</v>
      </c>
      <c r="Q3" s="126">
        <f>IF(SER_hh_emi_in!Q3=0,0,1000000*SER_hh_emi_in!Q3/SER_hh_num_in!Q3)</f>
        <v>8549.6035935867858</v>
      </c>
      <c r="R3" s="126">
        <f>IF(SER_hh_emi_in!R3=0,0,1000000*SER_hh_emi_in!R3/SER_hh_num_in!R3)</f>
        <v>7069.9224282543646</v>
      </c>
      <c r="S3" s="126">
        <f>IF(SER_hh_emi_in!S3=0,0,1000000*SER_hh_emi_in!S3/SER_hh_num_in!S3)</f>
        <v>7896.7298819122052</v>
      </c>
      <c r="T3" s="126">
        <f>IF(SER_hh_emi_in!T3=0,0,1000000*SER_hh_emi_in!T3/SER_hh_num_in!T3)</f>
        <v>5902.5823168387651</v>
      </c>
      <c r="U3" s="126">
        <f>IF(SER_hh_emi_in!U3=0,0,1000000*SER_hh_emi_in!U3/SER_hh_num_in!U3)</f>
        <v>6693.9651231533207</v>
      </c>
      <c r="V3" s="126">
        <f>IF(SER_hh_emi_in!V3=0,0,1000000*SER_hh_emi_in!V3/SER_hh_num_in!V3)</f>
        <v>5247.2939971208307</v>
      </c>
      <c r="W3" s="126">
        <f>IF(SER_hh_emi_in!W3=0,0,1000000*SER_hh_emi_in!W3/SER_hh_num_in!W3)</f>
        <v>4469.8194299573925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14999.989924627231</v>
      </c>
      <c r="D4" s="131">
        <f>IF(SER_hh_emi_in!D4=0,0,1000000*SER_hh_emi_in!D4/SER_hh_num_in!D4)</f>
        <v>16729.131677854235</v>
      </c>
      <c r="E4" s="131">
        <f>IF(SER_hh_emi_in!E4=0,0,1000000*SER_hh_emi_in!E4/SER_hh_num_in!E4)</f>
        <v>22097.227366759431</v>
      </c>
      <c r="F4" s="131">
        <f>IF(SER_hh_emi_in!F4=0,0,1000000*SER_hh_emi_in!F4/SER_hh_num_in!F4)</f>
        <v>20202.971519603077</v>
      </c>
      <c r="G4" s="131">
        <f>IF(SER_hh_emi_in!G4=0,0,1000000*SER_hh_emi_in!G4/SER_hh_num_in!G4)</f>
        <v>14157.188837577418</v>
      </c>
      <c r="H4" s="131">
        <f>IF(SER_hh_emi_in!H4=0,0,1000000*SER_hh_emi_in!H4/SER_hh_num_in!H4)</f>
        <v>11604.837668223026</v>
      </c>
      <c r="I4" s="131">
        <f>IF(SER_hh_emi_in!I4=0,0,1000000*SER_hh_emi_in!I4/SER_hh_num_in!I4)</f>
        <v>9952.37079082741</v>
      </c>
      <c r="J4" s="131">
        <f>IF(SER_hh_emi_in!J4=0,0,1000000*SER_hh_emi_in!J4/SER_hh_num_in!J4)</f>
        <v>9116.41036909168</v>
      </c>
      <c r="K4" s="131">
        <f>IF(SER_hh_emi_in!K4=0,0,1000000*SER_hh_emi_in!K4/SER_hh_num_in!K4)</f>
        <v>625.51825148546857</v>
      </c>
      <c r="L4" s="131">
        <f>IF(SER_hh_emi_in!L4=0,0,1000000*SER_hh_emi_in!L4/SER_hh_num_in!L4)</f>
        <v>5351.6325834077616</v>
      </c>
      <c r="M4" s="131">
        <f>IF(SER_hh_emi_in!M4=0,0,1000000*SER_hh_emi_in!M4/SER_hh_num_in!M4)</f>
        <v>6235.2078954915714</v>
      </c>
      <c r="N4" s="131">
        <f>IF(SER_hh_emi_in!N4=0,0,1000000*SER_hh_emi_in!N4/SER_hh_num_in!N4)</f>
        <v>6123.0278976861027</v>
      </c>
      <c r="O4" s="131">
        <f>IF(SER_hh_emi_in!O4=0,0,1000000*SER_hh_emi_in!O4/SER_hh_num_in!O4)</f>
        <v>6558.8596891567149</v>
      </c>
      <c r="P4" s="131">
        <f>IF(SER_hh_emi_in!P4=0,0,1000000*SER_hh_emi_in!P4/SER_hh_num_in!P4)</f>
        <v>6109.3566259446998</v>
      </c>
      <c r="Q4" s="131">
        <f>IF(SER_hh_emi_in!Q4=0,0,1000000*SER_hh_emi_in!Q4/SER_hh_num_in!Q4)</f>
        <v>6029.4183477841243</v>
      </c>
      <c r="R4" s="131">
        <f>IF(SER_hh_emi_in!R4=0,0,1000000*SER_hh_emi_in!R4/SER_hh_num_in!R4)</f>
        <v>4390.4003343128261</v>
      </c>
      <c r="S4" s="131">
        <f>IF(SER_hh_emi_in!S4=0,0,1000000*SER_hh_emi_in!S4/SER_hh_num_in!S4)</f>
        <v>4741.0646062437609</v>
      </c>
      <c r="T4" s="131">
        <f>IF(SER_hh_emi_in!T4=0,0,1000000*SER_hh_emi_in!T4/SER_hh_num_in!T4)</f>
        <v>3644.9431653298957</v>
      </c>
      <c r="U4" s="131">
        <f>IF(SER_hh_emi_in!U4=0,0,1000000*SER_hh_emi_in!U4/SER_hh_num_in!U4)</f>
        <v>4172.4672602014698</v>
      </c>
      <c r="V4" s="131">
        <f>IF(SER_hh_emi_in!V4=0,0,1000000*SER_hh_emi_in!V4/SER_hh_num_in!V4)</f>
        <v>3301.8732082091392</v>
      </c>
      <c r="W4" s="131">
        <f>IF(SER_hh_emi_in!W4=0,0,1000000*SER_hh_emi_in!W4/SER_hh_num_in!W4)</f>
        <v>2493.091808133137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59862.999181221923</v>
      </c>
      <c r="F5" s="133">
        <f>IF(SER_hh_emi_in!F5=0,0,1000000*SER_hh_emi_in!F5/SER_hh_num_in!F5)</f>
        <v>63627.086574699853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22794.971934866302</v>
      </c>
      <c r="O5" s="133">
        <f>IF(SER_hh_emi_in!O5=0,0,1000000*SER_hh_emi_in!O5/SER_hh_num_in!O5)</f>
        <v>23831.405492865364</v>
      </c>
      <c r="P5" s="133">
        <f>IF(SER_hh_emi_in!P5=0,0,1000000*SER_hh_emi_in!P5/SER_hh_num_in!P5)</f>
        <v>19853.492046244664</v>
      </c>
      <c r="Q5" s="133">
        <f>IF(SER_hh_emi_in!Q5=0,0,1000000*SER_hh_emi_in!Q5/SER_hh_num_in!Q5)</f>
        <v>0</v>
      </c>
      <c r="R5" s="133">
        <f>IF(SER_hh_emi_in!R5=0,0,1000000*SER_hh_emi_in!R5/SER_hh_num_in!R5)</f>
        <v>19814.014452309391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15422.503695137841</v>
      </c>
      <c r="V5" s="133">
        <f>IF(SER_hh_emi_in!V5=0,0,1000000*SER_hh_emi_in!V5/SER_hh_num_in!V5)</f>
        <v>11281.806668956422</v>
      </c>
      <c r="W5" s="133">
        <f>IF(SER_hh_emi_in!W5=0,0,1000000*SER_hh_emi_in!W5/SER_hh_num_in!W5)</f>
        <v>10617.784178671143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19061.282886001361</v>
      </c>
      <c r="D7" s="133">
        <f>IF(SER_hh_emi_in!D7=0,0,1000000*SER_hh_emi_in!D7/SER_hh_num_in!D7)</f>
        <v>49362.900793061832</v>
      </c>
      <c r="E7" s="133">
        <f>IF(SER_hh_emi_in!E7=0,0,1000000*SER_hh_emi_in!E7/SER_hh_num_in!E7)</f>
        <v>38253.263643349237</v>
      </c>
      <c r="F7" s="133">
        <f>IF(SER_hh_emi_in!F7=0,0,1000000*SER_hh_emi_in!F7/SER_hh_num_in!F7)</f>
        <v>40925.851987142145</v>
      </c>
      <c r="G7" s="133">
        <f>IF(SER_hh_emi_in!G7=0,0,1000000*SER_hh_emi_in!G7/SER_hh_num_in!G7)</f>
        <v>27637.792864169496</v>
      </c>
      <c r="H7" s="133">
        <f>IF(SER_hh_emi_in!H7=0,0,1000000*SER_hh_emi_in!H7/SER_hh_num_in!H7)</f>
        <v>29482.767202323488</v>
      </c>
      <c r="I7" s="133">
        <f>IF(SER_hh_emi_in!I7=0,0,1000000*SER_hh_emi_in!I7/SER_hh_num_in!I7)</f>
        <v>27035.623968734246</v>
      </c>
      <c r="J7" s="133">
        <f>IF(SER_hh_emi_in!J7=0,0,1000000*SER_hh_emi_in!J7/SER_hh_num_in!J7)</f>
        <v>27148.857544079154</v>
      </c>
      <c r="K7" s="133">
        <f>IF(SER_hh_emi_in!K7=0,0,1000000*SER_hh_emi_in!K7/SER_hh_num_in!K7)</f>
        <v>0</v>
      </c>
      <c r="L7" s="133">
        <f>IF(SER_hh_emi_in!L7=0,0,1000000*SER_hh_emi_in!L7/SER_hh_num_in!L7)</f>
        <v>25281.033823454483</v>
      </c>
      <c r="M7" s="133">
        <f>IF(SER_hh_emi_in!M7=0,0,1000000*SER_hh_emi_in!M7/SER_hh_num_in!M7)</f>
        <v>17690.395965037147</v>
      </c>
      <c r="N7" s="133">
        <f>IF(SER_hh_emi_in!N7=0,0,1000000*SER_hh_emi_in!N7/SER_hh_num_in!N7)</f>
        <v>24775.335399617059</v>
      </c>
      <c r="O7" s="133">
        <f>IF(SER_hh_emi_in!O7=0,0,1000000*SER_hh_emi_in!O7/SER_hh_num_in!O7)</f>
        <v>17240.413642659492</v>
      </c>
      <c r="P7" s="133">
        <f>IF(SER_hh_emi_in!P7=0,0,1000000*SER_hh_emi_in!P7/SER_hh_num_in!P7)</f>
        <v>10275.459379027177</v>
      </c>
      <c r="Q7" s="133">
        <f>IF(SER_hh_emi_in!Q7=0,0,1000000*SER_hh_emi_in!Q7/SER_hh_num_in!Q7)</f>
        <v>17290.478093316935</v>
      </c>
      <c r="R7" s="133">
        <f>IF(SER_hh_emi_in!R7=0,0,1000000*SER_hh_emi_in!R7/SER_hh_num_in!R7)</f>
        <v>15196.393933260599</v>
      </c>
      <c r="S7" s="133">
        <f>IF(SER_hh_emi_in!S7=0,0,1000000*SER_hh_emi_in!S7/SER_hh_num_in!S7)</f>
        <v>14915.035687717273</v>
      </c>
      <c r="T7" s="133">
        <f>IF(SER_hh_emi_in!T7=0,0,1000000*SER_hh_emi_in!T7/SER_hh_num_in!T7)</f>
        <v>0</v>
      </c>
      <c r="U7" s="133">
        <f>IF(SER_hh_emi_in!U7=0,0,1000000*SER_hh_emi_in!U7/SER_hh_num_in!U7)</f>
        <v>9162.9032660209432</v>
      </c>
      <c r="V7" s="133">
        <f>IF(SER_hh_emi_in!V7=0,0,1000000*SER_hh_emi_in!V7/SER_hh_num_in!V7)</f>
        <v>9599.6235536459026</v>
      </c>
      <c r="W7" s="133">
        <f>IF(SER_hh_emi_in!W7=0,0,1000000*SER_hh_emi_in!W7/SER_hh_num_in!W7)</f>
        <v>10556.373594923498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3551.7055093954782</v>
      </c>
      <c r="H8" s="133">
        <f>IF(SER_hh_emi_in!H8=0,0,1000000*SER_hh_emi_in!H8/SER_hh_num_in!H8)</f>
        <v>3915.9976908753511</v>
      </c>
      <c r="I8" s="133">
        <f>IF(SER_hh_emi_in!I8=0,0,1000000*SER_hh_emi_in!I8/SER_hh_num_in!I8)</f>
        <v>4161.020269505877</v>
      </c>
      <c r="J8" s="133">
        <f>IF(SER_hh_emi_in!J8=0,0,1000000*SER_hh_emi_in!J8/SER_hh_num_in!J8)</f>
        <v>4401.3238659235312</v>
      </c>
      <c r="K8" s="133">
        <f>IF(SER_hh_emi_in!K8=0,0,1000000*SER_hh_emi_in!K8/SER_hh_num_in!K8)</f>
        <v>3850.6152481918093</v>
      </c>
      <c r="L8" s="133">
        <f>IF(SER_hh_emi_in!L8=0,0,1000000*SER_hh_emi_in!L8/SER_hh_num_in!L8)</f>
        <v>3153.8776159760755</v>
      </c>
      <c r="M8" s="133">
        <f>IF(SER_hh_emi_in!M8=0,0,1000000*SER_hh_emi_in!M8/SER_hh_num_in!M8)</f>
        <v>2773.638827503943</v>
      </c>
      <c r="N8" s="133">
        <f>IF(SER_hh_emi_in!N8=0,0,1000000*SER_hh_emi_in!N8/SER_hh_num_in!N8)</f>
        <v>2285.4614691219977</v>
      </c>
      <c r="O8" s="133">
        <f>IF(SER_hh_emi_in!O8=0,0,1000000*SER_hh_emi_in!O8/SER_hh_num_in!O8)</f>
        <v>2369.3483260690573</v>
      </c>
      <c r="P8" s="133">
        <f>IF(SER_hh_emi_in!P8=0,0,1000000*SER_hh_emi_in!P8/SER_hh_num_in!P8)</f>
        <v>2462.0201239468261</v>
      </c>
      <c r="Q8" s="133">
        <f>IF(SER_hh_emi_in!Q8=0,0,1000000*SER_hh_emi_in!Q8/SER_hh_num_in!Q8)</f>
        <v>2154.4408548763354</v>
      </c>
      <c r="R8" s="133">
        <f>IF(SER_hh_emi_in!R8=0,0,1000000*SER_hh_emi_in!R8/SER_hh_num_in!R8)</f>
        <v>1991.6394341657951</v>
      </c>
      <c r="S8" s="133">
        <f>IF(SER_hh_emi_in!S8=0,0,1000000*SER_hh_emi_in!S8/SER_hh_num_in!S8)</f>
        <v>1838.7517420923796</v>
      </c>
      <c r="T8" s="133">
        <f>IF(SER_hh_emi_in!T8=0,0,1000000*SER_hh_emi_in!T8/SER_hh_num_in!T8)</f>
        <v>1687.1073471478323</v>
      </c>
      <c r="U8" s="133">
        <f>IF(SER_hh_emi_in!U8=0,0,1000000*SER_hh_emi_in!U8/SER_hh_num_in!U8)</f>
        <v>1597.9546143698135</v>
      </c>
      <c r="V8" s="133">
        <f>IF(SER_hh_emi_in!V8=0,0,1000000*SER_hh_emi_in!V8/SER_hh_num_in!V8)</f>
        <v>1409.8180141087812</v>
      </c>
      <c r="W8" s="133">
        <f>IF(SER_hh_emi_in!W8=0,0,1000000*SER_hh_emi_in!W8/SER_hh_num_in!W8)</f>
        <v>1216.5617266874024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30216.22048859343</v>
      </c>
      <c r="D9" s="133">
        <f>IF(SER_hh_emi_in!D9=0,0,1000000*SER_hh_emi_in!D9/SER_hh_num_in!D9)</f>
        <v>26103.768520774189</v>
      </c>
      <c r="E9" s="133">
        <f>IF(SER_hh_emi_in!E9=0,0,1000000*SER_hh_emi_in!E9/SER_hh_num_in!E9)</f>
        <v>25054.831545057477</v>
      </c>
      <c r="F9" s="133">
        <f>IF(SER_hh_emi_in!F9=0,0,1000000*SER_hh_emi_in!F9/SER_hh_num_in!F9)</f>
        <v>22646.838871769203</v>
      </c>
      <c r="G9" s="133">
        <f>IF(SER_hh_emi_in!G9=0,0,1000000*SER_hh_emi_in!G9/SER_hh_num_in!G9)</f>
        <v>20991.602476837808</v>
      </c>
      <c r="H9" s="133">
        <f>IF(SER_hh_emi_in!H9=0,0,1000000*SER_hh_emi_in!H9/SER_hh_num_in!H9)</f>
        <v>17973.995422692973</v>
      </c>
      <c r="I9" s="133">
        <f>IF(SER_hh_emi_in!I9=0,0,1000000*SER_hh_emi_in!I9/SER_hh_num_in!I9)</f>
        <v>15956.419631551185</v>
      </c>
      <c r="J9" s="133">
        <f>IF(SER_hh_emi_in!J9=0,0,1000000*SER_hh_emi_in!J9/SER_hh_num_in!J9)</f>
        <v>16863.121083375059</v>
      </c>
      <c r="K9" s="133">
        <f>IF(SER_hh_emi_in!K9=0,0,1000000*SER_hh_emi_in!K9/SER_hh_num_in!K9)</f>
        <v>14788.795425746128</v>
      </c>
      <c r="L9" s="133">
        <f>IF(SER_hh_emi_in!L9=0,0,1000000*SER_hh_emi_in!L9/SER_hh_num_in!L9)</f>
        <v>15376.482214776233</v>
      </c>
      <c r="M9" s="133">
        <f>IF(SER_hh_emi_in!M9=0,0,1000000*SER_hh_emi_in!M9/SER_hh_num_in!M9)</f>
        <v>14211.140608696051</v>
      </c>
      <c r="N9" s="133">
        <f>IF(SER_hh_emi_in!N9=0,0,1000000*SER_hh_emi_in!N9/SER_hh_num_in!N9)</f>
        <v>12737.890450461795</v>
      </c>
      <c r="O9" s="133">
        <f>IF(SER_hh_emi_in!O9=0,0,1000000*SER_hh_emi_in!O9/SER_hh_num_in!O9)</f>
        <v>11565.376447661542</v>
      </c>
      <c r="P9" s="133">
        <f>IF(SER_hh_emi_in!P9=0,0,1000000*SER_hh_emi_in!P9/SER_hh_num_in!P9)</f>
        <v>10441.599232935421</v>
      </c>
      <c r="Q9" s="133">
        <f>IF(SER_hh_emi_in!Q9=0,0,1000000*SER_hh_emi_in!Q9/SER_hh_num_in!Q9)</f>
        <v>9683.5638404677229</v>
      </c>
      <c r="R9" s="133">
        <f>IF(SER_hh_emi_in!R9=0,0,1000000*SER_hh_emi_in!R9/SER_hh_num_in!R9)</f>
        <v>9365.2139284516979</v>
      </c>
      <c r="S9" s="133">
        <f>IF(SER_hh_emi_in!S9=0,0,1000000*SER_hh_emi_in!S9/SER_hh_num_in!S9)</f>
        <v>9435.5282772806895</v>
      </c>
      <c r="T9" s="133">
        <f>IF(SER_hh_emi_in!T9=0,0,1000000*SER_hh_emi_in!T9/SER_hh_num_in!T9)</f>
        <v>8138.7867237162773</v>
      </c>
      <c r="U9" s="133">
        <f>IF(SER_hh_emi_in!U9=0,0,1000000*SER_hh_emi_in!U9/SER_hh_num_in!U9)</f>
        <v>8044.5295750036939</v>
      </c>
      <c r="V9" s="133">
        <f>IF(SER_hh_emi_in!V9=0,0,1000000*SER_hh_emi_in!V9/SER_hh_num_in!V9)</f>
        <v>6849.7989792449871</v>
      </c>
      <c r="W9" s="133">
        <f>IF(SER_hh_emi_in!W9=0,0,1000000*SER_hh_emi_in!W9/SER_hh_num_in!W9)</f>
        <v>5499.4961654668223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36468.373062580162</v>
      </c>
      <c r="D10" s="133">
        <f>IF(SER_hh_emi_in!D10=0,0,1000000*SER_hh_emi_in!D10/SER_hh_num_in!D10)</f>
        <v>26312.672247552226</v>
      </c>
      <c r="E10" s="133">
        <f>IF(SER_hh_emi_in!E10=0,0,1000000*SER_hh_emi_in!E10/SER_hh_num_in!E10)</f>
        <v>24989.213860842614</v>
      </c>
      <c r="F10" s="133">
        <f>IF(SER_hh_emi_in!F10=0,0,1000000*SER_hh_emi_in!F10/SER_hh_num_in!F10)</f>
        <v>20143.304181993048</v>
      </c>
      <c r="G10" s="133">
        <f>IF(SER_hh_emi_in!G10=0,0,1000000*SER_hh_emi_in!G10/SER_hh_num_in!G10)</f>
        <v>19828.423848894625</v>
      </c>
      <c r="H10" s="133">
        <f>IF(SER_hh_emi_in!H10=0,0,1000000*SER_hh_emi_in!H10/SER_hh_num_in!H10)</f>
        <v>16787.665658535043</v>
      </c>
      <c r="I10" s="133">
        <f>IF(SER_hh_emi_in!I10=0,0,1000000*SER_hh_emi_in!I10/SER_hh_num_in!I10)</f>
        <v>20233.253392137674</v>
      </c>
      <c r="J10" s="133">
        <f>IF(SER_hh_emi_in!J10=0,0,1000000*SER_hh_emi_in!J10/SER_hh_num_in!J10)</f>
        <v>22162.311355240803</v>
      </c>
      <c r="K10" s="133">
        <f>IF(SER_hh_emi_in!K10=0,0,1000000*SER_hh_emi_in!K10/SER_hh_num_in!K10)</f>
        <v>18185.480618136655</v>
      </c>
      <c r="L10" s="133">
        <f>IF(SER_hh_emi_in!L10=0,0,1000000*SER_hh_emi_in!L10/SER_hh_num_in!L10)</f>
        <v>19773.250944503288</v>
      </c>
      <c r="M10" s="133">
        <f>IF(SER_hh_emi_in!M10=0,0,1000000*SER_hh_emi_in!M10/SER_hh_num_in!M10)</f>
        <v>16581.609118203272</v>
      </c>
      <c r="N10" s="133">
        <f>IF(SER_hh_emi_in!N10=0,0,1000000*SER_hh_emi_in!N10/SER_hh_num_in!N10)</f>
        <v>14700.495702474518</v>
      </c>
      <c r="O10" s="133">
        <f>IF(SER_hh_emi_in!O10=0,0,1000000*SER_hh_emi_in!O10/SER_hh_num_in!O10)</f>
        <v>14388.685053953759</v>
      </c>
      <c r="P10" s="133">
        <f>IF(SER_hh_emi_in!P10=0,0,1000000*SER_hh_emi_in!P10/SER_hh_num_in!P10)</f>
        <v>12745.083892027478</v>
      </c>
      <c r="Q10" s="133">
        <f>IF(SER_hh_emi_in!Q10=0,0,1000000*SER_hh_emi_in!Q10/SER_hh_num_in!Q10)</f>
        <v>13666.925914580086</v>
      </c>
      <c r="R10" s="133">
        <f>IF(SER_hh_emi_in!R10=0,0,1000000*SER_hh_emi_in!R10/SER_hh_num_in!R10)</f>
        <v>11984.234484421449</v>
      </c>
      <c r="S10" s="133">
        <f>IF(SER_hh_emi_in!S10=0,0,1000000*SER_hh_emi_in!S10/SER_hh_num_in!S10)</f>
        <v>11728.172114362316</v>
      </c>
      <c r="T10" s="133">
        <f>IF(SER_hh_emi_in!T10=0,0,1000000*SER_hh_emi_in!T10/SER_hh_num_in!T10)</f>
        <v>11542.966361007228</v>
      </c>
      <c r="U10" s="133">
        <f>IF(SER_hh_emi_in!U10=0,0,1000000*SER_hh_emi_in!U10/SER_hh_num_in!U10)</f>
        <v>11538.846252864543</v>
      </c>
      <c r="V10" s="133">
        <f>IF(SER_hh_emi_in!V10=0,0,1000000*SER_hh_emi_in!V10/SER_hh_num_in!V10)</f>
        <v>9426.7331847646692</v>
      </c>
      <c r="W10" s="133">
        <f>IF(SER_hh_emi_in!W10=0,0,1000000*SER_hh_emi_in!W10/SER_hh_num_in!W10)</f>
        <v>8367.3046763967741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15.712367965030955</v>
      </c>
      <c r="H16" s="131">
        <f>IF(SER_hh_emi_in!H16=0,0,1000000*SER_hh_emi_in!H16/SER_hh_num_in!H16)</f>
        <v>3.5660601491658532</v>
      </c>
      <c r="I16" s="131">
        <f>IF(SER_hh_emi_in!I16=0,0,1000000*SER_hh_emi_in!I16/SER_hh_num_in!I16)</f>
        <v>7.2049607041530672</v>
      </c>
      <c r="J16" s="131">
        <f>IF(SER_hh_emi_in!J16=0,0,1000000*SER_hh_emi_in!J16/SER_hh_num_in!J16)</f>
        <v>1.4930653942541858</v>
      </c>
      <c r="K16" s="131">
        <f>IF(SER_hh_emi_in!K16=0,0,1000000*SER_hh_emi_in!K16/SER_hh_num_in!K16)</f>
        <v>11.984464192836578</v>
      </c>
      <c r="L16" s="131">
        <f>IF(SER_hh_emi_in!L16=0,0,1000000*SER_hh_emi_in!L16/SER_hh_num_in!L16)</f>
        <v>1.3252288343944609</v>
      </c>
      <c r="M16" s="131">
        <f>IF(SER_hh_emi_in!M16=0,0,1000000*SER_hh_emi_in!M16/SER_hh_num_in!M16)</f>
        <v>3.6819159536172061</v>
      </c>
      <c r="N16" s="131">
        <f>IF(SER_hh_emi_in!N16=0,0,1000000*SER_hh_emi_in!N16/SER_hh_num_in!N16)</f>
        <v>4.0477812684285004</v>
      </c>
      <c r="O16" s="131">
        <f>IF(SER_hh_emi_in!O16=0,0,1000000*SER_hh_emi_in!O16/SER_hh_num_in!O16)</f>
        <v>12.025980546104829</v>
      </c>
      <c r="P16" s="131">
        <f>IF(SER_hh_emi_in!P16=0,0,1000000*SER_hh_emi_in!P16/SER_hh_num_in!P16)</f>
        <v>22.060460122297926</v>
      </c>
      <c r="Q16" s="131">
        <f>IF(SER_hh_emi_in!Q16=0,0,1000000*SER_hh_emi_in!Q16/SER_hh_num_in!Q16)</f>
        <v>37.187740650088081</v>
      </c>
      <c r="R16" s="131">
        <f>IF(SER_hh_emi_in!R16=0,0,1000000*SER_hh_emi_in!R16/SER_hh_num_in!R16)</f>
        <v>17.905243428268495</v>
      </c>
      <c r="S16" s="131">
        <f>IF(SER_hh_emi_in!S16=0,0,1000000*SER_hh_emi_in!S16/SER_hh_num_in!S16)</f>
        <v>23.37682193233255</v>
      </c>
      <c r="T16" s="131">
        <f>IF(SER_hh_emi_in!T16=0,0,1000000*SER_hh_emi_in!T16/SER_hh_num_in!T16)</f>
        <v>22.390311117252459</v>
      </c>
      <c r="U16" s="131">
        <f>IF(SER_hh_emi_in!U16=0,0,1000000*SER_hh_emi_in!U16/SER_hh_num_in!U16)</f>
        <v>17.758673585049422</v>
      </c>
      <c r="V16" s="131">
        <f>IF(SER_hh_emi_in!V16=0,0,1000000*SER_hh_emi_in!V16/SER_hh_num_in!V16)</f>
        <v>42.31230354182339</v>
      </c>
      <c r="W16" s="131">
        <f>IF(SER_hh_emi_in!W16=0,0,1000000*SER_hh_emi_in!W16/SER_hh_num_in!W16)</f>
        <v>12.777723862708743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3871.6766155145651</v>
      </c>
      <c r="H17" s="133">
        <f>IF(SER_hh_emi_in!H17=0,0,1000000*SER_hh_emi_in!H17/SER_hh_num_in!H17)</f>
        <v>3934.0800789870018</v>
      </c>
      <c r="I17" s="133">
        <f>IF(SER_hh_emi_in!I17=0,0,1000000*SER_hh_emi_in!I17/SER_hh_num_in!I17)</f>
        <v>3849.1728376424585</v>
      </c>
      <c r="J17" s="133">
        <f>IF(SER_hh_emi_in!J17=0,0,1000000*SER_hh_emi_in!J17/SER_hh_num_in!J17)</f>
        <v>3736.3371724501403</v>
      </c>
      <c r="K17" s="133">
        <f>IF(SER_hh_emi_in!K17=0,0,1000000*SER_hh_emi_in!K17/SER_hh_num_in!K17)</f>
        <v>3682.8905387909599</v>
      </c>
      <c r="L17" s="133">
        <f>IF(SER_hh_emi_in!L17=0,0,1000000*SER_hh_emi_in!L17/SER_hh_num_in!L17)</f>
        <v>3705.0991119432433</v>
      </c>
      <c r="M17" s="133">
        <f>IF(SER_hh_emi_in!M17=0,0,1000000*SER_hh_emi_in!M17/SER_hh_num_in!M17)</f>
        <v>3585.6661621165599</v>
      </c>
      <c r="N17" s="133">
        <f>IF(SER_hh_emi_in!N17=0,0,1000000*SER_hh_emi_in!N17/SER_hh_num_in!N17)</f>
        <v>3530.6136938732125</v>
      </c>
      <c r="O17" s="133">
        <f>IF(SER_hh_emi_in!O17=0,0,1000000*SER_hh_emi_in!O17/SER_hh_num_in!O17)</f>
        <v>3585.4325793100184</v>
      </c>
      <c r="P17" s="133">
        <f>IF(SER_hh_emi_in!P17=0,0,1000000*SER_hh_emi_in!P17/SER_hh_num_in!P17)</f>
        <v>3362.2767268221946</v>
      </c>
      <c r="Q17" s="133">
        <f>IF(SER_hh_emi_in!Q17=0,0,1000000*SER_hh_emi_in!Q17/SER_hh_num_in!Q17)</f>
        <v>3919.5629372556646</v>
      </c>
      <c r="R17" s="133">
        <f>IF(SER_hh_emi_in!R17=0,0,1000000*SER_hh_emi_in!R17/SER_hh_num_in!R17)</f>
        <v>3211.9214128202461</v>
      </c>
      <c r="S17" s="133">
        <f>IF(SER_hh_emi_in!S17=0,0,1000000*SER_hh_emi_in!S17/SER_hh_num_in!S17)</f>
        <v>3164.6406901153969</v>
      </c>
      <c r="T17" s="133">
        <f>IF(SER_hh_emi_in!T17=0,0,1000000*SER_hh_emi_in!T17/SER_hh_num_in!T17)</f>
        <v>3371.9062627166613</v>
      </c>
      <c r="U17" s="133">
        <f>IF(SER_hh_emi_in!U17=0,0,1000000*SER_hh_emi_in!U17/SER_hh_num_in!U17)</f>
        <v>2976.815330538052</v>
      </c>
      <c r="V17" s="133">
        <f>IF(SER_hh_emi_in!V17=0,0,1000000*SER_hh_emi_in!V17/SER_hh_num_in!V17)</f>
        <v>2729.8435704212734</v>
      </c>
      <c r="W17" s="133">
        <f>IF(SER_hh_emi_in!W17=0,0,1000000*SER_hh_emi_in!W17/SER_hh_num_in!W17)</f>
        <v>2456.3293852128272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904.67687591569813</v>
      </c>
      <c r="D19" s="131">
        <f>IF(SER_hh_emi_in!D19=0,0,1000000*SER_hh_emi_in!D19/SER_hh_num_in!D19)</f>
        <v>1137.3491845784649</v>
      </c>
      <c r="E19" s="131">
        <f>IF(SER_hh_emi_in!E19=0,0,1000000*SER_hh_emi_in!E19/SER_hh_num_in!E19)</f>
        <v>1016.4140847057254</v>
      </c>
      <c r="F19" s="131">
        <f>IF(SER_hh_emi_in!F19=0,0,1000000*SER_hh_emi_in!F19/SER_hh_num_in!F19)</f>
        <v>1044.4845106146477</v>
      </c>
      <c r="G19" s="131">
        <f>IF(SER_hh_emi_in!G19=0,0,1000000*SER_hh_emi_in!G19/SER_hh_num_in!G19)</f>
        <v>974.18102572502357</v>
      </c>
      <c r="H19" s="131">
        <f>IF(SER_hh_emi_in!H19=0,0,1000000*SER_hh_emi_in!H19/SER_hh_num_in!H19)</f>
        <v>1011.5822418420184</v>
      </c>
      <c r="I19" s="131">
        <f>IF(SER_hh_emi_in!I19=0,0,1000000*SER_hh_emi_in!I19/SER_hh_num_in!I19)</f>
        <v>1175.9517435631922</v>
      </c>
      <c r="J19" s="131">
        <f>IF(SER_hh_emi_in!J19=0,0,1000000*SER_hh_emi_in!J19/SER_hh_num_in!J19)</f>
        <v>1063.0729368865007</v>
      </c>
      <c r="K19" s="131">
        <f>IF(SER_hh_emi_in!K19=0,0,1000000*SER_hh_emi_in!K19/SER_hh_num_in!K19)</f>
        <v>1307.6650943187451</v>
      </c>
      <c r="L19" s="131">
        <f>IF(SER_hh_emi_in!L19=0,0,1000000*SER_hh_emi_in!L19/SER_hh_num_in!L19)</f>
        <v>875.97523570307146</v>
      </c>
      <c r="M19" s="131">
        <f>IF(SER_hh_emi_in!M19=0,0,1000000*SER_hh_emi_in!M19/SER_hh_num_in!M19)</f>
        <v>858.8941295591261</v>
      </c>
      <c r="N19" s="131">
        <f>IF(SER_hh_emi_in!N19=0,0,1000000*SER_hh_emi_in!N19/SER_hh_num_in!N19)</f>
        <v>690.51522399751286</v>
      </c>
      <c r="O19" s="131">
        <f>IF(SER_hh_emi_in!O19=0,0,1000000*SER_hh_emi_in!O19/SER_hh_num_in!O19)</f>
        <v>784.17968320783859</v>
      </c>
      <c r="P19" s="131">
        <f>IF(SER_hh_emi_in!P19=0,0,1000000*SER_hh_emi_in!P19/SER_hh_num_in!P19)</f>
        <v>938.92083725377324</v>
      </c>
      <c r="Q19" s="131">
        <f>IF(SER_hh_emi_in!Q19=0,0,1000000*SER_hh_emi_in!Q19/SER_hh_num_in!Q19)</f>
        <v>1043.8627912926124</v>
      </c>
      <c r="R19" s="131">
        <f>IF(SER_hh_emi_in!R19=0,0,1000000*SER_hh_emi_in!R19/SER_hh_num_in!R19)</f>
        <v>834.50279659479452</v>
      </c>
      <c r="S19" s="131">
        <f>IF(SER_hh_emi_in!S19=0,0,1000000*SER_hh_emi_in!S19/SER_hh_num_in!S19)</f>
        <v>991.90198209349114</v>
      </c>
      <c r="T19" s="131">
        <f>IF(SER_hh_emi_in!T19=0,0,1000000*SER_hh_emi_in!T19/SER_hh_num_in!T19)</f>
        <v>722.94950195174124</v>
      </c>
      <c r="U19" s="131">
        <f>IF(SER_hh_emi_in!U19=0,0,1000000*SER_hh_emi_in!U19/SER_hh_num_in!U19)</f>
        <v>899.76030088471362</v>
      </c>
      <c r="V19" s="131">
        <f>IF(SER_hh_emi_in!V19=0,0,1000000*SER_hh_emi_in!V19/SER_hh_num_in!V19)</f>
        <v>731.60358849676106</v>
      </c>
      <c r="W19" s="131">
        <f>IF(SER_hh_emi_in!W19=0,0,1000000*SER_hh_emi_in!W19/SER_hh_num_in!W19)</f>
        <v>705.42433534178656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2500.6166461658127</v>
      </c>
      <c r="D23" s="133">
        <f>IF(SER_hh_emi_in!D23=0,0,1000000*SER_hh_emi_in!D23/SER_hh_num_in!D23)</f>
        <v>2467.1965607472785</v>
      </c>
      <c r="E23" s="133">
        <f>IF(SER_hh_emi_in!E23=0,0,1000000*SER_hh_emi_in!E23/SER_hh_num_in!E23)</f>
        <v>2305.2700774086888</v>
      </c>
      <c r="F23" s="133">
        <f>IF(SER_hh_emi_in!F23=0,0,1000000*SER_hh_emi_in!F23/SER_hh_num_in!F23)</f>
        <v>2228.2386340581675</v>
      </c>
      <c r="G23" s="133">
        <f>IF(SER_hh_emi_in!G23=0,0,1000000*SER_hh_emi_in!G23/SER_hh_num_in!G23)</f>
        <v>2223.1145328557504</v>
      </c>
      <c r="H23" s="133">
        <f>IF(SER_hh_emi_in!H23=0,0,1000000*SER_hh_emi_in!H23/SER_hh_num_in!H23)</f>
        <v>2188.4620331349829</v>
      </c>
      <c r="I23" s="133">
        <f>IF(SER_hh_emi_in!I23=0,0,1000000*SER_hh_emi_in!I23/SER_hh_num_in!I23)</f>
        <v>2104.4968670379894</v>
      </c>
      <c r="J23" s="133">
        <f>IF(SER_hh_emi_in!J23=0,0,1000000*SER_hh_emi_in!J23/SER_hh_num_in!J23)</f>
        <v>2086.698297989713</v>
      </c>
      <c r="K23" s="133">
        <f>IF(SER_hh_emi_in!K23=0,0,1000000*SER_hh_emi_in!K23/SER_hh_num_in!K23)</f>
        <v>2157.8752081952643</v>
      </c>
      <c r="L23" s="133">
        <f>IF(SER_hh_emi_in!L23=0,0,1000000*SER_hh_emi_in!L23/SER_hh_num_in!L23)</f>
        <v>2310.6627914247838</v>
      </c>
      <c r="M23" s="133">
        <f>IF(SER_hh_emi_in!M23=0,0,1000000*SER_hh_emi_in!M23/SER_hh_num_in!M23)</f>
        <v>2220.2413038074137</v>
      </c>
      <c r="N23" s="133">
        <f>IF(SER_hh_emi_in!N23=0,0,1000000*SER_hh_emi_in!N23/SER_hh_num_in!N23)</f>
        <v>2146.7272304118183</v>
      </c>
      <c r="O23" s="133">
        <f>IF(SER_hh_emi_in!O23=0,0,1000000*SER_hh_emi_in!O23/SER_hh_num_in!O23)</f>
        <v>2084.6875757389917</v>
      </c>
      <c r="P23" s="133">
        <f>IF(SER_hh_emi_in!P23=0,0,1000000*SER_hh_emi_in!P23/SER_hh_num_in!P23)</f>
        <v>1973.7072012182864</v>
      </c>
      <c r="Q23" s="133">
        <f>IF(SER_hh_emi_in!Q23=0,0,1000000*SER_hh_emi_in!Q23/SER_hh_num_in!Q23)</f>
        <v>1977.2108404959149</v>
      </c>
      <c r="R23" s="133">
        <f>IF(SER_hh_emi_in!R23=0,0,1000000*SER_hh_emi_in!R23/SER_hh_num_in!R23)</f>
        <v>1939.0421009218232</v>
      </c>
      <c r="S23" s="133">
        <f>IF(SER_hh_emi_in!S23=0,0,1000000*SER_hh_emi_in!S23/SER_hh_num_in!S23)</f>
        <v>1942.7794654178977</v>
      </c>
      <c r="T23" s="133">
        <f>IF(SER_hh_emi_in!T23=0,0,1000000*SER_hh_emi_in!T23/SER_hh_num_in!T23)</f>
        <v>1823.3146246099277</v>
      </c>
      <c r="U23" s="133">
        <f>IF(SER_hh_emi_in!U23=0,0,1000000*SER_hh_emi_in!U23/SER_hh_num_in!U23)</f>
        <v>1852.4584686642897</v>
      </c>
      <c r="V23" s="133">
        <f>IF(SER_hh_emi_in!V23=0,0,1000000*SER_hh_emi_in!V23/SER_hh_num_in!V23)</f>
        <v>1672.8759606444326</v>
      </c>
      <c r="W23" s="133">
        <f>IF(SER_hh_emi_in!W23=0,0,1000000*SER_hh_emi_in!W23/SER_hh_num_in!W23)</f>
        <v>1707.5722138499334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1466.5429719451502</v>
      </c>
      <c r="D29" s="131">
        <f>IF(SER_hh_emi_in!D29=0,0,1000000*SER_hh_emi_in!D29/SER_hh_num_in!D29)</f>
        <v>1430.3991961528657</v>
      </c>
      <c r="E29" s="131">
        <f>IF(SER_hh_emi_in!E29=0,0,1000000*SER_hh_emi_in!E29/SER_hh_num_in!E29)</f>
        <v>1275.5837900089145</v>
      </c>
      <c r="F29" s="131">
        <f>IF(SER_hh_emi_in!F29=0,0,1000000*SER_hh_emi_in!F29/SER_hh_num_in!F29)</f>
        <v>1166.7235840126443</v>
      </c>
      <c r="G29" s="131">
        <f>IF(SER_hh_emi_in!G29=0,0,1000000*SER_hh_emi_in!G29/SER_hh_num_in!G29)</f>
        <v>1244.0607974082268</v>
      </c>
      <c r="H29" s="131">
        <f>IF(SER_hh_emi_in!H29=0,0,1000000*SER_hh_emi_in!H29/SER_hh_num_in!H29)</f>
        <v>1098.5401749108853</v>
      </c>
      <c r="I29" s="131">
        <f>IF(SER_hh_emi_in!I29=0,0,1000000*SER_hh_emi_in!I29/SER_hh_num_in!I29)</f>
        <v>1241.598330235711</v>
      </c>
      <c r="J29" s="131">
        <f>IF(SER_hh_emi_in!J29=0,0,1000000*SER_hh_emi_in!J29/SER_hh_num_in!J29)</f>
        <v>1325.6207806726713</v>
      </c>
      <c r="K29" s="131">
        <f>IF(SER_hh_emi_in!K29=0,0,1000000*SER_hh_emi_in!K29/SER_hh_num_in!K29)</f>
        <v>1509.4166756327518</v>
      </c>
      <c r="L29" s="131">
        <f>IF(SER_hh_emi_in!L29=0,0,1000000*SER_hh_emi_in!L29/SER_hh_num_in!L29)</f>
        <v>1509.5423472323241</v>
      </c>
      <c r="M29" s="131">
        <f>IF(SER_hh_emi_in!M29=0,0,1000000*SER_hh_emi_in!M29/SER_hh_num_in!M29)</f>
        <v>1165.2963384690315</v>
      </c>
      <c r="N29" s="131">
        <f>IF(SER_hh_emi_in!N29=0,0,1000000*SER_hh_emi_in!N29/SER_hh_num_in!N29)</f>
        <v>1209.8958661488734</v>
      </c>
      <c r="O29" s="131">
        <f>IF(SER_hh_emi_in!O29=0,0,1000000*SER_hh_emi_in!O29/SER_hh_num_in!O29)</f>
        <v>1319.7216372167804</v>
      </c>
      <c r="P29" s="131">
        <f>IF(SER_hh_emi_in!P29=0,0,1000000*SER_hh_emi_in!P29/SER_hh_num_in!P29)</f>
        <v>1348.778571572404</v>
      </c>
      <c r="Q29" s="131">
        <f>IF(SER_hh_emi_in!Q29=0,0,1000000*SER_hh_emi_in!Q29/SER_hh_num_in!Q29)</f>
        <v>1439.1347138599613</v>
      </c>
      <c r="R29" s="131">
        <f>IF(SER_hh_emi_in!R29=0,0,1000000*SER_hh_emi_in!R29/SER_hh_num_in!R29)</f>
        <v>1827.1140539184764</v>
      </c>
      <c r="S29" s="131">
        <f>IF(SER_hh_emi_in!S29=0,0,1000000*SER_hh_emi_in!S29/SER_hh_num_in!S29)</f>
        <v>2140.3864716426201</v>
      </c>
      <c r="T29" s="131">
        <f>IF(SER_hh_emi_in!T29=0,0,1000000*SER_hh_emi_in!T29/SER_hh_num_in!T29)</f>
        <v>1512.2993384398749</v>
      </c>
      <c r="U29" s="131">
        <f>IF(SER_hh_emi_in!U29=0,0,1000000*SER_hh_emi_in!U29/SER_hh_num_in!U29)</f>
        <v>1603.9788884820887</v>
      </c>
      <c r="V29" s="131">
        <f>IF(SER_hh_emi_in!V29=0,0,1000000*SER_hh_emi_in!V29/SER_hh_num_in!V29)</f>
        <v>1177.393915397339</v>
      </c>
      <c r="W29" s="131">
        <f>IF(SER_hh_emi_in!W29=0,0,1000000*SER_hh_emi_in!W29/SER_hh_num_in!W29)</f>
        <v>1258.5255626197597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2699.9684485379507</v>
      </c>
      <c r="D31" s="133">
        <f>IF(SER_hh_emi_in!D31=0,0,1000000*SER_hh_emi_in!D31/SER_hh_num_in!D31)</f>
        <v>2652.8668097845957</v>
      </c>
      <c r="E31" s="133">
        <f>IF(SER_hh_emi_in!E31=0,0,1000000*SER_hh_emi_in!E31/SER_hh_num_in!E31)</f>
        <v>2553.6722458644163</v>
      </c>
      <c r="F31" s="133">
        <f>IF(SER_hh_emi_in!F31=0,0,1000000*SER_hh_emi_in!F31/SER_hh_num_in!F31)</f>
        <v>2601.5613771339913</v>
      </c>
      <c r="G31" s="133">
        <f>IF(SER_hh_emi_in!G31=0,0,1000000*SER_hh_emi_in!G31/SER_hh_num_in!G31)</f>
        <v>2552.3667152541193</v>
      </c>
      <c r="H31" s="133">
        <f>IF(SER_hh_emi_in!H31=0,0,1000000*SER_hh_emi_in!H31/SER_hh_num_in!H31)</f>
        <v>2507.7892809451532</v>
      </c>
      <c r="I31" s="133">
        <f>IF(SER_hh_emi_in!I31=0,0,1000000*SER_hh_emi_in!I31/SER_hh_num_in!I31)</f>
        <v>2517.8676157841378</v>
      </c>
      <c r="J31" s="133">
        <f>IF(SER_hh_emi_in!J31=0,0,1000000*SER_hh_emi_in!J31/SER_hh_num_in!J31)</f>
        <v>2564.5847456329575</v>
      </c>
      <c r="K31" s="133">
        <f>IF(SER_hh_emi_in!K31=0,0,1000000*SER_hh_emi_in!K31/SER_hh_num_in!K31)</f>
        <v>2863.7863832176336</v>
      </c>
      <c r="L31" s="133">
        <f>IF(SER_hh_emi_in!L31=0,0,1000000*SER_hh_emi_in!L31/SER_hh_num_in!L31)</f>
        <v>2770.4557583636943</v>
      </c>
      <c r="M31" s="133">
        <f>IF(SER_hh_emi_in!M31=0,0,1000000*SER_hh_emi_in!M31/SER_hh_num_in!M31)</f>
        <v>2800.3852618667756</v>
      </c>
      <c r="N31" s="133">
        <f>IF(SER_hh_emi_in!N31=0,0,1000000*SER_hh_emi_in!N31/SER_hh_num_in!N31)</f>
        <v>2825.3940506236231</v>
      </c>
      <c r="O31" s="133">
        <f>IF(SER_hh_emi_in!O31=0,0,1000000*SER_hh_emi_in!O31/SER_hh_num_in!O31)</f>
        <v>2847.9704955810121</v>
      </c>
      <c r="P31" s="133">
        <f>IF(SER_hh_emi_in!P31=0,0,1000000*SER_hh_emi_in!P31/SER_hh_num_in!P31)</f>
        <v>2865.6076946063113</v>
      </c>
      <c r="Q31" s="133">
        <f>IF(SER_hh_emi_in!Q31=0,0,1000000*SER_hh_emi_in!Q31/SER_hh_num_in!Q31)</f>
        <v>2779.968558375595</v>
      </c>
      <c r="R31" s="133">
        <f>IF(SER_hh_emi_in!R31=0,0,1000000*SER_hh_emi_in!R31/SER_hh_num_in!R31)</f>
        <v>2851.7603543729101</v>
      </c>
      <c r="S31" s="133">
        <f>IF(SER_hh_emi_in!S31=0,0,1000000*SER_hh_emi_in!S31/SER_hh_num_in!S31)</f>
        <v>3048.6445547329577</v>
      </c>
      <c r="T31" s="133">
        <f>IF(SER_hh_emi_in!T31=0,0,1000000*SER_hh_emi_in!T31/SER_hh_num_in!T31)</f>
        <v>2784.3908937163278</v>
      </c>
      <c r="U31" s="133">
        <f>IF(SER_hh_emi_in!U31=0,0,1000000*SER_hh_emi_in!U31/SER_hh_num_in!U31)</f>
        <v>2922.7879745062392</v>
      </c>
      <c r="V31" s="133">
        <f>IF(SER_hh_emi_in!V31=0,0,1000000*SER_hh_emi_in!V31/SER_hh_num_in!V31)</f>
        <v>2659.3773117927435</v>
      </c>
      <c r="W31" s="133">
        <f>IF(SER_hh_emi_in!W31=0,0,1000000*SER_hh_emi_in!W31/SER_hh_num_in!W31)</f>
        <v>2581.4766523291196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177.18219338616191</v>
      </c>
      <c r="D3" s="126">
        <f>IF(SER_hh_fech_in!D3=0,0,SER_hh_fech_in!D3/SER_summary!D$27)</f>
        <v>169.95539266290857</v>
      </c>
      <c r="E3" s="126">
        <f>IF(SER_hh_fech_in!E3=0,0,SER_hh_fech_in!E3/SER_summary!E$27)</f>
        <v>171.27293061771994</v>
      </c>
      <c r="F3" s="126">
        <f>IF(SER_hh_fech_in!F3=0,0,SER_hh_fech_in!F3/SER_summary!F$27)</f>
        <v>159.69443912355126</v>
      </c>
      <c r="G3" s="126">
        <f>IF(SER_hh_fech_in!G3=0,0,SER_hh_fech_in!G3/SER_summary!G$27)</f>
        <v>141.88536118862092</v>
      </c>
      <c r="H3" s="126">
        <f>IF(SER_hh_fech_in!H3=0,0,SER_hh_fech_in!H3/SER_summary!H$27)</f>
        <v>125.94626359484418</v>
      </c>
      <c r="I3" s="126">
        <f>IF(SER_hh_fech_in!I3=0,0,SER_hh_fech_in!I3/SER_summary!I$27)</f>
        <v>117.2076557869116</v>
      </c>
      <c r="J3" s="126">
        <f>IF(SER_hh_fech_in!J3=0,0,SER_hh_fech_in!J3/SER_summary!J$27)</f>
        <v>119.26131685702758</v>
      </c>
      <c r="K3" s="126">
        <f>IF(SER_hh_fech_in!K3=0,0,SER_hh_fech_in!K3/SER_summary!K$27)</f>
        <v>101.48230179337421</v>
      </c>
      <c r="L3" s="126">
        <f>IF(SER_hh_fech_in!L3=0,0,SER_hh_fech_in!L3/SER_summary!L$27)</f>
        <v>114.46518660504528</v>
      </c>
      <c r="M3" s="126">
        <f>IF(SER_hh_fech_in!M3=0,0,SER_hh_fech_in!M3/SER_summary!M$27)</f>
        <v>106.11137131375354</v>
      </c>
      <c r="N3" s="126">
        <f>IF(SER_hh_fech_in!N3=0,0,SER_hh_fech_in!N3/SER_summary!N$27)</f>
        <v>99.472484903628171</v>
      </c>
      <c r="O3" s="126">
        <f>IF(SER_hh_fech_in!O3=0,0,SER_hh_fech_in!O3/SER_summary!O$27)</f>
        <v>96.366295027861511</v>
      </c>
      <c r="P3" s="126">
        <f>IF(SER_hh_fech_in!P3=0,0,SER_hh_fech_in!P3/SER_summary!P$27)</f>
        <v>87.036761734817375</v>
      </c>
      <c r="Q3" s="126">
        <f>IF(SER_hh_fech_in!Q3=0,0,SER_hh_fech_in!Q3/SER_summary!Q$27)</f>
        <v>85.393313077600112</v>
      </c>
      <c r="R3" s="126">
        <f>IF(SER_hh_fech_in!R3=0,0,SER_hh_fech_in!R3/SER_summary!R$27)</f>
        <v>81.719866043708464</v>
      </c>
      <c r="S3" s="126">
        <f>IF(SER_hh_fech_in!S3=0,0,SER_hh_fech_in!S3/SER_summary!S$27)</f>
        <v>81.607675085379682</v>
      </c>
      <c r="T3" s="126">
        <f>IF(SER_hh_fech_in!T3=0,0,SER_hh_fech_in!T3/SER_summary!T$27)</f>
        <v>74.37321540869425</v>
      </c>
      <c r="U3" s="126">
        <f>IF(SER_hh_fech_in!U3=0,0,SER_hh_fech_in!U3/SER_summary!U$27)</f>
        <v>72.279841686963948</v>
      </c>
      <c r="V3" s="126">
        <f>IF(SER_hh_fech_in!V3=0,0,SER_hh_fech_in!V3/SER_summary!V$27)</f>
        <v>62.152382593430026</v>
      </c>
      <c r="W3" s="126">
        <f>IF(SER_hh_fech_in!W3=0,0,SER_hh_fech_in!W3/SER_summary!W$27)</f>
        <v>57.034630707137786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144.71950706599026</v>
      </c>
      <c r="D4" s="131">
        <f>IF(SER_hh_fech_in!D4=0,0,SER_hh_fech_in!D4/SER_summary!D$27)</f>
        <v>133.63916256951154</v>
      </c>
      <c r="E4" s="131">
        <f>IF(SER_hh_fech_in!E4=0,0,SER_hh_fech_in!E4/SER_summary!E$27)</f>
        <v>140.00702126163395</v>
      </c>
      <c r="F4" s="131">
        <f>IF(SER_hh_fech_in!F4=0,0,SER_hh_fech_in!F4/SER_summary!F$27)</f>
        <v>129.44687728562235</v>
      </c>
      <c r="G4" s="131">
        <f>IF(SER_hh_fech_in!G4=0,0,SER_hh_fech_in!G4/SER_summary!G$27)</f>
        <v>111.35555960465241</v>
      </c>
      <c r="H4" s="131">
        <f>IF(SER_hh_fech_in!H4=0,0,SER_hh_fech_in!H4/SER_summary!H$27)</f>
        <v>95.043150024068638</v>
      </c>
      <c r="I4" s="131">
        <f>IF(SER_hh_fech_in!I4=0,0,SER_hh_fech_in!I4/SER_summary!I$27)</f>
        <v>85.662083545470054</v>
      </c>
      <c r="J4" s="131">
        <f>IF(SER_hh_fech_in!J4=0,0,SER_hh_fech_in!J4/SER_summary!J$27)</f>
        <v>86.145393108081876</v>
      </c>
      <c r="K4" s="131">
        <f>IF(SER_hh_fech_in!K4=0,0,SER_hh_fech_in!K4/SER_summary!K$27)</f>
        <v>67.171142717000052</v>
      </c>
      <c r="L4" s="131">
        <f>IF(SER_hh_fech_in!L4=0,0,SER_hh_fech_in!L4/SER_summary!L$27)</f>
        <v>80.137918492390597</v>
      </c>
      <c r="M4" s="131">
        <f>IF(SER_hh_fech_in!M4=0,0,SER_hh_fech_in!M4/SER_summary!M$27)</f>
        <v>72.607528123518222</v>
      </c>
      <c r="N4" s="131">
        <f>IF(SER_hh_fech_in!N4=0,0,SER_hh_fech_in!N4/SER_summary!N$27)</f>
        <v>66.430752612671796</v>
      </c>
      <c r="O4" s="131">
        <f>IF(SER_hh_fech_in!O4=0,0,SER_hh_fech_in!O4/SER_summary!O$27)</f>
        <v>63.207494044274405</v>
      </c>
      <c r="P4" s="131">
        <f>IF(SER_hh_fech_in!P4=0,0,SER_hh_fech_in!P4/SER_summary!P$27)</f>
        <v>55.171958043188667</v>
      </c>
      <c r="Q4" s="131">
        <f>IF(SER_hh_fech_in!Q4=0,0,SER_hh_fech_in!Q4/SER_summary!Q$27)</f>
        <v>52.489828696775703</v>
      </c>
      <c r="R4" s="131">
        <f>IF(SER_hh_fech_in!R4=0,0,SER_hh_fech_in!R4/SER_summary!R$27)</f>
        <v>49.918902760877664</v>
      </c>
      <c r="S4" s="131">
        <f>IF(SER_hh_fech_in!S4=0,0,SER_hh_fech_in!S4/SER_summary!S$27)</f>
        <v>49.209510408477634</v>
      </c>
      <c r="T4" s="131">
        <f>IF(SER_hh_fech_in!T4=0,0,SER_hh_fech_in!T4/SER_summary!T$27)</f>
        <v>43.625191381673964</v>
      </c>
      <c r="U4" s="131">
        <f>IF(SER_hh_fech_in!U4=0,0,SER_hh_fech_in!U4/SER_summary!U$27)</f>
        <v>41.848163155597952</v>
      </c>
      <c r="V4" s="131">
        <f>IF(SER_hh_fech_in!V4=0,0,SER_hh_fech_in!V4/SER_summary!V$27)</f>
        <v>35.284836588794647</v>
      </c>
      <c r="W4" s="131">
        <f>IF(SER_hh_fech_in!W4=0,0,SER_hh_fech_in!W4/SER_summary!W$27)</f>
        <v>29.418956232879054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188.30374901136258</v>
      </c>
      <c r="F5" s="133">
        <f>IF(SER_hh_fech_in!F5=0,0,SER_hh_fech_in!F5/SER_summary!F$27)</f>
        <v>201.10841719510211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71.762003886280368</v>
      </c>
      <c r="O5" s="133">
        <f>IF(SER_hh_fech_in!O5=0,0,SER_hh_fech_in!O5/SER_summary!O$27)</f>
        <v>74.905150430015851</v>
      </c>
      <c r="P5" s="133">
        <f>IF(SER_hh_fech_in!P5=0,0,SER_hh_fech_in!P5/SER_summary!P$27)</f>
        <v>62.650477641215616</v>
      </c>
      <c r="Q5" s="133">
        <f>IF(SER_hh_fech_in!Q5=0,0,SER_hh_fech_in!Q5/SER_summary!Q$27)</f>
        <v>0</v>
      </c>
      <c r="R5" s="133">
        <f>IF(SER_hh_fech_in!R5=0,0,SER_hh_fech_in!R5/SER_summary!R$27)</f>
        <v>62.895668379676842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49.067616366537031</v>
      </c>
      <c r="V5" s="133">
        <f>IF(SER_hh_fech_in!V5=0,0,SER_hh_fech_in!V5/SER_summary!V$27)</f>
        <v>35.948221359526997</v>
      </c>
      <c r="W5" s="133">
        <f>IF(SER_hh_fech_in!W5=0,0,SER_hh_fech_in!W5/SER_summary!W$27)</f>
        <v>33.964231899742153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79.394224046589358</v>
      </c>
      <c r="D7" s="133">
        <f>IF(SER_hh_fech_in!D7=0,0,SER_hh_fech_in!D7/SER_summary!D$27)</f>
        <v>205.6067909275996</v>
      </c>
      <c r="E7" s="133">
        <f>IF(SER_hh_fech_in!E7=0,0,SER_hh_fech_in!E7/SER_summary!E$27)</f>
        <v>159.33283202274714</v>
      </c>
      <c r="F7" s="133">
        <f>IF(SER_hh_fech_in!F7=0,0,SER_hh_fech_in!F7/SER_summary!F$27)</f>
        <v>169.55801752127584</v>
      </c>
      <c r="G7" s="133">
        <f>IF(SER_hh_fech_in!G7=0,0,SER_hh_fech_in!G7/SER_summary!G$27)</f>
        <v>114.3052886203058</v>
      </c>
      <c r="H7" s="133">
        <f>IF(SER_hh_fech_in!H7=0,0,SER_hh_fech_in!H7/SER_summary!H$27)</f>
        <v>120.74883876738691</v>
      </c>
      <c r="I7" s="133">
        <f>IF(SER_hh_fech_in!I7=0,0,SER_hh_fech_in!I7/SER_summary!I$27)</f>
        <v>111.01731122476608</v>
      </c>
      <c r="J7" s="133">
        <f>IF(SER_hh_fech_in!J7=0,0,SER_hh_fech_in!J7/SER_summary!J$27)</f>
        <v>111.6079803233031</v>
      </c>
      <c r="K7" s="133">
        <f>IF(SER_hh_fech_in!K7=0,0,SER_hh_fech_in!K7/SER_summary!K$27)</f>
        <v>0</v>
      </c>
      <c r="L7" s="133">
        <f>IF(SER_hh_fech_in!L7=0,0,SER_hh_fech_in!L7/SER_summary!L$27)</f>
        <v>103.65863717760737</v>
      </c>
      <c r="M7" s="133">
        <f>IF(SER_hh_fech_in!M7=0,0,SER_hh_fech_in!M7/SER_summary!M$27)</f>
        <v>72.922950509537969</v>
      </c>
      <c r="N7" s="133">
        <f>IF(SER_hh_fech_in!N7=0,0,SER_hh_fech_in!N7/SER_summary!N$27)</f>
        <v>101.03869595177795</v>
      </c>
      <c r="O7" s="133">
        <f>IF(SER_hh_fech_in!O7=0,0,SER_hh_fech_in!O7/SER_summary!O$27)</f>
        <v>70.61531012476128</v>
      </c>
      <c r="P7" s="133">
        <f>IF(SER_hh_fech_in!P7=0,0,SER_hh_fech_in!P7/SER_summary!P$27)</f>
        <v>42.087454021021252</v>
      </c>
      <c r="Q7" s="133">
        <f>IF(SER_hh_fech_in!Q7=0,0,SER_hh_fech_in!Q7/SER_summary!Q$27)</f>
        <v>70.732489250431556</v>
      </c>
      <c r="R7" s="133">
        <f>IF(SER_hh_fech_in!R7=0,0,SER_hh_fech_in!R7/SER_summary!R$27)</f>
        <v>62.24269455895692</v>
      </c>
      <c r="S7" s="133">
        <f>IF(SER_hh_fech_in!S7=0,0,SER_hh_fech_in!S7/SER_summary!S$27)</f>
        <v>60.958578445802424</v>
      </c>
      <c r="T7" s="133">
        <f>IF(SER_hh_fech_in!T7=0,0,SER_hh_fech_in!T7/SER_summary!T$27)</f>
        <v>0</v>
      </c>
      <c r="U7" s="133">
        <f>IF(SER_hh_fech_in!U7=0,0,SER_hh_fech_in!U7/SER_summary!U$27)</f>
        <v>38.034737265846417</v>
      </c>
      <c r="V7" s="133">
        <f>IF(SER_hh_fech_in!V7=0,0,SER_hh_fech_in!V7/SER_summary!V$27)</f>
        <v>39.391992684535715</v>
      </c>
      <c r="W7" s="133">
        <f>IF(SER_hh_fech_in!W7=0,0,SER_hh_fech_in!W7/SER_summary!W$27)</f>
        <v>43.407187992039063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19.801393582465838</v>
      </c>
      <c r="H8" s="133">
        <f>IF(SER_hh_fech_in!H8=0,0,SER_hh_fech_in!H8/SER_summary!H$27)</f>
        <v>21.885772675398524</v>
      </c>
      <c r="I8" s="133">
        <f>IF(SER_hh_fech_in!I8=0,0,SER_hh_fech_in!I8/SER_summary!I$27)</f>
        <v>23.246146055579977</v>
      </c>
      <c r="J8" s="133">
        <f>IF(SER_hh_fech_in!J8=0,0,SER_hh_fech_in!J8/SER_summary!J$27)</f>
        <v>24.572278703315455</v>
      </c>
      <c r="K8" s="133">
        <f>IF(SER_hh_fech_in!K8=0,0,SER_hh_fech_in!K8/SER_summary!K$27)</f>
        <v>21.515486872142084</v>
      </c>
      <c r="L8" s="133">
        <f>IF(SER_hh_fech_in!L8=0,0,SER_hh_fech_in!L8/SER_summary!L$27)</f>
        <v>17.641557231816645</v>
      </c>
      <c r="M8" s="133">
        <f>IF(SER_hh_fech_in!M8=0,0,SER_hh_fech_in!M8/SER_summary!M$27)</f>
        <v>15.537873627982712</v>
      </c>
      <c r="N8" s="133">
        <f>IF(SER_hh_fech_in!N8=0,0,SER_hh_fech_in!N8/SER_summary!N$27)</f>
        <v>12.805880747569923</v>
      </c>
      <c r="O8" s="133">
        <f>IF(SER_hh_fech_in!O8=0,0,SER_hh_fech_in!O8/SER_summary!O$27)</f>
        <v>13.290298634043243</v>
      </c>
      <c r="P8" s="133">
        <f>IF(SER_hh_fech_in!P8=0,0,SER_hh_fech_in!P8/SER_summary!P$27)</f>
        <v>13.785549648769212</v>
      </c>
      <c r="Q8" s="133">
        <f>IF(SER_hh_fech_in!Q8=0,0,SER_hh_fech_in!Q8/SER_summary!Q$27)</f>
        <v>12.063933373014025</v>
      </c>
      <c r="R8" s="133">
        <f>IF(SER_hh_fech_in!R8=0,0,SER_hh_fech_in!R8/SER_summary!R$27)</f>
        <v>11.156168139653808</v>
      </c>
      <c r="S8" s="133">
        <f>IF(SER_hh_fech_in!S8=0,0,SER_hh_fech_in!S8/SER_summary!S$27)</f>
        <v>10.284838633015346</v>
      </c>
      <c r="T8" s="133">
        <f>IF(SER_hh_fech_in!T8=0,0,SER_hh_fech_in!T8/SER_summary!T$27)</f>
        <v>9.4520374639295728</v>
      </c>
      <c r="U8" s="133">
        <f>IF(SER_hh_fech_in!U8=0,0,SER_hh_fech_in!U8/SER_summary!U$27)</f>
        <v>8.9390059767597503</v>
      </c>
      <c r="V8" s="133">
        <f>IF(SER_hh_fech_in!V8=0,0,SER_hh_fech_in!V8/SER_summary!V$27)</f>
        <v>7.8954185654725091</v>
      </c>
      <c r="W8" s="133">
        <f>IF(SER_hh_fech_in!W8=0,0,SER_hh_fech_in!W8/SER_summary!W$27)</f>
        <v>6.8207539203098868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166.23875183531078</v>
      </c>
      <c r="D9" s="133">
        <f>IF(SER_hh_fech_in!D9=0,0,SER_hh_fech_in!D9/SER_summary!D$27)</f>
        <v>143.74253807007756</v>
      </c>
      <c r="E9" s="133">
        <f>IF(SER_hh_fech_in!E9=0,0,SER_hh_fech_in!E9/SER_summary!E$27)</f>
        <v>139.68732166431207</v>
      </c>
      <c r="F9" s="133">
        <f>IF(SER_hh_fech_in!F9=0,0,SER_hh_fech_in!F9/SER_summary!F$27)</f>
        <v>126.50958962267876</v>
      </c>
      <c r="G9" s="133">
        <f>IF(SER_hh_fech_in!G9=0,0,SER_hh_fech_in!G9/SER_summary!G$27)</f>
        <v>117.0319390137947</v>
      </c>
      <c r="H9" s="133">
        <f>IF(SER_hh_fech_in!H9=0,0,SER_hh_fech_in!H9/SER_summary!H$27)</f>
        <v>100.45327115649555</v>
      </c>
      <c r="I9" s="133">
        <f>IF(SER_hh_fech_in!I9=0,0,SER_hh_fech_in!I9/SER_summary!I$27)</f>
        <v>89.142863349524148</v>
      </c>
      <c r="J9" s="133">
        <f>IF(SER_hh_fech_in!J9=0,0,SER_hh_fech_in!J9/SER_summary!J$27)</f>
        <v>94.145607933239518</v>
      </c>
      <c r="K9" s="133">
        <f>IF(SER_hh_fech_in!K9=0,0,SER_hh_fech_in!K9/SER_summary!K$27)</f>
        <v>82.6330633752235</v>
      </c>
      <c r="L9" s="133">
        <f>IF(SER_hh_fech_in!L9=0,0,SER_hh_fech_in!L9/SER_summary!L$27)</f>
        <v>86.01002449869425</v>
      </c>
      <c r="M9" s="133">
        <f>IF(SER_hh_fech_in!M9=0,0,SER_hh_fech_in!M9/SER_summary!M$27)</f>
        <v>79.610547955201866</v>
      </c>
      <c r="N9" s="133">
        <f>IF(SER_hh_fech_in!N9=0,0,SER_hh_fech_in!N9/SER_summary!N$27)</f>
        <v>71.372853267523681</v>
      </c>
      <c r="O9" s="133">
        <f>IF(SER_hh_fech_in!O9=0,0,SER_hh_fech_in!O9/SER_summary!O$27)</f>
        <v>64.873241774275144</v>
      </c>
      <c r="P9" s="133">
        <f>IF(SER_hh_fech_in!P9=0,0,SER_hh_fech_in!P9/SER_summary!P$27)</f>
        <v>58.465478506093078</v>
      </c>
      <c r="Q9" s="133">
        <f>IF(SER_hh_fech_in!Q9=0,0,SER_hh_fech_in!Q9/SER_summary!Q$27)</f>
        <v>54.223753100632706</v>
      </c>
      <c r="R9" s="133">
        <f>IF(SER_hh_fech_in!R9=0,0,SER_hh_fech_in!R9/SER_summary!R$27)</f>
        <v>52.459245110999056</v>
      </c>
      <c r="S9" s="133">
        <f>IF(SER_hh_fech_in!S9=0,0,SER_hh_fech_in!S9/SER_summary!S$27)</f>
        <v>52.776502410628147</v>
      </c>
      <c r="T9" s="133">
        <f>IF(SER_hh_fech_in!T9=0,0,SER_hh_fech_in!T9/SER_summary!T$27)</f>
        <v>45.597642114208682</v>
      </c>
      <c r="U9" s="133">
        <f>IF(SER_hh_fech_in!U9=0,0,SER_hh_fech_in!U9/SER_summary!U$27)</f>
        <v>45.001339402582367</v>
      </c>
      <c r="V9" s="133">
        <f>IF(SER_hh_fech_in!V9=0,0,SER_hh_fech_in!V9/SER_summary!V$27)</f>
        <v>38.361000844973283</v>
      </c>
      <c r="W9" s="133">
        <f>IF(SER_hh_fech_in!W9=0,0,SER_hh_fech_in!W9/SER_summary!W$27)</f>
        <v>30.833380014736779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186.53452105933852</v>
      </c>
      <c r="D10" s="133">
        <f>IF(SER_hh_fech_in!D10=0,0,SER_hh_fech_in!D10/SER_summary!D$27)</f>
        <v>147.46545039444925</v>
      </c>
      <c r="E10" s="133">
        <f>IF(SER_hh_fech_in!E10=0,0,SER_hh_fech_in!E10/SER_summary!E$27)</f>
        <v>163.9382644344017</v>
      </c>
      <c r="F10" s="133">
        <f>IF(SER_hh_fech_in!F10=0,0,SER_hh_fech_in!F10/SER_summary!F$27)</f>
        <v>150.33732409681116</v>
      </c>
      <c r="G10" s="133">
        <f>IF(SER_hh_fech_in!G10=0,0,SER_hh_fech_in!G10/SER_summary!G$27)</f>
        <v>135.35590122598703</v>
      </c>
      <c r="H10" s="133">
        <f>IF(SER_hh_fech_in!H10=0,0,SER_hh_fech_in!H10/SER_summary!H$27)</f>
        <v>105.42178824284463</v>
      </c>
      <c r="I10" s="133">
        <f>IF(SER_hh_fech_in!I10=0,0,SER_hh_fech_in!I10/SER_summary!I$27)</f>
        <v>134.64614764406952</v>
      </c>
      <c r="J10" s="133">
        <f>IF(SER_hh_fech_in!J10=0,0,SER_hh_fech_in!J10/SER_summary!J$27)</f>
        <v>102.78799285527806</v>
      </c>
      <c r="K10" s="133">
        <f>IF(SER_hh_fech_in!K10=0,0,SER_hh_fech_in!K10/SER_summary!K$27)</f>
        <v>86.630572393204929</v>
      </c>
      <c r="L10" s="133">
        <f>IF(SER_hh_fech_in!L10=0,0,SER_hh_fech_in!L10/SER_summary!L$27)</f>
        <v>109.19598773065191</v>
      </c>
      <c r="M10" s="133">
        <f>IF(SER_hh_fech_in!M10=0,0,SER_hh_fech_in!M10/SER_summary!M$27)</f>
        <v>98.689925044186324</v>
      </c>
      <c r="N10" s="133">
        <f>IF(SER_hh_fech_in!N10=0,0,SER_hh_fech_in!N10/SER_summary!N$27)</f>
        <v>89.317188002723555</v>
      </c>
      <c r="O10" s="133">
        <f>IF(SER_hh_fech_in!O10=0,0,SER_hh_fech_in!O10/SER_summary!O$27)</f>
        <v>86.855796546093842</v>
      </c>
      <c r="P10" s="133">
        <f>IF(SER_hh_fech_in!P10=0,0,SER_hh_fech_in!P10/SER_summary!P$27)</f>
        <v>77.251531447618149</v>
      </c>
      <c r="Q10" s="133">
        <f>IF(SER_hh_fech_in!Q10=0,0,SER_hh_fech_in!Q10/SER_summary!Q$27)</f>
        <v>80.003939732524287</v>
      </c>
      <c r="R10" s="133">
        <f>IF(SER_hh_fech_in!R10=0,0,SER_hh_fech_in!R10/SER_summary!R$27)</f>
        <v>73.150809739549089</v>
      </c>
      <c r="S10" s="133">
        <f>IF(SER_hh_fech_in!S10=0,0,SER_hh_fech_in!S10/SER_summary!S$27)</f>
        <v>67.423983863968346</v>
      </c>
      <c r="T10" s="133">
        <f>IF(SER_hh_fech_in!T10=0,0,SER_hh_fech_in!T10/SER_summary!T$27)</f>
        <v>65.325108291556319</v>
      </c>
      <c r="U10" s="133">
        <f>IF(SER_hh_fech_in!U10=0,0,SER_hh_fech_in!U10/SER_summary!U$27)</f>
        <v>62.090177272335609</v>
      </c>
      <c r="V10" s="133">
        <f>IF(SER_hh_fech_in!V10=0,0,SER_hh_fech_in!V10/SER_summary!V$27)</f>
        <v>52.839620466772452</v>
      </c>
      <c r="W10" s="133">
        <f>IF(SER_hh_fech_in!W10=0,0,SER_hh_fech_in!W10/SER_summary!W$27)</f>
        <v>45.383922906890689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117.74144804963572</v>
      </c>
      <c r="D12" s="133">
        <f>IF(SER_hh_fech_in!D12=0,0,SER_hh_fech_in!D12/SER_summary!D$27)</f>
        <v>107.16377310280855</v>
      </c>
      <c r="E12" s="133">
        <f>IF(SER_hh_fech_in!E12=0,0,SER_hh_fech_in!E12/SER_summary!E$27)</f>
        <v>104.63099784968577</v>
      </c>
      <c r="F12" s="133">
        <f>IF(SER_hh_fech_in!F12=0,0,SER_hh_fech_in!F12/SER_summary!F$27)</f>
        <v>103.49733842169431</v>
      </c>
      <c r="G12" s="133">
        <f>IF(SER_hh_fech_in!G12=0,0,SER_hh_fech_in!G12/SER_summary!G$27)</f>
        <v>98.632045539970349</v>
      </c>
      <c r="H12" s="133">
        <f>IF(SER_hh_fech_in!H12=0,0,SER_hh_fech_in!H12/SER_summary!H$27)</f>
        <v>77.584283313522945</v>
      </c>
      <c r="I12" s="133">
        <f>IF(SER_hh_fech_in!I12=0,0,SER_hh_fech_in!I12/SER_summary!I$27)</f>
        <v>69.670862890812799</v>
      </c>
      <c r="J12" s="133">
        <f>IF(SER_hh_fech_in!J12=0,0,SER_hh_fech_in!J12/SER_summary!J$27)</f>
        <v>69.626740665427064</v>
      </c>
      <c r="K12" s="133">
        <f>IF(SER_hh_fech_in!K12=0,0,SER_hh_fech_in!K12/SER_summary!K$27)</f>
        <v>62.690748972591123</v>
      </c>
      <c r="L12" s="133">
        <f>IF(SER_hh_fech_in!L12=0,0,SER_hh_fech_in!L12/SER_summary!L$27)</f>
        <v>75.574664233003674</v>
      </c>
      <c r="M12" s="133">
        <f>IF(SER_hh_fech_in!M12=0,0,SER_hh_fech_in!M12/SER_summary!M$27)</f>
        <v>65.996199849407844</v>
      </c>
      <c r="N12" s="133">
        <f>IF(SER_hh_fech_in!N12=0,0,SER_hh_fech_in!N12/SER_summary!N$27)</f>
        <v>60.642381799586126</v>
      </c>
      <c r="O12" s="133">
        <f>IF(SER_hh_fech_in!O12=0,0,SER_hh_fech_in!O12/SER_summary!O$27)</f>
        <v>55.690505336527529</v>
      </c>
      <c r="P12" s="133">
        <f>IF(SER_hh_fech_in!P12=0,0,SER_hh_fech_in!P12/SER_summary!P$27)</f>
        <v>49.724671025869604</v>
      </c>
      <c r="Q12" s="133">
        <f>IF(SER_hh_fech_in!Q12=0,0,SER_hh_fech_in!Q12/SER_summary!Q$27)</f>
        <v>47.817227385843772</v>
      </c>
      <c r="R12" s="133">
        <f>IF(SER_hh_fech_in!R12=0,0,SER_hh_fech_in!R12/SER_summary!R$27)</f>
        <v>46.994323942654603</v>
      </c>
      <c r="S12" s="133">
        <f>IF(SER_hh_fech_in!S12=0,0,SER_hh_fech_in!S12/SER_summary!S$27)</f>
        <v>45.035059195227284</v>
      </c>
      <c r="T12" s="133">
        <f>IF(SER_hh_fech_in!T12=0,0,SER_hh_fech_in!T12/SER_summary!T$27)</f>
        <v>42.373210523714945</v>
      </c>
      <c r="U12" s="133">
        <f>IF(SER_hh_fech_in!U12=0,0,SER_hh_fech_in!U12/SER_summary!U$27)</f>
        <v>37.944612946299912</v>
      </c>
      <c r="V12" s="133">
        <f>IF(SER_hh_fech_in!V12=0,0,SER_hh_fech_in!V12/SER_summary!V$27)</f>
        <v>33.021194363838966</v>
      </c>
      <c r="W12" s="133">
        <f>IF(SER_hh_fech_in!W12=0,0,SER_hh_fech_in!W12/SER_summary!W$27)</f>
        <v>28.767863486118827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57.941833313241297</v>
      </c>
      <c r="D13" s="133">
        <f>IF(SER_hh_fech_in!D13=0,0,SER_hh_fech_in!D13/SER_summary!D$27)</f>
        <v>58.971266329515728</v>
      </c>
      <c r="E13" s="133">
        <f>IF(SER_hh_fech_in!E13=0,0,SER_hh_fech_in!E13/SER_summary!E$27)</f>
        <v>53.254373940628554</v>
      </c>
      <c r="F13" s="133">
        <f>IF(SER_hh_fech_in!F13=0,0,SER_hh_fech_in!F13/SER_summary!F$27)</f>
        <v>45.059555814340932</v>
      </c>
      <c r="G13" s="133">
        <f>IF(SER_hh_fech_in!G13=0,0,SER_hh_fech_in!G13/SER_summary!G$27)</f>
        <v>35.225240617556658</v>
      </c>
      <c r="H13" s="133">
        <f>IF(SER_hh_fech_in!H13=0,0,SER_hh_fech_in!H13/SER_summary!H$27)</f>
        <v>31.133178219351414</v>
      </c>
      <c r="I13" s="133">
        <f>IF(SER_hh_fech_in!I13=0,0,SER_hh_fech_in!I13/SER_summary!I$27)</f>
        <v>27.575714039311528</v>
      </c>
      <c r="J13" s="133">
        <f>IF(SER_hh_fech_in!J13=0,0,SER_hh_fech_in!J13/SER_summary!J$27)</f>
        <v>24.991463970236069</v>
      </c>
      <c r="K13" s="133">
        <f>IF(SER_hh_fech_in!K13=0,0,SER_hh_fech_in!K13/SER_summary!K$27)</f>
        <v>22.724628441949793</v>
      </c>
      <c r="L13" s="133">
        <f>IF(SER_hh_fech_in!L13=0,0,SER_hh_fech_in!L13/SER_summary!L$27)</f>
        <v>21.44763658320219</v>
      </c>
      <c r="M13" s="133">
        <f>IF(SER_hh_fech_in!M13=0,0,SER_hh_fech_in!M13/SER_summary!M$27)</f>
        <v>19.14309636068154</v>
      </c>
      <c r="N13" s="133">
        <f>IF(SER_hh_fech_in!N13=0,0,SER_hh_fech_in!N13/SER_summary!N$27)</f>
        <v>16.917365049682427</v>
      </c>
      <c r="O13" s="133">
        <f>IF(SER_hh_fech_in!O13=0,0,SER_hh_fech_in!O13/SER_summary!O$27)</f>
        <v>14.601235506970319</v>
      </c>
      <c r="P13" s="133">
        <f>IF(SER_hh_fech_in!P13=0,0,SER_hh_fech_in!P13/SER_summary!P$27)</f>
        <v>12.624919348111206</v>
      </c>
      <c r="Q13" s="133">
        <f>IF(SER_hh_fech_in!Q13=0,0,SER_hh_fech_in!Q13/SER_summary!Q$27)</f>
        <v>11.548258165840648</v>
      </c>
      <c r="R13" s="133">
        <f>IF(SER_hh_fech_in!R13=0,0,SER_hh_fech_in!R13/SER_summary!R$27)</f>
        <v>11.058770018698164</v>
      </c>
      <c r="S13" s="133">
        <f>IF(SER_hh_fech_in!S13=0,0,SER_hh_fech_in!S13/SER_summary!S$27)</f>
        <v>10.646775184828561</v>
      </c>
      <c r="T13" s="133">
        <f>IF(SER_hh_fech_in!T13=0,0,SER_hh_fech_in!T13/SER_summary!T$27)</f>
        <v>9.96118737397736</v>
      </c>
      <c r="U13" s="133">
        <f>IF(SER_hh_fech_in!U13=0,0,SER_hh_fech_in!U13/SER_summary!U$27)</f>
        <v>9.2211365333970381</v>
      </c>
      <c r="V13" s="133">
        <f>IF(SER_hh_fech_in!V13=0,0,SER_hh_fech_in!V13/SER_summary!V$27)</f>
        <v>8.2448608810479893</v>
      </c>
      <c r="W13" s="133">
        <f>IF(SER_hh_fech_in!W13=0,0,SER_hh_fech_in!W13/SER_summary!W$27)</f>
        <v>7.1164744478071933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129.20116650634415</v>
      </c>
      <c r="D14" s="65">
        <f>IF(SER_hh_fech_in!D14=0,0,SER_hh_fech_in!D14/SER_summary!D$27)</f>
        <v>118.04537031161061</v>
      </c>
      <c r="E14" s="65">
        <f>IF(SER_hh_fech_in!E14=0,0,SER_hh_fech_in!E14/SER_summary!E$27)</f>
        <v>140.30896296103882</v>
      </c>
      <c r="F14" s="65">
        <f>IF(SER_hh_fech_in!F14=0,0,SER_hh_fech_in!F14/SER_summary!F$27)</f>
        <v>0</v>
      </c>
      <c r="G14" s="65">
        <f>IF(SER_hh_fech_in!G14=0,0,SER_hh_fech_in!G14/SER_summary!G$27)</f>
        <v>92.154364524350314</v>
      </c>
      <c r="H14" s="65">
        <f>IF(SER_hh_fech_in!H14=0,0,SER_hh_fech_in!H14/SER_summary!H$27)</f>
        <v>87.415043396611253</v>
      </c>
      <c r="I14" s="65">
        <f>IF(SER_hh_fech_in!I14=0,0,SER_hh_fech_in!I14/SER_summary!I$27)</f>
        <v>80.061416664036443</v>
      </c>
      <c r="J14" s="65">
        <f>IF(SER_hh_fech_in!J14=0,0,SER_hh_fech_in!J14/SER_summary!J$27)</f>
        <v>81.07479496936881</v>
      </c>
      <c r="K14" s="65">
        <f>IF(SER_hh_fech_in!K14=0,0,SER_hh_fech_in!K14/SER_summary!K$27)</f>
        <v>74.213090150002415</v>
      </c>
      <c r="L14" s="65">
        <f>IF(SER_hh_fech_in!L14=0,0,SER_hh_fech_in!L14/SER_summary!L$27)</f>
        <v>78.88282331233566</v>
      </c>
      <c r="M14" s="65">
        <f>IF(SER_hh_fech_in!M14=0,0,SER_hh_fech_in!M14/SER_summary!M$27)</f>
        <v>68.298899096569031</v>
      </c>
      <c r="N14" s="65">
        <f>IF(SER_hh_fech_in!N14=0,0,SER_hh_fech_in!N14/SER_summary!N$27)</f>
        <v>63.564127790711694</v>
      </c>
      <c r="O14" s="65">
        <f>IF(SER_hh_fech_in!O14=0,0,SER_hh_fech_in!O14/SER_summary!O$27)</f>
        <v>63.350839342396689</v>
      </c>
      <c r="P14" s="65">
        <f>IF(SER_hh_fech_in!P14=0,0,SER_hh_fech_in!P14/SER_summary!P$27)</f>
        <v>53.235005545685858</v>
      </c>
      <c r="Q14" s="65">
        <f>IF(SER_hh_fech_in!Q14=0,0,SER_hh_fech_in!Q14/SER_summary!Q$27)</f>
        <v>48.624485849521498</v>
      </c>
      <c r="R14" s="65">
        <f>IF(SER_hh_fech_in!R14=0,0,SER_hh_fech_in!R14/SER_summary!R$27)</f>
        <v>49.53382366118251</v>
      </c>
      <c r="S14" s="65">
        <f>IF(SER_hh_fech_in!S14=0,0,SER_hh_fech_in!S14/SER_summary!S$27)</f>
        <v>47.484730324163593</v>
      </c>
      <c r="T14" s="65">
        <f>IF(SER_hh_fech_in!T14=0,0,SER_hh_fech_in!T14/SER_summary!T$27)</f>
        <v>43.423633264282849</v>
      </c>
      <c r="U14" s="65">
        <f>IF(SER_hh_fech_in!U14=0,0,SER_hh_fech_in!U14/SER_summary!U$27)</f>
        <v>41.031351931204583</v>
      </c>
      <c r="V14" s="65">
        <f>IF(SER_hh_fech_in!V14=0,0,SER_hh_fech_in!V14/SER_summary!V$27)</f>
        <v>34.478134405839597</v>
      </c>
      <c r="W14" s="65">
        <f>IF(SER_hh_fech_in!W14=0,0,SER_hh_fech_in!W14/SER_summary!W$27)</f>
        <v>28.568500412182939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1.2969080803592743</v>
      </c>
      <c r="D15" s="135">
        <f>IF(SER_hh_fech_in!D15=0,0,SER_hh_fech_in!D15/SER_summary!D$27)</f>
        <v>1.269757886070354</v>
      </c>
      <c r="E15" s="135">
        <f>IF(SER_hh_fech_in!E15=0,0,SER_hh_fech_in!E15/SER_summary!E$27)</f>
        <v>1.139562864865924</v>
      </c>
      <c r="F15" s="135">
        <f>IF(SER_hh_fech_in!F15=0,0,SER_hh_fech_in!F15/SER_summary!F$27)</f>
        <v>1.0215863725190999</v>
      </c>
      <c r="G15" s="135">
        <f>IF(SER_hh_fech_in!G15=0,0,SER_hh_fech_in!G15/SER_summary!G$27)</f>
        <v>1.0436188112479183</v>
      </c>
      <c r="H15" s="135">
        <f>IF(SER_hh_fech_in!H15=0,0,SER_hh_fech_in!H15/SER_summary!H$27)</f>
        <v>0.94618909582540267</v>
      </c>
      <c r="I15" s="135">
        <f>IF(SER_hh_fech_in!I15=0,0,SER_hh_fech_in!I15/SER_summary!I$27)</f>
        <v>0.86423177054373534</v>
      </c>
      <c r="J15" s="135">
        <f>IF(SER_hh_fech_in!J15=0,0,SER_hh_fech_in!J15/SER_summary!J$27)</f>
        <v>0.81912101501058721</v>
      </c>
      <c r="K15" s="135">
        <f>IF(SER_hh_fech_in!K15=0,0,SER_hh_fech_in!K15/SER_summary!K$27)</f>
        <v>0.23562846891917308</v>
      </c>
      <c r="L15" s="135">
        <f>IF(SER_hh_fech_in!L15=0,0,SER_hh_fech_in!L15/SER_summary!L$27)</f>
        <v>0.52207118849006307</v>
      </c>
      <c r="M15" s="135">
        <f>IF(SER_hh_fech_in!M15=0,0,SER_hh_fech_in!M15/SER_summary!M$27)</f>
        <v>0.55181081639580154</v>
      </c>
      <c r="N15" s="135">
        <f>IF(SER_hh_fech_in!N15=0,0,SER_hh_fech_in!N15/SER_summary!N$27)</f>
        <v>0.48767990784360787</v>
      </c>
      <c r="O15" s="135">
        <f>IF(SER_hh_fech_in!O15=0,0,SER_hh_fech_in!O15/SER_summary!O$27)</f>
        <v>0.48163944117630419</v>
      </c>
      <c r="P15" s="135">
        <f>IF(SER_hh_fech_in!P15=0,0,SER_hh_fech_in!P15/SER_summary!P$27)</f>
        <v>0.5014214313355041</v>
      </c>
      <c r="Q15" s="135">
        <f>IF(SER_hh_fech_in!Q15=0,0,SER_hh_fech_in!Q15/SER_summary!Q$27)</f>
        <v>0.50171342302623501</v>
      </c>
      <c r="R15" s="135">
        <f>IF(SER_hh_fech_in!R15=0,0,SER_hh_fech_in!R15/SER_summary!R$27)</f>
        <v>0.45235129152954745</v>
      </c>
      <c r="S15" s="135">
        <f>IF(SER_hh_fech_in!S15=0,0,SER_hh_fech_in!S15/SER_summary!S$27)</f>
        <v>0.48221171641044902</v>
      </c>
      <c r="T15" s="135">
        <f>IF(SER_hh_fech_in!T15=0,0,SER_hh_fech_in!T15/SER_summary!T$27)</f>
        <v>0.39700297413114632</v>
      </c>
      <c r="U15" s="135">
        <f>IF(SER_hh_fech_in!U15=0,0,SER_hh_fech_in!U15/SER_summary!U$27)</f>
        <v>0.40061206681718614</v>
      </c>
      <c r="V15" s="135">
        <f>IF(SER_hh_fech_in!V15=0,0,SER_hh_fech_in!V15/SER_summary!V$27)</f>
        <v>0.32408623546769016</v>
      </c>
      <c r="W15" s="135">
        <f>IF(SER_hh_fech_in!W15=0,0,SER_hh_fech_in!W15/SER_summary!W$27)</f>
        <v>0.24519884610411288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11.911770108041761</v>
      </c>
      <c r="D16" s="131">
        <f>IF(SER_hh_fech_in!D16=0,0,SER_hh_fech_in!D16/SER_summary!D$27)</f>
        <v>11.522156729694817</v>
      </c>
      <c r="E16" s="131">
        <f>IF(SER_hh_fech_in!E16=0,0,SER_hh_fech_in!E16/SER_summary!E$27)</f>
        <v>11.684648639849257</v>
      </c>
      <c r="F16" s="131">
        <f>IF(SER_hh_fech_in!F16=0,0,SER_hh_fech_in!F16/SER_summary!F$27)</f>
        <v>10.754147877602</v>
      </c>
      <c r="G16" s="131">
        <f>IF(SER_hh_fech_in!G16=0,0,SER_hh_fech_in!G16/SER_summary!G$27)</f>
        <v>10.529259411142489</v>
      </c>
      <c r="H16" s="131">
        <f>IF(SER_hh_fech_in!H16=0,0,SER_hh_fech_in!H16/SER_summary!H$27)</f>
        <v>10.48039271305738</v>
      </c>
      <c r="I16" s="131">
        <f>IF(SER_hh_fech_in!I16=0,0,SER_hh_fech_in!I16/SER_summary!I$27)</f>
        <v>10.013140644379927</v>
      </c>
      <c r="J16" s="131">
        <f>IF(SER_hh_fech_in!J16=0,0,SER_hh_fech_in!J16/SER_summary!J$27)</f>
        <v>9.5226219342672014</v>
      </c>
      <c r="K16" s="131">
        <f>IF(SER_hh_fech_in!K16=0,0,SER_hh_fech_in!K16/SER_summary!K$27)</f>
        <v>9.1739950959494667</v>
      </c>
      <c r="L16" s="131">
        <f>IF(SER_hh_fech_in!L16=0,0,SER_hh_fech_in!L16/SER_summary!L$27)</f>
        <v>9.0330883205473498</v>
      </c>
      <c r="M16" s="131">
        <f>IF(SER_hh_fech_in!M16=0,0,SER_hh_fech_in!M16/SER_summary!M$27)</f>
        <v>8.5582206561744893</v>
      </c>
      <c r="N16" s="131">
        <f>IF(SER_hh_fech_in!N16=0,0,SER_hh_fech_in!N16/SER_summary!N$27)</f>
        <v>8.2229231420063211</v>
      </c>
      <c r="O16" s="131">
        <f>IF(SER_hh_fech_in!O16=0,0,SER_hh_fech_in!O16/SER_summary!O$27)</f>
        <v>8.1237789684091606</v>
      </c>
      <c r="P16" s="131">
        <f>IF(SER_hh_fech_in!P16=0,0,SER_hh_fech_in!P16/SER_summary!P$27)</f>
        <v>7.3143629032681527</v>
      </c>
      <c r="Q16" s="131">
        <f>IF(SER_hh_fech_in!Q16=0,0,SER_hh_fech_in!Q16/SER_summary!Q$27)</f>
        <v>8.2420139703942219</v>
      </c>
      <c r="R16" s="131">
        <f>IF(SER_hh_fech_in!R16=0,0,SER_hh_fech_in!R16/SER_summary!R$27)</f>
        <v>6.7315649322573847</v>
      </c>
      <c r="S16" s="131">
        <f>IF(SER_hh_fech_in!S16=0,0,SER_hh_fech_in!S16/SER_summary!S$27)</f>
        <v>6.6500083967182313</v>
      </c>
      <c r="T16" s="131">
        <f>IF(SER_hh_fech_in!T16=0,0,SER_hh_fech_in!T16/SER_summary!T$27)</f>
        <v>6.7846430098478407</v>
      </c>
      <c r="U16" s="131">
        <f>IF(SER_hh_fech_in!U16=0,0,SER_hh_fech_in!U16/SER_summary!U$27)</f>
        <v>6.4453279953733116</v>
      </c>
      <c r="V16" s="131">
        <f>IF(SER_hh_fech_in!V16=0,0,SER_hh_fech_in!V16/SER_summary!V$27)</f>
        <v>5.9796304516709871</v>
      </c>
      <c r="W16" s="131">
        <f>IF(SER_hh_fech_in!W16=0,0,SER_hh_fech_in!W16/SER_summary!W$27)</f>
        <v>5.422219894583904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21.585289738980066</v>
      </c>
      <c r="H17" s="133">
        <f>IF(SER_hh_fech_in!H17=0,0,SER_hh_fech_in!H17/SER_summary!H$27)</f>
        <v>21.986831732854572</v>
      </c>
      <c r="I17" s="133">
        <f>IF(SER_hh_fech_in!I17=0,0,SER_hh_fech_in!I17/SER_summary!I$27)</f>
        <v>21.503964936857528</v>
      </c>
      <c r="J17" s="133">
        <f>IF(SER_hh_fech_in!J17=0,0,SER_hh_fech_in!J17/SER_summary!J$27)</f>
        <v>20.859705199571327</v>
      </c>
      <c r="K17" s="133">
        <f>IF(SER_hh_fech_in!K17=0,0,SER_hh_fech_in!K17/SER_summary!K$27)</f>
        <v>20.57831747176057</v>
      </c>
      <c r="L17" s="133">
        <f>IF(SER_hh_fech_in!L17=0,0,SER_hh_fech_in!L17/SER_summary!L$27)</f>
        <v>20.724874580357074</v>
      </c>
      <c r="M17" s="133">
        <f>IF(SER_hh_fech_in!M17=0,0,SER_hh_fech_in!M17/SER_summary!M$27)</f>
        <v>20.086835800910229</v>
      </c>
      <c r="N17" s="133">
        <f>IF(SER_hh_fech_in!N17=0,0,SER_hh_fech_in!N17/SER_summary!N$27)</f>
        <v>19.782708455306818</v>
      </c>
      <c r="O17" s="133">
        <f>IF(SER_hh_fech_in!O17=0,0,SER_hh_fech_in!O17/SER_summary!O$27)</f>
        <v>20.111635417623781</v>
      </c>
      <c r="P17" s="133">
        <f>IF(SER_hh_fech_in!P17=0,0,SER_hh_fech_in!P17/SER_summary!P$27)</f>
        <v>18.826341953779124</v>
      </c>
      <c r="Q17" s="133">
        <f>IF(SER_hh_fech_in!Q17=0,0,SER_hh_fech_in!Q17/SER_summary!Q$27)</f>
        <v>21.947850654318227</v>
      </c>
      <c r="R17" s="133">
        <f>IF(SER_hh_fech_in!R17=0,0,SER_hh_fech_in!R17/SER_summary!R$27)</f>
        <v>17.991577550675355</v>
      </c>
      <c r="S17" s="133">
        <f>IF(SER_hh_fech_in!S17=0,0,SER_hh_fech_in!S17/SER_summary!S$27)</f>
        <v>17.701040376594765</v>
      </c>
      <c r="T17" s="133">
        <f>IF(SER_hh_fech_in!T17=0,0,SER_hh_fech_in!T17/SER_summary!T$27)</f>
        <v>18.891141914554129</v>
      </c>
      <c r="U17" s="133">
        <f>IF(SER_hh_fech_in!U17=0,0,SER_hh_fech_in!U17/SER_summary!U$27)</f>
        <v>16.652394124399969</v>
      </c>
      <c r="V17" s="133">
        <f>IF(SER_hh_fech_in!V17=0,0,SER_hh_fech_in!V17/SER_summary!V$27)</f>
        <v>15.2879714906784</v>
      </c>
      <c r="W17" s="133">
        <f>IF(SER_hh_fech_in!W17=0,0,SER_hh_fech_in!W17/SER_summary!W$27)</f>
        <v>13.77161381640912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11.911770108041761</v>
      </c>
      <c r="D18" s="133">
        <f>IF(SER_hh_fech_in!D18=0,0,SER_hh_fech_in!D18/SER_summary!D$27)</f>
        <v>11.522156729694817</v>
      </c>
      <c r="E18" s="133">
        <f>IF(SER_hh_fech_in!E18=0,0,SER_hh_fech_in!E18/SER_summary!E$27)</f>
        <v>11.684648639849257</v>
      </c>
      <c r="F18" s="133">
        <f>IF(SER_hh_fech_in!F18=0,0,SER_hh_fech_in!F18/SER_summary!F$27)</f>
        <v>10.754147877602</v>
      </c>
      <c r="G18" s="133">
        <f>IF(SER_hh_fech_in!G18=0,0,SER_hh_fech_in!G18/SER_summary!G$27)</f>
        <v>10.484208055478618</v>
      </c>
      <c r="H18" s="133">
        <f>IF(SER_hh_fech_in!H18=0,0,SER_hh_fech_in!H18/SER_summary!H$27)</f>
        <v>10.469953199688227</v>
      </c>
      <c r="I18" s="133">
        <f>IF(SER_hh_fech_in!I18=0,0,SER_hh_fech_in!I18/SER_summary!I$27)</f>
        <v>9.9915915476312041</v>
      </c>
      <c r="J18" s="133">
        <f>IF(SER_hh_fech_in!J18=0,0,SER_hh_fech_in!J18/SER_summary!J$27)</f>
        <v>9.5180897486631952</v>
      </c>
      <c r="K18" s="133">
        <f>IF(SER_hh_fech_in!K18=0,0,SER_hh_fech_in!K18/SER_summary!K$27)</f>
        <v>9.13676322720125</v>
      </c>
      <c r="L18" s="133">
        <f>IF(SER_hh_fech_in!L18=0,0,SER_hh_fech_in!L18/SER_summary!L$27)</f>
        <v>9.0289049409010538</v>
      </c>
      <c r="M18" s="133">
        <f>IF(SER_hh_fech_in!M18=0,0,SER_hh_fech_in!M18/SER_summary!M$27)</f>
        <v>8.5463704108614387</v>
      </c>
      <c r="N18" s="133">
        <f>IF(SER_hh_fech_in!N18=0,0,SER_hh_fech_in!N18/SER_summary!N$27)</f>
        <v>8.2096548567628798</v>
      </c>
      <c r="O18" s="133">
        <f>IF(SER_hh_fech_in!O18=0,0,SER_hh_fech_in!O18/SER_summary!O$27)</f>
        <v>8.0834349089064936</v>
      </c>
      <c r="P18" s="133">
        <f>IF(SER_hh_fech_in!P18=0,0,SER_hh_fech_in!P18/SER_summary!P$27)</f>
        <v>7.2383320314637238</v>
      </c>
      <c r="Q18" s="133">
        <f>IF(SER_hh_fech_in!Q18=0,0,SER_hh_fech_in!Q18/SER_summary!Q$27)</f>
        <v>8.1107311669083924</v>
      </c>
      <c r="R18" s="133">
        <f>IF(SER_hh_fech_in!R18=0,0,SER_hh_fech_in!R18/SER_summary!R$27)</f>
        <v>6.6684427512020106</v>
      </c>
      <c r="S18" s="133">
        <f>IF(SER_hh_fech_in!S18=0,0,SER_hh_fech_in!S18/SER_summary!S$27)</f>
        <v>6.5677682482930342</v>
      </c>
      <c r="T18" s="133">
        <f>IF(SER_hh_fech_in!T18=0,0,SER_hh_fech_in!T18/SER_summary!T$27)</f>
        <v>6.7037154128654723</v>
      </c>
      <c r="U18" s="133">
        <f>IF(SER_hh_fech_in!U18=0,0,SER_hh_fech_in!U18/SER_summary!U$27)</f>
        <v>6.3840706499891073</v>
      </c>
      <c r="V18" s="133">
        <f>IF(SER_hh_fech_in!V18=0,0,SER_hh_fech_in!V18/SER_summary!V$27)</f>
        <v>5.8330805840035476</v>
      </c>
      <c r="W18" s="133">
        <f>IF(SER_hh_fech_in!W18=0,0,SER_hh_fech_in!W18/SER_summary!W$27)</f>
        <v>5.3785595735677667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12.21193772520798</v>
      </c>
      <c r="D19" s="131">
        <f>IF(SER_hh_fech_in!D19=0,0,SER_hh_fech_in!D19/SER_summary!D$27)</f>
        <v>12.049043783526876</v>
      </c>
      <c r="E19" s="131">
        <f>IF(SER_hh_fech_in!E19=0,0,SER_hh_fech_in!E19/SER_summary!E$27)</f>
        <v>11.301511011910359</v>
      </c>
      <c r="F19" s="131">
        <f>IF(SER_hh_fech_in!F19=0,0,SER_hh_fech_in!F19/SER_summary!F$27)</f>
        <v>11.260333409567716</v>
      </c>
      <c r="G19" s="131">
        <f>IF(SER_hh_fech_in!G19=0,0,SER_hh_fech_in!G19/SER_summary!G$27)</f>
        <v>11.247904836307512</v>
      </c>
      <c r="H19" s="131">
        <f>IF(SER_hh_fech_in!H19=0,0,SER_hh_fech_in!H19/SER_summary!H$27)</f>
        <v>11.24626192537414</v>
      </c>
      <c r="I19" s="131">
        <f>IF(SER_hh_fech_in!I19=0,0,SER_hh_fech_in!I19/SER_summary!I$27)</f>
        <v>11.215653510822582</v>
      </c>
      <c r="J19" s="131">
        <f>IF(SER_hh_fech_in!J19=0,0,SER_hh_fech_in!J19/SER_summary!J$27)</f>
        <v>10.990742481148777</v>
      </c>
      <c r="K19" s="131">
        <f>IF(SER_hh_fech_in!K19=0,0,SER_hh_fech_in!K19/SER_summary!K$27)</f>
        <v>11.626360033628302</v>
      </c>
      <c r="L19" s="131">
        <f>IF(SER_hh_fech_in!L19=0,0,SER_hh_fech_in!L19/SER_summary!L$27)</f>
        <v>11.485909459473707</v>
      </c>
      <c r="M19" s="131">
        <f>IF(SER_hh_fech_in!M19=0,0,SER_hh_fech_in!M19/SER_summary!M$27)</f>
        <v>11.467015713477425</v>
      </c>
      <c r="N19" s="131">
        <f>IF(SER_hh_fech_in!N19=0,0,SER_hh_fech_in!N19/SER_summary!N$27)</f>
        <v>11.223920560072017</v>
      </c>
      <c r="O19" s="131">
        <f>IF(SER_hh_fech_in!O19=0,0,SER_hh_fech_in!O19/SER_summary!O$27)</f>
        <v>11.134418170084095</v>
      </c>
      <c r="P19" s="131">
        <f>IF(SER_hh_fech_in!P19=0,0,SER_hh_fech_in!P19/SER_summary!P$27)</f>
        <v>10.572970499196259</v>
      </c>
      <c r="Q19" s="131">
        <f>IF(SER_hh_fech_in!Q19=0,0,SER_hh_fech_in!Q19/SER_summary!Q$27)</f>
        <v>10.638240259927043</v>
      </c>
      <c r="R19" s="131">
        <f>IF(SER_hh_fech_in!R19=0,0,SER_hh_fech_in!R19/SER_summary!R$27)</f>
        <v>10.511183283528865</v>
      </c>
      <c r="S19" s="131">
        <f>IF(SER_hh_fech_in!S19=0,0,SER_hh_fech_in!S19/SER_summary!S$27)</f>
        <v>10.475087052804342</v>
      </c>
      <c r="T19" s="131">
        <f>IF(SER_hh_fech_in!T19=0,0,SER_hh_fech_in!T19/SER_summary!T$27)</f>
        <v>10.097858494394892</v>
      </c>
      <c r="U19" s="131">
        <f>IF(SER_hh_fech_in!U19=0,0,SER_hh_fech_in!U19/SER_summary!U$27)</f>
        <v>10.01204993522289</v>
      </c>
      <c r="V19" s="131">
        <f>IF(SER_hh_fech_in!V19=0,0,SER_hh_fech_in!V19/SER_summary!V$27)</f>
        <v>9.2551588977616781</v>
      </c>
      <c r="W19" s="131">
        <f>IF(SER_hh_fech_in!W19=0,0,SER_hh_fech_in!W19/SER_summary!W$27)</f>
        <v>9.2924028904431566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13.75749128631529</v>
      </c>
      <c r="D23" s="133">
        <f>IF(SER_hh_fech_in!D23=0,0,SER_hh_fech_in!D23/SER_summary!D$27)</f>
        <v>13.585819812849849</v>
      </c>
      <c r="E23" s="133">
        <f>IF(SER_hh_fech_in!E23=0,0,SER_hh_fech_in!E23/SER_summary!E$27)</f>
        <v>12.852491234954039</v>
      </c>
      <c r="F23" s="133">
        <f>IF(SER_hh_fech_in!F23=0,0,SER_hh_fech_in!F23/SER_summary!F$27)</f>
        <v>12.447368781675584</v>
      </c>
      <c r="G23" s="133">
        <f>IF(SER_hh_fech_in!G23=0,0,SER_hh_fech_in!G23/SER_summary!G$27)</f>
        <v>12.394261215499535</v>
      </c>
      <c r="H23" s="133">
        <f>IF(SER_hh_fech_in!H23=0,0,SER_hh_fech_in!H23/SER_summary!H$27)</f>
        <v>12.23090163651919</v>
      </c>
      <c r="I23" s="133">
        <f>IF(SER_hh_fech_in!I23=0,0,SER_hh_fech_in!I23/SER_summary!I$27)</f>
        <v>11.757078402909345</v>
      </c>
      <c r="J23" s="133">
        <f>IF(SER_hh_fech_in!J23=0,0,SER_hh_fech_in!J23/SER_summary!J$27)</f>
        <v>11.64988846763227</v>
      </c>
      <c r="K23" s="133">
        <f>IF(SER_hh_fech_in!K23=0,0,SER_hh_fech_in!K23/SER_summary!K$27)</f>
        <v>12.057225331834397</v>
      </c>
      <c r="L23" s="133">
        <f>IF(SER_hh_fech_in!L23=0,0,SER_hh_fech_in!L23/SER_summary!L$27)</f>
        <v>12.924943463836282</v>
      </c>
      <c r="M23" s="133">
        <f>IF(SER_hh_fech_in!M23=0,0,SER_hh_fech_in!M23/SER_summary!M$27)</f>
        <v>12.437750892473804</v>
      </c>
      <c r="N23" s="133">
        <f>IF(SER_hh_fech_in!N23=0,0,SER_hh_fech_in!N23/SER_summary!N$27)</f>
        <v>12.028526090521172</v>
      </c>
      <c r="O23" s="133">
        <f>IF(SER_hh_fech_in!O23=0,0,SER_hh_fech_in!O23/SER_summary!O$27)</f>
        <v>11.693561531418032</v>
      </c>
      <c r="P23" s="133">
        <f>IF(SER_hh_fech_in!P23=0,0,SER_hh_fech_in!P23/SER_summary!P$27)</f>
        <v>11.051346960929902</v>
      </c>
      <c r="Q23" s="133">
        <f>IF(SER_hh_fech_in!Q23=0,0,SER_hh_fech_in!Q23/SER_summary!Q$27)</f>
        <v>11.071522242142468</v>
      </c>
      <c r="R23" s="133">
        <f>IF(SER_hh_fech_in!R23=0,0,SER_hh_fech_in!R23/SER_summary!R$27)</f>
        <v>10.861544181470872</v>
      </c>
      <c r="S23" s="133">
        <f>IF(SER_hh_fech_in!S23=0,0,SER_hh_fech_in!S23/SER_summary!S$27)</f>
        <v>10.866705300097564</v>
      </c>
      <c r="T23" s="133">
        <f>IF(SER_hh_fech_in!T23=0,0,SER_hh_fech_in!T23/SER_summary!T$27)</f>
        <v>10.215140233654376</v>
      </c>
      <c r="U23" s="133">
        <f>IF(SER_hh_fech_in!U23=0,0,SER_hh_fech_in!U23/SER_summary!U$27)</f>
        <v>10.362708160907149</v>
      </c>
      <c r="V23" s="133">
        <f>IF(SER_hh_fech_in!V23=0,0,SER_hh_fech_in!V23/SER_summary!V$27)</f>
        <v>9.3686247339903677</v>
      </c>
      <c r="W23" s="133">
        <f>IF(SER_hh_fech_in!W23=0,0,SER_hh_fech_in!W23/SER_summary!W$27)</f>
        <v>9.5736448191106565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9.948380234896959</v>
      </c>
      <c r="D25" s="133">
        <f>IF(SER_hh_fech_in!D25=0,0,SER_hh_fech_in!D25/SER_summary!D$27)</f>
        <v>9.6954222097633611</v>
      </c>
      <c r="E25" s="133">
        <f>IF(SER_hh_fech_in!E25=0,0,SER_hh_fech_in!E25/SER_summary!E$27)</f>
        <v>9.4220017295912157</v>
      </c>
      <c r="F25" s="133">
        <f>IF(SER_hh_fech_in!F25=0,0,SER_hh_fech_in!F25/SER_summary!F$27)</f>
        <v>9.38744228646617</v>
      </c>
      <c r="G25" s="133">
        <f>IF(SER_hh_fech_in!G25=0,0,SER_hh_fech_in!G25/SER_summary!G$27)</f>
        <v>9.1465291511829214</v>
      </c>
      <c r="H25" s="133">
        <f>IF(SER_hh_fech_in!H25=0,0,SER_hh_fech_in!H25/SER_summary!H$27)</f>
        <v>9.2538200419151018</v>
      </c>
      <c r="I25" s="133">
        <f>IF(SER_hh_fech_in!I25=0,0,SER_hh_fech_in!I25/SER_summary!I$27)</f>
        <v>9.1904759830363449</v>
      </c>
      <c r="J25" s="133">
        <f>IF(SER_hh_fech_in!J25=0,0,SER_hh_fech_in!J25/SER_summary!J$27)</f>
        <v>9.1957232710527119</v>
      </c>
      <c r="K25" s="133">
        <f>IF(SER_hh_fech_in!K25=0,0,SER_hh_fech_in!K25/SER_summary!K$27)</f>
        <v>8.7509425409186203</v>
      </c>
      <c r="L25" s="133">
        <f>IF(SER_hh_fech_in!L25=0,0,SER_hh_fech_in!L25/SER_summary!L$27)</f>
        <v>9.8455459856071972</v>
      </c>
      <c r="M25" s="133">
        <f>IF(SER_hh_fech_in!M25=0,0,SER_hh_fech_in!M25/SER_summary!M$27)</f>
        <v>9.9559471217880748</v>
      </c>
      <c r="N25" s="133">
        <f>IF(SER_hh_fech_in!N25=0,0,SER_hh_fech_in!N25/SER_summary!N$27)</f>
        <v>9.904449662614276</v>
      </c>
      <c r="O25" s="133">
        <f>IF(SER_hh_fech_in!O25=0,0,SER_hh_fech_in!O25/SER_summary!O$27)</f>
        <v>10.004162682365449</v>
      </c>
      <c r="P25" s="133">
        <f>IF(SER_hh_fech_in!P25=0,0,SER_hh_fech_in!P25/SER_summary!P$27)</f>
        <v>9.6091927667186212</v>
      </c>
      <c r="Q25" s="133">
        <f>IF(SER_hh_fech_in!Q25=0,0,SER_hh_fech_in!Q25/SER_summary!Q$27)</f>
        <v>9.8451147110203792</v>
      </c>
      <c r="R25" s="133">
        <f>IF(SER_hh_fech_in!R25=0,0,SER_hh_fech_in!R25/SER_summary!R$27)</f>
        <v>10.034092724982097</v>
      </c>
      <c r="S25" s="133">
        <f>IF(SER_hh_fech_in!S25=0,0,SER_hh_fech_in!S25/SER_summary!S$27)</f>
        <v>9.6811341603181482</v>
      </c>
      <c r="T25" s="133">
        <f>IF(SER_hh_fech_in!T25=0,0,SER_hh_fech_in!T25/SER_summary!T$27)</f>
        <v>9.940321895899773</v>
      </c>
      <c r="U25" s="133">
        <f>IF(SER_hh_fech_in!U25=0,0,SER_hh_fech_in!U25/SER_summary!U$27)</f>
        <v>9.3976069760282339</v>
      </c>
      <c r="V25" s="133">
        <f>IF(SER_hh_fech_in!V25=0,0,SER_hh_fech_in!V25/SER_summary!V$27)</f>
        <v>8.7470802532680452</v>
      </c>
      <c r="W25" s="133">
        <f>IF(SER_hh_fech_in!W25=0,0,SER_hh_fech_in!W25/SER_summary!W$27)</f>
        <v>9.1958869514768207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12.126015741384526</v>
      </c>
      <c r="D26" s="65">
        <f>IF(SER_hh_fech_in!D26=0,0,SER_hh_fech_in!D26/SER_summary!D$27)</f>
        <v>11.835917107315677</v>
      </c>
      <c r="E26" s="65">
        <f>IF(SER_hh_fech_in!E26=0,0,SER_hh_fech_in!E26/SER_summary!E$27)</f>
        <v>7.8008285719335753</v>
      </c>
      <c r="F26" s="65">
        <f>IF(SER_hh_fech_in!F26=0,0,SER_hh_fech_in!F26/SER_summary!F$27)</f>
        <v>9.9754311715082746</v>
      </c>
      <c r="G26" s="65">
        <f>IF(SER_hh_fech_in!G26=0,0,SER_hh_fech_in!G26/SER_summary!G$27)</f>
        <v>10.563027565552501</v>
      </c>
      <c r="H26" s="65">
        <f>IF(SER_hh_fech_in!H26=0,0,SER_hh_fech_in!H26/SER_summary!H$27)</f>
        <v>10.492156446542641</v>
      </c>
      <c r="I26" s="65">
        <f>IF(SER_hh_fech_in!I26=0,0,SER_hh_fech_in!I26/SER_summary!I$27)</f>
        <v>10.397622367493909</v>
      </c>
      <c r="J26" s="65">
        <f>IF(SER_hh_fech_in!J26=0,0,SER_hh_fech_in!J26/SER_summary!J$27)</f>
        <v>9.3247331723481039</v>
      </c>
      <c r="K26" s="65">
        <f>IF(SER_hh_fech_in!K26=0,0,SER_hh_fech_in!K26/SER_summary!K$27)</f>
        <v>4.8970801398382919</v>
      </c>
      <c r="L26" s="65">
        <f>IF(SER_hh_fech_in!L26=0,0,SER_hh_fech_in!L26/SER_summary!L$27)</f>
        <v>8.3147648072549725</v>
      </c>
      <c r="M26" s="65">
        <f>IF(SER_hh_fech_in!M26=0,0,SER_hh_fech_in!M26/SER_summary!M$27)</f>
        <v>9.2973849592135238</v>
      </c>
      <c r="N26" s="65">
        <f>IF(SER_hh_fech_in!N26=0,0,SER_hh_fech_in!N26/SER_summary!N$27)</f>
        <v>9.1207279192536586</v>
      </c>
      <c r="O26" s="65">
        <f>IF(SER_hh_fech_in!O26=0,0,SER_hh_fech_in!O26/SER_summary!O$27)</f>
        <v>9.3006170302512938</v>
      </c>
      <c r="P26" s="65">
        <f>IF(SER_hh_fech_in!P26=0,0,SER_hh_fech_in!P26/SER_summary!P$27)</f>
        <v>4.7755291873073684</v>
      </c>
      <c r="Q26" s="65">
        <f>IF(SER_hh_fech_in!Q26=0,0,SER_hh_fech_in!Q26/SER_summary!Q$27)</f>
        <v>9.3138750881328747</v>
      </c>
      <c r="R26" s="65">
        <f>IF(SER_hh_fech_in!R26=0,0,SER_hh_fech_in!R26/SER_summary!R$27)</f>
        <v>9.0570634072959439</v>
      </c>
      <c r="S26" s="65">
        <f>IF(SER_hh_fech_in!S26=0,0,SER_hh_fech_in!S26/SER_summary!S$27)</f>
        <v>8.0438340220021427</v>
      </c>
      <c r="T26" s="65">
        <f>IF(SER_hh_fech_in!T26=0,0,SER_hh_fech_in!T26/SER_summary!T$27)</f>
        <v>7.9733539449242858</v>
      </c>
      <c r="U26" s="65">
        <f>IF(SER_hh_fech_in!U26=0,0,SER_hh_fech_in!U26/SER_summary!U$27)</f>
        <v>7.8231431346073563</v>
      </c>
      <c r="V26" s="65">
        <f>IF(SER_hh_fech_in!V26=0,0,SER_hh_fech_in!V26/SER_summary!V$27)</f>
        <v>5.1950486446832524</v>
      </c>
      <c r="W26" s="65">
        <f>IF(SER_hh_fech_in!W26=0,0,SER_hh_fech_in!W26/SER_summary!W$27)</f>
        <v>8.3420912211237148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0.84475393839393453</v>
      </c>
      <c r="F27" s="146">
        <f>IF(SER_hh_fech_in!F27=0,0,SER_hh_fech_in!F27/SER_summary!F$27)</f>
        <v>0.27361476768209159</v>
      </c>
      <c r="G27" s="146">
        <f>IF(SER_hh_fech_in!G27=0,0,SER_hh_fech_in!G27/SER_summary!G$27)</f>
        <v>0.14423270451854189</v>
      </c>
      <c r="H27" s="146">
        <f>IF(SER_hh_fech_in!H27=0,0,SER_hh_fech_in!H27/SER_summary!H$27)</f>
        <v>0.1650758043326287</v>
      </c>
      <c r="I27" s="146">
        <f>IF(SER_hh_fech_in!I27=0,0,SER_hh_fech_in!I27/SER_summary!I$27)</f>
        <v>0.23583095070964086</v>
      </c>
      <c r="J27" s="146">
        <f>IF(SER_hh_fech_in!J27=0,0,SER_hh_fech_in!J27/SER_summary!J$27)</f>
        <v>0.50217124428537474</v>
      </c>
      <c r="K27" s="146">
        <f>IF(SER_hh_fech_in!K27=0,0,SER_hh_fech_in!K27/SER_summary!K$27)</f>
        <v>1.3763010433737954</v>
      </c>
      <c r="L27" s="146">
        <f>IF(SER_hh_fech_in!L27=0,0,SER_hh_fech_in!L27/SER_summary!L$27)</f>
        <v>1.0625341974662101</v>
      </c>
      <c r="M27" s="146">
        <f>IF(SER_hh_fech_in!M27=0,0,SER_hh_fech_in!M27/SER_summary!M$27)</f>
        <v>0.76184786661807569</v>
      </c>
      <c r="N27" s="146">
        <f>IF(SER_hh_fech_in!N27=0,0,SER_hh_fech_in!N27/SER_summary!N$27)</f>
        <v>0.90977819644202229</v>
      </c>
      <c r="O27" s="146">
        <f>IF(SER_hh_fech_in!O27=0,0,SER_hh_fech_in!O27/SER_summary!O$27)</f>
        <v>0.69537170067387732</v>
      </c>
      <c r="P27" s="146">
        <f>IF(SER_hh_fech_in!P27=0,0,SER_hh_fech_in!P27/SER_summary!P$27)</f>
        <v>1.4405804997307685</v>
      </c>
      <c r="Q27" s="146">
        <f>IF(SER_hh_fech_in!Q27=0,0,SER_hh_fech_in!Q27/SER_summary!Q$27)</f>
        <v>0.27933398946636895</v>
      </c>
      <c r="R27" s="146">
        <f>IF(SER_hh_fech_in!R27=0,0,SER_hh_fech_in!R27/SER_summary!R$27)</f>
        <v>0.43061807890169107</v>
      </c>
      <c r="S27" s="146">
        <f>IF(SER_hh_fech_in!S27=0,0,SER_hh_fech_in!S27/SER_summary!S$27)</f>
        <v>0.63393578338411405</v>
      </c>
      <c r="T27" s="146">
        <f>IF(SER_hh_fech_in!T27=0,0,SER_hh_fech_in!T27/SER_summary!T$27)</f>
        <v>0.77126162891692396</v>
      </c>
      <c r="U27" s="146">
        <f>IF(SER_hh_fech_in!U27=0,0,SER_hh_fech_in!U27/SER_summary!U$27)</f>
        <v>0.62044260836147114</v>
      </c>
      <c r="V27" s="146">
        <f>IF(SER_hh_fech_in!V27=0,0,SER_hh_fech_in!V27/SER_summary!V$27)</f>
        <v>1.3771157209804239</v>
      </c>
      <c r="W27" s="146">
        <f>IF(SER_hh_fech_in!W27=0,0,SER_hh_fech_in!W27/SER_summary!W$27)</f>
        <v>0.2178399419173038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3.8305399047570772</v>
      </c>
      <c r="F28" s="147">
        <f>IF(SER_hh_fech_in!F28=0,0,SER_hh_fech_in!F28/SER_summary!F$27)</f>
        <v>3.679446181487918</v>
      </c>
      <c r="G28" s="147">
        <f>IF(SER_hh_fech_in!G28=0,0,SER_hh_fech_in!G28/SER_summary!G$27)</f>
        <v>3.7393866309153361</v>
      </c>
      <c r="H28" s="147">
        <f>IF(SER_hh_fech_in!H28=0,0,SER_hh_fech_in!H28/SER_summary!H$27)</f>
        <v>3.6210460312262884</v>
      </c>
      <c r="I28" s="147">
        <f>IF(SER_hh_fech_in!I28=0,0,SER_hh_fech_in!I28/SER_summary!I$27)</f>
        <v>3.6843962730228985</v>
      </c>
      <c r="J28" s="147">
        <f>IF(SER_hh_fech_in!J28=0,0,SER_hh_fech_in!J28/SER_summary!J$27)</f>
        <v>3.7637839903522234</v>
      </c>
      <c r="K28" s="147">
        <f>IF(SER_hh_fech_in!K28=0,0,SER_hh_fech_in!K28/SER_summary!K$27)</f>
        <v>4.2031448825553737</v>
      </c>
      <c r="L28" s="147">
        <f>IF(SER_hh_fech_in!L28=0,0,SER_hh_fech_in!L28/SER_summary!L$27)</f>
        <v>4.2104113640955738</v>
      </c>
      <c r="M28" s="147">
        <f>IF(SER_hh_fech_in!M28=0,0,SER_hh_fech_in!M28/SER_summary!M$27)</f>
        <v>4.6313874496022995</v>
      </c>
      <c r="N28" s="147">
        <f>IF(SER_hh_fech_in!N28=0,0,SER_hh_fech_in!N28/SER_summary!N$27)</f>
        <v>4.7850546131136085</v>
      </c>
      <c r="O28" s="147">
        <f>IF(SER_hh_fech_in!O28=0,0,SER_hh_fech_in!O28/SER_summary!O$27)</f>
        <v>4.9457656714493448</v>
      </c>
      <c r="P28" s="147">
        <f>IF(SER_hh_fech_in!P28=0,0,SER_hh_fech_in!P28/SER_summary!P$27)</f>
        <v>4.6571938045563366</v>
      </c>
      <c r="Q28" s="147">
        <f>IF(SER_hh_fech_in!Q28=0,0,SER_hh_fech_in!Q28/SER_summary!Q$27)</f>
        <v>4.8979331328591629</v>
      </c>
      <c r="R28" s="147">
        <f>IF(SER_hh_fech_in!R28=0,0,SER_hh_fech_in!R28/SER_summary!R$27)</f>
        <v>5.0836415897507043</v>
      </c>
      <c r="S28" s="147">
        <f>IF(SER_hh_fech_in!S28=0,0,SER_hh_fech_in!S28/SER_summary!S$27)</f>
        <v>5.0899952312136909</v>
      </c>
      <c r="T28" s="147">
        <f>IF(SER_hh_fech_in!T28=0,0,SER_hh_fech_in!T28/SER_summary!T$27)</f>
        <v>4.9738244406472276</v>
      </c>
      <c r="U28" s="147">
        <f>IF(SER_hh_fech_in!U28=0,0,SER_hh_fech_in!U28/SER_summary!U$27)</f>
        <v>4.9566646717967213</v>
      </c>
      <c r="V28" s="147">
        <f>IF(SER_hh_fech_in!V28=0,0,SER_hh_fech_in!V28/SER_summary!V$27)</f>
        <v>4.5308237443636852</v>
      </c>
      <c r="W28" s="147">
        <f>IF(SER_hh_fech_in!W28=0,0,SER_hh_fech_in!W28/SER_summary!W$27)</f>
        <v>4.7748439546530674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12.860029323521058</v>
      </c>
      <c r="D29" s="131">
        <f>IF(SER_hh_fech_in!D29=0,0,SER_hh_fech_in!D29/SER_summary!D$27)</f>
        <v>12.745029580175324</v>
      </c>
      <c r="E29" s="131">
        <f>IF(SER_hh_fech_in!E29=0,0,SER_hh_fech_in!E29/SER_summary!E$27)</f>
        <v>12.640939453516872</v>
      </c>
      <c r="F29" s="131">
        <f>IF(SER_hh_fech_in!F29=0,0,SER_hh_fech_in!F29/SER_summary!F$27)</f>
        <v>12.443310606441905</v>
      </c>
      <c r="G29" s="131">
        <f>IF(SER_hh_fech_in!G29=0,0,SER_hh_fech_in!G29/SER_summary!G$27)</f>
        <v>12.43403345113396</v>
      </c>
      <c r="H29" s="131">
        <f>IF(SER_hh_fech_in!H29=0,0,SER_hh_fech_in!H29/SER_summary!H$27)</f>
        <v>12.302254779831308</v>
      </c>
      <c r="I29" s="131">
        <f>IF(SER_hh_fech_in!I29=0,0,SER_hh_fech_in!I29/SER_summary!I$27)</f>
        <v>12.360691735215791</v>
      </c>
      <c r="J29" s="131">
        <f>IF(SER_hh_fech_in!J29=0,0,SER_hh_fech_in!J29/SER_summary!J$27)</f>
        <v>12.602559333529717</v>
      </c>
      <c r="K29" s="131">
        <f>IF(SER_hh_fech_in!K29=0,0,SER_hh_fech_in!K29/SER_summary!K$27)</f>
        <v>13.510803946796385</v>
      </c>
      <c r="L29" s="131">
        <f>IF(SER_hh_fech_in!L29=0,0,SER_hh_fech_in!L29/SER_summary!L$27)</f>
        <v>13.808270332633628</v>
      </c>
      <c r="M29" s="131">
        <f>IF(SER_hh_fech_in!M29=0,0,SER_hh_fech_in!M29/SER_summary!M$27)</f>
        <v>13.478606820583407</v>
      </c>
      <c r="N29" s="131">
        <f>IF(SER_hh_fech_in!N29=0,0,SER_hh_fech_in!N29/SER_summary!N$27)</f>
        <v>13.594888588878021</v>
      </c>
      <c r="O29" s="131">
        <f>IF(SER_hh_fech_in!O29=0,0,SER_hh_fech_in!O29/SER_summary!O$27)</f>
        <v>13.900603845093883</v>
      </c>
      <c r="P29" s="131">
        <f>IF(SER_hh_fech_in!P29=0,0,SER_hh_fech_in!P29/SER_summary!P$27)</f>
        <v>13.97747028916428</v>
      </c>
      <c r="Q29" s="131">
        <f>IF(SER_hh_fech_in!Q29=0,0,SER_hh_fech_in!Q29/SER_summary!Q$27)</f>
        <v>14.023230150503126</v>
      </c>
      <c r="R29" s="131">
        <f>IF(SER_hh_fech_in!R29=0,0,SER_hh_fech_in!R29/SER_summary!R$27)</f>
        <v>14.558215067044566</v>
      </c>
      <c r="S29" s="131">
        <f>IF(SER_hh_fech_in!S29=0,0,SER_hh_fech_in!S29/SER_summary!S$27)</f>
        <v>15.273069227379478</v>
      </c>
      <c r="T29" s="131">
        <f>IF(SER_hh_fech_in!T29=0,0,SER_hh_fech_in!T29/SER_summary!T$27)</f>
        <v>13.865522522777539</v>
      </c>
      <c r="U29" s="131">
        <f>IF(SER_hh_fech_in!U29=0,0,SER_hh_fech_in!U29/SER_summary!U$27)</f>
        <v>13.974300600769803</v>
      </c>
      <c r="V29" s="131">
        <f>IF(SER_hh_fech_in!V29=0,0,SER_hh_fech_in!V29/SER_summary!V$27)</f>
        <v>12.465000507470094</v>
      </c>
      <c r="W29" s="131">
        <f>IF(SER_hh_fech_in!W29=0,0,SER_hh_fech_in!W29/SER_summary!W$27)</f>
        <v>12.90105168923167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14.854253034362968</v>
      </c>
      <c r="D31" s="133">
        <f>IF(SER_hh_fech_in!D31=0,0,SER_hh_fech_in!D31/SER_summary!D$27)</f>
        <v>14.608228237115782</v>
      </c>
      <c r="E31" s="133">
        <f>IF(SER_hh_fech_in!E31=0,0,SER_hh_fech_in!E31/SER_summary!E$27)</f>
        <v>14.237399113691412</v>
      </c>
      <c r="F31" s="133">
        <f>IF(SER_hh_fech_in!F31=0,0,SER_hh_fech_in!F31/SER_summary!F$27)</f>
        <v>14.532821294088217</v>
      </c>
      <c r="G31" s="133">
        <f>IF(SER_hh_fech_in!G31=0,0,SER_hh_fech_in!G31/SER_summary!G$27)</f>
        <v>14.229901032570302</v>
      </c>
      <c r="H31" s="133">
        <f>IF(SER_hh_fech_in!H31=0,0,SER_hh_fech_in!H31/SER_summary!H$27)</f>
        <v>14.015561410685667</v>
      </c>
      <c r="I31" s="133">
        <f>IF(SER_hh_fech_in!I31=0,0,SER_hh_fech_in!I31/SER_summary!I$27)</f>
        <v>14.066434324792066</v>
      </c>
      <c r="J31" s="133">
        <f>IF(SER_hh_fech_in!J31=0,0,SER_hh_fech_in!J31/SER_summary!J$27)</f>
        <v>14.317894580734603</v>
      </c>
      <c r="K31" s="133">
        <f>IF(SER_hh_fech_in!K31=0,0,SER_hh_fech_in!K31/SER_summary!K$27)</f>
        <v>16.00153595238374</v>
      </c>
      <c r="L31" s="133">
        <f>IF(SER_hh_fech_in!L31=0,0,SER_hh_fech_in!L31/SER_summary!L$27)</f>
        <v>15.496845398125256</v>
      </c>
      <c r="M31" s="133">
        <f>IF(SER_hh_fech_in!M31=0,0,SER_hh_fech_in!M31/SER_summary!M$27)</f>
        <v>15.687706660678906</v>
      </c>
      <c r="N31" s="133">
        <f>IF(SER_hh_fech_in!N31=0,0,SER_hh_fech_in!N31/SER_summary!N$27)</f>
        <v>15.831226982391224</v>
      </c>
      <c r="O31" s="133">
        <f>IF(SER_hh_fech_in!O31=0,0,SER_hh_fech_in!O31/SER_summary!O$27)</f>
        <v>15.975016408842109</v>
      </c>
      <c r="P31" s="133">
        <f>IF(SER_hh_fech_in!P31=0,0,SER_hh_fech_in!P31/SER_summary!P$27)</f>
        <v>16.045351036595985</v>
      </c>
      <c r="Q31" s="133">
        <f>IF(SER_hh_fech_in!Q31=0,0,SER_hh_fech_in!Q31/SER_summary!Q$27)</f>
        <v>15.566616921234569</v>
      </c>
      <c r="R31" s="133">
        <f>IF(SER_hh_fech_in!R31=0,0,SER_hh_fech_in!R31/SER_summary!R$27)</f>
        <v>15.974135409057423</v>
      </c>
      <c r="S31" s="133">
        <f>IF(SER_hh_fech_in!S31=0,0,SER_hh_fech_in!S31/SER_summary!S$27)</f>
        <v>17.052229823678996</v>
      </c>
      <c r="T31" s="133">
        <f>IF(SER_hh_fech_in!T31=0,0,SER_hh_fech_in!T31/SER_summary!T$27)</f>
        <v>15.599580599375432</v>
      </c>
      <c r="U31" s="133">
        <f>IF(SER_hh_fech_in!U31=0,0,SER_hh_fech_in!U31/SER_summary!U$27)</f>
        <v>16.350163476461717</v>
      </c>
      <c r="V31" s="133">
        <f>IF(SER_hh_fech_in!V31=0,0,SER_hh_fech_in!V31/SER_summary!V$27)</f>
        <v>14.893338565685745</v>
      </c>
      <c r="W31" s="133">
        <f>IF(SER_hh_fech_in!W31=0,0,SER_hh_fech_in!W31/SER_summary!W$27)</f>
        <v>14.473262318145069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10.488897201537892</v>
      </c>
      <c r="D33" s="68">
        <f>IF(SER_hh_fech_in!D33=0,0,SER_hh_fech_in!D33/SER_summary!D$27)</f>
        <v>10.564916314644183</v>
      </c>
      <c r="E33" s="68">
        <f>IF(SER_hh_fech_in!E33=0,0,SER_hh_fech_in!E33/SER_summary!E$27)</f>
        <v>11.047608370216626</v>
      </c>
      <c r="F33" s="68">
        <f>IF(SER_hh_fech_in!F33=0,0,SER_hh_fech_in!F33/SER_summary!F$27)</f>
        <v>10.744246496191465</v>
      </c>
      <c r="G33" s="68">
        <f>IF(SER_hh_fech_in!G33=0,0,SER_hh_fech_in!G33/SER_summary!G$27)</f>
        <v>10.726352988234421</v>
      </c>
      <c r="H33" s="68">
        <f>IF(SER_hh_fech_in!H33=0,0,SER_hh_fech_in!H33/SER_summary!H$27)</f>
        <v>10.966695184387467</v>
      </c>
      <c r="I33" s="68">
        <f>IF(SER_hh_fech_in!I33=0,0,SER_hh_fech_in!I33/SER_summary!I$27)</f>
        <v>10.701287113471111</v>
      </c>
      <c r="J33" s="68">
        <f>IF(SER_hh_fech_in!J33=0,0,SER_hh_fech_in!J33/SER_summary!J$27)</f>
        <v>10.767248449739832</v>
      </c>
      <c r="K33" s="68">
        <f>IF(SER_hh_fech_in!K33=0,0,SER_hh_fech_in!K33/SER_summary!K$27)</f>
        <v>10.73493528795742</v>
      </c>
      <c r="L33" s="68">
        <f>IF(SER_hh_fech_in!L33=0,0,SER_hh_fech_in!L33/SER_summary!L$27)</f>
        <v>11.786739317626724</v>
      </c>
      <c r="M33" s="68">
        <f>IF(SER_hh_fech_in!M33=0,0,SER_hh_fech_in!M33/SER_summary!M$27)</f>
        <v>11.904223973180553</v>
      </c>
      <c r="N33" s="68">
        <f>IF(SER_hh_fech_in!N33=0,0,SER_hh_fech_in!N33/SER_summary!N$27)</f>
        <v>11.920026553362112</v>
      </c>
      <c r="O33" s="68">
        <f>IF(SER_hh_fech_in!O33=0,0,SER_hh_fech_in!O33/SER_summary!O$27)</f>
        <v>12.109241705407335</v>
      </c>
      <c r="P33" s="68">
        <f>IF(SER_hh_fech_in!P33=0,0,SER_hh_fech_in!P33/SER_summary!P$27)</f>
        <v>12.138691485178551</v>
      </c>
      <c r="Q33" s="68">
        <f>IF(SER_hh_fech_in!Q33=0,0,SER_hh_fech_in!Q33/SER_summary!Q$27)</f>
        <v>12.366692699754173</v>
      </c>
      <c r="R33" s="68">
        <f>IF(SER_hh_fech_in!R33=0,0,SER_hh_fech_in!R33/SER_summary!R$27)</f>
        <v>12.03339459487443</v>
      </c>
      <c r="S33" s="68">
        <f>IF(SER_hh_fech_in!S33=0,0,SER_hh_fech_in!S33/SER_summary!S$27)</f>
        <v>11.080327822599331</v>
      </c>
      <c r="T33" s="68">
        <f>IF(SER_hh_fech_in!T33=0,0,SER_hh_fech_in!T33/SER_summary!T$27)</f>
        <v>11.804023984265973</v>
      </c>
      <c r="U33" s="68">
        <f>IF(SER_hh_fech_in!U33=0,0,SER_hh_fech_in!U33/SER_summary!U$27)</f>
        <v>11.084698205000146</v>
      </c>
      <c r="V33" s="68">
        <f>IF(SER_hh_fech_in!V33=0,0,SER_hh_fech_in!V33/SER_summary!V$27)</f>
        <v>10.535754565022259</v>
      </c>
      <c r="W33" s="68">
        <f>IF(SER_hh_fech_in!W33=0,0,SER_hh_fech_in!W33/SER_summary!W$27)</f>
        <v>11.405405114160859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126.84770495354917</v>
      </c>
      <c r="D3" s="126">
        <f>IF(SER_hh_tesh_in!D3=0,0,SER_hh_tesh_in!D3/SER_summary!D$27)</f>
        <v>127.76874646719939</v>
      </c>
      <c r="E3" s="126">
        <f>IF(SER_hh_tesh_in!E3=0,0,SER_hh_tesh_in!E3/SER_summary!E$27)</f>
        <v>122.77532863703496</v>
      </c>
      <c r="F3" s="126">
        <f>IF(SER_hh_tesh_in!F3=0,0,SER_hh_tesh_in!F3/SER_summary!F$27)</f>
        <v>115.7756422835152</v>
      </c>
      <c r="G3" s="126">
        <f>IF(SER_hh_tesh_in!G3=0,0,SER_hh_tesh_in!G3/SER_summary!G$27)</f>
        <v>105.56584135503667</v>
      </c>
      <c r="H3" s="126">
        <f>IF(SER_hh_tesh_in!H3=0,0,SER_hh_tesh_in!H3/SER_summary!H$27)</f>
        <v>97.41281942720245</v>
      </c>
      <c r="I3" s="126">
        <f>IF(SER_hh_tesh_in!I3=0,0,SER_hh_tesh_in!I3/SER_summary!I$27)</f>
        <v>93.999421763457292</v>
      </c>
      <c r="J3" s="126">
        <f>IF(SER_hh_tesh_in!J3=0,0,SER_hh_tesh_in!J3/SER_summary!J$27)</f>
        <v>101.06813341889452</v>
      </c>
      <c r="K3" s="126">
        <f>IF(SER_hh_tesh_in!K3=0,0,SER_hh_tesh_in!K3/SER_summary!K$27)</f>
        <v>94.847990121448987</v>
      </c>
      <c r="L3" s="126">
        <f>IF(SER_hh_tesh_in!L3=0,0,SER_hh_tesh_in!L3/SER_summary!L$27)</f>
        <v>102.52282114350838</v>
      </c>
      <c r="M3" s="126">
        <f>IF(SER_hh_tesh_in!M3=0,0,SER_hh_tesh_in!M3/SER_summary!M$27)</f>
        <v>95.953840553135436</v>
      </c>
      <c r="N3" s="126">
        <f>IF(SER_hh_tesh_in!N3=0,0,SER_hh_tesh_in!N3/SER_summary!N$27)</f>
        <v>92.029866254621879</v>
      </c>
      <c r="O3" s="126">
        <f>IF(SER_hh_tesh_in!O3=0,0,SER_hh_tesh_in!O3/SER_summary!O$27)</f>
        <v>90.819333747495904</v>
      </c>
      <c r="P3" s="126">
        <f>IF(SER_hh_tesh_in!P3=0,0,SER_hh_tesh_in!P3/SER_summary!P$27)</f>
        <v>84.074727326926848</v>
      </c>
      <c r="Q3" s="126">
        <f>IF(SER_hh_tesh_in!Q3=0,0,SER_hh_tesh_in!Q3/SER_summary!Q$27)</f>
        <v>86.480043837121727</v>
      </c>
      <c r="R3" s="126">
        <f>IF(SER_hh_tesh_in!R3=0,0,SER_hh_tesh_in!R3/SER_summary!R$27)</f>
        <v>81.471849878127969</v>
      </c>
      <c r="S3" s="126">
        <f>IF(SER_hh_tesh_in!S3=0,0,SER_hh_tesh_in!S3/SER_summary!S$27)</f>
        <v>81.568142457363152</v>
      </c>
      <c r="T3" s="126">
        <f>IF(SER_hh_tesh_in!T3=0,0,SER_hh_tesh_in!T3/SER_summary!T$27)</f>
        <v>78.479697701373368</v>
      </c>
      <c r="U3" s="126">
        <f>IF(SER_hh_tesh_in!U3=0,0,SER_hh_tesh_in!U3/SER_summary!U$27)</f>
        <v>76.198689693319167</v>
      </c>
      <c r="V3" s="126">
        <f>IF(SER_hh_tesh_in!V3=0,0,SER_hh_tesh_in!V3/SER_summary!V$27)</f>
        <v>65.432259222476759</v>
      </c>
      <c r="W3" s="126">
        <f>IF(SER_hh_tesh_in!W3=0,0,SER_hh_tesh_in!W3/SER_summary!W$27)</f>
        <v>62.688635850190046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94.001982798005045</v>
      </c>
      <c r="D4" s="131">
        <f>IF(SER_hh_tesh_in!D4=0,0,SER_hh_tesh_in!D4/SER_summary!D$27)</f>
        <v>84.891633097489986</v>
      </c>
      <c r="E4" s="131">
        <f>IF(SER_hh_tesh_in!E4=0,0,SER_hh_tesh_in!E4/SER_summary!E$27)</f>
        <v>89.199223958718449</v>
      </c>
      <c r="F4" s="131">
        <f>IF(SER_hh_tesh_in!F4=0,0,SER_hh_tesh_in!F4/SER_summary!F$27)</f>
        <v>83.834314456256436</v>
      </c>
      <c r="G4" s="131">
        <f>IF(SER_hh_tesh_in!G4=0,0,SER_hh_tesh_in!G4/SER_summary!G$27)</f>
        <v>72.563647247273266</v>
      </c>
      <c r="H4" s="131">
        <f>IF(SER_hh_tesh_in!H4=0,0,SER_hh_tesh_in!H4/SER_summary!H$27)</f>
        <v>62.417514072565432</v>
      </c>
      <c r="I4" s="131">
        <f>IF(SER_hh_tesh_in!I4=0,0,SER_hh_tesh_in!I4/SER_summary!I$27)</f>
        <v>56.930680563119004</v>
      </c>
      <c r="J4" s="131">
        <f>IF(SER_hh_tesh_in!J4=0,0,SER_hh_tesh_in!J4/SER_summary!J$27)</f>
        <v>58.853815446949596</v>
      </c>
      <c r="K4" s="131">
        <f>IF(SER_hh_tesh_in!K4=0,0,SER_hh_tesh_in!K4/SER_summary!K$27)</f>
        <v>51.636096787890288</v>
      </c>
      <c r="L4" s="131">
        <f>IF(SER_hh_tesh_in!L4=0,0,SER_hh_tesh_in!L4/SER_summary!L$27)</f>
        <v>58.636296342595287</v>
      </c>
      <c r="M4" s="131">
        <f>IF(SER_hh_tesh_in!M4=0,0,SER_hh_tesh_in!M4/SER_summary!M$27)</f>
        <v>52.467785907309931</v>
      </c>
      <c r="N4" s="131">
        <f>IF(SER_hh_tesh_in!N4=0,0,SER_hh_tesh_in!N4/SER_summary!N$27)</f>
        <v>48.436663782070127</v>
      </c>
      <c r="O4" s="131">
        <f>IF(SER_hh_tesh_in!O4=0,0,SER_hh_tesh_in!O4/SER_summary!O$27)</f>
        <v>46.28655585178187</v>
      </c>
      <c r="P4" s="131">
        <f>IF(SER_hh_tesh_in!P4=0,0,SER_hh_tesh_in!P4/SER_summary!P$27)</f>
        <v>41.232930701306898</v>
      </c>
      <c r="Q4" s="131">
        <f>IF(SER_hh_tesh_in!Q4=0,0,SER_hh_tesh_in!Q4/SER_summary!Q$27)</f>
        <v>39.653174661300568</v>
      </c>
      <c r="R4" s="131">
        <f>IF(SER_hh_tesh_in!R4=0,0,SER_hh_tesh_in!R4/SER_summary!R$27)</f>
        <v>39.068081336069227</v>
      </c>
      <c r="S4" s="131">
        <f>IF(SER_hh_tesh_in!S4=0,0,SER_hh_tesh_in!S4/SER_summary!S$27)</f>
        <v>38.697350655090645</v>
      </c>
      <c r="T4" s="131">
        <f>IF(SER_hh_tesh_in!T4=0,0,SER_hh_tesh_in!T4/SER_summary!T$27)</f>
        <v>35.075220843695305</v>
      </c>
      <c r="U4" s="131">
        <f>IF(SER_hh_tesh_in!U4=0,0,SER_hh_tesh_in!U4/SER_summary!U$27)</f>
        <v>33.647245546422717</v>
      </c>
      <c r="V4" s="131">
        <f>IF(SER_hh_tesh_in!V4=0,0,SER_hh_tesh_in!V4/SER_summary!V$27)</f>
        <v>28.868821390909407</v>
      </c>
      <c r="W4" s="131">
        <f>IF(SER_hh_tesh_in!W4=0,0,SER_hh_tesh_in!W4/SER_summary!W$27)</f>
        <v>24.191908373837236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111.78757265672516</v>
      </c>
      <c r="F5" s="133">
        <f>IF(SER_hh_tesh_in!F5=0,0,SER_hh_tesh_in!F5/SER_summary!F$27)</f>
        <v>120.60328400215991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46.384218009678634</v>
      </c>
      <c r="O5" s="133">
        <f>IF(SER_hh_tesh_in!O5=0,0,SER_hh_tesh_in!O5/SER_summary!O$27)</f>
        <v>48.773165726978959</v>
      </c>
      <c r="P5" s="133">
        <f>IF(SER_hh_tesh_in!P5=0,0,SER_hh_tesh_in!P5/SER_summary!P$27)</f>
        <v>41.088193585154272</v>
      </c>
      <c r="Q5" s="133">
        <f>IF(SER_hh_tesh_in!Q5=0,0,SER_hh_tesh_in!Q5/SER_summary!Q$27)</f>
        <v>0</v>
      </c>
      <c r="R5" s="133">
        <f>IF(SER_hh_tesh_in!R5=0,0,SER_hh_tesh_in!R5/SER_summary!R$27)</f>
        <v>42.092299102432079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34.188230303143932</v>
      </c>
      <c r="V5" s="133">
        <f>IF(SER_hh_tesh_in!V5=0,0,SER_hh_tesh_in!V5/SER_summary!V$27)</f>
        <v>25.327343918771152</v>
      </c>
      <c r="W5" s="133">
        <f>IF(SER_hh_tesh_in!W5=0,0,SER_hh_tesh_in!W5/SER_summary!W$27)</f>
        <v>24.140704732295138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39.833581030170265</v>
      </c>
      <c r="D7" s="133">
        <f>IF(SER_hh_tesh_in!D7=0,0,SER_hh_tesh_in!D7/SER_summary!D$27)</f>
        <v>104.33039157732499</v>
      </c>
      <c r="E7" s="133">
        <f>IF(SER_hh_tesh_in!E7=0,0,SER_hh_tesh_in!E7/SER_summary!E$27)</f>
        <v>81.791485352353945</v>
      </c>
      <c r="F7" s="133">
        <f>IF(SER_hh_tesh_in!F7=0,0,SER_hh_tesh_in!F7/SER_summary!F$27)</f>
        <v>88.03785395309427</v>
      </c>
      <c r="G7" s="133">
        <f>IF(SER_hh_tesh_in!G7=0,0,SER_hh_tesh_in!G7/SER_summary!G$27)</f>
        <v>60.041677410595376</v>
      </c>
      <c r="H7" s="133">
        <f>IF(SER_hh_tesh_in!H7=0,0,SER_hh_tesh_in!H7/SER_summary!H$27)</f>
        <v>64.174609076622872</v>
      </c>
      <c r="I7" s="133">
        <f>IF(SER_hh_tesh_in!I7=0,0,SER_hh_tesh_in!I7/SER_summary!I$27)</f>
        <v>59.711156156182632</v>
      </c>
      <c r="J7" s="133">
        <f>IF(SER_hh_tesh_in!J7=0,0,SER_hh_tesh_in!J7/SER_summary!J$27)</f>
        <v>60.783300795405836</v>
      </c>
      <c r="K7" s="133">
        <f>IF(SER_hh_tesh_in!K7=0,0,SER_hh_tesh_in!K7/SER_summary!K$27)</f>
        <v>0</v>
      </c>
      <c r="L7" s="133">
        <f>IF(SER_hh_tesh_in!L7=0,0,SER_hh_tesh_in!L7/SER_summary!L$27)</f>
        <v>58.024008225603581</v>
      </c>
      <c r="M7" s="133">
        <f>IF(SER_hh_tesh_in!M7=0,0,SER_hh_tesh_in!M7/SER_summary!M$27)</f>
        <v>41.737448038277769</v>
      </c>
      <c r="N7" s="133">
        <f>IF(SER_hh_tesh_in!N7=0,0,SER_hh_tesh_in!N7/SER_summary!N$27)</f>
        <v>59.703012046256269</v>
      </c>
      <c r="O7" s="133">
        <f>IF(SER_hh_tesh_in!O7=0,0,SER_hh_tesh_in!O7/SER_summary!O$27)</f>
        <v>43.50447546285416</v>
      </c>
      <c r="P7" s="133">
        <f>IF(SER_hh_tesh_in!P7=0,0,SER_hh_tesh_in!P7/SER_summary!P$27)</f>
        <v>27.144207873137994</v>
      </c>
      <c r="Q7" s="133">
        <f>IF(SER_hh_tesh_in!Q7=0,0,SER_hh_tesh_in!Q7/SER_summary!Q$27)</f>
        <v>47.308800853623119</v>
      </c>
      <c r="R7" s="133">
        <f>IF(SER_hh_tesh_in!R7=0,0,SER_hh_tesh_in!R7/SER_summary!R$27)</f>
        <v>42.357904969977454</v>
      </c>
      <c r="S7" s="133">
        <f>IF(SER_hh_tesh_in!S7=0,0,SER_hh_tesh_in!S7/SER_summary!S$27)</f>
        <v>41.99375620566741</v>
      </c>
      <c r="T7" s="133">
        <f>IF(SER_hh_tesh_in!T7=0,0,SER_hh_tesh_in!T7/SER_summary!T$27)</f>
        <v>0</v>
      </c>
      <c r="U7" s="133">
        <f>IF(SER_hh_tesh_in!U7=0,0,SER_hh_tesh_in!U7/SER_summary!U$27)</f>
        <v>26.616237525302559</v>
      </c>
      <c r="V7" s="133">
        <f>IF(SER_hh_tesh_in!V7=0,0,SER_hh_tesh_in!V7/SER_summary!V$27)</f>
        <v>27.729110474361519</v>
      </c>
      <c r="W7" s="133">
        <f>IF(SER_hh_tesh_in!W7=0,0,SER_hh_tesh_in!W7/SER_summary!W$27)</f>
        <v>30.671653979403235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39.591999316134512</v>
      </c>
      <c r="H8" s="133">
        <f>IF(SER_hh_tesh_in!H8=0,0,SER_hh_tesh_in!H8/SER_summary!H$27)</f>
        <v>46.601529251701244</v>
      </c>
      <c r="I8" s="133">
        <f>IF(SER_hh_tesh_in!I8=0,0,SER_hh_tesh_in!I8/SER_summary!I$27)</f>
        <v>52.577848610701757</v>
      </c>
      <c r="J8" s="133">
        <f>IF(SER_hh_tesh_in!J8=0,0,SER_hh_tesh_in!J8/SER_summary!J$27)</f>
        <v>58.906883149170007</v>
      </c>
      <c r="K8" s="133">
        <f>IF(SER_hh_tesh_in!K8=0,0,SER_hh_tesh_in!K8/SER_summary!K$27)</f>
        <v>54.565614576038612</v>
      </c>
      <c r="L8" s="133">
        <f>IF(SER_hh_tesh_in!L8=0,0,SER_hh_tesh_in!L8/SER_summary!L$27)</f>
        <v>47.248574403937909</v>
      </c>
      <c r="M8" s="133">
        <f>IF(SER_hh_tesh_in!M8=0,0,SER_hh_tesh_in!M8/SER_summary!M$27)</f>
        <v>44.044037595200265</v>
      </c>
      <c r="N8" s="133">
        <f>IF(SER_hh_tesh_in!N8=0,0,SER_hh_tesh_in!N8/SER_summary!N$27)</f>
        <v>38.520507818611208</v>
      </c>
      <c r="O8" s="133">
        <f>IF(SER_hh_tesh_in!O8=0,0,SER_hh_tesh_in!O8/SER_summary!O$27)</f>
        <v>42.48859752575374</v>
      </c>
      <c r="P8" s="133">
        <f>IF(SER_hh_tesh_in!P8=0,0,SER_hh_tesh_in!P8/SER_summary!P$27)</f>
        <v>46.691713198316791</v>
      </c>
      <c r="Q8" s="133">
        <f>IF(SER_hh_tesh_in!Q8=0,0,SER_hh_tesh_in!Q8/SER_summary!Q$27)</f>
        <v>42.739665737451681</v>
      </c>
      <c r="R8" s="133">
        <f>IF(SER_hh_tesh_in!R8=0,0,SER_hh_tesh_in!R8/SER_summary!R$27)</f>
        <v>40.19000481940116</v>
      </c>
      <c r="S8" s="133">
        <f>IF(SER_hh_tesh_in!S8=0,0,SER_hh_tesh_in!S8/SER_summary!S$27)</f>
        <v>37.446175627611311</v>
      </c>
      <c r="T8" s="133">
        <f>IF(SER_hh_tesh_in!T8=0,0,SER_hh_tesh_in!T8/SER_summary!T$27)</f>
        <v>34.651967602637377</v>
      </c>
      <c r="U8" s="133">
        <f>IF(SER_hh_tesh_in!U8=0,0,SER_hh_tesh_in!U8/SER_summary!U$27)</f>
        <v>32.951142960986381</v>
      </c>
      <c r="V8" s="133">
        <f>IF(SER_hh_tesh_in!V8=0,0,SER_hh_tesh_in!V8/SER_summary!V$27)</f>
        <v>29.290064962979649</v>
      </c>
      <c r="W8" s="133">
        <f>IF(SER_hh_tesh_in!W8=0,0,SER_hh_tesh_in!W8/SER_summary!W$27)</f>
        <v>25.480742075698899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95.402641540292791</v>
      </c>
      <c r="D9" s="133">
        <f>IF(SER_hh_tesh_in!D9=0,0,SER_hh_tesh_in!D9/SER_summary!D$27)</f>
        <v>83.613505998363024</v>
      </c>
      <c r="E9" s="133">
        <f>IF(SER_hh_tesh_in!E9=0,0,SER_hh_tesh_in!E9/SER_summary!E$27)</f>
        <v>82.344553824366059</v>
      </c>
      <c r="F9" s="133">
        <f>IF(SER_hh_tesh_in!F9=0,0,SER_hh_tesh_in!F9/SER_summary!F$27)</f>
        <v>75.551309180310085</v>
      </c>
      <c r="G9" s="133">
        <f>IF(SER_hh_tesh_in!G9=0,0,SER_hh_tesh_in!G9/SER_summary!G$27)</f>
        <v>70.792555451663134</v>
      </c>
      <c r="H9" s="133">
        <f>IF(SER_hh_tesh_in!H9=0,0,SER_hh_tesh_in!H9/SER_summary!H$27)</f>
        <v>61.536193936406136</v>
      </c>
      <c r="I9" s="133">
        <f>IF(SER_hh_tesh_in!I9=0,0,SER_hh_tesh_in!I9/SER_summary!I$27)</f>
        <v>55.293459135083225</v>
      </c>
      <c r="J9" s="133">
        <f>IF(SER_hh_tesh_in!J9=0,0,SER_hh_tesh_in!J9/SER_summary!J$27)</f>
        <v>59.130485296266464</v>
      </c>
      <c r="K9" s="133">
        <f>IF(SER_hh_tesh_in!K9=0,0,SER_hh_tesh_in!K9/SER_summary!K$27)</f>
        <v>52.559021205935437</v>
      </c>
      <c r="L9" s="133">
        <f>IF(SER_hh_tesh_in!L9=0,0,SER_hh_tesh_in!L9/SER_summary!L$27)</f>
        <v>55.410918741696726</v>
      </c>
      <c r="M9" s="133">
        <f>IF(SER_hh_tesh_in!M9=0,0,SER_hh_tesh_in!M9/SER_summary!M$27)</f>
        <v>52.121027148833761</v>
      </c>
      <c r="N9" s="133">
        <f>IF(SER_hh_tesh_in!N9=0,0,SER_hh_tesh_in!N9/SER_summary!N$27)</f>
        <v>47.685999961681382</v>
      </c>
      <c r="O9" s="133">
        <f>IF(SER_hh_tesh_in!O9=0,0,SER_hh_tesh_in!O9/SER_summary!O$27)</f>
        <v>44.432316488563359</v>
      </c>
      <c r="P9" s="133">
        <f>IF(SER_hh_tesh_in!P9=0,0,SER_hh_tesh_in!P9/SER_summary!P$27)</f>
        <v>41.133442660222975</v>
      </c>
      <c r="Q9" s="133">
        <f>IF(SER_hh_tesh_in!Q9=0,0,SER_hh_tesh_in!Q9/SER_summary!Q$27)</f>
        <v>39.006265835375444</v>
      </c>
      <c r="R9" s="133">
        <f>IF(SER_hh_tesh_in!R9=0,0,SER_hh_tesh_in!R9/SER_summary!R$27)</f>
        <v>38.208248351995302</v>
      </c>
      <c r="S9" s="133">
        <f>IF(SER_hh_tesh_in!S9=0,0,SER_hh_tesh_in!S9/SER_summary!S$27)</f>
        <v>38.80533306729329</v>
      </c>
      <c r="T9" s="133">
        <f>IF(SER_hh_tesh_in!T9=0,0,SER_hh_tesh_in!T9/SER_summary!T$27)</f>
        <v>33.778881620017074</v>
      </c>
      <c r="U9" s="133">
        <f>IF(SER_hh_tesh_in!U9=0,0,SER_hh_tesh_in!U9/SER_summary!U$27)</f>
        <v>33.544217510923552</v>
      </c>
      <c r="V9" s="133">
        <f>IF(SER_hh_tesh_in!V9=0,0,SER_hh_tesh_in!V9/SER_summary!V$27)</f>
        <v>28.747721623713566</v>
      </c>
      <c r="W9" s="133">
        <f>IF(SER_hh_tesh_in!W9=0,0,SER_hh_tesh_in!W9/SER_summary!W$27)</f>
        <v>23.191740478517577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98.588982123705122</v>
      </c>
      <c r="D10" s="133">
        <f>IF(SER_hh_tesh_in!D10=0,0,SER_hh_tesh_in!D10/SER_summary!D$27)</f>
        <v>77.978910889395365</v>
      </c>
      <c r="E10" s="133">
        <f>IF(SER_hh_tesh_in!E10=0,0,SER_hh_tesh_in!E10/SER_summary!E$27)</f>
        <v>86.733504176927823</v>
      </c>
      <c r="F10" s="133">
        <f>IF(SER_hh_tesh_in!F10=0,0,SER_hh_tesh_in!F10/SER_summary!F$27)</f>
        <v>79.578325626826668</v>
      </c>
      <c r="G10" s="133">
        <f>IF(SER_hh_tesh_in!G10=0,0,SER_hh_tesh_in!G10/SER_summary!G$27)</f>
        <v>71.68497367652752</v>
      </c>
      <c r="H10" s="133">
        <f>IF(SER_hh_tesh_in!H10=0,0,SER_hh_tesh_in!H10/SER_summary!H$27)</f>
        <v>55.860593886589598</v>
      </c>
      <c r="I10" s="133">
        <f>IF(SER_hh_tesh_in!I10=0,0,SER_hh_tesh_in!I10/SER_summary!I$27)</f>
        <v>71.382916371757631</v>
      </c>
      <c r="J10" s="133">
        <f>IF(SER_hh_tesh_in!J10=0,0,SER_hh_tesh_in!J10/SER_summary!J$27)</f>
        <v>54.521546662899098</v>
      </c>
      <c r="K10" s="133">
        <f>IF(SER_hh_tesh_in!K10=0,0,SER_hh_tesh_in!K10/SER_summary!K$27)</f>
        <v>45.974995876984828</v>
      </c>
      <c r="L10" s="133">
        <f>IF(SER_hh_tesh_in!L10=0,0,SER_hh_tesh_in!L10/SER_summary!L$27)</f>
        <v>57.98029325707838</v>
      </c>
      <c r="M10" s="133">
        <f>IF(SER_hh_tesh_in!M10=0,0,SER_hh_tesh_in!M10/SER_summary!M$27)</f>
        <v>52.426638596813739</v>
      </c>
      <c r="N10" s="133">
        <f>IF(SER_hh_tesh_in!N10=0,0,SER_hh_tesh_in!N10/SER_summary!N$27)</f>
        <v>47.467163274410261</v>
      </c>
      <c r="O10" s="133">
        <f>IF(SER_hh_tesh_in!O10=0,0,SER_hh_tesh_in!O10/SER_summary!O$27)</f>
        <v>46.174796065441825</v>
      </c>
      <c r="P10" s="133">
        <f>IF(SER_hh_tesh_in!P10=0,0,SER_hh_tesh_in!P10/SER_summary!P$27)</f>
        <v>41.081171365506584</v>
      </c>
      <c r="Q10" s="133">
        <f>IF(SER_hh_tesh_in!Q10=0,0,SER_hh_tesh_in!Q10/SER_summary!Q$27)</f>
        <v>42.559965476858181</v>
      </c>
      <c r="R10" s="133">
        <f>IF(SER_hh_tesh_in!R10=0,0,SER_hh_tesh_in!R10/SER_summary!R$27)</f>
        <v>38.934648061068678</v>
      </c>
      <c r="S10" s="133">
        <f>IF(SER_hh_tesh_in!S10=0,0,SER_hh_tesh_in!S10/SER_summary!S$27)</f>
        <v>35.907572719644392</v>
      </c>
      <c r="T10" s="133">
        <f>IF(SER_hh_tesh_in!T10=0,0,SER_hh_tesh_in!T10/SER_summary!T$27)</f>
        <v>34.810269424866377</v>
      </c>
      <c r="U10" s="133">
        <f>IF(SER_hh_tesh_in!U10=0,0,SER_hh_tesh_in!U10/SER_summary!U$27)</f>
        <v>33.104380266803446</v>
      </c>
      <c r="V10" s="133">
        <f>IF(SER_hh_tesh_in!V10=0,0,SER_hh_tesh_in!V10/SER_summary!V$27)</f>
        <v>28.185088425744656</v>
      </c>
      <c r="W10" s="133">
        <f>IF(SER_hh_tesh_in!W10=0,0,SER_hh_tesh_in!W10/SER_summary!W$27)</f>
        <v>24.216995431830334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91.458818171091963</v>
      </c>
      <c r="D12" s="133">
        <f>IF(SER_hh_tesh_in!D12=0,0,SER_hh_tesh_in!D12/SER_summary!D$27)</f>
        <v>83.455075885752422</v>
      </c>
      <c r="E12" s="133">
        <f>IF(SER_hh_tesh_in!E12=0,0,SER_hh_tesh_in!E12/SER_summary!E$27)</f>
        <v>81.695975979749647</v>
      </c>
      <c r="F12" s="133">
        <f>IF(SER_hh_tesh_in!F12=0,0,SER_hh_tesh_in!F12/SER_summary!F$27)</f>
        <v>81.022587991862935</v>
      </c>
      <c r="G12" s="133">
        <f>IF(SER_hh_tesh_in!G12=0,0,SER_hh_tesh_in!G12/SER_summary!G$27)</f>
        <v>77.420495219998898</v>
      </c>
      <c r="H12" s="133">
        <f>IF(SER_hh_tesh_in!H12=0,0,SER_hh_tesh_in!H12/SER_summary!H$27)</f>
        <v>61.065221123708085</v>
      </c>
      <c r="I12" s="133">
        <f>IF(SER_hh_tesh_in!I12=0,0,SER_hh_tesh_in!I12/SER_summary!I$27)</f>
        <v>54.989588279515658</v>
      </c>
      <c r="J12" s="133">
        <f>IF(SER_hh_tesh_in!J12=0,0,SER_hh_tesh_in!J12/SER_summary!J$27)</f>
        <v>55.114302942831344</v>
      </c>
      <c r="K12" s="133">
        <f>IF(SER_hh_tesh_in!K12=0,0,SER_hh_tesh_in!K12/SER_summary!K$27)</f>
        <v>49.775985034335633</v>
      </c>
      <c r="L12" s="133">
        <f>IF(SER_hh_tesh_in!L12=0,0,SER_hh_tesh_in!L12/SER_summary!L$27)</f>
        <v>60.199735004551982</v>
      </c>
      <c r="M12" s="133">
        <f>IF(SER_hh_tesh_in!M12=0,0,SER_hh_tesh_in!M12/SER_summary!M$27)</f>
        <v>52.804509587770077</v>
      </c>
      <c r="N12" s="133">
        <f>IF(SER_hh_tesh_in!N12=0,0,SER_hh_tesh_in!N12/SER_summary!N$27)</f>
        <v>48.812480044258116</v>
      </c>
      <c r="O12" s="133">
        <f>IF(SER_hh_tesh_in!O12=0,0,SER_hh_tesh_in!O12/SER_summary!O$27)</f>
        <v>45.177321511972359</v>
      </c>
      <c r="P12" s="133">
        <f>IF(SER_hh_tesh_in!P12=0,0,SER_hh_tesh_in!P12/SER_summary!P$27)</f>
        <v>40.702733855533012</v>
      </c>
      <c r="Q12" s="133">
        <f>IF(SER_hh_tesh_in!Q12=0,0,SER_hh_tesh_in!Q12/SER_summary!Q$27)</f>
        <v>39.472553477982991</v>
      </c>
      <c r="R12" s="133">
        <f>IF(SER_hh_tesh_in!R12=0,0,SER_hh_tesh_in!R12/SER_summary!R$27)</f>
        <v>39.042661983189078</v>
      </c>
      <c r="S12" s="133">
        <f>IF(SER_hh_tesh_in!S12=0,0,SER_hh_tesh_in!S12/SER_summary!S$27)</f>
        <v>37.647428377976674</v>
      </c>
      <c r="T12" s="133">
        <f>IF(SER_hh_tesh_in!T12=0,0,SER_hh_tesh_in!T12/SER_summary!T$27)</f>
        <v>35.633434222902515</v>
      </c>
      <c r="U12" s="133">
        <f>IF(SER_hh_tesh_in!U12=0,0,SER_hh_tesh_in!U12/SER_summary!U$27)</f>
        <v>32.090276214174153</v>
      </c>
      <c r="V12" s="133">
        <f>IF(SER_hh_tesh_in!V12=0,0,SER_hh_tesh_in!V12/SER_summary!V$27)</f>
        <v>28.075843465697432</v>
      </c>
      <c r="W12" s="133">
        <f>IF(SER_hh_tesh_in!W12=0,0,SER_hh_tesh_in!W12/SER_summary!W$27)</f>
        <v>24.579378466974749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78.833829872206437</v>
      </c>
      <c r="D13" s="133">
        <f>IF(SER_hh_tesh_in!D13=0,0,SER_hh_tesh_in!D13/SER_summary!D$27)</f>
        <v>87.21070371551194</v>
      </c>
      <c r="E13" s="133">
        <f>IF(SER_hh_tesh_in!E13=0,0,SER_hh_tesh_in!E13/SER_summary!E$27)</f>
        <v>85.236563103375616</v>
      </c>
      <c r="F13" s="133">
        <f>IF(SER_hh_tesh_in!F13=0,0,SER_hh_tesh_in!F13/SER_summary!F$27)</f>
        <v>77.733359625458732</v>
      </c>
      <c r="G13" s="133">
        <f>IF(SER_hh_tesh_in!G13=0,0,SER_hh_tesh_in!G13/SER_summary!G$27)</f>
        <v>65.272267441842942</v>
      </c>
      <c r="H13" s="133">
        <f>IF(SER_hh_tesh_in!H13=0,0,SER_hh_tesh_in!H13/SER_summary!H$27)</f>
        <v>61.771105328934041</v>
      </c>
      <c r="I13" s="133">
        <f>IF(SER_hh_tesh_in!I13=0,0,SER_hh_tesh_in!I13/SER_summary!I$27)</f>
        <v>58.418755308349859</v>
      </c>
      <c r="J13" s="133">
        <f>IF(SER_hh_tesh_in!J13=0,0,SER_hh_tesh_in!J13/SER_summary!J$27)</f>
        <v>56.394401942149557</v>
      </c>
      <c r="K13" s="133">
        <f>IF(SER_hh_tesh_in!K13=0,0,SER_hh_tesh_in!K13/SER_summary!K$27)</f>
        <v>54.506132811125973</v>
      </c>
      <c r="L13" s="133">
        <f>IF(SER_hh_tesh_in!L13=0,0,SER_hh_tesh_in!L13/SER_summary!L$27)</f>
        <v>54.57334319660837</v>
      </c>
      <c r="M13" s="133">
        <f>IF(SER_hh_tesh_in!M13=0,0,SER_hh_tesh_in!M13/SER_summary!M$27)</f>
        <v>51.781468173894403</v>
      </c>
      <c r="N13" s="133">
        <f>IF(SER_hh_tesh_in!N13=0,0,SER_hh_tesh_in!N13/SER_summary!N$27)</f>
        <v>48.767145408521401</v>
      </c>
      <c r="O13" s="133">
        <f>IF(SER_hh_tesh_in!O13=0,0,SER_hh_tesh_in!O13/SER_summary!O$27)</f>
        <v>44.9104147201529</v>
      </c>
      <c r="P13" s="133">
        <f>IF(SER_hh_tesh_in!P13=0,0,SER_hh_tesh_in!P13/SER_summary!P$27)</f>
        <v>41.279034119271238</v>
      </c>
      <c r="Q13" s="133">
        <f>IF(SER_hh_tesh_in!Q13=0,0,SER_hh_tesh_in!Q13/SER_summary!Q$27)</f>
        <v>39.593837533674154</v>
      </c>
      <c r="R13" s="133">
        <f>IF(SER_hh_tesh_in!R13=0,0,SER_hh_tesh_in!R13/SER_summary!R$27)</f>
        <v>38.573237812887776</v>
      </c>
      <c r="S13" s="133">
        <f>IF(SER_hh_tesh_in!S13=0,0,SER_hh_tesh_in!S13/SER_summary!S$27)</f>
        <v>37.536941454542102</v>
      </c>
      <c r="T13" s="133">
        <f>IF(SER_hh_tesh_in!T13=0,0,SER_hh_tesh_in!T13/SER_summary!T$27)</f>
        <v>35.360266788336801</v>
      </c>
      <c r="U13" s="133">
        <f>IF(SER_hh_tesh_in!U13=0,0,SER_hh_tesh_in!U13/SER_summary!U$27)</f>
        <v>32.910398930150649</v>
      </c>
      <c r="V13" s="133">
        <f>IF(SER_hh_tesh_in!V13=0,0,SER_hh_tesh_in!V13/SER_summary!V$27)</f>
        <v>29.617275273055885</v>
      </c>
      <c r="W13" s="133">
        <f>IF(SER_hh_tesh_in!W13=0,0,SER_hh_tesh_in!W13/SER_summary!W$27)</f>
        <v>25.75256072497794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90.89248965477087</v>
      </c>
      <c r="D14" s="65">
        <f>IF(SER_hh_tesh_in!D14=0,0,SER_hh_tesh_in!D14/SER_summary!D$27)</f>
        <v>83.413416990765171</v>
      </c>
      <c r="E14" s="65">
        <f>IF(SER_hh_tesh_in!E14=0,0,SER_hh_tesh_in!E14/SER_summary!E$27)</f>
        <v>99.595181231712829</v>
      </c>
      <c r="F14" s="65">
        <f>IF(SER_hh_tesh_in!F14=0,0,SER_hh_tesh_in!F14/SER_summary!F$27)</f>
        <v>0</v>
      </c>
      <c r="G14" s="65">
        <f>IF(SER_hh_tesh_in!G14=0,0,SER_hh_tesh_in!G14/SER_summary!G$27)</f>
        <v>66.013402863090363</v>
      </c>
      <c r="H14" s="65">
        <f>IF(SER_hh_tesh_in!H14=0,0,SER_hh_tesh_in!H14/SER_summary!H$27)</f>
        <v>62.911883807565872</v>
      </c>
      <c r="I14" s="65">
        <f>IF(SER_hh_tesh_in!I14=0,0,SER_hh_tesh_in!I14/SER_summary!I$27)</f>
        <v>57.894804023001321</v>
      </c>
      <c r="J14" s="65">
        <f>IF(SER_hh_tesh_in!J14=0,0,SER_hh_tesh_in!J14/SER_summary!J$27)</f>
        <v>58.91810567576649</v>
      </c>
      <c r="K14" s="65">
        <f>IF(SER_hh_tesh_in!K14=0,0,SER_hh_tesh_in!K14/SER_summary!K$27)</f>
        <v>54.212268991135737</v>
      </c>
      <c r="L14" s="65">
        <f>IF(SER_hh_tesh_in!L14=0,0,SER_hh_tesh_in!L14/SER_summary!L$27)</f>
        <v>57.938570513378387</v>
      </c>
      <c r="M14" s="65">
        <f>IF(SER_hh_tesh_in!M14=0,0,SER_hh_tesh_in!M14/SER_summary!M$27)</f>
        <v>50.527521481416272</v>
      </c>
      <c r="N14" s="65">
        <f>IF(SER_hh_tesh_in!N14=0,0,SER_hh_tesh_in!N14/SER_summary!N$27)</f>
        <v>47.466828350211749</v>
      </c>
      <c r="O14" s="65">
        <f>IF(SER_hh_tesh_in!O14=0,0,SER_hh_tesh_in!O14/SER_summary!O$27)</f>
        <v>47.879561425622697</v>
      </c>
      <c r="P14" s="65">
        <f>IF(SER_hh_tesh_in!P14=0,0,SER_hh_tesh_in!P14/SER_summary!P$27)</f>
        <v>40.809301379896063</v>
      </c>
      <c r="Q14" s="65">
        <f>IF(SER_hh_tesh_in!Q14=0,0,SER_hh_tesh_in!Q14/SER_summary!Q$27)</f>
        <v>37.833287514958201</v>
      </c>
      <c r="R14" s="65">
        <f>IF(SER_hh_tesh_in!R14=0,0,SER_hh_tesh_in!R14/SER_summary!R$27)</f>
        <v>39.152117247428556</v>
      </c>
      <c r="S14" s="65">
        <f>IF(SER_hh_tesh_in!S14=0,0,SER_hh_tesh_in!S14/SER_summary!S$27)</f>
        <v>38.214911462854495</v>
      </c>
      <c r="T14" s="65">
        <f>IF(SER_hh_tesh_in!T14=0,0,SER_hh_tesh_in!T14/SER_summary!T$27)</f>
        <v>35.578049797195824</v>
      </c>
      <c r="U14" s="65">
        <f>IF(SER_hh_tesh_in!U14=0,0,SER_hh_tesh_in!U14/SER_summary!U$27)</f>
        <v>34.145514371629318</v>
      </c>
      <c r="V14" s="65">
        <f>IF(SER_hh_tesh_in!V14=0,0,SER_hh_tesh_in!V14/SER_summary!V$27)</f>
        <v>29.013088009703441</v>
      </c>
      <c r="W14" s="65">
        <f>IF(SER_hh_tesh_in!W14=0,0,SER_hh_tesh_in!W14/SER_summary!W$27)</f>
        <v>24.173808124877141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1.2969080803592743</v>
      </c>
      <c r="D15" s="135">
        <f>IF(SER_hh_tesh_in!D15=0,0,SER_hh_tesh_in!D15/SER_summary!D$27)</f>
        <v>1.269757886070354</v>
      </c>
      <c r="E15" s="135">
        <f>IF(SER_hh_tesh_in!E15=0,0,SER_hh_tesh_in!E15/SER_summary!E$27)</f>
        <v>1.139562864865924</v>
      </c>
      <c r="F15" s="135">
        <f>IF(SER_hh_tesh_in!F15=0,0,SER_hh_tesh_in!F15/SER_summary!F$27)</f>
        <v>1.0215863725190999</v>
      </c>
      <c r="G15" s="135">
        <f>IF(SER_hh_tesh_in!G15=0,0,SER_hh_tesh_in!G15/SER_summary!G$27)</f>
        <v>1.0436188112479183</v>
      </c>
      <c r="H15" s="135">
        <f>IF(SER_hh_tesh_in!H15=0,0,SER_hh_tesh_in!H15/SER_summary!H$27)</f>
        <v>0.94618909582540267</v>
      </c>
      <c r="I15" s="135">
        <f>IF(SER_hh_tesh_in!I15=0,0,SER_hh_tesh_in!I15/SER_summary!I$27)</f>
        <v>0.86423177054373534</v>
      </c>
      <c r="J15" s="135">
        <f>IF(SER_hh_tesh_in!J15=0,0,SER_hh_tesh_in!J15/SER_summary!J$27)</f>
        <v>0.81912101501058721</v>
      </c>
      <c r="K15" s="135">
        <f>IF(SER_hh_tesh_in!K15=0,0,SER_hh_tesh_in!K15/SER_summary!K$27)</f>
        <v>0.23562846891917308</v>
      </c>
      <c r="L15" s="135">
        <f>IF(SER_hh_tesh_in!L15=0,0,SER_hh_tesh_in!L15/SER_summary!L$27)</f>
        <v>0.52207118849006307</v>
      </c>
      <c r="M15" s="135">
        <f>IF(SER_hh_tesh_in!M15=0,0,SER_hh_tesh_in!M15/SER_summary!M$27)</f>
        <v>0.55181081639580154</v>
      </c>
      <c r="N15" s="135">
        <f>IF(SER_hh_tesh_in!N15=0,0,SER_hh_tesh_in!N15/SER_summary!N$27)</f>
        <v>0.48767990784360787</v>
      </c>
      <c r="O15" s="135">
        <f>IF(SER_hh_tesh_in!O15=0,0,SER_hh_tesh_in!O15/SER_summary!O$27)</f>
        <v>0.48163944117630419</v>
      </c>
      <c r="P15" s="135">
        <f>IF(SER_hh_tesh_in!P15=0,0,SER_hh_tesh_in!P15/SER_summary!P$27)</f>
        <v>0.5014214313355041</v>
      </c>
      <c r="Q15" s="135">
        <f>IF(SER_hh_tesh_in!Q15=0,0,SER_hh_tesh_in!Q15/SER_summary!Q$27)</f>
        <v>0.50171342302623501</v>
      </c>
      <c r="R15" s="135">
        <f>IF(SER_hh_tesh_in!R15=0,0,SER_hh_tesh_in!R15/SER_summary!R$27)</f>
        <v>0.45235129152954745</v>
      </c>
      <c r="S15" s="135">
        <f>IF(SER_hh_tesh_in!S15=0,0,SER_hh_tesh_in!S15/SER_summary!S$27)</f>
        <v>0.48221171641044902</v>
      </c>
      <c r="T15" s="135">
        <f>IF(SER_hh_tesh_in!T15=0,0,SER_hh_tesh_in!T15/SER_summary!T$27)</f>
        <v>0.39700297413114632</v>
      </c>
      <c r="U15" s="135">
        <f>IF(SER_hh_tesh_in!U15=0,0,SER_hh_tesh_in!U15/SER_summary!U$27)</f>
        <v>0.40061206681718614</v>
      </c>
      <c r="V15" s="135">
        <f>IF(SER_hh_tesh_in!V15=0,0,SER_hh_tesh_in!V15/SER_summary!V$27)</f>
        <v>0.32408623546769016</v>
      </c>
      <c r="W15" s="135">
        <f>IF(SER_hh_tesh_in!W15=0,0,SER_hh_tesh_in!W15/SER_summary!W$27)</f>
        <v>0.24519884610411288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26.952203599162594</v>
      </c>
      <c r="D16" s="131">
        <f>IF(SER_hh_tesh_in!D16=0,0,SER_hh_tesh_in!D16/SER_summary!D$27)</f>
        <v>26.904977551308139</v>
      </c>
      <c r="E16" s="131">
        <f>IF(SER_hh_tesh_in!E16=0,0,SER_hh_tesh_in!E16/SER_summary!E$27)</f>
        <v>28.13982718625347</v>
      </c>
      <c r="F16" s="131">
        <f>IF(SER_hh_tesh_in!F16=0,0,SER_hh_tesh_in!F16/SER_summary!F$27)</f>
        <v>26.687347416140657</v>
      </c>
      <c r="G16" s="131">
        <f>IF(SER_hh_tesh_in!G16=0,0,SER_hh_tesh_in!G16/SER_summary!G$27)</f>
        <v>26.796423047683952</v>
      </c>
      <c r="H16" s="131">
        <f>IF(SER_hh_tesh_in!H16=0,0,SER_hh_tesh_in!H16/SER_summary!H$27)</f>
        <v>27.539437825246374</v>
      </c>
      <c r="I16" s="131">
        <f>IF(SER_hh_tesh_in!I16=0,0,SER_hh_tesh_in!I16/SER_summary!I$27)</f>
        <v>27.035392483999942</v>
      </c>
      <c r="J16" s="131">
        <f>IF(SER_hh_tesh_in!J16=0,0,SER_hh_tesh_in!J16/SER_summary!J$27)</f>
        <v>26.485025490487565</v>
      </c>
      <c r="K16" s="131">
        <f>IF(SER_hh_tesh_in!K16=0,0,SER_hh_tesh_in!K16/SER_summary!K$27)</f>
        <v>26.144048536929624</v>
      </c>
      <c r="L16" s="131">
        <f>IF(SER_hh_tesh_in!L16=0,0,SER_hh_tesh_in!L16/SER_summary!L$27)</f>
        <v>26.564579286518001</v>
      </c>
      <c r="M16" s="131">
        <f>IF(SER_hh_tesh_in!M16=0,0,SER_hh_tesh_in!M16/SER_summary!M$27)</f>
        <v>25.969929149839146</v>
      </c>
      <c r="N16" s="131">
        <f>IF(SER_hh_tesh_in!N16=0,0,SER_hh_tesh_in!N16/SER_summary!N$27)</f>
        <v>25.905402582895107</v>
      </c>
      <c r="O16" s="131">
        <f>IF(SER_hh_tesh_in!O16=0,0,SER_hh_tesh_in!O16/SER_summary!O$27)</f>
        <v>26.634686209156005</v>
      </c>
      <c r="P16" s="131">
        <f>IF(SER_hh_tesh_in!P16=0,0,SER_hh_tesh_in!P16/SER_summary!P$27)</f>
        <v>24.948762519790979</v>
      </c>
      <c r="Q16" s="131">
        <f>IF(SER_hh_tesh_in!Q16=0,0,SER_hh_tesh_in!Q16/SER_summary!Q$27)</f>
        <v>29.019890618804624</v>
      </c>
      <c r="R16" s="131">
        <f>IF(SER_hh_tesh_in!R16=0,0,SER_hh_tesh_in!R16/SER_summary!R$27)</f>
        <v>24.398992121476493</v>
      </c>
      <c r="S16" s="131">
        <f>IF(SER_hh_tesh_in!S16=0,0,SER_hh_tesh_in!S16/SER_summary!S$27)</f>
        <v>24.459650730792916</v>
      </c>
      <c r="T16" s="131">
        <f>IF(SER_hh_tesh_in!T16=0,0,SER_hh_tesh_in!T16/SER_summary!T$27)</f>
        <v>25.338791337803308</v>
      </c>
      <c r="U16" s="131">
        <f>IF(SER_hh_tesh_in!U16=0,0,SER_hh_tesh_in!U16/SER_summary!U$27)</f>
        <v>24.434457724431233</v>
      </c>
      <c r="V16" s="131">
        <f>IF(SER_hh_tesh_in!V16=0,0,SER_hh_tesh_in!V16/SER_summary!V$27)</f>
        <v>22.630244965330377</v>
      </c>
      <c r="W16" s="131">
        <f>IF(SER_hh_tesh_in!W16=0,0,SER_hh_tesh_in!W16/SER_summary!W$27)</f>
        <v>21.121706654272931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27.478004020551467</v>
      </c>
      <c r="H17" s="133">
        <f>IF(SER_hh_tesh_in!H17=0,0,SER_hh_tesh_in!H17/SER_summary!H$27)</f>
        <v>28.016269331424876</v>
      </c>
      <c r="I17" s="133">
        <f>IF(SER_hh_tesh_in!I17=0,0,SER_hh_tesh_in!I17/SER_summary!I$27)</f>
        <v>27.421979956695161</v>
      </c>
      <c r="J17" s="133">
        <f>IF(SER_hh_tesh_in!J17=0,0,SER_hh_tesh_in!J17/SER_summary!J$27)</f>
        <v>26.620450169007047</v>
      </c>
      <c r="K17" s="133">
        <f>IF(SER_hh_tesh_in!K17=0,0,SER_hh_tesh_in!K17/SER_summary!K$27)</f>
        <v>26.288043155868056</v>
      </c>
      <c r="L17" s="133">
        <f>IF(SER_hh_tesh_in!L17=0,0,SER_hh_tesh_in!L17/SER_summary!L$27)</f>
        <v>26.513793546760517</v>
      </c>
      <c r="M17" s="133">
        <f>IF(SER_hh_tesh_in!M17=0,0,SER_hh_tesh_in!M17/SER_summary!M$27)</f>
        <v>25.805800159071939</v>
      </c>
      <c r="N17" s="133">
        <f>IF(SER_hh_tesh_in!N17=0,0,SER_hh_tesh_in!N17/SER_summary!N$27)</f>
        <v>25.67347396562792</v>
      </c>
      <c r="O17" s="133">
        <f>IF(SER_hh_tesh_in!O17=0,0,SER_hh_tesh_in!O17/SER_summary!O$27)</f>
        <v>26.547611495797593</v>
      </c>
      <c r="P17" s="133">
        <f>IF(SER_hh_tesh_in!P17=0,0,SER_hh_tesh_in!P17/SER_summary!P$27)</f>
        <v>25.434973699146504</v>
      </c>
      <c r="Q17" s="133">
        <f>IF(SER_hh_tesh_in!Q17=0,0,SER_hh_tesh_in!Q17/SER_summary!Q$27)</f>
        <v>30.382764201154874</v>
      </c>
      <c r="R17" s="133">
        <f>IF(SER_hh_tesh_in!R17=0,0,SER_hh_tesh_in!R17/SER_summary!R$27)</f>
        <v>25.403070504623972</v>
      </c>
      <c r="S17" s="133">
        <f>IF(SER_hh_tesh_in!S17=0,0,SER_hh_tesh_in!S17/SER_summary!S$27)</f>
        <v>25.478279286159349</v>
      </c>
      <c r="T17" s="133">
        <f>IF(SER_hh_tesh_in!T17=0,0,SER_hh_tesh_in!T17/SER_summary!T$27)</f>
        <v>27.798755825850186</v>
      </c>
      <c r="U17" s="133">
        <f>IF(SER_hh_tesh_in!U17=0,0,SER_hh_tesh_in!U17/SER_summary!U$27)</f>
        <v>25.072203180679463</v>
      </c>
      <c r="V17" s="133">
        <f>IF(SER_hh_tesh_in!V17=0,0,SER_hh_tesh_in!V17/SER_summary!V$27)</f>
        <v>23.522240214604704</v>
      </c>
      <c r="W17" s="133">
        <f>IF(SER_hh_tesh_in!W17=0,0,SER_hh_tesh_in!W17/SER_summary!W$27)</f>
        <v>21.559753512207479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26.952203599162594</v>
      </c>
      <c r="D18" s="133">
        <f>IF(SER_hh_tesh_in!D18=0,0,SER_hh_tesh_in!D18/SER_summary!D$27)</f>
        <v>26.904977551308139</v>
      </c>
      <c r="E18" s="133">
        <f>IF(SER_hh_tesh_in!E18=0,0,SER_hh_tesh_in!E18/SER_summary!E$27)</f>
        <v>28.13982718625347</v>
      </c>
      <c r="F18" s="133">
        <f>IF(SER_hh_tesh_in!F18=0,0,SER_hh_tesh_in!F18/SER_summary!F$27)</f>
        <v>26.687347416140657</v>
      </c>
      <c r="G18" s="133">
        <f>IF(SER_hh_tesh_in!G18=0,0,SER_hh_tesh_in!G18/SER_summary!G$27)</f>
        <v>26.793645726537765</v>
      </c>
      <c r="H18" s="133">
        <f>IF(SER_hh_tesh_in!H18=0,0,SER_hh_tesh_in!H18/SER_summary!H$27)</f>
        <v>27.539005207572473</v>
      </c>
      <c r="I18" s="133">
        <f>IF(SER_hh_tesh_in!I18=0,0,SER_hh_tesh_in!I18/SER_summary!I$27)</f>
        <v>27.034667504604307</v>
      </c>
      <c r="J18" s="133">
        <f>IF(SER_hh_tesh_in!J18=0,0,SER_hh_tesh_in!J18/SER_summary!J$27)</f>
        <v>26.484971352243711</v>
      </c>
      <c r="K18" s="133">
        <f>IF(SER_hh_tesh_in!K18=0,0,SER_hh_tesh_in!K18/SER_summary!K$27)</f>
        <v>26.14357843545616</v>
      </c>
      <c r="L18" s="133">
        <f>IF(SER_hh_tesh_in!L18=0,0,SER_hh_tesh_in!L18/SER_summary!L$27)</f>
        <v>26.564597457909898</v>
      </c>
      <c r="M18" s="133">
        <f>IF(SER_hh_tesh_in!M18=0,0,SER_hh_tesh_in!M18/SER_summary!M$27)</f>
        <v>25.970097857769733</v>
      </c>
      <c r="N18" s="133">
        <f>IF(SER_hh_tesh_in!N18=0,0,SER_hh_tesh_in!N18/SER_summary!N$27)</f>
        <v>25.905668789832916</v>
      </c>
      <c r="O18" s="133">
        <f>IF(SER_hh_tesh_in!O18=0,0,SER_hh_tesh_in!O18/SER_summary!O$27)</f>
        <v>26.634979251321781</v>
      </c>
      <c r="P18" s="133">
        <f>IF(SER_hh_tesh_in!P18=0,0,SER_hh_tesh_in!P18/SER_summary!P$27)</f>
        <v>24.945551337796534</v>
      </c>
      <c r="Q18" s="133">
        <f>IF(SER_hh_tesh_in!Q18=0,0,SER_hh_tesh_in!Q18/SER_summary!Q$27)</f>
        <v>29.006836190329082</v>
      </c>
      <c r="R18" s="133">
        <f>IF(SER_hh_tesh_in!R18=0,0,SER_hh_tesh_in!R18/SER_summary!R$27)</f>
        <v>24.393363387331814</v>
      </c>
      <c r="S18" s="133">
        <f>IF(SER_hh_tesh_in!S18=0,0,SER_hh_tesh_in!S18/SER_summary!S$27)</f>
        <v>24.452070247473706</v>
      </c>
      <c r="T18" s="133">
        <f>IF(SER_hh_tesh_in!T18=0,0,SER_hh_tesh_in!T18/SER_summary!T$27)</f>
        <v>25.322347358726734</v>
      </c>
      <c r="U18" s="133">
        <f>IF(SER_hh_tesh_in!U18=0,0,SER_hh_tesh_in!U18/SER_summary!U$27)</f>
        <v>24.43063031769292</v>
      </c>
      <c r="V18" s="133">
        <f>IF(SER_hh_tesh_in!V18=0,0,SER_hh_tesh_in!V18/SER_summary!V$27)</f>
        <v>22.61620145476353</v>
      </c>
      <c r="W18" s="133">
        <f>IF(SER_hh_tesh_in!W18=0,0,SER_hh_tesh_in!W18/SER_summary!W$27)</f>
        <v>21.119416036939917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7.7024317993870035</v>
      </c>
      <c r="D19" s="131">
        <f>IF(SER_hh_tesh_in!D19=0,0,SER_hh_tesh_in!D19/SER_summary!D$27)</f>
        <v>7.5913545933621371</v>
      </c>
      <c r="E19" s="131">
        <f>IF(SER_hh_tesh_in!E19=0,0,SER_hh_tesh_in!E19/SER_summary!E$27)</f>
        <v>7.4840765638431108</v>
      </c>
      <c r="F19" s="131">
        <f>IF(SER_hh_tesh_in!F19=0,0,SER_hh_tesh_in!F19/SER_summary!F$27)</f>
        <v>7.2762402802407671</v>
      </c>
      <c r="G19" s="131">
        <f>IF(SER_hh_tesh_in!G19=0,0,SER_hh_tesh_in!G19/SER_summary!G$27)</f>
        <v>7.2199158451945484</v>
      </c>
      <c r="H19" s="131">
        <f>IF(SER_hh_tesh_in!H19=0,0,SER_hh_tesh_in!H19/SER_summary!H$27)</f>
        <v>7.255294922045775</v>
      </c>
      <c r="I19" s="131">
        <f>IF(SER_hh_tesh_in!I19=0,0,SER_hh_tesh_in!I19/SER_summary!I$27)</f>
        <v>7.2265843798735849</v>
      </c>
      <c r="J19" s="131">
        <f>IF(SER_hh_tesh_in!J19=0,0,SER_hh_tesh_in!J19/SER_summary!J$27)</f>
        <v>7.2882053424350968</v>
      </c>
      <c r="K19" s="131">
        <f>IF(SER_hh_tesh_in!K19=0,0,SER_hh_tesh_in!K19/SER_summary!K$27)</f>
        <v>8.0967366406010761</v>
      </c>
      <c r="L19" s="131">
        <f>IF(SER_hh_tesh_in!L19=0,0,SER_hh_tesh_in!L19/SER_summary!L$27)</f>
        <v>8.1043140539609357</v>
      </c>
      <c r="M19" s="131">
        <f>IF(SER_hh_tesh_in!M19=0,0,SER_hh_tesh_in!M19/SER_summary!M$27)</f>
        <v>8.1759005757854109</v>
      </c>
      <c r="N19" s="131">
        <f>IF(SER_hh_tesh_in!N19=0,0,SER_hh_tesh_in!N19/SER_summary!N$27)</f>
        <v>8.2829921094397658</v>
      </c>
      <c r="O19" s="131">
        <f>IF(SER_hh_tesh_in!O19=0,0,SER_hh_tesh_in!O19/SER_summary!O$27)</f>
        <v>8.3456533294933717</v>
      </c>
      <c r="P19" s="131">
        <f>IF(SER_hh_tesh_in!P19=0,0,SER_hh_tesh_in!P19/SER_summary!P$27)</f>
        <v>8.2739024857225107</v>
      </c>
      <c r="Q19" s="131">
        <f>IF(SER_hh_tesh_in!Q19=0,0,SER_hh_tesh_in!Q19/SER_summary!Q$27)</f>
        <v>8.212039086783248</v>
      </c>
      <c r="R19" s="131">
        <f>IF(SER_hh_tesh_in!R19=0,0,SER_hh_tesh_in!R19/SER_summary!R$27)</f>
        <v>8.3678081221775482</v>
      </c>
      <c r="S19" s="131">
        <f>IF(SER_hh_tesh_in!S19=0,0,SER_hh_tesh_in!S19/SER_summary!S$27)</f>
        <v>8.4767191462272944</v>
      </c>
      <c r="T19" s="131">
        <f>IF(SER_hh_tesh_in!T19=0,0,SER_hh_tesh_in!T19/SER_summary!T$27)</f>
        <v>8.3936851943513382</v>
      </c>
      <c r="U19" s="131">
        <f>IF(SER_hh_tesh_in!U19=0,0,SER_hh_tesh_in!U19/SER_summary!U$27)</f>
        <v>8.3601421799972258</v>
      </c>
      <c r="V19" s="131">
        <f>IF(SER_hh_tesh_in!V19=0,0,SER_hh_tesh_in!V19/SER_summary!V$27)</f>
        <v>7.9482115521964189</v>
      </c>
      <c r="W19" s="131">
        <f>IF(SER_hh_tesh_in!W19=0,0,SER_hh_tesh_in!W19/SER_summary!W$27)</f>
        <v>7.9000076644142885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7.623556231629955</v>
      </c>
      <c r="D23" s="133">
        <f>IF(SER_hh_tesh_in!D23=0,0,SER_hh_tesh_in!D23/SER_summary!D$27)</f>
        <v>7.6140887988523254</v>
      </c>
      <c r="E23" s="133">
        <f>IF(SER_hh_tesh_in!E23=0,0,SER_hh_tesh_in!E23/SER_summary!E$27)</f>
        <v>7.2876416710746792</v>
      </c>
      <c r="F23" s="133">
        <f>IF(SER_hh_tesh_in!F23=0,0,SER_hh_tesh_in!F23/SER_summary!F$27)</f>
        <v>7.1404677437515831</v>
      </c>
      <c r="G23" s="133">
        <f>IF(SER_hh_tesh_in!G23=0,0,SER_hh_tesh_in!G23/SER_summary!G$27)</f>
        <v>7.1952737626562309</v>
      </c>
      <c r="H23" s="133">
        <f>IF(SER_hh_tesh_in!H23=0,0,SER_hh_tesh_in!H23/SER_summary!H$27)</f>
        <v>7.1873051303238276</v>
      </c>
      <c r="I23" s="133">
        <f>IF(SER_hh_tesh_in!I23=0,0,SER_hh_tesh_in!I23/SER_summary!I$27)</f>
        <v>6.995522604250068</v>
      </c>
      <c r="J23" s="133">
        <f>IF(SER_hh_tesh_in!J23=0,0,SER_hh_tesh_in!J23/SER_summary!J$27)</f>
        <v>7.0229757511295716</v>
      </c>
      <c r="K23" s="133">
        <f>IF(SER_hh_tesh_in!K23=0,0,SER_hh_tesh_in!K23/SER_summary!K$27)</f>
        <v>7.3704509503290554</v>
      </c>
      <c r="L23" s="133">
        <f>IF(SER_hh_tesh_in!L23=0,0,SER_hh_tesh_in!L23/SER_summary!L$27)</f>
        <v>8.0186503511153564</v>
      </c>
      <c r="M23" s="133">
        <f>IF(SER_hh_tesh_in!M23=0,0,SER_hh_tesh_in!M23/SER_summary!M$27)</f>
        <v>7.8877847033123416</v>
      </c>
      <c r="N23" s="133">
        <f>IF(SER_hh_tesh_in!N23=0,0,SER_hh_tesh_in!N23/SER_summary!N$27)</f>
        <v>7.8649994171021866</v>
      </c>
      <c r="O23" s="133">
        <f>IF(SER_hh_tesh_in!O23=0,0,SER_hh_tesh_in!O23/SER_summary!O$27)</f>
        <v>7.9557871886456644</v>
      </c>
      <c r="P23" s="133">
        <f>IF(SER_hh_tesh_in!P23=0,0,SER_hh_tesh_in!P23/SER_summary!P$27)</f>
        <v>7.8595647070006729</v>
      </c>
      <c r="Q23" s="133">
        <f>IF(SER_hh_tesh_in!Q23=0,0,SER_hh_tesh_in!Q23/SER_summary!Q$27)</f>
        <v>8.177231345485044</v>
      </c>
      <c r="R23" s="133">
        <f>IF(SER_hh_tesh_in!R23=0,0,SER_hh_tesh_in!R23/SER_summary!R$27)</f>
        <v>8.2178021859036363</v>
      </c>
      <c r="S23" s="133">
        <f>IF(SER_hh_tesh_in!S23=0,0,SER_hh_tesh_in!S23/SER_summary!S$27)</f>
        <v>8.4003162539945002</v>
      </c>
      <c r="T23" s="133">
        <f>IF(SER_hh_tesh_in!T23=0,0,SER_hh_tesh_in!T23/SER_summary!T$27)</f>
        <v>8.0440634788854162</v>
      </c>
      <c r="U23" s="133">
        <f>IF(SER_hh_tesh_in!U23=0,0,SER_hh_tesh_in!U23/SER_summary!U$27)</f>
        <v>8.2841321398185688</v>
      </c>
      <c r="V23" s="133">
        <f>IF(SER_hh_tesh_in!V23=0,0,SER_hh_tesh_in!V23/SER_summary!V$27)</f>
        <v>7.5733097489146459</v>
      </c>
      <c r="W23" s="133">
        <f>IF(SER_hh_tesh_in!W23=0,0,SER_hh_tesh_in!W23/SER_summary!W$27)</f>
        <v>7.7832731494585419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7.7031705623969069</v>
      </c>
      <c r="D25" s="133">
        <f>IF(SER_hh_tesh_in!D25=0,0,SER_hh_tesh_in!D25/SER_summary!D$27)</f>
        <v>7.5282421106712674</v>
      </c>
      <c r="E25" s="133">
        <f>IF(SER_hh_tesh_in!E25=0,0,SER_hh_tesh_in!E25/SER_summary!E$27)</f>
        <v>7.3368376027532518</v>
      </c>
      <c r="F25" s="133">
        <f>IF(SER_hh_tesh_in!F25=0,0,SER_hh_tesh_in!F25/SER_summary!F$27)</f>
        <v>7.3308237784697869</v>
      </c>
      <c r="G25" s="133">
        <f>IF(SER_hh_tesh_in!G25=0,0,SER_hh_tesh_in!G25/SER_summary!G$27)</f>
        <v>7.1635425571121463</v>
      </c>
      <c r="H25" s="133">
        <f>IF(SER_hh_tesh_in!H25=0,0,SER_hh_tesh_in!H25/SER_summary!H$27)</f>
        <v>7.2691144887109873</v>
      </c>
      <c r="I25" s="133">
        <f>IF(SER_hh_tesh_in!I25=0,0,SER_hh_tesh_in!I25/SER_summary!I$27)</f>
        <v>7.241296236489287</v>
      </c>
      <c r="J25" s="133">
        <f>IF(SER_hh_tesh_in!J25=0,0,SER_hh_tesh_in!J25/SER_summary!J$27)</f>
        <v>7.2683539442065772</v>
      </c>
      <c r="K25" s="133">
        <f>IF(SER_hh_tesh_in!K25=0,0,SER_hh_tesh_in!K25/SER_summary!K$27)</f>
        <v>6.9398784590180123</v>
      </c>
      <c r="L25" s="133">
        <f>IF(SER_hh_tesh_in!L25=0,0,SER_hh_tesh_in!L25/SER_summary!L$27)</f>
        <v>7.8354448793916456</v>
      </c>
      <c r="M25" s="133">
        <f>IF(SER_hh_tesh_in!M25=0,0,SER_hh_tesh_in!M25/SER_summary!M$27)</f>
        <v>7.9618078076527095</v>
      </c>
      <c r="N25" s="133">
        <f>IF(SER_hh_tesh_in!N25=0,0,SER_hh_tesh_in!N25/SER_summary!N$27)</f>
        <v>7.9724450343744664</v>
      </c>
      <c r="O25" s="133">
        <f>IF(SER_hh_tesh_in!O25=0,0,SER_hh_tesh_in!O25/SER_summary!O$27)</f>
        <v>8.1212507267500449</v>
      </c>
      <c r="P25" s="133">
        <f>IF(SER_hh_tesh_in!P25=0,0,SER_hh_tesh_in!P25/SER_summary!P$27)</f>
        <v>7.8773617243323679</v>
      </c>
      <c r="Q25" s="133">
        <f>IF(SER_hh_tesh_in!Q25=0,0,SER_hh_tesh_in!Q25/SER_summary!Q$27)</f>
        <v>8.1449467340716293</v>
      </c>
      <c r="R25" s="133">
        <f>IF(SER_hh_tesh_in!R25=0,0,SER_hh_tesh_in!R25/SER_summary!R$27)</f>
        <v>8.3592244965149298</v>
      </c>
      <c r="S25" s="133">
        <f>IF(SER_hh_tesh_in!S25=0,0,SER_hh_tesh_in!S25/SER_summary!S$27)</f>
        <v>8.1195591731711332</v>
      </c>
      <c r="T25" s="133">
        <f>IF(SER_hh_tesh_in!T25=0,0,SER_hh_tesh_in!T25/SER_summary!T$27)</f>
        <v>8.3908414686074888</v>
      </c>
      <c r="U25" s="133">
        <f>IF(SER_hh_tesh_in!U25=0,0,SER_hh_tesh_in!U25/SER_summary!U$27)</f>
        <v>7.9815034256397199</v>
      </c>
      <c r="V25" s="133">
        <f>IF(SER_hh_tesh_in!V25=0,0,SER_hh_tesh_in!V25/SER_summary!V$27)</f>
        <v>7.47204895294779</v>
      </c>
      <c r="W25" s="133">
        <f>IF(SER_hh_tesh_in!W25=0,0,SER_hh_tesh_in!W25/SER_summary!W$27)</f>
        <v>7.89712282724639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7.7721872181554481</v>
      </c>
      <c r="D26" s="65">
        <f>IF(SER_hh_tesh_in!D26=0,0,SER_hh_tesh_in!D26/SER_summary!D$27)</f>
        <v>7.6181812519347591</v>
      </c>
      <c r="E26" s="65">
        <f>IF(SER_hh_tesh_in!E26=0,0,SER_hh_tesh_in!E26/SER_summary!E$27)</f>
        <v>5.0436641566178464</v>
      </c>
      <c r="F26" s="65">
        <f>IF(SER_hh_tesh_in!F26=0,0,SER_hh_tesh_in!F26/SER_summary!F$27)</f>
        <v>6.4789262351346633</v>
      </c>
      <c r="G26" s="65">
        <f>IF(SER_hh_tesh_in!G26=0,0,SER_hh_tesh_in!G26/SER_summary!G$27)</f>
        <v>6.8935852015611037</v>
      </c>
      <c r="H26" s="65">
        <f>IF(SER_hh_tesh_in!H26=0,0,SER_hh_tesh_in!H26/SER_summary!H$27)</f>
        <v>6.8819627864218189</v>
      </c>
      <c r="I26" s="65">
        <f>IF(SER_hh_tesh_in!I26=0,0,SER_hh_tesh_in!I26/SER_summary!I$27)</f>
        <v>6.8565322347570428</v>
      </c>
      <c r="J26" s="65">
        <f>IF(SER_hh_tesh_in!J26=0,0,SER_hh_tesh_in!J26/SER_summary!J$27)</f>
        <v>6.1854639232541189</v>
      </c>
      <c r="K26" s="65">
        <f>IF(SER_hh_tesh_in!K26=0,0,SER_hh_tesh_in!K26/SER_summary!K$27)</f>
        <v>3.2702100047203877</v>
      </c>
      <c r="L26" s="65">
        <f>IF(SER_hh_tesh_in!L26=0,0,SER_hh_tesh_in!L26/SER_summary!L$27)</f>
        <v>5.5944286838560053</v>
      </c>
      <c r="M26" s="65">
        <f>IF(SER_hh_tesh_in!M26=0,0,SER_hh_tesh_in!M26/SER_summary!M$27)</f>
        <v>6.3404690035745688</v>
      </c>
      <c r="N26" s="65">
        <f>IF(SER_hh_tesh_in!N26=0,0,SER_hh_tesh_in!N26/SER_summary!N$27)</f>
        <v>6.3545840156458535</v>
      </c>
      <c r="O26" s="65">
        <f>IF(SER_hh_tesh_in!O26=0,0,SER_hh_tesh_in!O26/SER_summary!O$27)</f>
        <v>6.6877813383575999</v>
      </c>
      <c r="P26" s="65">
        <f>IF(SER_hh_tesh_in!P26=0,0,SER_hh_tesh_in!P26/SER_summary!P$27)</f>
        <v>3.572776531684311</v>
      </c>
      <c r="Q26" s="65">
        <f>IF(SER_hh_tesh_in!Q26=0,0,SER_hh_tesh_in!Q26/SER_summary!Q$27)</f>
        <v>7.2338176132027963</v>
      </c>
      <c r="R26" s="65">
        <f>IF(SER_hh_tesh_in!R26=0,0,SER_hh_tesh_in!R26/SER_summary!R$27)</f>
        <v>7.2195841479865734</v>
      </c>
      <c r="S26" s="65">
        <f>IF(SER_hh_tesh_in!S26=0,0,SER_hh_tesh_in!S26/SER_summary!S$27)</f>
        <v>6.5747983320936063</v>
      </c>
      <c r="T26" s="65">
        <f>IF(SER_hh_tesh_in!T26=0,0,SER_hh_tesh_in!T26/SER_summary!T$27)</f>
        <v>6.6736514146584298</v>
      </c>
      <c r="U26" s="65">
        <f>IF(SER_hh_tesh_in!U26=0,0,SER_hh_tesh_in!U26/SER_summary!U$27)</f>
        <v>6.6921324179684047</v>
      </c>
      <c r="V26" s="65">
        <f>IF(SER_hh_tesh_in!V26=0,0,SER_hh_tesh_in!V26/SER_summary!V$27)</f>
        <v>4.5290780423435448</v>
      </c>
      <c r="W26" s="65">
        <f>IF(SER_hh_tesh_in!W26=0,0,SER_hh_tesh_in!W26/SER_summary!W$27)</f>
        <v>7.3802495429622965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0.84475393839393453</v>
      </c>
      <c r="F27" s="146">
        <f>IF(SER_hh_tesh_in!F27=0,0,SER_hh_tesh_in!F27/SER_summary!F$27)</f>
        <v>0.27361476768209159</v>
      </c>
      <c r="G27" s="146">
        <f>IF(SER_hh_tesh_in!G27=0,0,SER_hh_tesh_in!G27/SER_summary!G$27)</f>
        <v>0.14423270451854189</v>
      </c>
      <c r="H27" s="146">
        <f>IF(SER_hh_tesh_in!H27=0,0,SER_hh_tesh_in!H27/SER_summary!H$27)</f>
        <v>0.1650758043326287</v>
      </c>
      <c r="I27" s="146">
        <f>IF(SER_hh_tesh_in!I27=0,0,SER_hh_tesh_in!I27/SER_summary!I$27)</f>
        <v>0.23583095070964086</v>
      </c>
      <c r="J27" s="146">
        <f>IF(SER_hh_tesh_in!J27=0,0,SER_hh_tesh_in!J27/SER_summary!J$27)</f>
        <v>0.50217124428537474</v>
      </c>
      <c r="K27" s="146">
        <f>IF(SER_hh_tesh_in!K27=0,0,SER_hh_tesh_in!K27/SER_summary!K$27)</f>
        <v>1.3763010433737954</v>
      </c>
      <c r="L27" s="146">
        <f>IF(SER_hh_tesh_in!L27=0,0,SER_hh_tesh_in!L27/SER_summary!L$27)</f>
        <v>1.0625341974662101</v>
      </c>
      <c r="M27" s="146">
        <f>IF(SER_hh_tesh_in!M27=0,0,SER_hh_tesh_in!M27/SER_summary!M$27)</f>
        <v>0.76184786661807569</v>
      </c>
      <c r="N27" s="146">
        <f>IF(SER_hh_tesh_in!N27=0,0,SER_hh_tesh_in!N27/SER_summary!N$27)</f>
        <v>0.90977819644202229</v>
      </c>
      <c r="O27" s="146">
        <f>IF(SER_hh_tesh_in!O27=0,0,SER_hh_tesh_in!O27/SER_summary!O$27)</f>
        <v>0.69537170067387732</v>
      </c>
      <c r="P27" s="146">
        <f>IF(SER_hh_tesh_in!P27=0,0,SER_hh_tesh_in!P27/SER_summary!P$27)</f>
        <v>1.4405804997307685</v>
      </c>
      <c r="Q27" s="146">
        <f>IF(SER_hh_tesh_in!Q27=0,0,SER_hh_tesh_in!Q27/SER_summary!Q$27)</f>
        <v>0.27933398946636895</v>
      </c>
      <c r="R27" s="146">
        <f>IF(SER_hh_tesh_in!R27=0,0,SER_hh_tesh_in!R27/SER_summary!R$27)</f>
        <v>0.43061807890169107</v>
      </c>
      <c r="S27" s="146">
        <f>IF(SER_hh_tesh_in!S27=0,0,SER_hh_tesh_in!S27/SER_summary!S$27)</f>
        <v>0.63393578338411405</v>
      </c>
      <c r="T27" s="146">
        <f>IF(SER_hh_tesh_in!T27=0,0,SER_hh_tesh_in!T27/SER_summary!T$27)</f>
        <v>0.77126162891692396</v>
      </c>
      <c r="U27" s="146">
        <f>IF(SER_hh_tesh_in!U27=0,0,SER_hh_tesh_in!U27/SER_summary!U$27)</f>
        <v>0.62044260836147114</v>
      </c>
      <c r="V27" s="146">
        <f>IF(SER_hh_tesh_in!V27=0,0,SER_hh_tesh_in!V27/SER_summary!V$27)</f>
        <v>1.3771157209804239</v>
      </c>
      <c r="W27" s="146">
        <f>IF(SER_hh_tesh_in!W27=0,0,SER_hh_tesh_in!W27/SER_summary!W$27)</f>
        <v>0.2178399419173038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3.8305399047570772</v>
      </c>
      <c r="F28" s="147">
        <f>IF(SER_hh_tesh_in!F28=0,0,SER_hh_tesh_in!F28/SER_summary!F$27)</f>
        <v>3.679446181487918</v>
      </c>
      <c r="G28" s="147">
        <f>IF(SER_hh_tesh_in!G28=0,0,SER_hh_tesh_in!G28/SER_summary!G$27)</f>
        <v>3.7393866309153361</v>
      </c>
      <c r="H28" s="147">
        <f>IF(SER_hh_tesh_in!H28=0,0,SER_hh_tesh_in!H28/SER_summary!H$27)</f>
        <v>3.6210460312262884</v>
      </c>
      <c r="I28" s="147">
        <f>IF(SER_hh_tesh_in!I28=0,0,SER_hh_tesh_in!I28/SER_summary!I$27)</f>
        <v>3.6843962730228985</v>
      </c>
      <c r="J28" s="147">
        <f>IF(SER_hh_tesh_in!J28=0,0,SER_hh_tesh_in!J28/SER_summary!J$27)</f>
        <v>3.7637839903522234</v>
      </c>
      <c r="K28" s="147">
        <f>IF(SER_hh_tesh_in!K28=0,0,SER_hh_tesh_in!K28/SER_summary!K$27)</f>
        <v>4.2031448825553737</v>
      </c>
      <c r="L28" s="147">
        <f>IF(SER_hh_tesh_in!L28=0,0,SER_hh_tesh_in!L28/SER_summary!L$27)</f>
        <v>4.2104113640955738</v>
      </c>
      <c r="M28" s="147">
        <f>IF(SER_hh_tesh_in!M28=0,0,SER_hh_tesh_in!M28/SER_summary!M$27)</f>
        <v>4.6313874496022995</v>
      </c>
      <c r="N28" s="147">
        <f>IF(SER_hh_tesh_in!N28=0,0,SER_hh_tesh_in!N28/SER_summary!N$27)</f>
        <v>4.7850546131136085</v>
      </c>
      <c r="O28" s="147">
        <f>IF(SER_hh_tesh_in!O28=0,0,SER_hh_tesh_in!O28/SER_summary!O$27)</f>
        <v>4.9457656714493448</v>
      </c>
      <c r="P28" s="147">
        <f>IF(SER_hh_tesh_in!P28=0,0,SER_hh_tesh_in!P28/SER_summary!P$27)</f>
        <v>4.6571938045563366</v>
      </c>
      <c r="Q28" s="147">
        <f>IF(SER_hh_tesh_in!Q28=0,0,SER_hh_tesh_in!Q28/SER_summary!Q$27)</f>
        <v>4.8979331328591629</v>
      </c>
      <c r="R28" s="147">
        <f>IF(SER_hh_tesh_in!R28=0,0,SER_hh_tesh_in!R28/SER_summary!R$27)</f>
        <v>5.0836415897507043</v>
      </c>
      <c r="S28" s="147">
        <f>IF(SER_hh_tesh_in!S28=0,0,SER_hh_tesh_in!S28/SER_summary!S$27)</f>
        <v>5.0899952312136909</v>
      </c>
      <c r="T28" s="147">
        <f>IF(SER_hh_tesh_in!T28=0,0,SER_hh_tesh_in!T28/SER_summary!T$27)</f>
        <v>4.9738244406472276</v>
      </c>
      <c r="U28" s="147">
        <f>IF(SER_hh_tesh_in!U28=0,0,SER_hh_tesh_in!U28/SER_summary!U$27)</f>
        <v>4.9566646717967213</v>
      </c>
      <c r="V28" s="147">
        <f>IF(SER_hh_tesh_in!V28=0,0,SER_hh_tesh_in!V28/SER_summary!V$27)</f>
        <v>4.5308237443636852</v>
      </c>
      <c r="W28" s="147">
        <f>IF(SER_hh_tesh_in!W28=0,0,SER_hh_tesh_in!W28/SER_summary!W$27)</f>
        <v>4.7748439546530674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8.4206564619974973</v>
      </c>
      <c r="D29" s="131">
        <f>IF(SER_hh_tesh_in!D29=0,0,SER_hh_tesh_in!D29/SER_summary!D$27)</f>
        <v>8.3807812250391134</v>
      </c>
      <c r="E29" s="131">
        <f>IF(SER_hh_tesh_in!E29=0,0,SER_hh_tesh_in!E29/SER_summary!E$27)</f>
        <v>8.4551377003319583</v>
      </c>
      <c r="F29" s="131">
        <f>IF(SER_hh_tesh_in!F29=0,0,SER_hh_tesh_in!F29/SER_summary!F$27)</f>
        <v>8.4257898951824401</v>
      </c>
      <c r="G29" s="131">
        <f>IF(SER_hh_tesh_in!G29=0,0,SER_hh_tesh_in!G29/SER_summary!G$27)</f>
        <v>8.3548187707587633</v>
      </c>
      <c r="H29" s="131">
        <f>IF(SER_hh_tesh_in!H29=0,0,SER_hh_tesh_in!H29/SER_summary!H$27)</f>
        <v>8.4142591316140418</v>
      </c>
      <c r="I29" s="131">
        <f>IF(SER_hh_tesh_in!I29=0,0,SER_hh_tesh_in!I29/SER_summary!I$27)</f>
        <v>8.3253133777693513</v>
      </c>
      <c r="J29" s="131">
        <f>IF(SER_hh_tesh_in!J29=0,0,SER_hh_tesh_in!J29/SER_summary!J$27)</f>
        <v>8.441087139022267</v>
      </c>
      <c r="K29" s="131">
        <f>IF(SER_hh_tesh_in!K29=0,0,SER_hh_tesh_in!K29/SER_summary!K$27)</f>
        <v>8.9711081560280004</v>
      </c>
      <c r="L29" s="131">
        <f>IF(SER_hh_tesh_in!L29=0,0,SER_hh_tesh_in!L29/SER_summary!L$27)</f>
        <v>9.2176314604341805</v>
      </c>
      <c r="M29" s="131">
        <f>IF(SER_hh_tesh_in!M29=0,0,SER_hh_tesh_in!M29/SER_summary!M$27)</f>
        <v>9.3402249202009457</v>
      </c>
      <c r="N29" s="131">
        <f>IF(SER_hh_tesh_in!N29=0,0,SER_hh_tesh_in!N29/SER_summary!N$27)</f>
        <v>9.4048077802168777</v>
      </c>
      <c r="O29" s="131">
        <f>IF(SER_hh_tesh_in!O29=0,0,SER_hh_tesh_in!O29/SER_summary!O$27)</f>
        <v>9.5524383570646556</v>
      </c>
      <c r="P29" s="131">
        <f>IF(SER_hh_tesh_in!P29=0,0,SER_hh_tesh_in!P29/SER_summary!P$27)</f>
        <v>9.6191316201064634</v>
      </c>
      <c r="Q29" s="131">
        <f>IF(SER_hh_tesh_in!Q29=0,0,SER_hh_tesh_in!Q29/SER_summary!Q$27)</f>
        <v>9.5949394702332995</v>
      </c>
      <c r="R29" s="131">
        <f>IF(SER_hh_tesh_in!R29=0,0,SER_hh_tesh_in!R29/SER_summary!R$27)</f>
        <v>9.6369682984047209</v>
      </c>
      <c r="S29" s="131">
        <f>IF(SER_hh_tesh_in!S29=0,0,SER_hh_tesh_in!S29/SER_summary!S$27)</f>
        <v>9.9344219252522823</v>
      </c>
      <c r="T29" s="131">
        <f>IF(SER_hh_tesh_in!T29=0,0,SER_hh_tesh_in!T29/SER_summary!T$27)</f>
        <v>9.6720003255234186</v>
      </c>
      <c r="U29" s="131">
        <f>IF(SER_hh_tesh_in!U29=0,0,SER_hh_tesh_in!U29/SER_summary!U$27)</f>
        <v>9.7568442424679933</v>
      </c>
      <c r="V29" s="131">
        <f>IF(SER_hh_tesh_in!V29=0,0,SER_hh_tesh_in!V29/SER_summary!V$27)</f>
        <v>9.1346545923345559</v>
      </c>
      <c r="W29" s="131">
        <f>IF(SER_hh_tesh_in!W29=0,0,SER_hh_tesh_in!W29/SER_summary!W$27)</f>
        <v>9.4750131576655967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8.7077419636251019</v>
      </c>
      <c r="D31" s="133">
        <f>IF(SER_hh_tesh_in!D31=0,0,SER_hh_tesh_in!D31/SER_summary!D$27)</f>
        <v>8.5772811595541061</v>
      </c>
      <c r="E31" s="133">
        <f>IF(SER_hh_tesh_in!E31=0,0,SER_hh_tesh_in!E31/SER_summary!E$27)</f>
        <v>8.3727707091566952</v>
      </c>
      <c r="F31" s="133">
        <f>IF(SER_hh_tesh_in!F31=0,0,SER_hh_tesh_in!F31/SER_summary!F$27)</f>
        <v>8.5599748801119766</v>
      </c>
      <c r="G31" s="133">
        <f>IF(SER_hh_tesh_in!G31=0,0,SER_hh_tesh_in!G31/SER_summary!G$27)</f>
        <v>8.3945683975817698</v>
      </c>
      <c r="H31" s="133">
        <f>IF(SER_hh_tesh_in!H31=0,0,SER_hh_tesh_in!H31/SER_summary!H$27)</f>
        <v>8.2807910494093537</v>
      </c>
      <c r="I31" s="133">
        <f>IF(SER_hh_tesh_in!I31=0,0,SER_hh_tesh_in!I31/SER_summary!I$27)</f>
        <v>8.3233707552830793</v>
      </c>
      <c r="J31" s="133">
        <f>IF(SER_hh_tesh_in!J31=0,0,SER_hh_tesh_in!J31/SER_summary!J$27)</f>
        <v>8.4845665213941928</v>
      </c>
      <c r="K31" s="133">
        <f>IF(SER_hh_tesh_in!K31=0,0,SER_hh_tesh_in!K31/SER_summary!K$27)</f>
        <v>9.495599201681431</v>
      </c>
      <c r="L31" s="133">
        <f>IF(SER_hh_tesh_in!L31=0,0,SER_hh_tesh_in!L31/SER_summary!L$27)</f>
        <v>9.2084702211534957</v>
      </c>
      <c r="M31" s="133">
        <f>IF(SER_hh_tesh_in!M31=0,0,SER_hh_tesh_in!M31/SER_summary!M$27)</f>
        <v>9.3286181225377067</v>
      </c>
      <c r="N31" s="133">
        <f>IF(SER_hh_tesh_in!N31=0,0,SER_hh_tesh_in!N31/SER_summary!N$27)</f>
        <v>9.4139617806667673</v>
      </c>
      <c r="O31" s="133">
        <f>IF(SER_hh_tesh_in!O31=0,0,SER_hh_tesh_in!O31/SER_summary!O$27)</f>
        <v>9.4994654606138891</v>
      </c>
      <c r="P31" s="133">
        <f>IF(SER_hh_tesh_in!P31=0,0,SER_hh_tesh_in!P31/SER_summary!P$27)</f>
        <v>9.5412896033836763</v>
      </c>
      <c r="Q31" s="133">
        <f>IF(SER_hh_tesh_in!Q31=0,0,SER_hh_tesh_in!Q31/SER_summary!Q$27)</f>
        <v>9.2566127005683416</v>
      </c>
      <c r="R31" s="133">
        <f>IF(SER_hh_tesh_in!R31=0,0,SER_hh_tesh_in!R31/SER_summary!R$27)</f>
        <v>9.5422689650570796</v>
      </c>
      <c r="S31" s="133">
        <f>IF(SER_hh_tesh_in!S31=0,0,SER_hh_tesh_in!S31/SER_summary!S$27)</f>
        <v>10.261908473966434</v>
      </c>
      <c r="T31" s="133">
        <f>IF(SER_hh_tesh_in!T31=0,0,SER_hh_tesh_in!T31/SER_summary!T$27)</f>
        <v>9.4684349885564281</v>
      </c>
      <c r="U31" s="133">
        <f>IF(SER_hh_tesh_in!U31=0,0,SER_hh_tesh_in!U31/SER_summary!U$27)</f>
        <v>10.011640020760511</v>
      </c>
      <c r="V31" s="133">
        <f>IF(SER_hh_tesh_in!V31=0,0,SER_hh_tesh_in!V31/SER_summary!V$27)</f>
        <v>9.1939008649208294</v>
      </c>
      <c r="W31" s="133">
        <f>IF(SER_hh_tesh_in!W31=0,0,SER_hh_tesh_in!W31/SER_summary!W$27)</f>
        <v>9.0014489344249604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8.0793117818775908</v>
      </c>
      <c r="D33" s="68">
        <f>IF(SER_hh_tesh_in!D33=0,0,SER_hh_tesh_in!D33/SER_summary!D$27)</f>
        <v>8.1508582845537507</v>
      </c>
      <c r="E33" s="68">
        <f>IF(SER_hh_tesh_in!E33=0,0,SER_hh_tesh_in!E33/SER_summary!E$27)</f>
        <v>8.5373432771788593</v>
      </c>
      <c r="F33" s="68">
        <f>IF(SER_hh_tesh_in!F33=0,0,SER_hh_tesh_in!F33/SER_summary!F$27)</f>
        <v>8.3166787557294626</v>
      </c>
      <c r="G33" s="68">
        <f>IF(SER_hh_tesh_in!G33=0,0,SER_hh_tesh_in!G33/SER_summary!G$27)</f>
        <v>8.3170210724012339</v>
      </c>
      <c r="H33" s="68">
        <f>IF(SER_hh_tesh_in!H33=0,0,SER_hh_tesh_in!H33/SER_summary!H$27)</f>
        <v>8.5183003899993395</v>
      </c>
      <c r="I33" s="68">
        <f>IF(SER_hh_tesh_in!I33=0,0,SER_hh_tesh_in!I33/SER_summary!I$27)</f>
        <v>8.3272032272412009</v>
      </c>
      <c r="J33" s="68">
        <f>IF(SER_hh_tesh_in!J33=0,0,SER_hh_tesh_in!J33/SER_summary!J$27)</f>
        <v>8.3945666796440257</v>
      </c>
      <c r="K33" s="68">
        <f>IF(SER_hh_tesh_in!K33=0,0,SER_hh_tesh_in!K33/SER_summary!K$27)</f>
        <v>8.3865738696394896</v>
      </c>
      <c r="L33" s="68">
        <f>IF(SER_hh_tesh_in!L33=0,0,SER_hh_tesh_in!L33/SER_summary!L$27)</f>
        <v>9.2285991276230916</v>
      </c>
      <c r="M33" s="68">
        <f>IF(SER_hh_tesh_in!M33=0,0,SER_hh_tesh_in!M33/SER_summary!M$27)</f>
        <v>9.3484968610261685</v>
      </c>
      <c r="N33" s="68">
        <f>IF(SER_hh_tesh_in!N33=0,0,SER_hh_tesh_in!N33/SER_summary!N$27)</f>
        <v>9.3979520700653705</v>
      </c>
      <c r="O33" s="68">
        <f>IF(SER_hh_tesh_in!O33=0,0,SER_hh_tesh_in!O33/SER_summary!O$27)</f>
        <v>9.5981831827515816</v>
      </c>
      <c r="P33" s="68">
        <f>IF(SER_hh_tesh_in!P33=0,0,SER_hh_tesh_in!P33/SER_summary!P$27)</f>
        <v>9.6883494657617977</v>
      </c>
      <c r="Q33" s="68">
        <f>IF(SER_hh_tesh_in!Q33=0,0,SER_hh_tesh_in!Q33/SER_summary!Q$27)</f>
        <v>9.9580700705269045</v>
      </c>
      <c r="R33" s="68">
        <f>IF(SER_hh_tesh_in!R33=0,0,SER_hh_tesh_in!R33/SER_summary!R$27)</f>
        <v>9.8058328937089243</v>
      </c>
      <c r="S33" s="68">
        <f>IF(SER_hh_tesh_in!S33=0,0,SER_hh_tesh_in!S33/SER_summary!S$27)</f>
        <v>9.1626723624763216</v>
      </c>
      <c r="T33" s="68">
        <f>IF(SER_hh_tesh_in!T33=0,0,SER_hh_tesh_in!T33/SER_summary!T$27)</f>
        <v>9.9140047026042506</v>
      </c>
      <c r="U33" s="68">
        <f>IF(SER_hh_tesh_in!U33=0,0,SER_hh_tesh_in!U33/SER_summary!U$27)</f>
        <v>9.4469532555263989</v>
      </c>
      <c r="V33" s="68">
        <f>IF(SER_hh_tesh_in!V33=0,0,SER_hh_tesh_in!V33/SER_summary!V$27)</f>
        <v>9.0875851035516746</v>
      </c>
      <c r="W33" s="68">
        <f>IF(SER_hh_tesh_in!W33=0,0,SER_hh_tesh_in!W33/SER_summary!W$27)</f>
        <v>9.9255155875184276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19.301344191653424</v>
      </c>
      <c r="D3" s="126">
        <f>IF(SER_hh_emih_in!D3=0,0,SER_hh_emih_in!D3/SER_summary!D$27)</f>
        <v>21.440977842872854</v>
      </c>
      <c r="E3" s="126">
        <f>IF(SER_hh_emih_in!E3=0,0,SER_hh_emih_in!E3/SER_summary!E$27)</f>
        <v>27.099139157193409</v>
      </c>
      <c r="F3" s="126">
        <f>IF(SER_hh_emih_in!F3=0,0,SER_hh_emih_in!F3/SER_summary!F$27)</f>
        <v>24.904644015811524</v>
      </c>
      <c r="G3" s="126">
        <f>IF(SER_hh_emih_in!G3=0,0,SER_hh_emih_in!G3/SER_summary!G$27)</f>
        <v>18.206277152377815</v>
      </c>
      <c r="H3" s="126">
        <f>IF(SER_hh_emih_in!H3=0,0,SER_hh_emih_in!H3/SER_summary!H$27)</f>
        <v>15.241625068128508</v>
      </c>
      <c r="I3" s="126">
        <f>IF(SER_hh_emih_in!I3=0,0,SER_hh_emih_in!I3/SER_summary!I$27)</f>
        <v>13.750727917968414</v>
      </c>
      <c r="J3" s="126">
        <f>IF(SER_hh_emih_in!J3=0,0,SER_hh_emih_in!J3/SER_summary!J$27)</f>
        <v>12.785107946716783</v>
      </c>
      <c r="K3" s="126">
        <f>IF(SER_hh_emih_in!K3=0,0,SER_hh_emih_in!K3/SER_summary!K$27)</f>
        <v>3.8384272062553362</v>
      </c>
      <c r="L3" s="126">
        <f>IF(SER_hh_emih_in!L3=0,0,SER_hh_emih_in!L3/SER_summary!L$27)</f>
        <v>8.5983059946417253</v>
      </c>
      <c r="M3" s="126">
        <f>IF(SER_hh_emih_in!M3=0,0,SER_hh_emih_in!M3/SER_summary!M$27)</f>
        <v>9.1812003105259397</v>
      </c>
      <c r="N3" s="126">
        <f>IF(SER_hh_emih_in!N3=0,0,SER_hh_emih_in!N3/SER_summary!N$27)</f>
        <v>8.9194297434454608</v>
      </c>
      <c r="O3" s="126">
        <f>IF(SER_hh_emih_in!O3=0,0,SER_hh_emih_in!O3/SER_summary!O$27)</f>
        <v>9.6386522112527082</v>
      </c>
      <c r="P3" s="126">
        <f>IF(SER_hh_emih_in!P3=0,0,SER_hh_emih_in!P3/SER_summary!P$27)</f>
        <v>9.3545738832146359</v>
      </c>
      <c r="Q3" s="126">
        <f>IF(SER_hh_emih_in!Q3=0,0,SER_hh_emih_in!Q3/SER_summary!Q$27)</f>
        <v>9.4995595484297635</v>
      </c>
      <c r="R3" s="126">
        <f>IF(SER_hh_emih_in!R3=0,0,SER_hh_emih_in!R3/SER_summary!R$27)</f>
        <v>7.8554693647270701</v>
      </c>
      <c r="S3" s="126">
        <f>IF(SER_hh_emih_in!S3=0,0,SER_hh_emih_in!S3/SER_summary!S$27)</f>
        <v>8.7741443132357855</v>
      </c>
      <c r="T3" s="126">
        <f>IF(SER_hh_emih_in!T3=0,0,SER_hh_emih_in!T3/SER_summary!T$27)</f>
        <v>6.5584247964875164</v>
      </c>
      <c r="U3" s="126">
        <f>IF(SER_hh_emih_in!U3=0,0,SER_hh_emih_in!U3/SER_summary!U$27)</f>
        <v>7.4377390257259108</v>
      </c>
      <c r="V3" s="126">
        <f>IF(SER_hh_emih_in!V3=0,0,SER_hh_emih_in!V3/SER_summary!V$27)</f>
        <v>5.8303266634675897</v>
      </c>
      <c r="W3" s="126">
        <f>IF(SER_hh_emih_in!W3=0,0,SER_hh_emih_in!W3/SER_summary!W$27)</f>
        <v>4.9664660332859913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16.666655471808035</v>
      </c>
      <c r="D4" s="131">
        <f>IF(SER_hh_emih_in!D4=0,0,SER_hh_emih_in!D4/SER_summary!D$27)</f>
        <v>18.587924086504707</v>
      </c>
      <c r="E4" s="131">
        <f>IF(SER_hh_emih_in!E4=0,0,SER_hh_emih_in!E4/SER_summary!E$27)</f>
        <v>24.552474851954919</v>
      </c>
      <c r="F4" s="131">
        <f>IF(SER_hh_emih_in!F4=0,0,SER_hh_emih_in!F4/SER_summary!F$27)</f>
        <v>22.447746132892309</v>
      </c>
      <c r="G4" s="131">
        <f>IF(SER_hh_emih_in!G4=0,0,SER_hh_emih_in!G4/SER_summary!G$27)</f>
        <v>15.730209819530462</v>
      </c>
      <c r="H4" s="131">
        <f>IF(SER_hh_emih_in!H4=0,0,SER_hh_emih_in!H4/SER_summary!H$27)</f>
        <v>12.894264075803363</v>
      </c>
      <c r="I4" s="131">
        <f>IF(SER_hh_emih_in!I4=0,0,SER_hh_emih_in!I4/SER_summary!I$27)</f>
        <v>11.058189767586011</v>
      </c>
      <c r="J4" s="131">
        <f>IF(SER_hh_emih_in!J4=0,0,SER_hh_emih_in!J4/SER_summary!J$27)</f>
        <v>10.129344854546309</v>
      </c>
      <c r="K4" s="131">
        <f>IF(SER_hh_emih_in!K4=0,0,SER_hh_emih_in!K4/SER_summary!K$27)</f>
        <v>0.69502027942829847</v>
      </c>
      <c r="L4" s="131">
        <f>IF(SER_hh_emih_in!L4=0,0,SER_hh_emih_in!L4/SER_summary!L$27)</f>
        <v>5.9462584260086251</v>
      </c>
      <c r="M4" s="131">
        <f>IF(SER_hh_emih_in!M4=0,0,SER_hh_emih_in!M4/SER_summary!M$27)</f>
        <v>6.9280087727684121</v>
      </c>
      <c r="N4" s="131">
        <f>IF(SER_hh_emih_in!N4=0,0,SER_hh_emih_in!N4/SER_summary!N$27)</f>
        <v>6.803364330762335</v>
      </c>
      <c r="O4" s="131">
        <f>IF(SER_hh_emih_in!O4=0,0,SER_hh_emih_in!O4/SER_summary!O$27)</f>
        <v>7.2876218768407934</v>
      </c>
      <c r="P4" s="131">
        <f>IF(SER_hh_emih_in!P4=0,0,SER_hh_emih_in!P4/SER_summary!P$27)</f>
        <v>6.7881740288274441</v>
      </c>
      <c r="Q4" s="131">
        <f>IF(SER_hh_emih_in!Q4=0,0,SER_hh_emih_in!Q4/SER_summary!Q$27)</f>
        <v>6.6993537197601389</v>
      </c>
      <c r="R4" s="131">
        <f>IF(SER_hh_emih_in!R4=0,0,SER_hh_emih_in!R4/SER_summary!R$27)</f>
        <v>4.8782225936809169</v>
      </c>
      <c r="S4" s="131">
        <f>IF(SER_hh_emih_in!S4=0,0,SER_hh_emih_in!S4/SER_summary!S$27)</f>
        <v>5.2678495624930681</v>
      </c>
      <c r="T4" s="131">
        <f>IF(SER_hh_emih_in!T4=0,0,SER_hh_emih_in!T4/SER_summary!T$27)</f>
        <v>4.0499368503665512</v>
      </c>
      <c r="U4" s="131">
        <f>IF(SER_hh_emih_in!U4=0,0,SER_hh_emih_in!U4/SER_summary!U$27)</f>
        <v>4.6360747335571881</v>
      </c>
      <c r="V4" s="131">
        <f>IF(SER_hh_emih_in!V4=0,0,SER_hh_emih_in!V4/SER_summary!V$27)</f>
        <v>3.6687480091212659</v>
      </c>
      <c r="W4" s="131">
        <f>IF(SER_hh_emih_in!W4=0,0,SER_hh_emih_in!W4/SER_summary!W$27)</f>
        <v>2.7701020090368185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66.514443534691011</v>
      </c>
      <c r="F5" s="133">
        <f>IF(SER_hh_emih_in!F5=0,0,SER_hh_emih_in!F5/SER_summary!F$27)</f>
        <v>70.696762860777611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25.327746594295885</v>
      </c>
      <c r="O5" s="133">
        <f>IF(SER_hh_emih_in!O5=0,0,SER_hh_emih_in!O5/SER_summary!O$27)</f>
        <v>26.479339436517069</v>
      </c>
      <c r="P5" s="133">
        <f>IF(SER_hh_emih_in!P5=0,0,SER_hh_emih_in!P5/SER_summary!P$27)</f>
        <v>22.059435606938514</v>
      </c>
      <c r="Q5" s="133">
        <f>IF(SER_hh_emih_in!Q5=0,0,SER_hh_emih_in!Q5/SER_summary!Q$27)</f>
        <v>0</v>
      </c>
      <c r="R5" s="133">
        <f>IF(SER_hh_emih_in!R5=0,0,SER_hh_emih_in!R5/SER_summary!R$27)</f>
        <v>22.015571613677096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17.136115216819821</v>
      </c>
      <c r="V5" s="133">
        <f>IF(SER_hh_emih_in!V5=0,0,SER_hh_emih_in!V5/SER_summary!V$27)</f>
        <v>12.535340743284914</v>
      </c>
      <c r="W5" s="133">
        <f>IF(SER_hh_emih_in!W5=0,0,SER_hh_emih_in!W5/SER_summary!W$27)</f>
        <v>11.797537976301269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21.179203206668181</v>
      </c>
      <c r="D7" s="133">
        <f>IF(SER_hh_emih_in!D7=0,0,SER_hh_emih_in!D7/SER_summary!D$27)</f>
        <v>54.847667547846477</v>
      </c>
      <c r="E7" s="133">
        <f>IF(SER_hh_emih_in!E7=0,0,SER_hh_emih_in!E7/SER_summary!E$27)</f>
        <v>42.503626270388033</v>
      </c>
      <c r="F7" s="133">
        <f>IF(SER_hh_emih_in!F7=0,0,SER_hh_emih_in!F7/SER_summary!F$27)</f>
        <v>45.473168874602386</v>
      </c>
      <c r="G7" s="133">
        <f>IF(SER_hh_emih_in!G7=0,0,SER_hh_emih_in!G7/SER_summary!G$27)</f>
        <v>30.708658737966104</v>
      </c>
      <c r="H7" s="133">
        <f>IF(SER_hh_emih_in!H7=0,0,SER_hh_emih_in!H7/SER_summary!H$27)</f>
        <v>32.758630224803873</v>
      </c>
      <c r="I7" s="133">
        <f>IF(SER_hh_emih_in!I7=0,0,SER_hh_emih_in!I7/SER_summary!I$27)</f>
        <v>30.039582187482495</v>
      </c>
      <c r="J7" s="133">
        <f>IF(SER_hh_emih_in!J7=0,0,SER_hh_emih_in!J7/SER_summary!J$27)</f>
        <v>30.165397271199055</v>
      </c>
      <c r="K7" s="133">
        <f>IF(SER_hh_emih_in!K7=0,0,SER_hh_emih_in!K7/SER_summary!K$27)</f>
        <v>0</v>
      </c>
      <c r="L7" s="133">
        <f>IF(SER_hh_emih_in!L7=0,0,SER_hh_emih_in!L7/SER_summary!L$27)</f>
        <v>28.090037581616095</v>
      </c>
      <c r="M7" s="133">
        <f>IF(SER_hh_emih_in!M7=0,0,SER_hh_emih_in!M7/SER_summary!M$27)</f>
        <v>19.655995516707939</v>
      </c>
      <c r="N7" s="133">
        <f>IF(SER_hh_emih_in!N7=0,0,SER_hh_emih_in!N7/SER_summary!N$27)</f>
        <v>27.528150444018948</v>
      </c>
      <c r="O7" s="133">
        <f>IF(SER_hh_emih_in!O7=0,0,SER_hh_emih_in!O7/SER_summary!O$27)</f>
        <v>19.156015158510545</v>
      </c>
      <c r="P7" s="133">
        <f>IF(SER_hh_emih_in!P7=0,0,SER_hh_emih_in!P7/SER_summary!P$27)</f>
        <v>11.417177087807975</v>
      </c>
      <c r="Q7" s="133">
        <f>IF(SER_hh_emih_in!Q7=0,0,SER_hh_emih_in!Q7/SER_summary!Q$27)</f>
        <v>19.211642325907707</v>
      </c>
      <c r="R7" s="133">
        <f>IF(SER_hh_emih_in!R7=0,0,SER_hh_emih_in!R7/SER_summary!R$27)</f>
        <v>16.884882148067327</v>
      </c>
      <c r="S7" s="133">
        <f>IF(SER_hh_emih_in!S7=0,0,SER_hh_emih_in!S7/SER_summary!S$27)</f>
        <v>16.572261875241416</v>
      </c>
      <c r="T7" s="133">
        <f>IF(SER_hh_emih_in!T7=0,0,SER_hh_emih_in!T7/SER_summary!T$27)</f>
        <v>0</v>
      </c>
      <c r="U7" s="133">
        <f>IF(SER_hh_emih_in!U7=0,0,SER_hh_emih_in!U7/SER_summary!U$27)</f>
        <v>10.181003628912158</v>
      </c>
      <c r="V7" s="133">
        <f>IF(SER_hh_emih_in!V7=0,0,SER_hh_emih_in!V7/SER_summary!V$27)</f>
        <v>10.666248392939892</v>
      </c>
      <c r="W7" s="133">
        <f>IF(SER_hh_emih_in!W7=0,0,SER_hh_emih_in!W7/SER_summary!W$27)</f>
        <v>11.729303994359441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3.946339454883864</v>
      </c>
      <c r="H8" s="133">
        <f>IF(SER_hh_emih_in!H8=0,0,SER_hh_emih_in!H8/SER_summary!H$27)</f>
        <v>4.3511085454170564</v>
      </c>
      <c r="I8" s="133">
        <f>IF(SER_hh_emih_in!I8=0,0,SER_hh_emih_in!I8/SER_summary!I$27)</f>
        <v>4.6233558550065297</v>
      </c>
      <c r="J8" s="133">
        <f>IF(SER_hh_emih_in!J8=0,0,SER_hh_emih_in!J8/SER_summary!J$27)</f>
        <v>4.8903598510261448</v>
      </c>
      <c r="K8" s="133">
        <f>IF(SER_hh_emih_in!K8=0,0,SER_hh_emih_in!K8/SER_summary!K$27)</f>
        <v>4.2784613868797887</v>
      </c>
      <c r="L8" s="133">
        <f>IF(SER_hh_emih_in!L8=0,0,SER_hh_emih_in!L8/SER_summary!L$27)</f>
        <v>3.50430846219564</v>
      </c>
      <c r="M8" s="133">
        <f>IF(SER_hh_emih_in!M8=0,0,SER_hh_emih_in!M8/SER_summary!M$27)</f>
        <v>3.0818209194488251</v>
      </c>
      <c r="N8" s="133">
        <f>IF(SER_hh_emih_in!N8=0,0,SER_hh_emih_in!N8/SER_summary!N$27)</f>
        <v>2.5394016323577744</v>
      </c>
      <c r="O8" s="133">
        <f>IF(SER_hh_emih_in!O8=0,0,SER_hh_emih_in!O8/SER_summary!O$27)</f>
        <v>2.6326092511878412</v>
      </c>
      <c r="P8" s="133">
        <f>IF(SER_hh_emih_in!P8=0,0,SER_hh_emih_in!P8/SER_summary!P$27)</f>
        <v>2.7355779154964734</v>
      </c>
      <c r="Q8" s="133">
        <f>IF(SER_hh_emih_in!Q8=0,0,SER_hh_emih_in!Q8/SER_summary!Q$27)</f>
        <v>2.3938231720848173</v>
      </c>
      <c r="R8" s="133">
        <f>IF(SER_hh_emih_in!R8=0,0,SER_hh_emih_in!R8/SER_summary!R$27)</f>
        <v>2.2129327046286607</v>
      </c>
      <c r="S8" s="133">
        <f>IF(SER_hh_emih_in!S8=0,0,SER_hh_emih_in!S8/SER_summary!S$27)</f>
        <v>2.0430574912137551</v>
      </c>
      <c r="T8" s="133">
        <f>IF(SER_hh_emih_in!T8=0,0,SER_hh_emih_in!T8/SER_summary!T$27)</f>
        <v>1.874563719053147</v>
      </c>
      <c r="U8" s="133">
        <f>IF(SER_hh_emih_in!U8=0,0,SER_hh_emih_in!U8/SER_summary!U$27)</f>
        <v>1.7755051270775704</v>
      </c>
      <c r="V8" s="133">
        <f>IF(SER_hh_emih_in!V8=0,0,SER_hh_emih_in!V8/SER_summary!V$27)</f>
        <v>1.5664644601208679</v>
      </c>
      <c r="W8" s="133">
        <f>IF(SER_hh_emih_in!W8=0,0,SER_hh_emih_in!W8/SER_summary!W$27)</f>
        <v>1.3517352518748913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33.573578320659365</v>
      </c>
      <c r="D9" s="133">
        <f>IF(SER_hh_emih_in!D9=0,0,SER_hh_emih_in!D9/SER_summary!D$27)</f>
        <v>29.004187245304653</v>
      </c>
      <c r="E9" s="133">
        <f>IF(SER_hh_emih_in!E9=0,0,SER_hh_emih_in!E9/SER_summary!E$27)</f>
        <v>27.838701716730526</v>
      </c>
      <c r="F9" s="133">
        <f>IF(SER_hh_emih_in!F9=0,0,SER_hh_emih_in!F9/SER_summary!F$27)</f>
        <v>25.163154301965783</v>
      </c>
      <c r="G9" s="133">
        <f>IF(SER_hh_emih_in!G9=0,0,SER_hh_emih_in!G9/SER_summary!G$27)</f>
        <v>23.324002752042006</v>
      </c>
      <c r="H9" s="133">
        <f>IF(SER_hh_emih_in!H9=0,0,SER_hh_emih_in!H9/SER_summary!H$27)</f>
        <v>19.971106025214414</v>
      </c>
      <c r="I9" s="133">
        <f>IF(SER_hh_emih_in!I9=0,0,SER_hh_emih_in!I9/SER_summary!I$27)</f>
        <v>17.729355146167983</v>
      </c>
      <c r="J9" s="133">
        <f>IF(SER_hh_emih_in!J9=0,0,SER_hh_emih_in!J9/SER_summary!J$27)</f>
        <v>18.736801203750062</v>
      </c>
      <c r="K9" s="133">
        <f>IF(SER_hh_emih_in!K9=0,0,SER_hh_emih_in!K9/SER_summary!K$27)</f>
        <v>16.4319949174957</v>
      </c>
      <c r="L9" s="133">
        <f>IF(SER_hh_emih_in!L9=0,0,SER_hh_emih_in!L9/SER_summary!L$27)</f>
        <v>17.084980238640263</v>
      </c>
      <c r="M9" s="133">
        <f>IF(SER_hh_emih_in!M9=0,0,SER_hh_emih_in!M9/SER_summary!M$27)</f>
        <v>15.790156231884499</v>
      </c>
      <c r="N9" s="133">
        <f>IF(SER_hh_emih_in!N9=0,0,SER_hh_emih_in!N9/SER_summary!N$27)</f>
        <v>14.153211611624213</v>
      </c>
      <c r="O9" s="133">
        <f>IF(SER_hh_emih_in!O9=0,0,SER_hh_emih_in!O9/SER_summary!O$27)</f>
        <v>12.850418275179489</v>
      </c>
      <c r="P9" s="133">
        <f>IF(SER_hh_emih_in!P9=0,0,SER_hh_emih_in!P9/SER_summary!P$27)</f>
        <v>11.601776925483801</v>
      </c>
      <c r="Q9" s="133">
        <f>IF(SER_hh_emih_in!Q9=0,0,SER_hh_emih_in!Q9/SER_summary!Q$27)</f>
        <v>10.759515378297472</v>
      </c>
      <c r="R9" s="133">
        <f>IF(SER_hh_emih_in!R9=0,0,SER_hh_emih_in!R9/SER_summary!R$27)</f>
        <v>10.405793253835217</v>
      </c>
      <c r="S9" s="133">
        <f>IF(SER_hh_emih_in!S9=0,0,SER_hh_emih_in!S9/SER_summary!S$27)</f>
        <v>10.483920308089656</v>
      </c>
      <c r="T9" s="133">
        <f>IF(SER_hh_emih_in!T9=0,0,SER_hh_emih_in!T9/SER_summary!T$27)</f>
        <v>9.0430963596847533</v>
      </c>
      <c r="U9" s="133">
        <f>IF(SER_hh_emih_in!U9=0,0,SER_hh_emih_in!U9/SER_summary!U$27)</f>
        <v>8.9383661944485482</v>
      </c>
      <c r="V9" s="133">
        <f>IF(SER_hh_emih_in!V9=0,0,SER_hh_emih_in!V9/SER_summary!V$27)</f>
        <v>7.6108877547166527</v>
      </c>
      <c r="W9" s="133">
        <f>IF(SER_hh_emih_in!W9=0,0,SER_hh_emih_in!W9/SER_summary!W$27)</f>
        <v>6.1105512949631349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40.520414513977954</v>
      </c>
      <c r="D10" s="133">
        <f>IF(SER_hh_emih_in!D10=0,0,SER_hh_emih_in!D10/SER_summary!D$27)</f>
        <v>29.236302497280249</v>
      </c>
      <c r="E10" s="133">
        <f>IF(SER_hh_emih_in!E10=0,0,SER_hh_emih_in!E10/SER_summary!E$27)</f>
        <v>27.765793178714013</v>
      </c>
      <c r="F10" s="133">
        <f>IF(SER_hh_emih_in!F10=0,0,SER_hh_emih_in!F10/SER_summary!F$27)</f>
        <v>22.381449091103388</v>
      </c>
      <c r="G10" s="133">
        <f>IF(SER_hh_emih_in!G10=0,0,SER_hh_emih_in!G10/SER_summary!G$27)</f>
        <v>22.031582054327359</v>
      </c>
      <c r="H10" s="133">
        <f>IF(SER_hh_emih_in!H10=0,0,SER_hh_emih_in!H10/SER_summary!H$27)</f>
        <v>18.652961842816715</v>
      </c>
      <c r="I10" s="133">
        <f>IF(SER_hh_emih_in!I10=0,0,SER_hh_emih_in!I10/SER_summary!I$27)</f>
        <v>22.481392657930748</v>
      </c>
      <c r="J10" s="133">
        <f>IF(SER_hh_emih_in!J10=0,0,SER_hh_emih_in!J10/SER_summary!J$27)</f>
        <v>24.624790394712001</v>
      </c>
      <c r="K10" s="133">
        <f>IF(SER_hh_emih_in!K10=0,0,SER_hh_emih_in!K10/SER_summary!K$27)</f>
        <v>20.206089575707395</v>
      </c>
      <c r="L10" s="133">
        <f>IF(SER_hh_emih_in!L10=0,0,SER_hh_emih_in!L10/SER_summary!L$27)</f>
        <v>21.970278827225879</v>
      </c>
      <c r="M10" s="133">
        <f>IF(SER_hh_emih_in!M10=0,0,SER_hh_emih_in!M10/SER_summary!M$27)</f>
        <v>18.424010131336967</v>
      </c>
      <c r="N10" s="133">
        <f>IF(SER_hh_emih_in!N10=0,0,SER_hh_emih_in!N10/SER_summary!N$27)</f>
        <v>16.33388411386057</v>
      </c>
      <c r="O10" s="133">
        <f>IF(SER_hh_emih_in!O10=0,0,SER_hh_emih_in!O10/SER_summary!O$27)</f>
        <v>15.987427837726397</v>
      </c>
      <c r="P10" s="133">
        <f>IF(SER_hh_emih_in!P10=0,0,SER_hh_emih_in!P10/SER_summary!P$27)</f>
        <v>14.161204324474976</v>
      </c>
      <c r="Q10" s="133">
        <f>IF(SER_hh_emih_in!Q10=0,0,SER_hh_emih_in!Q10/SER_summary!Q$27)</f>
        <v>15.18547323842232</v>
      </c>
      <c r="R10" s="133">
        <f>IF(SER_hh_emih_in!R10=0,0,SER_hh_emih_in!R10/SER_summary!R$27)</f>
        <v>13.315816093801606</v>
      </c>
      <c r="S10" s="133">
        <f>IF(SER_hh_emih_in!S10=0,0,SER_hh_emih_in!S10/SER_summary!S$27)</f>
        <v>13.031302349291463</v>
      </c>
      <c r="T10" s="133">
        <f>IF(SER_hh_emih_in!T10=0,0,SER_hh_emih_in!T10/SER_summary!T$27)</f>
        <v>12.825518178896919</v>
      </c>
      <c r="U10" s="133">
        <f>IF(SER_hh_emih_in!U10=0,0,SER_hh_emih_in!U10/SER_summary!U$27)</f>
        <v>12.820940280960603</v>
      </c>
      <c r="V10" s="133">
        <f>IF(SER_hh_emih_in!V10=0,0,SER_hh_emih_in!V10/SER_summary!V$27)</f>
        <v>10.474147983071855</v>
      </c>
      <c r="W10" s="133">
        <f>IF(SER_hh_emih_in!W10=0,0,SER_hh_emih_in!W10/SER_summary!W$27)</f>
        <v>9.2970051959964142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1.7458186627812171E-2</v>
      </c>
      <c r="H16" s="131">
        <f>IF(SER_hh_emih_in!H16=0,0,SER_hh_emih_in!H16/SER_summary!H$27)</f>
        <v>3.9622890546287259E-3</v>
      </c>
      <c r="I16" s="131">
        <f>IF(SER_hh_emih_in!I16=0,0,SER_hh_emih_in!I16/SER_summary!I$27)</f>
        <v>8.0055118935034083E-3</v>
      </c>
      <c r="J16" s="131">
        <f>IF(SER_hh_emih_in!J16=0,0,SER_hh_emih_in!J16/SER_summary!J$27)</f>
        <v>1.6589615491713174E-3</v>
      </c>
      <c r="K16" s="131">
        <f>IF(SER_hh_emih_in!K16=0,0,SER_hh_emih_in!K16/SER_summary!K$27)</f>
        <v>1.3316071325373977E-2</v>
      </c>
      <c r="L16" s="131">
        <f>IF(SER_hh_emih_in!L16=0,0,SER_hh_emih_in!L16/SER_summary!L$27)</f>
        <v>1.4724764826605124E-3</v>
      </c>
      <c r="M16" s="131">
        <f>IF(SER_hh_emih_in!M16=0,0,SER_hh_emih_in!M16/SER_summary!M$27)</f>
        <v>4.0910177262413394E-3</v>
      </c>
      <c r="N16" s="131">
        <f>IF(SER_hh_emih_in!N16=0,0,SER_hh_emih_in!N16/SER_summary!N$27)</f>
        <v>4.4975347426983326E-3</v>
      </c>
      <c r="O16" s="131">
        <f>IF(SER_hh_emih_in!O16=0,0,SER_hh_emih_in!O16/SER_summary!O$27)</f>
        <v>1.3362200606783142E-2</v>
      </c>
      <c r="P16" s="131">
        <f>IF(SER_hh_emih_in!P16=0,0,SER_hh_emih_in!P16/SER_summary!P$27)</f>
        <v>2.4511622358108807E-2</v>
      </c>
      <c r="Q16" s="131">
        <f>IF(SER_hh_emih_in!Q16=0,0,SER_hh_emih_in!Q16/SER_summary!Q$27)</f>
        <v>4.1319711833431208E-2</v>
      </c>
      <c r="R16" s="131">
        <f>IF(SER_hh_emih_in!R16=0,0,SER_hh_emih_in!R16/SER_summary!R$27)</f>
        <v>1.9894714920298321E-2</v>
      </c>
      <c r="S16" s="131">
        <f>IF(SER_hh_emih_in!S16=0,0,SER_hh_emih_in!S16/SER_summary!S$27)</f>
        <v>2.5974246591480614E-2</v>
      </c>
      <c r="T16" s="131">
        <f>IF(SER_hh_emih_in!T16=0,0,SER_hh_emih_in!T16/SER_summary!T$27)</f>
        <v>2.4878123463613844E-2</v>
      </c>
      <c r="U16" s="131">
        <f>IF(SER_hh_emih_in!U16=0,0,SER_hh_emih_in!U16/SER_summary!U$27)</f>
        <v>1.97318595389438E-2</v>
      </c>
      <c r="V16" s="131">
        <f>IF(SER_hh_emih_in!V16=0,0,SER_hh_emih_in!V16/SER_summary!V$27)</f>
        <v>4.7013670602025992E-2</v>
      </c>
      <c r="W16" s="131">
        <f>IF(SER_hh_emih_in!W16=0,0,SER_hh_emih_in!W16/SER_summary!W$27)</f>
        <v>1.4197470958565269E-2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4.3018629061272939</v>
      </c>
      <c r="H17" s="133">
        <f>IF(SER_hh_emih_in!H17=0,0,SER_hh_emih_in!H17/SER_summary!H$27)</f>
        <v>4.3712000877633352</v>
      </c>
      <c r="I17" s="133">
        <f>IF(SER_hh_emih_in!I17=0,0,SER_hh_emih_in!I17/SER_summary!I$27)</f>
        <v>4.2768587084916208</v>
      </c>
      <c r="J17" s="133">
        <f>IF(SER_hh_emih_in!J17=0,0,SER_hh_emih_in!J17/SER_summary!J$27)</f>
        <v>4.1514857471668218</v>
      </c>
      <c r="K17" s="133">
        <f>IF(SER_hh_emih_in!K17=0,0,SER_hh_emih_in!K17/SER_summary!K$27)</f>
        <v>4.0921005986566223</v>
      </c>
      <c r="L17" s="133">
        <f>IF(SER_hh_emih_in!L17=0,0,SER_hh_emih_in!L17/SER_summary!L$27)</f>
        <v>4.1167767910480491</v>
      </c>
      <c r="M17" s="133">
        <f>IF(SER_hh_emih_in!M17=0,0,SER_hh_emih_in!M17/SER_summary!M$27)</f>
        <v>3.9840735134628438</v>
      </c>
      <c r="N17" s="133">
        <f>IF(SER_hh_emih_in!N17=0,0,SER_hh_emih_in!N17/SER_summary!N$27)</f>
        <v>3.9229041043035684</v>
      </c>
      <c r="O17" s="133">
        <f>IF(SER_hh_emih_in!O17=0,0,SER_hh_emih_in!O17/SER_summary!O$27)</f>
        <v>3.9838139770111312</v>
      </c>
      <c r="P17" s="133">
        <f>IF(SER_hh_emih_in!P17=0,0,SER_hh_emih_in!P17/SER_summary!P$27)</f>
        <v>3.7358630298024385</v>
      </c>
      <c r="Q17" s="133">
        <f>IF(SER_hh_emih_in!Q17=0,0,SER_hh_emih_in!Q17/SER_summary!Q$27)</f>
        <v>4.3550699302840723</v>
      </c>
      <c r="R17" s="133">
        <f>IF(SER_hh_emih_in!R17=0,0,SER_hh_emih_in!R17/SER_summary!R$27)</f>
        <v>3.5688015698002724</v>
      </c>
      <c r="S17" s="133">
        <f>IF(SER_hh_emih_in!S17=0,0,SER_hh_emih_in!S17/SER_summary!S$27)</f>
        <v>3.5162674334615525</v>
      </c>
      <c r="T17" s="133">
        <f>IF(SER_hh_emih_in!T17=0,0,SER_hh_emih_in!T17/SER_summary!T$27)</f>
        <v>3.7465625141296237</v>
      </c>
      <c r="U17" s="133">
        <f>IF(SER_hh_emih_in!U17=0,0,SER_hh_emih_in!U17/SER_summary!U$27)</f>
        <v>3.3075725894867238</v>
      </c>
      <c r="V17" s="133">
        <f>IF(SER_hh_emih_in!V17=0,0,SER_hh_emih_in!V17/SER_summary!V$27)</f>
        <v>3.0331595226903039</v>
      </c>
      <c r="W17" s="133">
        <f>IF(SER_hh_emih_in!W17=0,0,SER_hh_emih_in!W17/SER_summary!W$27)</f>
        <v>2.7292548724586965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1.0051965287952203</v>
      </c>
      <c r="D19" s="131">
        <f>IF(SER_hh_emih_in!D19=0,0,SER_hh_emih_in!D19/SER_summary!D$27)</f>
        <v>1.2637213161982943</v>
      </c>
      <c r="E19" s="131">
        <f>IF(SER_hh_emih_in!E19=0,0,SER_hh_emih_in!E19/SER_summary!E$27)</f>
        <v>1.1293489830063614</v>
      </c>
      <c r="F19" s="131">
        <f>IF(SER_hh_emih_in!F19=0,0,SER_hh_emih_in!F19/SER_summary!F$27)</f>
        <v>1.1605383451273863</v>
      </c>
      <c r="G19" s="131">
        <f>IF(SER_hh_emih_in!G19=0,0,SER_hh_emih_in!G19/SER_summary!G$27)</f>
        <v>1.0824233619166928</v>
      </c>
      <c r="H19" s="131">
        <f>IF(SER_hh_emih_in!H19=0,0,SER_hh_emih_in!H19/SER_summary!H$27)</f>
        <v>1.1239802687133538</v>
      </c>
      <c r="I19" s="131">
        <f>IF(SER_hh_emih_in!I19=0,0,SER_hh_emih_in!I19/SER_summary!I$27)</f>
        <v>1.3066130484035468</v>
      </c>
      <c r="J19" s="131">
        <f>IF(SER_hh_emih_in!J19=0,0,SER_hh_emih_in!J19/SER_summary!J$27)</f>
        <v>1.1811921520961117</v>
      </c>
      <c r="K19" s="131">
        <f>IF(SER_hh_emih_in!K19=0,0,SER_hh_emih_in!K19/SER_summary!K$27)</f>
        <v>1.4529612159097169</v>
      </c>
      <c r="L19" s="131">
        <f>IF(SER_hh_emih_in!L19=0,0,SER_hh_emih_in!L19/SER_summary!L$27)</f>
        <v>0.97330581744785727</v>
      </c>
      <c r="M19" s="131">
        <f>IF(SER_hh_emih_in!M19=0,0,SER_hh_emih_in!M19/SER_summary!M$27)</f>
        <v>0.95432681062125113</v>
      </c>
      <c r="N19" s="131">
        <f>IF(SER_hh_emih_in!N19=0,0,SER_hh_emih_in!N19/SER_summary!N$27)</f>
        <v>0.76723913777501407</v>
      </c>
      <c r="O19" s="131">
        <f>IF(SER_hh_emih_in!O19=0,0,SER_hh_emih_in!O19/SER_summary!O$27)</f>
        <v>0.87131075911982059</v>
      </c>
      <c r="P19" s="131">
        <f>IF(SER_hh_emih_in!P19=0,0,SER_hh_emih_in!P19/SER_summary!P$27)</f>
        <v>1.0432453747264148</v>
      </c>
      <c r="Q19" s="131">
        <f>IF(SER_hh_emih_in!Q19=0,0,SER_hh_emih_in!Q19/SER_summary!Q$27)</f>
        <v>1.1598475458806807</v>
      </c>
      <c r="R19" s="131">
        <f>IF(SER_hh_emih_in!R19=0,0,SER_hh_emih_in!R19/SER_summary!R$27)</f>
        <v>0.92722532954977144</v>
      </c>
      <c r="S19" s="131">
        <f>IF(SER_hh_emih_in!S19=0,0,SER_hh_emih_in!S19/SER_summary!S$27)</f>
        <v>1.1021133134372125</v>
      </c>
      <c r="T19" s="131">
        <f>IF(SER_hh_emih_in!T19=0,0,SER_hh_emih_in!T19/SER_summary!T$27)</f>
        <v>0.80327722439082361</v>
      </c>
      <c r="U19" s="131">
        <f>IF(SER_hh_emih_in!U19=0,0,SER_hh_emih_in!U19/SER_summary!U$27)</f>
        <v>0.99973366764968163</v>
      </c>
      <c r="V19" s="131">
        <f>IF(SER_hh_emih_in!V19=0,0,SER_hh_emih_in!V19/SER_summary!V$27)</f>
        <v>0.81289287610751226</v>
      </c>
      <c r="W19" s="131">
        <f>IF(SER_hh_emih_in!W19=0,0,SER_hh_emih_in!W19/SER_summary!W$27)</f>
        <v>0.78380481704642946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2.7784629401842365</v>
      </c>
      <c r="D23" s="133">
        <f>IF(SER_hh_emih_in!D23=0,0,SER_hh_emih_in!D23/SER_summary!D$27)</f>
        <v>2.7413295119414207</v>
      </c>
      <c r="E23" s="133">
        <f>IF(SER_hh_emih_in!E23=0,0,SER_hh_emih_in!E23/SER_summary!E$27)</f>
        <v>2.5614111971207651</v>
      </c>
      <c r="F23" s="133">
        <f>IF(SER_hh_emih_in!F23=0,0,SER_hh_emih_in!F23/SER_summary!F$27)</f>
        <v>2.4758207045090748</v>
      </c>
      <c r="G23" s="133">
        <f>IF(SER_hh_emih_in!G23=0,0,SER_hh_emih_in!G23/SER_summary!G$27)</f>
        <v>2.4701272587286112</v>
      </c>
      <c r="H23" s="133">
        <f>IF(SER_hh_emih_in!H23=0,0,SER_hh_emih_in!H23/SER_summary!H$27)</f>
        <v>2.4316244812610921</v>
      </c>
      <c r="I23" s="133">
        <f>IF(SER_hh_emih_in!I23=0,0,SER_hh_emih_in!I23/SER_summary!I$27)</f>
        <v>2.3383298522644327</v>
      </c>
      <c r="J23" s="133">
        <f>IF(SER_hh_emih_in!J23=0,0,SER_hh_emih_in!J23/SER_summary!J$27)</f>
        <v>2.318553664433014</v>
      </c>
      <c r="K23" s="133">
        <f>IF(SER_hh_emih_in!K23=0,0,SER_hh_emih_in!K23/SER_summary!K$27)</f>
        <v>2.3976391202169607</v>
      </c>
      <c r="L23" s="133">
        <f>IF(SER_hh_emih_in!L23=0,0,SER_hh_emih_in!L23/SER_summary!L$27)</f>
        <v>2.5674031015830936</v>
      </c>
      <c r="M23" s="133">
        <f>IF(SER_hh_emih_in!M23=0,0,SER_hh_emih_in!M23/SER_summary!M$27)</f>
        <v>2.466934782008237</v>
      </c>
      <c r="N23" s="133">
        <f>IF(SER_hh_emih_in!N23=0,0,SER_hh_emih_in!N23/SER_summary!N$27)</f>
        <v>2.385252478235353</v>
      </c>
      <c r="O23" s="133">
        <f>IF(SER_hh_emih_in!O23=0,0,SER_hh_emih_in!O23/SER_summary!O$27)</f>
        <v>2.3163195285988794</v>
      </c>
      <c r="P23" s="133">
        <f>IF(SER_hh_emih_in!P23=0,0,SER_hh_emih_in!P23/SER_summary!P$27)</f>
        <v>2.1930080013536517</v>
      </c>
      <c r="Q23" s="133">
        <f>IF(SER_hh_emih_in!Q23=0,0,SER_hh_emih_in!Q23/SER_summary!Q$27)</f>
        <v>2.1969009338843501</v>
      </c>
      <c r="R23" s="133">
        <f>IF(SER_hh_emih_in!R23=0,0,SER_hh_emih_in!R23/SER_summary!R$27)</f>
        <v>2.1544912232464699</v>
      </c>
      <c r="S23" s="133">
        <f>IF(SER_hh_emih_in!S23=0,0,SER_hh_emih_in!S23/SER_summary!S$27)</f>
        <v>2.158643850464331</v>
      </c>
      <c r="T23" s="133">
        <f>IF(SER_hh_emih_in!T23=0,0,SER_hh_emih_in!T23/SER_summary!T$27)</f>
        <v>2.0259051384554754</v>
      </c>
      <c r="U23" s="133">
        <f>IF(SER_hh_emih_in!U23=0,0,SER_hh_emih_in!U23/SER_summary!U$27)</f>
        <v>2.0582871874047659</v>
      </c>
      <c r="V23" s="133">
        <f>IF(SER_hh_emih_in!V23=0,0,SER_hh_emih_in!V23/SER_summary!V$27)</f>
        <v>1.8587510673827028</v>
      </c>
      <c r="W23" s="133">
        <f>IF(SER_hh_emih_in!W23=0,0,SER_hh_emih_in!W23/SER_summary!W$27)</f>
        <v>1.8973024598332591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1.6294921910501667</v>
      </c>
      <c r="D29" s="131">
        <f>IF(SER_hh_emih_in!D29=0,0,SER_hh_emih_in!D29/SER_summary!D$27)</f>
        <v>1.5893324401698508</v>
      </c>
      <c r="E29" s="131">
        <f>IF(SER_hh_emih_in!E29=0,0,SER_hh_emih_in!E29/SER_summary!E$27)</f>
        <v>1.4173153222321271</v>
      </c>
      <c r="F29" s="131">
        <f>IF(SER_hh_emih_in!F29=0,0,SER_hh_emih_in!F29/SER_summary!F$27)</f>
        <v>1.2963595377918271</v>
      </c>
      <c r="G29" s="131">
        <f>IF(SER_hh_emih_in!G29=0,0,SER_hh_emih_in!G29/SER_summary!G$27)</f>
        <v>1.3822897748980296</v>
      </c>
      <c r="H29" s="131">
        <f>IF(SER_hh_emih_in!H29=0,0,SER_hh_emih_in!H29/SER_summary!H$27)</f>
        <v>1.2206001943454281</v>
      </c>
      <c r="I29" s="131">
        <f>IF(SER_hh_emih_in!I29=0,0,SER_hh_emih_in!I29/SER_summary!I$27)</f>
        <v>1.3795537002619012</v>
      </c>
      <c r="J29" s="131">
        <f>IF(SER_hh_emih_in!J29=0,0,SER_hh_emih_in!J29/SER_summary!J$27)</f>
        <v>1.4729119785251903</v>
      </c>
      <c r="K29" s="131">
        <f>IF(SER_hh_emih_in!K29=0,0,SER_hh_emih_in!K29/SER_summary!K$27)</f>
        <v>1.6771296395919466</v>
      </c>
      <c r="L29" s="131">
        <f>IF(SER_hh_emih_in!L29=0,0,SER_hh_emih_in!L29/SER_summary!L$27)</f>
        <v>1.6772692747025826</v>
      </c>
      <c r="M29" s="131">
        <f>IF(SER_hh_emih_in!M29=0,0,SER_hh_emih_in!M29/SER_summary!M$27)</f>
        <v>1.2947737094100349</v>
      </c>
      <c r="N29" s="131">
        <f>IF(SER_hh_emih_in!N29=0,0,SER_hh_emih_in!N29/SER_summary!N$27)</f>
        <v>1.3443287401654145</v>
      </c>
      <c r="O29" s="131">
        <f>IF(SER_hh_emih_in!O29=0,0,SER_hh_emih_in!O29/SER_summary!O$27)</f>
        <v>1.4663573746853114</v>
      </c>
      <c r="P29" s="131">
        <f>IF(SER_hh_emih_in!P29=0,0,SER_hh_emih_in!P29/SER_summary!P$27)</f>
        <v>1.4986428573026711</v>
      </c>
      <c r="Q29" s="131">
        <f>IF(SER_hh_emih_in!Q29=0,0,SER_hh_emih_in!Q29/SER_summary!Q$27)</f>
        <v>1.5990385709555128</v>
      </c>
      <c r="R29" s="131">
        <f>IF(SER_hh_emih_in!R29=0,0,SER_hh_emih_in!R29/SER_summary!R$27)</f>
        <v>2.0301267265760843</v>
      </c>
      <c r="S29" s="131">
        <f>IF(SER_hh_emih_in!S29=0,0,SER_hh_emih_in!S29/SER_summary!S$27)</f>
        <v>2.3782071907140225</v>
      </c>
      <c r="T29" s="131">
        <f>IF(SER_hh_emih_in!T29=0,0,SER_hh_emih_in!T29/SER_summary!T$27)</f>
        <v>1.6803325982665276</v>
      </c>
      <c r="U29" s="131">
        <f>IF(SER_hh_emih_in!U29=0,0,SER_hh_emih_in!U29/SER_summary!U$27)</f>
        <v>1.7821987649800983</v>
      </c>
      <c r="V29" s="131">
        <f>IF(SER_hh_emih_in!V29=0,0,SER_hh_emih_in!V29/SER_summary!V$27)</f>
        <v>1.3082154615525989</v>
      </c>
      <c r="W29" s="131">
        <f>IF(SER_hh_emih_in!W29=0,0,SER_hh_emih_in!W29/SER_summary!W$27)</f>
        <v>1.3983617362441774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2.9999649428199451</v>
      </c>
      <c r="D31" s="133">
        <f>IF(SER_hh_emih_in!D31=0,0,SER_hh_emih_in!D31/SER_summary!D$27)</f>
        <v>2.9476297886495506</v>
      </c>
      <c r="E31" s="133">
        <f>IF(SER_hh_emih_in!E31=0,0,SER_hh_emih_in!E31/SER_summary!E$27)</f>
        <v>2.8374136065160176</v>
      </c>
      <c r="F31" s="133">
        <f>IF(SER_hh_emih_in!F31=0,0,SER_hh_emih_in!F31/SER_summary!F$27)</f>
        <v>2.8906237523711016</v>
      </c>
      <c r="G31" s="133">
        <f>IF(SER_hh_emih_in!G31=0,0,SER_hh_emih_in!G31/SER_summary!G$27)</f>
        <v>2.8359630169490209</v>
      </c>
      <c r="H31" s="133">
        <f>IF(SER_hh_emih_in!H31=0,0,SER_hh_emih_in!H31/SER_summary!H$27)</f>
        <v>2.7864325343835037</v>
      </c>
      <c r="I31" s="133">
        <f>IF(SER_hh_emih_in!I31=0,0,SER_hh_emih_in!I31/SER_summary!I$27)</f>
        <v>2.7976306842045977</v>
      </c>
      <c r="J31" s="133">
        <f>IF(SER_hh_emih_in!J31=0,0,SER_hh_emih_in!J31/SER_summary!J$27)</f>
        <v>2.8495386062588413</v>
      </c>
      <c r="K31" s="133">
        <f>IF(SER_hh_emih_in!K31=0,0,SER_hh_emih_in!K31/SER_summary!K$27)</f>
        <v>3.1819848702418154</v>
      </c>
      <c r="L31" s="133">
        <f>IF(SER_hh_emih_in!L31=0,0,SER_hh_emih_in!L31/SER_summary!L$27)</f>
        <v>3.0782841759596606</v>
      </c>
      <c r="M31" s="133">
        <f>IF(SER_hh_emih_in!M31=0,0,SER_hh_emih_in!M31/SER_summary!M$27)</f>
        <v>3.1115391798519725</v>
      </c>
      <c r="N31" s="133">
        <f>IF(SER_hh_emih_in!N31=0,0,SER_hh_emih_in!N31/SER_summary!N$27)</f>
        <v>3.1393267229151358</v>
      </c>
      <c r="O31" s="133">
        <f>IF(SER_hh_emih_in!O31=0,0,SER_hh_emih_in!O31/SER_summary!O$27)</f>
        <v>3.1644116617566795</v>
      </c>
      <c r="P31" s="133">
        <f>IF(SER_hh_emih_in!P31=0,0,SER_hh_emih_in!P31/SER_summary!P$27)</f>
        <v>3.1840085495625683</v>
      </c>
      <c r="Q31" s="133">
        <f>IF(SER_hh_emih_in!Q31=0,0,SER_hh_emih_in!Q31/SER_summary!Q$27)</f>
        <v>3.0888539537506614</v>
      </c>
      <c r="R31" s="133">
        <f>IF(SER_hh_emih_in!R31=0,0,SER_hh_emih_in!R31/SER_summary!R$27)</f>
        <v>3.1686226159698991</v>
      </c>
      <c r="S31" s="133">
        <f>IF(SER_hh_emih_in!S31=0,0,SER_hh_emih_in!S31/SER_summary!S$27)</f>
        <v>3.3873828385921758</v>
      </c>
      <c r="T31" s="133">
        <f>IF(SER_hh_emih_in!T31=0,0,SER_hh_emih_in!T31/SER_summary!T$27)</f>
        <v>3.0937676596848087</v>
      </c>
      <c r="U31" s="133">
        <f>IF(SER_hh_emih_in!U31=0,0,SER_hh_emih_in!U31/SER_summary!U$27)</f>
        <v>3.2475421938958209</v>
      </c>
      <c r="V31" s="133">
        <f>IF(SER_hh_emih_in!V31=0,0,SER_hh_emih_in!V31/SER_summary!V$27)</f>
        <v>2.9548636797697152</v>
      </c>
      <c r="W31" s="133">
        <f>IF(SER_hh_emih_in!W31=0,0,SER_hh_emih_in!W31/SER_summary!W$27)</f>
        <v>2.8683073914767991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423.71871069193611</v>
      </c>
      <c r="C3" s="180">
        <f t="shared" ref="C3:W3" si="1">SUM(C4:C9)</f>
        <v>440.30396622778204</v>
      </c>
      <c r="D3" s="180">
        <f t="shared" si="1"/>
        <v>457.45045299523252</v>
      </c>
      <c r="E3" s="180">
        <f t="shared" si="1"/>
        <v>478.79812207129629</v>
      </c>
      <c r="F3" s="180">
        <f t="shared" si="1"/>
        <v>501.24209318358169</v>
      </c>
      <c r="G3" s="180">
        <f t="shared" si="1"/>
        <v>528.33787306390923</v>
      </c>
      <c r="H3" s="180">
        <f t="shared" si="1"/>
        <v>553.85257656316548</v>
      </c>
      <c r="I3" s="180">
        <f t="shared" si="1"/>
        <v>578.34629567486309</v>
      </c>
      <c r="J3" s="180">
        <f t="shared" si="1"/>
        <v>597.98404284884748</v>
      </c>
      <c r="K3" s="180">
        <f t="shared" si="1"/>
        <v>602.94580830409643</v>
      </c>
      <c r="L3" s="180">
        <f t="shared" si="1"/>
        <v>618.50907321768227</v>
      </c>
      <c r="M3" s="180">
        <f t="shared" si="1"/>
        <v>627.32012303896647</v>
      </c>
      <c r="N3" s="180">
        <f t="shared" si="1"/>
        <v>635.68821327738624</v>
      </c>
      <c r="O3" s="180">
        <f t="shared" si="1"/>
        <v>645.0712695253286</v>
      </c>
      <c r="P3" s="180">
        <f t="shared" si="1"/>
        <v>656.67793455564504</v>
      </c>
      <c r="Q3" s="180">
        <f t="shared" si="1"/>
        <v>682.00941461723141</v>
      </c>
      <c r="R3" s="180">
        <f t="shared" si="1"/>
        <v>689.6993606484657</v>
      </c>
      <c r="S3" s="180">
        <f t="shared" si="1"/>
        <v>702.30700793783262</v>
      </c>
      <c r="T3" s="180">
        <f t="shared" si="1"/>
        <v>698.67178619594506</v>
      </c>
      <c r="U3" s="180">
        <f t="shared" si="1"/>
        <v>689.25994825066141</v>
      </c>
      <c r="V3" s="180">
        <f t="shared" si="1"/>
        <v>655.61349168892229</v>
      </c>
      <c r="W3" s="180">
        <f t="shared" si="1"/>
        <v>636.58257558987975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26.330371425865206</v>
      </c>
      <c r="C4" s="181">
        <f t="shared" ref="C4:R9" si="3">C12*C44/11630</f>
        <v>26.991796726276849</v>
      </c>
      <c r="D4" s="181">
        <f t="shared" si="3"/>
        <v>27.652786059746834</v>
      </c>
      <c r="E4" s="181">
        <f t="shared" si="3"/>
        <v>28.588699643901538</v>
      </c>
      <c r="F4" s="181">
        <f t="shared" si="3"/>
        <v>29.71639830441314</v>
      </c>
      <c r="G4" s="181">
        <f t="shared" si="3"/>
        <v>31.255243695084985</v>
      </c>
      <c r="H4" s="181">
        <f t="shared" si="3"/>
        <v>32.688902489939544</v>
      </c>
      <c r="I4" s="181">
        <f t="shared" si="3"/>
        <v>34.126386846679345</v>
      </c>
      <c r="J4" s="181">
        <f t="shared" si="3"/>
        <v>35.667998767129923</v>
      </c>
      <c r="K4" s="181">
        <f t="shared" si="3"/>
        <v>35.786734556572</v>
      </c>
      <c r="L4" s="181">
        <f t="shared" si="3"/>
        <v>36.90015912201936</v>
      </c>
      <c r="M4" s="181">
        <f t="shared" si="3"/>
        <v>37.996846832084636</v>
      </c>
      <c r="N4" s="181">
        <f t="shared" si="3"/>
        <v>38.765592046471831</v>
      </c>
      <c r="O4" s="181">
        <f t="shared" si="3"/>
        <v>39.483576950774967</v>
      </c>
      <c r="P4" s="181">
        <f t="shared" si="3"/>
        <v>40.478327950644712</v>
      </c>
      <c r="Q4" s="181">
        <f t="shared" si="3"/>
        <v>41.690062760202451</v>
      </c>
      <c r="R4" s="181">
        <f t="shared" si="3"/>
        <v>42.370379180259981</v>
      </c>
      <c r="S4" s="181">
        <f t="shared" ref="D4:W9" si="4">S12*S44/11630</f>
        <v>43.229016753092147</v>
      </c>
      <c r="T4" s="181">
        <f t="shared" si="4"/>
        <v>43.987548958905535</v>
      </c>
      <c r="U4" s="181">
        <f t="shared" si="4"/>
        <v>44.862937146278355</v>
      </c>
      <c r="V4" s="181">
        <f t="shared" si="4"/>
        <v>45.665603015393117</v>
      </c>
      <c r="W4" s="181">
        <f t="shared" si="4"/>
        <v>46.325666154092545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45.610036142955238</v>
      </c>
      <c r="C5" s="181">
        <f t="shared" si="3"/>
        <v>46.358849688669586</v>
      </c>
      <c r="D5" s="181">
        <f t="shared" si="4"/>
        <v>47.2331980310137</v>
      </c>
      <c r="E5" s="181">
        <f t="shared" si="4"/>
        <v>48.062613989731638</v>
      </c>
      <c r="F5" s="181">
        <f t="shared" si="4"/>
        <v>49.207467434939552</v>
      </c>
      <c r="G5" s="181">
        <f t="shared" si="4"/>
        <v>50.845883505483243</v>
      </c>
      <c r="H5" s="181">
        <f t="shared" si="4"/>
        <v>52.16386352775131</v>
      </c>
      <c r="I5" s="181">
        <f t="shared" si="4"/>
        <v>53.735941151574238</v>
      </c>
      <c r="J5" s="181">
        <f t="shared" si="4"/>
        <v>55.382114319508794</v>
      </c>
      <c r="K5" s="181">
        <f t="shared" si="4"/>
        <v>56.86970670617162</v>
      </c>
      <c r="L5" s="181">
        <f t="shared" si="4"/>
        <v>57.699062568309181</v>
      </c>
      <c r="M5" s="181">
        <f t="shared" si="4"/>
        <v>58.477249807903647</v>
      </c>
      <c r="N5" s="181">
        <f t="shared" si="4"/>
        <v>59.296180826816681</v>
      </c>
      <c r="O5" s="181">
        <f t="shared" si="4"/>
        <v>60.392488930330991</v>
      </c>
      <c r="P5" s="181">
        <f t="shared" si="4"/>
        <v>61.398146849598113</v>
      </c>
      <c r="Q5" s="181">
        <f t="shared" si="4"/>
        <v>62.989749830390423</v>
      </c>
      <c r="R5" s="181">
        <f t="shared" si="4"/>
        <v>63.675296149448499</v>
      </c>
      <c r="S5" s="181">
        <f t="shared" si="4"/>
        <v>64.49508862195519</v>
      </c>
      <c r="T5" s="181">
        <f t="shared" si="4"/>
        <v>63.746055851160875</v>
      </c>
      <c r="U5" s="181">
        <f t="shared" si="4"/>
        <v>62.04918192103645</v>
      </c>
      <c r="V5" s="181">
        <f t="shared" si="4"/>
        <v>60.522744410640463</v>
      </c>
      <c r="W5" s="181">
        <f t="shared" si="4"/>
        <v>59.126821366769903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206.44329602216385</v>
      </c>
      <c r="C6" s="181">
        <f t="shared" si="3"/>
        <v>210.74561243699287</v>
      </c>
      <c r="D6" s="181">
        <f t="shared" si="4"/>
        <v>214.55113325234217</v>
      </c>
      <c r="E6" s="181">
        <f t="shared" si="4"/>
        <v>218.60984167873681</v>
      </c>
      <c r="F6" s="181">
        <f t="shared" si="4"/>
        <v>223.81667697765181</v>
      </c>
      <c r="G6" s="181">
        <f t="shared" si="4"/>
        <v>230.60873903383282</v>
      </c>
      <c r="H6" s="181">
        <f t="shared" si="4"/>
        <v>237.28819109102858</v>
      </c>
      <c r="I6" s="181">
        <f t="shared" si="4"/>
        <v>243.71766058535016</v>
      </c>
      <c r="J6" s="181">
        <f t="shared" si="4"/>
        <v>250.13195192387823</v>
      </c>
      <c r="K6" s="181">
        <f t="shared" si="4"/>
        <v>247.74162034686233</v>
      </c>
      <c r="L6" s="181">
        <f t="shared" si="4"/>
        <v>254.31661258462046</v>
      </c>
      <c r="M6" s="181">
        <f t="shared" si="4"/>
        <v>257.30604962243848</v>
      </c>
      <c r="N6" s="181">
        <f t="shared" si="4"/>
        <v>259.24889445899163</v>
      </c>
      <c r="O6" s="181">
        <f t="shared" si="4"/>
        <v>260.0292326179532</v>
      </c>
      <c r="P6" s="181">
        <f t="shared" si="4"/>
        <v>263.67940326587274</v>
      </c>
      <c r="Q6" s="181">
        <f t="shared" si="4"/>
        <v>272.36997984615562</v>
      </c>
      <c r="R6" s="181">
        <f t="shared" si="4"/>
        <v>270.473827389024</v>
      </c>
      <c r="S6" s="181">
        <f t="shared" si="4"/>
        <v>270.42327613419707</v>
      </c>
      <c r="T6" s="181">
        <f t="shared" si="4"/>
        <v>261.54376106565172</v>
      </c>
      <c r="U6" s="181">
        <f t="shared" si="4"/>
        <v>249.96697653890377</v>
      </c>
      <c r="V6" s="181">
        <f t="shared" si="4"/>
        <v>226.34070648753587</v>
      </c>
      <c r="W6" s="181">
        <f t="shared" si="4"/>
        <v>211.64103347298519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68.085548591826523</v>
      </c>
      <c r="C7" s="181">
        <f t="shared" si="3"/>
        <v>69.840197823396736</v>
      </c>
      <c r="D7" s="181">
        <f t="shared" si="4"/>
        <v>71.561240471901542</v>
      </c>
      <c r="E7" s="181">
        <f t="shared" si="4"/>
        <v>73.858181753458197</v>
      </c>
      <c r="F7" s="181">
        <f t="shared" si="4"/>
        <v>76.425290879127601</v>
      </c>
      <c r="G7" s="181">
        <f t="shared" si="4"/>
        <v>79.423103016819155</v>
      </c>
      <c r="H7" s="181">
        <f t="shared" si="4"/>
        <v>81.324339329713638</v>
      </c>
      <c r="I7" s="181">
        <f t="shared" si="4"/>
        <v>83.112584439134309</v>
      </c>
      <c r="J7" s="181">
        <f t="shared" si="4"/>
        <v>84.980436973312251</v>
      </c>
      <c r="K7" s="181">
        <f t="shared" si="4"/>
        <v>86.72170986955237</v>
      </c>
      <c r="L7" s="181">
        <f t="shared" si="4"/>
        <v>87.50369295548235</v>
      </c>
      <c r="M7" s="181">
        <f t="shared" si="4"/>
        <v>87.769003040183776</v>
      </c>
      <c r="N7" s="181">
        <f t="shared" si="4"/>
        <v>88.18605188976673</v>
      </c>
      <c r="O7" s="181">
        <f t="shared" si="4"/>
        <v>88.767814489655976</v>
      </c>
      <c r="P7" s="181">
        <f t="shared" si="4"/>
        <v>89.465981212715505</v>
      </c>
      <c r="Q7" s="181">
        <f t="shared" si="4"/>
        <v>88.996500543148002</v>
      </c>
      <c r="R7" s="181">
        <f t="shared" si="4"/>
        <v>89.028757914611546</v>
      </c>
      <c r="S7" s="181">
        <f t="shared" si="4"/>
        <v>90.013556940229051</v>
      </c>
      <c r="T7" s="181">
        <f t="shared" si="4"/>
        <v>90.842390750201787</v>
      </c>
      <c r="U7" s="181">
        <f t="shared" si="4"/>
        <v>91.496255052198705</v>
      </c>
      <c r="V7" s="181">
        <f t="shared" si="4"/>
        <v>92.171755871851289</v>
      </c>
      <c r="W7" s="181">
        <f t="shared" si="4"/>
        <v>92.689897109574261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41.376064567311815</v>
      </c>
      <c r="C8" s="55">
        <f t="shared" si="3"/>
        <v>44.774589369200626</v>
      </c>
      <c r="D8" s="55">
        <f t="shared" si="4"/>
        <v>47.957046784346609</v>
      </c>
      <c r="E8" s="55">
        <f t="shared" si="4"/>
        <v>51.834294737787033</v>
      </c>
      <c r="F8" s="55">
        <f t="shared" si="4"/>
        <v>56.280675863220686</v>
      </c>
      <c r="G8" s="55">
        <f t="shared" si="4"/>
        <v>62.198748091084198</v>
      </c>
      <c r="H8" s="55">
        <f t="shared" si="4"/>
        <v>68.357339053436846</v>
      </c>
      <c r="I8" s="55">
        <f t="shared" si="4"/>
        <v>72.579811522314074</v>
      </c>
      <c r="J8" s="55">
        <f t="shared" si="4"/>
        <v>76.744369772799502</v>
      </c>
      <c r="K8" s="55">
        <f t="shared" si="4"/>
        <v>77.365645197474379</v>
      </c>
      <c r="L8" s="55">
        <f t="shared" si="4"/>
        <v>80.676803340147032</v>
      </c>
      <c r="M8" s="55">
        <f t="shared" si="4"/>
        <v>81.459021911795077</v>
      </c>
      <c r="N8" s="55">
        <f t="shared" si="4"/>
        <v>83.249929751890988</v>
      </c>
      <c r="O8" s="55">
        <f t="shared" si="4"/>
        <v>84.291239358172419</v>
      </c>
      <c r="P8" s="55">
        <f t="shared" si="4"/>
        <v>85.29382643550862</v>
      </c>
      <c r="Q8" s="55">
        <f t="shared" si="4"/>
        <v>87.529124667957461</v>
      </c>
      <c r="R8" s="55">
        <f t="shared" si="4"/>
        <v>92.10929410896388</v>
      </c>
      <c r="S8" s="55">
        <f t="shared" si="4"/>
        <v>95.710575759831968</v>
      </c>
      <c r="T8" s="55">
        <f t="shared" si="4"/>
        <v>97.400814349521241</v>
      </c>
      <c r="U8" s="55">
        <f t="shared" si="4"/>
        <v>97.701516915429551</v>
      </c>
      <c r="V8" s="55">
        <f t="shared" si="4"/>
        <v>93.334045418920539</v>
      </c>
      <c r="W8" s="55">
        <f t="shared" si="4"/>
        <v>92.45005325588771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35.87339394181349</v>
      </c>
      <c r="C9" s="63">
        <f t="shared" si="3"/>
        <v>41.592920183245376</v>
      </c>
      <c r="D9" s="63">
        <f t="shared" si="4"/>
        <v>48.495048395881625</v>
      </c>
      <c r="E9" s="63">
        <f t="shared" si="4"/>
        <v>57.844490267681053</v>
      </c>
      <c r="F9" s="63">
        <f t="shared" si="4"/>
        <v>65.795583724228933</v>
      </c>
      <c r="G9" s="63">
        <f t="shared" si="4"/>
        <v>74.006155721604827</v>
      </c>
      <c r="H9" s="63">
        <f t="shared" si="4"/>
        <v>82.02994107129561</v>
      </c>
      <c r="I9" s="63">
        <f t="shared" si="4"/>
        <v>91.073911129811009</v>
      </c>
      <c r="J9" s="63">
        <f t="shared" si="4"/>
        <v>95.077171092218776</v>
      </c>
      <c r="K9" s="63">
        <f t="shared" si="4"/>
        <v>98.460391627463807</v>
      </c>
      <c r="L9" s="63">
        <f t="shared" si="4"/>
        <v>101.41274264710387</v>
      </c>
      <c r="M9" s="63">
        <f t="shared" si="4"/>
        <v>104.31195182456092</v>
      </c>
      <c r="N9" s="63">
        <f t="shared" si="4"/>
        <v>106.94156430344836</v>
      </c>
      <c r="O9" s="63">
        <f t="shared" si="4"/>
        <v>112.10691717844107</v>
      </c>
      <c r="P9" s="63">
        <f t="shared" si="4"/>
        <v>116.36224884130534</v>
      </c>
      <c r="Q9" s="63">
        <f t="shared" si="4"/>
        <v>128.43399696937746</v>
      </c>
      <c r="R9" s="63">
        <f t="shared" si="4"/>
        <v>132.04180590615766</v>
      </c>
      <c r="S9" s="63">
        <f t="shared" si="4"/>
        <v>138.43549372852721</v>
      </c>
      <c r="T9" s="63">
        <f t="shared" si="4"/>
        <v>141.15121522050387</v>
      </c>
      <c r="U9" s="63">
        <f t="shared" si="4"/>
        <v>143.1830806768146</v>
      </c>
      <c r="V9" s="63">
        <f t="shared" si="4"/>
        <v>137.57863648458101</v>
      </c>
      <c r="W9" s="63">
        <f t="shared" si="4"/>
        <v>134.34910423057013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2221.882339538749</v>
      </c>
      <c r="C11" s="180">
        <f t="shared" ref="C11:W11" si="6">SUM(C12:C17)</f>
        <v>2327.3406936405349</v>
      </c>
      <c r="D11" s="180">
        <f t="shared" si="6"/>
        <v>2433.4596484868998</v>
      </c>
      <c r="E11" s="180">
        <f t="shared" si="6"/>
        <v>2566.8893343445011</v>
      </c>
      <c r="F11" s="180">
        <f t="shared" si="6"/>
        <v>2702.5933362177238</v>
      </c>
      <c r="G11" s="180">
        <f t="shared" si="6"/>
        <v>2869.0729438070384</v>
      </c>
      <c r="H11" s="180">
        <f t="shared" si="6"/>
        <v>3034.231131080151</v>
      </c>
      <c r="I11" s="180">
        <f t="shared" si="6"/>
        <v>3174.9189729758627</v>
      </c>
      <c r="J11" s="180">
        <f t="shared" si="6"/>
        <v>3288.1927831903431</v>
      </c>
      <c r="K11" s="180">
        <f t="shared" si="6"/>
        <v>3303.0938112751496</v>
      </c>
      <c r="L11" s="180">
        <f t="shared" si="6"/>
        <v>3393.0201964217968</v>
      </c>
      <c r="M11" s="180">
        <f t="shared" si="6"/>
        <v>3426.73201029339</v>
      </c>
      <c r="N11" s="180">
        <f t="shared" si="6"/>
        <v>3471.0663651921432</v>
      </c>
      <c r="O11" s="180">
        <f t="shared" si="6"/>
        <v>3514.9922824757923</v>
      </c>
      <c r="P11" s="180">
        <f t="shared" si="6"/>
        <v>3566.5222552340961</v>
      </c>
      <c r="Q11" s="180">
        <f t="shared" si="6"/>
        <v>3704.7873595600749</v>
      </c>
      <c r="R11" s="180">
        <f t="shared" si="6"/>
        <v>3733.9109079507061</v>
      </c>
      <c r="S11" s="180">
        <f t="shared" si="6"/>
        <v>3765.3329343738515</v>
      </c>
      <c r="T11" s="180">
        <f t="shared" si="6"/>
        <v>3765.1452290326151</v>
      </c>
      <c r="U11" s="180">
        <f t="shared" si="6"/>
        <v>3751.9821358739187</v>
      </c>
      <c r="V11" s="180">
        <f t="shared" si="6"/>
        <v>3688.1078750791344</v>
      </c>
      <c r="W11" s="180">
        <f t="shared" si="6"/>
        <v>3599.169830187056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34.95687439301512</v>
      </c>
      <c r="C12" s="181">
        <f t="shared" ref="C12:W12" si="7">C20*C52</f>
        <v>35.834999534999973</v>
      </c>
      <c r="D12" s="181">
        <f t="shared" si="7"/>
        <v>36.712545876125091</v>
      </c>
      <c r="E12" s="181">
        <f t="shared" si="7"/>
        <v>37.955088682485723</v>
      </c>
      <c r="F12" s="181">
        <f t="shared" si="7"/>
        <v>39.452250260311061</v>
      </c>
      <c r="G12" s="181">
        <f t="shared" si="7"/>
        <v>41.49526075043817</v>
      </c>
      <c r="H12" s="181">
        <f t="shared" si="7"/>
        <v>43.398622826255355</v>
      </c>
      <c r="I12" s="181">
        <f t="shared" si="7"/>
        <v>45.30706381585393</v>
      </c>
      <c r="J12" s="181">
        <f t="shared" si="7"/>
        <v>47.353747221657649</v>
      </c>
      <c r="K12" s="181">
        <f t="shared" si="7"/>
        <v>47.511383891887256</v>
      </c>
      <c r="L12" s="181">
        <f t="shared" si="7"/>
        <v>48.989594816105608</v>
      </c>
      <c r="M12" s="181">
        <f t="shared" si="7"/>
        <v>50.445585463144312</v>
      </c>
      <c r="N12" s="181">
        <f t="shared" si="7"/>
        <v>51.466191267176633</v>
      </c>
      <c r="O12" s="181">
        <f t="shared" si="7"/>
        <v>52.419406385560826</v>
      </c>
      <c r="P12" s="181">
        <f t="shared" si="7"/>
        <v>53.740063249543155</v>
      </c>
      <c r="Q12" s="181">
        <f t="shared" si="7"/>
        <v>55.348793367711728</v>
      </c>
      <c r="R12" s="181">
        <f t="shared" si="7"/>
        <v>56.25199884319909</v>
      </c>
      <c r="S12" s="181">
        <f t="shared" si="7"/>
        <v>57.391948040920319</v>
      </c>
      <c r="T12" s="181">
        <f t="shared" si="7"/>
        <v>58.398994793615479</v>
      </c>
      <c r="U12" s="181">
        <f t="shared" si="7"/>
        <v>59.561182535527102</v>
      </c>
      <c r="V12" s="181">
        <f t="shared" si="7"/>
        <v>60.626822268153212</v>
      </c>
      <c r="W12" s="181">
        <f t="shared" si="7"/>
        <v>61.503138969417421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135.30665828115784</v>
      </c>
      <c r="C13" s="181">
        <f t="shared" ref="C13:W13" si="8">C21*C53/1000</f>
        <v>137.35036246010313</v>
      </c>
      <c r="D13" s="181">
        <f t="shared" si="8"/>
        <v>139.77966261420633</v>
      </c>
      <c r="E13" s="181">
        <f t="shared" si="8"/>
        <v>142.05219708408839</v>
      </c>
      <c r="F13" s="181">
        <f t="shared" si="8"/>
        <v>145.27258683609386</v>
      </c>
      <c r="G13" s="181">
        <f t="shared" si="8"/>
        <v>149.86319055731036</v>
      </c>
      <c r="H13" s="181">
        <f t="shared" si="8"/>
        <v>153.53623866068199</v>
      </c>
      <c r="I13" s="181">
        <f t="shared" si="8"/>
        <v>158.15768484555301</v>
      </c>
      <c r="J13" s="181">
        <f t="shared" si="8"/>
        <v>163.19365489049156</v>
      </c>
      <c r="K13" s="181">
        <f t="shared" si="8"/>
        <v>167.75387850372039</v>
      </c>
      <c r="L13" s="181">
        <f t="shared" si="8"/>
        <v>170.35044236259665</v>
      </c>
      <c r="M13" s="181">
        <f t="shared" si="8"/>
        <v>173.10997241908581</v>
      </c>
      <c r="N13" s="181">
        <f t="shared" si="8"/>
        <v>176.42392658982422</v>
      </c>
      <c r="O13" s="181">
        <f t="shared" si="8"/>
        <v>180.73677988187742</v>
      </c>
      <c r="P13" s="181">
        <f t="shared" si="8"/>
        <v>184.66695292196965</v>
      </c>
      <c r="Q13" s="181">
        <f t="shared" si="8"/>
        <v>190.91899038370784</v>
      </c>
      <c r="R13" s="181">
        <f t="shared" si="8"/>
        <v>191.38429098024781</v>
      </c>
      <c r="S13" s="181">
        <f t="shared" si="8"/>
        <v>191.61769627913665</v>
      </c>
      <c r="T13" s="181">
        <f t="shared" si="8"/>
        <v>190.46432912256341</v>
      </c>
      <c r="U13" s="181">
        <f t="shared" si="8"/>
        <v>187.59126394635481</v>
      </c>
      <c r="V13" s="181">
        <f t="shared" si="8"/>
        <v>183.40001452130113</v>
      </c>
      <c r="W13" s="181">
        <f t="shared" si="8"/>
        <v>178.65201296675824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1075.9632765987435</v>
      </c>
      <c r="C14" s="181">
        <f t="shared" ref="C14:W14" si="9">C22*C54</f>
        <v>1089.819062749476</v>
      </c>
      <c r="D14" s="181">
        <f t="shared" si="9"/>
        <v>1102.2952171491399</v>
      </c>
      <c r="E14" s="181">
        <f t="shared" si="9"/>
        <v>1115.3646050624307</v>
      </c>
      <c r="F14" s="181">
        <f t="shared" si="9"/>
        <v>1132.3231450503431</v>
      </c>
      <c r="G14" s="181">
        <f t="shared" si="9"/>
        <v>1155.1388058850873</v>
      </c>
      <c r="H14" s="181">
        <f t="shared" si="9"/>
        <v>1178.8122754503502</v>
      </c>
      <c r="I14" s="181">
        <f t="shared" si="9"/>
        <v>1200.8640885107286</v>
      </c>
      <c r="J14" s="181">
        <f t="shared" si="9"/>
        <v>1227.2117751138969</v>
      </c>
      <c r="K14" s="181">
        <f t="shared" si="9"/>
        <v>1211.4328063546168</v>
      </c>
      <c r="L14" s="181">
        <f t="shared" si="9"/>
        <v>1239.5266611098932</v>
      </c>
      <c r="M14" s="181">
        <f t="shared" si="9"/>
        <v>1248.2197839748051</v>
      </c>
      <c r="N14" s="181">
        <f t="shared" si="9"/>
        <v>1252.8528497348377</v>
      </c>
      <c r="O14" s="181">
        <f t="shared" si="9"/>
        <v>1251.5516755611659</v>
      </c>
      <c r="P14" s="181">
        <f t="shared" si="9"/>
        <v>1264.5271828649684</v>
      </c>
      <c r="Q14" s="181">
        <f t="shared" si="9"/>
        <v>1299.6115048033641</v>
      </c>
      <c r="R14" s="181">
        <f t="shared" si="9"/>
        <v>1274.3910492448545</v>
      </c>
      <c r="S14" s="181">
        <f t="shared" si="9"/>
        <v>1251.5887971909992</v>
      </c>
      <c r="T14" s="181">
        <f t="shared" si="9"/>
        <v>1215.7049914808761</v>
      </c>
      <c r="U14" s="181">
        <f t="shared" si="9"/>
        <v>1176.0685083600608</v>
      </c>
      <c r="V14" s="181">
        <f t="shared" si="9"/>
        <v>1118.4811103864859</v>
      </c>
      <c r="W14" s="181">
        <f t="shared" si="9"/>
        <v>1052.7293277132724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90.392115310838179</v>
      </c>
      <c r="C15" s="181">
        <f t="shared" ref="C15:W15" si="10">C23*C55/1000</f>
        <v>92.721632498413712</v>
      </c>
      <c r="D15" s="181">
        <f t="shared" si="10"/>
        <v>95.006532726965176</v>
      </c>
      <c r="E15" s="181">
        <f t="shared" si="10"/>
        <v>98.056010706931403</v>
      </c>
      <c r="F15" s="181">
        <f t="shared" si="10"/>
        <v>101.46417042514318</v>
      </c>
      <c r="G15" s="181">
        <f t="shared" si="10"/>
        <v>105.44414247552589</v>
      </c>
      <c r="H15" s="181">
        <f t="shared" si="10"/>
        <v>107.96827242061292</v>
      </c>
      <c r="I15" s="181">
        <f t="shared" si="10"/>
        <v>110.34239235469546</v>
      </c>
      <c r="J15" s="181">
        <f t="shared" si="10"/>
        <v>112.82220114150928</v>
      </c>
      <c r="K15" s="181">
        <f t="shared" si="10"/>
        <v>115.13395956425724</v>
      </c>
      <c r="L15" s="181">
        <f t="shared" si="10"/>
        <v>116.17214030505251</v>
      </c>
      <c r="M15" s="181">
        <f t="shared" si="10"/>
        <v>116.5243727576869</v>
      </c>
      <c r="N15" s="181">
        <f t="shared" si="10"/>
        <v>117.07805747465608</v>
      </c>
      <c r="O15" s="181">
        <f t="shared" si="10"/>
        <v>117.8504203783903</v>
      </c>
      <c r="P15" s="181">
        <f t="shared" si="10"/>
        <v>118.77732437258919</v>
      </c>
      <c r="Q15" s="181">
        <f t="shared" si="10"/>
        <v>118.15402983068621</v>
      </c>
      <c r="R15" s="181">
        <f t="shared" si="10"/>
        <v>118.19685554188733</v>
      </c>
      <c r="S15" s="181">
        <f t="shared" si="10"/>
        <v>119.50429991037262</v>
      </c>
      <c r="T15" s="181">
        <f t="shared" si="10"/>
        <v>120.60468087041632</v>
      </c>
      <c r="U15" s="181">
        <f t="shared" si="10"/>
        <v>121.47276783756516</v>
      </c>
      <c r="V15" s="181">
        <f t="shared" si="10"/>
        <v>122.36957999881628</v>
      </c>
      <c r="W15" s="181">
        <f t="shared" si="10"/>
        <v>123.05747755529094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624.42909173163878</v>
      </c>
      <c r="C16" s="55">
        <f t="shared" ref="C16:W16" si="11">C24*C56</f>
        <v>672.50563047557171</v>
      </c>
      <c r="D16" s="55">
        <f t="shared" si="11"/>
        <v>717.17859047760737</v>
      </c>
      <c r="E16" s="55">
        <f t="shared" si="11"/>
        <v>772.06519312798514</v>
      </c>
      <c r="F16" s="55">
        <f t="shared" si="11"/>
        <v>835.19300783562664</v>
      </c>
      <c r="G16" s="55">
        <f t="shared" si="11"/>
        <v>919.83732425723394</v>
      </c>
      <c r="H16" s="55">
        <f t="shared" si="11"/>
        <v>1007.6578600912489</v>
      </c>
      <c r="I16" s="55">
        <f t="shared" si="11"/>
        <v>1066.6632621351355</v>
      </c>
      <c r="J16" s="55">
        <f t="shared" si="11"/>
        <v>1124.6485979723159</v>
      </c>
      <c r="K16" s="55">
        <f t="shared" si="11"/>
        <v>1130.6922595680662</v>
      </c>
      <c r="L16" s="55">
        <f t="shared" si="11"/>
        <v>1176.0644692796257</v>
      </c>
      <c r="M16" s="55">
        <f t="shared" si="11"/>
        <v>1185.5375901909861</v>
      </c>
      <c r="N16" s="55">
        <f t="shared" si="11"/>
        <v>1209.7247531544956</v>
      </c>
      <c r="O16" s="55">
        <f t="shared" si="11"/>
        <v>1223.0427167606324</v>
      </c>
      <c r="P16" s="55">
        <f t="shared" si="11"/>
        <v>1235.8355127450973</v>
      </c>
      <c r="Q16" s="55">
        <f t="shared" si="11"/>
        <v>1266.4985567557017</v>
      </c>
      <c r="R16" s="55">
        <f t="shared" si="11"/>
        <v>1315.5652798109452</v>
      </c>
      <c r="S16" s="55">
        <f t="shared" si="11"/>
        <v>1349.2393020013376</v>
      </c>
      <c r="T16" s="55">
        <f t="shared" si="11"/>
        <v>1374.500947965365</v>
      </c>
      <c r="U16" s="55">
        <f t="shared" si="11"/>
        <v>1392.2994881907357</v>
      </c>
      <c r="V16" s="55">
        <f t="shared" si="11"/>
        <v>1396.9711906783477</v>
      </c>
      <c r="W16" s="55">
        <f t="shared" si="11"/>
        <v>1392.8533311637605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260.8343232233554</v>
      </c>
      <c r="C17" s="63">
        <f t="shared" ref="C17:W17" si="12">C25*C57/1000</f>
        <v>299.10900592197032</v>
      </c>
      <c r="D17" s="63">
        <f t="shared" si="12"/>
        <v>342.48709964285598</v>
      </c>
      <c r="E17" s="63">
        <f t="shared" si="12"/>
        <v>401.3962396805797</v>
      </c>
      <c r="F17" s="63">
        <f t="shared" si="12"/>
        <v>448.88817581020618</v>
      </c>
      <c r="G17" s="63">
        <f t="shared" si="12"/>
        <v>497.29421988144247</v>
      </c>
      <c r="H17" s="63">
        <f t="shared" si="12"/>
        <v>542.85786163100181</v>
      </c>
      <c r="I17" s="63">
        <f t="shared" si="12"/>
        <v>593.58448131389639</v>
      </c>
      <c r="J17" s="63">
        <f t="shared" si="12"/>
        <v>612.96280685047145</v>
      </c>
      <c r="K17" s="63">
        <f t="shared" si="12"/>
        <v>630.56952339260158</v>
      </c>
      <c r="L17" s="63">
        <f t="shared" si="12"/>
        <v>641.9168885485235</v>
      </c>
      <c r="M17" s="63">
        <f t="shared" si="12"/>
        <v>652.89470548768179</v>
      </c>
      <c r="N17" s="63">
        <f t="shared" si="12"/>
        <v>663.52058697115251</v>
      </c>
      <c r="O17" s="63">
        <f t="shared" si="12"/>
        <v>689.39128350816566</v>
      </c>
      <c r="P17" s="63">
        <f t="shared" si="12"/>
        <v>708.97521907992859</v>
      </c>
      <c r="Q17" s="63">
        <f t="shared" si="12"/>
        <v>774.25548441890362</v>
      </c>
      <c r="R17" s="63">
        <f t="shared" si="12"/>
        <v>778.12143352957196</v>
      </c>
      <c r="S17" s="63">
        <f t="shared" si="12"/>
        <v>795.99089095108491</v>
      </c>
      <c r="T17" s="63">
        <f t="shared" si="12"/>
        <v>805.4712847997788</v>
      </c>
      <c r="U17" s="63">
        <f t="shared" si="12"/>
        <v>814.98892500367504</v>
      </c>
      <c r="V17" s="63">
        <f t="shared" si="12"/>
        <v>806.2591572260302</v>
      </c>
      <c r="W17" s="63">
        <f t="shared" si="12"/>
        <v>790.37454181855662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47.040942348418106</v>
      </c>
      <c r="C20" s="182">
        <v>48.613181694454745</v>
      </c>
      <c r="D20" s="182">
        <v>50.241017698516991</v>
      </c>
      <c r="E20" s="182">
        <v>52.482358201267623</v>
      </c>
      <c r="F20" s="182">
        <v>55.201044180228394</v>
      </c>
      <c r="G20" s="182">
        <v>58.871020746697475</v>
      </c>
      <c r="H20" s="182">
        <v>62.423440164983234</v>
      </c>
      <c r="I20" s="182">
        <v>66.094261550228211</v>
      </c>
      <c r="J20" s="182">
        <v>70.116025373327261</v>
      </c>
      <c r="K20" s="182">
        <v>71.054913181480842</v>
      </c>
      <c r="L20" s="182">
        <v>74.369812394441254</v>
      </c>
      <c r="M20" s="182">
        <v>77.792160817823842</v>
      </c>
      <c r="N20" s="182">
        <v>80.582968984249106</v>
      </c>
      <c r="O20" s="182">
        <v>83.42199603135677</v>
      </c>
      <c r="P20" s="182">
        <v>87.17010704556408</v>
      </c>
      <c r="Q20" s="182">
        <v>91.730487452356627</v>
      </c>
      <c r="R20" s="182">
        <v>94.983044415467631</v>
      </c>
      <c r="S20" s="182">
        <v>98.813418639498636</v>
      </c>
      <c r="T20" s="182">
        <v>102.48445574745452</v>
      </c>
      <c r="U20" s="182">
        <v>106.11004541914794</v>
      </c>
      <c r="V20" s="182">
        <v>109.57155634682111</v>
      </c>
      <c r="W20" s="182">
        <v>112.8406030444707</v>
      </c>
      <c r="DA20" s="191" t="s">
        <v>921</v>
      </c>
    </row>
    <row r="21" spans="1:105" ht="12" customHeight="1" x14ac:dyDescent="0.25">
      <c r="A21" s="132" t="s">
        <v>163</v>
      </c>
      <c r="B21" s="182">
        <v>673.9012044710347</v>
      </c>
      <c r="C21" s="182">
        <v>690.99799619324676</v>
      </c>
      <c r="D21" s="182">
        <v>711.651669435283</v>
      </c>
      <c r="E21" s="182">
        <v>733.25854330749621</v>
      </c>
      <c r="F21" s="182">
        <v>762.42960596140529</v>
      </c>
      <c r="G21" s="182">
        <v>801.92491344823179</v>
      </c>
      <c r="H21" s="182">
        <v>839.56369824381397</v>
      </c>
      <c r="I21" s="182">
        <v>886.46388182408339</v>
      </c>
      <c r="J21" s="182">
        <v>928.78335165774263</v>
      </c>
      <c r="K21" s="182">
        <v>970.22067855437012</v>
      </c>
      <c r="L21" s="182">
        <v>1001.6883285840009</v>
      </c>
      <c r="M21" s="182">
        <v>1037.583657856065</v>
      </c>
      <c r="N21" s="182">
        <v>1083.1446538398015</v>
      </c>
      <c r="O21" s="182">
        <v>1140.5810798313012</v>
      </c>
      <c r="P21" s="182">
        <v>1205.3849964237074</v>
      </c>
      <c r="Q21" s="182">
        <v>1296.1300206035783</v>
      </c>
      <c r="R21" s="182">
        <v>1352.8937258093486</v>
      </c>
      <c r="S21" s="182">
        <v>1411.3519928306216</v>
      </c>
      <c r="T21" s="182">
        <v>1469.0539826942522</v>
      </c>
      <c r="U21" s="182">
        <v>1524.4720322973633</v>
      </c>
      <c r="V21" s="182">
        <v>1575.6779889737588</v>
      </c>
      <c r="W21" s="182">
        <v>1621.160745261516</v>
      </c>
      <c r="DA21" s="191" t="s">
        <v>922</v>
      </c>
    </row>
    <row r="22" spans="1:105" ht="12" customHeight="1" x14ac:dyDescent="0.25">
      <c r="A22" s="132" t="s">
        <v>167</v>
      </c>
      <c r="B22" s="182">
        <v>24.582835344219216</v>
      </c>
      <c r="C22" s="182">
        <v>25.160127724451542</v>
      </c>
      <c r="D22" s="182">
        <v>25.867978333046782</v>
      </c>
      <c r="E22" s="182">
        <v>26.729214542637589</v>
      </c>
      <c r="F22" s="182">
        <v>27.79743435178473</v>
      </c>
      <c r="G22" s="182">
        <v>29.200401363791162</v>
      </c>
      <c r="H22" s="182">
        <v>30.840700273844082</v>
      </c>
      <c r="I22" s="182">
        <v>32.333974124104998</v>
      </c>
      <c r="J22" s="182">
        <v>33.989134968838066</v>
      </c>
      <c r="K22" s="182">
        <v>34.446369715896338</v>
      </c>
      <c r="L22" s="182">
        <v>36.47210942690252</v>
      </c>
      <c r="M22" s="182">
        <v>38.014868164758944</v>
      </c>
      <c r="N22" s="182">
        <v>39.674476833889123</v>
      </c>
      <c r="O22" s="182">
        <v>41.20802502286228</v>
      </c>
      <c r="P22" s="182">
        <v>43.601816548362116</v>
      </c>
      <c r="Q22" s="182">
        <v>46.957522840039452</v>
      </c>
      <c r="R22" s="182">
        <v>48.905545157183802</v>
      </c>
      <c r="S22" s="182">
        <v>51.176702106652563</v>
      </c>
      <c r="T22" s="182">
        <v>53.324025570284391</v>
      </c>
      <c r="U22" s="182">
        <v>55.360502941870138</v>
      </c>
      <c r="V22" s="182">
        <v>57.139166220113168</v>
      </c>
      <c r="W22" s="182">
        <v>58.495688649535239</v>
      </c>
      <c r="DA22" s="191" t="s">
        <v>923</v>
      </c>
    </row>
    <row r="23" spans="1:105" ht="12" customHeight="1" x14ac:dyDescent="0.25">
      <c r="A23" s="132" t="s">
        <v>180</v>
      </c>
      <c r="B23" s="182">
        <v>131.10878846676749</v>
      </c>
      <c r="C23" s="182">
        <v>136.0533546981051</v>
      </c>
      <c r="D23" s="182">
        <v>141.51468027669367</v>
      </c>
      <c r="E23" s="182">
        <v>148.71376642814161</v>
      </c>
      <c r="F23" s="182">
        <v>156.78571482755663</v>
      </c>
      <c r="G23" s="182">
        <v>166.1446321114972</v>
      </c>
      <c r="H23" s="182">
        <v>173.34198374540117</v>
      </c>
      <c r="I23" s="182">
        <v>180.5645684792037</v>
      </c>
      <c r="J23" s="182">
        <v>188.27575940081684</v>
      </c>
      <c r="K23" s="182">
        <v>196.00105653958715</v>
      </c>
      <c r="L23" s="182">
        <v>202.02440488482577</v>
      </c>
      <c r="M23" s="182">
        <v>206.24458337782892</v>
      </c>
      <c r="N23" s="182">
        <v>210.75856552721078</v>
      </c>
      <c r="O23" s="182">
        <v>216.02616496690263</v>
      </c>
      <c r="P23" s="182">
        <v>222.40344126930094</v>
      </c>
      <c r="Q23" s="182">
        <v>225.78341535631259</v>
      </c>
      <c r="R23" s="182">
        <v>230.15468665049801</v>
      </c>
      <c r="S23" s="182">
        <v>237.50494834384429</v>
      </c>
      <c r="T23" s="182">
        <v>244.79829459603746</v>
      </c>
      <c r="U23" s="182">
        <v>251.84057839247942</v>
      </c>
      <c r="V23" s="182">
        <v>258.42536216936668</v>
      </c>
      <c r="W23" s="182">
        <v>264.3577117851201</v>
      </c>
      <c r="DA23" s="191" t="s">
        <v>924</v>
      </c>
    </row>
    <row r="24" spans="1:105" ht="12" customHeight="1" x14ac:dyDescent="0.25">
      <c r="A24" s="60" t="s">
        <v>166</v>
      </c>
      <c r="B24" s="36">
        <v>12.273459932549763</v>
      </c>
      <c r="C24" s="36">
        <v>13.306713026770845</v>
      </c>
      <c r="D24" s="36">
        <v>14.296276304648003</v>
      </c>
      <c r="E24" s="36">
        <v>15.540390573429351</v>
      </c>
      <c r="F24" s="36">
        <v>16.996647893848639</v>
      </c>
      <c r="G24" s="36">
        <v>18.983580954277006</v>
      </c>
      <c r="H24" s="36">
        <v>21.107774575601301</v>
      </c>
      <c r="I24" s="36">
        <v>22.621910658550103</v>
      </c>
      <c r="J24" s="36">
        <v>24.175442394270483</v>
      </c>
      <c r="K24" s="36">
        <v>24.521655183608182</v>
      </c>
      <c r="L24" s="36">
        <v>25.898070552484043</v>
      </c>
      <c r="M24" s="36">
        <v>26.432373319370502</v>
      </c>
      <c r="N24" s="36">
        <v>27.421652729040702</v>
      </c>
      <c r="O24" s="36">
        <v>28.214953128337271</v>
      </c>
      <c r="P24" s="36">
        <v>29.12752113315786</v>
      </c>
      <c r="Q24" s="36">
        <v>30.710082439549261</v>
      </c>
      <c r="R24" s="36">
        <v>32.65312400434744</v>
      </c>
      <c r="S24" s="36">
        <v>34.158095515245918</v>
      </c>
      <c r="T24" s="36">
        <v>35.526776800597119</v>
      </c>
      <c r="U24" s="36">
        <v>36.776220652222428</v>
      </c>
      <c r="V24" s="36">
        <v>37.828088662753231</v>
      </c>
      <c r="W24" s="36">
        <v>38.631252107410774</v>
      </c>
      <c r="DA24" s="89" t="s">
        <v>925</v>
      </c>
    </row>
    <row r="25" spans="1:105" ht="12" customHeight="1" x14ac:dyDescent="0.25">
      <c r="A25" s="62" t="s">
        <v>164</v>
      </c>
      <c r="B25" s="38">
        <v>671.38370365884816</v>
      </c>
      <c r="C25" s="38">
        <v>794.19484694703226</v>
      </c>
      <c r="D25" s="38">
        <v>943.33128123597078</v>
      </c>
      <c r="E25" s="38">
        <v>1155.3689218961572</v>
      </c>
      <c r="F25" s="38">
        <v>1349.9690791722539</v>
      </c>
      <c r="G25" s="38">
        <v>1561.2447042447297</v>
      </c>
      <c r="H25" s="38">
        <v>1800.7588804161919</v>
      </c>
      <c r="I25" s="38">
        <v>2084.0056307510035</v>
      </c>
      <c r="J25" s="38">
        <v>2281.1732261265761</v>
      </c>
      <c r="K25" s="38">
        <v>2481.0271155640457</v>
      </c>
      <c r="L25" s="38">
        <v>2688.6193560011156</v>
      </c>
      <c r="M25" s="38">
        <v>2963.7316752473944</v>
      </c>
      <c r="N25" s="38">
        <v>3250.8188555355782</v>
      </c>
      <c r="O25" s="38">
        <v>3586.7190735860681</v>
      </c>
      <c r="P25" s="38">
        <v>3849.3571003106158</v>
      </c>
      <c r="Q25" s="38">
        <v>4335.0336674601722</v>
      </c>
      <c r="R25" s="38">
        <v>4467.4683410444386</v>
      </c>
      <c r="S25" s="38">
        <v>4688.8745856762525</v>
      </c>
      <c r="T25" s="38">
        <v>4856.4045376734502</v>
      </c>
      <c r="U25" s="38">
        <v>5013.1828488099263</v>
      </c>
      <c r="V25" s="38">
        <v>5094.524774020867</v>
      </c>
      <c r="W25" s="38">
        <v>5104.9617767239215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3.6125615277822476</v>
      </c>
      <c r="D28" s="183">
        <v>3.7258699112776981</v>
      </c>
      <c r="E28" s="183">
        <v>4.3987185458887978</v>
      </c>
      <c r="F28" s="183">
        <v>4.9370867421743156</v>
      </c>
      <c r="G28" s="183">
        <v>5.9511261136610116</v>
      </c>
      <c r="H28" s="183">
        <v>5.8980926361023762</v>
      </c>
      <c r="I28" s="183">
        <v>6.0828433640561812</v>
      </c>
      <c r="J28" s="183">
        <v>6.5020112770405021</v>
      </c>
      <c r="K28" s="183">
        <v>3.4892905353355985</v>
      </c>
      <c r="L28" s="183">
        <v>5.9374415969797241</v>
      </c>
      <c r="M28" s="183">
        <v>6.1190709773052987</v>
      </c>
      <c r="N28" s="183">
        <v>5.5638091204422011</v>
      </c>
      <c r="O28" s="183">
        <v>5.6904639810975794</v>
      </c>
      <c r="P28" s="183">
        <v>6.6802025364780775</v>
      </c>
      <c r="Q28" s="183">
        <v>7.5754078803065568</v>
      </c>
      <c r="R28" s="183">
        <v>6.3528662805378104</v>
      </c>
      <c r="S28" s="183">
        <v>7.0183776330085124</v>
      </c>
      <c r="T28" s="183">
        <v>6.9492150879800221</v>
      </c>
      <c r="U28" s="183">
        <v>7.2381511994756664</v>
      </c>
      <c r="V28" s="183">
        <v>7.1873808389508724</v>
      </c>
      <c r="W28" s="183">
        <v>7.6677652435383834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101.63394389555879</v>
      </c>
      <c r="D29" s="183">
        <v>108.829717113931</v>
      </c>
      <c r="E29" s="183">
        <v>113.57844510464997</v>
      </c>
      <c r="F29" s="183">
        <v>125.10153927239276</v>
      </c>
      <c r="G29" s="183">
        <v>139.55510010461137</v>
      </c>
      <c r="H29" s="183">
        <v>142.00563933057799</v>
      </c>
      <c r="I29" s="183">
        <v>155.75949700236163</v>
      </c>
      <c r="J29" s="183">
        <v>143.95341372921803</v>
      </c>
      <c r="K29" s="183">
        <v>150.26704401055849</v>
      </c>
      <c r="L29" s="183">
        <v>145.04609513428079</v>
      </c>
      <c r="M29" s="183">
        <v>160.99686854445679</v>
      </c>
      <c r="N29" s="183">
        <v>185.11609608834794</v>
      </c>
      <c r="O29" s="183">
        <v>199.44206532207761</v>
      </c>
      <c r="P29" s="183">
        <v>220.56341359476789</v>
      </c>
      <c r="Q29" s="183">
        <v>234.69843790908885</v>
      </c>
      <c r="R29" s="183">
        <v>207.03074921632879</v>
      </c>
      <c r="S29" s="183">
        <v>203.50436215555396</v>
      </c>
      <c r="T29" s="183">
        <v>218.69885840808729</v>
      </c>
      <c r="U29" s="183">
        <v>240.53414569145912</v>
      </c>
      <c r="V29" s="183">
        <v>250.64802199847304</v>
      </c>
      <c r="W29" s="183">
        <v>266.04616988252496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4.4162978350591118</v>
      </c>
      <c r="D30" s="183">
        <v>4.6465870987843481</v>
      </c>
      <c r="E30" s="183">
        <v>4.9022945830926901</v>
      </c>
      <c r="F30" s="183">
        <v>5.2142582198725158</v>
      </c>
      <c r="G30" s="183">
        <v>5.6567126683242037</v>
      </c>
      <c r="H30" s="183">
        <v>6.0045498687112122</v>
      </c>
      <c r="I30" s="183">
        <v>5.909571685320028</v>
      </c>
      <c r="J30" s="183">
        <v>6.301747943517416</v>
      </c>
      <c r="K30" s="183">
        <v>5.3595293301509628</v>
      </c>
      <c r="L30" s="183">
        <v>7.2399979308786975</v>
      </c>
      <c r="M30" s="183">
        <v>7.1994714061806278</v>
      </c>
      <c r="N30" s="183">
        <v>7.664158537841395</v>
      </c>
      <c r="O30" s="183">
        <v>7.4431198742931812</v>
      </c>
      <c r="P30" s="183">
        <v>8.6955394690172554</v>
      </c>
      <c r="Q30" s="183">
        <v>8.7152356218282989</v>
      </c>
      <c r="R30" s="183">
        <v>9.1880202480230437</v>
      </c>
      <c r="S30" s="183">
        <v>9.4706283556493887</v>
      </c>
      <c r="T30" s="183">
        <v>9.8114820014732231</v>
      </c>
      <c r="U30" s="183">
        <v>9.4795972458789279</v>
      </c>
      <c r="V30" s="183">
        <v>10.474202747260286</v>
      </c>
      <c r="W30" s="183">
        <v>10.07175805125037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16.860139676578626</v>
      </c>
      <c r="D31" s="183">
        <v>17.627890869569853</v>
      </c>
      <c r="E31" s="183">
        <v>19.621930226890299</v>
      </c>
      <c r="F31" s="183">
        <v>20.75646956309555</v>
      </c>
      <c r="G31" s="183">
        <v>22.310627550506894</v>
      </c>
      <c r="H31" s="183">
        <v>20.421879124100997</v>
      </c>
      <c r="I31" s="183">
        <v>20.725676120152912</v>
      </c>
      <c r="J31" s="183">
        <v>21.498713925613714</v>
      </c>
      <c r="K31" s="183">
        <v>21.803243080690208</v>
      </c>
      <c r="L31" s="183">
        <v>20.397834747626689</v>
      </c>
      <c r="M31" s="183">
        <v>21.080318169581773</v>
      </c>
      <c r="N31" s="183">
        <v>22.141873018951713</v>
      </c>
      <c r="O31" s="183">
        <v>24.889529666582149</v>
      </c>
      <c r="P31" s="183">
        <v>27.133745865493864</v>
      </c>
      <c r="Q31" s="183">
        <v>25.69060163751854</v>
      </c>
      <c r="R31" s="183">
        <v>24.793150418286416</v>
      </c>
      <c r="S31" s="183">
        <v>28.075937813499195</v>
      </c>
      <c r="T31" s="183">
        <v>28.792060177806889</v>
      </c>
      <c r="U31" s="183">
        <v>28.845526877132158</v>
      </c>
      <c r="V31" s="183">
        <v>26.982618524513953</v>
      </c>
      <c r="W31" s="183">
        <v>27.012667785335196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1.3828313588599119</v>
      </c>
      <c r="D32" s="41">
        <v>1.3784801006470424</v>
      </c>
      <c r="E32" s="41">
        <v>1.6767964756962837</v>
      </c>
      <c r="F32" s="41">
        <v>1.9376298947590467</v>
      </c>
      <c r="G32" s="41">
        <v>2.5224752011109466</v>
      </c>
      <c r="H32" s="41">
        <v>2.7200011096097576</v>
      </c>
      <c r="I32" s="41">
        <v>2.1769906673603678</v>
      </c>
      <c r="J32" s="41">
        <v>2.2909783249531017</v>
      </c>
      <c r="K32" s="41">
        <v>1.1666453317990957</v>
      </c>
      <c r="L32" s="41">
        <v>2.289172396378035</v>
      </c>
      <c r="M32" s="41">
        <v>1.5497736900108947</v>
      </c>
      <c r="N32" s="41">
        <v>2.1190227747068882</v>
      </c>
      <c r="O32" s="41">
        <v>2.0501754528110503</v>
      </c>
      <c r="P32" s="41">
        <v>2.3108810633759056</v>
      </c>
      <c r="Q32" s="41">
        <v>3.1382285974709383</v>
      </c>
      <c r="R32" s="41">
        <v>3.3258729236580891</v>
      </c>
      <c r="S32" s="41">
        <v>2.8834516115455209</v>
      </c>
      <c r="T32" s="41">
        <v>3.0454777610474864</v>
      </c>
      <c r="U32" s="41">
        <v>3.1870737463843568</v>
      </c>
      <c r="V32" s="41">
        <v>3.5743432116417466</v>
      </c>
      <c r="W32" s="41">
        <v>3.5231645542672965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257.08788401995378</v>
      </c>
      <c r="D33" s="42">
        <v>283.4131750207082</v>
      </c>
      <c r="E33" s="42">
        <v>346.31438139195609</v>
      </c>
      <c r="F33" s="42">
        <v>328.87689800786643</v>
      </c>
      <c r="G33" s="42">
        <v>345.55236580424548</v>
      </c>
      <c r="H33" s="42">
        <v>496.60206019141606</v>
      </c>
      <c r="I33" s="42">
        <v>566.65992535551982</v>
      </c>
      <c r="J33" s="42">
        <v>543.48197676752852</v>
      </c>
      <c r="K33" s="42">
        <v>528.73078744533609</v>
      </c>
      <c r="L33" s="42">
        <v>553.14460624131561</v>
      </c>
      <c r="M33" s="42">
        <v>771.71437943769479</v>
      </c>
      <c r="N33" s="42">
        <v>853.74710564370343</v>
      </c>
      <c r="O33" s="42">
        <v>879.38219481801843</v>
      </c>
      <c r="P33" s="42">
        <v>791.36881416988354</v>
      </c>
      <c r="Q33" s="42">
        <v>1038.821173390872</v>
      </c>
      <c r="R33" s="42">
        <v>904.14905302196121</v>
      </c>
      <c r="S33" s="42">
        <v>1075.1533502755174</v>
      </c>
      <c r="T33" s="42">
        <v>1046.9121468152161</v>
      </c>
      <c r="U33" s="42">
        <v>948.14712530635961</v>
      </c>
      <c r="V33" s="42">
        <v>1120.1630986018126</v>
      </c>
      <c r="W33" s="42">
        <v>914.58605572501619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2.0403221817456085</v>
      </c>
      <c r="D36" s="183">
        <v>2.0980339072154521</v>
      </c>
      <c r="E36" s="183">
        <v>2.1573780431381664</v>
      </c>
      <c r="F36" s="183">
        <v>2.2184007632135447</v>
      </c>
      <c r="G36" s="183">
        <v>2.2811495471919301</v>
      </c>
      <c r="H36" s="183">
        <v>2.3456732178166106</v>
      </c>
      <c r="I36" s="183">
        <v>2.4120219788112109</v>
      </c>
      <c r="J36" s="183">
        <v>2.4802474539414447</v>
      </c>
      <c r="K36" s="183">
        <v>2.5504027271820178</v>
      </c>
      <c r="L36" s="183">
        <v>2.6225423840193116</v>
      </c>
      <c r="M36" s="183">
        <v>2.6967225539227115</v>
      </c>
      <c r="N36" s="183">
        <v>2.7730009540169362</v>
      </c>
      <c r="O36" s="183">
        <v>2.8514369339899162</v>
      </c>
      <c r="P36" s="183">
        <v>2.9320915222707669</v>
      </c>
      <c r="Q36" s="183">
        <v>3.0150274735140101</v>
      </c>
      <c r="R36" s="183">
        <v>3.1003093174268059</v>
      </c>
      <c r="S36" s="183">
        <v>3.188003408977508</v>
      </c>
      <c r="T36" s="183">
        <v>3.2781779800241395</v>
      </c>
      <c r="U36" s="183">
        <v>3.6125615277822476</v>
      </c>
      <c r="V36" s="183">
        <v>3.7258699112776981</v>
      </c>
      <c r="W36" s="183">
        <v>4.3987185458887978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84.537152173346726</v>
      </c>
      <c r="D37" s="183">
        <v>88.176043871894763</v>
      </c>
      <c r="E37" s="183">
        <v>91.971571232436759</v>
      </c>
      <c r="F37" s="183">
        <v>95.930476618483681</v>
      </c>
      <c r="G37" s="183">
        <v>100.05979261778486</v>
      </c>
      <c r="H37" s="183">
        <v>104.36685453499581</v>
      </c>
      <c r="I37" s="183">
        <v>108.85931342209221</v>
      </c>
      <c r="J37" s="183">
        <v>101.63394389555867</v>
      </c>
      <c r="K37" s="183">
        <v>108.82971711393088</v>
      </c>
      <c r="L37" s="183">
        <v>113.57844510465009</v>
      </c>
      <c r="M37" s="183">
        <v>125.10153927239276</v>
      </c>
      <c r="N37" s="183">
        <v>139.55510010461126</v>
      </c>
      <c r="O37" s="183">
        <v>142.00563933057788</v>
      </c>
      <c r="P37" s="183">
        <v>155.75949700236151</v>
      </c>
      <c r="Q37" s="183">
        <v>143.95341372921803</v>
      </c>
      <c r="R37" s="183">
        <v>150.26704401055849</v>
      </c>
      <c r="S37" s="183">
        <v>145.0460951342809</v>
      </c>
      <c r="T37" s="183">
        <v>160.99686854445667</v>
      </c>
      <c r="U37" s="183">
        <v>185.11609608834806</v>
      </c>
      <c r="V37" s="183">
        <v>199.4420653220775</v>
      </c>
      <c r="W37" s="183">
        <v>220.56341359476778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3.8390054548267862</v>
      </c>
      <c r="D38" s="183">
        <v>3.9387364901891075</v>
      </c>
      <c r="E38" s="183">
        <v>4.0410583735018832</v>
      </c>
      <c r="F38" s="183">
        <v>4.1460384107253745</v>
      </c>
      <c r="G38" s="183">
        <v>4.253745656317772</v>
      </c>
      <c r="H38" s="183">
        <v>4.3642509586582925</v>
      </c>
      <c r="I38" s="183">
        <v>4.4162978350591118</v>
      </c>
      <c r="J38" s="183">
        <v>4.6465870987843445</v>
      </c>
      <c r="K38" s="183">
        <v>4.9022945830926901</v>
      </c>
      <c r="L38" s="183">
        <v>5.2142582198725194</v>
      </c>
      <c r="M38" s="183">
        <v>5.6567126683242037</v>
      </c>
      <c r="N38" s="183">
        <v>6.0045498687112158</v>
      </c>
      <c r="O38" s="183">
        <v>5.9095716853200244</v>
      </c>
      <c r="P38" s="183">
        <v>6.3017479435174195</v>
      </c>
      <c r="Q38" s="183">
        <v>5.3595293301509628</v>
      </c>
      <c r="R38" s="183">
        <v>7.2399979308786939</v>
      </c>
      <c r="S38" s="183">
        <v>7.1994714061806278</v>
      </c>
      <c r="T38" s="183">
        <v>7.664158537841395</v>
      </c>
      <c r="U38" s="183">
        <v>7.4431198742931812</v>
      </c>
      <c r="V38" s="183">
        <v>8.6955394690172625</v>
      </c>
      <c r="W38" s="183">
        <v>8.7152356218282989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11.915573445241023</v>
      </c>
      <c r="D39" s="183">
        <v>12.166565290981282</v>
      </c>
      <c r="E39" s="183">
        <v>12.422844075442356</v>
      </c>
      <c r="F39" s="183">
        <v>12.684521163680529</v>
      </c>
      <c r="G39" s="183">
        <v>12.951710266566323</v>
      </c>
      <c r="H39" s="183">
        <v>13.224527490197033</v>
      </c>
      <c r="I39" s="183">
        <v>13.503091386350377</v>
      </c>
      <c r="J39" s="183">
        <v>13.787523004000576</v>
      </c>
      <c r="K39" s="183">
        <v>14.077945941919893</v>
      </c>
      <c r="L39" s="183">
        <v>14.374486402388072</v>
      </c>
      <c r="M39" s="183">
        <v>16.860139676578626</v>
      </c>
      <c r="N39" s="183">
        <v>17.627890869569853</v>
      </c>
      <c r="O39" s="183">
        <v>19.621930226890299</v>
      </c>
      <c r="P39" s="183">
        <v>20.75646956309555</v>
      </c>
      <c r="Q39" s="183">
        <v>22.310627550506894</v>
      </c>
      <c r="R39" s="183">
        <v>20.421879124100997</v>
      </c>
      <c r="S39" s="183">
        <v>20.725676120152883</v>
      </c>
      <c r="T39" s="183">
        <v>21.498713925613686</v>
      </c>
      <c r="U39" s="183">
        <v>21.803243080690208</v>
      </c>
      <c r="V39" s="183">
        <v>20.397834747626689</v>
      </c>
      <c r="W39" s="183">
        <v>21.080318169581744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0.34957826463882924</v>
      </c>
      <c r="D40" s="41">
        <v>0.38891682276988426</v>
      </c>
      <c r="E40" s="41">
        <v>0.43268220691493653</v>
      </c>
      <c r="F40" s="41">
        <v>0.48137257433975833</v>
      </c>
      <c r="G40" s="41">
        <v>0.53554214068257977</v>
      </c>
      <c r="H40" s="41">
        <v>0.59580748828546248</v>
      </c>
      <c r="I40" s="41">
        <v>0.66285458441156564</v>
      </c>
      <c r="J40" s="41">
        <v>0.73744658923272155</v>
      </c>
      <c r="K40" s="41">
        <v>0.82043254246139696</v>
      </c>
      <c r="L40" s="41">
        <v>0.91275702750217391</v>
      </c>
      <c r="M40" s="41">
        <v>1.0154709231244361</v>
      </c>
      <c r="N40" s="41">
        <v>1.1297433650366884</v>
      </c>
      <c r="O40" s="41">
        <v>1.2568750535144808</v>
      </c>
      <c r="P40" s="41">
        <v>1.398313058555317</v>
      </c>
      <c r="Q40" s="41">
        <v>1.5556672910795371</v>
      </c>
      <c r="R40" s="41">
        <v>1.3828313588599102</v>
      </c>
      <c r="S40" s="41">
        <v>1.3784801006470389</v>
      </c>
      <c r="T40" s="41">
        <v>1.6767964756962854</v>
      </c>
      <c r="U40" s="41">
        <v>1.9376298947590485</v>
      </c>
      <c r="V40" s="41">
        <v>2.522475201110943</v>
      </c>
      <c r="W40" s="41">
        <v>2.7200011096097541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134.27674073176968</v>
      </c>
      <c r="D41" s="42">
        <v>134.27674073176979</v>
      </c>
      <c r="E41" s="42">
        <v>134.27674073176968</v>
      </c>
      <c r="F41" s="42">
        <v>134.27674073176968</v>
      </c>
      <c r="G41" s="42">
        <v>134.27674073176968</v>
      </c>
      <c r="H41" s="42">
        <v>257.08788401995389</v>
      </c>
      <c r="I41" s="42">
        <v>283.41317502070842</v>
      </c>
      <c r="J41" s="42">
        <v>346.31438139195598</v>
      </c>
      <c r="K41" s="42">
        <v>328.87689800786666</v>
      </c>
      <c r="L41" s="42">
        <v>345.55236580424571</v>
      </c>
      <c r="M41" s="42">
        <v>496.60206019141606</v>
      </c>
      <c r="N41" s="42">
        <v>566.65992535551959</v>
      </c>
      <c r="O41" s="42">
        <v>543.48197676752852</v>
      </c>
      <c r="P41" s="42">
        <v>528.73078744533586</v>
      </c>
      <c r="Q41" s="42">
        <v>553.14460624131516</v>
      </c>
      <c r="R41" s="42">
        <v>771.71437943769433</v>
      </c>
      <c r="S41" s="42">
        <v>853.74710564370343</v>
      </c>
      <c r="T41" s="42">
        <v>879.38219481801843</v>
      </c>
      <c r="U41" s="42">
        <v>791.36881416988308</v>
      </c>
      <c r="V41" s="42">
        <v>1038.821173390872</v>
      </c>
      <c r="W41" s="42">
        <v>904.14905302196166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</v>
      </c>
      <c r="D44" s="185">
        <v>8759.9999999999964</v>
      </c>
      <c r="E44" s="185">
        <v>8759.9999999999982</v>
      </c>
      <c r="F44" s="185">
        <v>8759.9999999999982</v>
      </c>
      <c r="G44" s="185">
        <v>8760</v>
      </c>
      <c r="H44" s="185">
        <v>8760</v>
      </c>
      <c r="I44" s="185">
        <v>8760.0000000000073</v>
      </c>
      <c r="J44" s="185">
        <v>8760</v>
      </c>
      <c r="K44" s="185">
        <v>8760</v>
      </c>
      <c r="L44" s="185">
        <v>8760</v>
      </c>
      <c r="M44" s="185">
        <v>8760.0000000000018</v>
      </c>
      <c r="N44" s="185">
        <v>8760.0000000000018</v>
      </c>
      <c r="O44" s="185">
        <v>8760</v>
      </c>
      <c r="P44" s="185">
        <v>8760</v>
      </c>
      <c r="Q44" s="185">
        <v>8759.9999999999964</v>
      </c>
      <c r="R44" s="185">
        <v>8759.9999999999927</v>
      </c>
      <c r="S44" s="185">
        <v>8759.9999999999945</v>
      </c>
      <c r="T44" s="185">
        <v>8759.9999999999964</v>
      </c>
      <c r="U44" s="185">
        <v>8759.9999999999982</v>
      </c>
      <c r="V44" s="185">
        <v>8759.9999999999964</v>
      </c>
      <c r="W44" s="185">
        <v>8759.9999999999945</v>
      </c>
      <c r="DA44" s="194" t="s">
        <v>939</v>
      </c>
    </row>
    <row r="45" spans="1:105" ht="12" customHeight="1" x14ac:dyDescent="0.25">
      <c r="A45" s="132" t="s">
        <v>6</v>
      </c>
      <c r="B45" s="185">
        <v>3920.31498731084</v>
      </c>
      <c r="C45" s="185">
        <v>3925.3876889901762</v>
      </c>
      <c r="D45" s="185">
        <v>3929.9142867215628</v>
      </c>
      <c r="E45" s="185">
        <v>3934.9493508340138</v>
      </c>
      <c r="F45" s="185">
        <v>3939.372587300551</v>
      </c>
      <c r="G45" s="185">
        <v>3945.8496977790687</v>
      </c>
      <c r="H45" s="185">
        <v>3951.2869282182332</v>
      </c>
      <c r="I45" s="185">
        <v>3951.4298416994079</v>
      </c>
      <c r="J45" s="185">
        <v>3946.8077969581359</v>
      </c>
      <c r="K45" s="185">
        <v>3942.6491649080281</v>
      </c>
      <c r="L45" s="185">
        <v>3939.1743770239491</v>
      </c>
      <c r="M45" s="185">
        <v>3928.6611034716898</v>
      </c>
      <c r="N45" s="185">
        <v>3908.8495327461642</v>
      </c>
      <c r="O45" s="185">
        <v>3886.1190661844689</v>
      </c>
      <c r="P45" s="185">
        <v>3866.7473338478148</v>
      </c>
      <c r="Q45" s="185">
        <v>3837.0766001597026</v>
      </c>
      <c r="R45" s="185">
        <v>3869.4068903205612</v>
      </c>
      <c r="S45" s="185">
        <v>3914.4499450649505</v>
      </c>
      <c r="T45" s="185">
        <v>3892.4171941504756</v>
      </c>
      <c r="U45" s="185">
        <v>3846.8315131562731</v>
      </c>
      <c r="V45" s="185">
        <v>3837.9469016563025</v>
      </c>
      <c r="W45" s="185">
        <v>3849.0746400013081</v>
      </c>
      <c r="DA45" s="194" t="s">
        <v>940</v>
      </c>
    </row>
    <row r="46" spans="1:105" ht="12" customHeight="1" x14ac:dyDescent="0.25">
      <c r="A46" s="132" t="s">
        <v>5</v>
      </c>
      <c r="B46" s="185">
        <v>2231.4288832676775</v>
      </c>
      <c r="C46" s="185">
        <v>2248.9710048370189</v>
      </c>
      <c r="D46" s="185">
        <v>2263.6673378463333</v>
      </c>
      <c r="E46" s="185">
        <v>2279.4630985994045</v>
      </c>
      <c r="F46" s="185">
        <v>2298.8030975330471</v>
      </c>
      <c r="G46" s="185">
        <v>2321.7812623899313</v>
      </c>
      <c r="H46" s="185">
        <v>2341.0527018259704</v>
      </c>
      <c r="I46" s="185">
        <v>2360.3307149627526</v>
      </c>
      <c r="J46" s="185">
        <v>2370.4422169553563</v>
      </c>
      <c r="K46" s="185">
        <v>2378.3696706250489</v>
      </c>
      <c r="L46" s="185">
        <v>2386.1545678337884</v>
      </c>
      <c r="M46" s="185">
        <v>2397.3897830555147</v>
      </c>
      <c r="N46" s="185">
        <v>2406.5592724606099</v>
      </c>
      <c r="O46" s="185">
        <v>2416.3125138167734</v>
      </c>
      <c r="P46" s="185">
        <v>2425.0893943096544</v>
      </c>
      <c r="Q46" s="185">
        <v>2437.3921390377877</v>
      </c>
      <c r="R46" s="185">
        <v>2468.3244710470094</v>
      </c>
      <c r="S46" s="185">
        <v>2512.8242666435153</v>
      </c>
      <c r="T46" s="185">
        <v>2502.0493972705535</v>
      </c>
      <c r="U46" s="185">
        <v>2471.893360363169</v>
      </c>
      <c r="V46" s="185">
        <v>2353.4974279006365</v>
      </c>
      <c r="W46" s="185">
        <v>2338.0988393639727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8760</v>
      </c>
      <c r="E47" s="185">
        <v>8759.9999999999982</v>
      </c>
      <c r="F47" s="185">
        <v>8759.9999999999982</v>
      </c>
      <c r="G47" s="185">
        <v>8760</v>
      </c>
      <c r="H47" s="185">
        <v>8760.0000000000036</v>
      </c>
      <c r="I47" s="185">
        <v>8759.9999999999982</v>
      </c>
      <c r="J47" s="185">
        <v>8760.0000000000018</v>
      </c>
      <c r="K47" s="185">
        <v>8760.0000000000055</v>
      </c>
      <c r="L47" s="185">
        <v>8759.9999999999982</v>
      </c>
      <c r="M47" s="185">
        <v>8760</v>
      </c>
      <c r="N47" s="185">
        <v>8759.9999999999982</v>
      </c>
      <c r="O47" s="185">
        <v>8760</v>
      </c>
      <c r="P47" s="185">
        <v>8760</v>
      </c>
      <c r="Q47" s="185">
        <v>8760</v>
      </c>
      <c r="R47" s="185">
        <v>8759.9999999999945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770.62974369657252</v>
      </c>
      <c r="C48" s="44">
        <v>774.31095111510501</v>
      </c>
      <c r="D48" s="44">
        <v>777.68698272284189</v>
      </c>
      <c r="E48" s="44">
        <v>780.80562777103682</v>
      </c>
      <c r="F48" s="44">
        <v>783.70419070615196</v>
      </c>
      <c r="G48" s="44">
        <v>786.4123592543167</v>
      </c>
      <c r="H48" s="44">
        <v>788.95415267189924</v>
      </c>
      <c r="I48" s="44">
        <v>791.34928329196862</v>
      </c>
      <c r="J48" s="44">
        <v>793.61413162018516</v>
      </c>
      <c r="K48" s="44">
        <v>795.76245970795242</v>
      </c>
      <c r="L48" s="44">
        <v>797.80594291793284</v>
      </c>
      <c r="M48" s="44">
        <v>799.10450134403493</v>
      </c>
      <c r="N48" s="44">
        <v>800.34460772155705</v>
      </c>
      <c r="O48" s="44">
        <v>801.53137768728152</v>
      </c>
      <c r="P48" s="44">
        <v>802.66928018726378</v>
      </c>
      <c r="Q48" s="44">
        <v>803.76224233211121</v>
      </c>
      <c r="R48" s="44">
        <v>814.27437081738162</v>
      </c>
      <c r="S48" s="44">
        <v>824.99375346964393</v>
      </c>
      <c r="T48" s="44">
        <v>824.13291352162526</v>
      </c>
      <c r="U48" s="44">
        <v>816.10935819778479</v>
      </c>
      <c r="V48" s="44">
        <v>777.02028178187106</v>
      </c>
      <c r="W48" s="44">
        <v>771.93635202611404</v>
      </c>
      <c r="DA48" s="95" t="s">
        <v>943</v>
      </c>
    </row>
    <row r="49" spans="1:105" ht="12" customHeight="1" x14ac:dyDescent="0.25">
      <c r="A49" s="62" t="s">
        <v>3</v>
      </c>
      <c r="B49" s="186">
        <v>1599.5117758563979</v>
      </c>
      <c r="C49" s="186">
        <v>1617.2219898231183</v>
      </c>
      <c r="D49" s="186">
        <v>1646.7698007669114</v>
      </c>
      <c r="E49" s="186">
        <v>1675.978385717993</v>
      </c>
      <c r="F49" s="186">
        <v>1704.6620515937066</v>
      </c>
      <c r="G49" s="186">
        <v>1730.7492358295608</v>
      </c>
      <c r="H49" s="186">
        <v>1757.3812264464145</v>
      </c>
      <c r="I49" s="186">
        <v>1784.3956838210981</v>
      </c>
      <c r="J49" s="186">
        <v>1803.9389787515197</v>
      </c>
      <c r="K49" s="186">
        <v>1815.9684414599467</v>
      </c>
      <c r="L49" s="186">
        <v>1837.3565457246307</v>
      </c>
      <c r="M49" s="186">
        <v>1858.1066587352377</v>
      </c>
      <c r="N49" s="186">
        <v>1874.4413018539503</v>
      </c>
      <c r="O49" s="186">
        <v>1891.238659343778</v>
      </c>
      <c r="P49" s="186">
        <v>1908.8014892546103</v>
      </c>
      <c r="Q49" s="186">
        <v>1929.1918685921951</v>
      </c>
      <c r="R49" s="186">
        <v>1973.5302698486232</v>
      </c>
      <c r="S49" s="186">
        <v>2022.6422316706</v>
      </c>
      <c r="T49" s="186">
        <v>2038.0473692771311</v>
      </c>
      <c r="U49" s="186">
        <v>2043.2415425324275</v>
      </c>
      <c r="V49" s="186">
        <v>1984.5226289530565</v>
      </c>
      <c r="W49" s="186">
        <v>1976.8856403274988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0.74311594640473122</v>
      </c>
      <c r="C52" s="181">
        <v>0.7371457346740099</v>
      </c>
      <c r="D52" s="181">
        <v>0.73072854726843584</v>
      </c>
      <c r="E52" s="181">
        <v>0.7231970891424041</v>
      </c>
      <c r="F52" s="181">
        <v>0.71470115912122278</v>
      </c>
      <c r="G52" s="181">
        <v>0.7048503699125338</v>
      </c>
      <c r="H52" s="181">
        <v>0.69522959182566879</v>
      </c>
      <c r="I52" s="181">
        <v>0.68549164107723504</v>
      </c>
      <c r="J52" s="181">
        <v>0.67536268591276172</v>
      </c>
      <c r="K52" s="181">
        <v>0.66865726470650622</v>
      </c>
      <c r="L52" s="181">
        <v>0.65872957371837226</v>
      </c>
      <c r="M52" s="181">
        <v>0.64846618133258171</v>
      </c>
      <c r="N52" s="181">
        <v>0.6386733067285757</v>
      </c>
      <c r="O52" s="181">
        <v>0.62836432690794586</v>
      </c>
      <c r="P52" s="181">
        <v>0.61649646961489979</v>
      </c>
      <c r="Q52" s="181">
        <v>0.60338492582914727</v>
      </c>
      <c r="R52" s="181">
        <v>0.59223200508446394</v>
      </c>
      <c r="S52" s="181">
        <v>0.58081127878293104</v>
      </c>
      <c r="T52" s="181">
        <v>0.56983270650843043</v>
      </c>
      <c r="U52" s="181">
        <v>0.5613152110175148</v>
      </c>
      <c r="V52" s="181">
        <v>0.55330803257237948</v>
      </c>
      <c r="W52" s="181">
        <v>0.54504440166080037</v>
      </c>
      <c r="DA52" s="190" t="s">
        <v>945</v>
      </c>
    </row>
    <row r="53" spans="1:105" ht="12" customHeight="1" x14ac:dyDescent="0.25">
      <c r="A53" s="132" t="s">
        <v>100</v>
      </c>
      <c r="B53" s="181">
        <v>200.78114920029577</v>
      </c>
      <c r="C53" s="181">
        <v>198.77099965090386</v>
      </c>
      <c r="D53" s="181">
        <v>196.41584305581083</v>
      </c>
      <c r="E53" s="181">
        <v>193.7272990278928</v>
      </c>
      <c r="F53" s="181">
        <v>190.53901593040663</v>
      </c>
      <c r="G53" s="181">
        <v>186.87933002718063</v>
      </c>
      <c r="H53" s="181">
        <v>182.87622366456134</v>
      </c>
      <c r="I53" s="181">
        <v>178.41413292565372</v>
      </c>
      <c r="J53" s="181">
        <v>175.70691227315254</v>
      </c>
      <c r="K53" s="181">
        <v>172.90280676523392</v>
      </c>
      <c r="L53" s="181">
        <v>170.06331959902752</v>
      </c>
      <c r="M53" s="181">
        <v>166.83953251227848</v>
      </c>
      <c r="N53" s="181">
        <v>162.88122363378949</v>
      </c>
      <c r="O53" s="181">
        <v>158.46026475260265</v>
      </c>
      <c r="P53" s="181">
        <v>153.20163555201327</v>
      </c>
      <c r="Q53" s="181">
        <v>147.2992580596206</v>
      </c>
      <c r="R53" s="181">
        <v>141.46291562240413</v>
      </c>
      <c r="S53" s="181">
        <v>135.76889199329096</v>
      </c>
      <c r="T53" s="181">
        <v>129.65100763230694</v>
      </c>
      <c r="U53" s="181">
        <v>123.05326694885754</v>
      </c>
      <c r="V53" s="181">
        <v>116.39434948301195</v>
      </c>
      <c r="W53" s="181">
        <v>110.2000609680067</v>
      </c>
      <c r="DA53" s="190" t="s">
        <v>946</v>
      </c>
    </row>
    <row r="54" spans="1:105" ht="12" customHeight="1" x14ac:dyDescent="0.25">
      <c r="A54" s="132" t="s">
        <v>140</v>
      </c>
      <c r="B54" s="181">
        <v>43.768884326508818</v>
      </c>
      <c r="C54" s="181">
        <v>43.315323144816531</v>
      </c>
      <c r="D54" s="181">
        <v>42.612344998794867</v>
      </c>
      <c r="E54" s="181">
        <v>41.728297076714945</v>
      </c>
      <c r="F54" s="181">
        <v>40.734807778317226</v>
      </c>
      <c r="G54" s="181">
        <v>39.559004394969477</v>
      </c>
      <c r="H54" s="181">
        <v>38.222617028255286</v>
      </c>
      <c r="I54" s="181">
        <v>37.139390410270778</v>
      </c>
      <c r="J54" s="181">
        <v>36.106001998551292</v>
      </c>
      <c r="K54" s="181">
        <v>35.168664110214316</v>
      </c>
      <c r="L54" s="181">
        <v>33.985603810334993</v>
      </c>
      <c r="M54" s="181">
        <v>32.835041767472092</v>
      </c>
      <c r="N54" s="181">
        <v>31.578308013495381</v>
      </c>
      <c r="O54" s="181">
        <v>30.371552018491613</v>
      </c>
      <c r="P54" s="181">
        <v>29.00170871235111</v>
      </c>
      <c r="Q54" s="181">
        <v>27.676321624343</v>
      </c>
      <c r="R54" s="181">
        <v>26.058211704806187</v>
      </c>
      <c r="S54" s="181">
        <v>24.456222180606332</v>
      </c>
      <c r="T54" s="181">
        <v>22.798447388007137</v>
      </c>
      <c r="U54" s="181">
        <v>21.243819074312984</v>
      </c>
      <c r="V54" s="181">
        <v>19.574683783061172</v>
      </c>
      <c r="W54" s="181">
        <v>17.996699449432612</v>
      </c>
      <c r="DA54" s="190" t="s">
        <v>947</v>
      </c>
    </row>
    <row r="55" spans="1:105" ht="12" customHeight="1" x14ac:dyDescent="0.25">
      <c r="A55" s="132" t="s">
        <v>181</v>
      </c>
      <c r="B55" s="181">
        <v>689.44360151531816</v>
      </c>
      <c r="C55" s="181">
        <v>681.50934391994906</v>
      </c>
      <c r="D55" s="181">
        <v>671.35460816648572</v>
      </c>
      <c r="E55" s="181">
        <v>659.36068369509019</v>
      </c>
      <c r="F55" s="181">
        <v>647.15188202407489</v>
      </c>
      <c r="G55" s="181">
        <v>634.65271875147846</v>
      </c>
      <c r="H55" s="181">
        <v>622.86279461987158</v>
      </c>
      <c r="I55" s="181">
        <v>611.09659156305634</v>
      </c>
      <c r="J55" s="181">
        <v>599.2391240410517</v>
      </c>
      <c r="K55" s="181">
        <v>587.41499457684381</v>
      </c>
      <c r="L55" s="181">
        <v>575.04013127167639</v>
      </c>
      <c r="M55" s="181">
        <v>564.98149357076954</v>
      </c>
      <c r="N55" s="181">
        <v>555.50794427636333</v>
      </c>
      <c r="O55" s="181">
        <v>545.53771482471188</v>
      </c>
      <c r="P55" s="181">
        <v>534.06243938809234</v>
      </c>
      <c r="Q55" s="181">
        <v>523.3069472539662</v>
      </c>
      <c r="R55" s="181">
        <v>513.5539808553865</v>
      </c>
      <c r="S55" s="181">
        <v>503.16551610268777</v>
      </c>
      <c r="T55" s="181">
        <v>492.66961221864875</v>
      </c>
      <c r="U55" s="181">
        <v>482.33993351244874</v>
      </c>
      <c r="V55" s="181">
        <v>473.52000969091324</v>
      </c>
      <c r="W55" s="181">
        <v>465.4960762231014</v>
      </c>
      <c r="DA55" s="190" t="s">
        <v>948</v>
      </c>
    </row>
    <row r="56" spans="1:105" ht="12" customHeight="1" x14ac:dyDescent="0.25">
      <c r="A56" s="60" t="s">
        <v>99</v>
      </c>
      <c r="B56" s="55">
        <v>50.876370246308866</v>
      </c>
      <c r="C56" s="55">
        <v>50.538824210201625</v>
      </c>
      <c r="D56" s="55">
        <v>50.165411971258443</v>
      </c>
      <c r="E56" s="55">
        <v>49.681196201596556</v>
      </c>
      <c r="F56" s="55">
        <v>49.138689761167349</v>
      </c>
      <c r="G56" s="55">
        <v>48.454363087381275</v>
      </c>
      <c r="H56" s="55">
        <v>47.738706725436195</v>
      </c>
      <c r="I56" s="55">
        <v>47.151775914736135</v>
      </c>
      <c r="J56" s="55">
        <v>46.520290285933079</v>
      </c>
      <c r="K56" s="55">
        <v>46.109948578181303</v>
      </c>
      <c r="L56" s="55">
        <v>45.411277527268226</v>
      </c>
      <c r="M56" s="55">
        <v>44.851726928439888</v>
      </c>
      <c r="N56" s="55">
        <v>44.115676217916125</v>
      </c>
      <c r="O56" s="55">
        <v>43.347324065985688</v>
      </c>
      <c r="P56" s="55">
        <v>42.428447896249594</v>
      </c>
      <c r="Q56" s="55">
        <v>41.240480524554734</v>
      </c>
      <c r="R56" s="55">
        <v>40.289109233033592</v>
      </c>
      <c r="S56" s="55">
        <v>39.499839837356454</v>
      </c>
      <c r="T56" s="55">
        <v>38.689154259056309</v>
      </c>
      <c r="U56" s="55">
        <v>37.858688671604909</v>
      </c>
      <c r="V56" s="55">
        <v>36.9294680239515</v>
      </c>
      <c r="W56" s="55">
        <v>36.055091543268006</v>
      </c>
      <c r="DA56" s="101" t="s">
        <v>949</v>
      </c>
    </row>
    <row r="57" spans="1:105" ht="12" customHeight="1" x14ac:dyDescent="0.25">
      <c r="A57" s="62" t="s">
        <v>98</v>
      </c>
      <c r="B57" s="63">
        <v>388.50261303913589</v>
      </c>
      <c r="C57" s="63">
        <v>376.61917232499871</v>
      </c>
      <c r="D57" s="63">
        <v>363.06131944879724</v>
      </c>
      <c r="E57" s="63">
        <v>347.41824197748031</v>
      </c>
      <c r="F57" s="63">
        <v>332.51737594274834</v>
      </c>
      <c r="G57" s="63">
        <v>318.52419965261907</v>
      </c>
      <c r="H57" s="63">
        <v>301.46060504532198</v>
      </c>
      <c r="I57" s="63">
        <v>284.82863604355475</v>
      </c>
      <c r="J57" s="63">
        <v>268.70506800190708</v>
      </c>
      <c r="K57" s="63">
        <v>254.15664320510487</v>
      </c>
      <c r="L57" s="63">
        <v>238.75335387872479</v>
      </c>
      <c r="M57" s="63">
        <v>220.29480972942062</v>
      </c>
      <c r="N57" s="63">
        <v>204.10875427318643</v>
      </c>
      <c r="O57" s="63">
        <v>192.20665721636777</v>
      </c>
      <c r="P57" s="63">
        <v>184.18016323367851</v>
      </c>
      <c r="Q57" s="63">
        <v>178.60426096125977</v>
      </c>
      <c r="R57" s="63">
        <v>174.17503026952775</v>
      </c>
      <c r="S57" s="63">
        <v>169.76160833618951</v>
      </c>
      <c r="T57" s="63">
        <v>165.85753483906731</v>
      </c>
      <c r="U57" s="63">
        <v>162.56916006906556</v>
      </c>
      <c r="V57" s="63">
        <v>158.25993453550097</v>
      </c>
      <c r="W57" s="63">
        <v>154.82477173918718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0.66277655691948456</v>
      </c>
      <c r="D60" s="181">
        <v>0.65397581013212791</v>
      </c>
      <c r="E60" s="181">
        <v>0.64694405949199651</v>
      </c>
      <c r="F60" s="181">
        <v>0.63715521414970711</v>
      </c>
      <c r="G60" s="181">
        <v>0.62814482895905455</v>
      </c>
      <c r="H60" s="181">
        <v>0.61824550308197512</v>
      </c>
      <c r="I60" s="181">
        <v>0.60840839778982392</v>
      </c>
      <c r="J60" s="181">
        <v>0.59824486210793693</v>
      </c>
      <c r="K60" s="181">
        <v>0.5883378256305698</v>
      </c>
      <c r="L60" s="181">
        <v>0.57719540208170783</v>
      </c>
      <c r="M60" s="181">
        <v>0.56544011218703927</v>
      </c>
      <c r="N60" s="181">
        <v>0.55380530957412488</v>
      </c>
      <c r="O60" s="181">
        <v>0.53987924085005101</v>
      </c>
      <c r="P60" s="181">
        <v>0.52386747428542646</v>
      </c>
      <c r="Q60" s="181">
        <v>0.50812380975444127</v>
      </c>
      <c r="R60" s="181">
        <v>0.50482642423616408</v>
      </c>
      <c r="S60" s="181">
        <v>0.49997386171152541</v>
      </c>
      <c r="T60" s="181">
        <v>0.49546791129827922</v>
      </c>
      <c r="U60" s="181">
        <v>0.49135597405212683</v>
      </c>
      <c r="V60" s="181">
        <v>0.48728022137366983</v>
      </c>
      <c r="W60" s="181">
        <v>0.48541412206650442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187.11436370089666</v>
      </c>
      <c r="D61" s="181">
        <v>184.99898840645534</v>
      </c>
      <c r="E61" s="181">
        <v>182.59355652015807</v>
      </c>
      <c r="F61" s="181">
        <v>179.70539148879911</v>
      </c>
      <c r="G61" s="181">
        <v>176.8528979109887</v>
      </c>
      <c r="H61" s="181">
        <v>173.42934556279326</v>
      </c>
      <c r="I61" s="181">
        <v>169.9950548409409</v>
      </c>
      <c r="J61" s="181">
        <v>167.08975608326693</v>
      </c>
      <c r="K61" s="181">
        <v>164.33151627133711</v>
      </c>
      <c r="L61" s="181">
        <v>160.88165677925005</v>
      </c>
      <c r="M61" s="181">
        <v>156.77914344225871</v>
      </c>
      <c r="N61" s="181">
        <v>151.22768162276097</v>
      </c>
      <c r="O61" s="181">
        <v>145.10879808953572</v>
      </c>
      <c r="P61" s="181">
        <v>137.86745852090587</v>
      </c>
      <c r="Q61" s="181">
        <v>129.12390265181767</v>
      </c>
      <c r="R61" s="181">
        <v>121.52258483167633</v>
      </c>
      <c r="S61" s="181">
        <v>115.81403535437374</v>
      </c>
      <c r="T61" s="181">
        <v>110.14041941529354</v>
      </c>
      <c r="U61" s="181">
        <v>104.44094244528922</v>
      </c>
      <c r="V61" s="181">
        <v>98.742247255709145</v>
      </c>
      <c r="W61" s="181">
        <v>96.451363053991031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41.184897084607101</v>
      </c>
      <c r="D62" s="181">
        <v>39.786245754376722</v>
      </c>
      <c r="E62" s="181">
        <v>38.745530526632798</v>
      </c>
      <c r="F62" s="181">
        <v>38.054505019328509</v>
      </c>
      <c r="G62" s="181">
        <v>36.946787767889489</v>
      </c>
      <c r="H62" s="181">
        <v>35.754864168146767</v>
      </c>
      <c r="I62" s="181">
        <v>34.509537366110671</v>
      </c>
      <c r="J62" s="181">
        <v>33.517358156445731</v>
      </c>
      <c r="K62" s="181">
        <v>32.495957188012795</v>
      </c>
      <c r="L62" s="181">
        <v>31.287283852579485</v>
      </c>
      <c r="M62" s="181">
        <v>30.237009497465909</v>
      </c>
      <c r="N62" s="181">
        <v>28.616961617346522</v>
      </c>
      <c r="O62" s="181">
        <v>27.224526024153544</v>
      </c>
      <c r="P62" s="181">
        <v>25.782580935563146</v>
      </c>
      <c r="Q62" s="181">
        <v>24.009374694907475</v>
      </c>
      <c r="R62" s="181">
        <v>21.908899780700089</v>
      </c>
      <c r="S62" s="181">
        <v>20.578173476241268</v>
      </c>
      <c r="T62" s="181">
        <v>18.696576620025215</v>
      </c>
      <c r="U62" s="181">
        <v>17.194710214997254</v>
      </c>
      <c r="V62" s="181">
        <v>15.906323009483941</v>
      </c>
      <c r="W62" s="181">
        <v>14.247321490000687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625.41789451667023</v>
      </c>
      <c r="D63" s="181">
        <v>605.46442565407767</v>
      </c>
      <c r="E63" s="181">
        <v>591.90549584596545</v>
      </c>
      <c r="F63" s="181">
        <v>585.52451012215545</v>
      </c>
      <c r="G63" s="181">
        <v>578.62316033570323</v>
      </c>
      <c r="H63" s="181">
        <v>570.05997026629177</v>
      </c>
      <c r="I63" s="181">
        <v>563.7326291959929</v>
      </c>
      <c r="J63" s="181">
        <v>557.49978087701527</v>
      </c>
      <c r="K63" s="181">
        <v>551.1890194686913</v>
      </c>
      <c r="L63" s="181">
        <v>536.75199115261842</v>
      </c>
      <c r="M63" s="181">
        <v>516.92130179235141</v>
      </c>
      <c r="N63" s="181">
        <v>507.03684951118765</v>
      </c>
      <c r="O63" s="181">
        <v>497.66674622090591</v>
      </c>
      <c r="P63" s="181">
        <v>482.06855521670468</v>
      </c>
      <c r="Q63" s="181">
        <v>478.23524936455465</v>
      </c>
      <c r="R63" s="181">
        <v>471.28022539845944</v>
      </c>
      <c r="S63" s="181">
        <v>462.71595078535142</v>
      </c>
      <c r="T63" s="181">
        <v>454.4971489326669</v>
      </c>
      <c r="U63" s="181">
        <v>446.71727429071353</v>
      </c>
      <c r="V63" s="181">
        <v>439.00077994580749</v>
      </c>
      <c r="W63" s="181">
        <v>428.86408550809705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47.628231413598094</v>
      </c>
      <c r="D64" s="55">
        <v>46.761383237986394</v>
      </c>
      <c r="E64" s="55">
        <v>45.861202550798396</v>
      </c>
      <c r="F64" s="55">
        <v>45.219318850912757</v>
      </c>
      <c r="G64" s="55">
        <v>44.357524943831351</v>
      </c>
      <c r="H64" s="55">
        <v>43.431253680811295</v>
      </c>
      <c r="I64" s="55">
        <v>42.595055040960631</v>
      </c>
      <c r="J64" s="55">
        <v>41.686968622811733</v>
      </c>
      <c r="K64" s="55">
        <v>40.958713060162388</v>
      </c>
      <c r="L64" s="55">
        <v>40.106186119028663</v>
      </c>
      <c r="M64" s="55">
        <v>39.448724652288</v>
      </c>
      <c r="N64" s="55">
        <v>38.538710230579547</v>
      </c>
      <c r="O64" s="55">
        <v>37.686142459734832</v>
      </c>
      <c r="P64" s="55">
        <v>36.321163473968191</v>
      </c>
      <c r="Q64" s="55">
        <v>34.990997526481664</v>
      </c>
      <c r="R64" s="55">
        <v>34.555900859433656</v>
      </c>
      <c r="S64" s="55">
        <v>34.033398746749697</v>
      </c>
      <c r="T64" s="55">
        <v>33.545327461941909</v>
      </c>
      <c r="U64" s="55">
        <v>33.076374329628578</v>
      </c>
      <c r="V64" s="55">
        <v>32.610874848682457</v>
      </c>
      <c r="W64" s="55">
        <v>32.361587695603276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351.792336259092</v>
      </c>
      <c r="D65" s="63">
        <v>337.12250095139552</v>
      </c>
      <c r="E65" s="63">
        <v>320.73748781653904</v>
      </c>
      <c r="F65" s="63">
        <v>303.02767198903052</v>
      </c>
      <c r="G65" s="63">
        <v>291.04968933386402</v>
      </c>
      <c r="H65" s="63">
        <v>273.87157644980766</v>
      </c>
      <c r="I65" s="63">
        <v>258.12938502167964</v>
      </c>
      <c r="J65" s="63">
        <v>240.03432642766535</v>
      </c>
      <c r="K65" s="63">
        <v>221.7868149555251</v>
      </c>
      <c r="L65" s="63">
        <v>202.3345660592102</v>
      </c>
      <c r="M65" s="63">
        <v>190.46296136026629</v>
      </c>
      <c r="N65" s="63">
        <v>183.77509978628316</v>
      </c>
      <c r="O65" s="63">
        <v>177.76687733407337</v>
      </c>
      <c r="P65" s="63">
        <v>172.92752814847887</v>
      </c>
      <c r="Q65" s="63">
        <v>170.57848236996784</v>
      </c>
      <c r="R65" s="63">
        <v>166.84080422192054</v>
      </c>
      <c r="S65" s="63">
        <v>162.55068814941541</v>
      </c>
      <c r="T65" s="63">
        <v>158.3756775667083</v>
      </c>
      <c r="U65" s="63">
        <v>154.37171002843422</v>
      </c>
      <c r="V65" s="63">
        <v>150.39843005312767</v>
      </c>
      <c r="W65" s="63">
        <v>147.56877047311704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216.34490891152046</v>
      </c>
      <c r="C68" s="188">
        <f>1000000*C20/SER_summary!C$8</f>
        <v>220.32544164544404</v>
      </c>
      <c r="D68" s="188">
        <f>1000000*D20/SER_summary!D$8</f>
        <v>224.75179700615524</v>
      </c>
      <c r="E68" s="188">
        <f>1000000*E20/SER_summary!E$8</f>
        <v>230.38608869977759</v>
      </c>
      <c r="F68" s="188">
        <f>1000000*F20/SER_summary!F$8</f>
        <v>237.08978355147067</v>
      </c>
      <c r="G68" s="188">
        <f>1000000*G20/SER_summary!G$8</f>
        <v>243.78422647912333</v>
      </c>
      <c r="H68" s="188">
        <f>1000000*H20/SER_summary!H$8</f>
        <v>248.81773818119473</v>
      </c>
      <c r="I68" s="188">
        <f>1000000*I20/SER_summary!I$8</f>
        <v>254.89360811355147</v>
      </c>
      <c r="J68" s="188">
        <f>1000000*J20/SER_summary!J$8</f>
        <v>264.69056764093739</v>
      </c>
      <c r="K68" s="188">
        <f>1000000*K20/SER_summary!K$8</f>
        <v>273.64385991647532</v>
      </c>
      <c r="L68" s="188">
        <f>1000000*L20/SER_summary!L$8</f>
        <v>282.6144455460452</v>
      </c>
      <c r="M68" s="188">
        <f>1000000*M20/SER_summary!M$8</f>
        <v>291.20664510493879</v>
      </c>
      <c r="N68" s="188">
        <f>1000000*N20/SER_summary!N$8</f>
        <v>299.63745503526326</v>
      </c>
      <c r="O68" s="188">
        <f>1000000*O20/SER_summary!O$8</f>
        <v>308.38539267856015</v>
      </c>
      <c r="P68" s="188">
        <f>1000000*P20/SER_summary!P$8</f>
        <v>317.85952754098889</v>
      </c>
      <c r="Q68" s="188">
        <f>1000000*Q20/SER_summary!Q$8</f>
        <v>327.03807719459206</v>
      </c>
      <c r="R68" s="188">
        <f>1000000*R20/SER_summary!R$8</f>
        <v>334.02975054787481</v>
      </c>
      <c r="S68" s="188">
        <f>1000000*S20/SER_summary!S$8</f>
        <v>341.04209401930103</v>
      </c>
      <c r="T68" s="188">
        <f>1000000*T20/SER_summary!T$8</f>
        <v>347.9657890085013</v>
      </c>
      <c r="U68" s="188">
        <f>1000000*U20/SER_summary!U$8</f>
        <v>354.73453227125862</v>
      </c>
      <c r="V68" s="188">
        <f>1000000*V20/SER_summary!V$8</f>
        <v>361.224909710308</v>
      </c>
      <c r="W68" s="188">
        <f>1000000*W20/SER_summary!W$8</f>
        <v>367.29726219221845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6.5566722993985332E-2</v>
      </c>
      <c r="C69" s="188">
        <f>1000*C21/SER_summary!C$3</f>
        <v>6.7532855043604442E-2</v>
      </c>
      <c r="D69" s="188">
        <f>1000*D21/SER_summary!D$3</f>
        <v>6.9761687364786065E-2</v>
      </c>
      <c r="E69" s="188">
        <f>1000*E21/SER_summary!E$3</f>
        <v>7.1939938607470569E-2</v>
      </c>
      <c r="F69" s="188">
        <f>1000*F21/SER_summary!F$3</f>
        <v>7.4782114425473237E-2</v>
      </c>
      <c r="G69" s="188">
        <f>1000*G21/SER_summary!G$3</f>
        <v>7.8628916035009003E-2</v>
      </c>
      <c r="H69" s="188">
        <f>1000*H21/SER_summary!H$3</f>
        <v>8.2120347726027193E-2</v>
      </c>
      <c r="I69" s="188">
        <f>1000*I21/SER_summary!I$3</f>
        <v>8.6448579998531672E-2</v>
      </c>
      <c r="J69" s="188">
        <f>1000*J21/SER_summary!J$3</f>
        <v>8.9794591350690581E-2</v>
      </c>
      <c r="K69" s="188">
        <f>1000*K21/SER_summary!K$3</f>
        <v>9.3059742232729198E-2</v>
      </c>
      <c r="L69" s="188">
        <f>1000*L21/SER_summary!L$3</f>
        <v>9.5744590237054103E-2</v>
      </c>
      <c r="M69" s="188">
        <f>1000*M21/SER_summary!M$3</f>
        <v>9.8942526308347656E-2</v>
      </c>
      <c r="N69" s="188">
        <f>1000*N21/SER_summary!N$3</f>
        <v>0.10310316734224979</v>
      </c>
      <c r="O69" s="188">
        <f>1000*O21/SER_summary!O$3</f>
        <v>0.10846020562054</v>
      </c>
      <c r="P69" s="188">
        <f>1000*P21/SER_summary!P$3</f>
        <v>0.11466295211632141</v>
      </c>
      <c r="Q69" s="188">
        <f>1000*Q21/SER_summary!Q$3</f>
        <v>0.12299261697038447</v>
      </c>
      <c r="R69" s="188">
        <f>1000*R21/SER_summary!R$3</f>
        <v>0.12818967705027909</v>
      </c>
      <c r="S69" s="188">
        <f>1000*S21/SER_summary!S$3</f>
        <v>0.13341298867270845</v>
      </c>
      <c r="T69" s="188">
        <f>1000*T21/SER_summary!T$3</f>
        <v>0.13845865857380119</v>
      </c>
      <c r="U69" s="188">
        <f>1000*U21/SER_summary!U$3</f>
        <v>0.1431456020110578</v>
      </c>
      <c r="V69" s="188">
        <f>1000*V21/SER_summary!V$3</f>
        <v>0.14734308742304952</v>
      </c>
      <c r="W69" s="188">
        <f>1000*W21/SER_summary!W$3</f>
        <v>0.15447223236852067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113.05834891530097</v>
      </c>
      <c r="C70" s="188">
        <f>1000000*C22/SER_summary!C$8</f>
        <v>114.03113434515024</v>
      </c>
      <c r="D70" s="188">
        <f>1000000*D22/SER_summary!D$8</f>
        <v>115.71968247450859</v>
      </c>
      <c r="E70" s="188">
        <f>1000000*E22/SER_summary!E$8</f>
        <v>117.33541333793862</v>
      </c>
      <c r="F70" s="188">
        <f>1000000*F22/SER_summary!F$8</f>
        <v>119.39063457265905</v>
      </c>
      <c r="G70" s="188">
        <f>1000000*G22/SER_summary!G$8</f>
        <v>120.91852950844414</v>
      </c>
      <c r="H70" s="188">
        <f>1000000*H22/SER_summary!H$8</f>
        <v>122.92999658110237</v>
      </c>
      <c r="I70" s="188">
        <f>1000000*I22/SER_summary!I$8</f>
        <v>124.69650368784363</v>
      </c>
      <c r="J70" s="188">
        <f>1000000*J22/SER_summary!J$8</f>
        <v>128.31023122923008</v>
      </c>
      <c r="K70" s="188">
        <f>1000000*K22/SER_summary!K$8</f>
        <v>132.65849111788907</v>
      </c>
      <c r="L70" s="188">
        <f>1000000*L22/SER_summary!L$8</f>
        <v>138.59850726676268</v>
      </c>
      <c r="M70" s="188">
        <f>1000000*M22/SER_summary!M$8</f>
        <v>142.30459863803625</v>
      </c>
      <c r="N70" s="188">
        <f>1000000*N22/SER_summary!N$8</f>
        <v>147.52446352138861</v>
      </c>
      <c r="O70" s="188">
        <f>1000000*O22/SER_summary!O$8</f>
        <v>152.33336029752434</v>
      </c>
      <c r="P70" s="188">
        <f>1000000*P22/SER_summary!P$8</f>
        <v>158.99088893795872</v>
      </c>
      <c r="Q70" s="188">
        <f>1000000*Q22/SER_summary!Q$8</f>
        <v>167.41323856371935</v>
      </c>
      <c r="R70" s="188">
        <f>1000000*R22/SER_summary!R$8</f>
        <v>171.98761262911987</v>
      </c>
      <c r="S70" s="188">
        <f>1000000*S22/SER_summary!S$8</f>
        <v>176.62995463328826</v>
      </c>
      <c r="T70" s="188">
        <f>1000000*T22/SER_summary!T$8</f>
        <v>181.05122865068606</v>
      </c>
      <c r="U70" s="188">
        <f>1000000*U22/SER_summary!U$8</f>
        <v>185.07467450242126</v>
      </c>
      <c r="V70" s="188">
        <f>1000000*V22/SER_summary!V$8</f>
        <v>188.37087695872151</v>
      </c>
      <c r="W70" s="188">
        <f>1000000*W22/SER_summary!W$8</f>
        <v>190.4040364136952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1.2756133329996221E-2</v>
      </c>
      <c r="C71" s="188">
        <f>1000*C23/SER_summary!C$3</f>
        <v>1.329681349532259E-2</v>
      </c>
      <c r="D71" s="188">
        <f>1000*D23/SER_summary!D$3</f>
        <v>1.3872380698304732E-2</v>
      </c>
      <c r="E71" s="188">
        <f>1000*E23/SER_summary!E$3</f>
        <v>1.4590296048469993E-2</v>
      </c>
      <c r="F71" s="188">
        <f>1000*F23/SER_summary!F$3</f>
        <v>1.5378163668932174E-2</v>
      </c>
      <c r="G71" s="188">
        <f>1000*G23/SER_summary!G$3</f>
        <v>1.6290518113209491E-2</v>
      </c>
      <c r="H71" s="188">
        <f>1000*H23/SER_summary!H$3</f>
        <v>1.6955120868694114E-2</v>
      </c>
      <c r="I71" s="188">
        <f>1000*I23/SER_summary!I$3</f>
        <v>1.760878346329791E-2</v>
      </c>
      <c r="J71" s="188">
        <f>1000*J23/SER_summary!J$3</f>
        <v>1.8202463304776394E-2</v>
      </c>
      <c r="K71" s="188">
        <f>1000*K23/SER_summary!K$3</f>
        <v>1.879964857695457E-2</v>
      </c>
      <c r="L71" s="188">
        <f>1000*L23/SER_summary!L$3</f>
        <v>1.9310141998884523E-2</v>
      </c>
      <c r="M71" s="188">
        <f>1000*M23/SER_summary!M$3</f>
        <v>1.9667194989346909E-2</v>
      </c>
      <c r="N71" s="188">
        <f>1000*N23/SER_summary!N$3</f>
        <v>2.0061840838461461E-2</v>
      </c>
      <c r="O71" s="188">
        <f>1000*O23/SER_summary!O$3</f>
        <v>2.054237325696515E-2</v>
      </c>
      <c r="P71" s="188">
        <f>1000*P23/SER_summary!P$3</f>
        <v>2.1156257305697285E-2</v>
      </c>
      <c r="Q71" s="188">
        <f>1000*Q23/SER_summary!Q$3</f>
        <v>2.1425082886555209E-2</v>
      </c>
      <c r="R71" s="188">
        <f>1000*R23/SER_summary!R$3</f>
        <v>2.1807666330690915E-2</v>
      </c>
      <c r="S71" s="188">
        <f>1000*S23/SER_summary!S$3</f>
        <v>2.2450986815528037E-2</v>
      </c>
      <c r="T71" s="188">
        <f>1000*T23/SER_summary!T$3</f>
        <v>2.3072292706874515E-2</v>
      </c>
      <c r="U71" s="188">
        <f>1000*U23/SER_summary!U$3</f>
        <v>2.3647446749467543E-2</v>
      </c>
      <c r="V71" s="188">
        <f>1000*V23/SER_summary!V$3</f>
        <v>2.4165591571951802E-2</v>
      </c>
      <c r="W71" s="188">
        <f>1000*W23/SER_summary!W$3</f>
        <v>2.5189313276083598E-2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56.446585433379752</v>
      </c>
      <c r="C72" s="188">
        <f>1000000*C24/SER_summary!C$8</f>
        <v>60.30889816880466</v>
      </c>
      <c r="D72" s="188">
        <f>1000000*D24/SER_summary!D$8</f>
        <v>63.953994906058583</v>
      </c>
      <c r="E72" s="188">
        <f>1000000*E24/SER_summary!E$8</f>
        <v>68.218920105476627</v>
      </c>
      <c r="F72" s="188">
        <f>1000000*F24/SER_summary!F$8</f>
        <v>73.001002609593399</v>
      </c>
      <c r="G72" s="188">
        <f>1000000*G24/SER_summary!G$8</f>
        <v>78.610792543491812</v>
      </c>
      <c r="H72" s="188">
        <f>1000000*H24/SER_summary!H$8</f>
        <v>84.134881289124706</v>
      </c>
      <c r="I72" s="188">
        <f>1000000*I24/SER_summary!I$8</f>
        <v>87.241770993965105</v>
      </c>
      <c r="J72" s="188">
        <f>1000000*J24/SER_summary!J$8</f>
        <v>91.263181793879554</v>
      </c>
      <c r="K72" s="188">
        <f>1000000*K24/SER_summary!K$8</f>
        <v>94.436824640752349</v>
      </c>
      <c r="L72" s="188">
        <f>1000000*L24/SER_summary!L$8</f>
        <v>98.415857378842972</v>
      </c>
      <c r="M72" s="188">
        <f>1000000*M24/SER_summary!M$8</f>
        <v>98.946766301053387</v>
      </c>
      <c r="N72" s="188">
        <f>1000000*N24/SER_summary!N$8</f>
        <v>101.9639055269428</v>
      </c>
      <c r="O72" s="188">
        <f>1000000*O24/SER_summary!O$8</f>
        <v>104.30198045871362</v>
      </c>
      <c r="P72" s="188">
        <f>1000000*P24/SER_summary!P$8</f>
        <v>106.21141145308336</v>
      </c>
      <c r="Q72" s="188">
        <f>1000000*Q24/SER_summary!Q$8</f>
        <v>109.48776781257119</v>
      </c>
      <c r="R72" s="188">
        <f>1000000*R24/SER_summary!R$8</f>
        <v>114.83223066710647</v>
      </c>
      <c r="S72" s="188">
        <f>1000000*S24/SER_summary!S$8</f>
        <v>117.89237314752894</v>
      </c>
      <c r="T72" s="188">
        <f>1000000*T24/SER_summary!T$8</f>
        <v>120.62417495597367</v>
      </c>
      <c r="U72" s="188">
        <f>1000000*U24/SER_summary!U$8</f>
        <v>122.94590375716268</v>
      </c>
      <c r="V72" s="188">
        <f>1000000*V24/SER_summary!V$8</f>
        <v>124.70798414567737</v>
      </c>
      <c r="W72" s="188">
        <f>1000000*W24/SER_summary!W$8</f>
        <v>125.74510195162087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6.5321784600501781E-2</v>
      </c>
      <c r="C73" s="52">
        <f>1000*C25/SER_summary!C$3</f>
        <v>7.7618525336869443E-2</v>
      </c>
      <c r="D73" s="52">
        <f>1000*D25/SER_summary!D$3</f>
        <v>9.2472742985662909E-2</v>
      </c>
      <c r="E73" s="52">
        <f>1000*E25/SER_summary!E$3</f>
        <v>0.11335315499397233</v>
      </c>
      <c r="F73" s="52">
        <f>1000*F25/SER_summary!F$3</f>
        <v>0.13241031219165506</v>
      </c>
      <c r="G73" s="52">
        <f>1000*G25/SER_summary!G$3</f>
        <v>0.15308039032271073</v>
      </c>
      <c r="H73" s="52">
        <f>1000*H25/SER_summary!H$3</f>
        <v>0.17613785081446462</v>
      </c>
      <c r="I73" s="52">
        <f>1000*I25/SER_summary!I$3</f>
        <v>0.20323369195443516</v>
      </c>
      <c r="J73" s="52">
        <f>1000*J25/SER_summary!J$3</f>
        <v>0.22054337782279176</v>
      </c>
      <c r="K73" s="52">
        <f>1000*K25/SER_summary!K$3</f>
        <v>0.23797033906844656</v>
      </c>
      <c r="L73" s="52">
        <f>1000*L25/SER_summary!L$3</f>
        <v>0.25698688024810307</v>
      </c>
      <c r="M73" s="52">
        <f>1000*M25/SER_summary!M$3</f>
        <v>0.28261730707571259</v>
      </c>
      <c r="N73" s="52">
        <f>1000*N25/SER_summary!N$3</f>
        <v>0.30944132833360016</v>
      </c>
      <c r="O73" s="52">
        <f>1000*O25/SER_summary!O$3</f>
        <v>0.34106850894089485</v>
      </c>
      <c r="P73" s="52">
        <f>1000*P25/SER_summary!P$3</f>
        <v>0.36617234342643834</v>
      </c>
      <c r="Q73" s="52">
        <f>1000*Q25/SER_summary!Q$3</f>
        <v>0.41136084107315213</v>
      </c>
      <c r="R73" s="52">
        <f>1000*R25/SER_summary!R$3</f>
        <v>0.42330252032785015</v>
      </c>
      <c r="S73" s="52">
        <f>1000*S25/SER_summary!S$3</f>
        <v>0.44323228731335373</v>
      </c>
      <c r="T73" s="52">
        <f>1000*T25/SER_summary!T$3</f>
        <v>0.45771718786315907</v>
      </c>
      <c r="U73" s="52">
        <f>1000*U25/SER_summary!U$3</f>
        <v>0.47073023425885246</v>
      </c>
      <c r="V73" s="52">
        <f>1000*V25/SER_summary!V$3</f>
        <v>0.47639366317882187</v>
      </c>
      <c r="W73" s="52">
        <f>1000*W25/SER_summary!W$3</f>
        <v>0.48642606484979101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26.330371425865206</v>
      </c>
      <c r="C3" s="199">
        <f>'SER_se-appl'!C4</f>
        <v>26.991796726276849</v>
      </c>
      <c r="D3" s="199">
        <f>'SER_se-appl'!D4</f>
        <v>27.652786059746834</v>
      </c>
      <c r="E3" s="199">
        <f>'SER_se-appl'!E4</f>
        <v>28.588699643901538</v>
      </c>
      <c r="F3" s="199">
        <f>'SER_se-appl'!F4</f>
        <v>29.71639830441314</v>
      </c>
      <c r="G3" s="199">
        <f>'SER_se-appl'!G4</f>
        <v>31.255243695084985</v>
      </c>
      <c r="H3" s="199">
        <f>'SER_se-appl'!H4</f>
        <v>32.688902489939544</v>
      </c>
      <c r="I3" s="199">
        <f>'SER_se-appl'!I4</f>
        <v>34.126386846679345</v>
      </c>
      <c r="J3" s="199">
        <f>'SER_se-appl'!J4</f>
        <v>35.667998767129923</v>
      </c>
      <c r="K3" s="199">
        <f>'SER_se-appl'!K4</f>
        <v>35.786734556572</v>
      </c>
      <c r="L3" s="199">
        <f>'SER_se-appl'!L4</f>
        <v>36.90015912201936</v>
      </c>
      <c r="M3" s="199">
        <f>'SER_se-appl'!M4</f>
        <v>37.996846832084636</v>
      </c>
      <c r="N3" s="199">
        <f>'SER_se-appl'!N4</f>
        <v>38.765592046471831</v>
      </c>
      <c r="O3" s="199">
        <f>'SER_se-appl'!O4</f>
        <v>39.483576950774967</v>
      </c>
      <c r="P3" s="199">
        <f>'SER_se-appl'!P4</f>
        <v>40.478327950644712</v>
      </c>
      <c r="Q3" s="199">
        <f>'SER_se-appl'!Q4</f>
        <v>41.690062760202451</v>
      </c>
      <c r="R3" s="199">
        <f>'SER_se-appl'!R4</f>
        <v>42.370379180259981</v>
      </c>
      <c r="S3" s="199">
        <f>'SER_se-appl'!S4</f>
        <v>43.229016753092147</v>
      </c>
      <c r="T3" s="199">
        <f>'SER_se-appl'!T4</f>
        <v>43.987548958905535</v>
      </c>
      <c r="U3" s="199">
        <f>'SER_se-appl'!U4</f>
        <v>44.862937146278355</v>
      </c>
      <c r="V3" s="199">
        <f>'SER_se-appl'!V4</f>
        <v>45.665603015393117</v>
      </c>
      <c r="W3" s="199">
        <f>'SER_se-appl'!W4</f>
        <v>46.325666154092545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34.95687439301512</v>
      </c>
      <c r="C5" s="59">
        <f>'SER_se-appl'!C12</f>
        <v>35.834999534999973</v>
      </c>
      <c r="D5" s="59">
        <f>'SER_se-appl'!D12</f>
        <v>36.712545876125091</v>
      </c>
      <c r="E5" s="59">
        <f>'SER_se-appl'!E12</f>
        <v>37.955088682485723</v>
      </c>
      <c r="F5" s="59">
        <f>'SER_se-appl'!F12</f>
        <v>39.452250260311061</v>
      </c>
      <c r="G5" s="59">
        <f>'SER_se-appl'!G12</f>
        <v>41.49526075043817</v>
      </c>
      <c r="H5" s="59">
        <f>'SER_se-appl'!H12</f>
        <v>43.398622826255355</v>
      </c>
      <c r="I5" s="59">
        <f>'SER_se-appl'!I12</f>
        <v>45.30706381585393</v>
      </c>
      <c r="J5" s="59">
        <f>'SER_se-appl'!J12</f>
        <v>47.353747221657649</v>
      </c>
      <c r="K5" s="59">
        <f>'SER_se-appl'!K12</f>
        <v>47.511383891887256</v>
      </c>
      <c r="L5" s="59">
        <f>'SER_se-appl'!L12</f>
        <v>48.989594816105608</v>
      </c>
      <c r="M5" s="59">
        <f>'SER_se-appl'!M12</f>
        <v>50.445585463144312</v>
      </c>
      <c r="N5" s="59">
        <f>'SER_se-appl'!N12</f>
        <v>51.466191267176633</v>
      </c>
      <c r="O5" s="59">
        <f>'SER_se-appl'!O12</f>
        <v>52.419406385560826</v>
      </c>
      <c r="P5" s="59">
        <f>'SER_se-appl'!P12</f>
        <v>53.740063249543155</v>
      </c>
      <c r="Q5" s="59">
        <f>'SER_se-appl'!Q12</f>
        <v>55.348793367711728</v>
      </c>
      <c r="R5" s="59">
        <f>'SER_se-appl'!R12</f>
        <v>56.25199884319909</v>
      </c>
      <c r="S5" s="59">
        <f>'SER_se-appl'!S12</f>
        <v>57.391948040920319</v>
      </c>
      <c r="T5" s="59">
        <f>'SER_se-appl'!T12</f>
        <v>58.398994793615479</v>
      </c>
      <c r="U5" s="59">
        <f>'SER_se-appl'!U12</f>
        <v>59.561182535527102</v>
      </c>
      <c r="V5" s="59">
        <f>'SER_se-appl'!V12</f>
        <v>60.626822268153212</v>
      </c>
      <c r="W5" s="59">
        <f>'SER_se-appl'!W12</f>
        <v>61.503138969417421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216.34490891152046</v>
      </c>
      <c r="C6" s="202">
        <f>'SER_se-appl'!C68</f>
        <v>220.32544164544404</v>
      </c>
      <c r="D6" s="202">
        <f>'SER_se-appl'!D68</f>
        <v>224.75179700615524</v>
      </c>
      <c r="E6" s="202">
        <f>'SER_se-appl'!E68</f>
        <v>230.38608869977759</v>
      </c>
      <c r="F6" s="202">
        <f>'SER_se-appl'!F68</f>
        <v>237.08978355147067</v>
      </c>
      <c r="G6" s="202">
        <f>'SER_se-appl'!G68</f>
        <v>243.78422647912333</v>
      </c>
      <c r="H6" s="202">
        <f>'SER_se-appl'!H68</f>
        <v>248.81773818119473</v>
      </c>
      <c r="I6" s="202">
        <f>'SER_se-appl'!I68</f>
        <v>254.89360811355147</v>
      </c>
      <c r="J6" s="202">
        <f>'SER_se-appl'!J68</f>
        <v>264.69056764093739</v>
      </c>
      <c r="K6" s="202">
        <f>'SER_se-appl'!K68</f>
        <v>273.64385991647532</v>
      </c>
      <c r="L6" s="202">
        <f>'SER_se-appl'!L68</f>
        <v>282.6144455460452</v>
      </c>
      <c r="M6" s="202">
        <f>'SER_se-appl'!M68</f>
        <v>291.20664510493879</v>
      </c>
      <c r="N6" s="202">
        <f>'SER_se-appl'!N68</f>
        <v>299.63745503526326</v>
      </c>
      <c r="O6" s="202">
        <f>'SER_se-appl'!O68</f>
        <v>308.38539267856015</v>
      </c>
      <c r="P6" s="202">
        <f>'SER_se-appl'!P68</f>
        <v>317.85952754098889</v>
      </c>
      <c r="Q6" s="202">
        <f>'SER_se-appl'!Q68</f>
        <v>327.03807719459206</v>
      </c>
      <c r="R6" s="202">
        <f>'SER_se-appl'!R68</f>
        <v>334.02975054787481</v>
      </c>
      <c r="S6" s="202">
        <f>'SER_se-appl'!S68</f>
        <v>341.04209401930103</v>
      </c>
      <c r="T6" s="202">
        <f>'SER_se-appl'!T68</f>
        <v>347.9657890085013</v>
      </c>
      <c r="U6" s="202">
        <f>'SER_se-appl'!U68</f>
        <v>354.73453227125862</v>
      </c>
      <c r="V6" s="202">
        <f>'SER_se-appl'!V68</f>
        <v>361.224909710308</v>
      </c>
      <c r="W6" s="202">
        <f>'SER_se-appl'!W68</f>
        <v>367.29726219221845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47.040942348418106</v>
      </c>
      <c r="C8" s="34">
        <f>'SER_se-appl'!C20</f>
        <v>48.613181694454745</v>
      </c>
      <c r="D8" s="34">
        <f>'SER_se-appl'!D20</f>
        <v>50.241017698516991</v>
      </c>
      <c r="E8" s="34">
        <f>'SER_se-appl'!E20</f>
        <v>52.482358201267623</v>
      </c>
      <c r="F8" s="34">
        <f>'SER_se-appl'!F20</f>
        <v>55.201044180228394</v>
      </c>
      <c r="G8" s="34">
        <f>'SER_se-appl'!G20</f>
        <v>58.871020746697475</v>
      </c>
      <c r="H8" s="34">
        <f>'SER_se-appl'!H20</f>
        <v>62.423440164983234</v>
      </c>
      <c r="I8" s="34">
        <f>'SER_se-appl'!I20</f>
        <v>66.094261550228211</v>
      </c>
      <c r="J8" s="34">
        <f>'SER_se-appl'!J20</f>
        <v>70.116025373327261</v>
      </c>
      <c r="K8" s="34">
        <f>'SER_se-appl'!K20</f>
        <v>71.054913181480842</v>
      </c>
      <c r="L8" s="34">
        <f>'SER_se-appl'!L20</f>
        <v>74.369812394441254</v>
      </c>
      <c r="M8" s="34">
        <f>'SER_se-appl'!M20</f>
        <v>77.792160817823842</v>
      </c>
      <c r="N8" s="34">
        <f>'SER_se-appl'!N20</f>
        <v>80.582968984249106</v>
      </c>
      <c r="O8" s="34">
        <f>'SER_se-appl'!O20</f>
        <v>83.42199603135677</v>
      </c>
      <c r="P8" s="34">
        <f>'SER_se-appl'!P20</f>
        <v>87.17010704556408</v>
      </c>
      <c r="Q8" s="34">
        <f>'SER_se-appl'!Q20</f>
        <v>91.730487452356627</v>
      </c>
      <c r="R8" s="34">
        <f>'SER_se-appl'!R20</f>
        <v>94.983044415467631</v>
      </c>
      <c r="S8" s="34">
        <f>'SER_se-appl'!S20</f>
        <v>98.813418639498636</v>
      </c>
      <c r="T8" s="34">
        <f>'SER_se-appl'!T20</f>
        <v>102.48445574745452</v>
      </c>
      <c r="U8" s="34">
        <f>'SER_se-appl'!U20</f>
        <v>106.11004541914794</v>
      </c>
      <c r="V8" s="34">
        <f>'SER_se-appl'!V20</f>
        <v>109.57155634682111</v>
      </c>
      <c r="W8" s="34">
        <f>'SER_se-appl'!W20</f>
        <v>112.8406030444707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3.6125615277822476</v>
      </c>
      <c r="D9" s="36">
        <f>'SER_se-appl'!D28</f>
        <v>3.7258699112776981</v>
      </c>
      <c r="E9" s="36">
        <f>'SER_se-appl'!E28</f>
        <v>4.3987185458887978</v>
      </c>
      <c r="F9" s="36">
        <f>'SER_se-appl'!F28</f>
        <v>4.9370867421743156</v>
      </c>
      <c r="G9" s="36">
        <f>'SER_se-appl'!G28</f>
        <v>5.9511261136610116</v>
      </c>
      <c r="H9" s="36">
        <f>'SER_se-appl'!H28</f>
        <v>5.8980926361023762</v>
      </c>
      <c r="I9" s="36">
        <f>'SER_se-appl'!I28</f>
        <v>6.0828433640561812</v>
      </c>
      <c r="J9" s="36">
        <f>'SER_se-appl'!J28</f>
        <v>6.5020112770405021</v>
      </c>
      <c r="K9" s="36">
        <f>'SER_se-appl'!K28</f>
        <v>3.4892905353355985</v>
      </c>
      <c r="L9" s="36">
        <f>'SER_se-appl'!L28</f>
        <v>5.9374415969797241</v>
      </c>
      <c r="M9" s="36">
        <f>'SER_se-appl'!M28</f>
        <v>6.1190709773052987</v>
      </c>
      <c r="N9" s="36">
        <f>'SER_se-appl'!N28</f>
        <v>5.5638091204422011</v>
      </c>
      <c r="O9" s="36">
        <f>'SER_se-appl'!O28</f>
        <v>5.6904639810975794</v>
      </c>
      <c r="P9" s="36">
        <f>'SER_se-appl'!P28</f>
        <v>6.6802025364780775</v>
      </c>
      <c r="Q9" s="36">
        <f>'SER_se-appl'!Q28</f>
        <v>7.5754078803065568</v>
      </c>
      <c r="R9" s="36">
        <f>'SER_se-appl'!R28</f>
        <v>6.3528662805378104</v>
      </c>
      <c r="S9" s="36">
        <f>'SER_se-appl'!S28</f>
        <v>7.0183776330085124</v>
      </c>
      <c r="T9" s="36">
        <f>'SER_se-appl'!T28</f>
        <v>6.9492150879800221</v>
      </c>
      <c r="U9" s="36">
        <f>'SER_se-appl'!U28</f>
        <v>7.2381511994756664</v>
      </c>
      <c r="V9" s="36">
        <f>'SER_se-appl'!V28</f>
        <v>7.1873808389508724</v>
      </c>
      <c r="W9" s="36">
        <f>'SER_se-appl'!W28</f>
        <v>7.6677652435383834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2.0403221817456085</v>
      </c>
      <c r="D10" s="38">
        <f>'SER_se-appl'!D36</f>
        <v>2.0980339072154521</v>
      </c>
      <c r="E10" s="38">
        <f>'SER_se-appl'!E36</f>
        <v>2.1573780431381664</v>
      </c>
      <c r="F10" s="38">
        <f>'SER_se-appl'!F36</f>
        <v>2.2184007632135447</v>
      </c>
      <c r="G10" s="38">
        <f>'SER_se-appl'!G36</f>
        <v>2.2811495471919301</v>
      </c>
      <c r="H10" s="38">
        <f>'SER_se-appl'!H36</f>
        <v>2.3456732178166106</v>
      </c>
      <c r="I10" s="38">
        <f>'SER_se-appl'!I36</f>
        <v>2.4120219788112109</v>
      </c>
      <c r="J10" s="38">
        <f>'SER_se-appl'!J36</f>
        <v>2.4802474539414447</v>
      </c>
      <c r="K10" s="38">
        <f>'SER_se-appl'!K36</f>
        <v>2.5504027271820178</v>
      </c>
      <c r="L10" s="38">
        <f>'SER_se-appl'!L36</f>
        <v>2.6225423840193116</v>
      </c>
      <c r="M10" s="38">
        <f>'SER_se-appl'!M36</f>
        <v>2.6967225539227115</v>
      </c>
      <c r="N10" s="38">
        <f>'SER_se-appl'!N36</f>
        <v>2.7730009540169362</v>
      </c>
      <c r="O10" s="38">
        <f>'SER_se-appl'!O36</f>
        <v>2.8514369339899162</v>
      </c>
      <c r="P10" s="38">
        <f>'SER_se-appl'!P36</f>
        <v>2.9320915222707669</v>
      </c>
      <c r="Q10" s="38">
        <f>'SER_se-appl'!Q36</f>
        <v>3.0150274735140101</v>
      </c>
      <c r="R10" s="38">
        <f>'SER_se-appl'!R36</f>
        <v>3.1003093174268059</v>
      </c>
      <c r="S10" s="38">
        <f>'SER_se-appl'!S36</f>
        <v>3.188003408977508</v>
      </c>
      <c r="T10" s="38">
        <f>'SER_se-appl'!T36</f>
        <v>3.2781779800241395</v>
      </c>
      <c r="U10" s="38">
        <f>'SER_se-appl'!U36</f>
        <v>3.6125615277822476</v>
      </c>
      <c r="V10" s="38">
        <f>'SER_se-appl'!V36</f>
        <v>3.7258699112776981</v>
      </c>
      <c r="W10" s="38">
        <f>'SER_se-appl'!W36</f>
        <v>4.3987185458887978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</v>
      </c>
      <c r="D12" s="205">
        <f>'SER_se-appl'!D44</f>
        <v>8759.9999999999964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8760</v>
      </c>
      <c r="I12" s="205">
        <f>'SER_se-appl'!I44</f>
        <v>8760.0000000000073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8759.9999999999927</v>
      </c>
      <c r="S12" s="205">
        <f>'SER_se-appl'!S44</f>
        <v>8759.9999999999945</v>
      </c>
      <c r="T12" s="205">
        <f>'SER_se-appl'!T44</f>
        <v>8759.9999999999964</v>
      </c>
      <c r="U12" s="205">
        <f>'SER_se-appl'!U44</f>
        <v>8759.9999999999982</v>
      </c>
      <c r="V12" s="205">
        <f>'SER_se-appl'!V44</f>
        <v>8759.9999999999964</v>
      </c>
      <c r="W12" s="205">
        <f>'SER_se-appl'!W44</f>
        <v>8759.9999999999945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0.74311594640473122</v>
      </c>
      <c r="C14" s="59">
        <f>'SER_se-appl'!C52</f>
        <v>0.7371457346740099</v>
      </c>
      <c r="D14" s="59">
        <f>'SER_se-appl'!D52</f>
        <v>0.73072854726843584</v>
      </c>
      <c r="E14" s="59">
        <f>'SER_se-appl'!E52</f>
        <v>0.7231970891424041</v>
      </c>
      <c r="F14" s="59">
        <f>'SER_se-appl'!F52</f>
        <v>0.71470115912122278</v>
      </c>
      <c r="G14" s="59">
        <f>'SER_se-appl'!G52</f>
        <v>0.7048503699125338</v>
      </c>
      <c r="H14" s="59">
        <f>'SER_se-appl'!H52</f>
        <v>0.69522959182566879</v>
      </c>
      <c r="I14" s="59">
        <f>'SER_se-appl'!I52</f>
        <v>0.68549164107723504</v>
      </c>
      <c r="J14" s="59">
        <f>'SER_se-appl'!J52</f>
        <v>0.67536268591276172</v>
      </c>
      <c r="K14" s="59">
        <f>'SER_se-appl'!K52</f>
        <v>0.66865726470650622</v>
      </c>
      <c r="L14" s="59">
        <f>'SER_se-appl'!L52</f>
        <v>0.65872957371837226</v>
      </c>
      <c r="M14" s="59">
        <f>'SER_se-appl'!M52</f>
        <v>0.64846618133258171</v>
      </c>
      <c r="N14" s="59">
        <f>'SER_se-appl'!N52</f>
        <v>0.6386733067285757</v>
      </c>
      <c r="O14" s="59">
        <f>'SER_se-appl'!O52</f>
        <v>0.62836432690794586</v>
      </c>
      <c r="P14" s="59">
        <f>'SER_se-appl'!P52</f>
        <v>0.61649646961489979</v>
      </c>
      <c r="Q14" s="59">
        <f>'SER_se-appl'!Q52</f>
        <v>0.60338492582914727</v>
      </c>
      <c r="R14" s="59">
        <f>'SER_se-appl'!R52</f>
        <v>0.59223200508446394</v>
      </c>
      <c r="S14" s="59">
        <f>'SER_se-appl'!S52</f>
        <v>0.58081127878293104</v>
      </c>
      <c r="T14" s="59">
        <f>'SER_se-appl'!T52</f>
        <v>0.56983270650843043</v>
      </c>
      <c r="U14" s="59">
        <f>'SER_se-appl'!U52</f>
        <v>0.5613152110175148</v>
      </c>
      <c r="V14" s="59">
        <f>'SER_se-appl'!V52</f>
        <v>0.55330803257237948</v>
      </c>
      <c r="W14" s="59">
        <f>'SER_se-appl'!W52</f>
        <v>0.54504440166080037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0.66277655691948456</v>
      </c>
      <c r="D15" s="63">
        <f>'SER_se-appl'!D60</f>
        <v>0.65397581013212791</v>
      </c>
      <c r="E15" s="63">
        <f>'SER_se-appl'!E60</f>
        <v>0.64694405949199651</v>
      </c>
      <c r="F15" s="63">
        <f>'SER_se-appl'!F60</f>
        <v>0.63715521414970711</v>
      </c>
      <c r="G15" s="63">
        <f>'SER_se-appl'!G60</f>
        <v>0.62814482895905455</v>
      </c>
      <c r="H15" s="63">
        <f>'SER_se-appl'!H60</f>
        <v>0.61824550308197512</v>
      </c>
      <c r="I15" s="63">
        <f>'SER_se-appl'!I60</f>
        <v>0.60840839778982392</v>
      </c>
      <c r="J15" s="63">
        <f>'SER_se-appl'!J60</f>
        <v>0.59824486210793693</v>
      </c>
      <c r="K15" s="63">
        <f>'SER_se-appl'!K60</f>
        <v>0.5883378256305698</v>
      </c>
      <c r="L15" s="63">
        <f>'SER_se-appl'!L60</f>
        <v>0.57719540208170783</v>
      </c>
      <c r="M15" s="63">
        <f>'SER_se-appl'!M60</f>
        <v>0.56544011218703927</v>
      </c>
      <c r="N15" s="63">
        <f>'SER_se-appl'!N60</f>
        <v>0.55380530957412488</v>
      </c>
      <c r="O15" s="63">
        <f>'SER_se-appl'!O60</f>
        <v>0.53987924085005101</v>
      </c>
      <c r="P15" s="63">
        <f>'SER_se-appl'!P60</f>
        <v>0.52386747428542646</v>
      </c>
      <c r="Q15" s="63">
        <f>'SER_se-appl'!Q60</f>
        <v>0.50812380975444127</v>
      </c>
      <c r="R15" s="63">
        <f>'SER_se-appl'!R60</f>
        <v>0.50482642423616408</v>
      </c>
      <c r="S15" s="63">
        <f>'SER_se-appl'!S60</f>
        <v>0.49997386171152541</v>
      </c>
      <c r="T15" s="63">
        <f>'SER_se-appl'!T60</f>
        <v>0.49546791129827922</v>
      </c>
      <c r="U15" s="63">
        <f>'SER_se-appl'!U60</f>
        <v>0.49135597405212683</v>
      </c>
      <c r="V15" s="63">
        <f>'SER_se-appl'!V60</f>
        <v>0.48728022137366983</v>
      </c>
      <c r="W15" s="63">
        <f>'SER_se-appl'!W60</f>
        <v>0.48541412206650442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45.610036142955238</v>
      </c>
      <c r="C3" s="199">
        <f>'SER_se-appl'!C5</f>
        <v>46.358849688669586</v>
      </c>
      <c r="D3" s="199">
        <f>'SER_se-appl'!D5</f>
        <v>47.2331980310137</v>
      </c>
      <c r="E3" s="199">
        <f>'SER_se-appl'!E5</f>
        <v>48.062613989731638</v>
      </c>
      <c r="F3" s="199">
        <f>'SER_se-appl'!F5</f>
        <v>49.207467434939552</v>
      </c>
      <c r="G3" s="199">
        <f>'SER_se-appl'!G5</f>
        <v>50.845883505483243</v>
      </c>
      <c r="H3" s="199">
        <f>'SER_se-appl'!H5</f>
        <v>52.16386352775131</v>
      </c>
      <c r="I3" s="199">
        <f>'SER_se-appl'!I5</f>
        <v>53.735941151574238</v>
      </c>
      <c r="J3" s="199">
        <f>'SER_se-appl'!J5</f>
        <v>55.382114319508794</v>
      </c>
      <c r="K3" s="199">
        <f>'SER_se-appl'!K5</f>
        <v>56.86970670617162</v>
      </c>
      <c r="L3" s="199">
        <f>'SER_se-appl'!L5</f>
        <v>57.699062568309181</v>
      </c>
      <c r="M3" s="199">
        <f>'SER_se-appl'!M5</f>
        <v>58.477249807903647</v>
      </c>
      <c r="N3" s="199">
        <f>'SER_se-appl'!N5</f>
        <v>59.296180826816681</v>
      </c>
      <c r="O3" s="199">
        <f>'SER_se-appl'!O5</f>
        <v>60.392488930330991</v>
      </c>
      <c r="P3" s="199">
        <f>'SER_se-appl'!P5</f>
        <v>61.398146849598113</v>
      </c>
      <c r="Q3" s="199">
        <f>'SER_se-appl'!Q5</f>
        <v>62.989749830390423</v>
      </c>
      <c r="R3" s="199">
        <f>'SER_se-appl'!R5</f>
        <v>63.675296149448499</v>
      </c>
      <c r="S3" s="199">
        <f>'SER_se-appl'!S5</f>
        <v>64.49508862195519</v>
      </c>
      <c r="T3" s="199">
        <f>'SER_se-appl'!T5</f>
        <v>63.746055851160875</v>
      </c>
      <c r="U3" s="199">
        <f>'SER_se-appl'!U5</f>
        <v>62.04918192103645</v>
      </c>
      <c r="V3" s="199">
        <f>'SER_se-appl'!V5</f>
        <v>60.522744410640463</v>
      </c>
      <c r="W3" s="199">
        <f>'SER_se-appl'!W5</f>
        <v>59.126821366769903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135.30665828115784</v>
      </c>
      <c r="C5" s="59">
        <f>'SER_se-appl'!C13</f>
        <v>137.35036246010313</v>
      </c>
      <c r="D5" s="59">
        <f>'SER_se-appl'!D13</f>
        <v>139.77966261420633</v>
      </c>
      <c r="E5" s="59">
        <f>'SER_se-appl'!E13</f>
        <v>142.05219708408839</v>
      </c>
      <c r="F5" s="59">
        <f>'SER_se-appl'!F13</f>
        <v>145.27258683609386</v>
      </c>
      <c r="G5" s="59">
        <f>'SER_se-appl'!G13</f>
        <v>149.86319055731036</v>
      </c>
      <c r="H5" s="59">
        <f>'SER_se-appl'!H13</f>
        <v>153.53623866068199</v>
      </c>
      <c r="I5" s="59">
        <f>'SER_se-appl'!I13</f>
        <v>158.15768484555301</v>
      </c>
      <c r="J5" s="59">
        <f>'SER_se-appl'!J13</f>
        <v>163.19365489049156</v>
      </c>
      <c r="K5" s="59">
        <f>'SER_se-appl'!K13</f>
        <v>167.75387850372039</v>
      </c>
      <c r="L5" s="59">
        <f>'SER_se-appl'!L13</f>
        <v>170.35044236259665</v>
      </c>
      <c r="M5" s="59">
        <f>'SER_se-appl'!M13</f>
        <v>173.10997241908581</v>
      </c>
      <c r="N5" s="59">
        <f>'SER_se-appl'!N13</f>
        <v>176.42392658982422</v>
      </c>
      <c r="O5" s="59">
        <f>'SER_se-appl'!O13</f>
        <v>180.73677988187742</v>
      </c>
      <c r="P5" s="59">
        <f>'SER_se-appl'!P13</f>
        <v>184.66695292196965</v>
      </c>
      <c r="Q5" s="59">
        <f>'SER_se-appl'!Q13</f>
        <v>190.91899038370784</v>
      </c>
      <c r="R5" s="59">
        <f>'SER_se-appl'!R13</f>
        <v>191.38429098024781</v>
      </c>
      <c r="S5" s="59">
        <f>'SER_se-appl'!S13</f>
        <v>191.61769627913665</v>
      </c>
      <c r="T5" s="59">
        <f>'SER_se-appl'!T13</f>
        <v>190.46432912256341</v>
      </c>
      <c r="U5" s="59">
        <f>'SER_se-appl'!U13</f>
        <v>187.59126394635481</v>
      </c>
      <c r="V5" s="59">
        <f>'SER_se-appl'!V13</f>
        <v>183.40001452130113</v>
      </c>
      <c r="W5" s="59">
        <f>'SER_se-appl'!W13</f>
        <v>178.65201296675824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6.5566722993985332E-2</v>
      </c>
      <c r="C6" s="202">
        <f>'SER_se-appl'!C69</f>
        <v>6.7532855043604442E-2</v>
      </c>
      <c r="D6" s="202">
        <f>'SER_se-appl'!D69</f>
        <v>6.9761687364786065E-2</v>
      </c>
      <c r="E6" s="202">
        <f>'SER_se-appl'!E69</f>
        <v>7.1939938607470569E-2</v>
      </c>
      <c r="F6" s="202">
        <f>'SER_se-appl'!F69</f>
        <v>7.4782114425473237E-2</v>
      </c>
      <c r="G6" s="202">
        <f>'SER_se-appl'!G69</f>
        <v>7.8628916035009003E-2</v>
      </c>
      <c r="H6" s="202">
        <f>'SER_se-appl'!H69</f>
        <v>8.2120347726027193E-2</v>
      </c>
      <c r="I6" s="202">
        <f>'SER_se-appl'!I69</f>
        <v>8.6448579998531672E-2</v>
      </c>
      <c r="J6" s="202">
        <f>'SER_se-appl'!J69</f>
        <v>8.9794591350690581E-2</v>
      </c>
      <c r="K6" s="202">
        <f>'SER_se-appl'!K69</f>
        <v>9.3059742232729198E-2</v>
      </c>
      <c r="L6" s="202">
        <f>'SER_se-appl'!L69</f>
        <v>9.5744590237054103E-2</v>
      </c>
      <c r="M6" s="202">
        <f>'SER_se-appl'!M69</f>
        <v>9.8942526308347656E-2</v>
      </c>
      <c r="N6" s="202">
        <f>'SER_se-appl'!N69</f>
        <v>0.10310316734224979</v>
      </c>
      <c r="O6" s="202">
        <f>'SER_se-appl'!O69</f>
        <v>0.10846020562054</v>
      </c>
      <c r="P6" s="202">
        <f>'SER_se-appl'!P69</f>
        <v>0.11466295211632141</v>
      </c>
      <c r="Q6" s="202">
        <f>'SER_se-appl'!Q69</f>
        <v>0.12299261697038447</v>
      </c>
      <c r="R6" s="202">
        <f>'SER_se-appl'!R69</f>
        <v>0.12818967705027909</v>
      </c>
      <c r="S6" s="202">
        <f>'SER_se-appl'!S69</f>
        <v>0.13341298867270845</v>
      </c>
      <c r="T6" s="202">
        <f>'SER_se-appl'!T69</f>
        <v>0.13845865857380119</v>
      </c>
      <c r="U6" s="202">
        <f>'SER_se-appl'!U69</f>
        <v>0.1431456020110578</v>
      </c>
      <c r="V6" s="202">
        <f>'SER_se-appl'!V69</f>
        <v>0.14734308742304952</v>
      </c>
      <c r="W6" s="202">
        <f>'SER_se-appl'!W69</f>
        <v>0.15447223236852067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673.9012044710347</v>
      </c>
      <c r="C8" s="34">
        <f>'SER_se-appl'!C21</f>
        <v>690.99799619324676</v>
      </c>
      <c r="D8" s="34">
        <f>'SER_se-appl'!D21</f>
        <v>711.651669435283</v>
      </c>
      <c r="E8" s="34">
        <f>'SER_se-appl'!E21</f>
        <v>733.25854330749621</v>
      </c>
      <c r="F8" s="34">
        <f>'SER_se-appl'!F21</f>
        <v>762.42960596140529</v>
      </c>
      <c r="G8" s="34">
        <f>'SER_se-appl'!G21</f>
        <v>801.92491344823179</v>
      </c>
      <c r="H8" s="34">
        <f>'SER_se-appl'!H21</f>
        <v>839.56369824381397</v>
      </c>
      <c r="I8" s="34">
        <f>'SER_se-appl'!I21</f>
        <v>886.46388182408339</v>
      </c>
      <c r="J8" s="34">
        <f>'SER_se-appl'!J21</f>
        <v>928.78335165774263</v>
      </c>
      <c r="K8" s="34">
        <f>'SER_se-appl'!K21</f>
        <v>970.22067855437012</v>
      </c>
      <c r="L8" s="34">
        <f>'SER_se-appl'!L21</f>
        <v>1001.6883285840009</v>
      </c>
      <c r="M8" s="34">
        <f>'SER_se-appl'!M21</f>
        <v>1037.583657856065</v>
      </c>
      <c r="N8" s="34">
        <f>'SER_se-appl'!N21</f>
        <v>1083.1446538398015</v>
      </c>
      <c r="O8" s="34">
        <f>'SER_se-appl'!O21</f>
        <v>1140.5810798313012</v>
      </c>
      <c r="P8" s="34">
        <f>'SER_se-appl'!P21</f>
        <v>1205.3849964237074</v>
      </c>
      <c r="Q8" s="34">
        <f>'SER_se-appl'!Q21</f>
        <v>1296.1300206035783</v>
      </c>
      <c r="R8" s="34">
        <f>'SER_se-appl'!R21</f>
        <v>1352.8937258093486</v>
      </c>
      <c r="S8" s="34">
        <f>'SER_se-appl'!S21</f>
        <v>1411.3519928306216</v>
      </c>
      <c r="T8" s="34">
        <f>'SER_se-appl'!T21</f>
        <v>1469.0539826942522</v>
      </c>
      <c r="U8" s="34">
        <f>'SER_se-appl'!U21</f>
        <v>1524.4720322973633</v>
      </c>
      <c r="V8" s="34">
        <f>'SER_se-appl'!V21</f>
        <v>1575.6779889737588</v>
      </c>
      <c r="W8" s="34">
        <f>'SER_se-appl'!W21</f>
        <v>1621.160745261516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101.63394389555879</v>
      </c>
      <c r="D9" s="36">
        <f>'SER_se-appl'!D29</f>
        <v>108.829717113931</v>
      </c>
      <c r="E9" s="36">
        <f>'SER_se-appl'!E29</f>
        <v>113.57844510464997</v>
      </c>
      <c r="F9" s="36">
        <f>'SER_se-appl'!F29</f>
        <v>125.10153927239276</v>
      </c>
      <c r="G9" s="36">
        <f>'SER_se-appl'!G29</f>
        <v>139.55510010461137</v>
      </c>
      <c r="H9" s="36">
        <f>'SER_se-appl'!H29</f>
        <v>142.00563933057799</v>
      </c>
      <c r="I9" s="36">
        <f>'SER_se-appl'!I29</f>
        <v>155.75949700236163</v>
      </c>
      <c r="J9" s="36">
        <f>'SER_se-appl'!J29</f>
        <v>143.95341372921803</v>
      </c>
      <c r="K9" s="36">
        <f>'SER_se-appl'!K29</f>
        <v>150.26704401055849</v>
      </c>
      <c r="L9" s="36">
        <f>'SER_se-appl'!L29</f>
        <v>145.04609513428079</v>
      </c>
      <c r="M9" s="36">
        <f>'SER_se-appl'!M29</f>
        <v>160.99686854445679</v>
      </c>
      <c r="N9" s="36">
        <f>'SER_se-appl'!N29</f>
        <v>185.11609608834794</v>
      </c>
      <c r="O9" s="36">
        <f>'SER_se-appl'!O29</f>
        <v>199.44206532207761</v>
      </c>
      <c r="P9" s="36">
        <f>'SER_se-appl'!P29</f>
        <v>220.56341359476789</v>
      </c>
      <c r="Q9" s="36">
        <f>'SER_se-appl'!Q29</f>
        <v>234.69843790908885</v>
      </c>
      <c r="R9" s="36">
        <f>'SER_se-appl'!R29</f>
        <v>207.03074921632879</v>
      </c>
      <c r="S9" s="36">
        <f>'SER_se-appl'!S29</f>
        <v>203.50436215555396</v>
      </c>
      <c r="T9" s="36">
        <f>'SER_se-appl'!T29</f>
        <v>218.69885840808729</v>
      </c>
      <c r="U9" s="36">
        <f>'SER_se-appl'!U29</f>
        <v>240.53414569145912</v>
      </c>
      <c r="V9" s="36">
        <f>'SER_se-appl'!V29</f>
        <v>250.64802199847304</v>
      </c>
      <c r="W9" s="36">
        <f>'SER_se-appl'!W29</f>
        <v>266.04616988252496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84.537152173346726</v>
      </c>
      <c r="D10" s="38">
        <f>'SER_se-appl'!D37</f>
        <v>88.176043871894763</v>
      </c>
      <c r="E10" s="38">
        <f>'SER_se-appl'!E37</f>
        <v>91.971571232436759</v>
      </c>
      <c r="F10" s="38">
        <f>'SER_se-appl'!F37</f>
        <v>95.930476618483681</v>
      </c>
      <c r="G10" s="38">
        <f>'SER_se-appl'!G37</f>
        <v>100.05979261778486</v>
      </c>
      <c r="H10" s="38">
        <f>'SER_se-appl'!H37</f>
        <v>104.36685453499581</v>
      </c>
      <c r="I10" s="38">
        <f>'SER_se-appl'!I37</f>
        <v>108.85931342209221</v>
      </c>
      <c r="J10" s="38">
        <f>'SER_se-appl'!J37</f>
        <v>101.63394389555867</v>
      </c>
      <c r="K10" s="38">
        <f>'SER_se-appl'!K37</f>
        <v>108.82971711393088</v>
      </c>
      <c r="L10" s="38">
        <f>'SER_se-appl'!L37</f>
        <v>113.57844510465009</v>
      </c>
      <c r="M10" s="38">
        <f>'SER_se-appl'!M37</f>
        <v>125.10153927239276</v>
      </c>
      <c r="N10" s="38">
        <f>'SER_se-appl'!N37</f>
        <v>139.55510010461126</v>
      </c>
      <c r="O10" s="38">
        <f>'SER_se-appl'!O37</f>
        <v>142.00563933057788</v>
      </c>
      <c r="P10" s="38">
        <f>'SER_se-appl'!P37</f>
        <v>155.75949700236151</v>
      </c>
      <c r="Q10" s="38">
        <f>'SER_se-appl'!Q37</f>
        <v>143.95341372921803</v>
      </c>
      <c r="R10" s="38">
        <f>'SER_se-appl'!R37</f>
        <v>150.26704401055849</v>
      </c>
      <c r="S10" s="38">
        <f>'SER_se-appl'!S37</f>
        <v>145.0460951342809</v>
      </c>
      <c r="T10" s="38">
        <f>'SER_se-appl'!T37</f>
        <v>160.99686854445667</v>
      </c>
      <c r="U10" s="38">
        <f>'SER_se-appl'!U37</f>
        <v>185.11609608834806</v>
      </c>
      <c r="V10" s="38">
        <f>'SER_se-appl'!V37</f>
        <v>199.4420653220775</v>
      </c>
      <c r="W10" s="38">
        <f>'SER_se-appl'!W37</f>
        <v>220.56341359476778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3920.31498731084</v>
      </c>
      <c r="C12" s="205">
        <f>'SER_se-appl'!C45</f>
        <v>3925.3876889901762</v>
      </c>
      <c r="D12" s="205">
        <f>'SER_se-appl'!D45</f>
        <v>3929.9142867215628</v>
      </c>
      <c r="E12" s="205">
        <f>'SER_se-appl'!E45</f>
        <v>3934.9493508340138</v>
      </c>
      <c r="F12" s="205">
        <f>'SER_se-appl'!F45</f>
        <v>3939.372587300551</v>
      </c>
      <c r="G12" s="205">
        <f>'SER_se-appl'!G45</f>
        <v>3945.8496977790687</v>
      </c>
      <c r="H12" s="205">
        <f>'SER_se-appl'!H45</f>
        <v>3951.2869282182332</v>
      </c>
      <c r="I12" s="205">
        <f>'SER_se-appl'!I45</f>
        <v>3951.4298416994079</v>
      </c>
      <c r="J12" s="205">
        <f>'SER_se-appl'!J45</f>
        <v>3946.8077969581359</v>
      </c>
      <c r="K12" s="205">
        <f>'SER_se-appl'!K45</f>
        <v>3942.6491649080281</v>
      </c>
      <c r="L12" s="205">
        <f>'SER_se-appl'!L45</f>
        <v>3939.1743770239491</v>
      </c>
      <c r="M12" s="205">
        <f>'SER_se-appl'!M45</f>
        <v>3928.6611034716898</v>
      </c>
      <c r="N12" s="205">
        <f>'SER_se-appl'!N45</f>
        <v>3908.8495327461642</v>
      </c>
      <c r="O12" s="205">
        <f>'SER_se-appl'!O45</f>
        <v>3886.1190661844689</v>
      </c>
      <c r="P12" s="205">
        <f>'SER_se-appl'!P45</f>
        <v>3866.7473338478148</v>
      </c>
      <c r="Q12" s="205">
        <f>'SER_se-appl'!Q45</f>
        <v>3837.0766001597026</v>
      </c>
      <c r="R12" s="205">
        <f>'SER_se-appl'!R45</f>
        <v>3869.4068903205612</v>
      </c>
      <c r="S12" s="205">
        <f>'SER_se-appl'!S45</f>
        <v>3914.4499450649505</v>
      </c>
      <c r="T12" s="205">
        <f>'SER_se-appl'!T45</f>
        <v>3892.4171941504756</v>
      </c>
      <c r="U12" s="205">
        <f>'SER_se-appl'!U45</f>
        <v>3846.8315131562731</v>
      </c>
      <c r="V12" s="205">
        <f>'SER_se-appl'!V45</f>
        <v>3837.9469016563025</v>
      </c>
      <c r="W12" s="205">
        <f>'SER_se-appl'!W45</f>
        <v>3849.0746400013081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200.78114920029577</v>
      </c>
      <c r="C14" s="59">
        <f>'SER_se-appl'!C53</f>
        <v>198.77099965090386</v>
      </c>
      <c r="D14" s="59">
        <f>'SER_se-appl'!D53</f>
        <v>196.41584305581083</v>
      </c>
      <c r="E14" s="59">
        <f>'SER_se-appl'!E53</f>
        <v>193.7272990278928</v>
      </c>
      <c r="F14" s="59">
        <f>'SER_se-appl'!F53</f>
        <v>190.53901593040663</v>
      </c>
      <c r="G14" s="59">
        <f>'SER_se-appl'!G53</f>
        <v>186.87933002718063</v>
      </c>
      <c r="H14" s="59">
        <f>'SER_se-appl'!H53</f>
        <v>182.87622366456134</v>
      </c>
      <c r="I14" s="59">
        <f>'SER_se-appl'!I53</f>
        <v>178.41413292565372</v>
      </c>
      <c r="J14" s="59">
        <f>'SER_se-appl'!J53</f>
        <v>175.70691227315254</v>
      </c>
      <c r="K14" s="59">
        <f>'SER_se-appl'!K53</f>
        <v>172.90280676523392</v>
      </c>
      <c r="L14" s="59">
        <f>'SER_se-appl'!L53</f>
        <v>170.06331959902752</v>
      </c>
      <c r="M14" s="59">
        <f>'SER_se-appl'!M53</f>
        <v>166.83953251227848</v>
      </c>
      <c r="N14" s="59">
        <f>'SER_se-appl'!N53</f>
        <v>162.88122363378949</v>
      </c>
      <c r="O14" s="59">
        <f>'SER_se-appl'!O53</f>
        <v>158.46026475260265</v>
      </c>
      <c r="P14" s="59">
        <f>'SER_se-appl'!P53</f>
        <v>153.20163555201327</v>
      </c>
      <c r="Q14" s="59">
        <f>'SER_se-appl'!Q53</f>
        <v>147.2992580596206</v>
      </c>
      <c r="R14" s="59">
        <f>'SER_se-appl'!R53</f>
        <v>141.46291562240413</v>
      </c>
      <c r="S14" s="59">
        <f>'SER_se-appl'!S53</f>
        <v>135.76889199329096</v>
      </c>
      <c r="T14" s="59">
        <f>'SER_se-appl'!T53</f>
        <v>129.65100763230694</v>
      </c>
      <c r="U14" s="59">
        <f>'SER_se-appl'!U53</f>
        <v>123.05326694885754</v>
      </c>
      <c r="V14" s="59">
        <f>'SER_se-appl'!V53</f>
        <v>116.39434948301195</v>
      </c>
      <c r="W14" s="59">
        <f>'SER_se-appl'!W53</f>
        <v>110.2000609680067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187.11436370089666</v>
      </c>
      <c r="D15" s="63">
        <f>'SER_se-appl'!D61</f>
        <v>184.99898840645534</v>
      </c>
      <c r="E15" s="63">
        <f>'SER_se-appl'!E61</f>
        <v>182.59355652015807</v>
      </c>
      <c r="F15" s="63">
        <f>'SER_se-appl'!F61</f>
        <v>179.70539148879911</v>
      </c>
      <c r="G15" s="63">
        <f>'SER_se-appl'!G61</f>
        <v>176.8528979109887</v>
      </c>
      <c r="H15" s="63">
        <f>'SER_se-appl'!H61</f>
        <v>173.42934556279326</v>
      </c>
      <c r="I15" s="63">
        <f>'SER_se-appl'!I61</f>
        <v>169.9950548409409</v>
      </c>
      <c r="J15" s="63">
        <f>'SER_se-appl'!J61</f>
        <v>167.08975608326693</v>
      </c>
      <c r="K15" s="63">
        <f>'SER_se-appl'!K61</f>
        <v>164.33151627133711</v>
      </c>
      <c r="L15" s="63">
        <f>'SER_se-appl'!L61</f>
        <v>160.88165677925005</v>
      </c>
      <c r="M15" s="63">
        <f>'SER_se-appl'!M61</f>
        <v>156.77914344225871</v>
      </c>
      <c r="N15" s="63">
        <f>'SER_se-appl'!N61</f>
        <v>151.22768162276097</v>
      </c>
      <c r="O15" s="63">
        <f>'SER_se-appl'!O61</f>
        <v>145.10879808953572</v>
      </c>
      <c r="P15" s="63">
        <f>'SER_se-appl'!P61</f>
        <v>137.86745852090587</v>
      </c>
      <c r="Q15" s="63">
        <f>'SER_se-appl'!Q61</f>
        <v>129.12390265181767</v>
      </c>
      <c r="R15" s="63">
        <f>'SER_se-appl'!R61</f>
        <v>121.52258483167633</v>
      </c>
      <c r="S15" s="63">
        <f>'SER_se-appl'!S61</f>
        <v>115.81403535437374</v>
      </c>
      <c r="T15" s="63">
        <f>'SER_se-appl'!T61</f>
        <v>110.14041941529354</v>
      </c>
      <c r="U15" s="63">
        <f>'SER_se-appl'!U61</f>
        <v>104.44094244528922</v>
      </c>
      <c r="V15" s="63">
        <f>'SER_se-appl'!V61</f>
        <v>98.742247255709145</v>
      </c>
      <c r="W15" s="63">
        <f>'SER_se-appl'!W61</f>
        <v>96.451363053991031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206.44329602216385</v>
      </c>
      <c r="C3" s="199">
        <f>'SER_se-appl'!C6</f>
        <v>210.74561243699287</v>
      </c>
      <c r="D3" s="199">
        <f>'SER_se-appl'!D6</f>
        <v>214.55113325234217</v>
      </c>
      <c r="E3" s="199">
        <f>'SER_se-appl'!E6</f>
        <v>218.60984167873681</v>
      </c>
      <c r="F3" s="199">
        <f>'SER_se-appl'!F6</f>
        <v>223.81667697765181</v>
      </c>
      <c r="G3" s="199">
        <f>'SER_se-appl'!G6</f>
        <v>230.60873903383282</v>
      </c>
      <c r="H3" s="199">
        <f>'SER_se-appl'!H6</f>
        <v>237.28819109102858</v>
      </c>
      <c r="I3" s="199">
        <f>'SER_se-appl'!I6</f>
        <v>243.71766058535016</v>
      </c>
      <c r="J3" s="199">
        <f>'SER_se-appl'!J6</f>
        <v>250.13195192387823</v>
      </c>
      <c r="K3" s="199">
        <f>'SER_se-appl'!K6</f>
        <v>247.74162034686233</v>
      </c>
      <c r="L3" s="199">
        <f>'SER_se-appl'!L6</f>
        <v>254.31661258462046</v>
      </c>
      <c r="M3" s="199">
        <f>'SER_se-appl'!M6</f>
        <v>257.30604962243848</v>
      </c>
      <c r="N3" s="199">
        <f>'SER_se-appl'!N6</f>
        <v>259.24889445899163</v>
      </c>
      <c r="O3" s="199">
        <f>'SER_se-appl'!O6</f>
        <v>260.0292326179532</v>
      </c>
      <c r="P3" s="199">
        <f>'SER_se-appl'!P6</f>
        <v>263.67940326587274</v>
      </c>
      <c r="Q3" s="199">
        <f>'SER_se-appl'!Q6</f>
        <v>272.36997984615562</v>
      </c>
      <c r="R3" s="199">
        <f>'SER_se-appl'!R6</f>
        <v>270.473827389024</v>
      </c>
      <c r="S3" s="199">
        <f>'SER_se-appl'!S6</f>
        <v>270.42327613419707</v>
      </c>
      <c r="T3" s="199">
        <f>'SER_se-appl'!T6</f>
        <v>261.54376106565172</v>
      </c>
      <c r="U3" s="199">
        <f>'SER_se-appl'!U6</f>
        <v>249.96697653890377</v>
      </c>
      <c r="V3" s="199">
        <f>'SER_se-appl'!V6</f>
        <v>226.34070648753587</v>
      </c>
      <c r="W3" s="199">
        <f>'SER_se-appl'!W6</f>
        <v>211.64103347298519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1075.9632765987435</v>
      </c>
      <c r="C5" s="59">
        <f>'SER_se-appl'!C14</f>
        <v>1089.819062749476</v>
      </c>
      <c r="D5" s="59">
        <f>'SER_se-appl'!D14</f>
        <v>1102.2952171491399</v>
      </c>
      <c r="E5" s="59">
        <f>'SER_se-appl'!E14</f>
        <v>1115.3646050624307</v>
      </c>
      <c r="F5" s="59">
        <f>'SER_se-appl'!F14</f>
        <v>1132.3231450503431</v>
      </c>
      <c r="G5" s="59">
        <f>'SER_se-appl'!G14</f>
        <v>1155.1388058850873</v>
      </c>
      <c r="H5" s="59">
        <f>'SER_se-appl'!H14</f>
        <v>1178.8122754503502</v>
      </c>
      <c r="I5" s="59">
        <f>'SER_se-appl'!I14</f>
        <v>1200.8640885107286</v>
      </c>
      <c r="J5" s="59">
        <f>'SER_se-appl'!J14</f>
        <v>1227.2117751138969</v>
      </c>
      <c r="K5" s="59">
        <f>'SER_se-appl'!K14</f>
        <v>1211.4328063546168</v>
      </c>
      <c r="L5" s="59">
        <f>'SER_se-appl'!L14</f>
        <v>1239.5266611098932</v>
      </c>
      <c r="M5" s="59">
        <f>'SER_se-appl'!M14</f>
        <v>1248.2197839748051</v>
      </c>
      <c r="N5" s="59">
        <f>'SER_se-appl'!N14</f>
        <v>1252.8528497348377</v>
      </c>
      <c r="O5" s="59">
        <f>'SER_se-appl'!O14</f>
        <v>1251.5516755611659</v>
      </c>
      <c r="P5" s="59">
        <f>'SER_se-appl'!P14</f>
        <v>1264.5271828649684</v>
      </c>
      <c r="Q5" s="59">
        <f>'SER_se-appl'!Q14</f>
        <v>1299.6115048033641</v>
      </c>
      <c r="R5" s="59">
        <f>'SER_se-appl'!R14</f>
        <v>1274.3910492448545</v>
      </c>
      <c r="S5" s="59">
        <f>'SER_se-appl'!S14</f>
        <v>1251.5887971909992</v>
      </c>
      <c r="T5" s="59">
        <f>'SER_se-appl'!T14</f>
        <v>1215.7049914808761</v>
      </c>
      <c r="U5" s="59">
        <f>'SER_se-appl'!U14</f>
        <v>1176.0685083600608</v>
      </c>
      <c r="V5" s="59">
        <f>'SER_se-appl'!V14</f>
        <v>1118.4811103864859</v>
      </c>
      <c r="W5" s="59">
        <f>'SER_se-appl'!W14</f>
        <v>1052.7293277132724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113.05834891530097</v>
      </c>
      <c r="C6" s="202">
        <f>'SER_se-appl'!C70</f>
        <v>114.03113434515024</v>
      </c>
      <c r="D6" s="202">
        <f>'SER_se-appl'!D70</f>
        <v>115.71968247450859</v>
      </c>
      <c r="E6" s="202">
        <f>'SER_se-appl'!E70</f>
        <v>117.33541333793862</v>
      </c>
      <c r="F6" s="202">
        <f>'SER_se-appl'!F70</f>
        <v>119.39063457265905</v>
      </c>
      <c r="G6" s="202">
        <f>'SER_se-appl'!G70</f>
        <v>120.91852950844414</v>
      </c>
      <c r="H6" s="202">
        <f>'SER_se-appl'!H70</f>
        <v>122.92999658110237</v>
      </c>
      <c r="I6" s="202">
        <f>'SER_se-appl'!I70</f>
        <v>124.69650368784363</v>
      </c>
      <c r="J6" s="202">
        <f>'SER_se-appl'!J70</f>
        <v>128.31023122923008</v>
      </c>
      <c r="K6" s="202">
        <f>'SER_se-appl'!K70</f>
        <v>132.65849111788907</v>
      </c>
      <c r="L6" s="202">
        <f>'SER_se-appl'!L70</f>
        <v>138.59850726676268</v>
      </c>
      <c r="M6" s="202">
        <f>'SER_se-appl'!M70</f>
        <v>142.30459863803625</v>
      </c>
      <c r="N6" s="202">
        <f>'SER_se-appl'!N70</f>
        <v>147.52446352138861</v>
      </c>
      <c r="O6" s="202">
        <f>'SER_se-appl'!O70</f>
        <v>152.33336029752434</v>
      </c>
      <c r="P6" s="202">
        <f>'SER_se-appl'!P70</f>
        <v>158.99088893795872</v>
      </c>
      <c r="Q6" s="202">
        <f>'SER_se-appl'!Q70</f>
        <v>167.41323856371935</v>
      </c>
      <c r="R6" s="202">
        <f>'SER_se-appl'!R70</f>
        <v>171.98761262911987</v>
      </c>
      <c r="S6" s="202">
        <f>'SER_se-appl'!S70</f>
        <v>176.62995463328826</v>
      </c>
      <c r="T6" s="202">
        <f>'SER_se-appl'!T70</f>
        <v>181.05122865068606</v>
      </c>
      <c r="U6" s="202">
        <f>'SER_se-appl'!U70</f>
        <v>185.07467450242126</v>
      </c>
      <c r="V6" s="202">
        <f>'SER_se-appl'!V70</f>
        <v>188.37087695872151</v>
      </c>
      <c r="W6" s="202">
        <f>'SER_se-appl'!W70</f>
        <v>190.4040364136952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24.582835344219216</v>
      </c>
      <c r="C8" s="34">
        <f>'SER_se-appl'!C22</f>
        <v>25.160127724451542</v>
      </c>
      <c r="D8" s="34">
        <f>'SER_se-appl'!D22</f>
        <v>25.867978333046782</v>
      </c>
      <c r="E8" s="34">
        <f>'SER_se-appl'!E22</f>
        <v>26.729214542637589</v>
      </c>
      <c r="F8" s="34">
        <f>'SER_se-appl'!F22</f>
        <v>27.79743435178473</v>
      </c>
      <c r="G8" s="34">
        <f>'SER_se-appl'!G22</f>
        <v>29.200401363791162</v>
      </c>
      <c r="H8" s="34">
        <f>'SER_se-appl'!H22</f>
        <v>30.840700273844082</v>
      </c>
      <c r="I8" s="34">
        <f>'SER_se-appl'!I22</f>
        <v>32.333974124104998</v>
      </c>
      <c r="J8" s="34">
        <f>'SER_se-appl'!J22</f>
        <v>33.989134968838066</v>
      </c>
      <c r="K8" s="34">
        <f>'SER_se-appl'!K22</f>
        <v>34.446369715896338</v>
      </c>
      <c r="L8" s="34">
        <f>'SER_se-appl'!L22</f>
        <v>36.47210942690252</v>
      </c>
      <c r="M8" s="34">
        <f>'SER_se-appl'!M22</f>
        <v>38.014868164758944</v>
      </c>
      <c r="N8" s="34">
        <f>'SER_se-appl'!N22</f>
        <v>39.674476833889123</v>
      </c>
      <c r="O8" s="34">
        <f>'SER_se-appl'!O22</f>
        <v>41.20802502286228</v>
      </c>
      <c r="P8" s="34">
        <f>'SER_se-appl'!P22</f>
        <v>43.601816548362116</v>
      </c>
      <c r="Q8" s="34">
        <f>'SER_se-appl'!Q22</f>
        <v>46.957522840039452</v>
      </c>
      <c r="R8" s="34">
        <f>'SER_se-appl'!R22</f>
        <v>48.905545157183802</v>
      </c>
      <c r="S8" s="34">
        <f>'SER_se-appl'!S22</f>
        <v>51.176702106652563</v>
      </c>
      <c r="T8" s="34">
        <f>'SER_se-appl'!T22</f>
        <v>53.324025570284391</v>
      </c>
      <c r="U8" s="34">
        <f>'SER_se-appl'!U22</f>
        <v>55.360502941870138</v>
      </c>
      <c r="V8" s="34">
        <f>'SER_se-appl'!V22</f>
        <v>57.139166220113168</v>
      </c>
      <c r="W8" s="34">
        <f>'SER_se-appl'!W22</f>
        <v>58.495688649535239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4.4162978350591118</v>
      </c>
      <c r="D9" s="36">
        <f>'SER_se-appl'!D30</f>
        <v>4.6465870987843481</v>
      </c>
      <c r="E9" s="36">
        <f>'SER_se-appl'!E30</f>
        <v>4.9022945830926901</v>
      </c>
      <c r="F9" s="36">
        <f>'SER_se-appl'!F30</f>
        <v>5.2142582198725158</v>
      </c>
      <c r="G9" s="36">
        <f>'SER_se-appl'!G30</f>
        <v>5.6567126683242037</v>
      </c>
      <c r="H9" s="36">
        <f>'SER_se-appl'!H30</f>
        <v>6.0045498687112122</v>
      </c>
      <c r="I9" s="36">
        <f>'SER_se-appl'!I30</f>
        <v>5.909571685320028</v>
      </c>
      <c r="J9" s="36">
        <f>'SER_se-appl'!J30</f>
        <v>6.301747943517416</v>
      </c>
      <c r="K9" s="36">
        <f>'SER_se-appl'!K30</f>
        <v>5.3595293301509628</v>
      </c>
      <c r="L9" s="36">
        <f>'SER_se-appl'!L30</f>
        <v>7.2399979308786975</v>
      </c>
      <c r="M9" s="36">
        <f>'SER_se-appl'!M30</f>
        <v>7.1994714061806278</v>
      </c>
      <c r="N9" s="36">
        <f>'SER_se-appl'!N30</f>
        <v>7.664158537841395</v>
      </c>
      <c r="O9" s="36">
        <f>'SER_se-appl'!O30</f>
        <v>7.4431198742931812</v>
      </c>
      <c r="P9" s="36">
        <f>'SER_se-appl'!P30</f>
        <v>8.6955394690172554</v>
      </c>
      <c r="Q9" s="36">
        <f>'SER_se-appl'!Q30</f>
        <v>8.7152356218282989</v>
      </c>
      <c r="R9" s="36">
        <f>'SER_se-appl'!R30</f>
        <v>9.1880202480230437</v>
      </c>
      <c r="S9" s="36">
        <f>'SER_se-appl'!S30</f>
        <v>9.4706283556493887</v>
      </c>
      <c r="T9" s="36">
        <f>'SER_se-appl'!T30</f>
        <v>9.8114820014732231</v>
      </c>
      <c r="U9" s="36">
        <f>'SER_se-appl'!U30</f>
        <v>9.4795972458789279</v>
      </c>
      <c r="V9" s="36">
        <f>'SER_se-appl'!V30</f>
        <v>10.474202747260286</v>
      </c>
      <c r="W9" s="36">
        <f>'SER_se-appl'!W30</f>
        <v>10.07175805125037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3.8390054548267862</v>
      </c>
      <c r="D10" s="38">
        <f>'SER_se-appl'!D38</f>
        <v>3.9387364901891075</v>
      </c>
      <c r="E10" s="38">
        <f>'SER_se-appl'!E38</f>
        <v>4.0410583735018832</v>
      </c>
      <c r="F10" s="38">
        <f>'SER_se-appl'!F38</f>
        <v>4.1460384107253745</v>
      </c>
      <c r="G10" s="38">
        <f>'SER_se-appl'!G38</f>
        <v>4.253745656317772</v>
      </c>
      <c r="H10" s="38">
        <f>'SER_se-appl'!H38</f>
        <v>4.3642509586582925</v>
      </c>
      <c r="I10" s="38">
        <f>'SER_se-appl'!I38</f>
        <v>4.4162978350591118</v>
      </c>
      <c r="J10" s="38">
        <f>'SER_se-appl'!J38</f>
        <v>4.6465870987843445</v>
      </c>
      <c r="K10" s="38">
        <f>'SER_se-appl'!K38</f>
        <v>4.9022945830926901</v>
      </c>
      <c r="L10" s="38">
        <f>'SER_se-appl'!L38</f>
        <v>5.2142582198725194</v>
      </c>
      <c r="M10" s="38">
        <f>'SER_se-appl'!M38</f>
        <v>5.6567126683242037</v>
      </c>
      <c r="N10" s="38">
        <f>'SER_se-appl'!N38</f>
        <v>6.0045498687112158</v>
      </c>
      <c r="O10" s="38">
        <f>'SER_se-appl'!O38</f>
        <v>5.9095716853200244</v>
      </c>
      <c r="P10" s="38">
        <f>'SER_se-appl'!P38</f>
        <v>6.3017479435174195</v>
      </c>
      <c r="Q10" s="38">
        <f>'SER_se-appl'!Q38</f>
        <v>5.3595293301509628</v>
      </c>
      <c r="R10" s="38">
        <f>'SER_se-appl'!R38</f>
        <v>7.2399979308786939</v>
      </c>
      <c r="S10" s="38">
        <f>'SER_se-appl'!S38</f>
        <v>7.1994714061806278</v>
      </c>
      <c r="T10" s="38">
        <f>'SER_se-appl'!T38</f>
        <v>7.664158537841395</v>
      </c>
      <c r="U10" s="38">
        <f>'SER_se-appl'!U38</f>
        <v>7.4431198742931812</v>
      </c>
      <c r="V10" s="38">
        <f>'SER_se-appl'!V38</f>
        <v>8.6955394690172625</v>
      </c>
      <c r="W10" s="38">
        <f>'SER_se-appl'!W38</f>
        <v>8.7152356218282989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2231.4288832676775</v>
      </c>
      <c r="C12" s="205">
        <f>'SER_se-appl'!C46</f>
        <v>2248.9710048370189</v>
      </c>
      <c r="D12" s="205">
        <f>'SER_se-appl'!D46</f>
        <v>2263.6673378463333</v>
      </c>
      <c r="E12" s="205">
        <f>'SER_se-appl'!E46</f>
        <v>2279.4630985994045</v>
      </c>
      <c r="F12" s="205">
        <f>'SER_se-appl'!F46</f>
        <v>2298.8030975330471</v>
      </c>
      <c r="G12" s="205">
        <f>'SER_se-appl'!G46</f>
        <v>2321.7812623899313</v>
      </c>
      <c r="H12" s="205">
        <f>'SER_se-appl'!H46</f>
        <v>2341.0527018259704</v>
      </c>
      <c r="I12" s="205">
        <f>'SER_se-appl'!I46</f>
        <v>2360.3307149627526</v>
      </c>
      <c r="J12" s="205">
        <f>'SER_se-appl'!J46</f>
        <v>2370.4422169553563</v>
      </c>
      <c r="K12" s="205">
        <f>'SER_se-appl'!K46</f>
        <v>2378.3696706250489</v>
      </c>
      <c r="L12" s="205">
        <f>'SER_se-appl'!L46</f>
        <v>2386.1545678337884</v>
      </c>
      <c r="M12" s="205">
        <f>'SER_se-appl'!M46</f>
        <v>2397.3897830555147</v>
      </c>
      <c r="N12" s="205">
        <f>'SER_se-appl'!N46</f>
        <v>2406.5592724606099</v>
      </c>
      <c r="O12" s="205">
        <f>'SER_se-appl'!O46</f>
        <v>2416.3125138167734</v>
      </c>
      <c r="P12" s="205">
        <f>'SER_se-appl'!P46</f>
        <v>2425.0893943096544</v>
      </c>
      <c r="Q12" s="205">
        <f>'SER_se-appl'!Q46</f>
        <v>2437.3921390377877</v>
      </c>
      <c r="R12" s="205">
        <f>'SER_se-appl'!R46</f>
        <v>2468.3244710470094</v>
      </c>
      <c r="S12" s="205">
        <f>'SER_se-appl'!S46</f>
        <v>2512.8242666435153</v>
      </c>
      <c r="T12" s="205">
        <f>'SER_se-appl'!T46</f>
        <v>2502.0493972705535</v>
      </c>
      <c r="U12" s="205">
        <f>'SER_se-appl'!U46</f>
        <v>2471.893360363169</v>
      </c>
      <c r="V12" s="205">
        <f>'SER_se-appl'!V46</f>
        <v>2353.4974279006365</v>
      </c>
      <c r="W12" s="205">
        <f>'SER_se-appl'!W46</f>
        <v>2338.0988393639727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43.768884326508818</v>
      </c>
      <c r="C14" s="59">
        <f>'SER_se-appl'!C54</f>
        <v>43.315323144816531</v>
      </c>
      <c r="D14" s="59">
        <f>'SER_se-appl'!D54</f>
        <v>42.612344998794867</v>
      </c>
      <c r="E14" s="59">
        <f>'SER_se-appl'!E54</f>
        <v>41.728297076714945</v>
      </c>
      <c r="F14" s="59">
        <f>'SER_se-appl'!F54</f>
        <v>40.734807778317226</v>
      </c>
      <c r="G14" s="59">
        <f>'SER_se-appl'!G54</f>
        <v>39.559004394969477</v>
      </c>
      <c r="H14" s="59">
        <f>'SER_se-appl'!H54</f>
        <v>38.222617028255286</v>
      </c>
      <c r="I14" s="59">
        <f>'SER_se-appl'!I54</f>
        <v>37.139390410270778</v>
      </c>
      <c r="J14" s="59">
        <f>'SER_se-appl'!J54</f>
        <v>36.106001998551292</v>
      </c>
      <c r="K14" s="59">
        <f>'SER_se-appl'!K54</f>
        <v>35.168664110214316</v>
      </c>
      <c r="L14" s="59">
        <f>'SER_se-appl'!L54</f>
        <v>33.985603810334993</v>
      </c>
      <c r="M14" s="59">
        <f>'SER_se-appl'!M54</f>
        <v>32.835041767472092</v>
      </c>
      <c r="N14" s="59">
        <f>'SER_se-appl'!N54</f>
        <v>31.578308013495381</v>
      </c>
      <c r="O14" s="59">
        <f>'SER_se-appl'!O54</f>
        <v>30.371552018491613</v>
      </c>
      <c r="P14" s="59">
        <f>'SER_se-appl'!P54</f>
        <v>29.00170871235111</v>
      </c>
      <c r="Q14" s="59">
        <f>'SER_se-appl'!Q54</f>
        <v>27.676321624343</v>
      </c>
      <c r="R14" s="59">
        <f>'SER_se-appl'!R54</f>
        <v>26.058211704806187</v>
      </c>
      <c r="S14" s="59">
        <f>'SER_se-appl'!S54</f>
        <v>24.456222180606332</v>
      </c>
      <c r="T14" s="59">
        <f>'SER_se-appl'!T54</f>
        <v>22.798447388007137</v>
      </c>
      <c r="U14" s="59">
        <f>'SER_se-appl'!U54</f>
        <v>21.243819074312984</v>
      </c>
      <c r="V14" s="59">
        <f>'SER_se-appl'!V54</f>
        <v>19.574683783061172</v>
      </c>
      <c r="W14" s="59">
        <f>'SER_se-appl'!W54</f>
        <v>17.996699449432612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41.184897084607101</v>
      </c>
      <c r="D15" s="63">
        <f>'SER_se-appl'!D62</f>
        <v>39.786245754376722</v>
      </c>
      <c r="E15" s="63">
        <f>'SER_se-appl'!E62</f>
        <v>38.745530526632798</v>
      </c>
      <c r="F15" s="63">
        <f>'SER_se-appl'!F62</f>
        <v>38.054505019328509</v>
      </c>
      <c r="G15" s="63">
        <f>'SER_se-appl'!G62</f>
        <v>36.946787767889489</v>
      </c>
      <c r="H15" s="63">
        <f>'SER_se-appl'!H62</f>
        <v>35.754864168146767</v>
      </c>
      <c r="I15" s="63">
        <f>'SER_se-appl'!I62</f>
        <v>34.509537366110671</v>
      </c>
      <c r="J15" s="63">
        <f>'SER_se-appl'!J62</f>
        <v>33.517358156445731</v>
      </c>
      <c r="K15" s="63">
        <f>'SER_se-appl'!K62</f>
        <v>32.495957188012795</v>
      </c>
      <c r="L15" s="63">
        <f>'SER_se-appl'!L62</f>
        <v>31.287283852579485</v>
      </c>
      <c r="M15" s="63">
        <f>'SER_se-appl'!M62</f>
        <v>30.237009497465909</v>
      </c>
      <c r="N15" s="63">
        <f>'SER_se-appl'!N62</f>
        <v>28.616961617346522</v>
      </c>
      <c r="O15" s="63">
        <f>'SER_se-appl'!O62</f>
        <v>27.224526024153544</v>
      </c>
      <c r="P15" s="63">
        <f>'SER_se-appl'!P62</f>
        <v>25.782580935563146</v>
      </c>
      <c r="Q15" s="63">
        <f>'SER_se-appl'!Q62</f>
        <v>24.009374694907475</v>
      </c>
      <c r="R15" s="63">
        <f>'SER_se-appl'!R62</f>
        <v>21.908899780700089</v>
      </c>
      <c r="S15" s="63">
        <f>'SER_se-appl'!S62</f>
        <v>20.578173476241268</v>
      </c>
      <c r="T15" s="63">
        <f>'SER_se-appl'!T62</f>
        <v>18.696576620025215</v>
      </c>
      <c r="U15" s="63">
        <f>'SER_se-appl'!U62</f>
        <v>17.194710214997254</v>
      </c>
      <c r="V15" s="63">
        <f>'SER_se-appl'!V62</f>
        <v>15.906323009483941</v>
      </c>
      <c r="W15" s="63">
        <f>'SER_se-appl'!W62</f>
        <v>14.247321490000687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68.085548591826523</v>
      </c>
      <c r="C3" s="199">
        <f>'SER_se-appl'!C7</f>
        <v>69.840197823396736</v>
      </c>
      <c r="D3" s="199">
        <f>'SER_se-appl'!D7</f>
        <v>71.561240471901542</v>
      </c>
      <c r="E3" s="199">
        <f>'SER_se-appl'!E7</f>
        <v>73.858181753458197</v>
      </c>
      <c r="F3" s="199">
        <f>'SER_se-appl'!F7</f>
        <v>76.425290879127601</v>
      </c>
      <c r="G3" s="199">
        <f>'SER_se-appl'!G7</f>
        <v>79.423103016819155</v>
      </c>
      <c r="H3" s="199">
        <f>'SER_se-appl'!H7</f>
        <v>81.324339329713638</v>
      </c>
      <c r="I3" s="199">
        <f>'SER_se-appl'!I7</f>
        <v>83.112584439134309</v>
      </c>
      <c r="J3" s="199">
        <f>'SER_se-appl'!J7</f>
        <v>84.980436973312251</v>
      </c>
      <c r="K3" s="199">
        <f>'SER_se-appl'!K7</f>
        <v>86.72170986955237</v>
      </c>
      <c r="L3" s="199">
        <f>'SER_se-appl'!L7</f>
        <v>87.50369295548235</v>
      </c>
      <c r="M3" s="199">
        <f>'SER_se-appl'!M7</f>
        <v>87.769003040183776</v>
      </c>
      <c r="N3" s="199">
        <f>'SER_se-appl'!N7</f>
        <v>88.18605188976673</v>
      </c>
      <c r="O3" s="199">
        <f>'SER_se-appl'!O7</f>
        <v>88.767814489655976</v>
      </c>
      <c r="P3" s="199">
        <f>'SER_se-appl'!P7</f>
        <v>89.465981212715505</v>
      </c>
      <c r="Q3" s="199">
        <f>'SER_se-appl'!Q7</f>
        <v>88.996500543148002</v>
      </c>
      <c r="R3" s="199">
        <f>'SER_se-appl'!R7</f>
        <v>89.028757914611546</v>
      </c>
      <c r="S3" s="199">
        <f>'SER_se-appl'!S7</f>
        <v>90.013556940229051</v>
      </c>
      <c r="T3" s="199">
        <f>'SER_se-appl'!T7</f>
        <v>90.842390750201787</v>
      </c>
      <c r="U3" s="199">
        <f>'SER_se-appl'!U7</f>
        <v>91.496255052198705</v>
      </c>
      <c r="V3" s="199">
        <f>'SER_se-appl'!V7</f>
        <v>92.171755871851289</v>
      </c>
      <c r="W3" s="199">
        <f>'SER_se-appl'!W7</f>
        <v>92.689897109574261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90.392115310838179</v>
      </c>
      <c r="C5" s="59">
        <f>'SER_se-appl'!C15</f>
        <v>92.721632498413712</v>
      </c>
      <c r="D5" s="59">
        <f>'SER_se-appl'!D15</f>
        <v>95.006532726965176</v>
      </c>
      <c r="E5" s="59">
        <f>'SER_se-appl'!E15</f>
        <v>98.056010706931403</v>
      </c>
      <c r="F5" s="59">
        <f>'SER_se-appl'!F15</f>
        <v>101.46417042514318</v>
      </c>
      <c r="G5" s="59">
        <f>'SER_se-appl'!G15</f>
        <v>105.44414247552589</v>
      </c>
      <c r="H5" s="59">
        <f>'SER_se-appl'!H15</f>
        <v>107.96827242061292</v>
      </c>
      <c r="I5" s="59">
        <f>'SER_se-appl'!I15</f>
        <v>110.34239235469546</v>
      </c>
      <c r="J5" s="59">
        <f>'SER_se-appl'!J15</f>
        <v>112.82220114150928</v>
      </c>
      <c r="K5" s="59">
        <f>'SER_se-appl'!K15</f>
        <v>115.13395956425724</v>
      </c>
      <c r="L5" s="59">
        <f>'SER_se-appl'!L15</f>
        <v>116.17214030505251</v>
      </c>
      <c r="M5" s="59">
        <f>'SER_se-appl'!M15</f>
        <v>116.5243727576869</v>
      </c>
      <c r="N5" s="59">
        <f>'SER_se-appl'!N15</f>
        <v>117.07805747465608</v>
      </c>
      <c r="O5" s="59">
        <f>'SER_se-appl'!O15</f>
        <v>117.8504203783903</v>
      </c>
      <c r="P5" s="59">
        <f>'SER_se-appl'!P15</f>
        <v>118.77732437258919</v>
      </c>
      <c r="Q5" s="59">
        <f>'SER_se-appl'!Q15</f>
        <v>118.15402983068621</v>
      </c>
      <c r="R5" s="59">
        <f>'SER_se-appl'!R15</f>
        <v>118.19685554188733</v>
      </c>
      <c r="S5" s="59">
        <f>'SER_se-appl'!S15</f>
        <v>119.50429991037262</v>
      </c>
      <c r="T5" s="59">
        <f>'SER_se-appl'!T15</f>
        <v>120.60468087041632</v>
      </c>
      <c r="U5" s="59">
        <f>'SER_se-appl'!U15</f>
        <v>121.47276783756516</v>
      </c>
      <c r="V5" s="59">
        <f>'SER_se-appl'!V15</f>
        <v>122.36957999881628</v>
      </c>
      <c r="W5" s="59">
        <f>'SER_se-appl'!W15</f>
        <v>123.05747755529094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1.2756133329996221E-2</v>
      </c>
      <c r="C6" s="202">
        <f>'SER_se-appl'!C71</f>
        <v>1.329681349532259E-2</v>
      </c>
      <c r="D6" s="202">
        <f>'SER_se-appl'!D71</f>
        <v>1.3872380698304732E-2</v>
      </c>
      <c r="E6" s="202">
        <f>'SER_se-appl'!E71</f>
        <v>1.4590296048469993E-2</v>
      </c>
      <c r="F6" s="202">
        <f>'SER_se-appl'!F71</f>
        <v>1.5378163668932174E-2</v>
      </c>
      <c r="G6" s="202">
        <f>'SER_se-appl'!G71</f>
        <v>1.6290518113209491E-2</v>
      </c>
      <c r="H6" s="202">
        <f>'SER_se-appl'!H71</f>
        <v>1.6955120868694114E-2</v>
      </c>
      <c r="I6" s="202">
        <f>'SER_se-appl'!I71</f>
        <v>1.760878346329791E-2</v>
      </c>
      <c r="J6" s="202">
        <f>'SER_se-appl'!J71</f>
        <v>1.8202463304776394E-2</v>
      </c>
      <c r="K6" s="202">
        <f>'SER_se-appl'!K71</f>
        <v>1.879964857695457E-2</v>
      </c>
      <c r="L6" s="202">
        <f>'SER_se-appl'!L71</f>
        <v>1.9310141998884523E-2</v>
      </c>
      <c r="M6" s="202">
        <f>'SER_se-appl'!M71</f>
        <v>1.9667194989346909E-2</v>
      </c>
      <c r="N6" s="202">
        <f>'SER_se-appl'!N71</f>
        <v>2.0061840838461461E-2</v>
      </c>
      <c r="O6" s="202">
        <f>'SER_se-appl'!O71</f>
        <v>2.054237325696515E-2</v>
      </c>
      <c r="P6" s="202">
        <f>'SER_se-appl'!P71</f>
        <v>2.1156257305697285E-2</v>
      </c>
      <c r="Q6" s="202">
        <f>'SER_se-appl'!Q71</f>
        <v>2.1425082886555209E-2</v>
      </c>
      <c r="R6" s="202">
        <f>'SER_se-appl'!R71</f>
        <v>2.1807666330690915E-2</v>
      </c>
      <c r="S6" s="202">
        <f>'SER_se-appl'!S71</f>
        <v>2.2450986815528037E-2</v>
      </c>
      <c r="T6" s="202">
        <f>'SER_se-appl'!T71</f>
        <v>2.3072292706874515E-2</v>
      </c>
      <c r="U6" s="202">
        <f>'SER_se-appl'!U71</f>
        <v>2.3647446749467543E-2</v>
      </c>
      <c r="V6" s="202">
        <f>'SER_se-appl'!V71</f>
        <v>2.4165591571951802E-2</v>
      </c>
      <c r="W6" s="202">
        <f>'SER_se-appl'!W71</f>
        <v>2.5189313276083598E-2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131.10878846676749</v>
      </c>
      <c r="C8" s="34">
        <f>'SER_se-appl'!C23</f>
        <v>136.0533546981051</v>
      </c>
      <c r="D8" s="34">
        <f>'SER_se-appl'!D23</f>
        <v>141.51468027669367</v>
      </c>
      <c r="E8" s="34">
        <f>'SER_se-appl'!E23</f>
        <v>148.71376642814161</v>
      </c>
      <c r="F8" s="34">
        <f>'SER_se-appl'!F23</f>
        <v>156.78571482755663</v>
      </c>
      <c r="G8" s="34">
        <f>'SER_se-appl'!G23</f>
        <v>166.1446321114972</v>
      </c>
      <c r="H8" s="34">
        <f>'SER_se-appl'!H23</f>
        <v>173.34198374540117</v>
      </c>
      <c r="I8" s="34">
        <f>'SER_se-appl'!I23</f>
        <v>180.5645684792037</v>
      </c>
      <c r="J8" s="34">
        <f>'SER_se-appl'!J23</f>
        <v>188.27575940081684</v>
      </c>
      <c r="K8" s="34">
        <f>'SER_se-appl'!K23</f>
        <v>196.00105653958715</v>
      </c>
      <c r="L8" s="34">
        <f>'SER_se-appl'!L23</f>
        <v>202.02440488482577</v>
      </c>
      <c r="M8" s="34">
        <f>'SER_se-appl'!M23</f>
        <v>206.24458337782892</v>
      </c>
      <c r="N8" s="34">
        <f>'SER_se-appl'!N23</f>
        <v>210.75856552721078</v>
      </c>
      <c r="O8" s="34">
        <f>'SER_se-appl'!O23</f>
        <v>216.02616496690263</v>
      </c>
      <c r="P8" s="34">
        <f>'SER_se-appl'!P23</f>
        <v>222.40344126930094</v>
      </c>
      <c r="Q8" s="34">
        <f>'SER_se-appl'!Q23</f>
        <v>225.78341535631259</v>
      </c>
      <c r="R8" s="34">
        <f>'SER_se-appl'!R23</f>
        <v>230.15468665049801</v>
      </c>
      <c r="S8" s="34">
        <f>'SER_se-appl'!S23</f>
        <v>237.50494834384429</v>
      </c>
      <c r="T8" s="34">
        <f>'SER_se-appl'!T23</f>
        <v>244.79829459603746</v>
      </c>
      <c r="U8" s="34">
        <f>'SER_se-appl'!U23</f>
        <v>251.84057839247942</v>
      </c>
      <c r="V8" s="34">
        <f>'SER_se-appl'!V23</f>
        <v>258.42536216936668</v>
      </c>
      <c r="W8" s="34">
        <f>'SER_se-appl'!W23</f>
        <v>264.3577117851201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16.860139676578626</v>
      </c>
      <c r="D9" s="36">
        <f>'SER_se-appl'!D31</f>
        <v>17.627890869569853</v>
      </c>
      <c r="E9" s="36">
        <f>'SER_se-appl'!E31</f>
        <v>19.621930226890299</v>
      </c>
      <c r="F9" s="36">
        <f>'SER_se-appl'!F31</f>
        <v>20.75646956309555</v>
      </c>
      <c r="G9" s="36">
        <f>'SER_se-appl'!G31</f>
        <v>22.310627550506894</v>
      </c>
      <c r="H9" s="36">
        <f>'SER_se-appl'!H31</f>
        <v>20.421879124100997</v>
      </c>
      <c r="I9" s="36">
        <f>'SER_se-appl'!I31</f>
        <v>20.725676120152912</v>
      </c>
      <c r="J9" s="36">
        <f>'SER_se-appl'!J31</f>
        <v>21.498713925613714</v>
      </c>
      <c r="K9" s="36">
        <f>'SER_se-appl'!K31</f>
        <v>21.803243080690208</v>
      </c>
      <c r="L9" s="36">
        <f>'SER_se-appl'!L31</f>
        <v>20.397834747626689</v>
      </c>
      <c r="M9" s="36">
        <f>'SER_se-appl'!M31</f>
        <v>21.080318169581773</v>
      </c>
      <c r="N9" s="36">
        <f>'SER_se-appl'!N31</f>
        <v>22.141873018951713</v>
      </c>
      <c r="O9" s="36">
        <f>'SER_se-appl'!O31</f>
        <v>24.889529666582149</v>
      </c>
      <c r="P9" s="36">
        <f>'SER_se-appl'!P31</f>
        <v>27.133745865493864</v>
      </c>
      <c r="Q9" s="36">
        <f>'SER_se-appl'!Q31</f>
        <v>25.69060163751854</v>
      </c>
      <c r="R9" s="36">
        <f>'SER_se-appl'!R31</f>
        <v>24.793150418286416</v>
      </c>
      <c r="S9" s="36">
        <f>'SER_se-appl'!S31</f>
        <v>28.075937813499195</v>
      </c>
      <c r="T9" s="36">
        <f>'SER_se-appl'!T31</f>
        <v>28.792060177806889</v>
      </c>
      <c r="U9" s="36">
        <f>'SER_se-appl'!U31</f>
        <v>28.845526877132158</v>
      </c>
      <c r="V9" s="36">
        <f>'SER_se-appl'!V31</f>
        <v>26.982618524513953</v>
      </c>
      <c r="W9" s="36">
        <f>'SER_se-appl'!W31</f>
        <v>27.012667785335196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11.915573445241023</v>
      </c>
      <c r="D10" s="38">
        <f>'SER_se-appl'!D39</f>
        <v>12.166565290981282</v>
      </c>
      <c r="E10" s="38">
        <f>'SER_se-appl'!E39</f>
        <v>12.422844075442356</v>
      </c>
      <c r="F10" s="38">
        <f>'SER_se-appl'!F39</f>
        <v>12.684521163680529</v>
      </c>
      <c r="G10" s="38">
        <f>'SER_se-appl'!G39</f>
        <v>12.951710266566323</v>
      </c>
      <c r="H10" s="38">
        <f>'SER_se-appl'!H39</f>
        <v>13.224527490197033</v>
      </c>
      <c r="I10" s="38">
        <f>'SER_se-appl'!I39</f>
        <v>13.503091386350377</v>
      </c>
      <c r="J10" s="38">
        <f>'SER_se-appl'!J39</f>
        <v>13.787523004000576</v>
      </c>
      <c r="K10" s="38">
        <f>'SER_se-appl'!K39</f>
        <v>14.077945941919893</v>
      </c>
      <c r="L10" s="38">
        <f>'SER_se-appl'!L39</f>
        <v>14.374486402388072</v>
      </c>
      <c r="M10" s="38">
        <f>'SER_se-appl'!M39</f>
        <v>16.860139676578626</v>
      </c>
      <c r="N10" s="38">
        <f>'SER_se-appl'!N39</f>
        <v>17.627890869569853</v>
      </c>
      <c r="O10" s="38">
        <f>'SER_se-appl'!O39</f>
        <v>19.621930226890299</v>
      </c>
      <c r="P10" s="38">
        <f>'SER_se-appl'!P39</f>
        <v>20.75646956309555</v>
      </c>
      <c r="Q10" s="38">
        <f>'SER_se-appl'!Q39</f>
        <v>22.310627550506894</v>
      </c>
      <c r="R10" s="38">
        <f>'SER_se-appl'!R39</f>
        <v>20.421879124100997</v>
      </c>
      <c r="S10" s="38">
        <f>'SER_se-appl'!S39</f>
        <v>20.725676120152883</v>
      </c>
      <c r="T10" s="38">
        <f>'SER_se-appl'!T39</f>
        <v>21.498713925613686</v>
      </c>
      <c r="U10" s="38">
        <f>'SER_se-appl'!U39</f>
        <v>21.803243080690208</v>
      </c>
      <c r="V10" s="38">
        <f>'SER_se-appl'!V39</f>
        <v>20.397834747626689</v>
      </c>
      <c r="W10" s="38">
        <f>'SER_se-appl'!W39</f>
        <v>21.080318169581744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8760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8760.0000000000036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8760.0000000000055</v>
      </c>
      <c r="L12" s="205">
        <f>'SER_se-appl'!L47</f>
        <v>8759.9999999999982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8760</v>
      </c>
      <c r="R12" s="205">
        <f>'SER_se-appl'!R47</f>
        <v>8759.9999999999945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689.44360151531816</v>
      </c>
      <c r="C14" s="59">
        <f>'SER_se-appl'!C55</f>
        <v>681.50934391994906</v>
      </c>
      <c r="D14" s="59">
        <f>'SER_se-appl'!D55</f>
        <v>671.35460816648572</v>
      </c>
      <c r="E14" s="59">
        <f>'SER_se-appl'!E55</f>
        <v>659.36068369509019</v>
      </c>
      <c r="F14" s="59">
        <f>'SER_se-appl'!F55</f>
        <v>647.15188202407489</v>
      </c>
      <c r="G14" s="59">
        <f>'SER_se-appl'!G55</f>
        <v>634.65271875147846</v>
      </c>
      <c r="H14" s="59">
        <f>'SER_se-appl'!H55</f>
        <v>622.86279461987158</v>
      </c>
      <c r="I14" s="59">
        <f>'SER_se-appl'!I55</f>
        <v>611.09659156305634</v>
      </c>
      <c r="J14" s="59">
        <f>'SER_se-appl'!J55</f>
        <v>599.2391240410517</v>
      </c>
      <c r="K14" s="59">
        <f>'SER_se-appl'!K55</f>
        <v>587.41499457684381</v>
      </c>
      <c r="L14" s="59">
        <f>'SER_se-appl'!L55</f>
        <v>575.04013127167639</v>
      </c>
      <c r="M14" s="59">
        <f>'SER_se-appl'!M55</f>
        <v>564.98149357076954</v>
      </c>
      <c r="N14" s="59">
        <f>'SER_se-appl'!N55</f>
        <v>555.50794427636333</v>
      </c>
      <c r="O14" s="59">
        <f>'SER_se-appl'!O55</f>
        <v>545.53771482471188</v>
      </c>
      <c r="P14" s="59">
        <f>'SER_se-appl'!P55</f>
        <v>534.06243938809234</v>
      </c>
      <c r="Q14" s="59">
        <f>'SER_se-appl'!Q55</f>
        <v>523.3069472539662</v>
      </c>
      <c r="R14" s="59">
        <f>'SER_se-appl'!R55</f>
        <v>513.5539808553865</v>
      </c>
      <c r="S14" s="59">
        <f>'SER_se-appl'!S55</f>
        <v>503.16551610268777</v>
      </c>
      <c r="T14" s="59">
        <f>'SER_se-appl'!T55</f>
        <v>492.66961221864875</v>
      </c>
      <c r="U14" s="59">
        <f>'SER_se-appl'!U55</f>
        <v>482.33993351244874</v>
      </c>
      <c r="V14" s="59">
        <f>'SER_se-appl'!V55</f>
        <v>473.52000969091324</v>
      </c>
      <c r="W14" s="59">
        <f>'SER_se-appl'!W55</f>
        <v>465.4960762231014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625.41789451667023</v>
      </c>
      <c r="D15" s="63">
        <f>'SER_se-appl'!D63</f>
        <v>605.46442565407767</v>
      </c>
      <c r="E15" s="63">
        <f>'SER_se-appl'!E63</f>
        <v>591.90549584596545</v>
      </c>
      <c r="F15" s="63">
        <f>'SER_se-appl'!F63</f>
        <v>585.52451012215545</v>
      </c>
      <c r="G15" s="63">
        <f>'SER_se-appl'!G63</f>
        <v>578.62316033570323</v>
      </c>
      <c r="H15" s="63">
        <f>'SER_se-appl'!H63</f>
        <v>570.05997026629177</v>
      </c>
      <c r="I15" s="63">
        <f>'SER_se-appl'!I63</f>
        <v>563.7326291959929</v>
      </c>
      <c r="J15" s="63">
        <f>'SER_se-appl'!J63</f>
        <v>557.49978087701527</v>
      </c>
      <c r="K15" s="63">
        <f>'SER_se-appl'!K63</f>
        <v>551.1890194686913</v>
      </c>
      <c r="L15" s="63">
        <f>'SER_se-appl'!L63</f>
        <v>536.75199115261842</v>
      </c>
      <c r="M15" s="63">
        <f>'SER_se-appl'!M63</f>
        <v>516.92130179235141</v>
      </c>
      <c r="N15" s="63">
        <f>'SER_se-appl'!N63</f>
        <v>507.03684951118765</v>
      </c>
      <c r="O15" s="63">
        <f>'SER_se-appl'!O63</f>
        <v>497.66674622090591</v>
      </c>
      <c r="P15" s="63">
        <f>'SER_se-appl'!P63</f>
        <v>482.06855521670468</v>
      </c>
      <c r="Q15" s="63">
        <f>'SER_se-appl'!Q63</f>
        <v>478.23524936455465</v>
      </c>
      <c r="R15" s="63">
        <f>'SER_se-appl'!R63</f>
        <v>471.28022539845944</v>
      </c>
      <c r="S15" s="63">
        <f>'SER_se-appl'!S63</f>
        <v>462.71595078535142</v>
      </c>
      <c r="T15" s="63">
        <f>'SER_se-appl'!T63</f>
        <v>454.4971489326669</v>
      </c>
      <c r="U15" s="63">
        <f>'SER_se-appl'!U63</f>
        <v>446.71727429071353</v>
      </c>
      <c r="V15" s="63">
        <f>'SER_se-appl'!V63</f>
        <v>439.00077994580749</v>
      </c>
      <c r="W15" s="63">
        <f>'SER_se-appl'!W63</f>
        <v>428.86408550809705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41.376064567311815</v>
      </c>
      <c r="C3" s="199">
        <f>'SER_se-appl'!C8</f>
        <v>44.774589369200626</v>
      </c>
      <c r="D3" s="199">
        <f>'SER_se-appl'!D8</f>
        <v>47.957046784346609</v>
      </c>
      <c r="E3" s="199">
        <f>'SER_se-appl'!E8</f>
        <v>51.834294737787033</v>
      </c>
      <c r="F3" s="199">
        <f>'SER_se-appl'!F8</f>
        <v>56.280675863220686</v>
      </c>
      <c r="G3" s="199">
        <f>'SER_se-appl'!G8</f>
        <v>62.198748091084198</v>
      </c>
      <c r="H3" s="199">
        <f>'SER_se-appl'!H8</f>
        <v>68.357339053436846</v>
      </c>
      <c r="I3" s="199">
        <f>'SER_se-appl'!I8</f>
        <v>72.579811522314074</v>
      </c>
      <c r="J3" s="199">
        <f>'SER_se-appl'!J8</f>
        <v>76.744369772799502</v>
      </c>
      <c r="K3" s="199">
        <f>'SER_se-appl'!K8</f>
        <v>77.365645197474379</v>
      </c>
      <c r="L3" s="199">
        <f>'SER_se-appl'!L8</f>
        <v>80.676803340147032</v>
      </c>
      <c r="M3" s="199">
        <f>'SER_se-appl'!M8</f>
        <v>81.459021911795077</v>
      </c>
      <c r="N3" s="199">
        <f>'SER_se-appl'!N8</f>
        <v>83.249929751890988</v>
      </c>
      <c r="O3" s="199">
        <f>'SER_se-appl'!O8</f>
        <v>84.291239358172419</v>
      </c>
      <c r="P3" s="199">
        <f>'SER_se-appl'!P8</f>
        <v>85.29382643550862</v>
      </c>
      <c r="Q3" s="199">
        <f>'SER_se-appl'!Q8</f>
        <v>87.529124667957461</v>
      </c>
      <c r="R3" s="199">
        <f>'SER_se-appl'!R8</f>
        <v>92.10929410896388</v>
      </c>
      <c r="S3" s="199">
        <f>'SER_se-appl'!S8</f>
        <v>95.710575759831968</v>
      </c>
      <c r="T3" s="199">
        <f>'SER_se-appl'!T8</f>
        <v>97.400814349521241</v>
      </c>
      <c r="U3" s="199">
        <f>'SER_se-appl'!U8</f>
        <v>97.701516915429551</v>
      </c>
      <c r="V3" s="199">
        <f>'SER_se-appl'!V8</f>
        <v>93.334045418920539</v>
      </c>
      <c r="W3" s="199">
        <f>'SER_se-appl'!W8</f>
        <v>92.45005325588771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624.42909173163878</v>
      </c>
      <c r="C5" s="59">
        <f>'SER_se-appl'!C16</f>
        <v>672.50563047557171</v>
      </c>
      <c r="D5" s="59">
        <f>'SER_se-appl'!D16</f>
        <v>717.17859047760737</v>
      </c>
      <c r="E5" s="59">
        <f>'SER_se-appl'!E16</f>
        <v>772.06519312798514</v>
      </c>
      <c r="F5" s="59">
        <f>'SER_se-appl'!F16</f>
        <v>835.19300783562664</v>
      </c>
      <c r="G5" s="59">
        <f>'SER_se-appl'!G16</f>
        <v>919.83732425723394</v>
      </c>
      <c r="H5" s="59">
        <f>'SER_se-appl'!H16</f>
        <v>1007.6578600912489</v>
      </c>
      <c r="I5" s="59">
        <f>'SER_se-appl'!I16</f>
        <v>1066.6632621351355</v>
      </c>
      <c r="J5" s="59">
        <f>'SER_se-appl'!J16</f>
        <v>1124.6485979723159</v>
      </c>
      <c r="K5" s="59">
        <f>'SER_se-appl'!K16</f>
        <v>1130.6922595680662</v>
      </c>
      <c r="L5" s="59">
        <f>'SER_se-appl'!L16</f>
        <v>1176.0644692796257</v>
      </c>
      <c r="M5" s="59">
        <f>'SER_se-appl'!M16</f>
        <v>1185.5375901909861</v>
      </c>
      <c r="N5" s="59">
        <f>'SER_se-appl'!N16</f>
        <v>1209.7247531544956</v>
      </c>
      <c r="O5" s="59">
        <f>'SER_se-appl'!O16</f>
        <v>1223.0427167606324</v>
      </c>
      <c r="P5" s="59">
        <f>'SER_se-appl'!P16</f>
        <v>1235.8355127450973</v>
      </c>
      <c r="Q5" s="59">
        <f>'SER_se-appl'!Q16</f>
        <v>1266.4985567557017</v>
      </c>
      <c r="R5" s="59">
        <f>'SER_se-appl'!R16</f>
        <v>1315.5652798109452</v>
      </c>
      <c r="S5" s="59">
        <f>'SER_se-appl'!S16</f>
        <v>1349.2393020013376</v>
      </c>
      <c r="T5" s="59">
        <f>'SER_se-appl'!T16</f>
        <v>1374.500947965365</v>
      </c>
      <c r="U5" s="59">
        <f>'SER_se-appl'!U16</f>
        <v>1392.2994881907357</v>
      </c>
      <c r="V5" s="59">
        <f>'SER_se-appl'!V16</f>
        <v>1396.9711906783477</v>
      </c>
      <c r="W5" s="59">
        <f>'SER_se-appl'!W16</f>
        <v>1392.8533311637605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56.446585433379752</v>
      </c>
      <c r="C6" s="202">
        <f>'SER_se-appl'!C72</f>
        <v>60.30889816880466</v>
      </c>
      <c r="D6" s="202">
        <f>'SER_se-appl'!D72</f>
        <v>63.953994906058583</v>
      </c>
      <c r="E6" s="202">
        <f>'SER_se-appl'!E72</f>
        <v>68.218920105476627</v>
      </c>
      <c r="F6" s="202">
        <f>'SER_se-appl'!F72</f>
        <v>73.001002609593399</v>
      </c>
      <c r="G6" s="202">
        <f>'SER_se-appl'!G72</f>
        <v>78.610792543491812</v>
      </c>
      <c r="H6" s="202">
        <f>'SER_se-appl'!H72</f>
        <v>84.134881289124706</v>
      </c>
      <c r="I6" s="202">
        <f>'SER_se-appl'!I72</f>
        <v>87.241770993965105</v>
      </c>
      <c r="J6" s="202">
        <f>'SER_se-appl'!J72</f>
        <v>91.263181793879554</v>
      </c>
      <c r="K6" s="202">
        <f>'SER_se-appl'!K72</f>
        <v>94.436824640752349</v>
      </c>
      <c r="L6" s="202">
        <f>'SER_se-appl'!L72</f>
        <v>98.415857378842972</v>
      </c>
      <c r="M6" s="202">
        <f>'SER_se-appl'!M72</f>
        <v>98.946766301053387</v>
      </c>
      <c r="N6" s="202">
        <f>'SER_se-appl'!N72</f>
        <v>101.9639055269428</v>
      </c>
      <c r="O6" s="202">
        <f>'SER_se-appl'!O72</f>
        <v>104.30198045871362</v>
      </c>
      <c r="P6" s="202">
        <f>'SER_se-appl'!P72</f>
        <v>106.21141145308336</v>
      </c>
      <c r="Q6" s="202">
        <f>'SER_se-appl'!Q72</f>
        <v>109.48776781257119</v>
      </c>
      <c r="R6" s="202">
        <f>'SER_se-appl'!R72</f>
        <v>114.83223066710647</v>
      </c>
      <c r="S6" s="202">
        <f>'SER_se-appl'!S72</f>
        <v>117.89237314752894</v>
      </c>
      <c r="T6" s="202">
        <f>'SER_se-appl'!T72</f>
        <v>120.62417495597367</v>
      </c>
      <c r="U6" s="202">
        <f>'SER_se-appl'!U72</f>
        <v>122.94590375716268</v>
      </c>
      <c r="V6" s="202">
        <f>'SER_se-appl'!V72</f>
        <v>124.70798414567737</v>
      </c>
      <c r="W6" s="202">
        <f>'SER_se-appl'!W72</f>
        <v>125.74510195162087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12.273459932549763</v>
      </c>
      <c r="C8" s="34">
        <f>'SER_se-appl'!C24</f>
        <v>13.306713026770845</v>
      </c>
      <c r="D8" s="34">
        <f>'SER_se-appl'!D24</f>
        <v>14.296276304648003</v>
      </c>
      <c r="E8" s="34">
        <f>'SER_se-appl'!E24</f>
        <v>15.540390573429351</v>
      </c>
      <c r="F8" s="34">
        <f>'SER_se-appl'!F24</f>
        <v>16.996647893848639</v>
      </c>
      <c r="G8" s="34">
        <f>'SER_se-appl'!G24</f>
        <v>18.983580954277006</v>
      </c>
      <c r="H8" s="34">
        <f>'SER_se-appl'!H24</f>
        <v>21.107774575601301</v>
      </c>
      <c r="I8" s="34">
        <f>'SER_se-appl'!I24</f>
        <v>22.621910658550103</v>
      </c>
      <c r="J8" s="34">
        <f>'SER_se-appl'!J24</f>
        <v>24.175442394270483</v>
      </c>
      <c r="K8" s="34">
        <f>'SER_se-appl'!K24</f>
        <v>24.521655183608182</v>
      </c>
      <c r="L8" s="34">
        <f>'SER_se-appl'!L24</f>
        <v>25.898070552484043</v>
      </c>
      <c r="M8" s="34">
        <f>'SER_se-appl'!M24</f>
        <v>26.432373319370502</v>
      </c>
      <c r="N8" s="34">
        <f>'SER_se-appl'!N24</f>
        <v>27.421652729040702</v>
      </c>
      <c r="O8" s="34">
        <f>'SER_se-appl'!O24</f>
        <v>28.214953128337271</v>
      </c>
      <c r="P8" s="34">
        <f>'SER_se-appl'!P24</f>
        <v>29.12752113315786</v>
      </c>
      <c r="Q8" s="34">
        <f>'SER_se-appl'!Q24</f>
        <v>30.710082439549261</v>
      </c>
      <c r="R8" s="34">
        <f>'SER_se-appl'!R24</f>
        <v>32.65312400434744</v>
      </c>
      <c r="S8" s="34">
        <f>'SER_se-appl'!S24</f>
        <v>34.158095515245918</v>
      </c>
      <c r="T8" s="34">
        <f>'SER_se-appl'!T24</f>
        <v>35.526776800597119</v>
      </c>
      <c r="U8" s="34">
        <f>'SER_se-appl'!U24</f>
        <v>36.776220652222428</v>
      </c>
      <c r="V8" s="34">
        <f>'SER_se-appl'!V24</f>
        <v>37.828088662753231</v>
      </c>
      <c r="W8" s="34">
        <f>'SER_se-appl'!W24</f>
        <v>38.631252107410774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1.3828313588599119</v>
      </c>
      <c r="D9" s="36">
        <f>'SER_se-appl'!D32</f>
        <v>1.3784801006470424</v>
      </c>
      <c r="E9" s="36">
        <f>'SER_se-appl'!E32</f>
        <v>1.6767964756962837</v>
      </c>
      <c r="F9" s="36">
        <f>'SER_se-appl'!F32</f>
        <v>1.9376298947590467</v>
      </c>
      <c r="G9" s="36">
        <f>'SER_se-appl'!G32</f>
        <v>2.5224752011109466</v>
      </c>
      <c r="H9" s="36">
        <f>'SER_se-appl'!H32</f>
        <v>2.7200011096097576</v>
      </c>
      <c r="I9" s="36">
        <f>'SER_se-appl'!I32</f>
        <v>2.1769906673603678</v>
      </c>
      <c r="J9" s="36">
        <f>'SER_se-appl'!J32</f>
        <v>2.2909783249531017</v>
      </c>
      <c r="K9" s="36">
        <f>'SER_se-appl'!K32</f>
        <v>1.1666453317990957</v>
      </c>
      <c r="L9" s="36">
        <f>'SER_se-appl'!L32</f>
        <v>2.289172396378035</v>
      </c>
      <c r="M9" s="36">
        <f>'SER_se-appl'!M32</f>
        <v>1.5497736900108947</v>
      </c>
      <c r="N9" s="36">
        <f>'SER_se-appl'!N32</f>
        <v>2.1190227747068882</v>
      </c>
      <c r="O9" s="36">
        <f>'SER_se-appl'!O32</f>
        <v>2.0501754528110503</v>
      </c>
      <c r="P9" s="36">
        <f>'SER_se-appl'!P32</f>
        <v>2.3108810633759056</v>
      </c>
      <c r="Q9" s="36">
        <f>'SER_se-appl'!Q32</f>
        <v>3.1382285974709383</v>
      </c>
      <c r="R9" s="36">
        <f>'SER_se-appl'!R32</f>
        <v>3.3258729236580891</v>
      </c>
      <c r="S9" s="36">
        <f>'SER_se-appl'!S32</f>
        <v>2.8834516115455209</v>
      </c>
      <c r="T9" s="36">
        <f>'SER_se-appl'!T32</f>
        <v>3.0454777610474864</v>
      </c>
      <c r="U9" s="36">
        <f>'SER_se-appl'!U32</f>
        <v>3.1870737463843568</v>
      </c>
      <c r="V9" s="36">
        <f>'SER_se-appl'!V32</f>
        <v>3.5743432116417466</v>
      </c>
      <c r="W9" s="36">
        <f>'SER_se-appl'!W32</f>
        <v>3.5231645542672965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0.34957826463882924</v>
      </c>
      <c r="D10" s="38">
        <f>'SER_se-appl'!D40</f>
        <v>0.38891682276988426</v>
      </c>
      <c r="E10" s="38">
        <f>'SER_se-appl'!E40</f>
        <v>0.43268220691493653</v>
      </c>
      <c r="F10" s="38">
        <f>'SER_se-appl'!F40</f>
        <v>0.48137257433975833</v>
      </c>
      <c r="G10" s="38">
        <f>'SER_se-appl'!G40</f>
        <v>0.53554214068257977</v>
      </c>
      <c r="H10" s="38">
        <f>'SER_se-appl'!H40</f>
        <v>0.59580748828546248</v>
      </c>
      <c r="I10" s="38">
        <f>'SER_se-appl'!I40</f>
        <v>0.66285458441156564</v>
      </c>
      <c r="J10" s="38">
        <f>'SER_se-appl'!J40</f>
        <v>0.73744658923272155</v>
      </c>
      <c r="K10" s="38">
        <f>'SER_se-appl'!K40</f>
        <v>0.82043254246139696</v>
      </c>
      <c r="L10" s="38">
        <f>'SER_se-appl'!L40</f>
        <v>0.91275702750217391</v>
      </c>
      <c r="M10" s="38">
        <f>'SER_se-appl'!M40</f>
        <v>1.0154709231244361</v>
      </c>
      <c r="N10" s="38">
        <f>'SER_se-appl'!N40</f>
        <v>1.1297433650366884</v>
      </c>
      <c r="O10" s="38">
        <f>'SER_se-appl'!O40</f>
        <v>1.2568750535144808</v>
      </c>
      <c r="P10" s="38">
        <f>'SER_se-appl'!P40</f>
        <v>1.398313058555317</v>
      </c>
      <c r="Q10" s="38">
        <f>'SER_se-appl'!Q40</f>
        <v>1.5556672910795371</v>
      </c>
      <c r="R10" s="38">
        <f>'SER_se-appl'!R40</f>
        <v>1.3828313588599102</v>
      </c>
      <c r="S10" s="38">
        <f>'SER_se-appl'!S40</f>
        <v>1.3784801006470389</v>
      </c>
      <c r="T10" s="38">
        <f>'SER_se-appl'!T40</f>
        <v>1.6767964756962854</v>
      </c>
      <c r="U10" s="38">
        <f>'SER_se-appl'!U40</f>
        <v>1.9376298947590485</v>
      </c>
      <c r="V10" s="38">
        <f>'SER_se-appl'!V40</f>
        <v>2.522475201110943</v>
      </c>
      <c r="W10" s="38">
        <f>'SER_se-appl'!W40</f>
        <v>2.7200011096097541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770.62974369657252</v>
      </c>
      <c r="C12" s="205">
        <f>'SER_se-appl'!C48</f>
        <v>774.31095111510501</v>
      </c>
      <c r="D12" s="205">
        <f>'SER_se-appl'!D48</f>
        <v>777.68698272284189</v>
      </c>
      <c r="E12" s="205">
        <f>'SER_se-appl'!E48</f>
        <v>780.80562777103682</v>
      </c>
      <c r="F12" s="205">
        <f>'SER_se-appl'!F48</f>
        <v>783.70419070615196</v>
      </c>
      <c r="G12" s="205">
        <f>'SER_se-appl'!G48</f>
        <v>786.4123592543167</v>
      </c>
      <c r="H12" s="205">
        <f>'SER_se-appl'!H48</f>
        <v>788.95415267189924</v>
      </c>
      <c r="I12" s="205">
        <f>'SER_se-appl'!I48</f>
        <v>791.34928329196862</v>
      </c>
      <c r="J12" s="205">
        <f>'SER_se-appl'!J48</f>
        <v>793.61413162018516</v>
      </c>
      <c r="K12" s="205">
        <f>'SER_se-appl'!K48</f>
        <v>795.76245970795242</v>
      </c>
      <c r="L12" s="205">
        <f>'SER_se-appl'!L48</f>
        <v>797.80594291793284</v>
      </c>
      <c r="M12" s="205">
        <f>'SER_se-appl'!M48</f>
        <v>799.10450134403493</v>
      </c>
      <c r="N12" s="205">
        <f>'SER_se-appl'!N48</f>
        <v>800.34460772155705</v>
      </c>
      <c r="O12" s="205">
        <f>'SER_se-appl'!O48</f>
        <v>801.53137768728152</v>
      </c>
      <c r="P12" s="205">
        <f>'SER_se-appl'!P48</f>
        <v>802.66928018726378</v>
      </c>
      <c r="Q12" s="205">
        <f>'SER_se-appl'!Q48</f>
        <v>803.76224233211121</v>
      </c>
      <c r="R12" s="205">
        <f>'SER_se-appl'!R48</f>
        <v>814.27437081738162</v>
      </c>
      <c r="S12" s="205">
        <f>'SER_se-appl'!S48</f>
        <v>824.99375346964393</v>
      </c>
      <c r="T12" s="205">
        <f>'SER_se-appl'!T48</f>
        <v>824.13291352162526</v>
      </c>
      <c r="U12" s="205">
        <f>'SER_se-appl'!U48</f>
        <v>816.10935819778479</v>
      </c>
      <c r="V12" s="205">
        <f>'SER_se-appl'!V48</f>
        <v>777.02028178187106</v>
      </c>
      <c r="W12" s="205">
        <f>'SER_se-appl'!W48</f>
        <v>771.93635202611404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50.876370246308866</v>
      </c>
      <c r="C14" s="59">
        <f>'SER_se-appl'!C56</f>
        <v>50.538824210201625</v>
      </c>
      <c r="D14" s="59">
        <f>'SER_se-appl'!D56</f>
        <v>50.165411971258443</v>
      </c>
      <c r="E14" s="59">
        <f>'SER_se-appl'!E56</f>
        <v>49.681196201596556</v>
      </c>
      <c r="F14" s="59">
        <f>'SER_se-appl'!F56</f>
        <v>49.138689761167349</v>
      </c>
      <c r="G14" s="59">
        <f>'SER_se-appl'!G56</f>
        <v>48.454363087381275</v>
      </c>
      <c r="H14" s="59">
        <f>'SER_se-appl'!H56</f>
        <v>47.738706725436195</v>
      </c>
      <c r="I14" s="59">
        <f>'SER_se-appl'!I56</f>
        <v>47.151775914736135</v>
      </c>
      <c r="J14" s="59">
        <f>'SER_se-appl'!J56</f>
        <v>46.520290285933079</v>
      </c>
      <c r="K14" s="59">
        <f>'SER_se-appl'!K56</f>
        <v>46.109948578181303</v>
      </c>
      <c r="L14" s="59">
        <f>'SER_se-appl'!L56</f>
        <v>45.411277527268226</v>
      </c>
      <c r="M14" s="59">
        <f>'SER_se-appl'!M56</f>
        <v>44.851726928439888</v>
      </c>
      <c r="N14" s="59">
        <f>'SER_se-appl'!N56</f>
        <v>44.115676217916125</v>
      </c>
      <c r="O14" s="59">
        <f>'SER_se-appl'!O56</f>
        <v>43.347324065985688</v>
      </c>
      <c r="P14" s="59">
        <f>'SER_se-appl'!P56</f>
        <v>42.428447896249594</v>
      </c>
      <c r="Q14" s="59">
        <f>'SER_se-appl'!Q56</f>
        <v>41.240480524554734</v>
      </c>
      <c r="R14" s="59">
        <f>'SER_se-appl'!R56</f>
        <v>40.289109233033592</v>
      </c>
      <c r="S14" s="59">
        <f>'SER_se-appl'!S56</f>
        <v>39.499839837356454</v>
      </c>
      <c r="T14" s="59">
        <f>'SER_se-appl'!T56</f>
        <v>38.689154259056309</v>
      </c>
      <c r="U14" s="59">
        <f>'SER_se-appl'!U56</f>
        <v>37.858688671604909</v>
      </c>
      <c r="V14" s="59">
        <f>'SER_se-appl'!V56</f>
        <v>36.9294680239515</v>
      </c>
      <c r="W14" s="59">
        <f>'SER_se-appl'!W56</f>
        <v>36.055091543268006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47.628231413598094</v>
      </c>
      <c r="D15" s="63">
        <f>'SER_se-appl'!D64</f>
        <v>46.761383237986394</v>
      </c>
      <c r="E15" s="63">
        <f>'SER_se-appl'!E64</f>
        <v>45.861202550798396</v>
      </c>
      <c r="F15" s="63">
        <f>'SER_se-appl'!F64</f>
        <v>45.219318850912757</v>
      </c>
      <c r="G15" s="63">
        <f>'SER_se-appl'!G64</f>
        <v>44.357524943831351</v>
      </c>
      <c r="H15" s="63">
        <f>'SER_se-appl'!H64</f>
        <v>43.431253680811295</v>
      </c>
      <c r="I15" s="63">
        <f>'SER_se-appl'!I64</f>
        <v>42.595055040960631</v>
      </c>
      <c r="J15" s="63">
        <f>'SER_se-appl'!J64</f>
        <v>41.686968622811733</v>
      </c>
      <c r="K15" s="63">
        <f>'SER_se-appl'!K64</f>
        <v>40.958713060162388</v>
      </c>
      <c r="L15" s="63">
        <f>'SER_se-appl'!L64</f>
        <v>40.106186119028663</v>
      </c>
      <c r="M15" s="63">
        <f>'SER_se-appl'!M64</f>
        <v>39.448724652288</v>
      </c>
      <c r="N15" s="63">
        <f>'SER_se-appl'!N64</f>
        <v>38.538710230579547</v>
      </c>
      <c r="O15" s="63">
        <f>'SER_se-appl'!O64</f>
        <v>37.686142459734832</v>
      </c>
      <c r="P15" s="63">
        <f>'SER_se-appl'!P64</f>
        <v>36.321163473968191</v>
      </c>
      <c r="Q15" s="63">
        <f>'SER_se-appl'!Q64</f>
        <v>34.990997526481664</v>
      </c>
      <c r="R15" s="63">
        <f>'SER_se-appl'!R64</f>
        <v>34.555900859433656</v>
      </c>
      <c r="S15" s="63">
        <f>'SER_se-appl'!S64</f>
        <v>34.033398746749697</v>
      </c>
      <c r="T15" s="63">
        <f>'SER_se-appl'!T64</f>
        <v>33.545327461941909</v>
      </c>
      <c r="U15" s="63">
        <f>'SER_se-appl'!U64</f>
        <v>33.076374329628578</v>
      </c>
      <c r="V15" s="63">
        <f>'SER_se-appl'!V64</f>
        <v>32.610874848682457</v>
      </c>
      <c r="W15" s="63">
        <f>'SER_se-appl'!W64</f>
        <v>32.361587695603276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35.87339394181349</v>
      </c>
      <c r="C3" s="199">
        <f>'SER_se-appl'!C9</f>
        <v>41.592920183245376</v>
      </c>
      <c r="D3" s="199">
        <f>'SER_se-appl'!D9</f>
        <v>48.495048395881625</v>
      </c>
      <c r="E3" s="199">
        <f>'SER_se-appl'!E9</f>
        <v>57.844490267681053</v>
      </c>
      <c r="F3" s="199">
        <f>'SER_se-appl'!F9</f>
        <v>65.795583724228933</v>
      </c>
      <c r="G3" s="199">
        <f>'SER_se-appl'!G9</f>
        <v>74.006155721604827</v>
      </c>
      <c r="H3" s="199">
        <f>'SER_se-appl'!H9</f>
        <v>82.02994107129561</v>
      </c>
      <c r="I3" s="199">
        <f>'SER_se-appl'!I9</f>
        <v>91.073911129811009</v>
      </c>
      <c r="J3" s="199">
        <f>'SER_se-appl'!J9</f>
        <v>95.077171092218776</v>
      </c>
      <c r="K3" s="199">
        <f>'SER_se-appl'!K9</f>
        <v>98.460391627463807</v>
      </c>
      <c r="L3" s="199">
        <f>'SER_se-appl'!L9</f>
        <v>101.41274264710387</v>
      </c>
      <c r="M3" s="199">
        <f>'SER_se-appl'!M9</f>
        <v>104.31195182456092</v>
      </c>
      <c r="N3" s="199">
        <f>'SER_se-appl'!N9</f>
        <v>106.94156430344836</v>
      </c>
      <c r="O3" s="199">
        <f>'SER_se-appl'!O9</f>
        <v>112.10691717844107</v>
      </c>
      <c r="P3" s="199">
        <f>'SER_se-appl'!P9</f>
        <v>116.36224884130534</v>
      </c>
      <c r="Q3" s="199">
        <f>'SER_se-appl'!Q9</f>
        <v>128.43399696937746</v>
      </c>
      <c r="R3" s="199">
        <f>'SER_se-appl'!R9</f>
        <v>132.04180590615766</v>
      </c>
      <c r="S3" s="199">
        <f>'SER_se-appl'!S9</f>
        <v>138.43549372852721</v>
      </c>
      <c r="T3" s="199">
        <f>'SER_se-appl'!T9</f>
        <v>141.15121522050387</v>
      </c>
      <c r="U3" s="199">
        <f>'SER_se-appl'!U9</f>
        <v>143.1830806768146</v>
      </c>
      <c r="V3" s="199">
        <f>'SER_se-appl'!V9</f>
        <v>137.57863648458101</v>
      </c>
      <c r="W3" s="199">
        <f>'SER_se-appl'!W9</f>
        <v>134.34910423057013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260.8343232233554</v>
      </c>
      <c r="C5" s="59">
        <f>'SER_se-appl'!C17</f>
        <v>299.10900592197032</v>
      </c>
      <c r="D5" s="59">
        <f>'SER_se-appl'!D17</f>
        <v>342.48709964285598</v>
      </c>
      <c r="E5" s="59">
        <f>'SER_se-appl'!E17</f>
        <v>401.3962396805797</v>
      </c>
      <c r="F5" s="59">
        <f>'SER_se-appl'!F17</f>
        <v>448.88817581020618</v>
      </c>
      <c r="G5" s="59">
        <f>'SER_se-appl'!G17</f>
        <v>497.29421988144247</v>
      </c>
      <c r="H5" s="59">
        <f>'SER_se-appl'!H17</f>
        <v>542.85786163100181</v>
      </c>
      <c r="I5" s="59">
        <f>'SER_se-appl'!I17</f>
        <v>593.58448131389639</v>
      </c>
      <c r="J5" s="59">
        <f>'SER_se-appl'!J17</f>
        <v>612.96280685047145</v>
      </c>
      <c r="K5" s="59">
        <f>'SER_se-appl'!K17</f>
        <v>630.56952339260158</v>
      </c>
      <c r="L5" s="59">
        <f>'SER_se-appl'!L17</f>
        <v>641.9168885485235</v>
      </c>
      <c r="M5" s="59">
        <f>'SER_se-appl'!M17</f>
        <v>652.89470548768179</v>
      </c>
      <c r="N5" s="59">
        <f>'SER_se-appl'!N17</f>
        <v>663.52058697115251</v>
      </c>
      <c r="O5" s="59">
        <f>'SER_se-appl'!O17</f>
        <v>689.39128350816566</v>
      </c>
      <c r="P5" s="59">
        <f>'SER_se-appl'!P17</f>
        <v>708.97521907992859</v>
      </c>
      <c r="Q5" s="59">
        <f>'SER_se-appl'!Q17</f>
        <v>774.25548441890362</v>
      </c>
      <c r="R5" s="59">
        <f>'SER_se-appl'!R17</f>
        <v>778.12143352957196</v>
      </c>
      <c r="S5" s="59">
        <f>'SER_se-appl'!S17</f>
        <v>795.99089095108491</v>
      </c>
      <c r="T5" s="59">
        <f>'SER_se-appl'!T17</f>
        <v>805.4712847997788</v>
      </c>
      <c r="U5" s="59">
        <f>'SER_se-appl'!U17</f>
        <v>814.98892500367504</v>
      </c>
      <c r="V5" s="59">
        <f>'SER_se-appl'!V17</f>
        <v>806.2591572260302</v>
      </c>
      <c r="W5" s="59">
        <f>'SER_se-appl'!W17</f>
        <v>790.37454181855662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6.5321784600501781E-2</v>
      </c>
      <c r="C6" s="202">
        <f>'SER_se-appl'!C73</f>
        <v>7.7618525336869443E-2</v>
      </c>
      <c r="D6" s="202">
        <f>'SER_se-appl'!D73</f>
        <v>9.2472742985662909E-2</v>
      </c>
      <c r="E6" s="202">
        <f>'SER_se-appl'!E73</f>
        <v>0.11335315499397233</v>
      </c>
      <c r="F6" s="202">
        <f>'SER_se-appl'!F73</f>
        <v>0.13241031219165506</v>
      </c>
      <c r="G6" s="202">
        <f>'SER_se-appl'!G73</f>
        <v>0.15308039032271073</v>
      </c>
      <c r="H6" s="202">
        <f>'SER_se-appl'!H73</f>
        <v>0.17613785081446462</v>
      </c>
      <c r="I6" s="202">
        <f>'SER_se-appl'!I73</f>
        <v>0.20323369195443516</v>
      </c>
      <c r="J6" s="202">
        <f>'SER_se-appl'!J73</f>
        <v>0.22054337782279176</v>
      </c>
      <c r="K6" s="202">
        <f>'SER_se-appl'!K73</f>
        <v>0.23797033906844656</v>
      </c>
      <c r="L6" s="202">
        <f>'SER_se-appl'!L73</f>
        <v>0.25698688024810307</v>
      </c>
      <c r="M6" s="202">
        <f>'SER_se-appl'!M73</f>
        <v>0.28261730707571259</v>
      </c>
      <c r="N6" s="202">
        <f>'SER_se-appl'!N73</f>
        <v>0.30944132833360016</v>
      </c>
      <c r="O6" s="202">
        <f>'SER_se-appl'!O73</f>
        <v>0.34106850894089485</v>
      </c>
      <c r="P6" s="202">
        <f>'SER_se-appl'!P73</f>
        <v>0.36617234342643834</v>
      </c>
      <c r="Q6" s="202">
        <f>'SER_se-appl'!Q73</f>
        <v>0.41136084107315213</v>
      </c>
      <c r="R6" s="202">
        <f>'SER_se-appl'!R73</f>
        <v>0.42330252032785015</v>
      </c>
      <c r="S6" s="202">
        <f>'SER_se-appl'!S73</f>
        <v>0.44323228731335373</v>
      </c>
      <c r="T6" s="202">
        <f>'SER_se-appl'!T73</f>
        <v>0.45771718786315907</v>
      </c>
      <c r="U6" s="202">
        <f>'SER_se-appl'!U73</f>
        <v>0.47073023425885246</v>
      </c>
      <c r="V6" s="202">
        <f>'SER_se-appl'!V73</f>
        <v>0.47639366317882187</v>
      </c>
      <c r="W6" s="202">
        <f>'SER_se-appl'!W73</f>
        <v>0.48642606484979101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671.38370365884816</v>
      </c>
      <c r="C8" s="34">
        <f>'SER_se-appl'!C25</f>
        <v>794.19484694703226</v>
      </c>
      <c r="D8" s="34">
        <f>'SER_se-appl'!D25</f>
        <v>943.33128123597078</v>
      </c>
      <c r="E8" s="34">
        <f>'SER_se-appl'!E25</f>
        <v>1155.3689218961572</v>
      </c>
      <c r="F8" s="34">
        <f>'SER_se-appl'!F25</f>
        <v>1349.9690791722539</v>
      </c>
      <c r="G8" s="34">
        <f>'SER_se-appl'!G25</f>
        <v>1561.2447042447297</v>
      </c>
      <c r="H8" s="34">
        <f>'SER_se-appl'!H25</f>
        <v>1800.7588804161919</v>
      </c>
      <c r="I8" s="34">
        <f>'SER_se-appl'!I25</f>
        <v>2084.0056307510035</v>
      </c>
      <c r="J8" s="34">
        <f>'SER_se-appl'!J25</f>
        <v>2281.1732261265761</v>
      </c>
      <c r="K8" s="34">
        <f>'SER_se-appl'!K25</f>
        <v>2481.0271155640457</v>
      </c>
      <c r="L8" s="34">
        <f>'SER_se-appl'!L25</f>
        <v>2688.6193560011156</v>
      </c>
      <c r="M8" s="34">
        <f>'SER_se-appl'!M25</f>
        <v>2963.7316752473944</v>
      </c>
      <c r="N8" s="34">
        <f>'SER_se-appl'!N25</f>
        <v>3250.8188555355782</v>
      </c>
      <c r="O8" s="34">
        <f>'SER_se-appl'!O25</f>
        <v>3586.7190735860681</v>
      </c>
      <c r="P8" s="34">
        <f>'SER_se-appl'!P25</f>
        <v>3849.3571003106158</v>
      </c>
      <c r="Q8" s="34">
        <f>'SER_se-appl'!Q25</f>
        <v>4335.0336674601722</v>
      </c>
      <c r="R8" s="34">
        <f>'SER_se-appl'!R25</f>
        <v>4467.4683410444386</v>
      </c>
      <c r="S8" s="34">
        <f>'SER_se-appl'!S25</f>
        <v>4688.8745856762525</v>
      </c>
      <c r="T8" s="34">
        <f>'SER_se-appl'!T25</f>
        <v>4856.4045376734502</v>
      </c>
      <c r="U8" s="34">
        <f>'SER_se-appl'!U25</f>
        <v>5013.1828488099263</v>
      </c>
      <c r="V8" s="34">
        <f>'SER_se-appl'!V25</f>
        <v>5094.524774020867</v>
      </c>
      <c r="W8" s="34">
        <f>'SER_se-appl'!W25</f>
        <v>5104.9617767239215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257.08788401995378</v>
      </c>
      <c r="D9" s="36">
        <f>'SER_se-appl'!D33</f>
        <v>283.4131750207082</v>
      </c>
      <c r="E9" s="36">
        <f>'SER_se-appl'!E33</f>
        <v>346.31438139195609</v>
      </c>
      <c r="F9" s="36">
        <f>'SER_se-appl'!F33</f>
        <v>328.87689800786643</v>
      </c>
      <c r="G9" s="36">
        <f>'SER_se-appl'!G33</f>
        <v>345.55236580424548</v>
      </c>
      <c r="H9" s="36">
        <f>'SER_se-appl'!H33</f>
        <v>496.60206019141606</v>
      </c>
      <c r="I9" s="36">
        <f>'SER_se-appl'!I33</f>
        <v>566.65992535551982</v>
      </c>
      <c r="J9" s="36">
        <f>'SER_se-appl'!J33</f>
        <v>543.48197676752852</v>
      </c>
      <c r="K9" s="36">
        <f>'SER_se-appl'!K33</f>
        <v>528.73078744533609</v>
      </c>
      <c r="L9" s="36">
        <f>'SER_se-appl'!L33</f>
        <v>553.14460624131561</v>
      </c>
      <c r="M9" s="36">
        <f>'SER_se-appl'!M33</f>
        <v>771.71437943769479</v>
      </c>
      <c r="N9" s="36">
        <f>'SER_se-appl'!N33</f>
        <v>853.74710564370343</v>
      </c>
      <c r="O9" s="36">
        <f>'SER_se-appl'!O33</f>
        <v>879.38219481801843</v>
      </c>
      <c r="P9" s="36">
        <f>'SER_se-appl'!P33</f>
        <v>791.36881416988354</v>
      </c>
      <c r="Q9" s="36">
        <f>'SER_se-appl'!Q33</f>
        <v>1038.821173390872</v>
      </c>
      <c r="R9" s="36">
        <f>'SER_se-appl'!R33</f>
        <v>904.14905302196121</v>
      </c>
      <c r="S9" s="36">
        <f>'SER_se-appl'!S33</f>
        <v>1075.1533502755174</v>
      </c>
      <c r="T9" s="36">
        <f>'SER_se-appl'!T33</f>
        <v>1046.9121468152161</v>
      </c>
      <c r="U9" s="36">
        <f>'SER_se-appl'!U33</f>
        <v>948.14712530635961</v>
      </c>
      <c r="V9" s="36">
        <f>'SER_se-appl'!V33</f>
        <v>1120.1630986018126</v>
      </c>
      <c r="W9" s="36">
        <f>'SER_se-appl'!W33</f>
        <v>914.58605572501619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134.27674073176968</v>
      </c>
      <c r="D10" s="38">
        <f>'SER_se-appl'!D41</f>
        <v>134.27674073176979</v>
      </c>
      <c r="E10" s="38">
        <f>'SER_se-appl'!E41</f>
        <v>134.27674073176968</v>
      </c>
      <c r="F10" s="38">
        <f>'SER_se-appl'!F41</f>
        <v>134.27674073176968</v>
      </c>
      <c r="G10" s="38">
        <f>'SER_se-appl'!G41</f>
        <v>134.27674073176968</v>
      </c>
      <c r="H10" s="38">
        <f>'SER_se-appl'!H41</f>
        <v>257.08788401995389</v>
      </c>
      <c r="I10" s="38">
        <f>'SER_se-appl'!I41</f>
        <v>283.41317502070842</v>
      </c>
      <c r="J10" s="38">
        <f>'SER_se-appl'!J41</f>
        <v>346.31438139195598</v>
      </c>
      <c r="K10" s="38">
        <f>'SER_se-appl'!K41</f>
        <v>328.87689800786666</v>
      </c>
      <c r="L10" s="38">
        <f>'SER_se-appl'!L41</f>
        <v>345.55236580424571</v>
      </c>
      <c r="M10" s="38">
        <f>'SER_se-appl'!M41</f>
        <v>496.60206019141606</v>
      </c>
      <c r="N10" s="38">
        <f>'SER_se-appl'!N41</f>
        <v>566.65992535551959</v>
      </c>
      <c r="O10" s="38">
        <f>'SER_se-appl'!O41</f>
        <v>543.48197676752852</v>
      </c>
      <c r="P10" s="38">
        <f>'SER_se-appl'!P41</f>
        <v>528.73078744533586</v>
      </c>
      <c r="Q10" s="38">
        <f>'SER_se-appl'!Q41</f>
        <v>553.14460624131516</v>
      </c>
      <c r="R10" s="38">
        <f>'SER_se-appl'!R41</f>
        <v>771.71437943769433</v>
      </c>
      <c r="S10" s="38">
        <f>'SER_se-appl'!S41</f>
        <v>853.74710564370343</v>
      </c>
      <c r="T10" s="38">
        <f>'SER_se-appl'!T41</f>
        <v>879.38219481801843</v>
      </c>
      <c r="U10" s="38">
        <f>'SER_se-appl'!U41</f>
        <v>791.36881416988308</v>
      </c>
      <c r="V10" s="38">
        <f>'SER_se-appl'!V41</f>
        <v>1038.821173390872</v>
      </c>
      <c r="W10" s="38">
        <f>'SER_se-appl'!W41</f>
        <v>904.14905302196166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1599.5117758563979</v>
      </c>
      <c r="C12" s="205">
        <f>'SER_se-appl'!C49</f>
        <v>1617.2219898231183</v>
      </c>
      <c r="D12" s="205">
        <f>'SER_se-appl'!D49</f>
        <v>1646.7698007669114</v>
      </c>
      <c r="E12" s="205">
        <f>'SER_se-appl'!E49</f>
        <v>1675.978385717993</v>
      </c>
      <c r="F12" s="205">
        <f>'SER_se-appl'!F49</f>
        <v>1704.6620515937066</v>
      </c>
      <c r="G12" s="205">
        <f>'SER_se-appl'!G49</f>
        <v>1730.7492358295608</v>
      </c>
      <c r="H12" s="205">
        <f>'SER_se-appl'!H49</f>
        <v>1757.3812264464145</v>
      </c>
      <c r="I12" s="205">
        <f>'SER_se-appl'!I49</f>
        <v>1784.3956838210981</v>
      </c>
      <c r="J12" s="205">
        <f>'SER_se-appl'!J49</f>
        <v>1803.9389787515197</v>
      </c>
      <c r="K12" s="205">
        <f>'SER_se-appl'!K49</f>
        <v>1815.9684414599467</v>
      </c>
      <c r="L12" s="205">
        <f>'SER_se-appl'!L49</f>
        <v>1837.3565457246307</v>
      </c>
      <c r="M12" s="205">
        <f>'SER_se-appl'!M49</f>
        <v>1858.1066587352377</v>
      </c>
      <c r="N12" s="205">
        <f>'SER_se-appl'!N49</f>
        <v>1874.4413018539503</v>
      </c>
      <c r="O12" s="205">
        <f>'SER_se-appl'!O49</f>
        <v>1891.238659343778</v>
      </c>
      <c r="P12" s="205">
        <f>'SER_se-appl'!P49</f>
        <v>1908.8014892546103</v>
      </c>
      <c r="Q12" s="205">
        <f>'SER_se-appl'!Q49</f>
        <v>1929.1918685921951</v>
      </c>
      <c r="R12" s="205">
        <f>'SER_se-appl'!R49</f>
        <v>1973.5302698486232</v>
      </c>
      <c r="S12" s="205">
        <f>'SER_se-appl'!S49</f>
        <v>2022.6422316706</v>
      </c>
      <c r="T12" s="205">
        <f>'SER_se-appl'!T49</f>
        <v>2038.0473692771311</v>
      </c>
      <c r="U12" s="205">
        <f>'SER_se-appl'!U49</f>
        <v>2043.2415425324275</v>
      </c>
      <c r="V12" s="205">
        <f>'SER_se-appl'!V49</f>
        <v>1984.5226289530565</v>
      </c>
      <c r="W12" s="205">
        <f>'SER_se-appl'!W49</f>
        <v>1976.8856403274988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388.50261303913589</v>
      </c>
      <c r="C14" s="59">
        <f>'SER_se-appl'!C57</f>
        <v>376.61917232499871</v>
      </c>
      <c r="D14" s="59">
        <f>'SER_se-appl'!D57</f>
        <v>363.06131944879724</v>
      </c>
      <c r="E14" s="59">
        <f>'SER_se-appl'!E57</f>
        <v>347.41824197748031</v>
      </c>
      <c r="F14" s="59">
        <f>'SER_se-appl'!F57</f>
        <v>332.51737594274834</v>
      </c>
      <c r="G14" s="59">
        <f>'SER_se-appl'!G57</f>
        <v>318.52419965261907</v>
      </c>
      <c r="H14" s="59">
        <f>'SER_se-appl'!H57</f>
        <v>301.46060504532198</v>
      </c>
      <c r="I14" s="59">
        <f>'SER_se-appl'!I57</f>
        <v>284.82863604355475</v>
      </c>
      <c r="J14" s="59">
        <f>'SER_se-appl'!J57</f>
        <v>268.70506800190708</v>
      </c>
      <c r="K14" s="59">
        <f>'SER_se-appl'!K57</f>
        <v>254.15664320510487</v>
      </c>
      <c r="L14" s="59">
        <f>'SER_se-appl'!L57</f>
        <v>238.75335387872479</v>
      </c>
      <c r="M14" s="59">
        <f>'SER_se-appl'!M57</f>
        <v>220.29480972942062</v>
      </c>
      <c r="N14" s="59">
        <f>'SER_se-appl'!N57</f>
        <v>204.10875427318643</v>
      </c>
      <c r="O14" s="59">
        <f>'SER_se-appl'!O57</f>
        <v>192.20665721636777</v>
      </c>
      <c r="P14" s="59">
        <f>'SER_se-appl'!P57</f>
        <v>184.18016323367851</v>
      </c>
      <c r="Q14" s="59">
        <f>'SER_se-appl'!Q57</f>
        <v>178.60426096125977</v>
      </c>
      <c r="R14" s="59">
        <f>'SER_se-appl'!R57</f>
        <v>174.17503026952775</v>
      </c>
      <c r="S14" s="59">
        <f>'SER_se-appl'!S57</f>
        <v>169.76160833618951</v>
      </c>
      <c r="T14" s="59">
        <f>'SER_se-appl'!T57</f>
        <v>165.85753483906731</v>
      </c>
      <c r="U14" s="59">
        <f>'SER_se-appl'!U57</f>
        <v>162.56916006906556</v>
      </c>
      <c r="V14" s="59">
        <f>'SER_se-appl'!V57</f>
        <v>158.25993453550097</v>
      </c>
      <c r="W14" s="59">
        <f>'SER_se-appl'!W57</f>
        <v>154.82477173918718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351.792336259092</v>
      </c>
      <c r="D15" s="63">
        <f>'SER_se-appl'!D65</f>
        <v>337.12250095139552</v>
      </c>
      <c r="E15" s="63">
        <f>'SER_se-appl'!E65</f>
        <v>320.73748781653904</v>
      </c>
      <c r="F15" s="63">
        <f>'SER_se-appl'!F65</f>
        <v>303.02767198903052</v>
      </c>
      <c r="G15" s="63">
        <f>'SER_se-appl'!G65</f>
        <v>291.04968933386402</v>
      </c>
      <c r="H15" s="63">
        <f>'SER_se-appl'!H65</f>
        <v>273.87157644980766</v>
      </c>
      <c r="I15" s="63">
        <f>'SER_se-appl'!I65</f>
        <v>258.12938502167964</v>
      </c>
      <c r="J15" s="63">
        <f>'SER_se-appl'!J65</f>
        <v>240.03432642766535</v>
      </c>
      <c r="K15" s="63">
        <f>'SER_se-appl'!K65</f>
        <v>221.7868149555251</v>
      </c>
      <c r="L15" s="63">
        <f>'SER_se-appl'!L65</f>
        <v>202.3345660592102</v>
      </c>
      <c r="M15" s="63">
        <f>'SER_se-appl'!M65</f>
        <v>190.46296136026629</v>
      </c>
      <c r="N15" s="63">
        <f>'SER_se-appl'!N65</f>
        <v>183.77509978628316</v>
      </c>
      <c r="O15" s="63">
        <f>'SER_se-appl'!O65</f>
        <v>177.76687733407337</v>
      </c>
      <c r="P15" s="63">
        <f>'SER_se-appl'!P65</f>
        <v>172.92752814847887</v>
      </c>
      <c r="Q15" s="63">
        <f>'SER_se-appl'!Q65</f>
        <v>170.57848236996784</v>
      </c>
      <c r="R15" s="63">
        <f>'SER_se-appl'!R65</f>
        <v>166.84080422192054</v>
      </c>
      <c r="S15" s="63">
        <f>'SER_se-appl'!S65</f>
        <v>162.55068814941541</v>
      </c>
      <c r="T15" s="63">
        <f>'SER_se-appl'!T65</f>
        <v>158.3756775667083</v>
      </c>
      <c r="U15" s="63">
        <f>'SER_se-appl'!U65</f>
        <v>154.37171002843422</v>
      </c>
      <c r="V15" s="63">
        <f>'SER_se-appl'!V65</f>
        <v>150.39843005312767</v>
      </c>
      <c r="W15" s="63">
        <f>'SER_se-appl'!W65</f>
        <v>147.56877047311704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3619.675725961858</v>
      </c>
      <c r="C3" s="220">
        <v>3669.9857752489329</v>
      </c>
      <c r="D3" s="220">
        <v>3102.5825922068211</v>
      </c>
      <c r="E3" s="220">
        <v>2931.8569918412709</v>
      </c>
      <c r="F3" s="220">
        <v>3072.6867893703638</v>
      </c>
      <c r="G3" s="220">
        <v>3106.619006532726</v>
      </c>
      <c r="H3" s="220">
        <v>3142.6673813241359</v>
      </c>
      <c r="I3" s="220">
        <v>3204.078479839332</v>
      </c>
      <c r="J3" s="220">
        <v>3044.6397119261028</v>
      </c>
      <c r="K3" s="220">
        <v>2645.9187063905192</v>
      </c>
      <c r="L3" s="220">
        <v>2389.5769695422</v>
      </c>
      <c r="M3" s="220">
        <v>3135.4828827448878</v>
      </c>
      <c r="N3" s="220">
        <v>3545.2344052692761</v>
      </c>
      <c r="O3" s="220">
        <v>3736.5610043698412</v>
      </c>
      <c r="P3" s="220">
        <v>3886.870624732127</v>
      </c>
      <c r="Q3" s="220">
        <v>3749.3</v>
      </c>
      <c r="R3" s="220">
        <v>3631.2646473362688</v>
      </c>
      <c r="S3" s="220">
        <v>3769.889956397818</v>
      </c>
      <c r="T3" s="220">
        <v>3657.9774516212801</v>
      </c>
      <c r="U3" s="220">
        <v>3611.7826202909519</v>
      </c>
      <c r="V3" s="220">
        <v>3578.9446972644691</v>
      </c>
      <c r="W3" s="220">
        <v>3489.503551728244</v>
      </c>
      <c r="DA3" s="211" t="s">
        <v>972</v>
      </c>
    </row>
    <row r="5" spans="1:105" x14ac:dyDescent="0.25">
      <c r="A5" s="219" t="s">
        <v>120</v>
      </c>
      <c r="B5" s="220">
        <v>5693.1625792951436</v>
      </c>
      <c r="C5" s="220">
        <v>5986.4391185558115</v>
      </c>
      <c r="D5" s="220">
        <v>5327.6787711841907</v>
      </c>
      <c r="E5" s="220">
        <v>5058.3740204511987</v>
      </c>
      <c r="F5" s="220">
        <v>4240.0368403684297</v>
      </c>
      <c r="G5" s="220">
        <v>3648.3072801566132</v>
      </c>
      <c r="H5" s="220">
        <v>3996.073858410065</v>
      </c>
      <c r="I5" s="220">
        <v>3960.6972061652118</v>
      </c>
      <c r="J5" s="220">
        <v>3911.8594540929971</v>
      </c>
      <c r="K5" s="220">
        <v>3406.0999891233391</v>
      </c>
      <c r="L5" s="220">
        <v>3908.123641045725</v>
      </c>
      <c r="M5" s="220">
        <v>4253.1045370769698</v>
      </c>
      <c r="N5" s="220">
        <v>4282.8117014212539</v>
      </c>
      <c r="O5" s="220">
        <v>4683.8352534782916</v>
      </c>
      <c r="P5" s="220">
        <v>4825.9063543523116</v>
      </c>
      <c r="Q5" s="220">
        <v>4670.6812544898239</v>
      </c>
      <c r="R5" s="220">
        <v>4820.5152655735346</v>
      </c>
      <c r="S5" s="220">
        <v>5216.6224688577013</v>
      </c>
      <c r="T5" s="220">
        <v>4469.9198284017621</v>
      </c>
      <c r="U5" s="220">
        <v>4552.0899845169606</v>
      </c>
      <c r="V5" s="220">
        <v>4367.0699846921943</v>
      </c>
      <c r="W5" s="220">
        <v>4686.800914027961</v>
      </c>
      <c r="DA5" s="211" t="s">
        <v>973</v>
      </c>
    </row>
    <row r="6" spans="1:105" x14ac:dyDescent="0.25">
      <c r="A6" s="221" t="s">
        <v>119</v>
      </c>
      <c r="B6" s="222">
        <v>7116.4532241189299</v>
      </c>
      <c r="C6" s="222">
        <v>6760.6305629129838</v>
      </c>
      <c r="D6" s="222">
        <v>6760.6305629129838</v>
      </c>
      <c r="E6" s="222">
        <v>6404.8079017070377</v>
      </c>
      <c r="F6" s="222">
        <v>6048.9852405010924</v>
      </c>
      <c r="G6" s="222">
        <v>5693.1625792951454</v>
      </c>
      <c r="H6" s="222">
        <v>5693.1625792951454</v>
      </c>
      <c r="I6" s="222">
        <v>5337.3399180891993</v>
      </c>
      <c r="J6" s="222">
        <v>4981.5172568832531</v>
      </c>
      <c r="K6" s="222">
        <v>4981.5172568832531</v>
      </c>
      <c r="L6" s="222">
        <v>4625.694595677307</v>
      </c>
      <c r="M6" s="222">
        <v>4625.694595677307</v>
      </c>
      <c r="N6" s="222">
        <v>4625.694595677307</v>
      </c>
      <c r="O6" s="222">
        <v>4981.5172568832531</v>
      </c>
      <c r="P6" s="222">
        <v>5337.3399180891993</v>
      </c>
      <c r="Q6" s="222">
        <v>5337.3399180891993</v>
      </c>
      <c r="R6" s="222">
        <v>5337.3399180891993</v>
      </c>
      <c r="S6" s="222">
        <v>5693.1625792951454</v>
      </c>
      <c r="T6" s="222">
        <v>5337.3399180891993</v>
      </c>
      <c r="U6" s="222">
        <v>4981.5172568832531</v>
      </c>
      <c r="V6" s="222">
        <v>4625.694595677307</v>
      </c>
      <c r="W6" s="222">
        <v>4981.5172568832531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355.82266120594647</v>
      </c>
      <c r="O7" s="226">
        <v>711.64532241189306</v>
      </c>
      <c r="P7" s="226">
        <v>711.64532241189306</v>
      </c>
      <c r="Q7" s="226">
        <v>0</v>
      </c>
      <c r="R7" s="226">
        <v>355.82266120594647</v>
      </c>
      <c r="S7" s="226">
        <v>355.82266120594647</v>
      </c>
      <c r="T7" s="226">
        <v>0</v>
      </c>
      <c r="U7" s="226">
        <v>0</v>
      </c>
      <c r="V7" s="226">
        <v>0</v>
      </c>
      <c r="W7" s="226">
        <v>355.82266120594647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355.82266120594613</v>
      </c>
      <c r="D8" s="228">
        <f t="shared" ref="D8" si="1">IF(C6=0,0,C6+D7-D6)</f>
        <v>0</v>
      </c>
      <c r="E8" s="228">
        <f t="shared" ref="E8" si="2">IF(D6=0,0,D6+E7-E6)</f>
        <v>355.82266120594613</v>
      </c>
      <c r="F8" s="228">
        <f t="shared" ref="F8" si="3">IF(E6=0,0,E6+F7-F6)</f>
        <v>355.82266120594522</v>
      </c>
      <c r="G8" s="228">
        <f t="shared" ref="G8" si="4">IF(F6=0,0,F6+G7-G6)</f>
        <v>355.82266120594704</v>
      </c>
      <c r="H8" s="228">
        <f t="shared" ref="H8" si="5">IF(G6=0,0,G6+H7-H6)</f>
        <v>0</v>
      </c>
      <c r="I8" s="228">
        <f t="shared" ref="I8" si="6">IF(H6=0,0,H6+I7-I6)</f>
        <v>355.82266120594613</v>
      </c>
      <c r="J8" s="228">
        <f t="shared" ref="J8" si="7">IF(I6=0,0,I6+J7-J6)</f>
        <v>355.82266120594613</v>
      </c>
      <c r="K8" s="228">
        <f t="shared" ref="K8" si="8">IF(J6=0,0,J6+K7-K6)</f>
        <v>0</v>
      </c>
      <c r="L8" s="228">
        <f t="shared" ref="L8" si="9">IF(K6=0,0,K6+L7-L6)</f>
        <v>355.82266120594613</v>
      </c>
      <c r="M8" s="228">
        <f t="shared" ref="M8" si="10">IF(L6=0,0,L6+M7-M6)</f>
        <v>0</v>
      </c>
      <c r="N8" s="228">
        <f t="shared" ref="N8" si="11">IF(M6=0,0,M6+N7-N6)</f>
        <v>355.82266120594613</v>
      </c>
      <c r="O8" s="228">
        <f t="shared" ref="O8" si="12">IF(N6=0,0,N6+O7-O6)</f>
        <v>355.82266120594704</v>
      </c>
      <c r="P8" s="228">
        <f t="shared" ref="P8" si="13">IF(O6=0,0,O6+P7-P6)</f>
        <v>355.82266120594704</v>
      </c>
      <c r="Q8" s="228">
        <f t="shared" ref="Q8" si="14">IF(P6=0,0,P6+Q7-Q6)</f>
        <v>0</v>
      </c>
      <c r="R8" s="228">
        <f t="shared" ref="R8" si="15">IF(Q6=0,0,Q6+R7-R6)</f>
        <v>355.82266120594613</v>
      </c>
      <c r="S8" s="228">
        <f t="shared" ref="S8" si="16">IF(R6=0,0,R6+S7-S6)</f>
        <v>0</v>
      </c>
      <c r="T8" s="228">
        <f t="shared" ref="T8" si="17">IF(S6=0,0,S6+T7-T6)</f>
        <v>355.82266120594613</v>
      </c>
      <c r="U8" s="228">
        <f t="shared" ref="U8" si="18">IF(T6=0,0,T6+U7-U6)</f>
        <v>355.82266120594613</v>
      </c>
      <c r="V8" s="228">
        <f t="shared" ref="V8" si="19">IF(U6=0,0,U6+V7-V6)</f>
        <v>355.82266120594613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1423.2906448237864</v>
      </c>
      <c r="C9" s="224">
        <f t="shared" ref="C9:W9" si="21">C6-C5</f>
        <v>774.19144435717226</v>
      </c>
      <c r="D9" s="224">
        <f t="shared" si="21"/>
        <v>1432.9517917287931</v>
      </c>
      <c r="E9" s="224">
        <f t="shared" si="21"/>
        <v>1346.433881255839</v>
      </c>
      <c r="F9" s="224">
        <f t="shared" si="21"/>
        <v>1808.9484001326628</v>
      </c>
      <c r="G9" s="224">
        <f t="shared" si="21"/>
        <v>2044.8552991385322</v>
      </c>
      <c r="H9" s="224">
        <f t="shared" si="21"/>
        <v>1697.0887208850804</v>
      </c>
      <c r="I9" s="224">
        <f t="shared" si="21"/>
        <v>1376.6427119239875</v>
      </c>
      <c r="J9" s="224">
        <f t="shared" si="21"/>
        <v>1069.657802790256</v>
      </c>
      <c r="K9" s="224">
        <f t="shared" si="21"/>
        <v>1575.417267759914</v>
      </c>
      <c r="L9" s="224">
        <f t="shared" si="21"/>
        <v>717.57095463158203</v>
      </c>
      <c r="M9" s="224">
        <f t="shared" si="21"/>
        <v>372.59005860033722</v>
      </c>
      <c r="N9" s="224">
        <f t="shared" si="21"/>
        <v>342.88289425605308</v>
      </c>
      <c r="O9" s="224">
        <f t="shared" si="21"/>
        <v>297.68200340496151</v>
      </c>
      <c r="P9" s="224">
        <f t="shared" si="21"/>
        <v>511.43356373688766</v>
      </c>
      <c r="Q9" s="224">
        <f t="shared" si="21"/>
        <v>666.65866359937536</v>
      </c>
      <c r="R9" s="224">
        <f t="shared" si="21"/>
        <v>516.82465251566464</v>
      </c>
      <c r="S9" s="224">
        <f t="shared" si="21"/>
        <v>476.54011043744413</v>
      </c>
      <c r="T9" s="224">
        <f t="shared" si="21"/>
        <v>867.42008968743721</v>
      </c>
      <c r="U9" s="224">
        <f t="shared" si="21"/>
        <v>429.42727236629253</v>
      </c>
      <c r="V9" s="224">
        <f t="shared" si="21"/>
        <v>258.62461098511267</v>
      </c>
      <c r="W9" s="224">
        <f t="shared" si="21"/>
        <v>294.71634285529217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719.95098882201182</v>
      </c>
      <c r="C12" s="230">
        <f t="shared" ref="C12:W12" si="22">SUM(C13,C14,C18,C19,C26,C27)</f>
        <v>732.42906276870144</v>
      </c>
      <c r="D12" s="230">
        <f t="shared" si="22"/>
        <v>680.93361994840939</v>
      </c>
      <c r="E12" s="230">
        <f t="shared" si="22"/>
        <v>685.07016337059326</v>
      </c>
      <c r="F12" s="230">
        <f t="shared" si="22"/>
        <v>571.7419604471196</v>
      </c>
      <c r="G12" s="230">
        <f t="shared" si="22"/>
        <v>563.39552880481506</v>
      </c>
      <c r="H12" s="230">
        <f t="shared" si="22"/>
        <v>587.14393809114347</v>
      </c>
      <c r="I12" s="230">
        <f t="shared" si="22"/>
        <v>543.56018916595008</v>
      </c>
      <c r="J12" s="230">
        <f t="shared" si="22"/>
        <v>545.02854686156491</v>
      </c>
      <c r="K12" s="230">
        <f t="shared" si="22"/>
        <v>532.57858985382632</v>
      </c>
      <c r="L12" s="230">
        <f t="shared" si="22"/>
        <v>565.0594153052449</v>
      </c>
      <c r="M12" s="230">
        <f t="shared" si="22"/>
        <v>564.8134135855546</v>
      </c>
      <c r="N12" s="230">
        <f t="shared" si="22"/>
        <v>578.36380051590709</v>
      </c>
      <c r="O12" s="230">
        <f t="shared" si="22"/>
        <v>622.71685296646592</v>
      </c>
      <c r="P12" s="230">
        <f t="shared" si="22"/>
        <v>628.13705932932066</v>
      </c>
      <c r="Q12" s="230">
        <f t="shared" si="22"/>
        <v>620.81840068787608</v>
      </c>
      <c r="R12" s="230">
        <f t="shared" si="22"/>
        <v>652.62742906276867</v>
      </c>
      <c r="S12" s="230">
        <f t="shared" si="22"/>
        <v>651.56715391229557</v>
      </c>
      <c r="T12" s="230">
        <f t="shared" si="22"/>
        <v>631.50963026655188</v>
      </c>
      <c r="U12" s="230">
        <f t="shared" si="22"/>
        <v>646.45133276010301</v>
      </c>
      <c r="V12" s="230">
        <f t="shared" si="22"/>
        <v>649.06018916595008</v>
      </c>
      <c r="W12" s="230">
        <f t="shared" si="22"/>
        <v>668.05726569217529</v>
      </c>
      <c r="DA12" s="211" t="s">
        <v>978</v>
      </c>
    </row>
    <row r="13" spans="1:105" x14ac:dyDescent="0.25">
      <c r="A13" s="58" t="s">
        <v>29</v>
      </c>
      <c r="B13" s="59">
        <v>48.645829750644872</v>
      </c>
      <c r="C13" s="59">
        <v>37.217024935511603</v>
      </c>
      <c r="D13" s="59">
        <v>39.391401547721408</v>
      </c>
      <c r="E13" s="59">
        <v>39.890799656061901</v>
      </c>
      <c r="F13" s="59">
        <v>23.349355116079099</v>
      </c>
      <c r="G13" s="59">
        <v>19.515993121238179</v>
      </c>
      <c r="H13" s="59">
        <v>19.183490971625101</v>
      </c>
      <c r="I13" s="59">
        <v>12.534651762682715</v>
      </c>
      <c r="J13" s="59">
        <v>13.385038693035254</v>
      </c>
      <c r="K13" s="59">
        <v>13.171797076526229</v>
      </c>
      <c r="L13" s="59">
        <v>13.040154772141012</v>
      </c>
      <c r="M13" s="59">
        <v>11.033018056749786</v>
      </c>
      <c r="N13" s="59">
        <v>10.723215821152193</v>
      </c>
      <c r="O13" s="59">
        <v>9.8536543422184</v>
      </c>
      <c r="P13" s="59">
        <v>9.2819432502149599</v>
      </c>
      <c r="Q13" s="59">
        <v>9.0185726569217533</v>
      </c>
      <c r="R13" s="59">
        <v>8.2066208082545131</v>
      </c>
      <c r="S13" s="59">
        <v>6.4495270851246778</v>
      </c>
      <c r="T13" s="59">
        <v>6.2382631126397232</v>
      </c>
      <c r="U13" s="59">
        <v>5.8151332760103172</v>
      </c>
      <c r="V13" s="59">
        <v>5.02493551160791</v>
      </c>
      <c r="W13" s="59">
        <v>6.0697334479793641</v>
      </c>
      <c r="DA13" s="9" t="s">
        <v>979</v>
      </c>
    </row>
    <row r="14" spans="1:105" x14ac:dyDescent="0.25">
      <c r="A14" s="60" t="s">
        <v>28</v>
      </c>
      <c r="B14" s="55">
        <f>SUM(B15:B17)</f>
        <v>483.84935511607898</v>
      </c>
      <c r="C14" s="55">
        <f t="shared" ref="C14:W14" si="23">SUM(C15:C17)</f>
        <v>513.8564058469475</v>
      </c>
      <c r="D14" s="55">
        <f t="shared" si="23"/>
        <v>457.1102321582116</v>
      </c>
      <c r="E14" s="55">
        <f t="shared" si="23"/>
        <v>451.80249355116081</v>
      </c>
      <c r="F14" s="55">
        <f t="shared" si="23"/>
        <v>355.80868443680146</v>
      </c>
      <c r="G14" s="55">
        <f t="shared" si="23"/>
        <v>356.38546861564913</v>
      </c>
      <c r="H14" s="55">
        <f t="shared" si="23"/>
        <v>362.03705932932064</v>
      </c>
      <c r="I14" s="55">
        <f t="shared" si="23"/>
        <v>346.8466895958727</v>
      </c>
      <c r="J14" s="55">
        <f t="shared" si="23"/>
        <v>362.98727429062768</v>
      </c>
      <c r="K14" s="55">
        <f t="shared" si="23"/>
        <v>352.75924333619946</v>
      </c>
      <c r="L14" s="55">
        <f t="shared" si="23"/>
        <v>353.18005159071356</v>
      </c>
      <c r="M14" s="55">
        <f t="shared" si="23"/>
        <v>353.79948409286322</v>
      </c>
      <c r="N14" s="55">
        <f t="shared" si="23"/>
        <v>352.70791057609625</v>
      </c>
      <c r="O14" s="55">
        <f t="shared" si="23"/>
        <v>352.67884780739467</v>
      </c>
      <c r="P14" s="55">
        <f t="shared" si="23"/>
        <v>352.57781599312125</v>
      </c>
      <c r="Q14" s="55">
        <f t="shared" si="23"/>
        <v>349.44909716251072</v>
      </c>
      <c r="R14" s="55">
        <f t="shared" si="23"/>
        <v>347.65941530524498</v>
      </c>
      <c r="S14" s="55">
        <f t="shared" si="23"/>
        <v>348.53981083404977</v>
      </c>
      <c r="T14" s="55">
        <f t="shared" si="23"/>
        <v>346.56723989681853</v>
      </c>
      <c r="U14" s="55">
        <f t="shared" si="23"/>
        <v>348.87429062768689</v>
      </c>
      <c r="V14" s="55">
        <f t="shared" si="23"/>
        <v>353.38331900257947</v>
      </c>
      <c r="W14" s="55">
        <f t="shared" si="23"/>
        <v>342.28039552880466</v>
      </c>
      <c r="DA14" s="10"/>
    </row>
    <row r="15" spans="1:105" x14ac:dyDescent="0.25">
      <c r="A15" s="61" t="s">
        <v>52</v>
      </c>
      <c r="B15" s="55">
        <v>9.8882201203783318</v>
      </c>
      <c r="C15" s="55">
        <v>12.70309544282029</v>
      </c>
      <c r="D15" s="55">
        <v>6.3542562338779023</v>
      </c>
      <c r="E15" s="55">
        <v>5.298538263112639</v>
      </c>
      <c r="F15" s="55">
        <v>5.2948409286328459</v>
      </c>
      <c r="G15" s="55">
        <v>6.3538263112639717</v>
      </c>
      <c r="H15" s="55">
        <v>6.5638865004299216</v>
      </c>
      <c r="I15" s="55">
        <v>2.187962166809974</v>
      </c>
      <c r="J15" s="55">
        <v>2.093551160791058</v>
      </c>
      <c r="K15" s="55">
        <v>2.0931212381771278</v>
      </c>
      <c r="L15" s="55">
        <v>3.1399828030954429</v>
      </c>
      <c r="M15" s="55">
        <v>3.1394668959587269</v>
      </c>
      <c r="N15" s="55">
        <v>3.1384350816852971</v>
      </c>
      <c r="O15" s="55">
        <v>4.184608770421324</v>
      </c>
      <c r="P15" s="55">
        <v>4.184608770421324</v>
      </c>
      <c r="Q15" s="55">
        <v>4.184608770421324</v>
      </c>
      <c r="R15" s="55">
        <v>4.184608770421324</v>
      </c>
      <c r="S15" s="55">
        <v>4.184608770421324</v>
      </c>
      <c r="T15" s="55">
        <v>6.2768701633705932</v>
      </c>
      <c r="U15" s="55">
        <v>6.2768701633705932</v>
      </c>
      <c r="V15" s="55">
        <v>7.3230438521066201</v>
      </c>
      <c r="W15" s="55">
        <v>7.3230438521066201</v>
      </c>
      <c r="DA15" s="10" t="s">
        <v>980</v>
      </c>
    </row>
    <row r="16" spans="1:105" x14ac:dyDescent="0.25">
      <c r="A16" s="61" t="s">
        <v>172</v>
      </c>
      <c r="B16" s="55">
        <v>383.3909716251074</v>
      </c>
      <c r="C16" s="55">
        <v>369.45829750644879</v>
      </c>
      <c r="D16" s="55">
        <v>337.57953568357703</v>
      </c>
      <c r="E16" s="55">
        <v>320.46620808254517</v>
      </c>
      <c r="F16" s="55">
        <v>334.03989681857274</v>
      </c>
      <c r="G16" s="55">
        <v>330.69165950128973</v>
      </c>
      <c r="H16" s="55">
        <v>335.13697334479787</v>
      </c>
      <c r="I16" s="55">
        <v>331.83877901977638</v>
      </c>
      <c r="J16" s="55">
        <v>348.13705932932072</v>
      </c>
      <c r="K16" s="55">
        <v>341.81255374032673</v>
      </c>
      <c r="L16" s="55">
        <v>341.26973344797926</v>
      </c>
      <c r="M16" s="55">
        <v>341.88417884780733</v>
      </c>
      <c r="N16" s="55">
        <v>342.69544282029227</v>
      </c>
      <c r="O16" s="55">
        <v>341.70120378331899</v>
      </c>
      <c r="P16" s="55">
        <v>337.82459157351678</v>
      </c>
      <c r="Q16" s="55">
        <v>337.447377472055</v>
      </c>
      <c r="R16" s="55">
        <v>338.58340498710226</v>
      </c>
      <c r="S16" s="55">
        <v>338.52029234737739</v>
      </c>
      <c r="T16" s="55">
        <v>336.35898538263109</v>
      </c>
      <c r="U16" s="55">
        <v>339.60945829750636</v>
      </c>
      <c r="V16" s="55">
        <v>340.24187446259668</v>
      </c>
      <c r="W16" s="55">
        <v>314.84178847807385</v>
      </c>
      <c r="DA16" s="10" t="s">
        <v>981</v>
      </c>
    </row>
    <row r="17" spans="1:105" x14ac:dyDescent="0.25">
      <c r="A17" s="61" t="s">
        <v>113</v>
      </c>
      <c r="B17" s="55">
        <v>90.570163370593292</v>
      </c>
      <c r="C17" s="55">
        <v>131.69501289767842</v>
      </c>
      <c r="D17" s="55">
        <v>113.17644024075665</v>
      </c>
      <c r="E17" s="55">
        <v>126.03774720550302</v>
      </c>
      <c r="F17" s="55">
        <v>16.473946689595873</v>
      </c>
      <c r="G17" s="55">
        <v>19.339982803095442</v>
      </c>
      <c r="H17" s="55">
        <v>20.336199484092859</v>
      </c>
      <c r="I17" s="55">
        <v>12.819948409286329</v>
      </c>
      <c r="J17" s="55">
        <v>12.756663800515906</v>
      </c>
      <c r="K17" s="55">
        <v>8.8535683576956128</v>
      </c>
      <c r="L17" s="55">
        <v>8.7703353396388639</v>
      </c>
      <c r="M17" s="55">
        <v>8.7758383490971603</v>
      </c>
      <c r="N17" s="55">
        <v>6.8740326741186584</v>
      </c>
      <c r="O17" s="55">
        <v>6.7930352536543408</v>
      </c>
      <c r="P17" s="55">
        <v>10.568615649183144</v>
      </c>
      <c r="Q17" s="55">
        <v>7.8171109200343931</v>
      </c>
      <c r="R17" s="55">
        <v>4.8914015477214088</v>
      </c>
      <c r="S17" s="55">
        <v>5.8349097162510741</v>
      </c>
      <c r="T17" s="55">
        <v>3.9313843508168516</v>
      </c>
      <c r="U17" s="55">
        <v>2.9879621668099734</v>
      </c>
      <c r="V17" s="55">
        <v>5.8184006878761814</v>
      </c>
      <c r="W17" s="55">
        <v>20.115563198624244</v>
      </c>
      <c r="DA17" s="10" t="s">
        <v>982</v>
      </c>
    </row>
    <row r="18" spans="1:105" x14ac:dyDescent="0.25">
      <c r="A18" s="60" t="s">
        <v>153</v>
      </c>
      <c r="B18" s="55">
        <v>68.185726569217536</v>
      </c>
      <c r="C18" s="55">
        <v>67.454858125537399</v>
      </c>
      <c r="D18" s="55">
        <v>71.195184866723991</v>
      </c>
      <c r="E18" s="55">
        <v>68.250214961306966</v>
      </c>
      <c r="F18" s="55">
        <v>66.917454858125538</v>
      </c>
      <c r="G18" s="55">
        <v>67.841788478073937</v>
      </c>
      <c r="H18" s="55">
        <v>64.918314703353388</v>
      </c>
      <c r="I18" s="55">
        <v>65.907136715391232</v>
      </c>
      <c r="J18" s="55">
        <v>53.417884780739463</v>
      </c>
      <c r="K18" s="55">
        <v>51.59071367153912</v>
      </c>
      <c r="L18" s="55">
        <v>63.886500429922613</v>
      </c>
      <c r="M18" s="55">
        <v>60.662080825451412</v>
      </c>
      <c r="N18" s="55">
        <v>51.160791057609629</v>
      </c>
      <c r="O18" s="55">
        <v>64.058469475494405</v>
      </c>
      <c r="P18" s="55">
        <v>56.599312123817704</v>
      </c>
      <c r="Q18" s="55">
        <v>49.548581255374039</v>
      </c>
      <c r="R18" s="55">
        <v>61.264144453998277</v>
      </c>
      <c r="S18" s="55">
        <v>65.434221840068773</v>
      </c>
      <c r="T18" s="55">
        <v>52.704299226139291</v>
      </c>
      <c r="U18" s="55">
        <v>65.311521926053302</v>
      </c>
      <c r="V18" s="55">
        <v>59.156835769561475</v>
      </c>
      <c r="W18" s="55">
        <v>52.993895098882199</v>
      </c>
      <c r="DA18" s="10" t="s">
        <v>983</v>
      </c>
    </row>
    <row r="19" spans="1:105" x14ac:dyDescent="0.25">
      <c r="A19" s="60" t="s">
        <v>51</v>
      </c>
      <c r="B19" s="55">
        <f>SUM(B20:B25)</f>
        <v>2.3645743766122092</v>
      </c>
      <c r="C19" s="55">
        <f t="shared" ref="C19:W19" si="24">SUM(C20:C25)</f>
        <v>2.3883920894239039</v>
      </c>
      <c r="D19" s="55">
        <f t="shared" si="24"/>
        <v>3.2244196044711946</v>
      </c>
      <c r="E19" s="55">
        <f t="shared" si="24"/>
        <v>17.579105760963024</v>
      </c>
      <c r="F19" s="55">
        <f t="shared" si="24"/>
        <v>21.090111779879617</v>
      </c>
      <c r="G19" s="55">
        <f t="shared" si="24"/>
        <v>18.009028374892516</v>
      </c>
      <c r="H19" s="55">
        <f t="shared" si="24"/>
        <v>23.191917454858121</v>
      </c>
      <c r="I19" s="55">
        <f t="shared" si="24"/>
        <v>19.633104041272567</v>
      </c>
      <c r="J19" s="55">
        <f t="shared" si="24"/>
        <v>18.343336199484092</v>
      </c>
      <c r="K19" s="55">
        <f t="shared" si="24"/>
        <v>28.44651762682717</v>
      </c>
      <c r="L19" s="55">
        <f t="shared" si="24"/>
        <v>42.705674978503872</v>
      </c>
      <c r="M19" s="55">
        <f t="shared" si="24"/>
        <v>51.495184866723989</v>
      </c>
      <c r="N19" s="55">
        <f t="shared" si="24"/>
        <v>82.855631986242471</v>
      </c>
      <c r="O19" s="55">
        <f t="shared" si="24"/>
        <v>118.10928632846085</v>
      </c>
      <c r="P19" s="55">
        <f t="shared" si="24"/>
        <v>121.52476354256234</v>
      </c>
      <c r="Q19" s="55">
        <f t="shared" si="24"/>
        <v>123.50722269991404</v>
      </c>
      <c r="R19" s="55">
        <f t="shared" si="24"/>
        <v>146.81857265692176</v>
      </c>
      <c r="S19" s="55">
        <f t="shared" si="24"/>
        <v>139.88340498710227</v>
      </c>
      <c r="T19" s="55">
        <f t="shared" si="24"/>
        <v>134.23035253654339</v>
      </c>
      <c r="U19" s="55">
        <f t="shared" si="24"/>
        <v>133.40558899398107</v>
      </c>
      <c r="V19" s="55">
        <f t="shared" si="24"/>
        <v>135.48658641444541</v>
      </c>
      <c r="W19" s="55">
        <f t="shared" si="24"/>
        <v>153.65803955288052</v>
      </c>
      <c r="DA19" s="10"/>
    </row>
    <row r="20" spans="1:105" x14ac:dyDescent="0.25">
      <c r="A20" s="61" t="s">
        <v>171</v>
      </c>
      <c r="B20" s="55">
        <v>0.85984522785898532</v>
      </c>
      <c r="C20" s="55">
        <v>0.93147033533963886</v>
      </c>
      <c r="D20" s="55">
        <v>2.6511607910576092</v>
      </c>
      <c r="E20" s="55">
        <v>15.3816852966466</v>
      </c>
      <c r="F20" s="55">
        <v>19.155460017196901</v>
      </c>
      <c r="G20" s="55">
        <v>16.456491831470331</v>
      </c>
      <c r="H20" s="55">
        <v>20.37351676698194</v>
      </c>
      <c r="I20" s="55">
        <v>14.71289767841788</v>
      </c>
      <c r="J20" s="55">
        <v>10.81969045571797</v>
      </c>
      <c r="K20" s="55">
        <v>12.22889079965606</v>
      </c>
      <c r="L20" s="55">
        <v>11.94230438521066</v>
      </c>
      <c r="M20" s="55">
        <v>6.6877042132416156</v>
      </c>
      <c r="N20" s="55">
        <v>8.9089423903697327</v>
      </c>
      <c r="O20" s="55">
        <v>9.1478073946689591</v>
      </c>
      <c r="P20" s="55">
        <v>8.5984522785898534</v>
      </c>
      <c r="Q20" s="55">
        <v>8.7417884780739463</v>
      </c>
      <c r="R20" s="55">
        <v>9.6971625107480648</v>
      </c>
      <c r="S20" s="55">
        <v>9.440412725709372</v>
      </c>
      <c r="T20" s="55">
        <v>8.7895958727429058</v>
      </c>
      <c r="U20" s="55">
        <v>9.9392089423903691</v>
      </c>
      <c r="V20" s="55">
        <v>8.663886500429923</v>
      </c>
      <c r="W20" s="55">
        <v>9.4308684436801382</v>
      </c>
      <c r="DA20" s="10" t="s">
        <v>984</v>
      </c>
    </row>
    <row r="21" spans="1:105" x14ac:dyDescent="0.25">
      <c r="A21" s="61" t="s">
        <v>50</v>
      </c>
      <c r="B21" s="55">
        <v>1.5047291487532239</v>
      </c>
      <c r="C21" s="55">
        <v>1.4569217540842649</v>
      </c>
      <c r="D21" s="55">
        <v>0.57325881341358553</v>
      </c>
      <c r="E21" s="55">
        <v>2.1974204643164228</v>
      </c>
      <c r="F21" s="55">
        <v>1.9346517626827171</v>
      </c>
      <c r="G21" s="55">
        <v>1.5525365434221841</v>
      </c>
      <c r="H21" s="55">
        <v>2.8184006878761818</v>
      </c>
      <c r="I21" s="55">
        <v>4.9202063628546862</v>
      </c>
      <c r="J21" s="55">
        <v>7.5236457437661217</v>
      </c>
      <c r="K21" s="55">
        <v>16.217626827171109</v>
      </c>
      <c r="L21" s="55">
        <v>30.76337059329321</v>
      </c>
      <c r="M21" s="55">
        <v>44.807480653482372</v>
      </c>
      <c r="N21" s="55">
        <v>73.946689595872741</v>
      </c>
      <c r="O21" s="55">
        <v>108.96147893379189</v>
      </c>
      <c r="P21" s="55">
        <v>112.92631126397249</v>
      </c>
      <c r="Q21" s="55">
        <v>114.7654342218401</v>
      </c>
      <c r="R21" s="55">
        <v>137.1214101461737</v>
      </c>
      <c r="S21" s="55">
        <v>130.4429922613929</v>
      </c>
      <c r="T21" s="55">
        <v>125.4407566638005</v>
      </c>
      <c r="U21" s="55">
        <v>123.4663800515907</v>
      </c>
      <c r="V21" s="55">
        <v>126.8226999140155</v>
      </c>
      <c r="W21" s="55">
        <v>127.43628546861569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16.79088564058469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16.217626827171109</v>
      </c>
      <c r="C26" s="55">
        <v>11.94230438521066</v>
      </c>
      <c r="D26" s="55">
        <v>11.99002579535683</v>
      </c>
      <c r="E26" s="55">
        <v>14.85623387790198</v>
      </c>
      <c r="F26" s="55">
        <v>13.518744625967329</v>
      </c>
      <c r="G26" s="55">
        <v>13.423129836629411</v>
      </c>
      <c r="H26" s="55">
        <v>11.96620808254514</v>
      </c>
      <c r="I26" s="55">
        <v>11.96620808254514</v>
      </c>
      <c r="J26" s="55">
        <v>8.9328460877042115</v>
      </c>
      <c r="K26" s="55">
        <v>6.9026655202063631</v>
      </c>
      <c r="L26" s="55">
        <v>12.969303525365429</v>
      </c>
      <c r="M26" s="55">
        <v>12.157265692175409</v>
      </c>
      <c r="N26" s="55">
        <v>8.431298366294067</v>
      </c>
      <c r="O26" s="55">
        <v>8.0251934651762671</v>
      </c>
      <c r="P26" s="55">
        <v>7.4997420464316411</v>
      </c>
      <c r="Q26" s="55">
        <v>6.2338779019776434</v>
      </c>
      <c r="R26" s="55">
        <v>7.1653482373172821</v>
      </c>
      <c r="S26" s="55">
        <v>7.1940670679277723</v>
      </c>
      <c r="T26" s="55">
        <v>8.3402407566637997</v>
      </c>
      <c r="U26" s="55">
        <v>8.825021496130697</v>
      </c>
      <c r="V26" s="55">
        <v>10.161908856405848</v>
      </c>
      <c r="W26" s="55">
        <v>12.269303525365435</v>
      </c>
      <c r="DA26" s="10" t="s">
        <v>990</v>
      </c>
    </row>
    <row r="27" spans="1:105" x14ac:dyDescent="0.25">
      <c r="A27" s="62" t="s">
        <v>24</v>
      </c>
      <c r="B27" s="63">
        <v>100.6878761822872</v>
      </c>
      <c r="C27" s="63">
        <v>99.570077386070494</v>
      </c>
      <c r="D27" s="63">
        <v>98.022355975924327</v>
      </c>
      <c r="E27" s="63">
        <v>92.691315563198614</v>
      </c>
      <c r="F27" s="63">
        <v>91.057609630266555</v>
      </c>
      <c r="G27" s="63">
        <v>88.220120378331899</v>
      </c>
      <c r="H27" s="63">
        <v>105.8469475494411</v>
      </c>
      <c r="I27" s="63">
        <v>86.672398968185718</v>
      </c>
      <c r="J27" s="63">
        <v>87.962166809974192</v>
      </c>
      <c r="K27" s="63">
        <v>79.707652622527931</v>
      </c>
      <c r="L27" s="63">
        <v>79.277730008598439</v>
      </c>
      <c r="M27" s="63">
        <v>75.666380051590707</v>
      </c>
      <c r="N27" s="63">
        <v>72.484952708512452</v>
      </c>
      <c r="O27" s="63">
        <v>69.991401547721395</v>
      </c>
      <c r="P27" s="63">
        <v>80.653482373172821</v>
      </c>
      <c r="Q27" s="63">
        <v>83.061049011177971</v>
      </c>
      <c r="R27" s="63">
        <v>81.513327601031804</v>
      </c>
      <c r="S27" s="63">
        <v>84.066122098022348</v>
      </c>
      <c r="T27" s="63">
        <v>83.429234737747194</v>
      </c>
      <c r="U27" s="63">
        <v>84.21977644024075</v>
      </c>
      <c r="V27" s="63">
        <v>85.846603611349948</v>
      </c>
      <c r="W27" s="63">
        <v>100.78589853826307</v>
      </c>
      <c r="DA27" s="11" t="s">
        <v>991</v>
      </c>
    </row>
    <row r="29" spans="1:105" x14ac:dyDescent="0.25">
      <c r="A29" s="219" t="s">
        <v>84</v>
      </c>
      <c r="B29" s="220">
        <v>1867.4171018390693</v>
      </c>
      <c r="C29" s="220">
        <v>1917.1992607871005</v>
      </c>
      <c r="D29" s="220">
        <v>1760.8314246333737</v>
      </c>
      <c r="E29" s="220">
        <v>1740.0250278584033</v>
      </c>
      <c r="F29" s="220">
        <v>1357.6977082226676</v>
      </c>
      <c r="G29" s="220">
        <v>1345.8917011908609</v>
      </c>
      <c r="H29" s="220">
        <v>1353.8886118214937</v>
      </c>
      <c r="I29" s="220">
        <v>1282.7937634945977</v>
      </c>
      <c r="J29" s="220">
        <v>1306.7065023144669</v>
      </c>
      <c r="K29" s="220">
        <v>1269.051369043259</v>
      </c>
      <c r="L29" s="220">
        <v>1298.1948722857321</v>
      </c>
      <c r="M29" s="220">
        <v>1284.471599338367</v>
      </c>
      <c r="N29" s="220">
        <v>1257.1185561070852</v>
      </c>
      <c r="O29" s="220">
        <v>1283.4899692544313</v>
      </c>
      <c r="P29" s="220">
        <v>1263.8583852554677</v>
      </c>
      <c r="Q29" s="220">
        <v>1235.8946462880269</v>
      </c>
      <c r="R29" s="220">
        <v>1254.346472565574</v>
      </c>
      <c r="S29" s="220">
        <v>1259.7157546449973</v>
      </c>
      <c r="T29" s="220">
        <v>1221.5125778956733</v>
      </c>
      <c r="U29" s="220">
        <v>1256.4711366768906</v>
      </c>
      <c r="V29" s="220">
        <v>1252.6753114694518</v>
      </c>
      <c r="W29" s="220">
        <v>1206.9850169608096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198.89930571907763</v>
      </c>
      <c r="C31" s="59">
        <f t="shared" si="25"/>
        <v>199.5727252427896</v>
      </c>
      <c r="D31" s="59">
        <f t="shared" si="25"/>
        <v>219.4731646012593</v>
      </c>
      <c r="E31" s="59">
        <f t="shared" si="25"/>
        <v>233.66424940813846</v>
      </c>
      <c r="F31" s="59">
        <f t="shared" si="25"/>
        <v>186.07232029798828</v>
      </c>
      <c r="G31" s="59">
        <f t="shared" si="25"/>
        <v>181.35327428953593</v>
      </c>
      <c r="H31" s="59">
        <f t="shared" si="25"/>
        <v>186.82980629141713</v>
      </c>
      <c r="I31" s="59">
        <f t="shared" si="25"/>
        <v>169.64634062059767</v>
      </c>
      <c r="J31" s="59">
        <f t="shared" si="25"/>
        <v>179.0124935724393</v>
      </c>
      <c r="K31" s="59">
        <f t="shared" si="25"/>
        <v>201.28305097489317</v>
      </c>
      <c r="L31" s="59">
        <f t="shared" si="25"/>
        <v>236.4683885505894</v>
      </c>
      <c r="M31" s="59">
        <f t="shared" si="25"/>
        <v>180.1360220123739</v>
      </c>
      <c r="N31" s="59">
        <f t="shared" si="25"/>
        <v>163.13838082364481</v>
      </c>
      <c r="O31" s="59">
        <f t="shared" si="25"/>
        <v>166.65507460957005</v>
      </c>
      <c r="P31" s="59">
        <f t="shared" si="25"/>
        <v>161.60482814439192</v>
      </c>
      <c r="Q31" s="59">
        <f t="shared" si="25"/>
        <v>165.58248224678636</v>
      </c>
      <c r="R31" s="59">
        <f t="shared" si="25"/>
        <v>179.72455671648899</v>
      </c>
      <c r="S31" s="59">
        <f t="shared" si="25"/>
        <v>172.83452871257731</v>
      </c>
      <c r="T31" s="59">
        <f t="shared" si="25"/>
        <v>172.6390166748173</v>
      </c>
      <c r="U31" s="59">
        <f t="shared" si="25"/>
        <v>178.98400892909422</v>
      </c>
      <c r="V31" s="59">
        <f t="shared" si="25"/>
        <v>181.35518821010359</v>
      </c>
      <c r="W31" s="59">
        <f t="shared" si="25"/>
        <v>191.44765316582269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154.42655608236754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132.80026593791032</v>
      </c>
      <c r="N32" s="55">
        <f t="shared" si="26"/>
        <v>135.04301399101359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124.90211009173741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47.741635185468482</v>
      </c>
      <c r="C33" s="55">
        <f>IF(AGR_ued!C$5=0,"",AGR_ued!C$5/C$5*1000)</f>
        <v>45.686451919953491</v>
      </c>
      <c r="D33" s="55">
        <f>IF(AGR_ued!D$5=0,"",AGR_ued!D$5/D$5*1000)</f>
        <v>48.086374162404518</v>
      </c>
      <c r="E33" s="55">
        <f>IF(AGR_ued!E$5=0,"",AGR_ued!E$5/E$5*1000)</f>
        <v>50.472029814887541</v>
      </c>
      <c r="F33" s="55">
        <f>IF(AGR_ued!F$5=0,"",AGR_ued!F$5/F$5*1000)</f>
        <v>52.20502325250213</v>
      </c>
      <c r="G33" s="55">
        <f>IF(AGR_ued!G$5=0,"",AGR_ued!G$5/G$5*1000)</f>
        <v>59.773267440756939</v>
      </c>
      <c r="H33" s="55">
        <f>IF(AGR_ued!H$5=0,"",AGR_ued!H$5/H$5*1000)</f>
        <v>57.442329126053259</v>
      </c>
      <c r="I33" s="55">
        <f>IF(AGR_ued!I$5=0,"",AGR_ued!I$5/I$5*1000)</f>
        <v>53.376450688002294</v>
      </c>
      <c r="J33" s="55">
        <f>IF(AGR_ued!J$5=0,"",AGR_ued!J$5/J$5*1000)</f>
        <v>54.039111991509273</v>
      </c>
      <c r="K33" s="55">
        <f>IF(AGR_ued!K$5=0,"",AGR_ued!K$5/K$5*1000)</f>
        <v>60.297495167140816</v>
      </c>
      <c r="L33" s="55">
        <f>IF(AGR_ued!L$5=0,"",AGR_ued!L$5/L$5*1000)</f>
        <v>56.040509337690921</v>
      </c>
      <c r="M33" s="55">
        <f>IF(AGR_ued!M$5=0,"",AGR_ued!M$5/M$5*1000)</f>
        <v>51.486466302589804</v>
      </c>
      <c r="N33" s="55">
        <f>IF(AGR_ued!N$5=0,"",AGR_ued!N$5/N$5*1000)</f>
        <v>52.157313928707318</v>
      </c>
      <c r="O33" s="55">
        <f>IF(AGR_ued!O$5=0,"",AGR_ued!O$5/O$5*1000)</f>
        <v>51.419135189190271</v>
      </c>
      <c r="P33" s="55">
        <f>IF(AGR_ued!P$5=0,"",AGR_ued!P$5/P$5*1000)</f>
        <v>50.618013981823097</v>
      </c>
      <c r="Q33" s="55">
        <f>IF(AGR_ued!Q$5=0,"",AGR_ued!Q$5/Q$5*1000)</f>
        <v>51.763823749010605</v>
      </c>
      <c r="R33" s="55">
        <f>IF(AGR_ued!R$5=0,"",AGR_ued!R$5/R$5*1000)</f>
        <v>52.813180468675199</v>
      </c>
      <c r="S33" s="55">
        <f>IF(AGR_ued!S$5=0,"",AGR_ued!S$5/S$5*1000)</f>
        <v>48.807038082379734</v>
      </c>
      <c r="T33" s="55">
        <f>IF(AGR_ued!T$5=0,"",AGR_ued!T$5/T$5*1000)</f>
        <v>55.230086616246972</v>
      </c>
      <c r="U33" s="55">
        <f>IF(AGR_ued!U$5=0,"",AGR_ued!U$5/U$5*1000)</f>
        <v>55.549792698476836</v>
      </c>
      <c r="V33" s="55">
        <f>IF(AGR_ued!V$5=0,"",AGR_ued!V$5/V$5*1000)</f>
        <v>58.204028586775387</v>
      </c>
      <c r="W33" s="55">
        <f>IF(AGR_ued!W$5=0,"",AGR_ued!W$5/W$5*1000)</f>
        <v>56.163330349331275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2.5938114272119392</v>
      </c>
      <c r="C34" s="218">
        <f t="shared" si="27"/>
        <v>2.6175903691475244</v>
      </c>
      <c r="D34" s="218">
        <f t="shared" si="27"/>
        <v>2.5859076025160608</v>
      </c>
      <c r="E34" s="218">
        <f t="shared" si="27"/>
        <v>2.5399223625465721</v>
      </c>
      <c r="F34" s="218">
        <f t="shared" si="27"/>
        <v>2.3746686480049615</v>
      </c>
      <c r="G34" s="218">
        <f t="shared" si="27"/>
        <v>2.3888931174978083</v>
      </c>
      <c r="H34" s="218">
        <f t="shared" si="27"/>
        <v>2.3058887676216235</v>
      </c>
      <c r="I34" s="218">
        <f t="shared" si="27"/>
        <v>2.3599847616929832</v>
      </c>
      <c r="J34" s="218">
        <f t="shared" si="27"/>
        <v>2.3975010296962762</v>
      </c>
      <c r="K34" s="218">
        <f t="shared" si="27"/>
        <v>2.3828433835306222</v>
      </c>
      <c r="L34" s="218">
        <f t="shared" si="27"/>
        <v>2.2974484401511082</v>
      </c>
      <c r="M34" s="218">
        <f t="shared" si="27"/>
        <v>2.2741520800369641</v>
      </c>
      <c r="N34" s="218">
        <f t="shared" si="27"/>
        <v>2.1735775215975153</v>
      </c>
      <c r="O34" s="218">
        <f t="shared" si="27"/>
        <v>2.0611132702450705</v>
      </c>
      <c r="P34" s="218">
        <f t="shared" si="27"/>
        <v>2.0120742224713255</v>
      </c>
      <c r="Q34" s="218">
        <f t="shared" si="27"/>
        <v>1.990750668663553</v>
      </c>
      <c r="R34" s="218">
        <f t="shared" si="27"/>
        <v>1.9219947196625304</v>
      </c>
      <c r="S34" s="218">
        <f t="shared" si="27"/>
        <v>1.9333628883548077</v>
      </c>
      <c r="T34" s="218">
        <f t="shared" si="27"/>
        <v>1.934273872244971</v>
      </c>
      <c r="U34" s="218">
        <f t="shared" si="27"/>
        <v>1.9436438181854054</v>
      </c>
      <c r="V34" s="218">
        <f t="shared" si="27"/>
        <v>1.929983277943998</v>
      </c>
      <c r="W34" s="218">
        <f t="shared" si="27"/>
        <v>1.8067089139585217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719.9509888220116</v>
      </c>
      <c r="C5" s="80">
        <f t="shared" ref="C5:W5" si="1">SUM(C6:C9,C16:C17,C25:C27)</f>
        <v>732.42906276870121</v>
      </c>
      <c r="D5" s="80">
        <f t="shared" si="1"/>
        <v>680.93361994840927</v>
      </c>
      <c r="E5" s="80">
        <f t="shared" si="1"/>
        <v>685.07016337059315</v>
      </c>
      <c r="F5" s="80">
        <f t="shared" si="1"/>
        <v>571.7419604471196</v>
      </c>
      <c r="G5" s="80">
        <f t="shared" si="1"/>
        <v>563.39552880481483</v>
      </c>
      <c r="H5" s="80">
        <f t="shared" si="1"/>
        <v>587.1439380911437</v>
      </c>
      <c r="I5" s="80">
        <f t="shared" si="1"/>
        <v>543.56018916595019</v>
      </c>
      <c r="J5" s="80">
        <f t="shared" si="1"/>
        <v>545.02854686156491</v>
      </c>
      <c r="K5" s="80">
        <f t="shared" si="1"/>
        <v>532.57858985382632</v>
      </c>
      <c r="L5" s="80">
        <f t="shared" si="1"/>
        <v>565.05941530524501</v>
      </c>
      <c r="M5" s="80">
        <f t="shared" si="1"/>
        <v>564.8134135855546</v>
      </c>
      <c r="N5" s="80">
        <f t="shared" si="1"/>
        <v>578.36380051590709</v>
      </c>
      <c r="O5" s="80">
        <f t="shared" si="1"/>
        <v>622.71685296646592</v>
      </c>
      <c r="P5" s="80">
        <f t="shared" si="1"/>
        <v>628.13705932932032</v>
      </c>
      <c r="Q5" s="80">
        <f t="shared" si="1"/>
        <v>620.81840068787596</v>
      </c>
      <c r="R5" s="80">
        <f t="shared" si="1"/>
        <v>652.62742906276856</v>
      </c>
      <c r="S5" s="80">
        <f t="shared" si="1"/>
        <v>651.56715391229545</v>
      </c>
      <c r="T5" s="80">
        <f t="shared" si="1"/>
        <v>631.50963026655177</v>
      </c>
      <c r="U5" s="80">
        <f t="shared" si="1"/>
        <v>646.45133276010256</v>
      </c>
      <c r="V5" s="80">
        <f t="shared" si="1"/>
        <v>649.06018916595008</v>
      </c>
      <c r="W5" s="80">
        <f t="shared" si="1"/>
        <v>668.05726569217518</v>
      </c>
      <c r="DA5" s="103"/>
    </row>
    <row r="6" spans="1:105" x14ac:dyDescent="0.25">
      <c r="A6" s="239" t="s">
        <v>125</v>
      </c>
      <c r="B6" s="240">
        <v>16.884186768974558</v>
      </c>
      <c r="C6" s="240">
        <v>16.631674484632089</v>
      </c>
      <c r="D6" s="240">
        <v>16.165541793581401</v>
      </c>
      <c r="E6" s="240">
        <v>15.4362662604916</v>
      </c>
      <c r="F6" s="240">
        <v>15.044755211592211</v>
      </c>
      <c r="G6" s="240">
        <v>14.660203813253659</v>
      </c>
      <c r="H6" s="240">
        <v>16.789912154362082</v>
      </c>
      <c r="I6" s="240">
        <v>14.416472357457129</v>
      </c>
      <c r="J6" s="240">
        <v>14.569023010163921</v>
      </c>
      <c r="K6" s="240">
        <v>13.4910808405767</v>
      </c>
      <c r="L6" s="240">
        <v>13.694154561734191</v>
      </c>
      <c r="M6" s="240">
        <v>13.242802680048699</v>
      </c>
      <c r="N6" s="240">
        <v>12.867661752954501</v>
      </c>
      <c r="O6" s="240">
        <v>12.706307796057439</v>
      </c>
      <c r="P6" s="240">
        <v>14.256407180613049</v>
      </c>
      <c r="Q6" s="240">
        <v>14.55012480258558</v>
      </c>
      <c r="R6" s="240">
        <v>14.52259014873168</v>
      </c>
      <c r="S6" s="240">
        <v>14.87825853724285</v>
      </c>
      <c r="T6" s="240">
        <v>14.68733475676235</v>
      </c>
      <c r="U6" s="240">
        <v>14.87937281267781</v>
      </c>
      <c r="V6" s="240">
        <v>15.114763283485971</v>
      </c>
      <c r="W6" s="240">
        <v>17.13062923110213</v>
      </c>
      <c r="DA6" s="268" t="s">
        <v>993</v>
      </c>
    </row>
    <row r="7" spans="1:105" x14ac:dyDescent="0.25">
      <c r="A7" s="241" t="s">
        <v>124</v>
      </c>
      <c r="B7" s="242">
        <v>10.974721399833459</v>
      </c>
      <c r="C7" s="242">
        <v>10.81058841501085</v>
      </c>
      <c r="D7" s="242">
        <v>10.507602165827899</v>
      </c>
      <c r="E7" s="242">
        <v>10.033573069319541</v>
      </c>
      <c r="F7" s="242">
        <v>9.7790908875349363</v>
      </c>
      <c r="G7" s="242">
        <v>9.5291324786148728</v>
      </c>
      <c r="H7" s="242">
        <v>10.913442900335349</v>
      </c>
      <c r="I7" s="242">
        <v>9.3707070323471289</v>
      </c>
      <c r="J7" s="242">
        <v>9.4698649566065427</v>
      </c>
      <c r="K7" s="242">
        <v>8.7692025463748511</v>
      </c>
      <c r="L7" s="242">
        <v>8.9012004651272196</v>
      </c>
      <c r="M7" s="242">
        <v>8.6078217420316498</v>
      </c>
      <c r="N7" s="242">
        <v>8.3639801394204234</v>
      </c>
      <c r="O7" s="242">
        <v>8.2591000674373323</v>
      </c>
      <c r="P7" s="242">
        <v>9.2666646673984818</v>
      </c>
      <c r="Q7" s="242">
        <v>9.4575811216806276</v>
      </c>
      <c r="R7" s="242">
        <v>9.4396835966755894</v>
      </c>
      <c r="S7" s="242">
        <v>9.6708680492078507</v>
      </c>
      <c r="T7" s="242">
        <v>9.5467675918955202</v>
      </c>
      <c r="U7" s="242">
        <v>9.6715923282405747</v>
      </c>
      <c r="V7" s="242">
        <v>9.8245961342658799</v>
      </c>
      <c r="W7" s="242">
        <v>11.13490900021637</v>
      </c>
      <c r="DA7" s="269" t="s">
        <v>994</v>
      </c>
    </row>
    <row r="8" spans="1:105" x14ac:dyDescent="0.25">
      <c r="A8" s="241" t="s">
        <v>123</v>
      </c>
      <c r="B8" s="242">
        <v>15.19576809207711</v>
      </c>
      <c r="C8" s="242">
        <v>14.96850703616888</v>
      </c>
      <c r="D8" s="242">
        <v>14.54898761422325</v>
      </c>
      <c r="E8" s="242">
        <v>13.892639634442441</v>
      </c>
      <c r="F8" s="242">
        <v>13.540279690432991</v>
      </c>
      <c r="G8" s="242">
        <v>13.194183431928289</v>
      </c>
      <c r="H8" s="242">
        <v>15.110920938925879</v>
      </c>
      <c r="I8" s="242">
        <v>12.974825121711421</v>
      </c>
      <c r="J8" s="242">
        <v>13.112120709147529</v>
      </c>
      <c r="K8" s="242">
        <v>12.14197275651903</v>
      </c>
      <c r="L8" s="242">
        <v>12.32473910556077</v>
      </c>
      <c r="M8" s="242">
        <v>11.91852241204383</v>
      </c>
      <c r="N8" s="242">
        <v>11.580895577659049</v>
      </c>
      <c r="O8" s="242">
        <v>11.43567701645169</v>
      </c>
      <c r="P8" s="242">
        <v>12.83076646255175</v>
      </c>
      <c r="Q8" s="242">
        <v>13.095112322327029</v>
      </c>
      <c r="R8" s="242">
        <v>13.07033113385851</v>
      </c>
      <c r="S8" s="242">
        <v>13.39043268351856</v>
      </c>
      <c r="T8" s="242">
        <v>13.21860128108611</v>
      </c>
      <c r="U8" s="242">
        <v>13.39143553141003</v>
      </c>
      <c r="V8" s="242">
        <v>13.603286955137371</v>
      </c>
      <c r="W8" s="242">
        <v>15.41756630799191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138.72498231899141</v>
      </c>
      <c r="C9" s="244">
        <f t="shared" ref="C9:W9" si="3">SUM(C10:C15)</f>
        <v>136.76194153976448</v>
      </c>
      <c r="D9" s="244">
        <f t="shared" si="3"/>
        <v>128.5380268011188</v>
      </c>
      <c r="E9" s="244">
        <f t="shared" si="3"/>
        <v>128.01731431086554</v>
      </c>
      <c r="F9" s="244">
        <f t="shared" si="3"/>
        <v>114.94219354658267</v>
      </c>
      <c r="G9" s="244">
        <f t="shared" si="3"/>
        <v>113.50725453930696</v>
      </c>
      <c r="H9" s="244">
        <f t="shared" si="3"/>
        <v>117.27199651804399</v>
      </c>
      <c r="I9" s="244">
        <f t="shared" si="3"/>
        <v>110.36430980114891</v>
      </c>
      <c r="J9" s="244">
        <f t="shared" si="3"/>
        <v>109.38300366764787</v>
      </c>
      <c r="K9" s="244">
        <f t="shared" si="3"/>
        <v>106.92559236677056</v>
      </c>
      <c r="L9" s="244">
        <f t="shared" si="3"/>
        <v>116.71731478971644</v>
      </c>
      <c r="M9" s="244">
        <f t="shared" si="3"/>
        <v>117.54725384755773</v>
      </c>
      <c r="N9" s="244">
        <f t="shared" si="3"/>
        <v>120.31126349189667</v>
      </c>
      <c r="O9" s="244">
        <f t="shared" si="3"/>
        <v>132.24692924694784</v>
      </c>
      <c r="P9" s="244">
        <f t="shared" si="3"/>
        <v>131.62561996650973</v>
      </c>
      <c r="Q9" s="244">
        <f t="shared" si="3"/>
        <v>129.3044416286005</v>
      </c>
      <c r="R9" s="244">
        <f t="shared" si="3"/>
        <v>138.34600056402877</v>
      </c>
      <c r="S9" s="244">
        <f t="shared" si="3"/>
        <v>137.7631729354072</v>
      </c>
      <c r="T9" s="244">
        <f t="shared" si="3"/>
        <v>133.12109168411712</v>
      </c>
      <c r="U9" s="244">
        <f t="shared" si="3"/>
        <v>136.87917182033587</v>
      </c>
      <c r="V9" s="244">
        <f t="shared" si="3"/>
        <v>137.49112361448636</v>
      </c>
      <c r="W9" s="244">
        <f t="shared" si="3"/>
        <v>140.10526656832596</v>
      </c>
      <c r="DA9" s="270"/>
    </row>
    <row r="10" spans="1:105" x14ac:dyDescent="0.25">
      <c r="A10" s="254" t="s">
        <v>173</v>
      </c>
      <c r="B10" s="255">
        <v>77.039539146885858</v>
      </c>
      <c r="C10" s="255">
        <v>77.262471778321711</v>
      </c>
      <c r="D10" s="255">
        <v>67.809159919910016</v>
      </c>
      <c r="E10" s="255">
        <v>65.017634000890411</v>
      </c>
      <c r="F10" s="255">
        <v>60.988036789599207</v>
      </c>
      <c r="G10" s="255">
        <v>60.400272043886233</v>
      </c>
      <c r="H10" s="255">
        <v>59.654345084380317</v>
      </c>
      <c r="I10" s="255">
        <v>59.571181429562813</v>
      </c>
      <c r="J10" s="255">
        <v>64.43711847114858</v>
      </c>
      <c r="K10" s="255">
        <v>64.124382673907249</v>
      </c>
      <c r="L10" s="255">
        <v>60.425436370261927</v>
      </c>
      <c r="M10" s="255">
        <v>59.94282080801819</v>
      </c>
      <c r="N10" s="255">
        <v>60.106231233385962</v>
      </c>
      <c r="O10" s="255">
        <v>56.772073197888979</v>
      </c>
      <c r="P10" s="255">
        <v>55.417813774837903</v>
      </c>
      <c r="Q10" s="255">
        <v>55.598358246233218</v>
      </c>
      <c r="R10" s="255">
        <v>53.376102909287837</v>
      </c>
      <c r="S10" s="255">
        <v>53.251206162008693</v>
      </c>
      <c r="T10" s="255">
        <v>53.710854505535487</v>
      </c>
      <c r="U10" s="255">
        <v>53.549470249398667</v>
      </c>
      <c r="V10" s="255">
        <v>53.51354604248538</v>
      </c>
      <c r="W10" s="255">
        <v>50.830747921109911</v>
      </c>
      <c r="DA10" s="271" t="s">
        <v>996</v>
      </c>
    </row>
    <row r="11" spans="1:105" x14ac:dyDescent="0.25">
      <c r="A11" s="254" t="s">
        <v>176</v>
      </c>
      <c r="B11" s="256">
        <v>29.200874006945462</v>
      </c>
      <c r="C11" s="256">
        <v>31.145460412665969</v>
      </c>
      <c r="D11" s="256">
        <v>31.544194076867729</v>
      </c>
      <c r="E11" s="256">
        <v>32.633462170695218</v>
      </c>
      <c r="F11" s="256">
        <v>24.601578557876021</v>
      </c>
      <c r="G11" s="256">
        <v>24.764751346309541</v>
      </c>
      <c r="H11" s="256">
        <v>23.754056572994699</v>
      </c>
      <c r="I11" s="256">
        <v>24.23688310735356</v>
      </c>
      <c r="J11" s="256">
        <v>20.895987348962851</v>
      </c>
      <c r="K11" s="256">
        <v>23.64629575232594</v>
      </c>
      <c r="L11" s="256">
        <v>32.51561769353637</v>
      </c>
      <c r="M11" s="256">
        <v>35.994800695584637</v>
      </c>
      <c r="N11" s="256">
        <v>43.627089947696533</v>
      </c>
      <c r="O11" s="256">
        <v>60.989800015576343</v>
      </c>
      <c r="P11" s="256">
        <v>59.33661767443202</v>
      </c>
      <c r="Q11" s="256">
        <v>57.161780481657203</v>
      </c>
      <c r="R11" s="256">
        <v>68.904172559095343</v>
      </c>
      <c r="S11" s="256">
        <v>67.643070292934127</v>
      </c>
      <c r="T11" s="256">
        <v>61.077435467410503</v>
      </c>
      <c r="U11" s="256">
        <v>64.681767697286233</v>
      </c>
      <c r="V11" s="256">
        <v>63.542881521090472</v>
      </c>
      <c r="W11" s="256">
        <v>61.872462738304982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16.217626827171731</v>
      </c>
      <c r="C14" s="255">
        <v>11.94230438521218</v>
      </c>
      <c r="D14" s="255">
        <v>11.99002579536057</v>
      </c>
      <c r="E14" s="255">
        <v>14.856233877905421</v>
      </c>
      <c r="F14" s="255">
        <v>13.51874462596761</v>
      </c>
      <c r="G14" s="255">
        <v>13.4231298366291</v>
      </c>
      <c r="H14" s="255">
        <v>11.966208082548111</v>
      </c>
      <c r="I14" s="255">
        <v>11.96620808254379</v>
      </c>
      <c r="J14" s="255">
        <v>8.9328460877033979</v>
      </c>
      <c r="K14" s="255">
        <v>6.9026655202043159</v>
      </c>
      <c r="L14" s="255">
        <v>12.96930352536056</v>
      </c>
      <c r="M14" s="255">
        <v>12.15726569217138</v>
      </c>
      <c r="N14" s="255">
        <v>8.4312983662880452</v>
      </c>
      <c r="O14" s="255">
        <v>8.0251934651689059</v>
      </c>
      <c r="P14" s="255">
        <v>7.4997420464273779</v>
      </c>
      <c r="Q14" s="255">
        <v>6.2338779019754016</v>
      </c>
      <c r="R14" s="255">
        <v>7.1653482373114112</v>
      </c>
      <c r="S14" s="255">
        <v>7.1940670679235534</v>
      </c>
      <c r="T14" s="255">
        <v>8.3402407566600889</v>
      </c>
      <c r="U14" s="255">
        <v>8.8250214961260181</v>
      </c>
      <c r="V14" s="255">
        <v>10.16190885640138</v>
      </c>
      <c r="W14" s="255">
        <v>12.26930352536178</v>
      </c>
      <c r="DA14" s="271" t="s">
        <v>1000</v>
      </c>
    </row>
    <row r="15" spans="1:105" x14ac:dyDescent="0.25">
      <c r="A15" s="254" t="s">
        <v>24</v>
      </c>
      <c r="B15" s="256">
        <v>16.26694233798834</v>
      </c>
      <c r="C15" s="256">
        <v>16.41170496356462</v>
      </c>
      <c r="D15" s="256">
        <v>17.19464700898051</v>
      </c>
      <c r="E15" s="256">
        <v>15.50998426137448</v>
      </c>
      <c r="F15" s="256">
        <v>15.833833573139829</v>
      </c>
      <c r="G15" s="256">
        <v>14.919101312482089</v>
      </c>
      <c r="H15" s="256">
        <v>21.897386778120879</v>
      </c>
      <c r="I15" s="256">
        <v>14.590037181688739</v>
      </c>
      <c r="J15" s="256">
        <v>15.11705175983305</v>
      </c>
      <c r="K15" s="256">
        <v>12.252248420333039</v>
      </c>
      <c r="L15" s="256">
        <v>10.80695720055758</v>
      </c>
      <c r="M15" s="256">
        <v>9.4523666517835228</v>
      </c>
      <c r="N15" s="256">
        <v>8.1466439445261312</v>
      </c>
      <c r="O15" s="256">
        <v>6.4598625683135964</v>
      </c>
      <c r="P15" s="256">
        <v>9.3714464708124279</v>
      </c>
      <c r="Q15" s="256">
        <v>10.310424998734661</v>
      </c>
      <c r="R15" s="256">
        <v>8.9003768583341749</v>
      </c>
      <c r="S15" s="256">
        <v>9.6748294125408059</v>
      </c>
      <c r="T15" s="256">
        <v>9.9925609545110365</v>
      </c>
      <c r="U15" s="256">
        <v>9.82291237752497</v>
      </c>
      <c r="V15" s="256">
        <v>10.272787194509119</v>
      </c>
      <c r="W15" s="256">
        <v>15.132752383549279</v>
      </c>
      <c r="DA15" s="272" t="s">
        <v>1001</v>
      </c>
    </row>
    <row r="16" spans="1:105" x14ac:dyDescent="0.25">
      <c r="A16" s="257" t="s">
        <v>175</v>
      </c>
      <c r="B16" s="258">
        <v>167.36814711374879</v>
      </c>
      <c r="C16" s="258">
        <v>166.51228159499809</v>
      </c>
      <c r="D16" s="258">
        <v>153.7564926617149</v>
      </c>
      <c r="E16" s="258">
        <v>151.0781653715473</v>
      </c>
      <c r="F16" s="258">
        <v>137.0233256015581</v>
      </c>
      <c r="G16" s="258">
        <v>135.41958012271411</v>
      </c>
      <c r="H16" s="258">
        <v>138.4275251510131</v>
      </c>
      <c r="I16" s="258">
        <v>132.32651897014091</v>
      </c>
      <c r="J16" s="258">
        <v>134.3875086321203</v>
      </c>
      <c r="K16" s="258">
        <v>132.47306614065781</v>
      </c>
      <c r="L16" s="258">
        <v>138.72069646368689</v>
      </c>
      <c r="M16" s="258">
        <v>139.44769183678329</v>
      </c>
      <c r="N16" s="258">
        <v>142.87653835866979</v>
      </c>
      <c r="O16" s="258">
        <v>151.5288532640806</v>
      </c>
      <c r="P16" s="258">
        <v>150.56309697295859</v>
      </c>
      <c r="Q16" s="258">
        <v>148.99655687222449</v>
      </c>
      <c r="R16" s="258">
        <v>155.10147504376829</v>
      </c>
      <c r="S16" s="258">
        <v>154.60888844276221</v>
      </c>
      <c r="T16" s="258">
        <v>150.73509230193719</v>
      </c>
      <c r="U16" s="258">
        <v>153.77310019637031</v>
      </c>
      <c r="V16" s="258">
        <v>154.0202711706512</v>
      </c>
      <c r="W16" s="258">
        <v>153.8402471385117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297.27574127634517</v>
      </c>
      <c r="C17" s="258">
        <f t="shared" ref="C17:W17" si="5">SUM(C18:C24)</f>
        <v>313.99974463470079</v>
      </c>
      <c r="D17" s="258">
        <f t="shared" si="5"/>
        <v>288.26580008836117</v>
      </c>
      <c r="E17" s="258">
        <f t="shared" si="5"/>
        <v>299.76242386566429</v>
      </c>
      <c r="F17" s="258">
        <f t="shared" si="5"/>
        <v>218.2224913119357</v>
      </c>
      <c r="G17" s="258">
        <f t="shared" si="5"/>
        <v>215.14567420637746</v>
      </c>
      <c r="H17" s="258">
        <f t="shared" si="5"/>
        <v>220.89485307555316</v>
      </c>
      <c r="I17" s="258">
        <f t="shared" si="5"/>
        <v>203.35935521441525</v>
      </c>
      <c r="J17" s="258">
        <f t="shared" si="5"/>
        <v>202.58923977874696</v>
      </c>
      <c r="K17" s="258">
        <f t="shared" si="5"/>
        <v>200.26872349045635</v>
      </c>
      <c r="L17" s="258">
        <f t="shared" si="5"/>
        <v>214.49429335750821</v>
      </c>
      <c r="M17" s="258">
        <f t="shared" si="5"/>
        <v>214.80841839578744</v>
      </c>
      <c r="N17" s="258">
        <f t="shared" si="5"/>
        <v>223.38277236114021</v>
      </c>
      <c r="O17" s="258">
        <f t="shared" si="5"/>
        <v>246.29199952063294</v>
      </c>
      <c r="P17" s="258">
        <f t="shared" si="5"/>
        <v>245.73435265195624</v>
      </c>
      <c r="Q17" s="258">
        <f t="shared" si="5"/>
        <v>241.1358480747632</v>
      </c>
      <c r="R17" s="258">
        <f t="shared" si="5"/>
        <v>256.76296170858069</v>
      </c>
      <c r="S17" s="258">
        <f t="shared" si="5"/>
        <v>255.0944134656441</v>
      </c>
      <c r="T17" s="258">
        <f t="shared" si="5"/>
        <v>245.25176832603006</v>
      </c>
      <c r="U17" s="258">
        <f t="shared" si="5"/>
        <v>251.85341397451333</v>
      </c>
      <c r="V17" s="258">
        <f t="shared" si="5"/>
        <v>252.37869929532556</v>
      </c>
      <c r="W17" s="258">
        <f t="shared" si="5"/>
        <v>258.89692027981624</v>
      </c>
      <c r="DA17" s="273"/>
    </row>
    <row r="18" spans="1:105" x14ac:dyDescent="0.25">
      <c r="A18" s="61" t="s">
        <v>29</v>
      </c>
      <c r="B18" s="55">
        <v>48.645829750584653</v>
      </c>
      <c r="C18" s="55">
        <v>37.217024935458447</v>
      </c>
      <c r="D18" s="55">
        <v>39.391401547630977</v>
      </c>
      <c r="E18" s="55">
        <v>39.890799656001143</v>
      </c>
      <c r="F18" s="55">
        <v>23.349355116027219</v>
      </c>
      <c r="G18" s="55">
        <v>19.51599312121634</v>
      </c>
      <c r="H18" s="55">
        <v>19.18349097159911</v>
      </c>
      <c r="I18" s="55">
        <v>12.534651762655709</v>
      </c>
      <c r="J18" s="55">
        <v>13.38503869301047</v>
      </c>
      <c r="K18" s="55">
        <v>13.17179707650196</v>
      </c>
      <c r="L18" s="55">
        <v>13.04015477212093</v>
      </c>
      <c r="M18" s="55">
        <v>11.03301805673834</v>
      </c>
      <c r="N18" s="55">
        <v>10.723215821133261</v>
      </c>
      <c r="O18" s="55">
        <v>9.8536543422011391</v>
      </c>
      <c r="P18" s="55">
        <v>9.2819432502014614</v>
      </c>
      <c r="Q18" s="55">
        <v>9.0185726569125091</v>
      </c>
      <c r="R18" s="55">
        <v>8.206620808239153</v>
      </c>
      <c r="S18" s="55">
        <v>6.4495270851153563</v>
      </c>
      <c r="T18" s="55">
        <v>6.2382631126323211</v>
      </c>
      <c r="U18" s="55">
        <v>5.8151332760024852</v>
      </c>
      <c r="V18" s="55">
        <v>5.0249355116019716</v>
      </c>
      <c r="W18" s="55">
        <v>6.069733447969357</v>
      </c>
      <c r="DA18" s="101" t="s">
        <v>1003</v>
      </c>
    </row>
    <row r="19" spans="1:105" x14ac:dyDescent="0.25">
      <c r="A19" s="61" t="s">
        <v>27</v>
      </c>
      <c r="B19" s="55">
        <v>9.8882201203660909</v>
      </c>
      <c r="C19" s="55">
        <v>12.70309544280215</v>
      </c>
      <c r="D19" s="55">
        <v>6.3542562338633166</v>
      </c>
      <c r="E19" s="55">
        <v>5.2985382631045672</v>
      </c>
      <c r="F19" s="55">
        <v>5.2948409286210802</v>
      </c>
      <c r="G19" s="55">
        <v>6.3538263112568627</v>
      </c>
      <c r="H19" s="55">
        <v>6.5638865004210274</v>
      </c>
      <c r="I19" s="55">
        <v>2.1879621668052609</v>
      </c>
      <c r="J19" s="55">
        <v>2.093551160787182</v>
      </c>
      <c r="K19" s="55">
        <v>2.09312123817327</v>
      </c>
      <c r="L19" s="55">
        <v>3.1399828030906081</v>
      </c>
      <c r="M19" s="55">
        <v>3.1394668959554708</v>
      </c>
      <c r="N19" s="55">
        <v>3.1384350816797562</v>
      </c>
      <c r="O19" s="55">
        <v>4.1846087704139938</v>
      </c>
      <c r="P19" s="55">
        <v>4.1846087704152382</v>
      </c>
      <c r="Q19" s="55">
        <v>4.1846087704170349</v>
      </c>
      <c r="R19" s="55">
        <v>4.1846087704134911</v>
      </c>
      <c r="S19" s="55">
        <v>4.1846087704152763</v>
      </c>
      <c r="T19" s="55">
        <v>6.276870163363145</v>
      </c>
      <c r="U19" s="55">
        <v>6.2768701633621404</v>
      </c>
      <c r="V19" s="55">
        <v>7.3230438520979666</v>
      </c>
      <c r="W19" s="55">
        <v>7.3230438520945471</v>
      </c>
      <c r="DA19" s="101" t="s">
        <v>1004</v>
      </c>
    </row>
    <row r="20" spans="1:105" x14ac:dyDescent="0.25">
      <c r="A20" s="61" t="s">
        <v>173</v>
      </c>
      <c r="B20" s="55">
        <v>106.822101096079</v>
      </c>
      <c r="C20" s="55">
        <v>93.686821556705866</v>
      </c>
      <c r="D20" s="55">
        <v>86.468291672131102</v>
      </c>
      <c r="E20" s="55">
        <v>75.33948018974624</v>
      </c>
      <c r="F20" s="55">
        <v>109.6983604977394</v>
      </c>
      <c r="G20" s="55">
        <v>108.8498064642425</v>
      </c>
      <c r="H20" s="55">
        <v>110.4551005343322</v>
      </c>
      <c r="I20" s="55">
        <v>114.5134352265201</v>
      </c>
      <c r="J20" s="55">
        <v>123.4887524932924</v>
      </c>
      <c r="K20" s="55">
        <v>119.75930127217239</v>
      </c>
      <c r="L20" s="55">
        <v>115.4672627279075</v>
      </c>
      <c r="M20" s="55">
        <v>115.69763009750569</v>
      </c>
      <c r="N20" s="55">
        <v>112.2577556882558</v>
      </c>
      <c r="O20" s="55">
        <v>104.28274536626461</v>
      </c>
      <c r="P20" s="55">
        <v>102.9117269904302</v>
      </c>
      <c r="Q20" s="55">
        <v>104.2215322539158</v>
      </c>
      <c r="R20" s="55">
        <v>100.3017860307081</v>
      </c>
      <c r="S20" s="55">
        <v>100.9508113598725</v>
      </c>
      <c r="T20" s="55">
        <v>102.9480344041267</v>
      </c>
      <c r="U20" s="55">
        <v>102.7381051458095</v>
      </c>
      <c r="V20" s="55">
        <v>103.1117785810227</v>
      </c>
      <c r="W20" s="55">
        <v>97.399993508517724</v>
      </c>
      <c r="DA20" s="101" t="s">
        <v>1005</v>
      </c>
    </row>
    <row r="21" spans="1:105" x14ac:dyDescent="0.25">
      <c r="A21" s="61" t="s">
        <v>129</v>
      </c>
      <c r="B21" s="55">
        <v>90.570163370481168</v>
      </c>
      <c r="C21" s="55">
        <v>131.6950128974903</v>
      </c>
      <c r="D21" s="55">
        <v>113.1764402404969</v>
      </c>
      <c r="E21" s="55">
        <v>126.03774720531101</v>
      </c>
      <c r="F21" s="55">
        <v>16.473946689559259</v>
      </c>
      <c r="G21" s="55">
        <v>19.339982803073799</v>
      </c>
      <c r="H21" s="55">
        <v>20.3361994840653</v>
      </c>
      <c r="I21" s="55">
        <v>12.819948409258719</v>
      </c>
      <c r="J21" s="55">
        <v>12.756663800492291</v>
      </c>
      <c r="K21" s="55">
        <v>8.8535683576792952</v>
      </c>
      <c r="L21" s="55">
        <v>8.7703353396253618</v>
      </c>
      <c r="M21" s="55">
        <v>8.7758383490880618</v>
      </c>
      <c r="N21" s="55">
        <v>6.8740326741065232</v>
      </c>
      <c r="O21" s="55">
        <v>6.793035253642441</v>
      </c>
      <c r="P21" s="55">
        <v>10.56861564916777</v>
      </c>
      <c r="Q21" s="55">
        <v>7.8171109200263791</v>
      </c>
      <c r="R21" s="55">
        <v>4.8914015477122534</v>
      </c>
      <c r="S21" s="55">
        <v>5.8349097162426409</v>
      </c>
      <c r="T21" s="55">
        <v>3.9313843508121868</v>
      </c>
      <c r="U21" s="55">
        <v>2.9879621668059491</v>
      </c>
      <c r="V21" s="55">
        <v>5.8184006878693078</v>
      </c>
      <c r="W21" s="55">
        <v>20.115563198591079</v>
      </c>
      <c r="DA21" s="101" t="s">
        <v>1006</v>
      </c>
    </row>
    <row r="22" spans="1:105" x14ac:dyDescent="0.25">
      <c r="A22" s="61" t="s">
        <v>176</v>
      </c>
      <c r="B22" s="55">
        <v>40.489581710976303</v>
      </c>
      <c r="C22" s="55">
        <v>37.766319466905713</v>
      </c>
      <c r="D22" s="55">
        <v>40.22424960318736</v>
      </c>
      <c r="E22" s="55">
        <v>37.814173254878114</v>
      </c>
      <c r="F22" s="55">
        <v>44.25052806283442</v>
      </c>
      <c r="G22" s="55">
        <v>44.629573675136058</v>
      </c>
      <c r="H22" s="55">
        <v>43.982658818181172</v>
      </c>
      <c r="I22" s="55">
        <v>46.590459970789261</v>
      </c>
      <c r="J22" s="55">
        <v>40.04554317546669</v>
      </c>
      <c r="K22" s="55">
        <v>44.162044746295898</v>
      </c>
      <c r="L22" s="55">
        <v>62.134253329571557</v>
      </c>
      <c r="M22" s="55">
        <v>69.474760783265182</v>
      </c>
      <c r="N22" s="55">
        <v>81.480390705610859</v>
      </c>
      <c r="O22" s="55">
        <v>112.03014839345779</v>
      </c>
      <c r="P22" s="55">
        <v>110.18900571316421</v>
      </c>
      <c r="Q22" s="55">
        <v>107.1522349954265</v>
      </c>
      <c r="R22" s="55">
        <v>129.48138204077779</v>
      </c>
      <c r="S22" s="55">
        <v>128.2341438083026</v>
      </c>
      <c r="T22" s="55">
        <v>117.06762042236321</v>
      </c>
      <c r="U22" s="55">
        <v>124.09613428015631</v>
      </c>
      <c r="V22" s="55">
        <v>122.4366541623139</v>
      </c>
      <c r="W22" s="55">
        <v>118.55771782897899</v>
      </c>
      <c r="DA22" s="101" t="s">
        <v>1007</v>
      </c>
    </row>
    <row r="23" spans="1:105" x14ac:dyDescent="0.25">
      <c r="A23" s="61" t="s">
        <v>171</v>
      </c>
      <c r="B23" s="55">
        <v>0.85984522785792084</v>
      </c>
      <c r="C23" s="55">
        <v>0.93147033533830825</v>
      </c>
      <c r="D23" s="55">
        <v>2.6511607910515238</v>
      </c>
      <c r="E23" s="55">
        <v>15.38168529662317</v>
      </c>
      <c r="F23" s="55">
        <v>19.155460017154329</v>
      </c>
      <c r="G23" s="55">
        <v>16.45649183145191</v>
      </c>
      <c r="H23" s="55">
        <v>20.373516766954332</v>
      </c>
      <c r="I23" s="55">
        <v>14.71289767838619</v>
      </c>
      <c r="J23" s="55">
        <v>10.819690455697939</v>
      </c>
      <c r="K23" s="55">
        <v>12.22889079963352</v>
      </c>
      <c r="L23" s="55">
        <v>11.942304385192269</v>
      </c>
      <c r="M23" s="55">
        <v>6.6877042132346816</v>
      </c>
      <c r="N23" s="55">
        <v>8.9089423903540066</v>
      </c>
      <c r="O23" s="55">
        <v>9.1478073946529346</v>
      </c>
      <c r="P23" s="55">
        <v>8.5984522785773461</v>
      </c>
      <c r="Q23" s="55">
        <v>8.7417884780649846</v>
      </c>
      <c r="R23" s="55">
        <v>9.6971625107299158</v>
      </c>
      <c r="S23" s="55">
        <v>9.4404127256957242</v>
      </c>
      <c r="T23" s="55">
        <v>8.7895958727324768</v>
      </c>
      <c r="U23" s="55">
        <v>9.9392089423769825</v>
      </c>
      <c r="V23" s="55">
        <v>8.6638865004196859</v>
      </c>
      <c r="W23" s="55">
        <v>9.4308684436645898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32.161184268053468</v>
      </c>
      <c r="C25" s="258">
        <v>31.996722576077492</v>
      </c>
      <c r="D25" s="258">
        <v>29.545591429307329</v>
      </c>
      <c r="E25" s="258">
        <v>29.03092852005798</v>
      </c>
      <c r="F25" s="258">
        <v>26.330173929082061</v>
      </c>
      <c r="G25" s="258">
        <v>26.022000870148059</v>
      </c>
      <c r="H25" s="258">
        <v>26.60000257472301</v>
      </c>
      <c r="I25" s="258">
        <v>25.427643392959421</v>
      </c>
      <c r="J25" s="258">
        <v>25.823679732230261</v>
      </c>
      <c r="K25" s="258">
        <v>25.455803653058091</v>
      </c>
      <c r="L25" s="258">
        <v>26.656337885662438</v>
      </c>
      <c r="M25" s="258">
        <v>26.796036105182591</v>
      </c>
      <c r="N25" s="258">
        <v>27.45491753942779</v>
      </c>
      <c r="O25" s="258">
        <v>29.1175319545173</v>
      </c>
      <c r="P25" s="258">
        <v>28.931953834830651</v>
      </c>
      <c r="Q25" s="258">
        <v>28.630930099359869</v>
      </c>
      <c r="R25" s="258">
        <v>29.80404100273249</v>
      </c>
      <c r="S25" s="258">
        <v>29.70938638226777</v>
      </c>
      <c r="T25" s="258">
        <v>28.9650041706557</v>
      </c>
      <c r="U25" s="258">
        <v>29.548782705493991</v>
      </c>
      <c r="V25" s="258">
        <v>29.59627866805706</v>
      </c>
      <c r="W25" s="258">
        <v>29.561685550010651</v>
      </c>
      <c r="DA25" s="273" t="s">
        <v>1010</v>
      </c>
    </row>
    <row r="26" spans="1:105" x14ac:dyDescent="0.25">
      <c r="A26" s="257" t="s">
        <v>177</v>
      </c>
      <c r="B26" s="258">
        <v>16.884186768974558</v>
      </c>
      <c r="C26" s="258">
        <v>16.631674484632089</v>
      </c>
      <c r="D26" s="258">
        <v>16.165541793581401</v>
      </c>
      <c r="E26" s="258">
        <v>15.4362662604916</v>
      </c>
      <c r="F26" s="258">
        <v>15.044755211592211</v>
      </c>
      <c r="G26" s="258">
        <v>14.660203813253659</v>
      </c>
      <c r="H26" s="258">
        <v>16.789912154362082</v>
      </c>
      <c r="I26" s="258">
        <v>14.416472357457129</v>
      </c>
      <c r="J26" s="258">
        <v>14.569023010163921</v>
      </c>
      <c r="K26" s="258">
        <v>13.4910808405767</v>
      </c>
      <c r="L26" s="258">
        <v>13.694154561734191</v>
      </c>
      <c r="M26" s="258">
        <v>13.242802680048699</v>
      </c>
      <c r="N26" s="258">
        <v>12.867661752954501</v>
      </c>
      <c r="O26" s="258">
        <v>12.706307796057439</v>
      </c>
      <c r="P26" s="258">
        <v>14.256407180613049</v>
      </c>
      <c r="Q26" s="258">
        <v>14.55012480258558</v>
      </c>
      <c r="R26" s="258">
        <v>14.52259014873168</v>
      </c>
      <c r="S26" s="258">
        <v>14.87825853724285</v>
      </c>
      <c r="T26" s="258">
        <v>14.68733475676235</v>
      </c>
      <c r="U26" s="258">
        <v>14.87937281267781</v>
      </c>
      <c r="V26" s="258">
        <v>15.114763283485971</v>
      </c>
      <c r="W26" s="258">
        <v>17.13062923110213</v>
      </c>
      <c r="DA26" s="273" t="s">
        <v>1011</v>
      </c>
    </row>
    <row r="27" spans="1:105" x14ac:dyDescent="0.25">
      <c r="A27" s="129" t="s">
        <v>33</v>
      </c>
      <c r="B27" s="259">
        <v>24.48207081501312</v>
      </c>
      <c r="C27" s="259">
        <v>24.115928002716529</v>
      </c>
      <c r="D27" s="259">
        <v>23.440035600693029</v>
      </c>
      <c r="E27" s="259">
        <v>22.382586077712819</v>
      </c>
      <c r="F27" s="259">
        <v>21.814895056808709</v>
      </c>
      <c r="G27" s="259">
        <v>21.257295529217799</v>
      </c>
      <c r="H27" s="259">
        <v>24.345372623825011</v>
      </c>
      <c r="I27" s="259">
        <v>20.903884918312841</v>
      </c>
      <c r="J27" s="259">
        <v>21.12508336473768</v>
      </c>
      <c r="K27" s="259">
        <v>19.562067218836209</v>
      </c>
      <c r="L27" s="259">
        <v>19.856524114514571</v>
      </c>
      <c r="M27" s="259">
        <v>19.202063886070611</v>
      </c>
      <c r="N27" s="259">
        <v>18.658109541784029</v>
      </c>
      <c r="O27" s="259">
        <v>18.42414630428329</v>
      </c>
      <c r="P27" s="259">
        <v>20.671790411888932</v>
      </c>
      <c r="Q27" s="259">
        <v>21.097680963749099</v>
      </c>
      <c r="R27" s="259">
        <v>21.057755715660932</v>
      </c>
      <c r="S27" s="259">
        <v>21.573474879002141</v>
      </c>
      <c r="T27" s="259">
        <v>21.296635397305401</v>
      </c>
      <c r="U27" s="259">
        <v>21.575090578382831</v>
      </c>
      <c r="V27" s="259">
        <v>21.91640676105466</v>
      </c>
      <c r="W27" s="259">
        <v>24.83941238509809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0.99999999999999978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0.99999999999999978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2.3451855794518143E-2</v>
      </c>
      <c r="C32" s="245">
        <f t="shared" si="8"/>
        <v>2.2707556717863776E-2</v>
      </c>
      <c r="D32" s="245">
        <f t="shared" si="8"/>
        <v>2.3740260900623731E-2</v>
      </c>
      <c r="E32" s="245">
        <f t="shared" si="8"/>
        <v>2.2532387317153166E-2</v>
      </c>
      <c r="F32" s="245">
        <f t="shared" si="8"/>
        <v>2.6313890272854478E-2</v>
      </c>
      <c r="G32" s="245">
        <f t="shared" si="8"/>
        <v>2.6021157541583195E-2</v>
      </c>
      <c r="H32" s="245">
        <f t="shared" si="8"/>
        <v>2.8595904794568014E-2</v>
      </c>
      <c r="I32" s="245">
        <f t="shared" si="8"/>
        <v>2.6522310950656738E-2</v>
      </c>
      <c r="J32" s="245">
        <f t="shared" si="8"/>
        <v>2.673075216712345E-2</v>
      </c>
      <c r="K32" s="245">
        <f t="shared" si="8"/>
        <v>2.5331624473074514E-2</v>
      </c>
      <c r="L32" s="245">
        <f t="shared" si="8"/>
        <v>2.4234893164883572E-2</v>
      </c>
      <c r="M32" s="245">
        <f t="shared" si="8"/>
        <v>2.3446331764645244E-2</v>
      </c>
      <c r="N32" s="245">
        <f t="shared" si="8"/>
        <v>2.2248387159563583E-2</v>
      </c>
      <c r="O32" s="245">
        <f t="shared" si="8"/>
        <v>2.0404631311209575E-2</v>
      </c>
      <c r="P32" s="245">
        <f t="shared" si="8"/>
        <v>2.2696331905388639E-2</v>
      </c>
      <c r="Q32" s="245">
        <f t="shared" si="8"/>
        <v>2.3437006355584544E-2</v>
      </c>
      <c r="R32" s="245">
        <f t="shared" si="8"/>
        <v>2.2252497369881344E-2</v>
      </c>
      <c r="S32" s="245">
        <f t="shared" si="8"/>
        <v>2.283457422294425E-2</v>
      </c>
      <c r="T32" s="245">
        <f t="shared" si="8"/>
        <v>2.3257499257078665E-2</v>
      </c>
      <c r="U32" s="245">
        <f t="shared" si="8"/>
        <v>2.3017003846443503E-2</v>
      </c>
      <c r="V32" s="245">
        <f t="shared" si="8"/>
        <v>2.3287152001894643E-2</v>
      </c>
      <c r="W32" s="245">
        <f t="shared" si="8"/>
        <v>2.5642456284571739E-2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1.5243706266436787E-2</v>
      </c>
      <c r="C33" s="246">
        <f t="shared" si="9"/>
        <v>1.4759911866611441E-2</v>
      </c>
      <c r="D33" s="246">
        <f t="shared" si="9"/>
        <v>1.543116958540541E-2</v>
      </c>
      <c r="E33" s="246">
        <f t="shared" si="9"/>
        <v>1.4646051756149558E-2</v>
      </c>
      <c r="F33" s="246">
        <f t="shared" si="9"/>
        <v>1.7104028677355412E-2</v>
      </c>
      <c r="G33" s="246">
        <f t="shared" si="9"/>
        <v>1.6913752402029067E-2</v>
      </c>
      <c r="H33" s="246">
        <f t="shared" si="9"/>
        <v>1.8587338116469204E-2</v>
      </c>
      <c r="I33" s="246">
        <f t="shared" si="9"/>
        <v>1.723950211792687E-2</v>
      </c>
      <c r="J33" s="246">
        <f t="shared" si="9"/>
        <v>1.7374988908630231E-2</v>
      </c>
      <c r="K33" s="246">
        <f t="shared" si="9"/>
        <v>1.6465555907498427E-2</v>
      </c>
      <c r="L33" s="246">
        <f t="shared" si="9"/>
        <v>1.5752680557174315E-2</v>
      </c>
      <c r="M33" s="246">
        <f t="shared" si="9"/>
        <v>1.5240115647019398E-2</v>
      </c>
      <c r="N33" s="246">
        <f t="shared" si="9"/>
        <v>1.4461451653716326E-2</v>
      </c>
      <c r="O33" s="246">
        <f t="shared" si="9"/>
        <v>1.3263010352286218E-2</v>
      </c>
      <c r="P33" s="246">
        <f t="shared" si="9"/>
        <v>1.4752615738502615E-2</v>
      </c>
      <c r="Q33" s="246">
        <f t="shared" si="9"/>
        <v>1.5234054131129953E-2</v>
      </c>
      <c r="R33" s="246">
        <f t="shared" si="9"/>
        <v>1.4464123290422869E-2</v>
      </c>
      <c r="S33" s="246">
        <f t="shared" si="9"/>
        <v>1.484247324491376E-2</v>
      </c>
      <c r="T33" s="246">
        <f t="shared" si="9"/>
        <v>1.511737451710112E-2</v>
      </c>
      <c r="U33" s="246">
        <f t="shared" si="9"/>
        <v>1.4961052500188275E-2</v>
      </c>
      <c r="V33" s="246">
        <f t="shared" si="9"/>
        <v>1.5136648801231518E-2</v>
      </c>
      <c r="W33" s="246">
        <f t="shared" si="9"/>
        <v>1.6667596584971609E-2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2.1106670215066337E-2</v>
      </c>
      <c r="C34" s="246">
        <f t="shared" si="10"/>
        <v>2.0436801046077396E-2</v>
      </c>
      <c r="D34" s="246">
        <f t="shared" si="10"/>
        <v>2.1366234810561345E-2</v>
      </c>
      <c r="E34" s="246">
        <f t="shared" si="10"/>
        <v>2.0279148585437851E-2</v>
      </c>
      <c r="F34" s="246">
        <f t="shared" si="10"/>
        <v>2.3682501245569032E-2</v>
      </c>
      <c r="G34" s="246">
        <f t="shared" si="10"/>
        <v>2.3419041787424866E-2</v>
      </c>
      <c r="H34" s="246">
        <f t="shared" si="10"/>
        <v>2.5736314315111225E-2</v>
      </c>
      <c r="I34" s="246">
        <f t="shared" si="10"/>
        <v>2.3870079855591073E-2</v>
      </c>
      <c r="J34" s="246">
        <f t="shared" si="10"/>
        <v>2.4057676950411104E-2</v>
      </c>
      <c r="K34" s="246">
        <f t="shared" si="10"/>
        <v>2.2798462025767061E-2</v>
      </c>
      <c r="L34" s="246">
        <f t="shared" si="10"/>
        <v>2.1811403848395212E-2</v>
      </c>
      <c r="M34" s="246">
        <f t="shared" si="10"/>
        <v>2.1101698588180718E-2</v>
      </c>
      <c r="N34" s="246">
        <f t="shared" si="10"/>
        <v>2.0023548443607223E-2</v>
      </c>
      <c r="O34" s="246">
        <f t="shared" si="10"/>
        <v>1.8364168180088607E-2</v>
      </c>
      <c r="P34" s="246">
        <f t="shared" si="10"/>
        <v>2.0426698714849784E-2</v>
      </c>
      <c r="Q34" s="246">
        <f t="shared" si="10"/>
        <v>2.1093305720026101E-2</v>
      </c>
      <c r="R34" s="246">
        <f t="shared" si="10"/>
        <v>2.0027247632893205E-2</v>
      </c>
      <c r="S34" s="246">
        <f t="shared" si="10"/>
        <v>2.0551116800649815E-2</v>
      </c>
      <c r="T34" s="246">
        <f t="shared" si="10"/>
        <v>2.0931749331370791E-2</v>
      </c>
      <c r="U34" s="246">
        <f t="shared" si="10"/>
        <v>2.0715303461799155E-2</v>
      </c>
      <c r="V34" s="246">
        <f t="shared" si="10"/>
        <v>2.0958436801705175E-2</v>
      </c>
      <c r="W34" s="246">
        <f t="shared" si="10"/>
        <v>2.3078210656114557E-2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0.19268670294622986</v>
      </c>
      <c r="C35" s="247">
        <f t="shared" si="11"/>
        <v>0.18672380506418199</v>
      </c>
      <c r="D35" s="247">
        <f t="shared" si="11"/>
        <v>0.18876733801285572</v>
      </c>
      <c r="E35" s="247">
        <f t="shared" si="11"/>
        <v>0.18686744972370625</v>
      </c>
      <c r="F35" s="247">
        <f t="shared" si="11"/>
        <v>0.20103858295916288</v>
      </c>
      <c r="G35" s="247">
        <f t="shared" si="11"/>
        <v>0.20146992430007532</v>
      </c>
      <c r="H35" s="247">
        <f t="shared" si="11"/>
        <v>0.19973295968839516</v>
      </c>
      <c r="I35" s="247">
        <f t="shared" si="11"/>
        <v>0.20303972218880514</v>
      </c>
      <c r="J35" s="247">
        <f t="shared" si="11"/>
        <v>0.200692246851119</v>
      </c>
      <c r="K35" s="247">
        <f t="shared" si="11"/>
        <v>0.20076960359243468</v>
      </c>
      <c r="L35" s="247">
        <f t="shared" si="11"/>
        <v>0.20655759664966516</v>
      </c>
      <c r="M35" s="247">
        <f t="shared" si="11"/>
        <v>0.20811696574509975</v>
      </c>
      <c r="N35" s="247">
        <f t="shared" si="11"/>
        <v>0.20802004445053035</v>
      </c>
      <c r="O35" s="247">
        <f t="shared" si="11"/>
        <v>0.2123708851253292</v>
      </c>
      <c r="P35" s="247">
        <f t="shared" si="11"/>
        <v>0.20954920269638305</v>
      </c>
      <c r="Q35" s="247">
        <f t="shared" si="11"/>
        <v>0.20828062036390879</v>
      </c>
      <c r="R35" s="247">
        <f t="shared" si="11"/>
        <v>0.21198312299362904</v>
      </c>
      <c r="S35" s="247">
        <f t="shared" si="11"/>
        <v>0.21143357535476826</v>
      </c>
      <c r="T35" s="247">
        <f t="shared" si="11"/>
        <v>0.21079819737337732</v>
      </c>
      <c r="U35" s="247">
        <f t="shared" si="11"/>
        <v>0.21173932960415381</v>
      </c>
      <c r="V35" s="247">
        <f t="shared" si="11"/>
        <v>0.21183108424992766</v>
      </c>
      <c r="W35" s="247">
        <f t="shared" si="11"/>
        <v>0.20972044428431247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0.23247158447215638</v>
      </c>
      <c r="C36" s="260">
        <f t="shared" si="12"/>
        <v>0.22734253739953264</v>
      </c>
      <c r="D36" s="260">
        <f t="shared" si="12"/>
        <v>0.22580246907674234</v>
      </c>
      <c r="E36" s="260">
        <f t="shared" si="12"/>
        <v>0.22052947778112558</v>
      </c>
      <c r="F36" s="260">
        <f t="shared" si="12"/>
        <v>0.23965938321966379</v>
      </c>
      <c r="G36" s="260">
        <f t="shared" si="12"/>
        <v>0.24036324961611374</v>
      </c>
      <c r="H36" s="260">
        <f t="shared" si="12"/>
        <v>0.23576420732717276</v>
      </c>
      <c r="I36" s="260">
        <f t="shared" si="12"/>
        <v>0.24344409617853988</v>
      </c>
      <c r="J36" s="260">
        <f t="shared" si="12"/>
        <v>0.24656966943468045</v>
      </c>
      <c r="K36" s="260">
        <f t="shared" si="12"/>
        <v>0.24873900052387932</v>
      </c>
      <c r="L36" s="260">
        <f t="shared" si="12"/>
        <v>0.24549754009275288</v>
      </c>
      <c r="M36" s="260">
        <f t="shared" si="12"/>
        <v>0.24689160788788628</v>
      </c>
      <c r="N36" s="260">
        <f t="shared" si="12"/>
        <v>0.24703575540381728</v>
      </c>
      <c r="O36" s="260">
        <f t="shared" si="12"/>
        <v>0.24333507683666403</v>
      </c>
      <c r="P36" s="260">
        <f t="shared" si="12"/>
        <v>0.23969784099941349</v>
      </c>
      <c r="Q36" s="260">
        <f t="shared" si="12"/>
        <v>0.24000022664781537</v>
      </c>
      <c r="R36" s="260">
        <f t="shared" si="12"/>
        <v>0.23765699714231733</v>
      </c>
      <c r="S36" s="260">
        <f t="shared" si="12"/>
        <v>0.23728772623730726</v>
      </c>
      <c r="T36" s="260">
        <f t="shared" si="12"/>
        <v>0.23869009287841567</v>
      </c>
      <c r="U36" s="260">
        <f t="shared" si="12"/>
        <v>0.23787266326734507</v>
      </c>
      <c r="V36" s="260">
        <f t="shared" si="12"/>
        <v>0.2372973627739656</v>
      </c>
      <c r="W36" s="260">
        <f t="shared" si="12"/>
        <v>0.23028002992994556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0.41291108129839454</v>
      </c>
      <c r="C37" s="260">
        <f t="shared" si="13"/>
        <v>0.4287101107754116</v>
      </c>
      <c r="D37" s="260">
        <f t="shared" si="13"/>
        <v>0.42333906219845857</v>
      </c>
      <c r="E37" s="260">
        <f t="shared" si="13"/>
        <v>0.43756455892169088</v>
      </c>
      <c r="F37" s="260">
        <f t="shared" si="13"/>
        <v>0.3816800347157992</v>
      </c>
      <c r="G37" s="260">
        <f t="shared" si="13"/>
        <v>0.38187323684088637</v>
      </c>
      <c r="H37" s="260">
        <f t="shared" si="13"/>
        <v>0.37621925177955789</v>
      </c>
      <c r="I37" s="260">
        <f t="shared" si="13"/>
        <v>0.37412481500246364</v>
      </c>
      <c r="J37" s="260">
        <f t="shared" si="13"/>
        <v>0.37170390605283987</v>
      </c>
      <c r="K37" s="260">
        <f t="shared" si="13"/>
        <v>0.37603600164517115</v>
      </c>
      <c r="L37" s="260">
        <f t="shared" si="13"/>
        <v>0.37959599919530307</v>
      </c>
      <c r="M37" s="260">
        <f t="shared" si="13"/>
        <v>0.38031748756131395</v>
      </c>
      <c r="N37" s="260">
        <f t="shared" si="13"/>
        <v>0.38623228521888858</v>
      </c>
      <c r="O37" s="260">
        <f t="shared" si="13"/>
        <v>0.39551201858012996</v>
      </c>
      <c r="P37" s="260">
        <f t="shared" si="13"/>
        <v>0.3912113590532833</v>
      </c>
      <c r="Q37" s="260">
        <f t="shared" si="13"/>
        <v>0.38841607756403662</v>
      </c>
      <c r="R37" s="260">
        <f t="shared" si="13"/>
        <v>0.39342962044564278</v>
      </c>
      <c r="S37" s="260">
        <f t="shared" si="13"/>
        <v>0.39150901320599907</v>
      </c>
      <c r="T37" s="260">
        <f t="shared" si="13"/>
        <v>0.38835792293858223</v>
      </c>
      <c r="U37" s="260">
        <f t="shared" si="13"/>
        <v>0.38959377328405304</v>
      </c>
      <c r="V37" s="260">
        <f t="shared" si="13"/>
        <v>0.38883712713860197</v>
      </c>
      <c r="W37" s="260">
        <f t="shared" si="13"/>
        <v>0.38753701752135383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4.4671352310628534E-2</v>
      </c>
      <c r="C38" s="260">
        <f t="shared" si="14"/>
        <v>4.3685763171555023E-2</v>
      </c>
      <c r="D38" s="260">
        <f t="shared" si="14"/>
        <v>4.3389826208824644E-2</v>
      </c>
      <c r="E38" s="260">
        <f t="shared" si="14"/>
        <v>4.2376576987711419E-2</v>
      </c>
      <c r="F38" s="260">
        <f t="shared" si="14"/>
        <v>4.6052547741101714E-2</v>
      </c>
      <c r="G38" s="260">
        <f t="shared" si="14"/>
        <v>4.6187801535008691E-2</v>
      </c>
      <c r="H38" s="260">
        <f t="shared" si="14"/>
        <v>4.5304057232034012E-2</v>
      </c>
      <c r="I38" s="260">
        <f t="shared" si="14"/>
        <v>4.677981187690753E-2</v>
      </c>
      <c r="J38" s="260">
        <f t="shared" si="14"/>
        <v>4.7380416825743572E-2</v>
      </c>
      <c r="K38" s="260">
        <f t="shared" si="14"/>
        <v>4.7797271873142318E-2</v>
      </c>
      <c r="L38" s="260">
        <f t="shared" si="14"/>
        <v>4.7174398237860862E-2</v>
      </c>
      <c r="M38" s="260">
        <f t="shared" si="14"/>
        <v>4.744227998247369E-2</v>
      </c>
      <c r="N38" s="260">
        <f t="shared" si="14"/>
        <v>4.7469979128945641E-2</v>
      </c>
      <c r="O38" s="260">
        <f t="shared" si="14"/>
        <v>4.675886290182886E-2</v>
      </c>
      <c r="P38" s="260">
        <f t="shared" si="14"/>
        <v>4.6059937723977179E-2</v>
      </c>
      <c r="Q38" s="260">
        <f t="shared" si="14"/>
        <v>4.6118043646316498E-2</v>
      </c>
      <c r="R38" s="260">
        <f t="shared" si="14"/>
        <v>4.5667772569004284E-2</v>
      </c>
      <c r="S38" s="260">
        <f t="shared" si="14"/>
        <v>4.5596814087204306E-2</v>
      </c>
      <c r="T38" s="260">
        <f t="shared" si="14"/>
        <v>4.586629052423153E-2</v>
      </c>
      <c r="U38" s="260">
        <f t="shared" si="14"/>
        <v>4.5709214612230549E-2</v>
      </c>
      <c r="V38" s="260">
        <f t="shared" si="14"/>
        <v>4.5598665828031487E-2</v>
      </c>
      <c r="W38" s="260">
        <f t="shared" si="14"/>
        <v>4.4250226841529433E-2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2.3451855794518143E-2</v>
      </c>
      <c r="C39" s="260">
        <f t="shared" si="15"/>
        <v>2.2707556717863776E-2</v>
      </c>
      <c r="D39" s="260">
        <f t="shared" si="15"/>
        <v>2.3740260900623731E-2</v>
      </c>
      <c r="E39" s="260">
        <f t="shared" si="15"/>
        <v>2.2532387317153166E-2</v>
      </c>
      <c r="F39" s="260">
        <f t="shared" si="15"/>
        <v>2.6313890272854478E-2</v>
      </c>
      <c r="G39" s="260">
        <f t="shared" si="15"/>
        <v>2.6021157541583195E-2</v>
      </c>
      <c r="H39" s="260">
        <f t="shared" si="15"/>
        <v>2.8595904794568014E-2</v>
      </c>
      <c r="I39" s="260">
        <f t="shared" si="15"/>
        <v>2.6522310950656738E-2</v>
      </c>
      <c r="J39" s="260">
        <f t="shared" si="15"/>
        <v>2.673075216712345E-2</v>
      </c>
      <c r="K39" s="260">
        <f t="shared" si="15"/>
        <v>2.5331624473074514E-2</v>
      </c>
      <c r="L39" s="260">
        <f t="shared" si="15"/>
        <v>2.4234893164883572E-2</v>
      </c>
      <c r="M39" s="260">
        <f t="shared" si="15"/>
        <v>2.3446331764645244E-2</v>
      </c>
      <c r="N39" s="260">
        <f t="shared" si="15"/>
        <v>2.2248387159563583E-2</v>
      </c>
      <c r="O39" s="260">
        <f t="shared" si="15"/>
        <v>2.0404631311209575E-2</v>
      </c>
      <c r="P39" s="260">
        <f t="shared" si="15"/>
        <v>2.2696331905388639E-2</v>
      </c>
      <c r="Q39" s="260">
        <f t="shared" si="15"/>
        <v>2.3437006355584544E-2</v>
      </c>
      <c r="R39" s="260">
        <f t="shared" si="15"/>
        <v>2.2252497369881344E-2</v>
      </c>
      <c r="S39" s="260">
        <f t="shared" si="15"/>
        <v>2.283457422294425E-2</v>
      </c>
      <c r="T39" s="260">
        <f t="shared" si="15"/>
        <v>2.3257499257078665E-2</v>
      </c>
      <c r="U39" s="260">
        <f t="shared" si="15"/>
        <v>2.3017003846443503E-2</v>
      </c>
      <c r="V39" s="260">
        <f t="shared" si="15"/>
        <v>2.3287152001894643E-2</v>
      </c>
      <c r="W39" s="260">
        <f t="shared" si="15"/>
        <v>2.5642456284571739E-2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3.400519090205132E-2</v>
      </c>
      <c r="C40" s="262">
        <f t="shared" si="16"/>
        <v>3.292595724090247E-2</v>
      </c>
      <c r="D40" s="262">
        <f t="shared" si="16"/>
        <v>3.442337830590441E-2</v>
      </c>
      <c r="E40" s="262">
        <f t="shared" si="16"/>
        <v>3.267196160987209E-2</v>
      </c>
      <c r="F40" s="262">
        <f t="shared" si="16"/>
        <v>3.8155140895638998E-2</v>
      </c>
      <c r="G40" s="262">
        <f t="shared" si="16"/>
        <v>3.7730678435295623E-2</v>
      </c>
      <c r="H40" s="262">
        <f t="shared" si="16"/>
        <v>4.1464061952123606E-2</v>
      </c>
      <c r="I40" s="262">
        <f t="shared" si="16"/>
        <v>3.8457350878452277E-2</v>
      </c>
      <c r="J40" s="262">
        <f t="shared" si="16"/>
        <v>3.8759590642328992E-2</v>
      </c>
      <c r="K40" s="262">
        <f t="shared" si="16"/>
        <v>3.6730855485958031E-2</v>
      </c>
      <c r="L40" s="262">
        <f t="shared" si="16"/>
        <v>3.514059508908117E-2</v>
      </c>
      <c r="M40" s="262">
        <f t="shared" si="16"/>
        <v>3.3997181058735594E-2</v>
      </c>
      <c r="N40" s="262">
        <f t="shared" si="16"/>
        <v>3.2260161381367197E-2</v>
      </c>
      <c r="O40" s="262">
        <f t="shared" si="16"/>
        <v>2.9586715401253887E-2</v>
      </c>
      <c r="P40" s="262">
        <f t="shared" si="16"/>
        <v>3.2909681262813545E-2</v>
      </c>
      <c r="Q40" s="262">
        <f t="shared" si="16"/>
        <v>3.3983659215597602E-2</v>
      </c>
      <c r="R40" s="262">
        <f t="shared" si="16"/>
        <v>3.2266121186327941E-2</v>
      </c>
      <c r="S40" s="262">
        <f t="shared" si="16"/>
        <v>3.3110132623269173E-2</v>
      </c>
      <c r="T40" s="262">
        <f t="shared" si="16"/>
        <v>3.3723373922764054E-2</v>
      </c>
      <c r="U40" s="262">
        <f t="shared" si="16"/>
        <v>3.3374655577343093E-2</v>
      </c>
      <c r="V40" s="262">
        <f t="shared" si="16"/>
        <v>3.3766370402747235E-2</v>
      </c>
      <c r="W40" s="262">
        <f t="shared" si="16"/>
        <v>3.7181561612629026E-2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122.34803499436485</v>
      </c>
      <c r="D44" s="237">
        <f t="shared" si="17"/>
        <v>127.8105623843866</v>
      </c>
      <c r="E44" s="237">
        <f t="shared" si="17"/>
        <v>135.4328803289018</v>
      </c>
      <c r="F44" s="237">
        <f t="shared" si="17"/>
        <v>134.84363036747561</v>
      </c>
      <c r="G44" s="237">
        <f t="shared" si="17"/>
        <v>154.42655608236748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139.32723127138402</v>
      </c>
      <c r="K44" s="237">
        <f t="shared" si="17"/>
        <v>156.36023356757099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135.04301399101357</v>
      </c>
      <c r="O44" s="237">
        <f t="shared" si="17"/>
        <v>132.95020410976801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135.38540863538174</v>
      </c>
      <c r="S44" s="237">
        <f t="shared" si="17"/>
        <v>124.9021100917374</v>
      </c>
      <c r="T44" s="237">
        <f t="shared" si="17"/>
        <v>141.27985612939966</v>
      </c>
      <c r="U44" s="237">
        <f t="shared" si="17"/>
        <v>142.01198459584054</v>
      </c>
      <c r="V44" s="237">
        <f t="shared" si="17"/>
        <v>148.62601044661255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2.9656955222706722</v>
      </c>
      <c r="C45" s="248">
        <f>IF(C$6=0,0,C$6/AGR!C$5*1000)</f>
        <v>2.7782249439537221</v>
      </c>
      <c r="D45" s="248">
        <f>IF(D$6=0,0,D$6/AGR!D$5*1000)</f>
        <v>3.0342560968607839</v>
      </c>
      <c r="E45" s="248">
        <f>IF(E$6=0,0,E$6/AGR!E$5*1000)</f>
        <v>3.0516261150484696</v>
      </c>
      <c r="F45" s="248">
        <f>IF(F$6=0,0,F$6/AGR!F$5*1000)</f>
        <v>3.5482604934831006</v>
      </c>
      <c r="G45" s="248">
        <f>IF(G$6=0,0,G$6/AGR!G$5*1000)</f>
        <v>4.0183577444234171</v>
      </c>
      <c r="H45" s="248">
        <f>IF(H$6=0,0,H$6/AGR!H$5*1000)</f>
        <v>4.2016020597382937</v>
      </c>
      <c r="I45" s="248">
        <f>IF(I$6=0,0,I$6/AGR!I$5*1000)</f>
        <v>3.6398824770084626</v>
      </c>
      <c r="J45" s="248">
        <f>IF(J$6=0,0,J$6/AGR!J$5*1000)</f>
        <v>3.7243216892468576</v>
      </c>
      <c r="K45" s="248">
        <f>IF(K$6=0,0,K$6/AGR!K$5*1000)</f>
        <v>3.9608587192559286</v>
      </c>
      <c r="L45" s="248">
        <f>IF(L$6=0,0,L$6/AGR!L$5*1000)</f>
        <v>3.504022855855693</v>
      </c>
      <c r="M45" s="248">
        <f>IF(M$6=0,0,M$6/AGR!M$5*1000)</f>
        <v>3.1136790936133627</v>
      </c>
      <c r="N45" s="248">
        <f>IF(N$6=0,0,N$6/AGR!N$5*1000)</f>
        <v>3.0044892584664318</v>
      </c>
      <c r="O45" s="248">
        <f>IF(O$6=0,0,O$6/AGR!O$5*1000)</f>
        <v>2.7127998976098762</v>
      </c>
      <c r="P45" s="248">
        <f>IF(P$6=0,0,P$6/AGR!P$5*1000)</f>
        <v>2.9541408667732862</v>
      </c>
      <c r="Q45" s="248">
        <f>IF(Q$6=0,0,Q$6/AGR!Q$5*1000)</f>
        <v>3.1152039734244044</v>
      </c>
      <c r="R45" s="248">
        <f>IF(R$6=0,0,R$6/AGR!R$5*1000)</f>
        <v>3.0126634495791422</v>
      </c>
      <c r="S45" s="248">
        <f>IF(S$6=0,0,S$6/AGR!S$5*1000)</f>
        <v>2.852086503492131</v>
      </c>
      <c r="T45" s="248">
        <f>IF(T$6=0,0,T$6/AGR!T$5*1000)</f>
        <v>3.2858161489696935</v>
      </c>
      <c r="U45" s="248">
        <f>IF(U$6=0,0,U$6/AGR!U$5*1000)</f>
        <v>3.2686903956835369</v>
      </c>
      <c r="V45" s="248">
        <f>IF(V$6=0,0,V$6/AGR!V$5*1000)</f>
        <v>3.4610764967054473</v>
      </c>
      <c r="W45" s="248">
        <f>IF(W$6=0,0,W$6/AGR!W$5*1000)</f>
        <v>3.6550793484376132</v>
      </c>
      <c r="DA45" s="282"/>
    </row>
    <row r="46" spans="1:105" x14ac:dyDescent="0.25">
      <c r="A46" s="241" t="s">
        <v>124</v>
      </c>
      <c r="B46" s="249">
        <f>IF(B$7=0,0,B$7/AGR!B$5*1000)</f>
        <v>1.9277020894759362</v>
      </c>
      <c r="C46" s="249">
        <f>IF(C$7=0,0,C$7/AGR!C$5*1000)</f>
        <v>1.805846213569918</v>
      </c>
      <c r="D46" s="249">
        <f>IF(D$7=0,0,D$7/AGR!D$5*1000)</f>
        <v>1.9722664629595075</v>
      </c>
      <c r="E46" s="249">
        <f>IF(E$7=0,0,E$7/AGR!E$5*1000)</f>
        <v>1.9835569747815056</v>
      </c>
      <c r="F46" s="249">
        <f>IF(F$7=0,0,F$7/AGR!F$5*1000)</f>
        <v>2.306369320764015</v>
      </c>
      <c r="G46" s="249">
        <f>IF(G$7=0,0,G$7/AGR!G$5*1000)</f>
        <v>2.6119325338752195</v>
      </c>
      <c r="H46" s="249">
        <f>IF(H$7=0,0,H$7/AGR!H$5*1000)</f>
        <v>2.7310413388298902</v>
      </c>
      <c r="I46" s="249">
        <f>IF(I$7=0,0,I$7/AGR!I$5*1000)</f>
        <v>2.3659236100554994</v>
      </c>
      <c r="J46" s="249">
        <f>IF(J$7=0,0,J$7/AGR!J$5*1000)</f>
        <v>2.420809098010456</v>
      </c>
      <c r="K46" s="249">
        <f>IF(K$7=0,0,K$7/AGR!K$5*1000)</f>
        <v>2.574558167516352</v>
      </c>
      <c r="L46" s="249">
        <f>IF(L$7=0,0,L$7/AGR!L$5*1000)</f>
        <v>2.2776148563061995</v>
      </c>
      <c r="M46" s="249">
        <f>IF(M$7=0,0,M$7/AGR!M$5*1000)</f>
        <v>2.0238914108486843</v>
      </c>
      <c r="N46" s="249">
        <f>IF(N$7=0,0,N$7/AGR!N$5*1000)</f>
        <v>1.9529180180031802</v>
      </c>
      <c r="O46" s="249">
        <f>IF(O$7=0,0,O$7/AGR!O$5*1000)</f>
        <v>1.7633199334464191</v>
      </c>
      <c r="P46" s="249">
        <f>IF(P$7=0,0,P$7/AGR!P$5*1000)</f>
        <v>1.9201915634026363</v>
      </c>
      <c r="Q46" s="249">
        <f>IF(Q$7=0,0,Q$7/AGR!Q$5*1000)</f>
        <v>2.024882582725863</v>
      </c>
      <c r="R46" s="249">
        <f>IF(R$7=0,0,R$7/AGR!R$5*1000)</f>
        <v>1.9582312422264421</v>
      </c>
      <c r="S46" s="249">
        <f>IF(S$7=0,0,S$7/AGR!S$5*1000)</f>
        <v>1.8538562272698849</v>
      </c>
      <c r="T46" s="249">
        <f>IF(T$7=0,0,T$7/AGR!T$5*1000)</f>
        <v>2.1357804968302991</v>
      </c>
      <c r="U46" s="249">
        <f>IF(U$7=0,0,U$7/AGR!U$5*1000)</f>
        <v>2.1246487571942989</v>
      </c>
      <c r="V46" s="249">
        <f>IF(V$7=0,0,V$7/AGR!V$5*1000)</f>
        <v>2.2496997228585403</v>
      </c>
      <c r="W46" s="249">
        <f>IF(W$7=0,0,W$7/AGR!W$5*1000)</f>
        <v>2.3758015764844456</v>
      </c>
      <c r="DA46" s="283"/>
    </row>
    <row r="47" spans="1:105" x14ac:dyDescent="0.25">
      <c r="A47" s="241" t="s">
        <v>123</v>
      </c>
      <c r="B47" s="249">
        <f>IF(B$8=0,0,B$8/AGR!B$5*1000)</f>
        <v>2.6691259700436061</v>
      </c>
      <c r="C47" s="249">
        <f>IF(C$8=0,0,C$8/AGR!C$5*1000)</f>
        <v>2.5004024495583499</v>
      </c>
      <c r="D47" s="249">
        <f>IF(D$8=0,0,D$8/AGR!D$5*1000)</f>
        <v>2.7308304871747038</v>
      </c>
      <c r="E47" s="249">
        <f>IF(E$8=0,0,E$8/AGR!E$5*1000)</f>
        <v>2.7464635035436227</v>
      </c>
      <c r="F47" s="249">
        <f>IF(F$8=0,0,F$8/AGR!F$5*1000)</f>
        <v>3.1934344441347906</v>
      </c>
      <c r="G47" s="249">
        <f>IF(G$8=0,0,G$8/AGR!G$5*1000)</f>
        <v>3.6165219699810742</v>
      </c>
      <c r="H47" s="249">
        <f>IF(H$8=0,0,H$8/AGR!H$5*1000)</f>
        <v>3.7814418537644663</v>
      </c>
      <c r="I47" s="249">
        <f>IF(I$8=0,0,I$8/AGR!I$5*1000)</f>
        <v>3.2758942293076179</v>
      </c>
      <c r="J47" s="249">
        <f>IF(J$8=0,0,J$8/AGR!J$5*1000)</f>
        <v>3.3518895203221719</v>
      </c>
      <c r="K47" s="249">
        <f>IF(K$8=0,0,K$8/AGR!K$5*1000)</f>
        <v>3.5647728473303353</v>
      </c>
      <c r="L47" s="249">
        <f>IF(L$8=0,0,L$8/AGR!L$5*1000)</f>
        <v>3.1536205702701232</v>
      </c>
      <c r="M47" s="249">
        <f>IF(M$8=0,0,M$8/AGR!M$5*1000)</f>
        <v>2.8023111842520265</v>
      </c>
      <c r="N47" s="249">
        <f>IF(N$8=0,0,N$8/AGR!N$5*1000)</f>
        <v>2.7040403326197886</v>
      </c>
      <c r="O47" s="249">
        <f>IF(O$8=0,0,O$8/AGR!O$5*1000)</f>
        <v>2.4415199078488876</v>
      </c>
      <c r="P47" s="249">
        <f>IF(P$8=0,0,P$8/AGR!P$5*1000)</f>
        <v>2.6587267800959595</v>
      </c>
      <c r="Q47" s="249">
        <f>IF(Q$8=0,0,Q$8/AGR!Q$5*1000)</f>
        <v>2.8036835760819656</v>
      </c>
      <c r="R47" s="249">
        <f>IF(R$8=0,0,R$8/AGR!R$5*1000)</f>
        <v>2.7113971046212275</v>
      </c>
      <c r="S47" s="249">
        <f>IF(S$8=0,0,S$8/AGR!S$5*1000)</f>
        <v>2.5668778531429171</v>
      </c>
      <c r="T47" s="249">
        <f>IF(T$8=0,0,T$8/AGR!T$5*1000)</f>
        <v>2.9572345340727231</v>
      </c>
      <c r="U47" s="249">
        <f>IF(U$8=0,0,U$8/AGR!U$5*1000)</f>
        <v>2.9418213561151836</v>
      </c>
      <c r="V47" s="249">
        <f>IF(V$8=0,0,V$8/AGR!V$5*1000)</f>
        <v>3.114968847034902</v>
      </c>
      <c r="W47" s="249">
        <f>IF(W$8=0,0,W$8/AGR!W$5*1000)</f>
        <v>3.2895714135938503</v>
      </c>
      <c r="DA47" s="283"/>
    </row>
    <row r="48" spans="1:105" x14ac:dyDescent="0.25">
      <c r="A48" s="243" t="s">
        <v>122</v>
      </c>
      <c r="B48" s="250">
        <f>IF(B$9=0,0,B$9/AGR!B$5*1000)</f>
        <v>24.366945504684075</v>
      </c>
      <c r="C48" s="250">
        <f>IF(C$9=0,0,C$9/AGR!C$5*1000)</f>
        <v>22.845290636273504</v>
      </c>
      <c r="D48" s="250">
        <f>IF(D$9=0,0,D$9/AGR!D$5*1000)</f>
        <v>24.126459631226691</v>
      </c>
      <c r="E48" s="250">
        <f>IF(E$9=0,0,E$9/AGR!E$5*1000)</f>
        <v>25.307996955797787</v>
      </c>
      <c r="F48" s="250">
        <f>IF(F$9=0,0,F$9/AGR!F$5*1000)</f>
        <v>27.108772370146433</v>
      </c>
      <c r="G48" s="250">
        <f>IF(G$9=0,0,G$9/AGR!G$5*1000)</f>
        <v>31.112306563835919</v>
      </c>
      <c r="H48" s="250">
        <f>IF(H$9=0,0,H$9/AGR!H$5*1000)</f>
        <v>29.346804056495468</v>
      </c>
      <c r="I48" s="250">
        <f>IF(I$9=0,0,I$9/AGR!I$5*1000)</f>
        <v>27.864869253159792</v>
      </c>
      <c r="J48" s="250">
        <f>IF(J$9=0,0,J$9/AGR!J$5*1000)</f>
        <v>27.961895091399541</v>
      </c>
      <c r="K48" s="250">
        <f>IF(K$9=0,0,K$9/AGR!K$5*1000)</f>
        <v>31.392382110981728</v>
      </c>
      <c r="L48" s="250">
        <f>IF(L$9=0,0,L$9/AGR!L$5*1000)</f>
        <v>29.865307628416165</v>
      </c>
      <c r="M48" s="250">
        <f>IF(M$9=0,0,M$9/AGR!M$5*1000)</f>
        <v>27.637988397140223</v>
      </c>
      <c r="N48" s="250">
        <f>IF(N$9=0,0,N$9/AGR!N$5*1000)</f>
        <v>28.091653773144241</v>
      </c>
      <c r="O48" s="250">
        <f>IF(O$9=0,0,O$9/AGR!O$5*1000)</f>
        <v>28.234752524384614</v>
      </c>
      <c r="P48" s="250">
        <f>IF(P$9=0,0,P$9/AGR!P$5*1000)</f>
        <v>27.274797789600974</v>
      </c>
      <c r="Q48" s="250">
        <f>IF(Q$9=0,0,Q$9/AGR!Q$5*1000)</f>
        <v>27.684278712939996</v>
      </c>
      <c r="R48" s="250">
        <f>IF(R$9=0,0,R$9/AGR!R$5*1000)</f>
        <v>28.699421730296848</v>
      </c>
      <c r="S48" s="250">
        <f>IF(S$9=0,0,S$9/AGR!S$5*1000)</f>
        <v>26.408499706050915</v>
      </c>
      <c r="T48" s="250">
        <f>IF(T$9=0,0,T$9/AGR!T$5*1000)</f>
        <v>29.781538997247541</v>
      </c>
      <c r="U48" s="250">
        <f>IF(U$9=0,0,U$9/AGR!U$5*1000)</f>
        <v>30.069522414078694</v>
      </c>
      <c r="V48" s="250">
        <f>IF(V$9=0,0,V$9/AGR!V$5*1000)</f>
        <v>31.483608940647009</v>
      </c>
      <c r="W48" s="250">
        <f>IF(W$9=0,0,W$9/AGR!W$5*1000)</f>
        <v>29.89358181376554</v>
      </c>
      <c r="DA48" s="284"/>
    </row>
    <row r="49" spans="1:105" x14ac:dyDescent="0.25">
      <c r="A49" s="128" t="s">
        <v>175</v>
      </c>
      <c r="B49" s="263">
        <f>IF(B$16=0,0,B$16/AGR!B$5*1000)</f>
        <v>29.398097240790587</v>
      </c>
      <c r="C49" s="263">
        <f>IF(C$16=0,0,C$16/AGR!C$5*1000)</f>
        <v>27.814912721465721</v>
      </c>
      <c r="D49" s="263">
        <f>IF(D$16=0,0,D$16/AGR!D$5*1000)</f>
        <v>28.859940560481505</v>
      </c>
      <c r="E49" s="263">
        <f>IF(E$16=0,0,E$16/AGR!E$5*1000)</f>
        <v>29.866942373326395</v>
      </c>
      <c r="F49" s="263">
        <f>IF(F$16=0,0,F$16/AGR!F$5*1000)</f>
        <v>32.316541284969524</v>
      </c>
      <c r="G49" s="263">
        <f>IF(G$16=0,0,G$16/AGR!G$5*1000)</f>
        <v>37.118468846982886</v>
      </c>
      <c r="H49" s="263">
        <f>IF(H$16=0,0,H$16/AGR!H$5*1000)</f>
        <v>34.64088254016653</v>
      </c>
      <c r="I49" s="263">
        <f>IF(I$16=0,0,I$16/AGR!I$5*1000)</f>
        <v>33.409905398514624</v>
      </c>
      <c r="J49" s="263">
        <f>IF(J$16=0,0,J$16/AGR!J$5*1000)</f>
        <v>34.353869357834427</v>
      </c>
      <c r="K49" s="263">
        <f>IF(K$16=0,0,K$16/AGR!K$5*1000)</f>
        <v>38.892888219277928</v>
      </c>
      <c r="L49" s="263">
        <f>IF(L$16=0,0,L$16/AGR!L$5*1000)</f>
        <v>35.49547281635347</v>
      </c>
      <c r="M49" s="263">
        <f>IF(M$16=0,0,M$16/AGR!M$5*1000)</f>
        <v>32.787271185349574</v>
      </c>
      <c r="N49" s="263">
        <f>IF(N$16=0,0,N$16/AGR!N$5*1000)</f>
        <v>33.360452973278306</v>
      </c>
      <c r="O49" s="263">
        <f>IF(O$16=0,0,O$16/AGR!O$5*1000)</f>
        <v>32.351448132500565</v>
      </c>
      <c r="P49" s="263">
        <f>IF(P$16=0,0,P$16/AGR!P$5*1000)</f>
        <v>31.198926360676506</v>
      </c>
      <c r="Q49" s="263">
        <f>IF(Q$16=0,0,Q$16/AGR!Q$5*1000)</f>
        <v>31.900390704032166</v>
      </c>
      <c r="R49" s="263">
        <f>IF(R$16=0,0,R$16/AGR!R$5*1000)</f>
        <v>32.175289673170376</v>
      </c>
      <c r="S49" s="263">
        <f>IF(S$16=0,0,S$16/AGR!S$5*1000)</f>
        <v>29.637737705910194</v>
      </c>
      <c r="T49" s="263">
        <f>IF(T$16=0,0,T$16/AGR!T$5*1000)</f>
        <v>33.722101981375609</v>
      </c>
      <c r="U49" s="263">
        <f>IF(U$16=0,0,U$16/AGR!U$5*1000)</f>
        <v>33.780768991693769</v>
      </c>
      <c r="V49" s="263">
        <f>IF(V$16=0,0,V$16/AGR!V$5*1000)</f>
        <v>35.268560318597011</v>
      </c>
      <c r="W49" s="263">
        <f>IF(W$16=0,0,W$16/AGR!W$5*1000)</f>
        <v>32.82414806185939</v>
      </c>
      <c r="DA49" s="285"/>
    </row>
    <row r="50" spans="1:105" x14ac:dyDescent="0.25">
      <c r="A50" s="128" t="s">
        <v>121</v>
      </c>
      <c r="B50" s="263">
        <f>IF(B$17=0,0,B$17/AGR!B$5*1000)</f>
        <v>52.216274721799728</v>
      </c>
      <c r="C50" s="263">
        <f>IF(C$17=0,0,C$17/AGR!C$5*1000)</f>
        <v>52.451839635588094</v>
      </c>
      <c r="D50" s="263">
        <f>IF(D$17=0,0,D$17/AGR!D$5*1000)</f>
        <v>54.107203618863814</v>
      </c>
      <c r="E50" s="263">
        <f>IF(E$17=0,0,E$17/AGR!E$5*1000)</f>
        <v>59.260628544610071</v>
      </c>
      <c r="F50" s="263">
        <f>IF(F$17=0,0,F$17/AGR!F$5*1000)</f>
        <v>51.467121519862474</v>
      </c>
      <c r="G50" s="263">
        <f>IF(G$17=0,0,G$17/AGR!G$5*1000)</f>
        <v>58.971368825364344</v>
      </c>
      <c r="H50" s="263">
        <f>IF(H$17=0,0,H$17/AGR!H$5*1000)</f>
        <v>55.277970553687801</v>
      </c>
      <c r="I50" s="263">
        <f>IF(I$17=0,0,I$17/AGR!I$5*1000)</f>
        <v>51.344332734617169</v>
      </c>
      <c r="J50" s="263">
        <f>IF(J$17=0,0,J$17/AGR!J$5*1000)</f>
        <v>51.788476083100804</v>
      </c>
      <c r="K50" s="263">
        <f>IF(K$17=0,0,K$17/AGR!K$5*1000)</f>
        <v>58.797077047054465</v>
      </c>
      <c r="L50" s="263">
        <f>IF(L$17=0,0,L$17/AGR!L$5*1000)</f>
        <v>54.88421377070722</v>
      </c>
      <c r="M50" s="263">
        <f>IF(M$17=0,0,M$17/AGR!M$5*1000)</f>
        <v>50.506263488980402</v>
      </c>
      <c r="N50" s="263">
        <f>IF(N$17=0,0,N$17/AGR!N$5*1000)</f>
        <v>52.157971896595527</v>
      </c>
      <c r="O50" s="263">
        <f>IF(O$17=0,0,O$17/AGR!O$5*1000)</f>
        <v>52.583403598094641</v>
      </c>
      <c r="P50" s="263">
        <f>IF(P$17=0,0,P$17/AGR!P$5*1000)</f>
        <v>50.919834453550322</v>
      </c>
      <c r="Q50" s="263">
        <f>IF(Q$17=0,0,Q$17/AGR!Q$5*1000)</f>
        <v>51.627553869783895</v>
      </c>
      <c r="R50" s="263">
        <f>IF(R$17=0,0,R$17/AGR!R$5*1000)</f>
        <v>53.264629933296476</v>
      </c>
      <c r="S50" s="263">
        <f>IF(S$17=0,0,S$17/AGR!S$5*1000)</f>
        <v>48.900301869363155</v>
      </c>
      <c r="T50" s="263">
        <f>IF(T$17=0,0,T$17/AGR!T$5*1000)</f>
        <v>54.867151479475382</v>
      </c>
      <c r="U50" s="263">
        <f>IF(U$17=0,0,U$17/AGR!U$5*1000)</f>
        <v>55.326984930250333</v>
      </c>
      <c r="V50" s="263">
        <f>IF(V$17=0,0,V$17/AGR!V$5*1000)</f>
        <v>57.791310920132659</v>
      </c>
      <c r="W50" s="263">
        <f>IF(W$17=0,0,W$17/AGR!W$5*1000)</f>
        <v>55.239581332528452</v>
      </c>
      <c r="DA50" s="285"/>
    </row>
    <row r="51" spans="1:105" x14ac:dyDescent="0.25">
      <c r="A51" s="128" t="s">
        <v>174</v>
      </c>
      <c r="B51" s="263">
        <f>IF(B$25=0,0,B$25/AGR!B$5*1000)</f>
        <v>5.649089380481958</v>
      </c>
      <c r="C51" s="263">
        <f>IF(C$25=0,0,C$25/AGR!C$5*1000)</f>
        <v>5.3448672812689502</v>
      </c>
      <c r="D51" s="263">
        <f>IF(D$25=0,0,D$25/AGR!D$5*1000)</f>
        <v>5.5456780895106759</v>
      </c>
      <c r="E51" s="263">
        <f>IF(E$25=0,0,E$25/AGR!E$5*1000)</f>
        <v>5.7391818799252157</v>
      </c>
      <c r="F51" s="263">
        <f>IF(F$25=0,0,F$25/AGR!F$5*1000)</f>
        <v>6.2098927250816409</v>
      </c>
      <c r="G51" s="263">
        <f>IF(G$25=0,0,G$25/AGR!G$5*1000)</f>
        <v>7.1326231240672788</v>
      </c>
      <c r="H51" s="263">
        <f>IF(H$25=0,0,H$25/AGR!H$5*1000)</f>
        <v>6.6565342676890529</v>
      </c>
      <c r="I51" s="263">
        <f>IF(I$25=0,0,I$25/AGR!I$5*1000)</f>
        <v>6.4199917512954059</v>
      </c>
      <c r="J51" s="263">
        <f>IF(J$25=0,0,J$25/AGR!J$5*1000)</f>
        <v>6.6013822928149475</v>
      </c>
      <c r="K51" s="263">
        <f>IF(K$25=0,0,K$25/AGR!K$5*1000)</f>
        <v>7.4735925939772248</v>
      </c>
      <c r="L51" s="263">
        <f>IF(L$25=0,0,L$25/AGR!L$5*1000)</f>
        <v>6.8207509111789024</v>
      </c>
      <c r="M51" s="263">
        <f>IF(M$25=0,0,M$25/AGR!M$5*1000)</f>
        <v>6.3003473983733063</v>
      </c>
      <c r="N51" s="263">
        <f>IF(N$25=0,0,N$25/AGR!N$5*1000)</f>
        <v>6.4104890556633292</v>
      </c>
      <c r="O51" s="263">
        <f>IF(O$25=0,0,O$25/AGR!O$5*1000)</f>
        <v>6.216600366738807</v>
      </c>
      <c r="P51" s="263">
        <f>IF(P$25=0,0,P$25/AGR!P$5*1000)</f>
        <v>5.9951337034830692</v>
      </c>
      <c r="Q51" s="263">
        <f>IF(Q$25=0,0,Q$25/AGR!Q$5*1000)</f>
        <v>6.1299259228699414</v>
      </c>
      <c r="R51" s="263">
        <f>IF(R$25=0,0,R$25/AGR!R$5*1000)</f>
        <v>6.1827500507223201</v>
      </c>
      <c r="S51" s="263">
        <f>IF(S$25=0,0,S$25/AGR!S$5*1000)</f>
        <v>5.6951382929524739</v>
      </c>
      <c r="T51" s="263">
        <f>IF(T$25=0,0,T$25/AGR!T$5*1000)</f>
        <v>6.4799829264526769</v>
      </c>
      <c r="U51" s="263">
        <f>IF(U$25=0,0,U$25/AGR!U$5*1000)</f>
        <v>6.4912562814000534</v>
      </c>
      <c r="V51" s="263">
        <f>IF(V$25=0,0,V$25/AGR!V$5*1000)</f>
        <v>6.7771477837086014</v>
      </c>
      <c r="W51" s="263">
        <f>IF(W$25=0,0,W$25/AGR!W$5*1000)</f>
        <v>6.3074335975164244</v>
      </c>
      <c r="DA51" s="285"/>
    </row>
    <row r="52" spans="1:105" x14ac:dyDescent="0.25">
      <c r="A52" s="128" t="s">
        <v>177</v>
      </c>
      <c r="B52" s="263">
        <f>IF(B$26=0,0,B$26/AGR!B$5*1000)</f>
        <v>2.9656955222706722</v>
      </c>
      <c r="C52" s="263">
        <f>IF(C$26=0,0,C$26/AGR!C$5*1000)</f>
        <v>2.7782249439537221</v>
      </c>
      <c r="D52" s="263">
        <f>IF(D$26=0,0,D$26/AGR!D$5*1000)</f>
        <v>3.0342560968607839</v>
      </c>
      <c r="E52" s="263">
        <f>IF(E$26=0,0,E$26/AGR!E$5*1000)</f>
        <v>3.0516261150484696</v>
      </c>
      <c r="F52" s="263">
        <f>IF(F$26=0,0,F$26/AGR!F$5*1000)</f>
        <v>3.5482604934831006</v>
      </c>
      <c r="G52" s="263">
        <f>IF(G$26=0,0,G$26/AGR!G$5*1000)</f>
        <v>4.0183577444234171</v>
      </c>
      <c r="H52" s="263">
        <f>IF(H$26=0,0,H$26/AGR!H$5*1000)</f>
        <v>4.2016020597382937</v>
      </c>
      <c r="I52" s="263">
        <f>IF(I$26=0,0,I$26/AGR!I$5*1000)</f>
        <v>3.6398824770084626</v>
      </c>
      <c r="J52" s="263">
        <f>IF(J$26=0,0,J$26/AGR!J$5*1000)</f>
        <v>3.7243216892468576</v>
      </c>
      <c r="K52" s="263">
        <f>IF(K$26=0,0,K$26/AGR!K$5*1000)</f>
        <v>3.9608587192559286</v>
      </c>
      <c r="L52" s="263">
        <f>IF(L$26=0,0,L$26/AGR!L$5*1000)</f>
        <v>3.504022855855693</v>
      </c>
      <c r="M52" s="263">
        <f>IF(M$26=0,0,M$26/AGR!M$5*1000)</f>
        <v>3.1136790936133627</v>
      </c>
      <c r="N52" s="263">
        <f>IF(N$26=0,0,N$26/AGR!N$5*1000)</f>
        <v>3.0044892584664318</v>
      </c>
      <c r="O52" s="263">
        <f>IF(O$26=0,0,O$26/AGR!O$5*1000)</f>
        <v>2.7127998976098762</v>
      </c>
      <c r="P52" s="263">
        <f>IF(P$26=0,0,P$26/AGR!P$5*1000)</f>
        <v>2.9541408667732862</v>
      </c>
      <c r="Q52" s="263">
        <f>IF(Q$26=0,0,Q$26/AGR!Q$5*1000)</f>
        <v>3.1152039734244044</v>
      </c>
      <c r="R52" s="263">
        <f>IF(R$26=0,0,R$26/AGR!R$5*1000)</f>
        <v>3.0126634495791422</v>
      </c>
      <c r="S52" s="263">
        <f>IF(S$26=0,0,S$26/AGR!S$5*1000)</f>
        <v>2.852086503492131</v>
      </c>
      <c r="T52" s="263">
        <f>IF(T$26=0,0,T$26/AGR!T$5*1000)</f>
        <v>3.2858161489696935</v>
      </c>
      <c r="U52" s="263">
        <f>IF(U$26=0,0,U$26/AGR!U$5*1000)</f>
        <v>3.2686903956835369</v>
      </c>
      <c r="V52" s="263">
        <f>IF(V$26=0,0,V$26/AGR!V$5*1000)</f>
        <v>3.4610764967054473</v>
      </c>
      <c r="W52" s="263">
        <f>IF(W$26=0,0,W$26/AGR!W$5*1000)</f>
        <v>3.6550793484376132</v>
      </c>
      <c r="DA52" s="285"/>
    </row>
    <row r="53" spans="1:105" x14ac:dyDescent="0.25">
      <c r="A53" s="261" t="s">
        <v>33</v>
      </c>
      <c r="B53" s="264">
        <f>IF(B$27=0,0,B$27/AGR!B$5*1000)</f>
        <v>4.3002585072924768</v>
      </c>
      <c r="C53" s="264">
        <f>IF(C$27=0,0,C$27/AGR!C$5*1000)</f>
        <v>4.0284261687328975</v>
      </c>
      <c r="D53" s="264">
        <f>IF(D$27=0,0,D$27/AGR!D$5*1000)</f>
        <v>4.3996713404481369</v>
      </c>
      <c r="E53" s="264">
        <f>IF(E$27=0,0,E$27/AGR!E$5*1000)</f>
        <v>4.4248578668202816</v>
      </c>
      <c r="F53" s="264">
        <f>IF(F$27=0,0,F$27/AGR!F$5*1000)</f>
        <v>5.144977715550497</v>
      </c>
      <c r="G53" s="264">
        <f>IF(G$27=0,0,G$27/AGR!G$5*1000)</f>
        <v>5.8266187294139522</v>
      </c>
      <c r="H53" s="264">
        <f>IF(H$27=0,0,H$27/AGR!H$5*1000)</f>
        <v>6.0923229866205251</v>
      </c>
      <c r="I53" s="264">
        <f>IF(I$27=0,0,I$27/AGR!I$5*1000)</f>
        <v>5.2778295916622717</v>
      </c>
      <c r="J53" s="264">
        <f>IF(J$27=0,0,J$27/AGR!J$5*1000)</f>
        <v>5.4002664494079422</v>
      </c>
      <c r="K53" s="264">
        <f>IF(K$27=0,0,K$27/AGR!K$5*1000)</f>
        <v>5.7432451429210944</v>
      </c>
      <c r="L53" s="264">
        <f>IF(L$27=0,0,L$27/AGR!L$5*1000)</f>
        <v>5.0808331409907534</v>
      </c>
      <c r="M53" s="264">
        <f>IF(M$27=0,0,M$27/AGR!M$5*1000)</f>
        <v>4.5148346857393751</v>
      </c>
      <c r="N53" s="264">
        <f>IF(N$27=0,0,N$27/AGR!N$5*1000)</f>
        <v>4.356509424776327</v>
      </c>
      <c r="O53" s="264">
        <f>IF(O$27=0,0,O$27/AGR!O$5*1000)</f>
        <v>3.933559851534322</v>
      </c>
      <c r="P53" s="264">
        <f>IF(P$27=0,0,P$27/AGR!P$5*1000)</f>
        <v>4.283504256821268</v>
      </c>
      <c r="Q53" s="264">
        <f>IF(Q$27=0,0,Q$27/AGR!Q$5*1000)</f>
        <v>4.5170457614653881</v>
      </c>
      <c r="R53" s="264">
        <f>IF(R$27=0,0,R$27/AGR!R$5*1000)</f>
        <v>4.3683620018897553</v>
      </c>
      <c r="S53" s="264">
        <f>IF(S$27=0,0,S$27/AGR!S$5*1000)</f>
        <v>4.1355254300635913</v>
      </c>
      <c r="T53" s="264">
        <f>IF(T$27=0,0,T$27/AGR!T$5*1000)</f>
        <v>4.764433416006054</v>
      </c>
      <c r="U53" s="264">
        <f>IF(U$27=0,0,U$27/AGR!U$5*1000)</f>
        <v>4.73960107374113</v>
      </c>
      <c r="V53" s="264">
        <f>IF(V$27=0,0,V$27/AGR!V$5*1000)</f>
        <v>5.0185609202228987</v>
      </c>
      <c r="W53" s="264">
        <f>IF(W$27=0,0,W$27/AGR!W$5*1000)</f>
        <v>5.2998650552345392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271.80089091226949</v>
      </c>
      <c r="C5" s="80">
        <f t="shared" ref="C5:W5" si="1">SUM(C6:C9,C16:C17,C25:C27)</f>
        <v>273.49916296162883</v>
      </c>
      <c r="D5" s="80">
        <f t="shared" si="1"/>
        <v>256.1887548082625</v>
      </c>
      <c r="E5" s="80">
        <f t="shared" si="1"/>
        <v>255.30640437506545</v>
      </c>
      <c r="F5" s="80">
        <f t="shared" si="1"/>
        <v>221.35122184289955</v>
      </c>
      <c r="G5" s="80">
        <f t="shared" si="1"/>
        <v>218.07124676286179</v>
      </c>
      <c r="H5" s="80">
        <f t="shared" si="1"/>
        <v>229.5437897868085</v>
      </c>
      <c r="I5" s="80">
        <f t="shared" si="1"/>
        <v>211.40795911498589</v>
      </c>
      <c r="J5" s="80">
        <f t="shared" si="1"/>
        <v>211.39341113477579</v>
      </c>
      <c r="K5" s="80">
        <f t="shared" si="1"/>
        <v>205.37929763296293</v>
      </c>
      <c r="L5" s="80">
        <f t="shared" si="1"/>
        <v>219.01323939887359</v>
      </c>
      <c r="M5" s="80">
        <f t="shared" si="1"/>
        <v>218.97732342960521</v>
      </c>
      <c r="N5" s="80">
        <f t="shared" si="1"/>
        <v>223.37995440856946</v>
      </c>
      <c r="O5" s="80">
        <f t="shared" si="1"/>
        <v>240.83875810249558</v>
      </c>
      <c r="P5" s="80">
        <f t="shared" si="1"/>
        <v>244.27779531957424</v>
      </c>
      <c r="Q5" s="80">
        <f t="shared" si="1"/>
        <v>241.77232124521899</v>
      </c>
      <c r="R5" s="80">
        <f t="shared" si="1"/>
        <v>254.58674267273884</v>
      </c>
      <c r="S5" s="80">
        <f t="shared" si="1"/>
        <v>254.6078914989356</v>
      </c>
      <c r="T5" s="80">
        <f t="shared" si="1"/>
        <v>246.87405929030913</v>
      </c>
      <c r="U5" s="80">
        <f t="shared" si="1"/>
        <v>252.86765498472977</v>
      </c>
      <c r="V5" s="80">
        <f t="shared" si="1"/>
        <v>254.18106622947323</v>
      </c>
      <c r="W5" s="80">
        <f t="shared" si="1"/>
        <v>263.22634801610013</v>
      </c>
      <c r="DA5" s="103"/>
    </row>
    <row r="6" spans="1:105" x14ac:dyDescent="0.25">
      <c r="A6" s="239" t="s">
        <v>125</v>
      </c>
      <c r="B6" s="240">
        <v>7.7963209965015663</v>
      </c>
      <c r="C6" s="240">
        <v>7.6797227349903094</v>
      </c>
      <c r="D6" s="240">
        <v>7.4644846464687999</v>
      </c>
      <c r="E6" s="240">
        <v>7.1277396063517022</v>
      </c>
      <c r="F6" s="240">
        <v>6.9469582721564764</v>
      </c>
      <c r="G6" s="240">
        <v>6.7693905762926727</v>
      </c>
      <c r="H6" s="240">
        <v>7.7527894265540596</v>
      </c>
      <c r="I6" s="240">
        <v>6.6568468871985598</v>
      </c>
      <c r="J6" s="240">
        <v>6.7272875825664542</v>
      </c>
      <c r="K6" s="240">
        <v>6.2295447368636356</v>
      </c>
      <c r="L6" s="240">
        <v>6.3233146019901616</v>
      </c>
      <c r="M6" s="240">
        <v>6.1149015939996811</v>
      </c>
      <c r="N6" s="240">
        <v>5.9416792098499229</v>
      </c>
      <c r="O6" s="240">
        <v>5.8671735638725462</v>
      </c>
      <c r="P6" s="240">
        <v>6.5829363390558857</v>
      </c>
      <c r="Q6" s="240">
        <v>6.7185612817646927</v>
      </c>
      <c r="R6" s="240">
        <v>6.7058470774675047</v>
      </c>
      <c r="S6" s="240">
        <v>6.8700779618496224</v>
      </c>
      <c r="T6" s="240">
        <v>6.7819183661960842</v>
      </c>
      <c r="U6" s="240">
        <v>6.8705924816833788</v>
      </c>
      <c r="V6" s="240">
        <v>6.9792846973671239</v>
      </c>
      <c r="W6" s="240">
        <v>7.9101165004369536</v>
      </c>
      <c r="DA6" s="268" t="s">
        <v>1014</v>
      </c>
    </row>
    <row r="7" spans="1:105" x14ac:dyDescent="0.25">
      <c r="A7" s="241" t="s">
        <v>124</v>
      </c>
      <c r="B7" s="242">
        <v>5.0251821911372483</v>
      </c>
      <c r="C7" s="242">
        <v>4.9500278321098472</v>
      </c>
      <c r="D7" s="242">
        <v>4.8112943692652479</v>
      </c>
      <c r="E7" s="242">
        <v>4.5942426112232733</v>
      </c>
      <c r="F7" s="242">
        <v>4.4777185299937363</v>
      </c>
      <c r="G7" s="242">
        <v>4.3632658255224266</v>
      </c>
      <c r="H7" s="242">
        <v>4.9971235632086888</v>
      </c>
      <c r="I7" s="242">
        <v>4.290724874166731</v>
      </c>
      <c r="J7" s="242">
        <v>4.3361279980315519</v>
      </c>
      <c r="K7" s="242">
        <v>4.0153037932413476</v>
      </c>
      <c r="L7" s="242">
        <v>4.0757439234656694</v>
      </c>
      <c r="M7" s="242">
        <v>3.941409621860454</v>
      </c>
      <c r="N7" s="242">
        <v>3.829757723442432</v>
      </c>
      <c r="O7" s="242">
        <v>3.7817345025575162</v>
      </c>
      <c r="P7" s="242">
        <v>4.2430852284376206</v>
      </c>
      <c r="Q7" s="242">
        <v>4.3305033897832246</v>
      </c>
      <c r="R7" s="242">
        <v>4.322308345859641</v>
      </c>
      <c r="S7" s="242">
        <v>4.4281646998761124</v>
      </c>
      <c r="T7" s="242">
        <v>4.3713407145303549</v>
      </c>
      <c r="U7" s="242">
        <v>4.4284963378251838</v>
      </c>
      <c r="V7" s="242">
        <v>4.4985547906280257</v>
      </c>
      <c r="W7" s="242">
        <v>5.0985300099436026</v>
      </c>
      <c r="DA7" s="269" t="s">
        <v>1015</v>
      </c>
    </row>
    <row r="8" spans="1:105" x14ac:dyDescent="0.25">
      <c r="A8" s="241" t="s">
        <v>123</v>
      </c>
      <c r="B8" s="242">
        <v>9.9862040240855219</v>
      </c>
      <c r="C8" s="242">
        <v>9.8368548594182901</v>
      </c>
      <c r="D8" s="242">
        <v>9.5611592503361962</v>
      </c>
      <c r="E8" s="242">
        <v>9.129827000648536</v>
      </c>
      <c r="F8" s="242">
        <v>8.8982665905743463</v>
      </c>
      <c r="G8" s="242">
        <v>8.6708224871596205</v>
      </c>
      <c r="H8" s="242">
        <v>9.9304450142679919</v>
      </c>
      <c r="I8" s="242">
        <v>8.5266667704540922</v>
      </c>
      <c r="J8" s="242">
        <v>8.6168933216514976</v>
      </c>
      <c r="K8" s="242">
        <v>7.9793411209471259</v>
      </c>
      <c r="L8" s="242">
        <v>8.0994496958614537</v>
      </c>
      <c r="M8" s="242">
        <v>7.8324962417899462</v>
      </c>
      <c r="N8" s="242">
        <v>7.61061799044111</v>
      </c>
      <c r="O8" s="242">
        <v>7.5151846979932682</v>
      </c>
      <c r="P8" s="242">
        <v>8.4319957309194251</v>
      </c>
      <c r="Q8" s="242">
        <v>8.6057159188456041</v>
      </c>
      <c r="R8" s="242">
        <v>8.5894304634144341</v>
      </c>
      <c r="S8" s="242">
        <v>8.7997916221240029</v>
      </c>
      <c r="T8" s="242">
        <v>8.6868691668695135</v>
      </c>
      <c r="U8" s="242">
        <v>8.800450663745897</v>
      </c>
      <c r="V8" s="242">
        <v>8.9396730793102162</v>
      </c>
      <c r="W8" s="242">
        <v>10.131963173796301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89.013076350615421</v>
      </c>
      <c r="C9" s="244">
        <f t="shared" ref="C9:W9" si="3">SUM(C10:C15)</f>
        <v>87.656515247167022</v>
      </c>
      <c r="D9" s="244">
        <f t="shared" si="3"/>
        <v>82.996358091445629</v>
      </c>
      <c r="E9" s="244">
        <f t="shared" si="3"/>
        <v>82.614487685402224</v>
      </c>
      <c r="F9" s="244">
        <f t="shared" si="3"/>
        <v>74.318941802371299</v>
      </c>
      <c r="G9" s="244">
        <f t="shared" si="3"/>
        <v>73.265388260138792</v>
      </c>
      <c r="H9" s="244">
        <f t="shared" si="3"/>
        <v>76.886598784684438</v>
      </c>
      <c r="I9" s="244">
        <f t="shared" si="3"/>
        <v>71.176228330261566</v>
      </c>
      <c r="J9" s="244">
        <f t="shared" si="3"/>
        <v>70.247591549640845</v>
      </c>
      <c r="K9" s="244">
        <f t="shared" si="3"/>
        <v>68.155239055204774</v>
      </c>
      <c r="L9" s="244">
        <f t="shared" si="3"/>
        <v>74.69906004817166</v>
      </c>
      <c r="M9" s="244">
        <f t="shared" si="3"/>
        <v>75.041876908225134</v>
      </c>
      <c r="N9" s="244">
        <f t="shared" si="3"/>
        <v>76.568398001507731</v>
      </c>
      <c r="O9" s="244">
        <f t="shared" si="3"/>
        <v>84.341253190515388</v>
      </c>
      <c r="P9" s="244">
        <f t="shared" si="3"/>
        <v>84.481891237618342</v>
      </c>
      <c r="Q9" s="244">
        <f t="shared" si="3"/>
        <v>83.075150394385886</v>
      </c>
      <c r="R9" s="244">
        <f t="shared" si="3"/>
        <v>88.944469764781942</v>
      </c>
      <c r="S9" s="244">
        <f t="shared" si="3"/>
        <v>88.695495060503561</v>
      </c>
      <c r="T9" s="244">
        <f t="shared" si="3"/>
        <v>85.689708461459219</v>
      </c>
      <c r="U9" s="244">
        <f t="shared" si="3"/>
        <v>88.148914075080214</v>
      </c>
      <c r="V9" s="244">
        <f t="shared" si="3"/>
        <v>88.649659379005413</v>
      </c>
      <c r="W9" s="244">
        <f t="shared" si="3"/>
        <v>91.362550687622814</v>
      </c>
      <c r="DA9" s="270"/>
    </row>
    <row r="10" spans="1:105" x14ac:dyDescent="0.25">
      <c r="A10" s="254" t="s">
        <v>173</v>
      </c>
      <c r="B10" s="255">
        <v>45.593645171603001</v>
      </c>
      <c r="C10" s="255">
        <v>45.725581465711393</v>
      </c>
      <c r="D10" s="255">
        <v>40.130909543451423</v>
      </c>
      <c r="E10" s="255">
        <v>38.478824865264997</v>
      </c>
      <c r="F10" s="255">
        <v>36.094023145646737</v>
      </c>
      <c r="G10" s="255">
        <v>35.746171411885449</v>
      </c>
      <c r="H10" s="255">
        <v>35.304715900958762</v>
      </c>
      <c r="I10" s="255">
        <v>35.255497873295148</v>
      </c>
      <c r="J10" s="255">
        <v>38.135263372390668</v>
      </c>
      <c r="K10" s="255">
        <v>37.950179646166752</v>
      </c>
      <c r="L10" s="255">
        <v>35.761064197855632</v>
      </c>
      <c r="M10" s="255">
        <v>35.475441997321937</v>
      </c>
      <c r="N10" s="255">
        <v>35.572151778222292</v>
      </c>
      <c r="O10" s="255">
        <v>33.598925820488297</v>
      </c>
      <c r="P10" s="255">
        <v>32.797446160970033</v>
      </c>
      <c r="Q10" s="255">
        <v>32.90429623636831</v>
      </c>
      <c r="R10" s="255">
        <v>31.58911805078483</v>
      </c>
      <c r="S10" s="255">
        <v>31.51520148739942</v>
      </c>
      <c r="T10" s="255">
        <v>31.787231197215291</v>
      </c>
      <c r="U10" s="255">
        <v>31.69172054655375</v>
      </c>
      <c r="V10" s="255">
        <v>31.670459833402891</v>
      </c>
      <c r="W10" s="255">
        <v>30.082722588767769</v>
      </c>
      <c r="DA10" s="271" t="s">
        <v>1017</v>
      </c>
    </row>
    <row r="11" spans="1:105" x14ac:dyDescent="0.25">
      <c r="A11" s="254" t="s">
        <v>176</v>
      </c>
      <c r="B11" s="256">
        <v>19.17262785505336</v>
      </c>
      <c r="C11" s="256">
        <v>20.449398936631511</v>
      </c>
      <c r="D11" s="256">
        <v>20.711198366169281</v>
      </c>
      <c r="E11" s="256">
        <v>21.426386952386611</v>
      </c>
      <c r="F11" s="256">
        <v>16.15283536461369</v>
      </c>
      <c r="G11" s="256">
        <v>16.259970895829749</v>
      </c>
      <c r="H11" s="256">
        <v>15.59637175974896</v>
      </c>
      <c r="I11" s="256">
        <v>15.913384649829091</v>
      </c>
      <c r="J11" s="256">
        <v>13.719828694520491</v>
      </c>
      <c r="K11" s="256">
        <v>15.52561846272279</v>
      </c>
      <c r="L11" s="256">
        <v>21.349012956498591</v>
      </c>
      <c r="M11" s="256">
        <v>23.633365161916579</v>
      </c>
      <c r="N11" s="256">
        <v>28.644552206457099</v>
      </c>
      <c r="O11" s="256">
        <v>40.044511625735772</v>
      </c>
      <c r="P11" s="256">
        <v>38.95906980657081</v>
      </c>
      <c r="Q11" s="256">
        <v>37.531121309807233</v>
      </c>
      <c r="R11" s="256">
        <v>45.240908125616251</v>
      </c>
      <c r="S11" s="256">
        <v>44.412897141064121</v>
      </c>
      <c r="T11" s="256">
        <v>40.102051064607579</v>
      </c>
      <c r="U11" s="256">
        <v>42.468573398594764</v>
      </c>
      <c r="V11" s="256">
        <v>41.720806711191067</v>
      </c>
      <c r="W11" s="256">
        <v>40.624047837575837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10.93876746052891</v>
      </c>
      <c r="C14" s="255">
        <v>8.0550682294539246</v>
      </c>
      <c r="D14" s="255">
        <v>8.0872562563498942</v>
      </c>
      <c r="E14" s="255">
        <v>10.0205097491431</v>
      </c>
      <c r="F14" s="255">
        <v>9.1183750494229194</v>
      </c>
      <c r="G14" s="255">
        <v>9.0538830027438717</v>
      </c>
      <c r="H14" s="255">
        <v>8.0711912411245699</v>
      </c>
      <c r="I14" s="255">
        <v>8.0711912411216513</v>
      </c>
      <c r="J14" s="255">
        <v>6.0251926595306768</v>
      </c>
      <c r="K14" s="255">
        <v>4.655838600060684</v>
      </c>
      <c r="L14" s="255">
        <v>8.7477777667966006</v>
      </c>
      <c r="M14" s="255">
        <v>8.2000593415874476</v>
      </c>
      <c r="N14" s="255">
        <v>5.6868993966885037</v>
      </c>
      <c r="O14" s="255">
        <v>5.4129821876378834</v>
      </c>
      <c r="P14" s="255">
        <v>5.0585659131316483</v>
      </c>
      <c r="Q14" s="255">
        <v>4.2047422519791011</v>
      </c>
      <c r="R14" s="255">
        <v>4.833017739089839</v>
      </c>
      <c r="S14" s="255">
        <v>4.8523885516724912</v>
      </c>
      <c r="T14" s="255">
        <v>5.6254811615887181</v>
      </c>
      <c r="U14" s="255">
        <v>5.9524651176800214</v>
      </c>
      <c r="V14" s="255">
        <v>6.8541938422842286</v>
      </c>
      <c r="W14" s="255">
        <v>8.27562870923364</v>
      </c>
      <c r="DA14" s="271" t="s">
        <v>1021</v>
      </c>
    </row>
    <row r="15" spans="1:105" x14ac:dyDescent="0.25">
      <c r="A15" s="254" t="s">
        <v>24</v>
      </c>
      <c r="B15" s="256">
        <v>13.308035863430151</v>
      </c>
      <c r="C15" s="256">
        <v>13.426466615370201</v>
      </c>
      <c r="D15" s="256">
        <v>14.06699392547503</v>
      </c>
      <c r="E15" s="256">
        <v>12.68876611860752</v>
      </c>
      <c r="F15" s="256">
        <v>12.95370824268795</v>
      </c>
      <c r="G15" s="256">
        <v>12.20536294967973</v>
      </c>
      <c r="H15" s="256">
        <v>17.914319882852141</v>
      </c>
      <c r="I15" s="256">
        <v>11.93615456601567</v>
      </c>
      <c r="J15" s="256">
        <v>12.36730682319901</v>
      </c>
      <c r="K15" s="256">
        <v>10.023602346254551</v>
      </c>
      <c r="L15" s="256">
        <v>8.8412051270208458</v>
      </c>
      <c r="M15" s="256">
        <v>7.7330104073991848</v>
      </c>
      <c r="N15" s="256">
        <v>6.6647946201398467</v>
      </c>
      <c r="O15" s="256">
        <v>5.2848335566534379</v>
      </c>
      <c r="P15" s="256">
        <v>7.6668093569458531</v>
      </c>
      <c r="Q15" s="256">
        <v>8.4349905962312413</v>
      </c>
      <c r="R15" s="256">
        <v>7.2814258492910282</v>
      </c>
      <c r="S15" s="256">
        <v>7.9150078803675257</v>
      </c>
      <c r="T15" s="256">
        <v>8.1749450380476265</v>
      </c>
      <c r="U15" s="256">
        <v>8.0361550122516885</v>
      </c>
      <c r="V15" s="256">
        <v>8.404198992127224</v>
      </c>
      <c r="W15" s="256">
        <v>12.380151552045559</v>
      </c>
      <c r="DA15" s="272" t="s">
        <v>1022</v>
      </c>
    </row>
    <row r="16" spans="1:105" x14ac:dyDescent="0.25">
      <c r="A16" s="257" t="s">
        <v>175</v>
      </c>
      <c r="B16" s="258">
        <v>55.301943028411827</v>
      </c>
      <c r="C16" s="258">
        <v>55.019147126239588</v>
      </c>
      <c r="D16" s="258">
        <v>50.804367163410397</v>
      </c>
      <c r="E16" s="258">
        <v>49.919391702030509</v>
      </c>
      <c r="F16" s="258">
        <v>45.275378120968689</v>
      </c>
      <c r="G16" s="258">
        <v>44.745467008056451</v>
      </c>
      <c r="H16" s="258">
        <v>45.739355077299003</v>
      </c>
      <c r="I16" s="258">
        <v>43.723454787733893</v>
      </c>
      <c r="J16" s="258">
        <v>44.404448960367397</v>
      </c>
      <c r="K16" s="258">
        <v>43.771877043788344</v>
      </c>
      <c r="L16" s="258">
        <v>45.836225022450712</v>
      </c>
      <c r="M16" s="258">
        <v>46.076439528007548</v>
      </c>
      <c r="N16" s="258">
        <v>47.209402270778817</v>
      </c>
      <c r="O16" s="258">
        <v>50.068308425948892</v>
      </c>
      <c r="P16" s="258">
        <v>49.749202309809228</v>
      </c>
      <c r="Q16" s="258">
        <v>49.231584633468223</v>
      </c>
      <c r="R16" s="258">
        <v>51.248777526727537</v>
      </c>
      <c r="S16" s="258">
        <v>51.086016591536627</v>
      </c>
      <c r="T16" s="258">
        <v>49.806033170688998</v>
      </c>
      <c r="U16" s="258">
        <v>50.809854640873667</v>
      </c>
      <c r="V16" s="258">
        <v>50.891525110277087</v>
      </c>
      <c r="W16" s="258">
        <v>50.832041397630398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77.725784289681584</v>
      </c>
      <c r="C17" s="258">
        <f t="shared" ref="C17:W17" si="5">SUM(C18:C24)</f>
        <v>81.734391885980941</v>
      </c>
      <c r="D17" s="258">
        <f t="shared" si="5"/>
        <v>75.034248105595935</v>
      </c>
      <c r="E17" s="258">
        <f t="shared" si="5"/>
        <v>77.365761668680037</v>
      </c>
      <c r="F17" s="258">
        <f t="shared" si="5"/>
        <v>57.9561581423173</v>
      </c>
      <c r="G17" s="258">
        <f t="shared" si="5"/>
        <v>57.29483106322224</v>
      </c>
      <c r="H17" s="258">
        <f t="shared" si="5"/>
        <v>58.680326171319933</v>
      </c>
      <c r="I17" s="258">
        <f t="shared" si="5"/>
        <v>54.491116958635338</v>
      </c>
      <c r="J17" s="258">
        <f t="shared" si="5"/>
        <v>54.250231776875481</v>
      </c>
      <c r="K17" s="258">
        <f t="shared" si="5"/>
        <v>53.748066737390594</v>
      </c>
      <c r="L17" s="258">
        <f t="shared" si="5"/>
        <v>57.987144098406219</v>
      </c>
      <c r="M17" s="258">
        <f t="shared" si="5"/>
        <v>58.467229881813402</v>
      </c>
      <c r="N17" s="258">
        <f t="shared" si="5"/>
        <v>60.99829782782755</v>
      </c>
      <c r="O17" s="258">
        <f t="shared" si="5"/>
        <v>67.845231131283143</v>
      </c>
      <c r="P17" s="258">
        <f t="shared" si="5"/>
        <v>67.620228799384606</v>
      </c>
      <c r="Q17" s="258">
        <f t="shared" si="5"/>
        <v>66.372514984778263</v>
      </c>
      <c r="R17" s="258">
        <f t="shared" si="5"/>
        <v>71.098107356952497</v>
      </c>
      <c r="S17" s="258">
        <f t="shared" si="5"/>
        <v>70.66137762445284</v>
      </c>
      <c r="T17" s="258">
        <f t="shared" si="5"/>
        <v>67.864050675504714</v>
      </c>
      <c r="U17" s="258">
        <f t="shared" si="5"/>
        <v>69.778237812420613</v>
      </c>
      <c r="V17" s="258">
        <f t="shared" si="5"/>
        <v>69.908225296774617</v>
      </c>
      <c r="W17" s="258">
        <f t="shared" si="5"/>
        <v>71.255193880360949</v>
      </c>
      <c r="DA17" s="273"/>
    </row>
    <row r="18" spans="1:105" x14ac:dyDescent="0.25">
      <c r="A18" s="61" t="s">
        <v>29</v>
      </c>
      <c r="B18" s="55">
        <v>11.750019646591459</v>
      </c>
      <c r="C18" s="55">
        <v>8.9894812447734118</v>
      </c>
      <c r="D18" s="55">
        <v>9.5146849064872789</v>
      </c>
      <c r="E18" s="55">
        <v>9.6353106130464177</v>
      </c>
      <c r="F18" s="55">
        <v>5.6398540790696128</v>
      </c>
      <c r="G18" s="55">
        <v>4.7139354755127787</v>
      </c>
      <c r="H18" s="55">
        <v>4.6336221822547996</v>
      </c>
      <c r="I18" s="55">
        <v>3.0276470815592749</v>
      </c>
      <c r="J18" s="55">
        <v>3.2330513924756281</v>
      </c>
      <c r="K18" s="55">
        <v>3.1815445480802791</v>
      </c>
      <c r="L18" s="55">
        <v>3.1497473792226329</v>
      </c>
      <c r="M18" s="55">
        <v>2.6649392063523361</v>
      </c>
      <c r="N18" s="55">
        <v>2.590108899755009</v>
      </c>
      <c r="O18" s="55">
        <v>2.3800731266217778</v>
      </c>
      <c r="P18" s="55">
        <v>2.2419807845317612</v>
      </c>
      <c r="Q18" s="55">
        <v>2.178365677926605</v>
      </c>
      <c r="R18" s="55">
        <v>1.98224506033382</v>
      </c>
      <c r="S18" s="55">
        <v>1.5578328162943591</v>
      </c>
      <c r="T18" s="55">
        <v>1.50680365634334</v>
      </c>
      <c r="U18" s="55">
        <v>1.404599954218188</v>
      </c>
      <c r="V18" s="55">
        <v>1.21373386551123</v>
      </c>
      <c r="W18" s="55">
        <v>1.466096634159193</v>
      </c>
      <c r="DA18" s="101" t="s">
        <v>1024</v>
      </c>
    </row>
    <row r="19" spans="1:105" x14ac:dyDescent="0.25">
      <c r="A19" s="61" t="s">
        <v>27</v>
      </c>
      <c r="B19" s="55">
        <v>2.772125618773702</v>
      </c>
      <c r="C19" s="55">
        <v>3.5612654133973249</v>
      </c>
      <c r="D19" s="55">
        <v>1.7813920280622599</v>
      </c>
      <c r="E19" s="55">
        <v>1.4854254337393411</v>
      </c>
      <c r="F19" s="55">
        <v>1.4843888998112851</v>
      </c>
      <c r="G19" s="55">
        <v>1.78127150086354</v>
      </c>
      <c r="H19" s="55">
        <v>1.8401610911819299</v>
      </c>
      <c r="I19" s="55">
        <v>0.61338703039348685</v>
      </c>
      <c r="J19" s="55">
        <v>0.58691925709444071</v>
      </c>
      <c r="K19" s="55">
        <v>0.58679872989362925</v>
      </c>
      <c r="L19" s="55">
        <v>0.88028246388128251</v>
      </c>
      <c r="M19" s="55">
        <v>0.88013783124074541</v>
      </c>
      <c r="N19" s="55">
        <v>0.87984856595814542</v>
      </c>
      <c r="O19" s="55">
        <v>1.173139456424265</v>
      </c>
      <c r="P19" s="55">
        <v>1.173139456424614</v>
      </c>
      <c r="Q19" s="55">
        <v>1.173139456425117</v>
      </c>
      <c r="R19" s="55">
        <v>1.173139456424124</v>
      </c>
      <c r="S19" s="55">
        <v>1.173139456424624</v>
      </c>
      <c r="T19" s="55">
        <v>1.75969713191731</v>
      </c>
      <c r="U19" s="55">
        <v>1.759697131917028</v>
      </c>
      <c r="V19" s="55">
        <v>2.0529880223835919</v>
      </c>
      <c r="W19" s="55">
        <v>2.052988022382634</v>
      </c>
      <c r="DA19" s="101" t="s">
        <v>1025</v>
      </c>
    </row>
    <row r="20" spans="1:105" x14ac:dyDescent="0.25">
      <c r="A20" s="61" t="s">
        <v>173</v>
      </c>
      <c r="B20" s="55">
        <v>28.627064470108209</v>
      </c>
      <c r="C20" s="55">
        <v>25.106964319032539</v>
      </c>
      <c r="D20" s="55">
        <v>23.17248336177013</v>
      </c>
      <c r="E20" s="55">
        <v>20.1900930089033</v>
      </c>
      <c r="F20" s="55">
        <v>29.397868100435868</v>
      </c>
      <c r="G20" s="55">
        <v>29.170465617484929</v>
      </c>
      <c r="H20" s="55">
        <v>29.60066551400827</v>
      </c>
      <c r="I20" s="55">
        <v>30.688251394481139</v>
      </c>
      <c r="J20" s="55">
        <v>33.093530670952852</v>
      </c>
      <c r="K20" s="55">
        <v>32.094081685680599</v>
      </c>
      <c r="L20" s="55">
        <v>30.94386592644976</v>
      </c>
      <c r="M20" s="55">
        <v>31.005601667215291</v>
      </c>
      <c r="N20" s="55">
        <v>30.08375585560648</v>
      </c>
      <c r="O20" s="55">
        <v>27.94654705429226</v>
      </c>
      <c r="P20" s="55">
        <v>27.579130283492969</v>
      </c>
      <c r="Q20" s="55">
        <v>27.930142661421829</v>
      </c>
      <c r="R20" s="55">
        <v>26.87969685772708</v>
      </c>
      <c r="S20" s="55">
        <v>27.05362799884939</v>
      </c>
      <c r="T20" s="55">
        <v>27.588860242574171</v>
      </c>
      <c r="U20" s="55">
        <v>27.53260167482139</v>
      </c>
      <c r="V20" s="55">
        <v>27.632741752678449</v>
      </c>
      <c r="W20" s="55">
        <v>26.102050651939511</v>
      </c>
      <c r="DA20" s="101" t="s">
        <v>1026</v>
      </c>
    </row>
    <row r="21" spans="1:105" x14ac:dyDescent="0.25">
      <c r="A21" s="61" t="s">
        <v>129</v>
      </c>
      <c r="B21" s="55">
        <v>22.625848110755829</v>
      </c>
      <c r="C21" s="55">
        <v>32.899480887254313</v>
      </c>
      <c r="D21" s="55">
        <v>28.27325082900435</v>
      </c>
      <c r="E21" s="55">
        <v>31.486207138924549</v>
      </c>
      <c r="F21" s="55">
        <v>4.1154504056480476</v>
      </c>
      <c r="G21" s="55">
        <v>4.8314312029782167</v>
      </c>
      <c r="H21" s="55">
        <v>5.0803017633338756</v>
      </c>
      <c r="I21" s="55">
        <v>3.202624293710298</v>
      </c>
      <c r="J21" s="55">
        <v>3.186814805326792</v>
      </c>
      <c r="K21" s="55">
        <v>2.211760313157769</v>
      </c>
      <c r="L21" s="55">
        <v>2.1909673990875498</v>
      </c>
      <c r="M21" s="55">
        <v>2.192342137209041</v>
      </c>
      <c r="N21" s="55">
        <v>1.717241234914211</v>
      </c>
      <c r="O21" s="55">
        <v>1.697006808204756</v>
      </c>
      <c r="P21" s="55">
        <v>2.6402060404912882</v>
      </c>
      <c r="Q21" s="55">
        <v>1.9528369802973451</v>
      </c>
      <c r="R21" s="55">
        <v>1.2219488664776319</v>
      </c>
      <c r="S21" s="55">
        <v>1.457652013275573</v>
      </c>
      <c r="T21" s="55">
        <v>0.98212150531981968</v>
      </c>
      <c r="U21" s="55">
        <v>0.74643983880535103</v>
      </c>
      <c r="V21" s="55">
        <v>1.453527798914787</v>
      </c>
      <c r="W21" s="55">
        <v>5.0251833568180251</v>
      </c>
      <c r="DA21" s="101" t="s">
        <v>1027</v>
      </c>
    </row>
    <row r="22" spans="1:105" x14ac:dyDescent="0.25">
      <c r="A22" s="61" t="s">
        <v>176</v>
      </c>
      <c r="B22" s="55">
        <v>11.74974351651411</v>
      </c>
      <c r="C22" s="55">
        <v>10.959475216771169</v>
      </c>
      <c r="D22" s="55">
        <v>11.67274632164383</v>
      </c>
      <c r="E22" s="55">
        <v>10.97336199236157</v>
      </c>
      <c r="F22" s="55">
        <v>12.841139207611681</v>
      </c>
      <c r="G22" s="55">
        <v>12.951135126003621</v>
      </c>
      <c r="H22" s="55">
        <v>12.76340575649566</v>
      </c>
      <c r="I22" s="55">
        <v>13.520168197361</v>
      </c>
      <c r="J22" s="55">
        <v>11.62088718648509</v>
      </c>
      <c r="K22" s="55">
        <v>12.81546207707871</v>
      </c>
      <c r="L22" s="55">
        <v>18.030849155813009</v>
      </c>
      <c r="M22" s="55">
        <v>20.16100403065526</v>
      </c>
      <c r="N22" s="55">
        <v>23.644939067294779</v>
      </c>
      <c r="O22" s="55">
        <v>32.510227424337707</v>
      </c>
      <c r="P22" s="55">
        <v>31.97594296506179</v>
      </c>
      <c r="Q22" s="55">
        <v>31.094697085403691</v>
      </c>
      <c r="R22" s="55">
        <v>37.574431862566946</v>
      </c>
      <c r="S22" s="55">
        <v>37.212493588168783</v>
      </c>
      <c r="T22" s="55">
        <v>33.97206036530897</v>
      </c>
      <c r="U22" s="55">
        <v>36.011677265301458</v>
      </c>
      <c r="V22" s="55">
        <v>35.530109787163823</v>
      </c>
      <c r="W22" s="55">
        <v>34.404474374110947</v>
      </c>
      <c r="DA22" s="101" t="s">
        <v>1028</v>
      </c>
    </row>
    <row r="23" spans="1:105" x14ac:dyDescent="0.25">
      <c r="A23" s="61" t="s">
        <v>171</v>
      </c>
      <c r="B23" s="55">
        <v>0.20098292693826181</v>
      </c>
      <c r="C23" s="55">
        <v>0.21772480475217759</v>
      </c>
      <c r="D23" s="55">
        <v>0.61969065862808759</v>
      </c>
      <c r="E23" s="55">
        <v>3.5953634817048461</v>
      </c>
      <c r="F23" s="55">
        <v>4.4774574497408022</v>
      </c>
      <c r="G23" s="55">
        <v>3.846592140379157</v>
      </c>
      <c r="H23" s="55">
        <v>4.7621698640453944</v>
      </c>
      <c r="I23" s="55">
        <v>3.43903896113014</v>
      </c>
      <c r="J23" s="55">
        <v>2.5290284645406791</v>
      </c>
      <c r="K23" s="55">
        <v>2.858419383499617</v>
      </c>
      <c r="L23" s="55">
        <v>2.7914317739519818</v>
      </c>
      <c r="M23" s="55">
        <v>1.563205009140727</v>
      </c>
      <c r="N23" s="55">
        <v>2.0824042042989261</v>
      </c>
      <c r="O23" s="55">
        <v>2.138237261402375</v>
      </c>
      <c r="P23" s="55">
        <v>2.0098292693821831</v>
      </c>
      <c r="Q23" s="55">
        <v>2.043333123303662</v>
      </c>
      <c r="R23" s="55">
        <v>2.266645253422892</v>
      </c>
      <c r="S23" s="55">
        <v>2.2066317514401068</v>
      </c>
      <c r="T23" s="55">
        <v>2.0545077740411002</v>
      </c>
      <c r="U23" s="55">
        <v>2.323221947357196</v>
      </c>
      <c r="V23" s="55">
        <v>2.0251240701227351</v>
      </c>
      <c r="W23" s="55">
        <v>2.2044008409506448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7.4387104568742073</v>
      </c>
      <c r="C25" s="258">
        <v>7.4006713443321912</v>
      </c>
      <c r="D25" s="258">
        <v>6.8337377780592359</v>
      </c>
      <c r="E25" s="258">
        <v>6.714698991026717</v>
      </c>
      <c r="F25" s="258">
        <v>6.0900288529528632</v>
      </c>
      <c r="G25" s="258">
        <v>6.0187500674170824</v>
      </c>
      <c r="H25" s="258">
        <v>6.1524387801235898</v>
      </c>
      <c r="I25" s="258">
        <v>5.8812783517042941</v>
      </c>
      <c r="J25" s="258">
        <v>5.9728794455471741</v>
      </c>
      <c r="K25" s="258">
        <v>5.8877916697313397</v>
      </c>
      <c r="L25" s="258">
        <v>6.165468837197472</v>
      </c>
      <c r="M25" s="258">
        <v>6.1977802905845749</v>
      </c>
      <c r="N25" s="258">
        <v>6.3501760535611433</v>
      </c>
      <c r="O25" s="258">
        <v>6.7347299036990984</v>
      </c>
      <c r="P25" s="258">
        <v>6.6918066740078519</v>
      </c>
      <c r="Q25" s="258">
        <v>6.6221814888731716</v>
      </c>
      <c r="R25" s="258">
        <v>6.8935157864929026</v>
      </c>
      <c r="S25" s="258">
        <v>6.8716226774216116</v>
      </c>
      <c r="T25" s="258">
        <v>6.6994510404794312</v>
      </c>
      <c r="U25" s="258">
        <v>6.8344759032272222</v>
      </c>
      <c r="V25" s="258">
        <v>6.8454614661478068</v>
      </c>
      <c r="W25" s="258">
        <v>6.8374602623736234</v>
      </c>
      <c r="DA25" s="273" t="s">
        <v>1031</v>
      </c>
    </row>
    <row r="26" spans="1:105" x14ac:dyDescent="0.25">
      <c r="A26" s="257" t="s">
        <v>177</v>
      </c>
      <c r="B26" s="258">
        <v>7.7310495248265374</v>
      </c>
      <c r="C26" s="258">
        <v>7.6154274340151531</v>
      </c>
      <c r="D26" s="258">
        <v>7.4019913373311548</v>
      </c>
      <c r="E26" s="258">
        <v>7.0680655557281149</v>
      </c>
      <c r="F26" s="258">
        <v>6.8887977384519061</v>
      </c>
      <c r="G26" s="258">
        <v>6.712716654649892</v>
      </c>
      <c r="H26" s="258">
        <v>7.6878824049364454</v>
      </c>
      <c r="I26" s="258">
        <v>6.6011151910257402</v>
      </c>
      <c r="J26" s="258">
        <v>6.6709661508177716</v>
      </c>
      <c r="K26" s="258">
        <v>6.1773904511405391</v>
      </c>
      <c r="L26" s="258">
        <v>6.2703752668702633</v>
      </c>
      <c r="M26" s="258">
        <v>6.0637071105545468</v>
      </c>
      <c r="N26" s="258">
        <v>5.8919349591422021</v>
      </c>
      <c r="O26" s="258">
        <v>5.8180530808577204</v>
      </c>
      <c r="P26" s="258">
        <v>6.5278234283655721</v>
      </c>
      <c r="Q26" s="258">
        <v>6.6623129073588112</v>
      </c>
      <c r="R26" s="258">
        <v>6.6497051474763724</v>
      </c>
      <c r="S26" s="258">
        <v>6.8125610767324849</v>
      </c>
      <c r="T26" s="258">
        <v>6.7251395608159346</v>
      </c>
      <c r="U26" s="258">
        <v>6.8130712889618241</v>
      </c>
      <c r="V26" s="258">
        <v>6.9208535240431166</v>
      </c>
      <c r="W26" s="258">
        <v>7.8438923229901647</v>
      </c>
      <c r="DA26" s="273" t="s">
        <v>1032</v>
      </c>
    </row>
    <row r="27" spans="1:105" x14ac:dyDescent="0.25">
      <c r="A27" s="129" t="s">
        <v>33</v>
      </c>
      <c r="B27" s="259">
        <v>11.78262005013559</v>
      </c>
      <c r="C27" s="259">
        <v>11.60640449737552</v>
      </c>
      <c r="D27" s="259">
        <v>11.281114066349859</v>
      </c>
      <c r="E27" s="259">
        <v>10.772189553974361</v>
      </c>
      <c r="F27" s="259">
        <v>10.498973793112951</v>
      </c>
      <c r="G27" s="259">
        <v>10.230614820402611</v>
      </c>
      <c r="H27" s="259">
        <v>11.716830564414369</v>
      </c>
      <c r="I27" s="259">
        <v>10.0605269638057</v>
      </c>
      <c r="J27" s="259">
        <v>10.1669843492776</v>
      </c>
      <c r="K27" s="259">
        <v>9.4147430246552162</v>
      </c>
      <c r="L27" s="259">
        <v>9.5564579044599487</v>
      </c>
      <c r="M27" s="259">
        <v>9.2414822527699236</v>
      </c>
      <c r="N27" s="259">
        <v>8.9796903720185952</v>
      </c>
      <c r="O27" s="259">
        <v>8.8670896057680402</v>
      </c>
      <c r="P27" s="259">
        <v>9.9488255719757319</v>
      </c>
      <c r="Q27" s="259">
        <v>10.153796245961111</v>
      </c>
      <c r="R27" s="259">
        <v>10.134581203566009</v>
      </c>
      <c r="S27" s="259">
        <v>10.38278418443873</v>
      </c>
      <c r="T27" s="259">
        <v>10.249548133764909</v>
      </c>
      <c r="U27" s="259">
        <v>10.38356178091175</v>
      </c>
      <c r="V27" s="259">
        <v>10.54782888591982</v>
      </c>
      <c r="W27" s="259">
        <v>11.9545997809453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</v>
      </c>
      <c r="G31" s="236">
        <f t="shared" si="6"/>
        <v>0.99999999999999989</v>
      </c>
      <c r="H31" s="236">
        <f t="shared" si="6"/>
        <v>1</v>
      </c>
      <c r="I31" s="236">
        <f t="shared" si="6"/>
        <v>1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0.99999999999999978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2.8683942022169541E-2</v>
      </c>
      <c r="C32" s="245">
        <f t="shared" si="8"/>
        <v>2.8079510927306761E-2</v>
      </c>
      <c r="D32" s="245">
        <f t="shared" si="8"/>
        <v>2.913666000701471E-2</v>
      </c>
      <c r="E32" s="245">
        <f t="shared" si="8"/>
        <v>2.7918373703937661E-2</v>
      </c>
      <c r="F32" s="245">
        <f t="shared" si="8"/>
        <v>3.138432313279467E-2</v>
      </c>
      <c r="G32" s="245">
        <f t="shared" si="8"/>
        <v>3.1042105168747634E-2</v>
      </c>
      <c r="H32" s="245">
        <f t="shared" si="8"/>
        <v>3.3774773143523305E-2</v>
      </c>
      <c r="I32" s="245">
        <f t="shared" si="8"/>
        <v>3.1488156430183718E-2</v>
      </c>
      <c r="J32" s="245">
        <f t="shared" si="8"/>
        <v>3.1823544293333776E-2</v>
      </c>
      <c r="K32" s="245">
        <f t="shared" si="8"/>
        <v>3.0331902040080828E-2</v>
      </c>
      <c r="L32" s="245">
        <f t="shared" si="8"/>
        <v>2.887183724301684E-2</v>
      </c>
      <c r="M32" s="245">
        <f t="shared" si="8"/>
        <v>2.7924816589355396E-2</v>
      </c>
      <c r="N32" s="245">
        <f t="shared" si="8"/>
        <v>2.6598981209309369E-2</v>
      </c>
      <c r="O32" s="245">
        <f t="shared" si="8"/>
        <v>2.4361417614417395E-2</v>
      </c>
      <c r="P32" s="245">
        <f t="shared" si="8"/>
        <v>2.69485662028504E-2</v>
      </c>
      <c r="Q32" s="245">
        <f t="shared" si="8"/>
        <v>2.7788794214166281E-2</v>
      </c>
      <c r="R32" s="245">
        <f t="shared" si="8"/>
        <v>2.6340126775916236E-2</v>
      </c>
      <c r="S32" s="245">
        <f t="shared" si="8"/>
        <v>2.69829733925523E-2</v>
      </c>
      <c r="T32" s="245">
        <f t="shared" si="8"/>
        <v>2.7471166414535897E-2</v>
      </c>
      <c r="U32" s="245">
        <f t="shared" si="8"/>
        <v>2.7170705095114999E-2</v>
      </c>
      <c r="V32" s="245">
        <f t="shared" si="8"/>
        <v>2.7457925174750292E-2</v>
      </c>
      <c r="W32" s="245">
        <f t="shared" si="8"/>
        <v>3.0050625858901992E-2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1.848846843095614E-2</v>
      </c>
      <c r="C33" s="246">
        <f t="shared" si="9"/>
        <v>1.8098877446306196E-2</v>
      </c>
      <c r="D33" s="246">
        <f t="shared" si="9"/>
        <v>1.8780271495000358E-2</v>
      </c>
      <c r="E33" s="246">
        <f t="shared" si="9"/>
        <v>1.7995015136690284E-2</v>
      </c>
      <c r="F33" s="246">
        <f t="shared" si="9"/>
        <v>2.0229021067576146E-2</v>
      </c>
      <c r="G33" s="246">
        <f t="shared" si="9"/>
        <v>2.0008441691843917E-2</v>
      </c>
      <c r="H33" s="246">
        <f t="shared" si="9"/>
        <v>2.1769805089694765E-2</v>
      </c>
      <c r="I33" s="246">
        <f t="shared" si="9"/>
        <v>2.029594766502137E-2</v>
      </c>
      <c r="J33" s="246">
        <f t="shared" si="9"/>
        <v>2.0512124643596457E-2</v>
      </c>
      <c r="K33" s="246">
        <f t="shared" si="9"/>
        <v>1.9550674481403525E-2</v>
      </c>
      <c r="L33" s="246">
        <f t="shared" si="9"/>
        <v>1.8609577825762398E-2</v>
      </c>
      <c r="M33" s="246">
        <f t="shared" si="9"/>
        <v>1.799916795095681E-2</v>
      </c>
      <c r="N33" s="246">
        <f t="shared" si="9"/>
        <v>1.714458995921217E-2</v>
      </c>
      <c r="O33" s="246">
        <f t="shared" si="9"/>
        <v>1.5702350121520287E-2</v>
      </c>
      <c r="P33" s="246">
        <f t="shared" si="9"/>
        <v>1.7369917813801466E-2</v>
      </c>
      <c r="Q33" s="246">
        <f t="shared" si="9"/>
        <v>1.7911493621269352E-2</v>
      </c>
      <c r="R33" s="246">
        <f t="shared" si="9"/>
        <v>1.6977743226071269E-2</v>
      </c>
      <c r="S33" s="246">
        <f t="shared" si="9"/>
        <v>1.7392095248134225E-2</v>
      </c>
      <c r="T33" s="246">
        <f t="shared" si="9"/>
        <v>1.7706764036272922E-2</v>
      </c>
      <c r="U33" s="246">
        <f t="shared" si="9"/>
        <v>1.7513099245898466E-2</v>
      </c>
      <c r="V33" s="246">
        <f t="shared" si="9"/>
        <v>1.7698229287333132E-2</v>
      </c>
      <c r="W33" s="246">
        <f t="shared" si="9"/>
        <v>1.9369375628125771E-2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3.6740880394350209E-2</v>
      </c>
      <c r="C34" s="246">
        <f t="shared" si="10"/>
        <v>3.5966672632187814E-2</v>
      </c>
      <c r="D34" s="246">
        <f t="shared" si="10"/>
        <v>3.7320760848742113E-2</v>
      </c>
      <c r="E34" s="246">
        <f t="shared" si="10"/>
        <v>3.5760274102783936E-2</v>
      </c>
      <c r="F34" s="246">
        <f t="shared" si="10"/>
        <v>4.0199762696090956E-2</v>
      </c>
      <c r="G34" s="246">
        <f t="shared" si="10"/>
        <v>3.9761420250825512E-2</v>
      </c>
      <c r="H34" s="246">
        <f t="shared" si="10"/>
        <v>4.326165836806567E-2</v>
      </c>
      <c r="I34" s="246">
        <f t="shared" si="10"/>
        <v>4.0332761387741292E-2</v>
      </c>
      <c r="J34" s="246">
        <f t="shared" si="10"/>
        <v>4.0762355247476088E-2</v>
      </c>
      <c r="K34" s="246">
        <f t="shared" si="10"/>
        <v>3.8851730495286584E-2</v>
      </c>
      <c r="L34" s="246">
        <f t="shared" si="10"/>
        <v>3.6981552887359874E-2</v>
      </c>
      <c r="M34" s="246">
        <f t="shared" si="10"/>
        <v>3.5768526709149699E-2</v>
      </c>
      <c r="N34" s="246">
        <f t="shared" si="10"/>
        <v>3.4070281778825297E-2</v>
      </c>
      <c r="O34" s="246">
        <f t="shared" si="10"/>
        <v>3.1204216286462388E-2</v>
      </c>
      <c r="P34" s="246">
        <f t="shared" si="10"/>
        <v>3.4518060554330543E-2</v>
      </c>
      <c r="Q34" s="246">
        <f t="shared" si="10"/>
        <v>3.5594297455237678E-2</v>
      </c>
      <c r="R34" s="246">
        <f t="shared" si="10"/>
        <v>3.3738718572851246E-2</v>
      </c>
      <c r="S34" s="246">
        <f t="shared" si="10"/>
        <v>3.4562132266669321E-2</v>
      </c>
      <c r="T34" s="246">
        <f t="shared" si="10"/>
        <v>3.518745222499977E-2</v>
      </c>
      <c r="U34" s="246">
        <f t="shared" si="10"/>
        <v>3.4802595311279889E-2</v>
      </c>
      <c r="V34" s="246">
        <f t="shared" si="10"/>
        <v>3.5170491696810843E-2</v>
      </c>
      <c r="W34" s="246">
        <f t="shared" si="10"/>
        <v>3.8491447570349543E-2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0.32749368867722589</v>
      </c>
      <c r="C35" s="247">
        <f t="shared" si="11"/>
        <v>0.32050012255234939</v>
      </c>
      <c r="D35" s="247">
        <f t="shared" si="11"/>
        <v>0.3239656563129088</v>
      </c>
      <c r="E35" s="247">
        <f t="shared" si="11"/>
        <v>0.32358956246171938</v>
      </c>
      <c r="F35" s="247">
        <f t="shared" si="11"/>
        <v>0.3357512155732213</v>
      </c>
      <c r="G35" s="247">
        <f t="shared" si="11"/>
        <v>0.33596996095413767</v>
      </c>
      <c r="H35" s="247">
        <f t="shared" si="11"/>
        <v>0.33495394868270567</v>
      </c>
      <c r="I35" s="247">
        <f t="shared" si="11"/>
        <v>0.33667714606500904</v>
      </c>
      <c r="J35" s="247">
        <f t="shared" si="11"/>
        <v>0.33230738447592323</v>
      </c>
      <c r="K35" s="247">
        <f t="shared" si="11"/>
        <v>0.33185058007650914</v>
      </c>
      <c r="L35" s="247">
        <f t="shared" si="11"/>
        <v>0.34107097933074015</v>
      </c>
      <c r="M35" s="247">
        <f t="shared" si="11"/>
        <v>0.34269245661114722</v>
      </c>
      <c r="N35" s="247">
        <f t="shared" si="11"/>
        <v>0.34277201911081756</v>
      </c>
      <c r="O35" s="247">
        <f t="shared" si="11"/>
        <v>0.35019800739306933</v>
      </c>
      <c r="P35" s="247">
        <f t="shared" si="11"/>
        <v>0.34584351445900213</v>
      </c>
      <c r="Q35" s="247">
        <f t="shared" si="11"/>
        <v>0.34360902011660149</v>
      </c>
      <c r="R35" s="247">
        <f t="shared" si="11"/>
        <v>0.3493680339793519</v>
      </c>
      <c r="S35" s="247">
        <f t="shared" si="11"/>
        <v>0.34836113891966447</v>
      </c>
      <c r="T35" s="247">
        <f t="shared" si="11"/>
        <v>0.34709887587133342</v>
      </c>
      <c r="U35" s="247">
        <f t="shared" si="11"/>
        <v>0.34859703223175525</v>
      </c>
      <c r="V35" s="247">
        <f t="shared" si="11"/>
        <v>0.34876578611474152</v>
      </c>
      <c r="W35" s="247">
        <f t="shared" si="11"/>
        <v>0.34708740738231364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0.20346490713403109</v>
      </c>
      <c r="C36" s="260">
        <f t="shared" si="12"/>
        <v>0.2011675155801432</v>
      </c>
      <c r="D36" s="260">
        <f t="shared" si="12"/>
        <v>0.19830834183738291</v>
      </c>
      <c r="E36" s="260">
        <f t="shared" si="12"/>
        <v>0.19552737748284194</v>
      </c>
      <c r="F36" s="260">
        <f t="shared" si="12"/>
        <v>0.204540899950858</v>
      </c>
      <c r="G36" s="260">
        <f t="shared" si="12"/>
        <v>0.20518737647569932</v>
      </c>
      <c r="H36" s="260">
        <f t="shared" si="12"/>
        <v>0.19926200190290475</v>
      </c>
      <c r="I36" s="260">
        <f t="shared" si="12"/>
        <v>0.2068202870448812</v>
      </c>
      <c r="J36" s="260">
        <f t="shared" si="12"/>
        <v>0.21005597441283039</v>
      </c>
      <c r="K36" s="260">
        <f t="shared" si="12"/>
        <v>0.21312701693046909</v>
      </c>
      <c r="L36" s="260">
        <f t="shared" si="12"/>
        <v>0.20928517905245161</v>
      </c>
      <c r="M36" s="260">
        <f t="shared" si="12"/>
        <v>0.21041648882341815</v>
      </c>
      <c r="N36" s="260">
        <f t="shared" si="12"/>
        <v>0.21134126558389044</v>
      </c>
      <c r="O36" s="260">
        <f t="shared" si="12"/>
        <v>0.20789140759744718</v>
      </c>
      <c r="P36" s="260">
        <f t="shared" si="12"/>
        <v>0.20365830731657489</v>
      </c>
      <c r="Q36" s="260">
        <f t="shared" si="12"/>
        <v>0.20362787758295459</v>
      </c>
      <c r="R36" s="260">
        <f t="shared" si="12"/>
        <v>0.20130183130786905</v>
      </c>
      <c r="S36" s="260">
        <f t="shared" si="12"/>
        <v>0.20064584915566214</v>
      </c>
      <c r="T36" s="260">
        <f t="shared" si="12"/>
        <v>0.20174672589686743</v>
      </c>
      <c r="U36" s="260">
        <f t="shared" si="12"/>
        <v>0.20093457442764667</v>
      </c>
      <c r="V36" s="260">
        <f t="shared" si="12"/>
        <v>0.20021760812165493</v>
      </c>
      <c r="W36" s="260">
        <f t="shared" si="12"/>
        <v>0.19311152466591711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0.28596589227063834</v>
      </c>
      <c r="C37" s="260">
        <f t="shared" si="13"/>
        <v>0.29884695441443837</v>
      </c>
      <c r="D37" s="260">
        <f t="shared" si="13"/>
        <v>0.29288657951342661</v>
      </c>
      <c r="E37" s="260">
        <f t="shared" si="13"/>
        <v>0.30303102602558912</v>
      </c>
      <c r="F37" s="260">
        <f t="shared" si="13"/>
        <v>0.2618289506594671</v>
      </c>
      <c r="G37" s="260">
        <f t="shared" si="13"/>
        <v>0.26273445909871201</v>
      </c>
      <c r="H37" s="260">
        <f t="shared" si="13"/>
        <v>0.25563891850796738</v>
      </c>
      <c r="I37" s="260">
        <f t="shared" si="13"/>
        <v>0.25775338443619022</v>
      </c>
      <c r="J37" s="260">
        <f t="shared" si="13"/>
        <v>0.25663161157983183</v>
      </c>
      <c r="K37" s="260">
        <f t="shared" si="13"/>
        <v>0.26170148285074352</v>
      </c>
      <c r="L37" s="260">
        <f t="shared" si="13"/>
        <v>0.26476547380224014</v>
      </c>
      <c r="M37" s="260">
        <f t="shared" si="13"/>
        <v>0.26700129934051781</v>
      </c>
      <c r="N37" s="260">
        <f t="shared" si="13"/>
        <v>0.27306970309546941</v>
      </c>
      <c r="O37" s="260">
        <f t="shared" si="13"/>
        <v>0.28170395689554972</v>
      </c>
      <c r="P37" s="260">
        <f t="shared" si="13"/>
        <v>0.27681692767417132</v>
      </c>
      <c r="Q37" s="260">
        <f t="shared" si="13"/>
        <v>0.27452486969118167</v>
      </c>
      <c r="R37" s="260">
        <f t="shared" si="13"/>
        <v>0.27926869486816247</v>
      </c>
      <c r="S37" s="260">
        <f t="shared" si="13"/>
        <v>0.27753019440384563</v>
      </c>
      <c r="T37" s="260">
        <f t="shared" si="13"/>
        <v>0.27489340463957229</v>
      </c>
      <c r="U37" s="260">
        <f t="shared" si="13"/>
        <v>0.27594766051290504</v>
      </c>
      <c r="V37" s="260">
        <f t="shared" si="13"/>
        <v>0.27503317353174478</v>
      </c>
      <c r="W37" s="260">
        <f t="shared" si="13"/>
        <v>0.27069932177155248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2.7368234268500748E-2</v>
      </c>
      <c r="C38" s="260">
        <f t="shared" si="14"/>
        <v>2.7059210215464116E-2</v>
      </c>
      <c r="D38" s="260">
        <f t="shared" si="14"/>
        <v>2.6674620371896343E-2</v>
      </c>
      <c r="E38" s="260">
        <f t="shared" si="14"/>
        <v>2.6300550538333887E-2</v>
      </c>
      <c r="F38" s="260">
        <f t="shared" si="14"/>
        <v>2.7512966959247973E-2</v>
      </c>
      <c r="G38" s="260">
        <f t="shared" si="14"/>
        <v>2.7599925055512151E-2</v>
      </c>
      <c r="H38" s="260">
        <f t="shared" si="14"/>
        <v>2.6802897982287997E-2</v>
      </c>
      <c r="I38" s="260">
        <f t="shared" si="14"/>
        <v>2.7819569217379544E-2</v>
      </c>
      <c r="J38" s="260">
        <f t="shared" si="14"/>
        <v>2.8254804222536106E-2</v>
      </c>
      <c r="K38" s="260">
        <f t="shared" si="14"/>
        <v>2.8667892711628215E-2</v>
      </c>
      <c r="L38" s="260">
        <f t="shared" si="14"/>
        <v>2.8151123896070648E-2</v>
      </c>
      <c r="M38" s="260">
        <f t="shared" si="14"/>
        <v>2.8303297316431851E-2</v>
      </c>
      <c r="N38" s="260">
        <f t="shared" si="14"/>
        <v>2.8427689809383958E-2</v>
      </c>
      <c r="O38" s="260">
        <f t="shared" si="14"/>
        <v>2.7963646535799476E-2</v>
      </c>
      <c r="P38" s="260">
        <f t="shared" si="14"/>
        <v>2.7394248688274576E-2</v>
      </c>
      <c r="Q38" s="260">
        <f t="shared" si="14"/>
        <v>2.7390155559438856E-2</v>
      </c>
      <c r="R38" s="260">
        <f t="shared" si="14"/>
        <v>2.7077277135967148E-2</v>
      </c>
      <c r="S38" s="260">
        <f t="shared" si="14"/>
        <v>2.6989040429842053E-2</v>
      </c>
      <c r="T38" s="260">
        <f t="shared" si="14"/>
        <v>2.7137120278000845E-2</v>
      </c>
      <c r="U38" s="260">
        <f t="shared" si="14"/>
        <v>2.7027877106860283E-2</v>
      </c>
      <c r="V38" s="260">
        <f t="shared" si="14"/>
        <v>2.6931437371372748E-2</v>
      </c>
      <c r="W38" s="260">
        <f t="shared" si="14"/>
        <v>2.5975592162055954E-2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2.8443797586086377E-2</v>
      </c>
      <c r="C39" s="260">
        <f t="shared" si="15"/>
        <v>2.7844426840471087E-2</v>
      </c>
      <c r="D39" s="260">
        <f t="shared" si="15"/>
        <v>2.8892725376923643E-2</v>
      </c>
      <c r="E39" s="260">
        <f t="shared" si="15"/>
        <v>2.7684638671831213E-2</v>
      </c>
      <c r="F39" s="260">
        <f t="shared" si="15"/>
        <v>3.1121570873194091E-2</v>
      </c>
      <c r="G39" s="260">
        <f t="shared" si="15"/>
        <v>3.07822179874522E-2</v>
      </c>
      <c r="H39" s="260">
        <f t="shared" si="15"/>
        <v>3.3492007830299639E-2</v>
      </c>
      <c r="I39" s="260">
        <f t="shared" si="15"/>
        <v>3.1224534869263645E-2</v>
      </c>
      <c r="J39" s="260">
        <f t="shared" si="15"/>
        <v>3.155711483630224E-2</v>
      </c>
      <c r="K39" s="260">
        <f t="shared" si="15"/>
        <v>3.0077960740620826E-2</v>
      </c>
      <c r="L39" s="260">
        <f t="shared" si="15"/>
        <v>2.8630119731942162E-2</v>
      </c>
      <c r="M39" s="260">
        <f t="shared" si="15"/>
        <v>2.7691027616856642E-2</v>
      </c>
      <c r="N39" s="260">
        <f t="shared" si="15"/>
        <v>2.6376292244941795E-2</v>
      </c>
      <c r="O39" s="260">
        <f t="shared" si="15"/>
        <v>2.4157461725415837E-2</v>
      </c>
      <c r="P39" s="260">
        <f t="shared" si="15"/>
        <v>2.6722950482771492E-2</v>
      </c>
      <c r="Q39" s="260">
        <f t="shared" si="15"/>
        <v>2.7556144032722097E-2</v>
      </c>
      <c r="R39" s="260">
        <f t="shared" si="15"/>
        <v>2.6119604963186573E-2</v>
      </c>
      <c r="S39" s="260">
        <f t="shared" si="15"/>
        <v>2.6757069612514211E-2</v>
      </c>
      <c r="T39" s="260">
        <f t="shared" si="15"/>
        <v>2.7241175440419898E-2</v>
      </c>
      <c r="U39" s="260">
        <f t="shared" si="15"/>
        <v>2.6943229609074571E-2</v>
      </c>
      <c r="V39" s="260">
        <f t="shared" si="15"/>
        <v>2.7228045057435587E-2</v>
      </c>
      <c r="W39" s="260">
        <f t="shared" si="15"/>
        <v>2.979903942788583E-2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4.3350189216041696E-2</v>
      </c>
      <c r="C40" s="262">
        <f t="shared" si="16"/>
        <v>4.2436709391333184E-2</v>
      </c>
      <c r="D40" s="262">
        <f t="shared" si="16"/>
        <v>4.4034384236704312E-2</v>
      </c>
      <c r="E40" s="262">
        <f t="shared" si="16"/>
        <v>4.2193181876272697E-2</v>
      </c>
      <c r="F40" s="262">
        <f t="shared" si="16"/>
        <v>4.7431289087549865E-2</v>
      </c>
      <c r="G40" s="262">
        <f t="shared" si="16"/>
        <v>4.6914093317069604E-2</v>
      </c>
      <c r="H40" s="262">
        <f t="shared" si="16"/>
        <v>5.1043988492550874E-2</v>
      </c>
      <c r="I40" s="262">
        <f t="shared" si="16"/>
        <v>4.7588212884330086E-2</v>
      </c>
      <c r="J40" s="262">
        <f t="shared" si="16"/>
        <v>4.8095086288169817E-2</v>
      </c>
      <c r="K40" s="262">
        <f t="shared" si="16"/>
        <v>4.584075967325818E-2</v>
      </c>
      <c r="L40" s="262">
        <f t="shared" si="16"/>
        <v>4.3634156230415985E-2</v>
      </c>
      <c r="M40" s="262">
        <f t="shared" si="16"/>
        <v>4.2202919042166435E-2</v>
      </c>
      <c r="N40" s="262">
        <f t="shared" si="16"/>
        <v>4.0199177208150194E-2</v>
      </c>
      <c r="O40" s="262">
        <f t="shared" si="16"/>
        <v>3.68175358303185E-2</v>
      </c>
      <c r="P40" s="262">
        <f t="shared" si="16"/>
        <v>4.0727506808223277E-2</v>
      </c>
      <c r="Q40" s="262">
        <f t="shared" si="16"/>
        <v>4.1997347726427971E-2</v>
      </c>
      <c r="R40" s="262">
        <f t="shared" si="16"/>
        <v>3.9807969170624138E-2</v>
      </c>
      <c r="S40" s="262">
        <f t="shared" si="16"/>
        <v>4.0779506571115592E-2</v>
      </c>
      <c r="T40" s="262">
        <f t="shared" si="16"/>
        <v>4.151731519799759E-2</v>
      </c>
      <c r="U40" s="262">
        <f t="shared" si="16"/>
        <v>4.1063226459464711E-2</v>
      </c>
      <c r="V40" s="262">
        <f t="shared" si="16"/>
        <v>4.1497303644156172E-2</v>
      </c>
      <c r="W40" s="262">
        <f t="shared" si="16"/>
        <v>4.5415665532897567E-2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0.3775269360446214</v>
      </c>
      <c r="C44" s="238">
        <f>IF(C$5=0,0,C$5/AGR_fec!C$5)</f>
        <v>0.37341385925861192</v>
      </c>
      <c r="D44" s="238">
        <f>IF(D$5=0,0,D$5/AGR_fec!D$5)</f>
        <v>0.3762316139239425</v>
      </c>
      <c r="E44" s="238">
        <f>IF(E$5=0,0,E$5/AGR_fec!E$5)</f>
        <v>0.37267190723785149</v>
      </c>
      <c r="F44" s="238">
        <f>IF(F$5=0,0,F$5/AGR_fec!F$5)</f>
        <v>0.38715231197968425</v>
      </c>
      <c r="G44" s="238">
        <f>IF(G$5=0,0,G$5/AGR_fec!G$5)</f>
        <v>0.38706598759396854</v>
      </c>
      <c r="H44" s="238">
        <f>IF(H$5=0,0,H$5/AGR_fec!H$5)</f>
        <v>0.39094977380346535</v>
      </c>
      <c r="I44" s="238">
        <f>IF(I$5=0,0,I$5/AGR_fec!I$5)</f>
        <v>0.38893201402290806</v>
      </c>
      <c r="J44" s="238">
        <f>IF(J$5=0,0,J$5/AGR_fec!J$5)</f>
        <v>0.38785750278960873</v>
      </c>
      <c r="K44" s="238">
        <f>IF(K$5=0,0,K$5/AGR_fec!K$5)</f>
        <v>0.38563190775155298</v>
      </c>
      <c r="L44" s="238">
        <f>IF(L$5=0,0,L$5/AGR_fec!L$5)</f>
        <v>0.38759329278773752</v>
      </c>
      <c r="M44" s="238">
        <f>IF(M$5=0,0,M$5/AGR_fec!M$5)</f>
        <v>0.38769851806367522</v>
      </c>
      <c r="N44" s="238">
        <f>IF(N$5=0,0,N$5/AGR_fec!N$5)</f>
        <v>0.38622741293509727</v>
      </c>
      <c r="O44" s="238">
        <f>IF(O$5=0,0,O$5/AGR_fec!O$5)</f>
        <v>0.38675484203647376</v>
      </c>
      <c r="P44" s="238">
        <f>IF(P$5=0,0,P$5/AGR_fec!P$5)</f>
        <v>0.38889250632719641</v>
      </c>
      <c r="Q44" s="238">
        <f>IF(Q$5=0,0,Q$5/AGR_fec!Q$5)</f>
        <v>0.38944129390709376</v>
      </c>
      <c r="R44" s="238">
        <f>IF(R$5=0,0,R$5/AGR_fec!R$5)</f>
        <v>0.39009507007443467</v>
      </c>
      <c r="S44" s="238">
        <f>IF(S$5=0,0,S$5/AGR_fec!S$5)</f>
        <v>0.39076231815885432</v>
      </c>
      <c r="T44" s="238">
        <f>IF(T$5=0,0,T$5/AGR_fec!T$5)</f>
        <v>0.3909268322418249</v>
      </c>
      <c r="U44" s="238">
        <f>IF(U$5=0,0,U$5/AGR_fec!U$5)</f>
        <v>0.39116270965840627</v>
      </c>
      <c r="V44" s="238">
        <f>IF(V$5=0,0,V$5/AGR_fec!V$5)</f>
        <v>0.39161401434295157</v>
      </c>
      <c r="W44" s="238">
        <f>IF(W$5=0,0,W$5/AGR_fec!W$5)</f>
        <v>0.39401764120231653</v>
      </c>
      <c r="DA44" s="287"/>
    </row>
    <row r="45" spans="1:105" x14ac:dyDescent="0.25">
      <c r="A45" s="239" t="s">
        <v>125</v>
      </c>
      <c r="B45" s="251">
        <f>IF(B$6=0,0,B$6/AGR_fec!B$6)</f>
        <v>0.46175282844108617</v>
      </c>
      <c r="C45" s="251">
        <f>IF(C$6=0,0,C$6/AGR_fec!C$6)</f>
        <v>0.46175282844108606</v>
      </c>
      <c r="D45" s="251">
        <f>IF(D$6=0,0,D$6/AGR_fec!D$6)</f>
        <v>0.46175282844108612</v>
      </c>
      <c r="E45" s="251">
        <f>IF(E$6=0,0,E$6/AGR_fec!E$6)</f>
        <v>0.46175282844108601</v>
      </c>
      <c r="F45" s="251">
        <f>IF(F$6=0,0,F$6/AGR_fec!F$6)</f>
        <v>0.46175282844108628</v>
      </c>
      <c r="G45" s="251">
        <f>IF(G$6=0,0,G$6/AGR_fec!G$6)</f>
        <v>0.46175282844108606</v>
      </c>
      <c r="H45" s="251">
        <f>IF(H$6=0,0,H$6/AGR_fec!H$6)</f>
        <v>0.46175282844108606</v>
      </c>
      <c r="I45" s="251">
        <f>IF(I$6=0,0,I$6/AGR_fec!I$6)</f>
        <v>0.46175282844108595</v>
      </c>
      <c r="J45" s="251">
        <f>IF(J$6=0,0,J$6/AGR_fec!J$6)</f>
        <v>0.46175282844108595</v>
      </c>
      <c r="K45" s="251">
        <f>IF(K$6=0,0,K$6/AGR_fec!K$6)</f>
        <v>0.46175282844108601</v>
      </c>
      <c r="L45" s="251">
        <f>IF(L$6=0,0,L$6/AGR_fec!L$6)</f>
        <v>0.46175282844108589</v>
      </c>
      <c r="M45" s="251">
        <f>IF(M$6=0,0,M$6/AGR_fec!M$6)</f>
        <v>0.46175282844108601</v>
      </c>
      <c r="N45" s="251">
        <f>IF(N$6=0,0,N$6/AGR_fec!N$6)</f>
        <v>0.46175282844108595</v>
      </c>
      <c r="O45" s="251">
        <f>IF(O$6=0,0,O$6/AGR_fec!O$6)</f>
        <v>0.46175282844108617</v>
      </c>
      <c r="P45" s="251">
        <f>IF(P$6=0,0,P$6/AGR_fec!P$6)</f>
        <v>0.46175282844108612</v>
      </c>
      <c r="Q45" s="251">
        <f>IF(Q$6=0,0,Q$6/AGR_fec!Q$6)</f>
        <v>0.46175282844108617</v>
      </c>
      <c r="R45" s="251">
        <f>IF(R$6=0,0,R$6/AGR_fec!R$6)</f>
        <v>0.46175282844108595</v>
      </c>
      <c r="S45" s="251">
        <f>IF(S$6=0,0,S$6/AGR_fec!S$6)</f>
        <v>0.46175282844108612</v>
      </c>
      <c r="T45" s="251">
        <f>IF(T$6=0,0,T$6/AGR_fec!T$6)</f>
        <v>0.46175282844108595</v>
      </c>
      <c r="U45" s="251">
        <f>IF(U$6=0,0,U$6/AGR_fec!U$6)</f>
        <v>0.46175282844108617</v>
      </c>
      <c r="V45" s="251">
        <f>IF(V$6=0,0,V$6/AGR_fec!V$6)</f>
        <v>0.46175282844108606</v>
      </c>
      <c r="W45" s="251">
        <f>IF(W$6=0,0,W$6/AGR_fec!W$6)</f>
        <v>0.46175282844108595</v>
      </c>
      <c r="DA45" s="288"/>
    </row>
    <row r="46" spans="1:105" x14ac:dyDescent="0.25">
      <c r="A46" s="241" t="s">
        <v>124</v>
      </c>
      <c r="B46" s="252">
        <f>IF(B$7=0,0,B$7/AGR_fec!B$7)</f>
        <v>0.45788699394350957</v>
      </c>
      <c r="C46" s="252">
        <f>IF(C$7=0,0,C$7/AGR_fec!C$7)</f>
        <v>0.45788699394350951</v>
      </c>
      <c r="D46" s="252">
        <f>IF(D$7=0,0,D$7/AGR_fec!D$7)</f>
        <v>0.45788699394350962</v>
      </c>
      <c r="E46" s="252">
        <f>IF(E$7=0,0,E$7/AGR_fec!E$7)</f>
        <v>0.45788699394350918</v>
      </c>
      <c r="F46" s="252">
        <f>IF(F$7=0,0,F$7/AGR_fec!F$7)</f>
        <v>0.45788699394350929</v>
      </c>
      <c r="G46" s="252">
        <f>IF(G$7=0,0,G$7/AGR_fec!G$7)</f>
        <v>0.45788699394350935</v>
      </c>
      <c r="H46" s="252">
        <f>IF(H$7=0,0,H$7/AGR_fec!H$7)</f>
        <v>0.45788699394350951</v>
      </c>
      <c r="I46" s="252">
        <f>IF(I$7=0,0,I$7/AGR_fec!I$7)</f>
        <v>0.4578869939435094</v>
      </c>
      <c r="J46" s="252">
        <f>IF(J$7=0,0,J$7/AGR_fec!J$7)</f>
        <v>0.4578869939435094</v>
      </c>
      <c r="K46" s="252">
        <f>IF(K$7=0,0,K$7/AGR_fec!K$7)</f>
        <v>0.45788699394350929</v>
      </c>
      <c r="L46" s="252">
        <f>IF(L$7=0,0,L$7/AGR_fec!L$7)</f>
        <v>0.45788699394350929</v>
      </c>
      <c r="M46" s="252">
        <f>IF(M$7=0,0,M$7/AGR_fec!M$7)</f>
        <v>0.45788699394350935</v>
      </c>
      <c r="N46" s="252">
        <f>IF(N$7=0,0,N$7/AGR_fec!N$7)</f>
        <v>0.45788699394350935</v>
      </c>
      <c r="O46" s="252">
        <f>IF(O$7=0,0,O$7/AGR_fec!O$7)</f>
        <v>0.45788699394350946</v>
      </c>
      <c r="P46" s="252">
        <f>IF(P$7=0,0,P$7/AGR_fec!P$7)</f>
        <v>0.45788699394350935</v>
      </c>
      <c r="Q46" s="252">
        <f>IF(Q$7=0,0,Q$7/AGR_fec!Q$7)</f>
        <v>0.45788699394350924</v>
      </c>
      <c r="R46" s="252">
        <f>IF(R$7=0,0,R$7/AGR_fec!R$7)</f>
        <v>0.45788699394350946</v>
      </c>
      <c r="S46" s="252">
        <f>IF(S$7=0,0,S$7/AGR_fec!S$7)</f>
        <v>0.45788699394350929</v>
      </c>
      <c r="T46" s="252">
        <f>IF(T$7=0,0,T$7/AGR_fec!T$7)</f>
        <v>0.45788699394350929</v>
      </c>
      <c r="U46" s="252">
        <f>IF(U$7=0,0,U$7/AGR_fec!U$7)</f>
        <v>0.4578869939435094</v>
      </c>
      <c r="V46" s="252">
        <f>IF(V$7=0,0,V$7/AGR_fec!V$7)</f>
        <v>0.45788699394350929</v>
      </c>
      <c r="W46" s="252">
        <f>IF(W$7=0,0,W$7/AGR_fec!W$7)</f>
        <v>0.45788699394350951</v>
      </c>
      <c r="DA46" s="289"/>
    </row>
    <row r="47" spans="1:105" x14ac:dyDescent="0.25">
      <c r="A47" s="241" t="s">
        <v>123</v>
      </c>
      <c r="B47" s="252">
        <f>IF(B$8=0,0,B$8/AGR_fec!B$8)</f>
        <v>0.65717007285023044</v>
      </c>
      <c r="C47" s="252">
        <f>IF(C$8=0,0,C$8/AGR_fec!C$8)</f>
        <v>0.65717007285023044</v>
      </c>
      <c r="D47" s="252">
        <f>IF(D$8=0,0,D$8/AGR_fec!D$8)</f>
        <v>0.65717007285023066</v>
      </c>
      <c r="E47" s="252">
        <f>IF(E$8=0,0,E$8/AGR_fec!E$8)</f>
        <v>0.65717007285023032</v>
      </c>
      <c r="F47" s="252">
        <f>IF(F$8=0,0,F$8/AGR_fec!F$8)</f>
        <v>0.65717007285023055</v>
      </c>
      <c r="G47" s="252">
        <f>IF(G$8=0,0,G$8/AGR_fec!G$8)</f>
        <v>0.65717007285023066</v>
      </c>
      <c r="H47" s="252">
        <f>IF(H$8=0,0,H$8/AGR_fec!H$8)</f>
        <v>0.65717007285023044</v>
      </c>
      <c r="I47" s="252">
        <f>IF(I$8=0,0,I$8/AGR_fec!I$8)</f>
        <v>0.65717007285023032</v>
      </c>
      <c r="J47" s="252">
        <f>IF(J$8=0,0,J$8/AGR_fec!J$8)</f>
        <v>0.65717007285023044</v>
      </c>
      <c r="K47" s="252">
        <f>IF(K$8=0,0,K$8/AGR_fec!K$8)</f>
        <v>0.65717007285023055</v>
      </c>
      <c r="L47" s="252">
        <f>IF(L$8=0,0,L$8/AGR_fec!L$8)</f>
        <v>0.65717007285023032</v>
      </c>
      <c r="M47" s="252">
        <f>IF(M$8=0,0,M$8/AGR_fec!M$8)</f>
        <v>0.65717007285023032</v>
      </c>
      <c r="N47" s="252">
        <f>IF(N$8=0,0,N$8/AGR_fec!N$8)</f>
        <v>0.65717007285023055</v>
      </c>
      <c r="O47" s="252">
        <f>IF(O$8=0,0,O$8/AGR_fec!O$8)</f>
        <v>0.65717007285023088</v>
      </c>
      <c r="P47" s="252">
        <f>IF(P$8=0,0,P$8/AGR_fec!P$8)</f>
        <v>0.65717007285023032</v>
      </c>
      <c r="Q47" s="252">
        <f>IF(Q$8=0,0,Q$8/AGR_fec!Q$8)</f>
        <v>0.65717007285023044</v>
      </c>
      <c r="R47" s="252">
        <f>IF(R$8=0,0,R$8/AGR_fec!R$8)</f>
        <v>0.65717007285023066</v>
      </c>
      <c r="S47" s="252">
        <f>IF(S$8=0,0,S$8/AGR_fec!S$8)</f>
        <v>0.65717007285023077</v>
      </c>
      <c r="T47" s="252">
        <f>IF(T$8=0,0,T$8/AGR_fec!T$8)</f>
        <v>0.65717007285023077</v>
      </c>
      <c r="U47" s="252">
        <f>IF(U$8=0,0,U$8/AGR_fec!U$8)</f>
        <v>0.65717007285023066</v>
      </c>
      <c r="V47" s="252">
        <f>IF(V$8=0,0,V$8/AGR_fec!V$8)</f>
        <v>0.65717007285023055</v>
      </c>
      <c r="W47" s="252">
        <f>IF(W$8=0,0,W$8/AGR_fec!W$8)</f>
        <v>0.65717007285023032</v>
      </c>
      <c r="DA47" s="289"/>
    </row>
    <row r="48" spans="1:105" x14ac:dyDescent="0.25">
      <c r="A48" s="243" t="s">
        <v>122</v>
      </c>
      <c r="B48" s="253">
        <f>IF(B$9=0,0,B$9/AGR_fec!B$9)</f>
        <v>0.64165138003718858</v>
      </c>
      <c r="C48" s="253">
        <f>IF(C$9=0,0,C$9/AGR_fec!C$9)</f>
        <v>0.64094231377726008</v>
      </c>
      <c r="D48" s="253">
        <f>IF(D$9=0,0,D$9/AGR_fec!D$9)</f>
        <v>0.64569497569666456</v>
      </c>
      <c r="E48" s="253">
        <f>IF(E$9=0,0,E$9/AGR_fec!E$9)</f>
        <v>0.64533839137406646</v>
      </c>
      <c r="F48" s="253">
        <f>IF(F$9=0,0,F$9/AGR_fec!F$9)</f>
        <v>0.64657667919180639</v>
      </c>
      <c r="G48" s="253">
        <f>IF(G$9=0,0,G$9/AGR_fec!G$9)</f>
        <v>0.64546877252473212</v>
      </c>
      <c r="H48" s="253">
        <f>IF(H$9=0,0,H$9/AGR_fec!H$9)</f>
        <v>0.65562624554493987</v>
      </c>
      <c r="I48" s="253">
        <f>IF(I$9=0,0,I$9/AGR_fec!I$9)</f>
        <v>0.64492070360884557</v>
      </c>
      <c r="J48" s="253">
        <f>IF(J$9=0,0,J$9/AGR_fec!J$9)</f>
        <v>0.64221669906855849</v>
      </c>
      <c r="K48" s="253">
        <f>IF(K$9=0,0,K$9/AGR_fec!K$9)</f>
        <v>0.63740810358498878</v>
      </c>
      <c r="L48" s="253">
        <f>IF(L$9=0,0,L$9/AGR_fec!L$9)</f>
        <v>0.63999981650325921</v>
      </c>
      <c r="M48" s="253">
        <f>IF(M$9=0,0,M$9/AGR_fec!M$9)</f>
        <v>0.63839753334896199</v>
      </c>
      <c r="N48" s="253">
        <f>IF(N$9=0,0,N$9/AGR_fec!N$9)</f>
        <v>0.63641919949302872</v>
      </c>
      <c r="O48" s="253">
        <f>IF(O$9=0,0,O$9/AGR_fec!O$9)</f>
        <v>0.63775585316633676</v>
      </c>
      <c r="P48" s="253">
        <f>IF(P$9=0,0,P$9/AGR_fec!P$9)</f>
        <v>0.64183470709663937</v>
      </c>
      <c r="Q48" s="253">
        <f>IF(Q$9=0,0,Q$9/AGR_fec!Q$9)</f>
        <v>0.64247715970191943</v>
      </c>
      <c r="R48" s="253">
        <f>IF(R$9=0,0,R$9/AGR_fec!R$9)</f>
        <v>0.64291319880705189</v>
      </c>
      <c r="S48" s="253">
        <f>IF(S$9=0,0,S$9/AGR_fec!S$9)</f>
        <v>0.64382587284114079</v>
      </c>
      <c r="T48" s="253">
        <f>IF(T$9=0,0,T$9/AGR_fec!T$9)</f>
        <v>0.64369745903821329</v>
      </c>
      <c r="U48" s="253">
        <f>IF(U$9=0,0,U$9/AGR_fec!U$9)</f>
        <v>0.64399070291557758</v>
      </c>
      <c r="V48" s="253">
        <f>IF(V$9=0,0,V$9/AGR_fec!V$9)</f>
        <v>0.64476641872221263</v>
      </c>
      <c r="W48" s="253">
        <f>IF(W$9=0,0,W$9/AGR_fec!W$9)</f>
        <v>0.65209933163410028</v>
      </c>
      <c r="DA48" s="290"/>
    </row>
    <row r="49" spans="1:105" x14ac:dyDescent="0.25">
      <c r="A49" s="128" t="s">
        <v>175</v>
      </c>
      <c r="B49" s="265">
        <f>IF(B$16=0,0,B$16/AGR_fec!B$16)</f>
        <v>0.33042095513447278</v>
      </c>
      <c r="C49" s="265">
        <f>IF(C$16=0,0,C$16/AGR_fec!C$16)</f>
        <v>0.33042095513447295</v>
      </c>
      <c r="D49" s="265">
        <f>IF(D$16=0,0,D$16/AGR_fec!D$16)</f>
        <v>0.33042095513447284</v>
      </c>
      <c r="E49" s="265">
        <f>IF(E$16=0,0,E$16/AGR_fec!E$16)</f>
        <v>0.33042095513447289</v>
      </c>
      <c r="F49" s="265">
        <f>IF(F$16=0,0,F$16/AGR_fec!F$16)</f>
        <v>0.33042095513447284</v>
      </c>
      <c r="G49" s="265">
        <f>IF(G$16=0,0,G$16/AGR_fec!G$16)</f>
        <v>0.33042095513447273</v>
      </c>
      <c r="H49" s="265">
        <f>IF(H$16=0,0,H$16/AGR_fec!H$16)</f>
        <v>0.33042095513447278</v>
      </c>
      <c r="I49" s="265">
        <f>IF(I$16=0,0,I$16/AGR_fec!I$16)</f>
        <v>0.33042095513447278</v>
      </c>
      <c r="J49" s="265">
        <f>IF(J$16=0,0,J$16/AGR_fec!J$16)</f>
        <v>0.33042095513447278</v>
      </c>
      <c r="K49" s="265">
        <f>IF(K$16=0,0,K$16/AGR_fec!K$16)</f>
        <v>0.33042095513447284</v>
      </c>
      <c r="L49" s="265">
        <f>IF(L$16=0,0,L$16/AGR_fec!L$16)</f>
        <v>0.33042095513447284</v>
      </c>
      <c r="M49" s="265">
        <f>IF(M$16=0,0,M$16/AGR_fec!M$16)</f>
        <v>0.33042095513447273</v>
      </c>
      <c r="N49" s="265">
        <f>IF(N$16=0,0,N$16/AGR_fec!N$16)</f>
        <v>0.33042095513447284</v>
      </c>
      <c r="O49" s="265">
        <f>IF(O$16=0,0,O$16/AGR_fec!O$16)</f>
        <v>0.33042095513447284</v>
      </c>
      <c r="P49" s="265">
        <f>IF(P$16=0,0,P$16/AGR_fec!P$16)</f>
        <v>0.33042095513447278</v>
      </c>
      <c r="Q49" s="265">
        <f>IF(Q$16=0,0,Q$16/AGR_fec!Q$16)</f>
        <v>0.33042095513447289</v>
      </c>
      <c r="R49" s="265">
        <f>IF(R$16=0,0,R$16/AGR_fec!R$16)</f>
        <v>0.33042095513447295</v>
      </c>
      <c r="S49" s="265">
        <f>IF(S$16=0,0,S$16/AGR_fec!S$16)</f>
        <v>0.33042095513447273</v>
      </c>
      <c r="T49" s="265">
        <f>IF(T$16=0,0,T$16/AGR_fec!T$16)</f>
        <v>0.33042095513447278</v>
      </c>
      <c r="U49" s="265">
        <f>IF(U$16=0,0,U$16/AGR_fec!U$16)</f>
        <v>0.33042095513447284</v>
      </c>
      <c r="V49" s="265">
        <f>IF(V$16=0,0,V$16/AGR_fec!V$16)</f>
        <v>0.33042095513447289</v>
      </c>
      <c r="W49" s="265">
        <f>IF(W$16=0,0,W$16/AGR_fec!W$16)</f>
        <v>0.33042095513447289</v>
      </c>
      <c r="DA49" s="291"/>
    </row>
    <row r="50" spans="1:105" x14ac:dyDescent="0.25">
      <c r="A50" s="128" t="s">
        <v>121</v>
      </c>
      <c r="B50" s="265">
        <f>IF(B$17=0,0,B$17/AGR_fec!B$17)</f>
        <v>0.26146023202555335</v>
      </c>
      <c r="C50" s="265">
        <f>IF(C$17=0,0,C$17/AGR_fec!C$17)</f>
        <v>0.26030082279547273</v>
      </c>
      <c r="D50" s="265">
        <f>IF(D$17=0,0,D$17/AGR_fec!D$17)</f>
        <v>0.26029535270086124</v>
      </c>
      <c r="E50" s="265">
        <f>IF(E$17=0,0,E$17/AGR_fec!E$17)</f>
        <v>0.25809025918255446</v>
      </c>
      <c r="F50" s="265">
        <f>IF(F$17=0,0,F$17/AGR_fec!F$17)</f>
        <v>0.26558288191968499</v>
      </c>
      <c r="G50" s="265">
        <f>IF(G$17=0,0,G$17/AGR_fec!G$17)</f>
        <v>0.26630714874732941</v>
      </c>
      <c r="H50" s="265">
        <f>IF(H$17=0,0,H$17/AGR_fec!H$17)</f>
        <v>0.26564822744534194</v>
      </c>
      <c r="I50" s="265">
        <f>IF(I$17=0,0,I$17/AGR_fec!I$17)</f>
        <v>0.26795480788765158</v>
      </c>
      <c r="J50" s="265">
        <f>IF(J$17=0,0,J$17/AGR_fec!J$17)</f>
        <v>0.26778436918033549</v>
      </c>
      <c r="K50" s="265">
        <f>IF(K$17=0,0,K$17/AGR_fec!K$17)</f>
        <v>0.26837973399252191</v>
      </c>
      <c r="L50" s="265">
        <f>IF(L$17=0,0,L$17/AGR_fec!L$17)</f>
        <v>0.27034352844882537</v>
      </c>
      <c r="M50" s="265">
        <f>IF(M$17=0,0,M$17/AGR_fec!M$17)</f>
        <v>0.27218314029986818</v>
      </c>
      <c r="N50" s="265">
        <f>IF(N$17=0,0,N$17/AGR_fec!N$17)</f>
        <v>0.27306625834696124</v>
      </c>
      <c r="O50" s="265">
        <f>IF(O$17=0,0,O$17/AGR_fec!O$17)</f>
        <v>0.27546664635202434</v>
      </c>
      <c r="P50" s="265">
        <f>IF(P$17=0,0,P$17/AGR_fec!P$17)</f>
        <v>0.27517613255790063</v>
      </c>
      <c r="Q50" s="265">
        <f>IF(Q$17=0,0,Q$17/AGR_fec!Q$17)</f>
        <v>0.27524947250563814</v>
      </c>
      <c r="R50" s="265">
        <f>IF(R$17=0,0,R$17/AGR_fec!R$17)</f>
        <v>0.276901726338735</v>
      </c>
      <c r="S50" s="265">
        <f>IF(S$17=0,0,S$17/AGR_fec!S$17)</f>
        <v>0.27700088239670312</v>
      </c>
      <c r="T50" s="265">
        <f>IF(T$17=0,0,T$17/AGR_fec!T$17)</f>
        <v>0.27671176904742378</v>
      </c>
      <c r="U50" s="265">
        <f>IF(U$17=0,0,U$17/AGR_fec!U$17)</f>
        <v>0.27705893166682238</v>
      </c>
      <c r="V50" s="265">
        <f>IF(V$17=0,0,V$17/AGR_fec!V$17)</f>
        <v>0.27699732779338176</v>
      </c>
      <c r="W50" s="265">
        <f>IF(W$17=0,0,W$17/AGR_fec!W$17)</f>
        <v>0.27522611626027921</v>
      </c>
      <c r="DA50" s="291"/>
    </row>
    <row r="51" spans="1:105" x14ac:dyDescent="0.25">
      <c r="A51" s="128" t="s">
        <v>174</v>
      </c>
      <c r="B51" s="265">
        <f>IF(B$25=0,0,B$25/AGR_fec!B$25)</f>
        <v>0.23129466859413103</v>
      </c>
      <c r="C51" s="265">
        <f>IF(C$25=0,0,C$25/AGR_fec!C$25)</f>
        <v>0.23129466859413095</v>
      </c>
      <c r="D51" s="265">
        <f>IF(D$25=0,0,D$25/AGR_fec!D$25)</f>
        <v>0.231294668594131</v>
      </c>
      <c r="E51" s="265">
        <f>IF(E$25=0,0,E$25/AGR_fec!E$25)</f>
        <v>0.23129466859413103</v>
      </c>
      <c r="F51" s="265">
        <f>IF(F$25=0,0,F$25/AGR_fec!F$25)</f>
        <v>0.231294668594131</v>
      </c>
      <c r="G51" s="265">
        <f>IF(G$25=0,0,G$25/AGR_fec!G$25)</f>
        <v>0.23129466859413095</v>
      </c>
      <c r="H51" s="265">
        <f>IF(H$25=0,0,H$25/AGR_fec!H$25)</f>
        <v>0.231294668594131</v>
      </c>
      <c r="I51" s="265">
        <f>IF(I$25=0,0,I$25/AGR_fec!I$25)</f>
        <v>0.231294668594131</v>
      </c>
      <c r="J51" s="265">
        <f>IF(J$25=0,0,J$25/AGR_fec!J$25)</f>
        <v>0.23129466859413095</v>
      </c>
      <c r="K51" s="265">
        <f>IF(K$25=0,0,K$25/AGR_fec!K$25)</f>
        <v>0.23129466859413098</v>
      </c>
      <c r="L51" s="265">
        <f>IF(L$25=0,0,L$25/AGR_fec!L$25)</f>
        <v>0.23129466859413098</v>
      </c>
      <c r="M51" s="265">
        <f>IF(M$25=0,0,M$25/AGR_fec!M$25)</f>
        <v>0.23129466859413095</v>
      </c>
      <c r="N51" s="265">
        <f>IF(N$25=0,0,N$25/AGR_fec!N$25)</f>
        <v>0.23129466859413095</v>
      </c>
      <c r="O51" s="265">
        <f>IF(O$25=0,0,O$25/AGR_fec!O$25)</f>
        <v>0.231294668594131</v>
      </c>
      <c r="P51" s="265">
        <f>IF(P$25=0,0,P$25/AGR_fec!P$25)</f>
        <v>0.23129466859413098</v>
      </c>
      <c r="Q51" s="265">
        <f>IF(Q$25=0,0,Q$25/AGR_fec!Q$25)</f>
        <v>0.23129466859413103</v>
      </c>
      <c r="R51" s="265">
        <f>IF(R$25=0,0,R$25/AGR_fec!R$25)</f>
        <v>0.231294668594131</v>
      </c>
      <c r="S51" s="265">
        <f>IF(S$25=0,0,S$25/AGR_fec!S$25)</f>
        <v>0.23129466859413098</v>
      </c>
      <c r="T51" s="265">
        <f>IF(T$25=0,0,T$25/AGR_fec!T$25)</f>
        <v>0.23129466859413095</v>
      </c>
      <c r="U51" s="265">
        <f>IF(U$25=0,0,U$25/AGR_fec!U$25)</f>
        <v>0.231294668594131</v>
      </c>
      <c r="V51" s="265">
        <f>IF(V$25=0,0,V$25/AGR_fec!V$25)</f>
        <v>0.231294668594131</v>
      </c>
      <c r="W51" s="265">
        <f>IF(W$25=0,0,W$25/AGR_fec!W$25)</f>
        <v>0.23129466859413095</v>
      </c>
      <c r="DA51" s="291"/>
    </row>
    <row r="52" spans="1:105" x14ac:dyDescent="0.25">
      <c r="A52" s="128" t="s">
        <v>177</v>
      </c>
      <c r="B52" s="265">
        <f>IF(B$26=0,0,B$26/AGR_fec!B$26)</f>
        <v>0.45788699394350951</v>
      </c>
      <c r="C52" s="265">
        <f>IF(C$26=0,0,C$26/AGR_fec!C$26)</f>
        <v>0.4578869939435094</v>
      </c>
      <c r="D52" s="265">
        <f>IF(D$26=0,0,D$26/AGR_fec!D$26)</f>
        <v>0.4578869939435094</v>
      </c>
      <c r="E52" s="265">
        <f>IF(E$26=0,0,E$26/AGR_fec!E$26)</f>
        <v>0.45788699394350935</v>
      </c>
      <c r="F52" s="265">
        <f>IF(F$26=0,0,F$26/AGR_fec!F$26)</f>
        <v>0.45788699394350951</v>
      </c>
      <c r="G52" s="265">
        <f>IF(G$26=0,0,G$26/AGR_fec!G$26)</f>
        <v>0.4578869939435094</v>
      </c>
      <c r="H52" s="265">
        <f>IF(H$26=0,0,H$26/AGR_fec!H$26)</f>
        <v>0.4578869939435094</v>
      </c>
      <c r="I52" s="265">
        <f>IF(I$26=0,0,I$26/AGR_fec!I$26)</f>
        <v>0.45788699394350918</v>
      </c>
      <c r="J52" s="265">
        <f>IF(J$26=0,0,J$26/AGR_fec!J$26)</f>
        <v>0.45788699394350907</v>
      </c>
      <c r="K52" s="265">
        <f>IF(K$26=0,0,K$26/AGR_fec!K$26)</f>
        <v>0.4578869939435094</v>
      </c>
      <c r="L52" s="265">
        <f>IF(L$26=0,0,L$26/AGR_fec!L$26)</f>
        <v>0.45788699394350929</v>
      </c>
      <c r="M52" s="265">
        <f>IF(M$26=0,0,M$26/AGR_fec!M$26)</f>
        <v>0.45788699394350924</v>
      </c>
      <c r="N52" s="265">
        <f>IF(N$26=0,0,N$26/AGR_fec!N$26)</f>
        <v>0.45788699394350918</v>
      </c>
      <c r="O52" s="265">
        <f>IF(O$26=0,0,O$26/AGR_fec!O$26)</f>
        <v>0.45788699394350951</v>
      </c>
      <c r="P52" s="265">
        <f>IF(P$26=0,0,P$26/AGR_fec!P$26)</f>
        <v>0.45788699394350946</v>
      </c>
      <c r="Q52" s="265">
        <f>IF(Q$26=0,0,Q$26/AGR_fec!Q$26)</f>
        <v>0.45788699394350951</v>
      </c>
      <c r="R52" s="265">
        <f>IF(R$26=0,0,R$26/AGR_fec!R$26)</f>
        <v>0.4578869939435094</v>
      </c>
      <c r="S52" s="265">
        <f>IF(S$26=0,0,S$26/AGR_fec!S$26)</f>
        <v>0.45788699394350946</v>
      </c>
      <c r="T52" s="265">
        <f>IF(T$26=0,0,T$26/AGR_fec!T$26)</f>
        <v>0.45788699394350918</v>
      </c>
      <c r="U52" s="265">
        <f>IF(U$26=0,0,U$26/AGR_fec!U$26)</f>
        <v>0.45788699394350951</v>
      </c>
      <c r="V52" s="265">
        <f>IF(V$26=0,0,V$26/AGR_fec!V$26)</f>
        <v>0.45788699394350924</v>
      </c>
      <c r="W52" s="265">
        <f>IF(W$26=0,0,W$26/AGR_fec!W$26)</f>
        <v>0.45788699394350929</v>
      </c>
      <c r="DA52" s="291"/>
    </row>
    <row r="53" spans="1:105" x14ac:dyDescent="0.25">
      <c r="A53" s="261" t="s">
        <v>33</v>
      </c>
      <c r="B53" s="266">
        <f>IF(B$27=0,0,B$27/AGR_fec!B$27)</f>
        <v>0.48127546640826407</v>
      </c>
      <c r="C53" s="266">
        <f>IF(C$27=0,0,C$27/AGR_fec!C$27)</f>
        <v>0.4812754664082643</v>
      </c>
      <c r="D53" s="266">
        <f>IF(D$27=0,0,D$27/AGR_fec!D$27)</f>
        <v>0.48127546640826441</v>
      </c>
      <c r="E53" s="266">
        <f>IF(E$27=0,0,E$27/AGR_fec!E$27)</f>
        <v>0.4812754664082643</v>
      </c>
      <c r="F53" s="266">
        <f>IF(F$27=0,0,F$27/AGR_fec!F$27)</f>
        <v>0.4812754664082643</v>
      </c>
      <c r="G53" s="266">
        <f>IF(G$27=0,0,G$27/AGR_fec!G$27)</f>
        <v>0.48127546640826446</v>
      </c>
      <c r="H53" s="266">
        <f>IF(H$27=0,0,H$27/AGR_fec!H$27)</f>
        <v>0.48127546640826424</v>
      </c>
      <c r="I53" s="266">
        <f>IF(I$27=0,0,I$27/AGR_fec!I$27)</f>
        <v>0.48127546640826457</v>
      </c>
      <c r="J53" s="266">
        <f>IF(J$27=0,0,J$27/AGR_fec!J$27)</f>
        <v>0.48127546640826468</v>
      </c>
      <c r="K53" s="266">
        <f>IF(K$27=0,0,K$27/AGR_fec!K$27)</f>
        <v>0.48127546640826441</v>
      </c>
      <c r="L53" s="266">
        <f>IF(L$27=0,0,L$27/AGR_fec!L$27)</f>
        <v>0.48127546640826435</v>
      </c>
      <c r="M53" s="266">
        <f>IF(M$27=0,0,M$27/AGR_fec!M$27)</f>
        <v>0.48127546640826441</v>
      </c>
      <c r="N53" s="266">
        <f>IF(N$27=0,0,N$27/AGR_fec!N$27)</f>
        <v>0.4812754664082643</v>
      </c>
      <c r="O53" s="266">
        <f>IF(O$27=0,0,O$27/AGR_fec!O$27)</f>
        <v>0.48127546640826435</v>
      </c>
      <c r="P53" s="266">
        <f>IF(P$27=0,0,P$27/AGR_fec!P$27)</f>
        <v>0.4812754664082643</v>
      </c>
      <c r="Q53" s="266">
        <f>IF(Q$27=0,0,Q$27/AGR_fec!Q$27)</f>
        <v>0.48127546640826452</v>
      </c>
      <c r="R53" s="266">
        <f>IF(R$27=0,0,R$27/AGR_fec!R$27)</f>
        <v>0.48127546640826435</v>
      </c>
      <c r="S53" s="266">
        <f>IF(S$27=0,0,S$27/AGR_fec!S$27)</f>
        <v>0.48127546640826435</v>
      </c>
      <c r="T53" s="266">
        <f>IF(T$27=0,0,T$27/AGR_fec!T$27)</f>
        <v>0.48127546640826435</v>
      </c>
      <c r="U53" s="266">
        <f>IF(U$27=0,0,U$27/AGR_fec!U$27)</f>
        <v>0.48127546640826446</v>
      </c>
      <c r="V53" s="266">
        <f>IF(V$27=0,0,V$27/AGR_fec!V$27)</f>
        <v>0.48127546640826441</v>
      </c>
      <c r="W53" s="266">
        <f>IF(W$27=0,0,W$27/AGR_fec!W$27)</f>
        <v>0.4812754664082643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1867.4171018372601</v>
      </c>
      <c r="C5" s="80">
        <f t="shared" ref="C5:W5" si="0">SUM(C6:C9,C16:C17,C25:C27)</f>
        <v>1917.1992607850389</v>
      </c>
      <c r="D5" s="80">
        <f t="shared" si="0"/>
        <v>1760.8314246303341</v>
      </c>
      <c r="E5" s="80">
        <f t="shared" si="0"/>
        <v>1740.0250278564567</v>
      </c>
      <c r="F5" s="80">
        <f t="shared" si="0"/>
        <v>1357.6977082202366</v>
      </c>
      <c r="G5" s="80">
        <f t="shared" si="0"/>
        <v>1345.8917011896383</v>
      </c>
      <c r="H5" s="80">
        <f t="shared" si="0"/>
        <v>1353.8886118200699</v>
      </c>
      <c r="I5" s="80">
        <f t="shared" si="0"/>
        <v>1282.7937634923201</v>
      </c>
      <c r="J5" s="80">
        <f t="shared" si="0"/>
        <v>1306.7065023124808</v>
      </c>
      <c r="K5" s="80">
        <f t="shared" si="0"/>
        <v>1269.0513690412915</v>
      </c>
      <c r="L5" s="80">
        <f t="shared" si="0"/>
        <v>1298.1948722839948</v>
      </c>
      <c r="M5" s="80">
        <f t="shared" si="0"/>
        <v>1284.4715993371838</v>
      </c>
      <c r="N5" s="80">
        <f t="shared" si="0"/>
        <v>1257.1185561050709</v>
      </c>
      <c r="O5" s="80">
        <f t="shared" si="0"/>
        <v>1283.4899692523236</v>
      </c>
      <c r="P5" s="80">
        <f t="shared" si="0"/>
        <v>1263.8583852537697</v>
      </c>
      <c r="Q5" s="80">
        <f t="shared" si="0"/>
        <v>1235.8946462868626</v>
      </c>
      <c r="R5" s="80">
        <f t="shared" si="0"/>
        <v>1254.3464725633664</v>
      </c>
      <c r="S5" s="80">
        <f t="shared" si="0"/>
        <v>1259.7157546432941</v>
      </c>
      <c r="T5" s="80">
        <f t="shared" si="0"/>
        <v>1221.5125778943266</v>
      </c>
      <c r="U5" s="80">
        <f t="shared" si="0"/>
        <v>1256.4711366753143</v>
      </c>
      <c r="V5" s="80">
        <f t="shared" si="0"/>
        <v>1252.6753114680744</v>
      </c>
      <c r="W5" s="80">
        <f t="shared" si="0"/>
        <v>1206.9850169589897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306.11487485323204</v>
      </c>
      <c r="C9" s="244">
        <f t="shared" ref="C9:W9" si="1">SUM(C10:C15)</f>
        <v>311.30822410503436</v>
      </c>
      <c r="D9" s="244">
        <f t="shared" si="1"/>
        <v>283.87144234866486</v>
      </c>
      <c r="E9" s="244">
        <f t="shared" si="1"/>
        <v>275.97037175891103</v>
      </c>
      <c r="F9" s="244">
        <f t="shared" si="1"/>
        <v>245.37083719422142</v>
      </c>
      <c r="G9" s="244">
        <f t="shared" si="1"/>
        <v>244.25290028675616</v>
      </c>
      <c r="H9" s="244">
        <f t="shared" si="1"/>
        <v>238.54470485433305</v>
      </c>
      <c r="I9" s="244">
        <f t="shared" si="1"/>
        <v>237.78760318470614</v>
      </c>
      <c r="J9" s="244">
        <f t="shared" si="1"/>
        <v>242.93200722264191</v>
      </c>
      <c r="K9" s="244">
        <f t="shared" si="1"/>
        <v>241.19749110243797</v>
      </c>
      <c r="L9" s="244">
        <f t="shared" si="1"/>
        <v>239.01471166027767</v>
      </c>
      <c r="M9" s="244">
        <f t="shared" si="1"/>
        <v>234.59445831564872</v>
      </c>
      <c r="N9" s="244">
        <f t="shared" si="1"/>
        <v>228.37868376524483</v>
      </c>
      <c r="O9" s="244">
        <f t="shared" si="1"/>
        <v>229.16820093514212</v>
      </c>
      <c r="P9" s="244">
        <f t="shared" si="1"/>
        <v>218.46040451049407</v>
      </c>
      <c r="Q9" s="244">
        <f t="shared" si="1"/>
        <v>212.97563130931343</v>
      </c>
      <c r="R9" s="244">
        <f t="shared" si="1"/>
        <v>215.57395187039481</v>
      </c>
      <c r="S9" s="244">
        <f t="shared" si="1"/>
        <v>218.28247092178719</v>
      </c>
      <c r="T9" s="244">
        <f t="shared" si="1"/>
        <v>209.07578942281967</v>
      </c>
      <c r="U9" s="244">
        <f t="shared" si="1"/>
        <v>218.69412366709935</v>
      </c>
      <c r="V9" s="244">
        <f t="shared" si="1"/>
        <v>213.49498676630421</v>
      </c>
      <c r="W9" s="244">
        <f t="shared" si="1"/>
        <v>192.39726378746045</v>
      </c>
      <c r="DA9" s="270"/>
    </row>
    <row r="10" spans="1:105" x14ac:dyDescent="0.25">
      <c r="A10" s="254" t="s">
        <v>173</v>
      </c>
      <c r="B10" s="255">
        <v>239.00891459263471</v>
      </c>
      <c r="C10" s="255">
        <v>239.7005449795347</v>
      </c>
      <c r="D10" s="255">
        <v>210.37241254773531</v>
      </c>
      <c r="E10" s="255">
        <v>201.7119300558816</v>
      </c>
      <c r="F10" s="255">
        <v>189.2104319111443</v>
      </c>
      <c r="G10" s="255">
        <v>187.38693951406711</v>
      </c>
      <c r="H10" s="255">
        <v>185.07276169146911</v>
      </c>
      <c r="I10" s="255">
        <v>184.81475320528659</v>
      </c>
      <c r="J10" s="255">
        <v>199.91092776271859</v>
      </c>
      <c r="K10" s="255">
        <v>198.94069034592411</v>
      </c>
      <c r="L10" s="255">
        <v>187.4650097933044</v>
      </c>
      <c r="M10" s="255">
        <v>185.96773419982679</v>
      </c>
      <c r="N10" s="255">
        <v>186.47470177560379</v>
      </c>
      <c r="O10" s="255">
        <v>176.13074720410691</v>
      </c>
      <c r="P10" s="255">
        <v>171.92926730995609</v>
      </c>
      <c r="Q10" s="255">
        <v>172.489391872249</v>
      </c>
      <c r="R10" s="255">
        <v>165.59502513650929</v>
      </c>
      <c r="S10" s="255">
        <v>165.20754311969159</v>
      </c>
      <c r="T10" s="255">
        <v>166.63356478203801</v>
      </c>
      <c r="U10" s="255">
        <v>166.13288323177511</v>
      </c>
      <c r="V10" s="255">
        <v>166.02143129687221</v>
      </c>
      <c r="W10" s="255">
        <v>149.71385090160371</v>
      </c>
      <c r="DA10" s="271" t="s">
        <v>1038</v>
      </c>
    </row>
    <row r="11" spans="1:105" x14ac:dyDescent="0.25">
      <c r="A11" s="254" t="s">
        <v>176</v>
      </c>
      <c r="B11" s="256">
        <v>67.105960260597342</v>
      </c>
      <c r="C11" s="256">
        <v>71.607679125499686</v>
      </c>
      <c r="D11" s="256">
        <v>73.499029800929534</v>
      </c>
      <c r="E11" s="256">
        <v>74.258441703029447</v>
      </c>
      <c r="F11" s="256">
        <v>56.160405283077132</v>
      </c>
      <c r="G11" s="256">
        <v>56.86596077268905</v>
      </c>
      <c r="H11" s="256">
        <v>53.47194316286393</v>
      </c>
      <c r="I11" s="256">
        <v>52.972849979419557</v>
      </c>
      <c r="J11" s="256">
        <v>43.021079459923342</v>
      </c>
      <c r="K11" s="256">
        <v>42.256800756513861</v>
      </c>
      <c r="L11" s="256">
        <v>51.549701866973273</v>
      </c>
      <c r="M11" s="256">
        <v>48.626724115821922</v>
      </c>
      <c r="N11" s="256">
        <v>41.903981989641053</v>
      </c>
      <c r="O11" s="256">
        <v>53.0374537310352</v>
      </c>
      <c r="P11" s="256">
        <v>46.531137200537977</v>
      </c>
      <c r="Q11" s="256">
        <v>40.48623943706442</v>
      </c>
      <c r="R11" s="256">
        <v>49.97892673388553</v>
      </c>
      <c r="S11" s="256">
        <v>53.074927802095601</v>
      </c>
      <c r="T11" s="256">
        <v>42.442224640781667</v>
      </c>
      <c r="U11" s="256">
        <v>52.561240435324223</v>
      </c>
      <c r="V11" s="256">
        <v>47.473555469431993</v>
      </c>
      <c r="W11" s="256">
        <v>42.683412885856747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519.24608612685995</v>
      </c>
      <c r="C16" s="258">
        <v>516.59083285121631</v>
      </c>
      <c r="D16" s="258">
        <v>477.01703345576641</v>
      </c>
      <c r="E16" s="258">
        <v>468.70774051819751</v>
      </c>
      <c r="F16" s="258">
        <v>425.10374138479523</v>
      </c>
      <c r="G16" s="258">
        <v>420.12825126081441</v>
      </c>
      <c r="H16" s="258">
        <v>429.46015646597579</v>
      </c>
      <c r="I16" s="258">
        <v>410.53228019152169</v>
      </c>
      <c r="J16" s="258">
        <v>416.92633326545217</v>
      </c>
      <c r="K16" s="258">
        <v>410.98693088842009</v>
      </c>
      <c r="L16" s="258">
        <v>430.36969665803571</v>
      </c>
      <c r="M16" s="258">
        <v>432.62514077104288</v>
      </c>
      <c r="N16" s="258">
        <v>443.26285868285828</v>
      </c>
      <c r="O16" s="258">
        <v>470.10596310892493</v>
      </c>
      <c r="P16" s="258">
        <v>467.10978263512982</v>
      </c>
      <c r="Q16" s="258">
        <v>462.24971917565853</v>
      </c>
      <c r="R16" s="258">
        <v>481.18973208351781</v>
      </c>
      <c r="S16" s="258">
        <v>479.66152215192812</v>
      </c>
      <c r="T16" s="258">
        <v>467.64338417726509</v>
      </c>
      <c r="U16" s="258">
        <v>477.06855698350302</v>
      </c>
      <c r="V16" s="258">
        <v>477.83538486092641</v>
      </c>
      <c r="W16" s="258">
        <v>453.11188138539768</v>
      </c>
      <c r="DA16" s="273" t="s">
        <v>1044</v>
      </c>
    </row>
    <row r="17" spans="1:105" x14ac:dyDescent="0.25">
      <c r="A17" s="257" t="s">
        <v>121</v>
      </c>
      <c r="B17" s="258">
        <f>SUM(B18:B24)</f>
        <v>942.27867815369495</v>
      </c>
      <c r="C17" s="258">
        <f t="shared" ref="C17:W17" si="2">SUM(C18:C24)</f>
        <v>990.03297017038085</v>
      </c>
      <c r="D17" s="258">
        <f t="shared" si="2"/>
        <v>908.28015051850082</v>
      </c>
      <c r="E17" s="258">
        <f t="shared" si="2"/>
        <v>905.28081715726421</v>
      </c>
      <c r="F17" s="258">
        <f t="shared" si="2"/>
        <v>605.53590303636599</v>
      </c>
      <c r="G17" s="258">
        <f t="shared" si="2"/>
        <v>600.77940492890389</v>
      </c>
      <c r="H17" s="258">
        <f t="shared" si="2"/>
        <v>603.35940243189191</v>
      </c>
      <c r="I17" s="258">
        <f t="shared" si="2"/>
        <v>555.58668121407914</v>
      </c>
      <c r="J17" s="258">
        <f t="shared" si="2"/>
        <v>566.73229233793677</v>
      </c>
      <c r="K17" s="258">
        <f t="shared" si="2"/>
        <v>537.89238322807751</v>
      </c>
      <c r="L17" s="258">
        <f t="shared" si="2"/>
        <v>546.1113401700502</v>
      </c>
      <c r="M17" s="258">
        <f t="shared" si="2"/>
        <v>534.11947407229513</v>
      </c>
      <c r="N17" s="258">
        <f t="shared" si="2"/>
        <v>500.3003613301974</v>
      </c>
      <c r="O17" s="258">
        <f t="shared" si="2"/>
        <v>493.8810266629614</v>
      </c>
      <c r="P17" s="258">
        <f t="shared" si="2"/>
        <v>488.52916061023512</v>
      </c>
      <c r="Q17" s="258">
        <f t="shared" si="2"/>
        <v>471.84416000015074</v>
      </c>
      <c r="R17" s="258">
        <f t="shared" si="2"/>
        <v>465.11817148660589</v>
      </c>
      <c r="S17" s="258">
        <f t="shared" si="2"/>
        <v>469.60080272076709</v>
      </c>
      <c r="T17" s="258">
        <f t="shared" si="2"/>
        <v>454.93183081312128</v>
      </c>
      <c r="U17" s="258">
        <f t="shared" si="2"/>
        <v>469.03575704207253</v>
      </c>
      <c r="V17" s="258">
        <f t="shared" si="2"/>
        <v>469.52488849102457</v>
      </c>
      <c r="W17" s="258">
        <f t="shared" si="2"/>
        <v>474.40664766801933</v>
      </c>
      <c r="DA17" s="273"/>
    </row>
    <row r="18" spans="1:105" x14ac:dyDescent="0.25">
      <c r="A18" s="61" t="s">
        <v>29</v>
      </c>
      <c r="B18" s="55">
        <v>199.3769050788228</v>
      </c>
      <c r="C18" s="55">
        <v>153.2331742268818</v>
      </c>
      <c r="D18" s="55">
        <v>163.39709403299841</v>
      </c>
      <c r="E18" s="55">
        <v>163.97675213815319</v>
      </c>
      <c r="F18" s="55">
        <v>96.594950822452489</v>
      </c>
      <c r="G18" s="55">
        <v>81.155579350770239</v>
      </c>
      <c r="H18" s="55">
        <v>78.812652421386815</v>
      </c>
      <c r="I18" s="55">
        <v>51.677936174486533</v>
      </c>
      <c r="J18" s="55">
        <v>54.815774474365327</v>
      </c>
      <c r="K18" s="55">
        <v>53.885535763159687</v>
      </c>
      <c r="L18" s="55">
        <v>53.101463205650759</v>
      </c>
      <c r="M18" s="55">
        <v>44.896313098320753</v>
      </c>
      <c r="N18" s="55">
        <v>43.641294907008117</v>
      </c>
      <c r="O18" s="55">
        <v>40.066474894361143</v>
      </c>
      <c r="P18" s="55">
        <v>37.746713095412709</v>
      </c>
      <c r="Q18" s="55">
        <v>36.665852447989472</v>
      </c>
      <c r="R18" s="55">
        <v>33.454022445511711</v>
      </c>
      <c r="S18" s="55">
        <v>26.166933564959901</v>
      </c>
      <c r="T18" s="55">
        <v>25.342700455643179</v>
      </c>
      <c r="U18" s="55">
        <v>23.66238991685902</v>
      </c>
      <c r="V18" s="55">
        <v>20.42451250942776</v>
      </c>
      <c r="W18" s="55">
        <v>24.538054040769101</v>
      </c>
      <c r="DA18" s="101" t="s">
        <v>1045</v>
      </c>
    </row>
    <row r="19" spans="1:105" x14ac:dyDescent="0.25">
      <c r="A19" s="61" t="s">
        <v>27</v>
      </c>
      <c r="B19" s="55">
        <v>26.12339999996766</v>
      </c>
      <c r="C19" s="55">
        <v>33.559936919952072</v>
      </c>
      <c r="D19" s="55">
        <v>16.787123999961469</v>
      </c>
      <c r="E19" s="55">
        <v>13.998053519978679</v>
      </c>
      <c r="F19" s="55">
        <v>13.98828563996892</v>
      </c>
      <c r="G19" s="55">
        <v>16.785988199981219</v>
      </c>
      <c r="H19" s="55">
        <v>17.340940079976502</v>
      </c>
      <c r="I19" s="55">
        <v>5.7803133599875487</v>
      </c>
      <c r="J19" s="55">
        <v>5.5308916799897609</v>
      </c>
      <c r="K19" s="55">
        <v>5.5297558799898079</v>
      </c>
      <c r="L19" s="55">
        <v>8.2954288799872291</v>
      </c>
      <c r="M19" s="55">
        <v>8.2940659199913984</v>
      </c>
      <c r="N19" s="55">
        <v>8.2913399999853645</v>
      </c>
      <c r="O19" s="55">
        <v>11.05519571998064</v>
      </c>
      <c r="P19" s="55">
        <v>11.055195719983921</v>
      </c>
      <c r="Q19" s="55">
        <v>11.055195719988671</v>
      </c>
      <c r="R19" s="55">
        <v>11.055195719979309</v>
      </c>
      <c r="S19" s="55">
        <v>11.05519571998402</v>
      </c>
      <c r="T19" s="55">
        <v>16.582679999980321</v>
      </c>
      <c r="U19" s="55">
        <v>16.582679999977671</v>
      </c>
      <c r="V19" s="55">
        <v>19.34653571997714</v>
      </c>
      <c r="W19" s="55">
        <v>19.346535719968109</v>
      </c>
      <c r="DA19" s="101" t="s">
        <v>1046</v>
      </c>
    </row>
    <row r="20" spans="1:105" x14ac:dyDescent="0.25">
      <c r="A20" s="61" t="s">
        <v>173</v>
      </c>
      <c r="B20" s="55">
        <v>331.40689469597618</v>
      </c>
      <c r="C20" s="55">
        <v>290.65575650976962</v>
      </c>
      <c r="D20" s="55">
        <v>268.26085368750302</v>
      </c>
      <c r="E20" s="55">
        <v>233.7346197228963</v>
      </c>
      <c r="F20" s="55">
        <v>340.33025593736409</v>
      </c>
      <c r="G20" s="55">
        <v>337.69768595102761</v>
      </c>
      <c r="H20" s="55">
        <v>342.67798045360217</v>
      </c>
      <c r="I20" s="55">
        <v>355.26863429933832</v>
      </c>
      <c r="J20" s="55">
        <v>383.11382732373721</v>
      </c>
      <c r="K20" s="55">
        <v>371.54350774165152</v>
      </c>
      <c r="L20" s="55">
        <v>358.22780667159952</v>
      </c>
      <c r="M20" s="55">
        <v>358.94250272994748</v>
      </c>
      <c r="N20" s="55">
        <v>348.27057169305158</v>
      </c>
      <c r="O20" s="55">
        <v>323.52874973991231</v>
      </c>
      <c r="P20" s="55">
        <v>319.2752765555781</v>
      </c>
      <c r="Q20" s="55">
        <v>323.33884102935491</v>
      </c>
      <c r="R20" s="55">
        <v>311.17814665524622</v>
      </c>
      <c r="S20" s="55">
        <v>313.19169503812208</v>
      </c>
      <c r="T20" s="55">
        <v>319.38791735840942</v>
      </c>
      <c r="U20" s="55">
        <v>318.73662888073608</v>
      </c>
      <c r="V20" s="55">
        <v>319.89592037120229</v>
      </c>
      <c r="W20" s="55">
        <v>286.87612719338841</v>
      </c>
      <c r="DA20" s="101" t="s">
        <v>1047</v>
      </c>
    </row>
    <row r="21" spans="1:105" x14ac:dyDescent="0.25">
      <c r="A21" s="61" t="s">
        <v>129</v>
      </c>
      <c r="B21" s="55">
        <v>292.32315863963822</v>
      </c>
      <c r="C21" s="55">
        <v>425.75416163939201</v>
      </c>
      <c r="D21" s="55">
        <v>366.11122859915957</v>
      </c>
      <c r="E21" s="55">
        <v>407.52408347937933</v>
      </c>
      <c r="F21" s="55">
        <v>53.607445919880867</v>
      </c>
      <c r="G21" s="55">
        <v>62.659672199929879</v>
      </c>
      <c r="H21" s="55">
        <v>65.519972639911217</v>
      </c>
      <c r="I21" s="55">
        <v>41.030307359911632</v>
      </c>
      <c r="J21" s="55">
        <v>40.825228319924413</v>
      </c>
      <c r="K21" s="55">
        <v>28.014384599948372</v>
      </c>
      <c r="L21" s="55">
        <v>27.98006327995693</v>
      </c>
      <c r="M21" s="55">
        <v>28.13053643997084</v>
      </c>
      <c r="N21" s="55">
        <v>21.834936719961451</v>
      </c>
      <c r="O21" s="55">
        <v>21.807860039961799</v>
      </c>
      <c r="P21" s="55">
        <v>34.042942439950487</v>
      </c>
      <c r="Q21" s="55">
        <v>24.891060239974479</v>
      </c>
      <c r="R21" s="55">
        <v>15.512829479970961</v>
      </c>
      <c r="S21" s="55">
        <v>18.570346199973159</v>
      </c>
      <c r="T21" s="55">
        <v>12.269173679985441</v>
      </c>
      <c r="U21" s="55">
        <v>9.2119355999875889</v>
      </c>
      <c r="V21" s="55">
        <v>18.384207119978281</v>
      </c>
      <c r="W21" s="55">
        <v>61.857558359898007</v>
      </c>
      <c r="DA21" s="101" t="s">
        <v>1048</v>
      </c>
    </row>
    <row r="22" spans="1:105" x14ac:dyDescent="0.25">
      <c r="A22" s="61" t="s">
        <v>176</v>
      </c>
      <c r="B22" s="55">
        <v>93.048319739290051</v>
      </c>
      <c r="C22" s="55">
        <v>86.829940874385372</v>
      </c>
      <c r="D22" s="55">
        <v>93.72385019887831</v>
      </c>
      <c r="E22" s="55">
        <v>86.04730829685667</v>
      </c>
      <c r="F22" s="55">
        <v>101.01496471669959</v>
      </c>
      <c r="G22" s="55">
        <v>102.48047922719491</v>
      </c>
      <c r="H22" s="55">
        <v>99.007856837015211</v>
      </c>
      <c r="I22" s="55">
        <v>101.8294900203551</v>
      </c>
      <c r="J22" s="55">
        <v>82.446570539920103</v>
      </c>
      <c r="K22" s="55">
        <v>78.919199243328165</v>
      </c>
      <c r="L22" s="55">
        <v>98.50657813285568</v>
      </c>
      <c r="M22" s="55">
        <v>93.856055884064631</v>
      </c>
      <c r="N22" s="55">
        <v>78.262218010190892</v>
      </c>
      <c r="O22" s="55">
        <v>97.422746268745499</v>
      </c>
      <c r="P22" s="55">
        <v>86.409032799309884</v>
      </c>
      <c r="Q22" s="55">
        <v>75.893210562843223</v>
      </c>
      <c r="R22" s="55">
        <v>93.91797718589774</v>
      </c>
      <c r="S22" s="55">
        <v>100.6166321977279</v>
      </c>
      <c r="T22" s="55">
        <v>81.34935931910293</v>
      </c>
      <c r="U22" s="55">
        <v>100.8421226445121</v>
      </c>
      <c r="V22" s="55">
        <v>91.473712770439079</v>
      </c>
      <c r="W22" s="55">
        <v>81.788372353995697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99.777462703473347</v>
      </c>
      <c r="C25" s="258">
        <v>99.267233658407235</v>
      </c>
      <c r="D25" s="258">
        <v>91.662798307401943</v>
      </c>
      <c r="E25" s="258">
        <v>90.066098422084067</v>
      </c>
      <c r="F25" s="258">
        <v>81.687226604854075</v>
      </c>
      <c r="G25" s="258">
        <v>80.731144713163687</v>
      </c>
      <c r="H25" s="258">
        <v>82.52434806786907</v>
      </c>
      <c r="I25" s="258">
        <v>78.887198902013111</v>
      </c>
      <c r="J25" s="258">
        <v>80.115869486450123</v>
      </c>
      <c r="K25" s="258">
        <v>78.974563822356103</v>
      </c>
      <c r="L25" s="258">
        <v>82.699123795631408</v>
      </c>
      <c r="M25" s="258">
        <v>83.132526178197239</v>
      </c>
      <c r="N25" s="258">
        <v>85.176652326770494</v>
      </c>
      <c r="O25" s="258">
        <v>90.334778545295237</v>
      </c>
      <c r="P25" s="258">
        <v>89.759037497910711</v>
      </c>
      <c r="Q25" s="258">
        <v>88.825135801739947</v>
      </c>
      <c r="R25" s="258">
        <v>92.464617122848125</v>
      </c>
      <c r="S25" s="258">
        <v>92.170958848811523</v>
      </c>
      <c r="T25" s="258">
        <v>89.861573481120672</v>
      </c>
      <c r="U25" s="258">
        <v>91.672698982639432</v>
      </c>
      <c r="V25" s="258">
        <v>91.820051349819195</v>
      </c>
      <c r="W25" s="258">
        <v>87.069224118112231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1.0000000000000002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1.0000000000000002</v>
      </c>
      <c r="K31" s="236">
        <f t="shared" si="3"/>
        <v>1.0000000000000002</v>
      </c>
      <c r="L31" s="236">
        <f t="shared" si="3"/>
        <v>1.0000000000000002</v>
      </c>
      <c r="M31" s="236">
        <f t="shared" si="3"/>
        <v>1.0000000000000002</v>
      </c>
      <c r="N31" s="236">
        <f t="shared" si="3"/>
        <v>1</v>
      </c>
      <c r="O31" s="236">
        <f t="shared" si="3"/>
        <v>1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1.0000000000000002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0.1639242109071726</v>
      </c>
      <c r="C35" s="247">
        <f t="shared" si="8"/>
        <v>0.16237656172346032</v>
      </c>
      <c r="D35" s="247">
        <f t="shared" si="8"/>
        <v>0.1612144344869699</v>
      </c>
      <c r="E35" s="247">
        <f t="shared" si="8"/>
        <v>0.15860138063581761</v>
      </c>
      <c r="F35" s="247">
        <f t="shared" si="8"/>
        <v>0.18072567678991694</v>
      </c>
      <c r="G35" s="247">
        <f t="shared" si="8"/>
        <v>0.18148035244653057</v>
      </c>
      <c r="H35" s="247">
        <f t="shared" si="8"/>
        <v>0.17619226779199421</v>
      </c>
      <c r="I35" s="247">
        <f t="shared" si="8"/>
        <v>0.18536697788220088</v>
      </c>
      <c r="J35" s="247">
        <f t="shared" si="8"/>
        <v>0.18591168467649369</v>
      </c>
      <c r="K35" s="247">
        <f t="shared" si="8"/>
        <v>0.19006125125151654</v>
      </c>
      <c r="L35" s="247">
        <f t="shared" si="8"/>
        <v>0.18411312258518189</v>
      </c>
      <c r="M35" s="247">
        <f t="shared" si="8"/>
        <v>0.18263888313038976</v>
      </c>
      <c r="N35" s="247">
        <f t="shared" si="8"/>
        <v>0.18166837380304868</v>
      </c>
      <c r="O35" s="247">
        <f t="shared" si="8"/>
        <v>0.1785508312687791</v>
      </c>
      <c r="P35" s="247">
        <f t="shared" si="8"/>
        <v>0.17285196431768696</v>
      </c>
      <c r="Q35" s="247">
        <f t="shared" si="8"/>
        <v>0.17232506989910515</v>
      </c>
      <c r="R35" s="247">
        <f t="shared" si="8"/>
        <v>0.17186156822353127</v>
      </c>
      <c r="S35" s="247">
        <f t="shared" si="8"/>
        <v>0.17327914659890628</v>
      </c>
      <c r="T35" s="247">
        <f t="shared" si="8"/>
        <v>0.17116138892587554</v>
      </c>
      <c r="U35" s="247">
        <f t="shared" si="8"/>
        <v>0.17405423593396263</v>
      </c>
      <c r="V35" s="247">
        <f t="shared" si="8"/>
        <v>0.17043122412630493</v>
      </c>
      <c r="W35" s="247">
        <f t="shared" si="8"/>
        <v>0.1594031914929708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0.27805576248391384</v>
      </c>
      <c r="C36" s="260">
        <f t="shared" si="9"/>
        <v>0.26945077823558466</v>
      </c>
      <c r="D36" s="260">
        <f t="shared" si="9"/>
        <v>0.27090443002282888</v>
      </c>
      <c r="E36" s="260">
        <f t="shared" si="9"/>
        <v>0.26936839011769864</v>
      </c>
      <c r="F36" s="260">
        <f t="shared" si="9"/>
        <v>0.31310632610704664</v>
      </c>
      <c r="G36" s="260">
        <f t="shared" si="9"/>
        <v>0.31215606046865552</v>
      </c>
      <c r="H36" s="260">
        <f t="shared" si="9"/>
        <v>0.31720494043349745</v>
      </c>
      <c r="I36" s="260">
        <f t="shared" si="9"/>
        <v>0.32002983790151512</v>
      </c>
      <c r="J36" s="260">
        <f t="shared" si="9"/>
        <v>0.3190665482475345</v>
      </c>
      <c r="K36" s="260">
        <f t="shared" si="9"/>
        <v>0.32385366023355017</v>
      </c>
      <c r="L36" s="260">
        <f t="shared" si="9"/>
        <v>0.33151393973761395</v>
      </c>
      <c r="M36" s="260">
        <f t="shared" si="9"/>
        <v>0.33681176056698114</v>
      </c>
      <c r="N36" s="260">
        <f t="shared" si="9"/>
        <v>0.35260227170317104</v>
      </c>
      <c r="O36" s="260">
        <f t="shared" si="9"/>
        <v>0.3662716299861522</v>
      </c>
      <c r="P36" s="260">
        <f t="shared" si="9"/>
        <v>0.3695902864475904</v>
      </c>
      <c r="Q36" s="260">
        <f t="shared" si="9"/>
        <v>0.37402032654194872</v>
      </c>
      <c r="R36" s="260">
        <f t="shared" si="9"/>
        <v>0.38361787800157371</v>
      </c>
      <c r="S36" s="260">
        <f t="shared" si="9"/>
        <v>0.38076964615541459</v>
      </c>
      <c r="T36" s="260">
        <f t="shared" si="9"/>
        <v>0.38283959792161965</v>
      </c>
      <c r="U36" s="260">
        <f t="shared" si="9"/>
        <v>0.37968922887146489</v>
      </c>
      <c r="V36" s="260">
        <f t="shared" si="9"/>
        <v>0.38145190576233728</v>
      </c>
      <c r="W36" s="260">
        <f t="shared" si="9"/>
        <v>0.37540804154057966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0.5045892946073125</v>
      </c>
      <c r="C37" s="260">
        <f t="shared" si="10"/>
        <v>0.51639544747424448</v>
      </c>
      <c r="D37" s="260">
        <f t="shared" si="10"/>
        <v>0.51582459161823713</v>
      </c>
      <c r="E37" s="260">
        <f t="shared" si="10"/>
        <v>0.52026884824322495</v>
      </c>
      <c r="F37" s="260">
        <f t="shared" si="10"/>
        <v>0.44600200719948485</v>
      </c>
      <c r="G37" s="260">
        <f t="shared" si="10"/>
        <v>0.4463801986429316</v>
      </c>
      <c r="H37" s="260">
        <f t="shared" si="10"/>
        <v>0.44564921897140358</v>
      </c>
      <c r="I37" s="260">
        <f t="shared" si="10"/>
        <v>0.43310678382278039</v>
      </c>
      <c r="J37" s="260">
        <f t="shared" si="10"/>
        <v>0.43371047081727199</v>
      </c>
      <c r="K37" s="260">
        <f t="shared" si="10"/>
        <v>0.42385390879364471</v>
      </c>
      <c r="L37" s="260">
        <f t="shared" si="10"/>
        <v>0.42066977141054535</v>
      </c>
      <c r="M37" s="260">
        <f t="shared" si="10"/>
        <v>0.41582816961302438</v>
      </c>
      <c r="N37" s="260">
        <f t="shared" si="10"/>
        <v>0.39797388949557588</v>
      </c>
      <c r="O37" s="260">
        <f t="shared" si="10"/>
        <v>0.38479539263611373</v>
      </c>
      <c r="P37" s="260">
        <f t="shared" si="10"/>
        <v>0.38653789562993129</v>
      </c>
      <c r="Q37" s="260">
        <f t="shared" si="10"/>
        <v>0.3817834808312871</v>
      </c>
      <c r="R37" s="260">
        <f t="shared" si="10"/>
        <v>0.37080518155091258</v>
      </c>
      <c r="S37" s="260">
        <f t="shared" si="10"/>
        <v>0.37278314650731748</v>
      </c>
      <c r="T37" s="260">
        <f t="shared" si="10"/>
        <v>0.37243319393185781</v>
      </c>
      <c r="U37" s="260">
        <f t="shared" si="10"/>
        <v>0.37329608564122269</v>
      </c>
      <c r="V37" s="260">
        <f t="shared" si="10"/>
        <v>0.37481770750376192</v>
      </c>
      <c r="W37" s="260">
        <f t="shared" si="10"/>
        <v>0.39305098323696797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5.3430732001601138E-2</v>
      </c>
      <c r="C38" s="260">
        <f t="shared" si="11"/>
        <v>5.1777212566710522E-2</v>
      </c>
      <c r="D38" s="260">
        <f t="shared" si="11"/>
        <v>5.2056543871964046E-2</v>
      </c>
      <c r="E38" s="260">
        <f t="shared" si="11"/>
        <v>5.1761381003258805E-2</v>
      </c>
      <c r="F38" s="260">
        <f t="shared" si="11"/>
        <v>6.016598990355173E-2</v>
      </c>
      <c r="G38" s="260">
        <f t="shared" si="11"/>
        <v>5.9983388441882175E-2</v>
      </c>
      <c r="H38" s="260">
        <f t="shared" si="11"/>
        <v>6.0953572803104761E-2</v>
      </c>
      <c r="I38" s="260">
        <f t="shared" si="11"/>
        <v>6.1496400393503625E-2</v>
      </c>
      <c r="J38" s="260">
        <f t="shared" si="11"/>
        <v>6.1311296258699965E-2</v>
      </c>
      <c r="K38" s="260">
        <f t="shared" si="11"/>
        <v>6.2231179721288714E-2</v>
      </c>
      <c r="L38" s="260">
        <f t="shared" si="11"/>
        <v>6.370316626665895E-2</v>
      </c>
      <c r="M38" s="260">
        <f t="shared" si="11"/>
        <v>6.4721186689604887E-2</v>
      </c>
      <c r="N38" s="260">
        <f t="shared" si="11"/>
        <v>6.7755464998204493E-2</v>
      </c>
      <c r="O38" s="260">
        <f t="shared" si="11"/>
        <v>7.0382146108955032E-2</v>
      </c>
      <c r="P38" s="260">
        <f t="shared" si="11"/>
        <v>7.101985360479135E-2</v>
      </c>
      <c r="Q38" s="260">
        <f t="shared" si="11"/>
        <v>7.1871122727659109E-2</v>
      </c>
      <c r="R38" s="260">
        <f t="shared" si="11"/>
        <v>7.3715372223982598E-2</v>
      </c>
      <c r="S38" s="260">
        <f t="shared" si="11"/>
        <v>7.3168060738361573E-2</v>
      </c>
      <c r="T38" s="260">
        <f t="shared" si="11"/>
        <v>7.356581922064713E-2</v>
      </c>
      <c r="U38" s="260">
        <f t="shared" si="11"/>
        <v>7.2960449553349863E-2</v>
      </c>
      <c r="V38" s="260">
        <f t="shared" si="11"/>
        <v>7.3299162607595877E-2</v>
      </c>
      <c r="W38" s="260">
        <f t="shared" si="11"/>
        <v>7.2137783729481555E-2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2.593811427209427</v>
      </c>
      <c r="C44" s="238">
        <f>IF(C$5=0,0,C$5/AGR_fec!C$5)</f>
        <v>2.6175903691447102</v>
      </c>
      <c r="D44" s="238">
        <f>IF(D$5=0,0,D$5/AGR_fec!D$5)</f>
        <v>2.5859076025115972</v>
      </c>
      <c r="E44" s="238">
        <f>IF(E$5=0,0,E$5/AGR_fec!E$5)</f>
        <v>2.5399223625437308</v>
      </c>
      <c r="F44" s="238">
        <f>IF(F$5=0,0,F$5/AGR_fec!F$5)</f>
        <v>2.3746686480007093</v>
      </c>
      <c r="G44" s="238">
        <f>IF(G$5=0,0,G$5/AGR_fec!G$5)</f>
        <v>2.3888931174956394</v>
      </c>
      <c r="H44" s="238">
        <f>IF(H$5=0,0,H$5/AGR_fec!H$5)</f>
        <v>2.3058887676191979</v>
      </c>
      <c r="I44" s="238">
        <f>IF(I$5=0,0,I$5/AGR_fec!I$5)</f>
        <v>2.3599847616887928</v>
      </c>
      <c r="J44" s="238">
        <f>IF(J$5=0,0,J$5/AGR_fec!J$5)</f>
        <v>2.397501029692632</v>
      </c>
      <c r="K44" s="238">
        <f>IF(K$5=0,0,K$5/AGR_fec!K$5)</f>
        <v>2.3828433835269278</v>
      </c>
      <c r="L44" s="238">
        <f>IF(L$5=0,0,L$5/AGR_fec!L$5)</f>
        <v>2.2974484401480333</v>
      </c>
      <c r="M44" s="238">
        <f>IF(M$5=0,0,M$5/AGR_fec!M$5)</f>
        <v>2.2741520800348689</v>
      </c>
      <c r="N44" s="238">
        <f>IF(N$5=0,0,N$5/AGR_fec!N$5)</f>
        <v>2.1735775215940327</v>
      </c>
      <c r="O44" s="238">
        <f>IF(O$5=0,0,O$5/AGR_fec!O$5)</f>
        <v>2.0611132702416857</v>
      </c>
      <c r="P44" s="238">
        <f>IF(P$5=0,0,P$5/AGR_fec!P$5)</f>
        <v>2.0120742224686232</v>
      </c>
      <c r="Q44" s="238">
        <f>IF(Q$5=0,0,Q$5/AGR_fec!Q$5)</f>
        <v>1.9907506686616778</v>
      </c>
      <c r="R44" s="238">
        <f>IF(R$5=0,0,R$5/AGR_fec!R$5)</f>
        <v>1.921994719659148</v>
      </c>
      <c r="S44" s="238">
        <f>IF(S$5=0,0,S$5/AGR_fec!S$5)</f>
        <v>1.9333628883521941</v>
      </c>
      <c r="T44" s="238">
        <f>IF(T$5=0,0,T$5/AGR_fec!T$5)</f>
        <v>1.934273872242839</v>
      </c>
      <c r="U44" s="238">
        <f>IF(U$5=0,0,U$5/AGR_fec!U$5)</f>
        <v>1.9436438181829683</v>
      </c>
      <c r="V44" s="238">
        <f>IF(V$5=0,0,V$5/AGR_fec!V$5)</f>
        <v>1.929983277941876</v>
      </c>
      <c r="W44" s="238">
        <f>IF(W$5=0,0,W$5/AGR_fec!W$5)</f>
        <v>1.8067089139557979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2.2066312046761385</v>
      </c>
      <c r="C48" s="253">
        <f>IF(C$9=0,0,C$9/AGR_fec!C$9)</f>
        <v>2.276278185291186</v>
      </c>
      <c r="D48" s="253">
        <f>IF(D$9=0,0,D$9/AGR_fec!D$9)</f>
        <v>2.2084627359955245</v>
      </c>
      <c r="E48" s="253">
        <f>IF(E$9=0,0,E$9/AGR_fec!E$9)</f>
        <v>2.1557269283807172</v>
      </c>
      <c r="F48" s="253">
        <f>IF(F$9=0,0,F$9/AGR_fec!F$9)</f>
        <v>2.1347325087786833</v>
      </c>
      <c r="G48" s="253">
        <f>IF(G$9=0,0,G$9/AGR_fec!G$9)</f>
        <v>2.1518703917041062</v>
      </c>
      <c r="H48" s="253">
        <f>IF(H$9=0,0,H$9/AGR_fec!H$9)</f>
        <v>2.03411480947738</v>
      </c>
      <c r="I48" s="253">
        <f>IF(I$9=0,0,I$9/AGR_fec!I$9)</f>
        <v>2.154569748255978</v>
      </c>
      <c r="J48" s="253">
        <f>IF(J$9=0,0,J$9/AGR_fec!J$9)</f>
        <v>2.2209301178158607</v>
      </c>
      <c r="K48" s="253">
        <f>IF(K$9=0,0,K$9/AGR_fec!K$9)</f>
        <v>2.2557508054301443</v>
      </c>
      <c r="L48" s="253">
        <f>IF(L$9=0,0,L$9/AGR_fec!L$9)</f>
        <v>2.0478085200203426</v>
      </c>
      <c r="M48" s="253">
        <f>IF(M$9=0,0,M$9/AGR_fec!M$9)</f>
        <v>1.9957459714021459</v>
      </c>
      <c r="N48" s="253">
        <f>IF(N$9=0,0,N$9/AGR_fec!N$9)</f>
        <v>1.8982319455121244</v>
      </c>
      <c r="O48" s="253">
        <f>IF(O$9=0,0,O$9/AGR_fec!O$9)</f>
        <v>1.7328810751228172</v>
      </c>
      <c r="P48" s="253">
        <f>IF(P$9=0,0,P$9/AGR_fec!P$9)</f>
        <v>1.6597103555225663</v>
      </c>
      <c r="Q48" s="253">
        <f>IF(Q$9=0,0,Q$9/AGR_fec!Q$9)</f>
        <v>1.647086740616696</v>
      </c>
      <c r="R48" s="253">
        <f>IF(R$9=0,0,R$9/AGR_fec!R$9)</f>
        <v>1.5582232301007046</v>
      </c>
      <c r="S48" s="253">
        <f>IF(S$9=0,0,S$9/AGR_fec!S$9)</f>
        <v>1.5844762157455023</v>
      </c>
      <c r="T48" s="253">
        <f>IF(T$9=0,0,T$9/AGR_fec!T$9)</f>
        <v>1.5705684709898216</v>
      </c>
      <c r="U48" s="253">
        <f>IF(U$9=0,0,U$9/AGR_fec!U$9)</f>
        <v>1.5977165901774428</v>
      </c>
      <c r="V48" s="253">
        <f>IF(V$9=0,0,V$9/AGR_fec!V$9)</f>
        <v>1.552791054096891</v>
      </c>
      <c r="W48" s="253">
        <f>IF(W$9=0,0,W$9/AGR_fec!W$9)</f>
        <v>1.3732336299694554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3.1024188000000015</v>
      </c>
      <c r="D49" s="265">
        <f>IF(D$16=0,0,D$16/AGR_fec!D$16)</f>
        <v>3.1024188000000006</v>
      </c>
      <c r="E49" s="265">
        <f>IF(E$16=0,0,E$16/AGR_fec!E$16)</f>
        <v>3.102418800000001</v>
      </c>
      <c r="F49" s="265">
        <f>IF(F$16=0,0,F$16/AGR_fec!F$16)</f>
        <v>3.1024188000000006</v>
      </c>
      <c r="G49" s="265">
        <f>IF(G$16=0,0,G$16/AGR_fec!G$16)</f>
        <v>3.1024187999999988</v>
      </c>
      <c r="H49" s="265">
        <f>IF(H$16=0,0,H$16/AGR_fec!H$16)</f>
        <v>3.1024187999999993</v>
      </c>
      <c r="I49" s="265">
        <f>IF(I$16=0,0,I$16/AGR_fec!I$16)</f>
        <v>3.1024187999999993</v>
      </c>
      <c r="J49" s="265">
        <f>IF(J$16=0,0,J$16/AGR_fec!J$16)</f>
        <v>3.1024187999999988</v>
      </c>
      <c r="K49" s="265">
        <f>IF(K$16=0,0,K$16/AGR_fec!K$16)</f>
        <v>3.1024187999999988</v>
      </c>
      <c r="L49" s="265">
        <f>IF(L$16=0,0,L$16/AGR_fec!L$16)</f>
        <v>3.1024187999999997</v>
      </c>
      <c r="M49" s="265">
        <f>IF(M$16=0,0,M$16/AGR_fec!M$16)</f>
        <v>3.1024187999999988</v>
      </c>
      <c r="N49" s="265">
        <f>IF(N$16=0,0,N$16/AGR_fec!N$16)</f>
        <v>3.1024187999999997</v>
      </c>
      <c r="O49" s="265">
        <f>IF(O$16=0,0,O$16/AGR_fec!O$16)</f>
        <v>3.1024187999999997</v>
      </c>
      <c r="P49" s="265">
        <f>IF(P$16=0,0,P$16/AGR_fec!P$16)</f>
        <v>3.1024188000000001</v>
      </c>
      <c r="Q49" s="265">
        <f>IF(Q$16=0,0,Q$16/AGR_fec!Q$16)</f>
        <v>3.1024188000000006</v>
      </c>
      <c r="R49" s="265">
        <f>IF(R$16=0,0,R$16/AGR_fec!R$16)</f>
        <v>3.1024188000000015</v>
      </c>
      <c r="S49" s="265">
        <f>IF(S$16=0,0,S$16/AGR_fec!S$16)</f>
        <v>3.1024187999999997</v>
      </c>
      <c r="T49" s="265">
        <f>IF(T$16=0,0,T$16/AGR_fec!T$16)</f>
        <v>3.1024187999999993</v>
      </c>
      <c r="U49" s="265">
        <f>IF(U$16=0,0,U$16/AGR_fec!U$16)</f>
        <v>3.1024188000000006</v>
      </c>
      <c r="V49" s="265">
        <f>IF(V$16=0,0,V$16/AGR_fec!V$16)</f>
        <v>3.1024188000000006</v>
      </c>
      <c r="W49" s="265">
        <f>IF(W$16=0,0,W$16/AGR_fec!W$16)</f>
        <v>2.9453403112218974</v>
      </c>
      <c r="DA49" s="291"/>
    </row>
    <row r="50" spans="1:105" x14ac:dyDescent="0.25">
      <c r="A50" s="128" t="s">
        <v>121</v>
      </c>
      <c r="B50" s="265">
        <f>IF(B$17=0,0,B$17/AGR_fec!B$17)</f>
        <v>3.1697126516548155</v>
      </c>
      <c r="C50" s="265">
        <f>IF(C$17=0,0,C$17/AGR_fec!C$17)</f>
        <v>3.1529738067849693</v>
      </c>
      <c r="D50" s="265">
        <f>IF(D$17=0,0,D$17/AGR_fec!D$17)</f>
        <v>3.1508425565574849</v>
      </c>
      <c r="E50" s="265">
        <f>IF(E$17=0,0,E$17/AGR_fec!E$17)</f>
        <v>3.0199943191110479</v>
      </c>
      <c r="F50" s="265">
        <f>IF(F$17=0,0,F$17/AGR_fec!F$17)</f>
        <v>2.7748556044609969</v>
      </c>
      <c r="G50" s="265">
        <f>IF(G$17=0,0,G$17/AGR_fec!G$17)</f>
        <v>2.7924307897197558</v>
      </c>
      <c r="H50" s="265">
        <f>IF(H$17=0,0,H$17/AGR_fec!H$17)</f>
        <v>2.7314325980493694</v>
      </c>
      <c r="I50" s="265">
        <f>IF(I$17=0,0,I$17/AGR_fec!I$17)</f>
        <v>2.7320438768518285</v>
      </c>
      <c r="J50" s="265">
        <f>IF(J$17=0,0,J$17/AGR_fec!J$17)</f>
        <v>2.797445179995147</v>
      </c>
      <c r="K50" s="265">
        <f>IF(K$17=0,0,K$17/AGR_fec!K$17)</f>
        <v>2.6858531569644239</v>
      </c>
      <c r="L50" s="265">
        <f>IF(L$17=0,0,L$17/AGR_fec!L$17)</f>
        <v>2.5460413497333447</v>
      </c>
      <c r="M50" s="265">
        <f>IF(M$17=0,0,M$17/AGR_fec!M$17)</f>
        <v>2.4864922802428193</v>
      </c>
      <c r="N50" s="265">
        <f>IF(N$17=0,0,N$17/AGR_fec!N$17)</f>
        <v>2.2396550819119025</v>
      </c>
      <c r="O50" s="265">
        <f>IF(O$17=0,0,O$17/AGR_fec!O$17)</f>
        <v>2.0052662190579476</v>
      </c>
      <c r="P50" s="265">
        <f>IF(P$17=0,0,P$17/AGR_fec!P$17)</f>
        <v>1.988037713645024</v>
      </c>
      <c r="Q50" s="265">
        <f>IF(Q$17=0,0,Q$17/AGR_fec!Q$17)</f>
        <v>1.956756590807093</v>
      </c>
      <c r="R50" s="265">
        <f>IF(R$17=0,0,R$17/AGR_fec!R$17)</f>
        <v>1.8114691012736601</v>
      </c>
      <c r="S50" s="265">
        <f>IF(S$17=0,0,S$17/AGR_fec!S$17)</f>
        <v>1.8408901878363264</v>
      </c>
      <c r="T50" s="265">
        <f>IF(T$17=0,0,T$17/AGR_fec!T$17)</f>
        <v>1.8549584124031639</v>
      </c>
      <c r="U50" s="265">
        <f>IF(U$17=0,0,U$17/AGR_fec!U$17)</f>
        <v>1.8623363076171653</v>
      </c>
      <c r="V50" s="265">
        <f>IF(V$17=0,0,V$17/AGR_fec!V$17)</f>
        <v>1.8603982420148755</v>
      </c>
      <c r="W50" s="265">
        <f>IF(W$17=0,0,W$17/AGR_fec!W$17)</f>
        <v>1.8324151834455187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3.1024188000000006</v>
      </c>
      <c r="E51" s="265">
        <f>IF(E$25=0,0,E$25/AGR_fec!E$25)</f>
        <v>3.1024188000000006</v>
      </c>
      <c r="F51" s="265">
        <f>IF(F$25=0,0,F$25/AGR_fec!F$25)</f>
        <v>3.102418800000001</v>
      </c>
      <c r="G51" s="265">
        <f>IF(G$25=0,0,G$25/AGR_fec!G$25)</f>
        <v>3.1024187999999997</v>
      </c>
      <c r="H51" s="265">
        <f>IF(H$25=0,0,H$25/AGR_fec!H$25)</f>
        <v>3.1024187999999997</v>
      </c>
      <c r="I51" s="265">
        <f>IF(I$25=0,0,I$25/AGR_fec!I$25)</f>
        <v>3.1024188000000006</v>
      </c>
      <c r="J51" s="265">
        <f>IF(J$25=0,0,J$25/AGR_fec!J$25)</f>
        <v>3.1024187999999997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3.1024187999999997</v>
      </c>
      <c r="N51" s="265">
        <f>IF(N$25=0,0,N$25/AGR_fec!N$25)</f>
        <v>3.1024187999999993</v>
      </c>
      <c r="O51" s="265">
        <f>IF(O$25=0,0,O$25/AGR_fec!O$25)</f>
        <v>3.1024188000000006</v>
      </c>
      <c r="P51" s="265">
        <f>IF(P$25=0,0,P$25/AGR_fec!P$25)</f>
        <v>3.1024188000000001</v>
      </c>
      <c r="Q51" s="265">
        <f>IF(Q$25=0,0,Q$25/AGR_fec!Q$25)</f>
        <v>3.1024188000000006</v>
      </c>
      <c r="R51" s="265">
        <f>IF(R$25=0,0,R$25/AGR_fec!R$25)</f>
        <v>3.1024188000000001</v>
      </c>
      <c r="S51" s="265">
        <f>IF(S$25=0,0,S$25/AGR_fec!S$25)</f>
        <v>3.1024188000000001</v>
      </c>
      <c r="T51" s="265">
        <f>IF(T$25=0,0,T$25/AGR_fec!T$25)</f>
        <v>3.1024188000000006</v>
      </c>
      <c r="U51" s="265">
        <f>IF(U$25=0,0,U$25/AGR_fec!U$25)</f>
        <v>3.1024188000000001</v>
      </c>
      <c r="V51" s="265">
        <f>IF(V$25=0,0,V$25/AGR_fec!V$25)</f>
        <v>3.1024188000000006</v>
      </c>
      <c r="W51" s="265">
        <f>IF(W$25=0,0,W$25/AGR_fec!W$25)</f>
        <v>2.945340311221897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7D5233-F590-4031-B7DA-FB90A4BE650E}"/>
</file>

<file path=customXml/itemProps2.xml><?xml version="1.0" encoding="utf-8"?>
<ds:datastoreItem xmlns:ds="http://schemas.openxmlformats.org/officeDocument/2006/customXml" ds:itemID="{692C71F0-AF96-4F13-A6A4-BF6C611DD542}"/>
</file>

<file path=customXml/itemProps3.xml><?xml version="1.0" encoding="utf-8"?>
<ds:datastoreItem xmlns:ds="http://schemas.openxmlformats.org/officeDocument/2006/customXml" ds:itemID="{2BA7EE00-3043-4933-BA56-893E260CC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2024-05-20T16:47:36Z</dcterms:created>
  <dcterms:modified xsi:type="dcterms:W3CDTF">2024-05-20T16:47:36Z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