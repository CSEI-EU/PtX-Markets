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S242" i="3" s="1"/>
  <c r="Q14" i="18"/>
  <c r="P18" i="20"/>
  <c r="N30" i="3"/>
  <c r="M30" i="3"/>
  <c r="K30" i="3"/>
  <c r="J30" i="3"/>
  <c r="I30" i="3"/>
  <c r="H30" i="3"/>
  <c r="G30" i="3"/>
  <c r="C30" i="3"/>
  <c r="C242" i="3" s="1"/>
  <c r="B30" i="3"/>
  <c r="C18" i="20"/>
  <c r="B24" i="1"/>
  <c r="B26" i="1"/>
  <c r="B25" i="1"/>
  <c r="W14" i="18" l="1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I213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7" i="18"/>
  <c r="E18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L10" i="20"/>
  <c r="Q11" i="20"/>
  <c r="R23" i="18"/>
  <c r="O11" i="20"/>
  <c r="Q14" i="20"/>
  <c r="Q3" i="20"/>
  <c r="Q22" i="20" s="1"/>
  <c r="C19" i="20"/>
  <c r="E14" i="18"/>
  <c r="M14" i="18"/>
  <c r="E19" i="18"/>
  <c r="U19" i="18"/>
  <c r="I22" i="18"/>
  <c r="S23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R212" i="3" s="1"/>
  <c r="M24" i="19"/>
  <c r="I18" i="20"/>
  <c r="J19" i="20"/>
  <c r="H3" i="18"/>
  <c r="H18" i="18" s="1"/>
  <c r="I3" i="18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L23" i="18"/>
  <c r="T23" i="18"/>
  <c r="H14" i="18"/>
  <c r="B15" i="18"/>
  <c r="R15" i="18"/>
  <c r="D10" i="19"/>
  <c r="L10" i="19"/>
  <c r="T10" i="19"/>
  <c r="M22" i="20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S22" i="18"/>
  <c r="E23" i="18"/>
  <c r="M23" i="18"/>
  <c r="I14" i="18"/>
  <c r="C15" i="18"/>
  <c r="S15" i="18"/>
  <c r="K23" i="18"/>
  <c r="F18" i="20"/>
  <c r="F14" i="20"/>
  <c r="N18" i="20"/>
  <c r="N14" i="20"/>
  <c r="N10" i="20"/>
  <c r="V18" i="20"/>
  <c r="V14" i="20"/>
  <c r="H19" i="20"/>
  <c r="H15" i="20"/>
  <c r="H11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W10" i="20"/>
  <c r="B14" i="20"/>
  <c r="U15" i="20"/>
  <c r="S18" i="20"/>
  <c r="S15" i="20"/>
  <c r="S3" i="20"/>
  <c r="S23" i="20" s="1"/>
  <c r="G18" i="18"/>
  <c r="I19" i="18"/>
  <c r="E22" i="18"/>
  <c r="M22" i="18"/>
  <c r="U15" i="18"/>
  <c r="W24" i="19"/>
  <c r="Q24" i="19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W17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K20" i="19" l="1"/>
  <c r="H3" i="19"/>
  <c r="F24" i="19"/>
  <c r="F20" i="19"/>
  <c r="T24" i="19"/>
  <c r="T20" i="19"/>
  <c r="G24" i="19"/>
  <c r="P24" i="19"/>
  <c r="L21" i="20"/>
  <c r="R29" i="3"/>
  <c r="R123" i="3" s="1"/>
  <c r="Q21" i="19"/>
  <c r="J21" i="19"/>
  <c r="O21" i="19"/>
  <c r="G25" i="19"/>
  <c r="Q25" i="19"/>
  <c r="W3" i="19"/>
  <c r="W28" i="19" s="1"/>
  <c r="F89" i="3"/>
  <c r="F181" i="3" s="1"/>
  <c r="R21" i="19"/>
  <c r="H20" i="19"/>
  <c r="Q10" i="20"/>
  <c r="L20" i="19"/>
  <c r="N20" i="19"/>
  <c r="S10" i="20"/>
  <c r="N24" i="19"/>
  <c r="I21" i="18"/>
  <c r="N29" i="3"/>
  <c r="N241" i="3" s="1"/>
  <c r="U29" i="3"/>
  <c r="U12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Q12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U182" i="3"/>
  <c r="K183" i="3"/>
  <c r="E183" i="3"/>
  <c r="D181" i="3"/>
  <c r="D182" i="3"/>
  <c r="R183" i="3"/>
  <c r="R181" i="3"/>
  <c r="M182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U123" i="3"/>
  <c r="W122" i="3"/>
  <c r="M122" i="3"/>
  <c r="N123" i="3"/>
  <c r="N121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J17" i="18"/>
  <c r="J13" i="18"/>
  <c r="E28" i="19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W23" i="19"/>
  <c r="W19" i="19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W27" i="19" l="1"/>
  <c r="M23" i="19"/>
  <c r="M27" i="19"/>
  <c r="R241" i="3"/>
  <c r="R121" i="3"/>
  <c r="P9" i="20"/>
  <c r="Q23" i="19"/>
  <c r="P27" i="19"/>
  <c r="Q121" i="3"/>
  <c r="P121" i="3"/>
  <c r="E27" i="19"/>
  <c r="T241" i="3"/>
  <c r="N19" i="19"/>
  <c r="G27" i="19"/>
  <c r="N27" i="19"/>
  <c r="E23" i="19"/>
  <c r="F241" i="3"/>
  <c r="N9" i="20"/>
  <c r="T123" i="3"/>
  <c r="L121" i="3"/>
  <c r="P122" i="3"/>
  <c r="N29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R10" i="5"/>
  <c r="Q10" i="5"/>
  <c r="P10" i="5"/>
  <c r="N10" i="5"/>
  <c r="M10" i="5"/>
  <c r="K10" i="5"/>
  <c r="J10" i="5"/>
  <c r="I10" i="5"/>
  <c r="H10" i="5"/>
  <c r="F10" i="5"/>
  <c r="E10" i="5"/>
  <c r="C10" i="5"/>
  <c r="B10" i="5" l="1"/>
  <c r="D10" i="5"/>
  <c r="L10" i="5"/>
  <c r="T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22" i="13"/>
  <c r="W6" i="3"/>
  <c r="W218" i="3" s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10" i="5" l="1"/>
  <c r="W188" i="3"/>
  <c r="W84" i="4"/>
  <c r="W163" i="4"/>
  <c r="I100" i="4"/>
  <c r="W10" i="9"/>
  <c r="W62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193" i="3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R60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D75" i="7" l="1"/>
  <c r="W63" i="9"/>
  <c r="W57" i="9"/>
  <c r="W65" i="9"/>
  <c r="W59" i="9"/>
  <c r="I84" i="4"/>
  <c r="N84" i="4"/>
  <c r="Q75" i="7"/>
  <c r="F84" i="4"/>
  <c r="Q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93" i="5" s="1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31" i="4" s="1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209" i="4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11" i="5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7" i="7" s="1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99" i="4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01" i="6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46" i="4" s="1"/>
  <c r="U265" i="4" s="1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25" i="6" s="1"/>
  <c r="E74" i="4"/>
  <c r="E125" i="6" s="1"/>
  <c r="E21" i="7"/>
  <c r="N74" i="4"/>
  <c r="N184" i="4" s="1"/>
  <c r="N21" i="7"/>
  <c r="V74" i="4"/>
  <c r="V184" i="4" s="1"/>
  <c r="V21" i="7"/>
  <c r="B80" i="4"/>
  <c r="B26" i="7" s="1"/>
  <c r="B27" i="7"/>
  <c r="J80" i="4"/>
  <c r="J26" i="7" s="1"/>
  <c r="J27" i="7"/>
  <c r="S80" i="4"/>
  <c r="S26" i="7" s="1"/>
  <c r="S27" i="7"/>
  <c r="C107" i="4"/>
  <c r="C100" i="4" s="1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83" i="6" s="1"/>
  <c r="Q14" i="4"/>
  <c r="Q205" i="4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95" i="5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P184" i="4" s="1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88" i="6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0" i="7" s="1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219" i="7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70" i="4"/>
  <c r="I266" i="4"/>
  <c r="V257" i="4"/>
  <c r="R206" i="4"/>
  <c r="R93" i="6"/>
  <c r="R99" i="5"/>
  <c r="I87" i="6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251" i="4"/>
  <c r="P170" i="4"/>
  <c r="P57" i="6"/>
  <c r="P199" i="7" s="1"/>
  <c r="F177" i="4"/>
  <c r="F258" i="4"/>
  <c r="R258" i="4"/>
  <c r="R70" i="5"/>
  <c r="O46" i="4"/>
  <c r="O265" i="4" s="1"/>
  <c r="O71" i="6"/>
  <c r="O77" i="5"/>
  <c r="P190" i="4"/>
  <c r="P83" i="5"/>
  <c r="P138" i="7" s="1"/>
  <c r="N127" i="4"/>
  <c r="N46" i="7" s="1"/>
  <c r="N47" i="7"/>
  <c r="P106" i="5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V219" i="7" s="1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M212" i="4"/>
  <c r="M99" i="6"/>
  <c r="M105" i="5"/>
  <c r="R199" i="4"/>
  <c r="R86" i="6"/>
  <c r="R92" i="5"/>
  <c r="N219" i="4"/>
  <c r="N106" i="6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F58" i="4"/>
  <c r="F13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196" i="4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96" i="6"/>
  <c r="I108" i="5"/>
  <c r="E196" i="4"/>
  <c r="E83" i="6"/>
  <c r="E89" i="5"/>
  <c r="I89" i="6"/>
  <c r="C213" i="4"/>
  <c r="C100" i="6"/>
  <c r="C106" i="5"/>
  <c r="E215" i="4"/>
  <c r="E102" i="6"/>
  <c r="E108" i="5"/>
  <c r="H218" i="4"/>
  <c r="H105" i="6"/>
  <c r="H111" i="5"/>
  <c r="O92" i="5"/>
  <c r="S89" i="6"/>
  <c r="M177" i="4"/>
  <c r="Q46" i="4"/>
  <c r="Q265" i="4" s="1"/>
  <c r="V71" i="6"/>
  <c r="V77" i="5"/>
  <c r="D105" i="6"/>
  <c r="P73" i="4"/>
  <c r="P19" i="7" s="1"/>
  <c r="P20" i="7"/>
  <c r="V127" i="4"/>
  <c r="V46" i="7" s="1"/>
  <c r="V47" i="7"/>
  <c r="R47" i="7"/>
  <c r="U198" i="4"/>
  <c r="U85" i="6"/>
  <c r="U91" i="5"/>
  <c r="U202" i="4"/>
  <c r="U89" i="6"/>
  <c r="U95" i="5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50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M203" i="4"/>
  <c r="O206" i="4"/>
  <c r="O93" i="6"/>
  <c r="O99" i="5"/>
  <c r="Q208" i="4"/>
  <c r="Q95" i="6"/>
  <c r="Q101" i="5"/>
  <c r="T209" i="4"/>
  <c r="T96" i="6"/>
  <c r="T102" i="5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M184" i="4"/>
  <c r="M71" i="6"/>
  <c r="M213" i="7" s="1"/>
  <c r="M77" i="5"/>
  <c r="M132" i="7" s="1"/>
  <c r="S212" i="4"/>
  <c r="S99" i="6"/>
  <c r="S105" i="5"/>
  <c r="N77" i="6"/>
  <c r="N271" i="4"/>
  <c r="N83" i="5"/>
  <c r="E190" i="4"/>
  <c r="D73" i="4"/>
  <c r="D26" i="7"/>
  <c r="M73" i="4"/>
  <c r="M26" i="7"/>
  <c r="U73" i="4"/>
  <c r="J127" i="4"/>
  <c r="J46" i="7" s="1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258" i="4"/>
  <c r="Q177" i="4"/>
  <c r="Q64" i="6"/>
  <c r="Q206" i="7" s="1"/>
  <c r="V46" i="4"/>
  <c r="N71" i="6"/>
  <c r="N265" i="4"/>
  <c r="N77" i="5"/>
  <c r="T184" i="4"/>
  <c r="O77" i="6"/>
  <c r="O83" i="5"/>
  <c r="I58" i="4"/>
  <c r="I4" i="7" s="1"/>
  <c r="I13" i="7"/>
  <c r="R73" i="4"/>
  <c r="R19" i="7" s="1"/>
  <c r="R20" i="7"/>
  <c r="G112" i="4"/>
  <c r="M47" i="7"/>
  <c r="E252" i="4"/>
  <c r="R253" i="4"/>
  <c r="O109" i="5"/>
  <c r="V83" i="6"/>
  <c r="Q215" i="4"/>
  <c r="Q102" i="6"/>
  <c r="Q108" i="5"/>
  <c r="M216" i="4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P46" i="4" l="1"/>
  <c r="P265" i="4" s="1"/>
  <c r="O47" i="6"/>
  <c r="E47" i="6"/>
  <c r="B63" i="5"/>
  <c r="Q59" i="7"/>
  <c r="U99" i="6"/>
  <c r="I59" i="7"/>
  <c r="Q26" i="4"/>
  <c r="Q163" i="4" s="1"/>
  <c r="U212" i="4"/>
  <c r="Q106" i="6"/>
  <c r="N206" i="4"/>
  <c r="Q219" i="4"/>
  <c r="Q90" i="6"/>
  <c r="Q203" i="4"/>
  <c r="F218" i="4"/>
  <c r="Q100" i="6"/>
  <c r="T125" i="6"/>
  <c r="B47" i="6"/>
  <c r="J18" i="6"/>
  <c r="D218" i="4"/>
  <c r="K18" i="5"/>
  <c r="B92" i="5"/>
  <c r="V138" i="7"/>
  <c r="V131" i="5"/>
  <c r="R61" i="5"/>
  <c r="S107" i="5"/>
  <c r="I200" i="4"/>
  <c r="R58" i="4"/>
  <c r="D26" i="4"/>
  <c r="I199" i="4"/>
  <c r="U83" i="5"/>
  <c r="S214" i="4"/>
  <c r="S26" i="4"/>
  <c r="S217" i="4" s="1"/>
  <c r="B86" i="6"/>
  <c r="R177" i="4"/>
  <c r="M64" i="6"/>
  <c r="M206" i="7" s="1"/>
  <c r="U206" i="7"/>
  <c r="O106" i="5"/>
  <c r="V132" i="7"/>
  <c r="U77" i="6"/>
  <c r="U219" i="7" s="1"/>
  <c r="B77" i="5"/>
  <c r="B132" i="7" s="1"/>
  <c r="U125" i="7"/>
  <c r="T47" i="6"/>
  <c r="R13" i="7"/>
  <c r="O102" i="5"/>
  <c r="V125" i="6"/>
  <c r="O64" i="6"/>
  <c r="O206" i="7" s="1"/>
  <c r="O70" i="5"/>
  <c r="O125" i="7" s="1"/>
  <c r="O100" i="6"/>
  <c r="V213" i="7"/>
  <c r="B73" i="4"/>
  <c r="B19" i="7" s="1"/>
  <c r="O271" i="4"/>
  <c r="M200" i="4"/>
  <c r="U89" i="5"/>
  <c r="O96" i="6"/>
  <c r="B207" i="4"/>
  <c r="B184" i="4"/>
  <c r="B71" i="6"/>
  <c r="B213" i="7" s="1"/>
  <c r="F206" i="7"/>
  <c r="C111" i="6"/>
  <c r="Q125" i="7"/>
  <c r="B98" i="5"/>
  <c r="H86" i="6"/>
  <c r="S202" i="4"/>
  <c r="I202" i="4"/>
  <c r="V73" i="4"/>
  <c r="V19" i="7" s="1"/>
  <c r="H109" i="5"/>
  <c r="Q213" i="4"/>
  <c r="I268" i="4"/>
  <c r="Q18" i="5"/>
  <c r="B92" i="6"/>
  <c r="H199" i="4"/>
  <c r="G184" i="4"/>
  <c r="H103" i="6"/>
  <c r="Q98" i="5"/>
  <c r="S91" i="5"/>
  <c r="M98" i="5"/>
  <c r="G46" i="4"/>
  <c r="G271" i="4" s="1"/>
  <c r="Q92" i="6"/>
  <c r="I272" i="4"/>
  <c r="C118" i="6"/>
  <c r="D47" i="6"/>
  <c r="O26" i="4"/>
  <c r="S85" i="6"/>
  <c r="M92" i="6"/>
  <c r="O112" i="5"/>
  <c r="P70" i="5"/>
  <c r="P125" i="7" s="1"/>
  <c r="D71" i="6"/>
  <c r="D213" i="7" s="1"/>
  <c r="C58" i="4"/>
  <c r="C4" i="7" s="1"/>
  <c r="E58" i="4"/>
  <c r="E168" i="4" s="1"/>
  <c r="C64" i="6"/>
  <c r="C206" i="7" s="1"/>
  <c r="O106" i="6"/>
  <c r="I99" i="5"/>
  <c r="T112" i="4"/>
  <c r="P64" i="6"/>
  <c r="P206" i="7" s="1"/>
  <c r="K112" i="4"/>
  <c r="K31" i="7" s="1"/>
  <c r="G77" i="5"/>
  <c r="G132" i="7" s="1"/>
  <c r="F229" i="4"/>
  <c r="V94" i="5"/>
  <c r="I93" i="6"/>
  <c r="Q117" i="5"/>
  <c r="F95" i="5"/>
  <c r="I95" i="5"/>
  <c r="N112" i="4"/>
  <c r="N31" i="7" s="1"/>
  <c r="U59" i="7"/>
  <c r="U256" i="4"/>
  <c r="O20" i="7"/>
  <c r="S218" i="4"/>
  <c r="V251" i="4"/>
  <c r="U170" i="4"/>
  <c r="O184" i="4"/>
  <c r="V262" i="4"/>
  <c r="N18" i="5"/>
  <c r="N61" i="5" s="1"/>
  <c r="U263" i="4"/>
  <c r="E209" i="4"/>
  <c r="R266" i="4"/>
  <c r="I138" i="7"/>
  <c r="M58" i="4"/>
  <c r="M4" i="7" s="1"/>
  <c r="R268" i="4"/>
  <c r="S101" i="5"/>
  <c r="U63" i="5"/>
  <c r="U118" i="7" s="1"/>
  <c r="S112" i="4"/>
  <c r="R270" i="4"/>
  <c r="S95" i="6"/>
  <c r="H199" i="7"/>
  <c r="N250" i="4"/>
  <c r="S111" i="5"/>
  <c r="O132" i="7"/>
  <c r="V252" i="4"/>
  <c r="H118" i="7"/>
  <c r="H58" i="4"/>
  <c r="O213" i="7"/>
  <c r="V250" i="4"/>
  <c r="M199" i="7"/>
  <c r="T213" i="7"/>
  <c r="M13" i="4"/>
  <c r="M204" i="4" s="1"/>
  <c r="K184" i="4"/>
  <c r="B57" i="6"/>
  <c r="B199" i="7" s="1"/>
  <c r="P71" i="6"/>
  <c r="P213" i="7" s="1"/>
  <c r="O6" i="4"/>
  <c r="S42" i="5"/>
  <c r="W231" i="4"/>
  <c r="Q91" i="5"/>
  <c r="M196" i="4"/>
  <c r="U20" i="4"/>
  <c r="U211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1" i="6" s="1"/>
  <c r="K77" i="5"/>
  <c r="K132" i="7" s="1"/>
  <c r="J190" i="4"/>
  <c r="S206" i="7"/>
  <c r="M26" i="4"/>
  <c r="M163" i="4" s="1"/>
  <c r="O20" i="4"/>
  <c r="O211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76" i="5" s="1"/>
  <c r="S216" i="4"/>
  <c r="G190" i="4"/>
  <c r="Q57" i="6"/>
  <c r="Q199" i="7" s="1"/>
  <c r="N200" i="4"/>
  <c r="V206" i="7"/>
  <c r="G137" i="5"/>
  <c r="V6" i="4"/>
  <c r="V197" i="4" s="1"/>
  <c r="U6" i="4"/>
  <c r="U90" i="5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197" i="4" s="1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204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168" i="4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1" i="6"/>
  <c r="D97" i="5"/>
  <c r="B197" i="4"/>
  <c r="B84" i="6"/>
  <c r="B90" i="5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4" i="7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97" i="5"/>
  <c r="T31" i="7"/>
  <c r="P20" i="4"/>
  <c r="P157" i="4" s="1"/>
  <c r="P215" i="4"/>
  <c r="P102" i="6"/>
  <c r="P108" i="5"/>
  <c r="S84" i="6"/>
  <c r="S90" i="5"/>
  <c r="O4" i="7"/>
  <c r="J163" i="4"/>
  <c r="J217" i="4"/>
  <c r="J104" i="6"/>
  <c r="J110" i="5"/>
  <c r="B177" i="4"/>
  <c r="B64" i="6"/>
  <c r="B206" i="7" s="1"/>
  <c r="B70" i="5"/>
  <c r="B125" i="7" s="1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273" i="4"/>
  <c r="E269" i="4"/>
  <c r="E270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J183" i="4"/>
  <c r="U150" i="4"/>
  <c r="U204" i="4"/>
  <c r="U91" i="6"/>
  <c r="U97" i="5"/>
  <c r="O163" i="4"/>
  <c r="O217" i="4"/>
  <c r="O104" i="6"/>
  <c r="O110" i="5"/>
  <c r="U84" i="6"/>
  <c r="K143" i="4"/>
  <c r="K197" i="4"/>
  <c r="K84" i="6"/>
  <c r="K90" i="5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10" i="5"/>
  <c r="T183" i="4"/>
  <c r="T266" i="4"/>
  <c r="H201" i="4"/>
  <c r="H88" i="6"/>
  <c r="H94" i="5"/>
  <c r="E143" i="4"/>
  <c r="E197" i="4"/>
  <c r="E84" i="6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H19" i="4"/>
  <c r="H242" i="4" s="1"/>
  <c r="M150" i="4"/>
  <c r="V19" i="4"/>
  <c r="V157" i="4"/>
  <c r="H13" i="4"/>
  <c r="U157" i="4"/>
  <c r="N19" i="4"/>
  <c r="N244" i="4" s="1"/>
  <c r="N157" i="4"/>
  <c r="V4" i="4"/>
  <c r="V231" i="4" s="1"/>
  <c r="Q4" i="4"/>
  <c r="T6" i="4"/>
  <c r="K4" i="4"/>
  <c r="K223" i="4" s="1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Q104" i="6" l="1"/>
  <c r="Q217" i="4"/>
  <c r="M110" i="5"/>
  <c r="K111" i="4"/>
  <c r="K30" i="7" s="1"/>
  <c r="J57" i="4"/>
  <c r="J3" i="7" s="1"/>
  <c r="M104" i="6"/>
  <c r="M217" i="4"/>
  <c r="F111" i="4"/>
  <c r="F30" i="7" s="1"/>
  <c r="V90" i="5"/>
  <c r="M97" i="5"/>
  <c r="F4" i="4"/>
  <c r="F231" i="4" s="1"/>
  <c r="V84" i="6"/>
  <c r="F204" i="4"/>
  <c r="M91" i="6"/>
  <c r="M4" i="4"/>
  <c r="M231" i="4" s="1"/>
  <c r="N111" i="4"/>
  <c r="N30" i="7" s="1"/>
  <c r="U19" i="4"/>
  <c r="U244" i="4" s="1"/>
  <c r="T268" i="4"/>
  <c r="T271" i="4"/>
  <c r="U197" i="4"/>
  <c r="U98" i="6"/>
  <c r="O157" i="4"/>
  <c r="T270" i="4"/>
  <c r="N183" i="4"/>
  <c r="U143" i="4"/>
  <c r="N17" i="5"/>
  <c r="N162" i="5" s="1"/>
  <c r="O19" i="4"/>
  <c r="U4" i="4"/>
  <c r="T265" i="4"/>
  <c r="T272" i="4"/>
  <c r="S19" i="4"/>
  <c r="S241" i="4" s="1"/>
  <c r="T267" i="4"/>
  <c r="O104" i="5"/>
  <c r="T269" i="4"/>
  <c r="O98" i="6"/>
  <c r="T273" i="4"/>
  <c r="T264" i="4"/>
  <c r="B17" i="5"/>
  <c r="B144" i="5" s="1"/>
  <c r="I90" i="5"/>
  <c r="E266" i="4"/>
  <c r="E30" i="4"/>
  <c r="R150" i="4"/>
  <c r="S143" i="4"/>
  <c r="J204" i="4"/>
  <c r="H61" i="5"/>
  <c r="E268" i="4"/>
  <c r="J150" i="4"/>
  <c r="S4" i="4"/>
  <c r="C57" i="4"/>
  <c r="C3" i="7" s="1"/>
  <c r="E272" i="4"/>
  <c r="H251" i="4"/>
  <c r="E267" i="4"/>
  <c r="O57" i="4"/>
  <c r="O3" i="7" s="1"/>
  <c r="E76" i="5"/>
  <c r="N57" i="4"/>
  <c r="N167" i="4" s="1"/>
  <c r="E264" i="4"/>
  <c r="E70" i="6"/>
  <c r="O4" i="4"/>
  <c r="O232" i="4" s="1"/>
  <c r="C111" i="4"/>
  <c r="C30" i="7" s="1"/>
  <c r="D57" i="4"/>
  <c r="D3" i="7" s="1"/>
  <c r="I84" i="6"/>
  <c r="B110" i="5"/>
  <c r="I197" i="4"/>
  <c r="B104" i="6"/>
  <c r="B217" i="4"/>
  <c r="S17" i="5"/>
  <c r="S148" i="5" s="1"/>
  <c r="O111" i="4"/>
  <c r="O30" i="7" s="1"/>
  <c r="B19" i="4"/>
  <c r="B97" i="6" s="1"/>
  <c r="P3" i="7"/>
  <c r="P167" i="4"/>
  <c r="C157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54" i="5"/>
  <c r="S162" i="5"/>
  <c r="S147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37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3" i="5"/>
  <c r="N166" i="5"/>
  <c r="N145" i="5"/>
  <c r="N165" i="5"/>
  <c r="N159" i="5"/>
  <c r="N143" i="5"/>
  <c r="N146" i="5"/>
  <c r="N164" i="5"/>
  <c r="N148" i="5"/>
  <c r="N149" i="5"/>
  <c r="N155" i="5"/>
  <c r="N153" i="5"/>
  <c r="N161" i="5"/>
  <c r="N60" i="5"/>
  <c r="N144" i="5"/>
  <c r="N142" i="5"/>
  <c r="N151" i="5"/>
  <c r="R31" i="7"/>
  <c r="R111" i="4"/>
  <c r="R30" i="7" s="1"/>
  <c r="T17" i="6"/>
  <c r="T151" i="6" s="1"/>
  <c r="H153" i="6"/>
  <c r="H135" i="6"/>
  <c r="H141" i="6"/>
  <c r="H149" i="6"/>
  <c r="H146" i="6"/>
  <c r="H145" i="6"/>
  <c r="H154" i="6"/>
  <c r="H148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1" i="5"/>
  <c r="J146" i="5"/>
  <c r="J148" i="5"/>
  <c r="J159" i="5"/>
  <c r="J155" i="5"/>
  <c r="J161" i="5"/>
  <c r="J152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234" i="4"/>
  <c r="B210" i="4"/>
  <c r="B243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43" i="4"/>
  <c r="G239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229" i="4"/>
  <c r="J234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232" i="4"/>
  <c r="M234" i="4"/>
  <c r="M229" i="4"/>
  <c r="F226" i="4"/>
  <c r="C150" i="4"/>
  <c r="C204" i="4"/>
  <c r="C91" i="6"/>
  <c r="C97" i="5"/>
  <c r="Q231" i="4"/>
  <c r="D271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240" i="4"/>
  <c r="D242" i="4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U231" i="4"/>
  <c r="C239" i="4"/>
  <c r="T163" i="4"/>
  <c r="T217" i="4"/>
  <c r="T104" i="6"/>
  <c r="T110" i="5"/>
  <c r="P211" i="4"/>
  <c r="P98" i="6"/>
  <c r="P104" i="5"/>
  <c r="D227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241" i="4"/>
  <c r="Q246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K235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E167" i="4" l="1"/>
  <c r="M224" i="4"/>
  <c r="M225" i="4"/>
  <c r="G224" i="4"/>
  <c r="M226" i="4"/>
  <c r="M233" i="4"/>
  <c r="S210" i="4"/>
  <c r="M230" i="4"/>
  <c r="M222" i="4"/>
  <c r="S243" i="4"/>
  <c r="M235" i="4"/>
  <c r="M88" i="5"/>
  <c r="S240" i="4"/>
  <c r="S237" i="4"/>
  <c r="M227" i="4"/>
  <c r="N3" i="7"/>
  <c r="M236" i="4"/>
  <c r="M195" i="4"/>
  <c r="J144" i="5"/>
  <c r="S245" i="4"/>
  <c r="M82" i="6"/>
  <c r="M223" i="4"/>
  <c r="M228" i="4"/>
  <c r="M141" i="4"/>
  <c r="S156" i="4"/>
  <c r="S97" i="6"/>
  <c r="S103" i="5"/>
  <c r="S238" i="4"/>
  <c r="S239" i="4"/>
  <c r="B164" i="5"/>
  <c r="B151" i="5"/>
  <c r="D237" i="4"/>
  <c r="U54" i="6"/>
  <c r="J153" i="5"/>
  <c r="H140" i="6"/>
  <c r="N158" i="5"/>
  <c r="N147" i="5"/>
  <c r="S246" i="4"/>
  <c r="S242" i="4"/>
  <c r="S244" i="4"/>
  <c r="D103" i="5"/>
  <c r="G241" i="4"/>
  <c r="D97" i="6"/>
  <c r="G237" i="4"/>
  <c r="D239" i="4"/>
  <c r="D210" i="4"/>
  <c r="G103" i="5"/>
  <c r="D244" i="4"/>
  <c r="D238" i="4"/>
  <c r="D241" i="4"/>
  <c r="D156" i="4"/>
  <c r="G97" i="6"/>
  <c r="D246" i="4"/>
  <c r="G238" i="4"/>
  <c r="G210" i="4"/>
  <c r="D245" i="4"/>
  <c r="G246" i="4"/>
  <c r="G156" i="4"/>
  <c r="J226" i="4"/>
  <c r="N235" i="4"/>
  <c r="N82" i="6"/>
  <c r="S160" i="5"/>
  <c r="J225" i="4"/>
  <c r="S141" i="5"/>
  <c r="S151" i="5"/>
  <c r="J141" i="4"/>
  <c r="B246" i="4"/>
  <c r="S165" i="5"/>
  <c r="S163" i="5"/>
  <c r="J233" i="4"/>
  <c r="B241" i="4"/>
  <c r="B156" i="4"/>
  <c r="N223" i="4"/>
  <c r="N195" i="4"/>
  <c r="J236" i="4"/>
  <c r="J228" i="4"/>
  <c r="N228" i="4"/>
  <c r="N225" i="4"/>
  <c r="N141" i="4"/>
  <c r="N231" i="4"/>
  <c r="J227" i="4"/>
  <c r="B239" i="4"/>
  <c r="N236" i="4"/>
  <c r="N226" i="4"/>
  <c r="B238" i="4"/>
  <c r="B244" i="4"/>
  <c r="J222" i="4"/>
  <c r="B245" i="4"/>
  <c r="N227" i="4"/>
  <c r="N230" i="4"/>
  <c r="S155" i="5"/>
  <c r="S153" i="5"/>
  <c r="J223" i="4"/>
  <c r="J88" i="5"/>
  <c r="B237" i="4"/>
  <c r="N229" i="4"/>
  <c r="N222" i="4"/>
  <c r="S157" i="5"/>
  <c r="S142" i="5"/>
  <c r="E54" i="6"/>
  <c r="J232" i="4"/>
  <c r="J82" i="6"/>
  <c r="B103" i="5"/>
  <c r="N232" i="4"/>
  <c r="S149" i="5"/>
  <c r="S145" i="5"/>
  <c r="O167" i="4"/>
  <c r="B240" i="4"/>
  <c r="J235" i="4"/>
  <c r="J195" i="4"/>
  <c r="N233" i="4"/>
  <c r="N88" i="5"/>
  <c r="S143" i="5"/>
  <c r="S146" i="5"/>
  <c r="S159" i="5"/>
  <c r="S158" i="5"/>
  <c r="S166" i="5"/>
  <c r="S156" i="5"/>
  <c r="S150" i="5"/>
  <c r="S164" i="5"/>
  <c r="S152" i="5"/>
  <c r="S144" i="5"/>
  <c r="S161" i="5"/>
  <c r="Q245" i="4"/>
  <c r="Q97" i="6"/>
  <c r="I235" i="4"/>
  <c r="P246" i="4"/>
  <c r="D167" i="4"/>
  <c r="Q239" i="4"/>
  <c r="Q210" i="4"/>
  <c r="K240" i="4"/>
  <c r="I88" i="5"/>
  <c r="Q238" i="4"/>
  <c r="Q243" i="4"/>
  <c r="Q156" i="4"/>
  <c r="K245" i="4"/>
  <c r="I195" i="4"/>
  <c r="M239" i="4"/>
  <c r="I224" i="4"/>
  <c r="Q240" i="4"/>
  <c r="I226" i="4"/>
  <c r="Q237" i="4"/>
  <c r="I236" i="4"/>
  <c r="G222" i="4"/>
  <c r="Q242" i="4"/>
  <c r="Q103" i="5"/>
  <c r="I223" i="4"/>
  <c r="G88" i="5"/>
  <c r="P103" i="5"/>
  <c r="S223" i="4"/>
  <c r="S231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33" i="6" l="1"/>
  <c r="L42" i="5"/>
  <c r="L137" i="5"/>
  <c r="L217" i="4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55" i="6" l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E25" i="8"/>
  <c r="J15" i="8"/>
  <c r="J27" i="10" s="1"/>
  <c r="R15" i="8"/>
  <c r="R27" i="10" s="1"/>
  <c r="G4" i="8"/>
  <c r="O14" i="8" l="1"/>
  <c r="O26" i="10" s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V77" i="8" s="1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O80" i="8"/>
  <c r="R79" i="8"/>
  <c r="O79" i="8"/>
  <c r="K79" i="8"/>
  <c r="S77" i="8"/>
  <c r="O77" i="8"/>
  <c r="S76" i="8"/>
  <c r="R76" i="8"/>
  <c r="P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N218" i="3" s="1"/>
  <c r="M6" i="3"/>
  <c r="L6" i="3"/>
  <c r="K6" i="3"/>
  <c r="J6" i="3"/>
  <c r="I6" i="3"/>
  <c r="H6" i="3"/>
  <c r="G6" i="3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0" i="1"/>
  <c r="B21" i="1"/>
  <c r="B18" i="1"/>
  <c r="B15" i="1"/>
  <c r="B13" i="1"/>
  <c r="B6" i="1"/>
  <c r="B7" i="1"/>
  <c r="B12" i="1"/>
  <c r="B9" i="1"/>
  <c r="B16" i="1"/>
  <c r="B22" i="1"/>
  <c r="B8" i="1"/>
  <c r="B4" i="1"/>
  <c r="B11" i="1"/>
  <c r="B17" i="1"/>
  <c r="G218" i="3" l="1"/>
  <c r="O218" i="3"/>
  <c r="T224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M219" i="3" s="1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I220" i="3" s="1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C190" i="3" s="1"/>
  <c r="K38" i="3"/>
  <c r="C49" i="3"/>
  <c r="K49" i="3"/>
  <c r="C50" i="3"/>
  <c r="K50" i="3"/>
  <c r="K202" i="3" s="1"/>
  <c r="G35" i="3"/>
  <c r="O35" i="3"/>
  <c r="G50" i="3"/>
  <c r="G202" i="3" s="1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P234" i="3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0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3" i="3" l="1"/>
  <c r="I142" i="3"/>
  <c r="C234" i="3"/>
  <c r="I141" i="3"/>
  <c r="I144" i="3"/>
  <c r="I199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53" i="12" l="1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<sst xmlns="http://schemas.openxmlformats.org/spreadsheetml/2006/main" count="2655" uniqueCount="1167">
  <si>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</si>
  <si>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</si>
  <si>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</si>
  <si>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</si>
  <si>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</si>
  <si>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</si>
  <si>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</si>
  <si>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</si>
  <si>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</si>
  <si>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</si>
  <si>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</si>
  <si>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</si>
  <si>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</si>
  <si>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</si>
  <si>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</si>
  <si>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</si>
  <si>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</si>
  <si>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</si>
  <si>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</si>
  <si>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</si>
  <si>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</si>
  <si>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</si>
  <si>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</si>
  <si>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</si>
  <si>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</si>
  <si>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</si>
  <si>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</si>
  <si>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</si>
  <si>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</si>
  <si>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</si>
  <si>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</si>
  <si>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</si>
  <si>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</si>
  <si>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</si>
  <si>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</si>
  <si>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</si>
  <si>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</si>
  <si>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</si>
  <si>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</si>
  <si>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</si>
  <si>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</si>
  <si>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</si>
  <si>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</si>
  <si>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</si>
  <si>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</si>
  <si>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</si>
  <si>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</si>
  <si>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</si>
  <si>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</si>
  <si>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</si>
  <si>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</si>
  <si>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</si>
  <si>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</si>
  <si>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</si>
  <si>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</si>
  <si>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</si>
  <si>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</si>
  <si>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</si>
  <si>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</si>
  <si>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</si>
  <si>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</si>
  <si>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</si>
  <si>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</si>
  <si>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</si>
  <si>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</si>
  <si>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</si>
  <si>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</si>
  <si>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</si>
  <si>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</si>
  <si>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</si>
  <si>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</si>
  <si>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</si>
  <si>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</si>
  <si>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</si>
  <si>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</si>
  <si>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</si>
  <si>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</si>
  <si>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</si>
  <si>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</si>
  <si>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</si>
  <si>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</si>
  <si>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</si>
  <si>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</si>
  <si>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</si>
  <si>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</si>
  <si>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</si>
  <si>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</si>
  <si>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</si>
  <si>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</si>
  <si>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</si>
  <si>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</si>
  <si>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</si>
  <si>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</si>
  <si>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</si>
  <si>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</si>
  <si>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</si>
  <si>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</si>
  <si>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</si>
  <si>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</si>
  <si>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</si>
  <si>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</si>
  <si>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</si>
  <si>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</si>
  <si>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</si>
  <si>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</si>
  <si>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</si>
  <si>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</si>
  <si>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</si>
  <si>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</si>
  <si>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</si>
  <si>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</si>
  <si>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</si>
  <si>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</si>
  <si>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</si>
  <si>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</si>
  <si>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</si>
  <si>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</si>
  <si>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</si>
  <si>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</si>
  <si>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</si>
  <si>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</si>
  <si>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</si>
  <si>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</si>
  <si>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</si>
  <si>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</si>
  <si>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</si>
  <si>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</si>
  <si>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</si>
  <si>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</si>
  <si>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</si>
  <si>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</si>
  <si>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</si>
  <si>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</si>
  <si>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</si>
  <si>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</si>
  <si>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</si>
  <si>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</si>
  <si>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</si>
  <si>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</si>
  <si>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</si>
  <si>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</si>
  <si>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</si>
  <si>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</si>
  <si>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</si>
  <si>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</si>
  <si>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</si>
  <si>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</si>
  <si>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</si>
  <si>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</si>
  <si>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</si>
  <si>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</si>
  <si>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</si>
  <si>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</si>
  <si>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</si>
  <si>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</si>
  <si>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</si>
  <si>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</si>
  <si>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</si>
  <si>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</si>
  <si>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</si>
  <si>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</si>
  <si>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</si>
  <si>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</si>
  <si>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</si>
  <si>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</si>
  <si>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</si>
  <si>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</si>
  <si>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</si>
  <si>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</si>
  <si>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</si>
  <si>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</si>
  <si>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</si>
  <si>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</si>
  <si>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</si>
  <si>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</si>
  <si>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</si>
  <si>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</si>
  <si>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</si>
  <si>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</si>
  <si>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</si>
  <si>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</si>
  <si>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</si>
  <si>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</si>
  <si>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</si>
  <si>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</si>
  <si>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</si>
  <si>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CZ</t>
  </si>
  <si>
    <t>Czechia</t>
  </si>
  <si>
    <t>Aviation - CZ - Czechia</t>
  </si>
  <si>
    <t>Activity.Mpkm.CZ.Tr.Avia.Passenger</t>
  </si>
  <si>
    <t>Activity.Mpkm.CZ.Tr.Avia.Passenger.Domestic</t>
  </si>
  <si>
    <t>Activity.Mpkm.CZ.Tr.Avia.Passenger.IntraEEAwUK</t>
  </si>
  <si>
    <t>Activity.Mpkm.CZ.Tr.Avia.Passenger.ExtraEEAwUK</t>
  </si>
  <si>
    <t>Activity.Mtkm.CZ.Tr.Avia.Freight</t>
  </si>
  <si>
    <t>Activity.Mtkm.CZ.Tr.Avia.Freight.Domestic</t>
  </si>
  <si>
    <t>Activity.Mtkm.CZ.Tr.Avia.Freight.IntraEEAwUK</t>
  </si>
  <si>
    <t>Activity.Mtkm.CZ.Tr.Avia.Freight.ExtraEEAwUK</t>
  </si>
  <si>
    <t>VehicleKm.Mkm.CZ.Tr.Avia</t>
  </si>
  <si>
    <t>VehicleKm.Mkm.CZ.Tr.Avia.Passenger</t>
  </si>
  <si>
    <t>VehicleKm.Mkm.CZ.Tr.Avia.Passenger.Domestic</t>
  </si>
  <si>
    <t>VehicleKm.Mkm.CZ.Tr.Avia.Passenger.IntraEEAwUK</t>
  </si>
  <si>
    <t>VehicleKm.Mkm.CZ.Tr.Avia.Passenger.ExtraEEAwUK</t>
  </si>
  <si>
    <t>VehicleKm.Mkm.CZ.Tr.Avia.Freight</t>
  </si>
  <si>
    <t>VehicleKm.Mkm.CZ.Tr.Avia.Freight.Domestic</t>
  </si>
  <si>
    <t>VehicleKm.Mkm.CZ.Tr.Avia.Freight.IntraEEAwUK</t>
  </si>
  <si>
    <t>VehicleKm.Mkm.CZ.Tr.Avia.Freight.ExtraEEAwUK</t>
  </si>
  <si>
    <t>Flights.number.CZ.Tr.Avia</t>
  </si>
  <si>
    <t>Flights.number.CZ.Tr.Avia.Passenger</t>
  </si>
  <si>
    <t>Flights.number.CZ.Tr.Avia.Passenger.Domestic</t>
  </si>
  <si>
    <t>Flights.number.CZ.Tr.Avia.Passenger.IntraEEAwUK</t>
  </si>
  <si>
    <t>Flights.number.CZ.Tr.Avia.Passenger.ExtraEEAwUK</t>
  </si>
  <si>
    <t>Flights.number.CZ.Tr.Avia.Freight</t>
  </si>
  <si>
    <t>Flights.number.CZ.Tr.Avia.Freight.Domestic</t>
  </si>
  <si>
    <t>Flights.number.CZ.Tr.Avia.Freight.IntraEEAwUK</t>
  </si>
  <si>
    <t>Flights.number.CZ.Tr.Avia.Freight.ExtraEEAwUK</t>
  </si>
  <si>
    <t>VolCarried.passenger.CZ.Tr.Avia.Passenger</t>
  </si>
  <si>
    <t>VolCarried.passenger.CZ.Tr.Avia.Passenger.Domestic</t>
  </si>
  <si>
    <t>VolCarried.passenger.CZ.Tr.Avia.Passenger.IntraEEAwUK</t>
  </si>
  <si>
    <t>VolCarried.passenger.CZ.Tr.Avia.Passenger.ExtraEEAwUK</t>
  </si>
  <si>
    <t>VolCarried.t.CZ.Tr.Avia.Freight</t>
  </si>
  <si>
    <t>VolCarried.t.CZ.Tr.Avia.Freight.Domestic</t>
  </si>
  <si>
    <t>VolCarried.t.CZ.Tr.Avia.Freight.IntraEEAwUK</t>
  </si>
  <si>
    <t>VolCarried.t.CZ.Tr.Avia.Freight.ExtraEEAwUK</t>
  </si>
  <si>
    <t>Stock.number.CZ.Tr.Avia</t>
  </si>
  <si>
    <t>Stock.number.CZ.Tr.Avia.Passenger</t>
  </si>
  <si>
    <t>Stock.number.CZ.Tr.Avia.Passenger.Domestic</t>
  </si>
  <si>
    <t>Stock.number.CZ.Tr.Avia.Passenger.IntraEEAwUK</t>
  </si>
  <si>
    <t>Stock.number.CZ.Tr.Avia.Passenger.ExtraEEAwUK</t>
  </si>
  <si>
    <t>Stock.number.CZ.Tr.Avia.Freight</t>
  </si>
  <si>
    <t>Stock.number.CZ.Tr.Avia.Freight.Domestic</t>
  </si>
  <si>
    <t>Stock.number.CZ.Tr.Avia.Freight.IntraEEAwUK</t>
  </si>
  <si>
    <t>Stock.number.CZ.Tr.Avia.Freight.ExtraEEAwUK</t>
  </si>
  <si>
    <t>StockNew.number.CZ.Tr.Avia</t>
  </si>
  <si>
    <t>StockNew.number.CZ.Tr.Avia.Passenger</t>
  </si>
  <si>
    <t>StockNew.number.CZ.Tr.Avia.Passenger.Domestic</t>
  </si>
  <si>
    <t>StockNew.number.CZ.Tr.Avia.Passenger.IntraEEAwUK</t>
  </si>
  <si>
    <t>StockNew.number.CZ.Tr.Avia.Passenger.ExtraEEAwUK</t>
  </si>
  <si>
    <t>StockNew.number.CZ.Tr.Avia.Freight</t>
  </si>
  <si>
    <t>StockNew.number.CZ.Tr.Avia.Freight.Domestic</t>
  </si>
  <si>
    <t>StockNew.number.CZ.Tr.Avia.Freight.IntraEEAwUK</t>
  </si>
  <si>
    <t>StockNew.number.CZ.Tr.Avia.Freight.ExtraEEAwUK</t>
  </si>
  <si>
    <t>Load.passenger_per_movement.CZ.Tr.Avia.Passenger</t>
  </si>
  <si>
    <t>Load.passenger_per_movement.CZ.Tr.Avia.Passenger.Domestic</t>
  </si>
  <si>
    <t>Load.passenger_per_movement.CZ.Tr.Avia.Passenger.IntraEEAwUK</t>
  </si>
  <si>
    <t>Load.passenger_per_movement.CZ.Tr.Avia.Passenger.ExtraEEAwUK</t>
  </si>
  <si>
    <t>Load.t_per_movement.CZ.Tr.Avia.Freight</t>
  </si>
  <si>
    <t>Load.t_per_movement.CZ.Tr.Avia.Freight.Domestic</t>
  </si>
  <si>
    <t>Load.t_per_movement.CZ.Tr.Avia.Freight.IntraEEAwUK</t>
  </si>
  <si>
    <t>Load.t_per_movement.CZ.Tr.Avia.Freight.ExtraEEAwUK</t>
  </si>
  <si>
    <t>VehicleKm_per_flight.km.CZ.Tr.Avia</t>
  </si>
  <si>
    <t>VehicleKm_per_flight.km.CZ.Tr.Avia.Passenger</t>
  </si>
  <si>
    <t>VehicleKm_per_flight.km.CZ.Tr.Avia.Passenger.Domestic</t>
  </si>
  <si>
    <t>VehicleKm_per_flight.km.CZ.Tr.Avia.Passenger.IntraEEAwUK</t>
  </si>
  <si>
    <t>VehicleKm_per_flight.km.CZ.Tr.Avia.Passenger.ExtraEEAwUK</t>
  </si>
  <si>
    <t>VehicleKm_per_flight.km.CZ.Tr.Avia.Freight</t>
  </si>
  <si>
    <t>VehicleKm_per_flight.km.CZ.Tr.Avia.Freight.Domestic</t>
  </si>
  <si>
    <t>VehicleKm_per_flight.km.CZ.Tr.Avia.Freight.IntraEEAwUK</t>
  </si>
  <si>
    <t>VehicleKm_per_flight.km.CZ.Tr.Avia.Freight.ExtraEEAwUK</t>
  </si>
  <si>
    <t>Activity_per_flight.pkm.CZ.Tr.Avia.Passenger</t>
  </si>
  <si>
    <t>Activity_per_flight.pkm.CZ.Tr.Avia.Passenger.Domestic</t>
  </si>
  <si>
    <t>Activity_per_flight.pkm.CZ.Tr.Avia.Passenger.IntraEEAwUK</t>
  </si>
  <si>
    <t>Activity_per_flight.pkm.CZ.Tr.Avia.Passenger.ExtraEEAwUK</t>
  </si>
  <si>
    <t>Activity_per_flight.tkm.CZ.Tr.Avia.Freight</t>
  </si>
  <si>
    <t>Activity_per_flight.tkm.CZ.Tr.Avia.Freight.Domestic</t>
  </si>
  <si>
    <t>Activity_per_flight.tkm.CZ.Tr.Avia.Freight.IntraEEAwUK</t>
  </si>
  <si>
    <t>Activity_per_flight.tkm.CZ.Tr.Avia.Freight.ExtraEEAwUK</t>
  </si>
  <si>
    <t>Flights_per_vehicle.number.CZ.Tr.Avia</t>
  </si>
  <si>
    <t>Flights_per_vehicle.number.CZ.Tr.Avia.Passenger</t>
  </si>
  <si>
    <t>Flights_per_vehicle.number.CZ.Tr.Avia.Passenger.Domestic</t>
  </si>
  <si>
    <t>Flights_per_vehicle.number.CZ.Tr.Avia.Passenger.IntraEEAwUK</t>
  </si>
  <si>
    <t>Flights_per_vehicle.number.CZ.Tr.Avia.Passenger.ExtraEEAwUK</t>
  </si>
  <si>
    <t>Flights_per_vehicle.number.CZ.Tr.Avia.Freight</t>
  </si>
  <si>
    <t>Flights_per_vehicle.number.CZ.Tr.Avia.Freight.Domestic</t>
  </si>
  <si>
    <t>Flights_per_vehicle.number.CZ.Tr.Avia.Freight.IntraEEAwUK</t>
  </si>
  <si>
    <t>Flights_per_vehicle.number.CZ.Tr.Avia.Freight.ExtraEEAwUK</t>
  </si>
  <si>
    <t>Aviation / energy consumption - CZ - Czechia</t>
  </si>
  <si>
    <t>FEC.ktoe.CZ.Tr.Avia</t>
  </si>
  <si>
    <t>FEC.ktoe.CZ.Tr.Avia.Domestic</t>
  </si>
  <si>
    <t>FEC.ktoe.CZ.Tr.Avia.International</t>
  </si>
  <si>
    <t>FEC.ktoe.CZ.Tr.Avia.Passenger</t>
  </si>
  <si>
    <t>FEC.ktoe.CZ.Tr.Avia.Passenger.Domestic</t>
  </si>
  <si>
    <t>FEC.ktoe.CZ.Tr.Avia.Passenger.IntraEEAwUK</t>
  </si>
  <si>
    <t>FEC.ktoe.CZ.Tr.Avia.Passenger.ExtraEEAwUK</t>
  </si>
  <si>
    <t>FEC.ktoe.CZ.Tr.Avia.Freight</t>
  </si>
  <si>
    <t>FEC.ktoe.CZ.Tr.Avia.Freight.Domestic</t>
  </si>
  <si>
    <t>FEC.ktoe.CZ.Tr.Avia.Freight.IntraEEAwUK</t>
  </si>
  <si>
    <t>FEC.ktoe.CZ.Tr.Avia.Freight.ExtraEEAwUK</t>
  </si>
  <si>
    <t>Eff.kgoe_per_100km.CZ.Tr.Avia</t>
  </si>
  <si>
    <t>Eff.kgoe_per_100km.CZ.Tr.Avia.Passenger</t>
  </si>
  <si>
    <t>Eff.kgoe_per_100km.CZ.Tr.Avia.Passenger.Domestic</t>
  </si>
  <si>
    <t>Eff.kgoe_per_100km.CZ.Tr.Avia.Passenger.IntraEEAwUK</t>
  </si>
  <si>
    <t>Eff.kgoe_per_100km.CZ.Tr.Avia.Passenger.ExtraEEAwUK</t>
  </si>
  <si>
    <t>Eff.kgoe_per_100km.CZ.Tr.Avia.Freight</t>
  </si>
  <si>
    <t>Eff.kgoe_per_100km.CZ.Tr.Avia.Freight.Domestic</t>
  </si>
  <si>
    <t>Eff.kgoe_per_100km.CZ.Tr.Avia.Freight.IntraEEAwUK</t>
  </si>
  <si>
    <t>Eff.kgoe_per_100km.CZ.Tr.Avia.Freight.ExtraEEAwUK</t>
  </si>
  <si>
    <t>Eff.kgoe_per_kpkm.CZ.Tr.Avia.Passenger</t>
  </si>
  <si>
    <t>Eff.kgoe_per_kpkm.CZ.Tr.Avia.Passenger.Domestic</t>
  </si>
  <si>
    <t>Eff.kgoe_per_kpkm.CZ.Tr.Avia.Passenger.IntraEEAwUK</t>
  </si>
  <si>
    <t>Eff.kgoe_per_kpkm.CZ.Tr.Avia.Passenger.ExtraEEAwUK</t>
  </si>
  <si>
    <t>Eff.kgoe_per_ktkm.CZ.Tr.Avia.Freight</t>
  </si>
  <si>
    <t>Eff.kgoe_per_ktkm.CZ.Tr.Avia.Freight.Domestic</t>
  </si>
  <si>
    <t>Eff.kgoe_per_ktkm.CZ.Tr.Avia.Freight.IntraEEAwUK</t>
  </si>
  <si>
    <t>Eff.kgoe_per_ktkm.CZ.Tr.Avia.Freight.ExtraEEAwUK</t>
  </si>
  <si>
    <t>FEC_per_flight.kgoe.CZ.Tr.Avia</t>
  </si>
  <si>
    <t>FEC_per_flight.kgoe.CZ.Tr.Avia.Passenger</t>
  </si>
  <si>
    <t>FEC_per_flight.kgoe.CZ.Tr.Avia.Passenger.Domestic</t>
  </si>
  <si>
    <t>FEC_per_flight.kgoe.CZ.Tr.Avia.Passenger.IntraEEAwUK</t>
  </si>
  <si>
    <t>FEC_per_flight.kgoe.CZ.Tr.Avia.Passenger.ExtraEEAwUK</t>
  </si>
  <si>
    <t>FEC_per_flight.kgoe.CZ.Tr.Avia.Freight</t>
  </si>
  <si>
    <t>FEC_per_flight.kgoe.CZ.Tr.Avia.Freight.Domestic</t>
  </si>
  <si>
    <t>FEC_per_flight.kgoe.CZ.Tr.Avia.Freight.IntraEEAwUK</t>
  </si>
  <si>
    <t>FEC_per_flight.kgoe.CZ.Tr.Avia.Freight.ExtraEEAwUK</t>
  </si>
  <si>
    <t>Eff_theor.kgoe_per_100km.CZ.Tr.Avia</t>
  </si>
  <si>
    <t>Eff_theor.kgoe_per_100km.CZ.Tr.Avia.Passenger</t>
  </si>
  <si>
    <t>Eff_theor.kgoe_per_100km.CZ.Tr.Avia.Passenger.Domestic</t>
  </si>
  <si>
    <t>Eff_theor.kgoe_per_100km.CZ.Tr.Avia.Passenger.IntraEEAwUK</t>
  </si>
  <si>
    <t>Eff_theor.kgoe_per_100km.CZ.Tr.Avia.Passenger.ExtraEEAwUK</t>
  </si>
  <si>
    <t>Eff_theor.kgoe_per_100km.CZ.Tr.Avia.Freight</t>
  </si>
  <si>
    <t>Eff_theor.kgoe_per_100km.CZ.Tr.Avia.Freight.Domestic</t>
  </si>
  <si>
    <t>Eff_theor.kgoe_per_100km.CZ.Tr.Avia.Freight.IntraEEAwUK</t>
  </si>
  <si>
    <t>Eff_theor.kgoe_per_100km.CZ.Tr.Avia.Freight.ExtraEEAwUK</t>
  </si>
  <si>
    <t>Aviation / CO2 emissions - CZ - Czechia</t>
  </si>
  <si>
    <t>EMI.ktCO2.CZ.Tr.Avia</t>
  </si>
  <si>
    <t>EMI.ktCO2.CZ.Tr.Avia.Domestic</t>
  </si>
  <si>
    <t>EMI.ktCO2.CZ.Tr.Avia.International</t>
  </si>
  <si>
    <t>EMI.ktCO2.CZ.Tr.Avia.Passenger</t>
  </si>
  <si>
    <t>EMI.ktCO2.CZ.Tr.Avia.Passenger.Domestic</t>
  </si>
  <si>
    <t>EMI.ktCO2.CZ.Tr.Avia.Passenger.IntraEEAwUK</t>
  </si>
  <si>
    <t>EMI.ktCO2.CZ.Tr.Avia.Passenger.ExtraEEAwUK</t>
  </si>
  <si>
    <t>EMI.ktCO2.CZ.Tr.Avia.Freight</t>
  </si>
  <si>
    <t>EMI.ktCO2.CZ.Tr.Avia.Freight.Domestic</t>
  </si>
  <si>
    <t>EMI.ktCO2.CZ.Tr.Avia.Freight.IntraEEAwUK</t>
  </si>
  <si>
    <t>EMI.ktCO2.CZ.Tr.Avia.Freight.ExtraEEAwUK</t>
  </si>
  <si>
    <t>EMIint.gCO2_per_km.CZ.Tr.Avia</t>
  </si>
  <si>
    <t>EMIint.gCO2_per_km.CZ.Tr.Avia.Passenger</t>
  </si>
  <si>
    <t>EMIint.gCO2_per_km.CZ.Tr.Avia.Passenger.Domestic</t>
  </si>
  <si>
    <t>EMIint.gCO2_per_km.CZ.Tr.Avia.Passenger.IntraEEAwUK</t>
  </si>
  <si>
    <t>EMIint.gCO2_per_km.CZ.Tr.Avia.Passenger.ExtraEEAwUK</t>
  </si>
  <si>
    <t>EMIint.gCO2_per_km.CZ.Tr.Avia.Freight</t>
  </si>
  <si>
    <t>EMIint.gCO2_per_km.CZ.Tr.Avia.Freight.Domestic</t>
  </si>
  <si>
    <t>EMIint.gCO2_per_km.CZ.Tr.Avia.Freight.IntraEEAwUK</t>
  </si>
  <si>
    <t>EMIint.gCO2_per_km.CZ.Tr.Avia.Freight.ExtraEEAwUK</t>
  </si>
  <si>
    <t>EMIint.gCO2_per_pkm.CZ.Tr.Avia.Passenger</t>
  </si>
  <si>
    <t>EMIint.gCO2_per_pkm.CZ.Tr.Avia.Passenger.Domestic</t>
  </si>
  <si>
    <t>EMIint.gCO2_per_pkm.CZ.Tr.Avia.Passenger.IntraEEAwUK</t>
  </si>
  <si>
    <t>EMIint.gCO2_per_pkm.CZ.Tr.Avia.Passenger.ExtraEEAwUK</t>
  </si>
  <si>
    <t>EMIint.gCO2_per_tkm.CZ.Tr.Avia.Freight</t>
  </si>
  <si>
    <t>EMIint.gCO2_per_tkm.CZ.Tr.Avia.Freight.Domestic</t>
  </si>
  <si>
    <t>EMIint.gCO2_per_tkm.CZ.Tr.Avia.Freight.IntraEEAwUK</t>
  </si>
  <si>
    <t>EMIint.gCO2_per_tkm.CZ.Tr.Avia.Freight.ExtraEEAwUK</t>
  </si>
  <si>
    <t>EMI_per_flight.kgCO2.CZ.Tr.Avia</t>
  </si>
  <si>
    <t>EMI_per_flight.kgCO2.CZ.Tr.Avia.Passenger</t>
  </si>
  <si>
    <t>EMI_per_flight.kgCO2.CZ.Tr.Avia.Passenger.Domestic</t>
  </si>
  <si>
    <t>EMI_per_flight.kgCO2.CZ.Tr.Avia.Passenger.IntraEEAwUK</t>
  </si>
  <si>
    <t>EMI_per_flight.kgCO2.CZ.Tr.Avia.Passenger.ExtraEEAwUK</t>
  </si>
  <si>
    <t>EMI_per_flight.kgCO2.CZ.Tr.Avia.Freight</t>
  </si>
  <si>
    <t>EMI_per_flight.kgCO2.CZ.Tr.Avia.Freight.Domestic</t>
  </si>
  <si>
    <t>EMI_per_flight.kgCO2.CZ.Tr.Avia.Freight.IntraEEAwUK</t>
  </si>
  <si>
    <t>EMI_per_flight.kgCO2.CZ.Tr.Avia.Freight.ExtraEEAwUK</t>
  </si>
  <si>
    <t>Aviation / passenger transport specific data - CZ - Czechia</t>
  </si>
  <si>
    <t>TrCap.seats.CZ.Tr.Avia.Passenger</t>
  </si>
  <si>
    <t>TrCap.seats.CZ.Tr.Avia.Passenger.Domestic</t>
  </si>
  <si>
    <t>TrCap.seats.CZ.Tr.Avia.Passenger.IntraEEAwUK</t>
  </si>
  <si>
    <t>TrCap.seats.CZ.Tr.Avia.Passenger.ExtraEEAwUK</t>
  </si>
  <si>
    <t>TrCap_per_flight.seats.CZ.Tr.Avia.Passenger</t>
  </si>
  <si>
    <t>TrCap_per_flight.seats.CZ.Tr.Avia.Passenger.Domestic</t>
  </si>
  <si>
    <t>TrCap_per_flight.seats.CZ.Tr.Avia.Passenger.IntraEEAwUK</t>
  </si>
  <si>
    <t>TrCap_per_flight.seats.CZ.Tr.Avia.Passenger.ExtraEEAwUK</t>
  </si>
  <si>
    <t>Transport overview - CZ - Czechia</t>
  </si>
  <si>
    <t>Activity.Mpkm.CZ.Tr</t>
  </si>
  <si>
    <t>Activity.Mpkm.CZ.Tr.Road.Passenger</t>
  </si>
  <si>
    <t>Activity.Mpkm.CZ.Tr.Road.Passenger.P2W</t>
  </si>
  <si>
    <t>Activity.Mpkm.CZ.Tr.Road.Passenger.Car</t>
  </si>
  <si>
    <t>Activity.Mpkm.CZ.Tr.Road.Passenger.Bus</t>
  </si>
  <si>
    <t>Activity.Mpkm.CZ.Tr.Rail.Passenger</t>
  </si>
  <si>
    <t>Activity.Mpkm.CZ.Tr.Rail.Passenger.MTU</t>
  </si>
  <si>
    <t>Activity.Mpkm.CZ.Tr.Rail.Passenger.CPT</t>
  </si>
  <si>
    <t>Activity.Mpkm.CZ.Tr.Rail.Passenger.HST</t>
  </si>
  <si>
    <t>Activity.Mtkm.CZ.Tr</t>
  </si>
  <si>
    <t>Activity.Mtkm.CZ.Tr.Road.Freight</t>
  </si>
  <si>
    <t>Activity.Mtkm.CZ.Tr.Road.Freight.LCV</t>
  </si>
  <si>
    <t>Activity.Mtkm.CZ.Tr.Road.Freight.HGV</t>
  </si>
  <si>
    <t>Activity.Mtkm.CZ.Tr.Rail.Freight</t>
  </si>
  <si>
    <t>Activity.Mtkm.CZ.Tr.DNavi.Freight</t>
  </si>
  <si>
    <t>Activity.Mtkm.CZ.Tr.DNavi.Freight.DCS</t>
  </si>
  <si>
    <t>Activity.Mtkm.CZ.Tr.DNavi.Freight.IWW</t>
  </si>
  <si>
    <t>Activity.Mtkm.CZ.MBunk.Freight</t>
  </si>
  <si>
    <t>Activity.Mtkm.CZ.MBunk.Freight.IntraEEA</t>
  </si>
  <si>
    <t>Activity.Mtkm.CZ.MBunk.Freight.ExtraEEA</t>
  </si>
  <si>
    <t>FEC.ktoe.CZ.Tr.Road.Passenger</t>
  </si>
  <si>
    <t>FEC.ktoe.CZ.Tr.Road.Passenger.P2W</t>
  </si>
  <si>
    <t>FEC.ktoe.CZ.Tr.Road.Passenger.Car</t>
  </si>
  <si>
    <t>FEC.ktoe.CZ.Tr.Road.Passenger.Bus</t>
  </si>
  <si>
    <t>FEC.ktoe.CZ.Tr.Rail.Passenger</t>
  </si>
  <si>
    <t>FEC.ktoe.CZ.Tr.Rail.Passenger.MTU</t>
  </si>
  <si>
    <t>FEC.ktoe.CZ.Tr.Rail.Passenger.CPT</t>
  </si>
  <si>
    <t>FEC.ktoe.CZ.Tr.Rail.Passenger.HST</t>
  </si>
  <si>
    <t>FEC.ktoe.CZ.Tr.Road.Freight</t>
  </si>
  <si>
    <t>FEC.ktoe.CZ.Tr.Road.Freight.LCV</t>
  </si>
  <si>
    <t>FEC.ktoe.CZ.Tr.Road.Freight.HGV</t>
  </si>
  <si>
    <t>FEC.ktoe.CZ.Tr.Rail.Freight</t>
  </si>
  <si>
    <t>EMI.ktCO2.CZ.Tr.Road.Passenger</t>
  </si>
  <si>
    <t>EMI.ktCO2.CZ.Tr.Road.Passenger.P2W</t>
  </si>
  <si>
    <t>EMI.ktCO2.CZ.Tr.Road.Passenger.Car</t>
  </si>
  <si>
    <t>EMI.ktCO2.CZ.Tr.Road.Passenger.Bus</t>
  </si>
  <si>
    <t>EMI.ktCO2.CZ.Tr.Rail.Passenger</t>
  </si>
  <si>
    <t>EMI.ktCO2.CZ.Tr.Rail.Passenger.MTU</t>
  </si>
  <si>
    <t>EMI.ktCO2.CZ.Tr.Rail.Passenger.CPT</t>
  </si>
  <si>
    <t>EMI.ktCO2.CZ.Tr.Rail.Passenger.HST</t>
  </si>
  <si>
    <t>EMI.ktCO2.CZ.Tr.Road.Freight</t>
  </si>
  <si>
    <t>EMI.ktCO2.CZ.Tr.Road.Freight.LCV</t>
  </si>
  <si>
    <t>EMI.ktCO2.CZ.Tr.Road.Freight.HGV</t>
  </si>
  <si>
    <t>EMI.ktCO2.CZ.Tr.Rail.Freight</t>
  </si>
  <si>
    <t>Eff.kgoe_per_kpkm.CZ.Tr</t>
  </si>
  <si>
    <t>Eff.kgoe_per_kpkm.CZ.Tr.Road.Passenger</t>
  </si>
  <si>
    <t>Eff.kgoe_per_kpkm.CZ.Tr.Road.Passenger.P2W</t>
  </si>
  <si>
    <t>Eff.kgoe_per_kpkm.CZ.Tr.Road.Passenger.Car</t>
  </si>
  <si>
    <t>Eff.kgoe_per_kpkm.CZ.Tr.Road.Passenger.Bus</t>
  </si>
  <si>
    <t>Eff.kgoe_per_kpkm.CZ.Tr.Rail.Passenger</t>
  </si>
  <si>
    <t>Eff.kgoe_per_kpkm.CZ.Tr.Rail.Passenger.MTU</t>
  </si>
  <si>
    <t>Eff.kgoe_per_kpkm.CZ.Tr.Rail.Passenger.CPT</t>
  </si>
  <si>
    <t>Eff.kgoe_per_kpkm.CZ.Tr.Rail.Passenger.HST</t>
  </si>
  <si>
    <t>Eff.kgoe_per_ktkm.CZ.Tr</t>
  </si>
  <si>
    <t>Eff.kgoe_per_ktkm.CZ.Tr.Road.Freight</t>
  </si>
  <si>
    <t>Eff.kgoe_per_ktkm.CZ.Tr.Road.Freight.LCV</t>
  </si>
  <si>
    <t>Eff.kgoe_per_ktkm.CZ.Tr.Road.Freight.HGV</t>
  </si>
  <si>
    <t>Eff.kgoe_per_ktkm.CZ.Tr.Rail.Freight</t>
  </si>
  <si>
    <t>Eff.kgoe_per_ktkm.CZ.Tr.DNavi.Freight</t>
  </si>
  <si>
    <t>Eff.kgoe_per_ktkm.CZ.Tr.DNavi.Freight.DCS</t>
  </si>
  <si>
    <t>Eff.kgoe_per_ktkm.CZ.Tr.DNavi.Freight.IWW</t>
  </si>
  <si>
    <t>Eff.kgoe_per_ktkm.CZ.MBunk.Freight</t>
  </si>
  <si>
    <t>Eff.kgoe_per_ktkm.CZ.MBunk.Freight.IntraEEA</t>
  </si>
  <si>
    <t>Eff.kgoe_per_ktkm.CZ.MBunk.Freight.ExtraEEA</t>
  </si>
  <si>
    <t>EMIint.gCO2_per_pkm.CZ.Tr</t>
  </si>
  <si>
    <t>EMIint.gCO2_per_pkm.CZ.Tr.Road.Passenger</t>
  </si>
  <si>
    <t>EMIint.gCO2_per_pkm.CZ.Tr.Road.Passenger.P2W</t>
  </si>
  <si>
    <t>EMIint.gCO2_per_pkm.CZ.Tr.Road.Passenger.Car</t>
  </si>
  <si>
    <t>EMIint.gCO2_per_pkm.CZ.Tr.Road.Passenger.Bus</t>
  </si>
  <si>
    <t>EMIint.gCO2_per_pkm.CZ.Tr.Rail.Passenger</t>
  </si>
  <si>
    <t>EMIint.gCO2_per_pkm.CZ.Tr.Rail.Passenger.MTU</t>
  </si>
  <si>
    <t>EMIint.gCO2_per_pkm.CZ.Tr.Rail.Passenger.CPT</t>
  </si>
  <si>
    <t>EMIint.gCO2_per_pkm.CZ.Tr.Rail.Passenger.HST</t>
  </si>
  <si>
    <t>EMIint.gCO2_per_tkm.CZ.Tr</t>
  </si>
  <si>
    <t>EMIint.gCO2_per_tkm.CZ.Tr.Road.Freight</t>
  </si>
  <si>
    <t>EMIint.gCO2_per_tkm.CZ.Tr.Road.Freight.LCV</t>
  </si>
  <si>
    <t>EMIint.gCO2_per_tkm.CZ.Tr.Road.Freight.HGV</t>
  </si>
  <si>
    <t>EMIint.gCO2_per_tkm.CZ.Tr.Rail.Freight</t>
  </si>
  <si>
    <t>EMIint.gCO2_per_tkm.CZ.Tr.DNavi.Freight</t>
  </si>
  <si>
    <t>EMIint.gCO2_per_tkm.CZ.Tr.DNavi.Freight.DCS</t>
  </si>
  <si>
    <t>EMIint.gCO2_per_tkm.CZ.Tr.DNavi.Freight.IWW</t>
  </si>
  <si>
    <t>EMIint.gCO2_per_tkm.CZ.MBunk.Freight</t>
  </si>
  <si>
    <t>EMIint.gCO2_per_tkm.CZ.MBunk.Freight.IntraEEA</t>
  </si>
  <si>
    <t>EMIint.gCO2_per_tkm.CZ.MBunk.Freight.ExtraEEA</t>
  </si>
  <si>
    <t>Road transport - CZ - Czechia</t>
  </si>
  <si>
    <t>Activity.Mpkm.CZ.Tr.Road.Passenger.Car.ICE.Gasoline</t>
  </si>
  <si>
    <t>Activity.Mpkm.CZ.Tr.Road.Passenger.Car.ICE.Diesel</t>
  </si>
  <si>
    <t>Activity.Mpkm.CZ.Tr.Road.Passenger.Car.ICE.LPG</t>
  </si>
  <si>
    <t>Activity.Mpkm.CZ.Tr.Road.Passenger.Car.ICE.NGas</t>
  </si>
  <si>
    <t>Activity.Mpkm.CZ.Tr.Road.Passenger.Car.PHEV</t>
  </si>
  <si>
    <t>Activity.Mpkm.CZ.Tr.Road.Passenger.Car.BEV</t>
  </si>
  <si>
    <t>Activity.Mpkm.CZ.Tr.Road.Passenger.Bus.ICE.Gasoline</t>
  </si>
  <si>
    <t>Activity.Mpkm.CZ.Tr.Road.Passenger.Bus.ICE.Diesel</t>
  </si>
  <si>
    <t>Activity.Mpkm.CZ.Tr.Road.Passenger.Bus.ICE.LPG</t>
  </si>
  <si>
    <t>Activity.Mpkm.CZ.Tr.Road.Passenger.Bus.ICE.NGas</t>
  </si>
  <si>
    <t>Activity.Mpkm.CZ.Tr.Road.Passenger.Bus.ICE.BEV</t>
  </si>
  <si>
    <t>Activity.Mtkm.CZ.Tr.Road.Freight.LCV.ICE.Gasoline</t>
  </si>
  <si>
    <t>Activity.Mtkm.CZ.Tr.Road.Freight.LCV.ICE.Diesel</t>
  </si>
  <si>
    <t>Activity.Mtkm.CZ.Tr.Road.Freight.LCV.ICE.LPG</t>
  </si>
  <si>
    <t>Activity.Mtkm.CZ.Tr.Road.Freight.LCV.ICE.NGas</t>
  </si>
  <si>
    <t>Activity.Mtkm.CZ.Tr.Road.Freight.LCV.ICE.BEV</t>
  </si>
  <si>
    <t>Activity.Mtkm.CZ.Tr.Road.Freight.HGV.Domestic</t>
  </si>
  <si>
    <t>Activity.Mtkm.CZ.Tr.Road.Freight.HGV.International</t>
  </si>
  <si>
    <t>VehicleKm.Mkm.CZ.Tr.Road</t>
  </si>
  <si>
    <t>VehicleKm.Mkm.CZ.Tr.Road.Passenger</t>
  </si>
  <si>
    <t>VehicleKm.Mkm.CZ.Tr.Road.Passenger.P2W</t>
  </si>
  <si>
    <t>VehicleKm.Mkm.CZ.Tr.Road.Passenger.Car</t>
  </si>
  <si>
    <t>VehicleKm.Mkm.CZ.Tr.Road.Passenger.Car.ICE.Gasoline</t>
  </si>
  <si>
    <t>VehicleKm.Mkm.CZ.Tr.Road.Passenger.Car.ICE.Diesel</t>
  </si>
  <si>
    <t>VehicleKm.Mkm.CZ.Tr.Road.Passenger.Car.ICE.LPG</t>
  </si>
  <si>
    <t>VehicleKm.Mkm.CZ.Tr.Road.Passenger.Car.ICE.NGas</t>
  </si>
  <si>
    <t>VehicleKm.Mkm.CZ.Tr.Road.Passenger.Car.PHEV</t>
  </si>
  <si>
    <t>VehicleKm.Mkm.CZ.Tr.Road.Passenger.Car.BEV</t>
  </si>
  <si>
    <t>VehicleKm.Mkm.CZ.Tr.Road.Passenger.Bus</t>
  </si>
  <si>
    <t>VehicleKm.Mkm.CZ.Tr.Road.Passenger.Bus.ICE.Gasoline</t>
  </si>
  <si>
    <t>VehicleKm.Mkm.CZ.Tr.Road.Passenger.Bus.ICE.Diesel</t>
  </si>
  <si>
    <t>VehicleKm.Mkm.CZ.Tr.Road.Passenger.Bus.ICE.LPG</t>
  </si>
  <si>
    <t>VehicleKm.Mkm.CZ.Tr.Road.Passenger.Bus.ICE.NGas</t>
  </si>
  <si>
    <t>VehicleKm.Mkm.CZ.Tr.Road.Passenger.Bus.ICE.BEV</t>
  </si>
  <si>
    <t>VehicleKm.Mkm.CZ.Tr.Road.Freight</t>
  </si>
  <si>
    <t>VehicleKm.Mkm.CZ.Tr.Road.Freight.LCV</t>
  </si>
  <si>
    <t>VehicleKm.Mkm.CZ.Tr.Road.Freight.LCV.ICE.Gasoline</t>
  </si>
  <si>
    <t>VehicleKm.Mkm.CZ.Tr.Road.Freight.LCV.ICE.Diesel</t>
  </si>
  <si>
    <t>VehicleKm.Mkm.CZ.Tr.Road.Freight.LCV.ICE.LPG</t>
  </si>
  <si>
    <t>VehicleKm.Mkm.CZ.Tr.Road.Freight.LCV.ICE.NGas</t>
  </si>
  <si>
    <t>VehicleKm.Mkm.CZ.Tr.Road.Freight.LCV.ICE.BEV</t>
  </si>
  <si>
    <t>VehicleKm.Mkm.CZ.Tr.Road.Freight.HGV</t>
  </si>
  <si>
    <t>VehicleKm.Mkm.CZ.Tr.Road.Freight.HGV.Domestic</t>
  </si>
  <si>
    <t>VehicleKm.Mkm.CZ.Tr.Road.Freight.HGV.International</t>
  </si>
  <si>
    <t>Stock.number.CZ.Tr.Road</t>
  </si>
  <si>
    <t>Stock.number.CZ.Tr.Road.Passenger</t>
  </si>
  <si>
    <t>Stock.number.CZ.Tr.Road.Passenger.P2W</t>
  </si>
  <si>
    <t>Stock.number.CZ.Tr.Road.Passenger.Car</t>
  </si>
  <si>
    <t>Stock.number.CZ.Tr.Road.Passenger.Car.ICE.Gasoline</t>
  </si>
  <si>
    <t>Stock.number.CZ.Tr.Road.Passenger.Car.ICE.Diesel</t>
  </si>
  <si>
    <t>Stock.number.CZ.Tr.Road.Passenger.Car.ICE.LPG</t>
  </si>
  <si>
    <t>Stock.number.CZ.Tr.Road.Passenger.Car.ICE.NGas</t>
  </si>
  <si>
    <t>Stock.number.CZ.Tr.Road.Passenger.Car.PHEV</t>
  </si>
  <si>
    <t>Stock.number.CZ.Tr.Road.Passenger.Car.BEV</t>
  </si>
  <si>
    <t>Stock.number.CZ.Tr.Road.Passenger.Bus</t>
  </si>
  <si>
    <t>Stock.number.CZ.Tr.Road.Passenger.Bus.ICE.Gasoline</t>
  </si>
  <si>
    <t>Stock.number.CZ.Tr.Road.Passenger.Bus.ICE.Diesel</t>
  </si>
  <si>
    <t>Stock.number.CZ.Tr.Road.Passenger.Bus.ICE.LPG</t>
  </si>
  <si>
    <t>Stock.number.CZ.Tr.Road.Passenger.Bus.ICE.NGas</t>
  </si>
  <si>
    <t>Stock.number.CZ.Tr.Road.Passenger.Bus.ICE.BEV</t>
  </si>
  <si>
    <t>Stock.number.CZ.Tr.Road.Freight</t>
  </si>
  <si>
    <t>Stock.number.CZ.Tr.Road.Freight.LCV</t>
  </si>
  <si>
    <t>Stock.number.CZ.Tr.Road.Freight.LCV.ICE.Gasoline</t>
  </si>
  <si>
    <t>Stock.number.CZ.Tr.Road.Freight.LCV.ICE.Diesel</t>
  </si>
  <si>
    <t>Stock.number.CZ.Tr.Road.Freight.LCV.ICE.LPG</t>
  </si>
  <si>
    <t>Stock.number.CZ.Tr.Road.Freight.LCV.ICE.NGas</t>
  </si>
  <si>
    <t>Stock.number.CZ.Tr.Road.Freight.LCV.ICE.BEV</t>
  </si>
  <si>
    <t>Stock.number.CZ.Tr.Road.Freight.HGV</t>
  </si>
  <si>
    <t>Stock.number.CZ.Tr.Road.Freight.HGV.Domestic</t>
  </si>
  <si>
    <t>Stock.number.CZ.Tr.Road.Freight.HGV.International</t>
  </si>
  <si>
    <t>StockNew.number.CZ.Tr.Road</t>
  </si>
  <si>
    <t>StockNew.number.CZ.Tr.Road.Passenger</t>
  </si>
  <si>
    <t>StockNew.number.CZ.Tr.Road.Passenger.P2W</t>
  </si>
  <si>
    <t>StockNew.number.CZ.Tr.Road.Passenger.Car</t>
  </si>
  <si>
    <t>StockNew.number.CZ.Tr.Road.Passenger.Car.ICE.Gasoline</t>
  </si>
  <si>
    <t>StockNew.number.CZ.Tr.Road.Passenger.Car.ICE.Diesel</t>
  </si>
  <si>
    <t>StockNew.number.CZ.Tr.Road.Passenger.Car.ICE.LPG</t>
  </si>
  <si>
    <t>StockNew.number.CZ.Tr.Road.Passenger.Car.ICE.NGas</t>
  </si>
  <si>
    <t>StockNew.number.CZ.Tr.Road.Passenger.Car.PHEV</t>
  </si>
  <si>
    <t>StockNew.number.CZ.Tr.Road.Passenger.Car.BEV</t>
  </si>
  <si>
    <t>StockNew.number.CZ.Tr.Road.Passenger.Bus</t>
  </si>
  <si>
    <t>StockNew.number.CZ.Tr.Road.Passenger.Bus.ICE.Gasoline</t>
  </si>
  <si>
    <t>StockNew.number.CZ.Tr.Road.Passenger.Bus.ICE.Diesel</t>
  </si>
  <si>
    <t>StockNew.number.CZ.Tr.Road.Passenger.Bus.ICE.LPG</t>
  </si>
  <si>
    <t>StockNew.number.CZ.Tr.Road.Passenger.Bus.ICE.NGas</t>
  </si>
  <si>
    <t>StockNew.number.CZ.Tr.Road.Passenger.Bus.ICE.BEV</t>
  </si>
  <si>
    <t>StockNew.number.CZ.Tr.Road.Freight</t>
  </si>
  <si>
    <t>StockNew.number.CZ.Tr.Road.Freight.LCV</t>
  </si>
  <si>
    <t>StockNew.number.CZ.Tr.Road.Freight.LCV.ICE.Gasoline</t>
  </si>
  <si>
    <t>StockNew.number.CZ.Tr.Road.Freight.LCV.ICE.Diesel</t>
  </si>
  <si>
    <t>StockNew.number.CZ.Tr.Road.Freight.LCV.ICE.LPG</t>
  </si>
  <si>
    <t>StockNew.number.CZ.Tr.Road.Freight.LCV.ICE.NGas</t>
  </si>
  <si>
    <t>StockNew.number.CZ.Tr.Road.Freight.LCV.ICE.BEV</t>
  </si>
  <si>
    <t>StockNew.number.CZ.Tr.Road.Freight.HGV</t>
  </si>
  <si>
    <t>StockNew.number.CZ.Tr.Road.Freight.HGV.Domestic</t>
  </si>
  <si>
    <t>StockNew.number.CZ.Tr.Road.Freight.HGV.International</t>
  </si>
  <si>
    <t>Load.passenger_per_movement.CZ.Tr.Road.Passenger</t>
  </si>
  <si>
    <t>Load.passenger_per_movement.CZ.Tr.Road.Passenger.P2W</t>
  </si>
  <si>
    <t>Load.passenger_per_movement.CZ.Tr.Road.Passenger.Car</t>
  </si>
  <si>
    <t>Load.passenger_per_movement.CZ.Tr.Road.Passenger.Car.ICE.Gasoline</t>
  </si>
  <si>
    <t>Load.passenger_per_movement.CZ.Tr.Road.Passenger.Car.ICE.Diesel</t>
  </si>
  <si>
    <t>Load.passenger_per_movement.CZ.Tr.Road.Passenger.Car.ICE.LPG</t>
  </si>
  <si>
    <t>Load.passenger_per_movement.CZ.Tr.Road.Passenger.Car.ICE.NGas</t>
  </si>
  <si>
    <t>Load.passenger_per_movement.CZ.Tr.Road.Passenger.Car.PHEV</t>
  </si>
  <si>
    <t>Load.passenger_per_movement.CZ.Tr.Road.Passenger.Car.BEV</t>
  </si>
  <si>
    <t>Load.passenger_per_movement.CZ.Tr.Road.Passenger.Bus</t>
  </si>
  <si>
    <t>Load.passenger_per_movement.CZ.Tr.Road.Passenger.Bus.ICE.Gasoline</t>
  </si>
  <si>
    <t>Load.passenger_per_movement.CZ.Tr.Road.Passenger.Bus.ICE.Diesel</t>
  </si>
  <si>
    <t>Load.passenger_per_movement.CZ.Tr.Road.Passenger.Bus.ICE.LPG</t>
  </si>
  <si>
    <t>Load.passenger_per_movement.CZ.Tr.Road.Passenger.Bus.ICE.NGas</t>
  </si>
  <si>
    <t>Load.passenger_per_movement.CZ.Tr.Road.Passenger.Bus.ICE.BEV</t>
  </si>
  <si>
    <t>Load.t_per_movement.CZ.Tr.Road.Freight</t>
  </si>
  <si>
    <t>Load.t_per_movement.CZ.Tr.Road.Freight.LCV</t>
  </si>
  <si>
    <t>Load.t_per_movement.CZ.Tr.Road.Freight.LCV.ICE.Gasoline</t>
  </si>
  <si>
    <t>Load.t_per_movement.CZ.Tr.Road.Freight.LCV.ICE.Diesel</t>
  </si>
  <si>
    <t>Load.t_per_movement.CZ.Tr.Road.Freight.LCV.ICE.LPG</t>
  </si>
  <si>
    <t>Load.t_per_movement.CZ.Tr.Road.Freight.LCV.ICE.NGas</t>
  </si>
  <si>
    <t>Load.t_per_movement.CZ.Tr.Road.Freight.LCV.ICE.BEV</t>
  </si>
  <si>
    <t>Load.t_per_movement.CZ.Tr.Road.Freight.HGV</t>
  </si>
  <si>
    <t>Load.t_per_movement.CZ.Tr.Road.Freight.HGV.Domestic</t>
  </si>
  <si>
    <t>Load.t_per_movement.CZ.Tr.Road.Freight.HGV.International</t>
  </si>
  <si>
    <t>VehicleKm_per_vehicle.km.CZ.Tr.Road</t>
  </si>
  <si>
    <t>VehicleKm_per_vehicle.km.CZ.Tr.Road.Passenger</t>
  </si>
  <si>
    <t>VehicleKm_per_vehicle.km.CZ.Tr.Road.Passenger.P2W</t>
  </si>
  <si>
    <t>VehicleKm_per_vehicle.km.CZ.Tr.Road.Passenger.Car</t>
  </si>
  <si>
    <t>VehicleKm_per_vehicle.km.CZ.Tr.Road.Passenger.Car.ICE.Gasoline</t>
  </si>
  <si>
    <t>VehicleKm_per_vehicle.km.CZ.Tr.Road.Passenger.Car.ICE.Diesel</t>
  </si>
  <si>
    <t>VehicleKm_per_vehicle.km.CZ.Tr.Road.Passenger.Car.ICE.LPG</t>
  </si>
  <si>
    <t>VehicleKm_per_vehicle.km.CZ.Tr.Road.Passenger.Car.ICE.NGas</t>
  </si>
  <si>
    <t>VehicleKm_per_vehicle.km.CZ.Tr.Road.Passenger.Car.PHEV</t>
  </si>
  <si>
    <t>VehicleKm_per_vehicle.km.CZ.Tr.Road.Passenger.Car.BEV</t>
  </si>
  <si>
    <t>VehicleKm_per_vehicle.km.CZ.Tr.Road.Passenger.Bus</t>
  </si>
  <si>
    <t>VehicleKm_per_vehicle.km.CZ.Tr.Road.Passenger.Bus.ICE.Gasoline</t>
  </si>
  <si>
    <t>VehicleKm_per_vehicle.km.CZ.Tr.Road.Passenger.Bus.ICE.Diesel</t>
  </si>
  <si>
    <t>VehicleKm_per_vehicle.km.CZ.Tr.Road.Passenger.Bus.ICE.LPG</t>
  </si>
  <si>
    <t>VehicleKm_per_vehicle.km.CZ.Tr.Road.Passenger.Bus.ICE.NGas</t>
  </si>
  <si>
    <t>VehicleKm_per_vehicle.km.CZ.Tr.Road.Passenger.Bus.ICE.BEV</t>
  </si>
  <si>
    <t>VehicleKm_per_vehicle.km.CZ.Tr.Road.Freight</t>
  </si>
  <si>
    <t>VehicleKm_per_vehicle.km.CZ.Tr.Road.Freight.LCV</t>
  </si>
  <si>
    <t>VehicleKm_per_vehicle.km.CZ.Tr.Road.Freight.LCV.ICE.Gasoline</t>
  </si>
  <si>
    <t>VehicleKm_per_vehicle.km.CZ.Tr.Road.Freight.LCV.ICE.Diesel</t>
  </si>
  <si>
    <t>VehicleKm_per_vehicle.km.CZ.Tr.Road.Freight.LCV.ICE.LPG</t>
  </si>
  <si>
    <t>VehicleKm_per_vehicle.km.CZ.Tr.Road.Freight.LCV.ICE.NGas</t>
  </si>
  <si>
    <t>VehicleKm_per_vehicle.km.CZ.Tr.Road.Freight.LCV.ICE.BEV</t>
  </si>
  <si>
    <t>VehicleKm_per_vehicle.km.CZ.Tr.Road.Freight.HGV</t>
  </si>
  <si>
    <t>VehicleKm_per_vehicle.km.CZ.Tr.Road.Freight.HGV.Domestic</t>
  </si>
  <si>
    <t>VehicleKm_per_vehicle.km.CZ.Tr.Road.Freight.HGV.International</t>
  </si>
  <si>
    <t>Activity_per_vehicle.pkm.CZ.Tr.Road.Passenger</t>
  </si>
  <si>
    <t>Activity_per_vehicle.pkm.CZ.Tr.Road.Passenger.P2W</t>
  </si>
  <si>
    <t>Activity_per_vehicle.pkm.CZ.Tr.Road.Passenger.Car</t>
  </si>
  <si>
    <t>Activity_per_vehicle.pkm.CZ.Tr.Road.Passenger.Car.ICE.Gasoline</t>
  </si>
  <si>
    <t>Activity_per_vehicle.pkm.CZ.Tr.Road.Passenger.Car.ICE.Diesel</t>
  </si>
  <si>
    <t>Activity_per_vehicle.pkm.CZ.Tr.Road.Passenger.Car.ICE.LPG</t>
  </si>
  <si>
    <t>Activity_per_vehicle.pkm.CZ.Tr.Road.Passenger.Car.ICE.NGas</t>
  </si>
  <si>
    <t>Activity_per_vehicle.pkm.CZ.Tr.Road.Passenger.Car.PHEV</t>
  </si>
  <si>
    <t>Activity_per_vehicle.pkm.CZ.Tr.Road.Passenger.Car.BEV</t>
  </si>
  <si>
    <t>Activity_per_vehicle.pkm.CZ.Tr.Road.Passenger.Bus</t>
  </si>
  <si>
    <t>Activity_per_vehicle.pkm.CZ.Tr.Road.Passenger.Bus.ICE.Gasoline</t>
  </si>
  <si>
    <t>Activity_per_vehicle.pkm.CZ.Tr.Road.Passenger.Bus.ICE.Diesel</t>
  </si>
  <si>
    <t>Activity_per_vehicle.pkm.CZ.Tr.Road.Passenger.Bus.ICE.LPG</t>
  </si>
  <si>
    <t>Activity_per_vehicle.pkm.CZ.Tr.Road.Passenger.Bus.ICE.NGas</t>
  </si>
  <si>
    <t>Activity_per_vehicle.pkm.CZ.Tr.Road.Passenger.Bus.ICE.BEV</t>
  </si>
  <si>
    <t>Activity_per_vehicle.tkm.CZ.Tr.Road.Freight</t>
  </si>
  <si>
    <t>Activity_per_vehicle.tkm.CZ.Tr.Road.Freight.LCV</t>
  </si>
  <si>
    <t>Activity_per_vehicle.tkm.CZ.Tr.Road.Freight.LCV.ICE.Gasoline</t>
  </si>
  <si>
    <t>Activity_per_vehicle.tkm.CZ.Tr.Road.Freight.LCV.ICE.Diesel</t>
  </si>
  <si>
    <t>Activity_per_vehicle.tkm.CZ.Tr.Road.Freight.LCV.ICE.LPG</t>
  </si>
  <si>
    <t>Activity_per_vehicle.tkm.CZ.Tr.Road.Freight.LCV.ICE.NGas</t>
  </si>
  <si>
    <t>Activity_per_vehicle.tkm.CZ.Tr.Road.Freight.LCV.ICE.BEV</t>
  </si>
  <si>
    <t>Activity_per_vehicle.tkm.CZ.Tr.Road.Freight.HGV</t>
  </si>
  <si>
    <t>Activity_per_vehicle.tkm.CZ.Tr.Road.Freight.HGV.Domestic</t>
  </si>
  <si>
    <t>Activity_per_vehicle.tkm.CZ.Tr.Road.Freight.HGV.International</t>
  </si>
  <si>
    <t>Road transport / energy consumption - CZ - Czechia</t>
  </si>
  <si>
    <t>FEC.ktoe.CZ.ES.Tr.Road</t>
  </si>
  <si>
    <t>FEC.ktoe.CZ.ES.Tr.Road.LPG</t>
  </si>
  <si>
    <t>FEC.ktoe.CZ.ES.Tr.Road.Gasoline</t>
  </si>
  <si>
    <t>FEC.ktoe.CZ.ES.Tr.Road.Diesel</t>
  </si>
  <si>
    <t>FEC.ktoe.CZ.ES.Tr.Road.NG</t>
  </si>
  <si>
    <t>FEC.ktoe.CZ.ES.Tr.Road.Biogas</t>
  </si>
  <si>
    <t>FEC.ktoe.CZ.ES.Tr.Road.Biogasoline</t>
  </si>
  <si>
    <t>FEC.ktoe.CZ.ES.Tr.Road.Biodiesel</t>
  </si>
  <si>
    <t>FEC.ktoe.CZ.ES.Tr.Road.OthLiqBio</t>
  </si>
  <si>
    <t>FEC.ktoe.CZ.ES.Tr.Road.Elec</t>
  </si>
  <si>
    <t>FEC.ktoe.CZ.Tr.Road</t>
  </si>
  <si>
    <t>FEC.ktoe.CZ.Tr.Road.Passenger.P2W.Biogasoline</t>
  </si>
  <si>
    <t>FEC.ktoe.CZ.Tr.Road.Passenger.Car.ICE.Gasoline</t>
  </si>
  <si>
    <t>FEC.ktoe.CZ.Tr.Road.Passenger.Car.ICE.Gasoline.Biogasoline</t>
  </si>
  <si>
    <t>FEC.ktoe.CZ.Tr.Road.Passenger.Car.ICE.Diesel</t>
  </si>
  <si>
    <t>FEC.ktoe.CZ.Tr.Road.Passenger.Car.ICE.Diesel.BioDiesel_OthLiqBio</t>
  </si>
  <si>
    <t>FEC.ktoe.CZ.Tr.Road.Passenger.Car.ICE.LPG</t>
  </si>
  <si>
    <t>FEC.ktoe.CZ.Tr.Road.Passenger.Car.ICE.NGas</t>
  </si>
  <si>
    <t>FEC.ktoe.CZ.Tr.Road.Passenger.Car.ICE.NGas.Biogas</t>
  </si>
  <si>
    <t>FEC.ktoe.CZ.Tr.Road.Passenger.Car.PHEV</t>
  </si>
  <si>
    <t>FEC.ktoe.CZ.Tr.Road.Passenger.Car.PHEV.Biogasoline</t>
  </si>
  <si>
    <t>FEC.ktoe.CZ.Tr.Road.Passenger.Car.PHEV.Elec</t>
  </si>
  <si>
    <t>FEC.ktoe.CZ.Tr.Road.Passenger.Car.BEV</t>
  </si>
  <si>
    <t>FEC.ktoe.CZ.Tr.Road.Passenger.Bus.ICE.Gasoline</t>
  </si>
  <si>
    <t>FEC.ktoe.CZ.Tr.Road.Passenger.Bus.ICE.Gasoline.Biogasoline</t>
  </si>
  <si>
    <t>FEC.ktoe.CZ.Tr.Road.Passenger.Bus.ICE.Diesel</t>
  </si>
  <si>
    <t>FEC.ktoe.CZ.Tr.Road.Passenger.Bus.ICE.Diesel.BioDiesel_OthLiqBio</t>
  </si>
  <si>
    <t>FEC.ktoe.CZ.Tr.Road.Passenger.Bus.ICE.LPG</t>
  </si>
  <si>
    <t>FEC.ktoe.CZ.Tr.Road.Passenger.Bus.ICE.NGas</t>
  </si>
  <si>
    <t>FEC.ktoe.CZ.Tr.Road.Passenger.Bus.ICE.NGas.Biogas</t>
  </si>
  <si>
    <t>FEC.ktoe.CZ.Tr.Road.Passenger.Bus.ICE.BEV</t>
  </si>
  <si>
    <t>FEC.ktoe.CZ.Tr.Road.Freight.LCV.ICE.Gasoline</t>
  </si>
  <si>
    <t>FEC.ktoe.CZ.Tr.Road.Freight.LCV.ICE.Gasoline.Biogasoline</t>
  </si>
  <si>
    <t>FEC.ktoe.CZ.Tr.Road.Freight.LCV.ICE.Diesel</t>
  </si>
  <si>
    <t>FEC.ktoe.CZ.Tr.Road.Freight.LCV.ICE.Diesel.BioDiesel_OthLiqBio</t>
  </si>
  <si>
    <t>FEC.ktoe.CZ.Tr.Road.Freight.LCV.ICE.LPG</t>
  </si>
  <si>
    <t>FEC.ktoe.CZ.Tr.Road.Freight.LCV.ICE.NGas</t>
  </si>
  <si>
    <t>FEC.ktoe.CZ.Tr.Road.Freight.LCV.ICE.NGas.Biogas</t>
  </si>
  <si>
    <t>FEC.ktoe.CZ.Tr.Road.Freight.LCV.ICE.BEV</t>
  </si>
  <si>
    <t>FEC.ktoe.CZ.Tr.Road.Freight.HGV.Domestic</t>
  </si>
  <si>
    <t>FEC.ktoe.CZ.Tr.Road.Freight.HGV.Domestic.BioDiesel_OthLiqBio</t>
  </si>
  <si>
    <t>FEC.ktoe.CZ.Tr.Road.Freight.HGV.International</t>
  </si>
  <si>
    <t>FEC.ktoe.CZ.Tr.Road.Freight.HGV.International.BioDiesel_OthLiqBio</t>
  </si>
  <si>
    <t>Eff.kgoe_per_100km.CZ.Tr.Road</t>
  </si>
  <si>
    <t>Eff.kgoe_per_100km.CZ.Tr.Road.Passenger</t>
  </si>
  <si>
    <t>Eff.kgoe_per_100km.CZ.Tr.Road.Passenger.P2W</t>
  </si>
  <si>
    <t>Eff.kgoe_per_100km.CZ.Tr.Road.Passenger.Car</t>
  </si>
  <si>
    <t>Eff.kgoe_per_100km.CZ.Tr.Road.Passenger.Car.ICE.Gasoline</t>
  </si>
  <si>
    <t>Eff.kgoe_per_100km.CZ.Tr.Road.Passenger.Car.ICE.Diesel</t>
  </si>
  <si>
    <t>Eff.kgoe_per_100km.CZ.Tr.Road.Passenger.Car.ICE.LPG</t>
  </si>
  <si>
    <t>Eff.kgoe_per_100km.CZ.Tr.Road.Passenger.Car.ICE.NGas</t>
  </si>
  <si>
    <t>Eff.kgoe_per_100km.CZ.Tr.Road.Passenger.Car.PHEV</t>
  </si>
  <si>
    <t>Eff.kgoe_per_100km.CZ.Tr.Road.Passenger.Car.BEV</t>
  </si>
  <si>
    <t>Eff.kgoe_per_100km.CZ.Tr.Road.Passenger.Bus</t>
  </si>
  <si>
    <t>Eff.kgoe_per_100km.CZ.Tr.Road.Passenger.Bus.ICE.Gasoline</t>
  </si>
  <si>
    <t>Eff.kgoe_per_100km.CZ.Tr.Road.Passenger.Bus.ICE.Diesel</t>
  </si>
  <si>
    <t>Eff.kgoe_per_100km.CZ.Tr.Road.Passenger.Bus.ICE.LPG</t>
  </si>
  <si>
    <t>Eff.kgoe_per_100km.CZ.Tr.Road.Passenger.Bus.ICE.NGas</t>
  </si>
  <si>
    <t>Eff.kgoe_per_100km.CZ.Tr.Road.Passenger.Bus.ICE.BEV</t>
  </si>
  <si>
    <t>Eff.kgoe_per_100km.CZ.Tr.Road.Freight</t>
  </si>
  <si>
    <t>Eff.kgoe_per_100km.CZ.Tr.Road.Freight.LCV</t>
  </si>
  <si>
    <t>Eff.kgoe_per_100km.CZ.Tr.Road.Freight.LCV.ICE.Gasoline</t>
  </si>
  <si>
    <t>Eff.kgoe_per_100km.CZ.Tr.Road.Freight.LCV.ICE.Diesel</t>
  </si>
  <si>
    <t>Eff.kgoe_per_100km.CZ.Tr.Road.Freight.LCV.ICE.LPG</t>
  </si>
  <si>
    <t>Eff.kgoe_per_100km.CZ.Tr.Road.Freight.LCV.ICE.NGas</t>
  </si>
  <si>
    <t>Eff.kgoe_per_100km.CZ.Tr.Road.Freight.LCV.ICE.BEV</t>
  </si>
  <si>
    <t>Eff.kgoe_per_100km.CZ.Tr.Road.Freight.HGV</t>
  </si>
  <si>
    <t>Eff.kgoe_per_100km.CZ.Tr.Road.Freight.HGV.Domestic</t>
  </si>
  <si>
    <t>Eff.kgoe_per_100km.CZ.Tr.Road.Freight.HGV.International</t>
  </si>
  <si>
    <t>Eff.kgoe_per_kpkm.CZ.Tr.Road.Passenger.Car.ICE.Gasoline</t>
  </si>
  <si>
    <t>Eff.kgoe_per_kpkm.CZ.Tr.Road.Passenger.Car.ICE.Diesel</t>
  </si>
  <si>
    <t>Eff.kgoe_per_kpkm.CZ.Tr.Road.Passenger.Car.ICE.LPG</t>
  </si>
  <si>
    <t>Eff.kgoe_per_kpkm.CZ.Tr.Road.Passenger.Car.ICE.NGas</t>
  </si>
  <si>
    <t>Eff.kgoe_per_kpkm.CZ.Tr.Road.Passenger.Car.PHEV</t>
  </si>
  <si>
    <t>Eff.kgoe_per_kpkm.CZ.Tr.Road.Passenger.Car.BEV</t>
  </si>
  <si>
    <t>Eff.kgoe_per_kpkm.CZ.Tr.Road.Passenger.Bus.ICE.Gasoline</t>
  </si>
  <si>
    <t>Eff.kgoe_per_kpkm.CZ.Tr.Road.Passenger.Bus.ICE.Diesel</t>
  </si>
  <si>
    <t>Eff.kgoe_per_kpkm.CZ.Tr.Road.Passenger.Bus.ICE.LPG</t>
  </si>
  <si>
    <t>Eff.kgoe_per_kpkm.CZ.Tr.Road.Passenger.Bus.ICE.NGas</t>
  </si>
  <si>
    <t>Eff.kgoe_per_kpkm.CZ.Tr.Road.Passenger.Bus.ICE.BEV</t>
  </si>
  <si>
    <t>Eff.kgoe_per_ktkm.CZ.Tr.Road.Freight.LCV.ICE.Gasoline</t>
  </si>
  <si>
    <t>Eff.kgoe_per_ktkm.CZ.Tr.Road.Freight.LCV.ICE.Diesel</t>
  </si>
  <si>
    <t>Eff.kgoe_per_ktkm.CZ.Tr.Road.Freight.LCV.ICE.LPG</t>
  </si>
  <si>
    <t>Eff.kgoe_per_ktkm.CZ.Tr.Road.Freight.LCV.ICE.NGas</t>
  </si>
  <si>
    <t>Eff.kgoe_per_ktkm.CZ.Tr.Road.Freight.LCV.ICE.BEV</t>
  </si>
  <si>
    <t>Eff.kgoe_per_ktkm.CZ.Tr.Road.Freight.HGV.Domestic</t>
  </si>
  <si>
    <t>Eff.kgoe_per_ktkm.CZ.Tr.Road.Freight.HGV.International</t>
  </si>
  <si>
    <t>FEC_per_vehicle.kgoe.CZ.Tr.Road.Passenger.P2W</t>
  </si>
  <si>
    <t>FEC_per_vehicle.kgoe.CZ.Tr.Road.Passenger.Car</t>
  </si>
  <si>
    <t>FEC_per_vehicle.kgoe.CZ.Tr.Road.Passenger.Car.ICE.Gasoline</t>
  </si>
  <si>
    <t>FEC_per_vehicle.kgoe.CZ.Tr.Road.Passenger.Car.ICE.Diesel</t>
  </si>
  <si>
    <t>FEC_per_vehicle.kgoe.CZ.Tr.Road.Passenger.Car.ICE.LPG</t>
  </si>
  <si>
    <t>FEC_per_vehicle.kgoe.CZ.Tr.Road.Passenger.Car.ICE.NGas</t>
  </si>
  <si>
    <t>FEC_per_vehicle.kgoe.CZ.Tr.Road.Passenger.Car.PHEV</t>
  </si>
  <si>
    <t>FEC_per_vehicle.kgoe.CZ.Tr.Road.Passenger.Car.BEV</t>
  </si>
  <si>
    <t>FEC_per_vehicle.kgoe.CZ.Tr.Road.Passenger.Bus</t>
  </si>
  <si>
    <t>FEC_per_vehicle.kgoe.CZ.Tr.Road.Passenger.Bus.ICE.Gasoline</t>
  </si>
  <si>
    <t>FEC_per_vehicle.kgoe.CZ.Tr.Road.Passenger.Bus.ICE.Diesel</t>
  </si>
  <si>
    <t>FEC_per_vehicle.kgoe.CZ.Tr.Road.Passenger.Bus.ICE.LPG</t>
  </si>
  <si>
    <t>FEC_per_vehicle.kgoe.CZ.Tr.Road.Passenger.Bus.ICE.NGas</t>
  </si>
  <si>
    <t>FEC_per_vehicle.kgoe.CZ.Tr.Road.Passenger.Bus.ICE.BEV</t>
  </si>
  <si>
    <t>FEC_per_vehicle.kgoe.CZ.Tr.Road.Freight.LCV</t>
  </si>
  <si>
    <t>FEC_per_vehicle.kgoe.CZ.Tr.Road.Freight.LCV.ICE.Gasoline</t>
  </si>
  <si>
    <t>FEC_per_vehicle.kgoe.CZ.Tr.Road.Freight.LCV.ICE.Diesel</t>
  </si>
  <si>
    <t>FEC_per_vehicle.kgoe.CZ.Tr.Road.Freight.LCV.ICE.LPG</t>
  </si>
  <si>
    <t>FEC_per_vehicle.kgoe.CZ.Tr.Road.Freight.LCV.ICE.NGas</t>
  </si>
  <si>
    <t>FEC_per_vehicle.kgoe.CZ.Tr.Road.Freight.LCV.ICE.BEV</t>
  </si>
  <si>
    <t>FEC_per_vehicle.kgoe.CZ.Tr.Road.Freight.HGV</t>
  </si>
  <si>
    <t>FEC_per_vehicle.kgoe.CZ.Tr.Road.Freight.HGV.Domestic</t>
  </si>
  <si>
    <t>FEC_per_vehicle.kgoe.CZ.Tr.Road.Freight.HGV.International</t>
  </si>
  <si>
    <t>Road transport / CO2 emissions - CZ - Czechia</t>
  </si>
  <si>
    <t>EMI.ktCO2.CZ.ES.Tr.Road</t>
  </si>
  <si>
    <t>EMI.ktCO2.CZ.ES.Tr.Road.LPG</t>
  </si>
  <si>
    <t>EMI.ktCO2.CZ.ES.Tr.Road.Gasoline</t>
  </si>
  <si>
    <t>EMI.ktCO2.CZ.ES.Tr.Road.Diesel</t>
  </si>
  <si>
    <t>EMI.ktCO2.CZ.ES.Tr.Road.NG</t>
  </si>
  <si>
    <t>EMI.ktCO2.CZ.ES.Tr.Road.Biogas</t>
  </si>
  <si>
    <t>EMI.ktCO2.CZ.ES.Tr.Road.Biogasoline</t>
  </si>
  <si>
    <t>EMI.ktCO2.CZ.ES.Tr.Road.Biodiesel</t>
  </si>
  <si>
    <t>EMI.ktCO2.CZ.ES.Tr.Road.OthLiqBio</t>
  </si>
  <si>
    <t>EMI.ktCO2.CZ.ES.Tr.Road.Elec</t>
  </si>
  <si>
    <t>EMI.ktCO2.CZ.Tr.Road</t>
  </si>
  <si>
    <t>EMI.ktCO2.CZ.Tr.Road.Passenger.Car.ICE.Gasoline</t>
  </si>
  <si>
    <t>EMI.ktCO2.CZ.Tr.Road.Passenger.Car.ICE.Diesel</t>
  </si>
  <si>
    <t>EMI.ktCO2.CZ.Tr.Road.Passenger.Car.ICE.LPG</t>
  </si>
  <si>
    <t>EMI.ktCO2.CZ.Tr.Road.Passenger.Car.ICE.NGas</t>
  </si>
  <si>
    <t>EMI.ktCO2.CZ.Tr.Road.Passenger.Car.PHEV</t>
  </si>
  <si>
    <t>EMI.ktCO2.CZ.Tr.Road.Passenger.Car.BEV</t>
  </si>
  <si>
    <t>EMI.ktCO2.CZ.Tr.Road.Passenger.Bus.ICE.Gasoline</t>
  </si>
  <si>
    <t>EMI.ktCO2.CZ.Tr.Road.Passenger.Bus.ICE.Diesel</t>
  </si>
  <si>
    <t>EMI.ktCO2.CZ.Tr.Road.Passenger.Bus.ICE.LPG</t>
  </si>
  <si>
    <t>EMI.ktCO2.CZ.Tr.Road.Passenger.Bus.ICE.NGas</t>
  </si>
  <si>
    <t>EMI.ktCO2.CZ.Tr.Road.Passenger.Bus.ICE.BEV</t>
  </si>
  <si>
    <t>EMI.ktCO2.CZ.Tr.Road.Freight.LCV.ICE.Gasoline</t>
  </si>
  <si>
    <t>EMI.ktCO2.CZ.Tr.Road.Freight.LCV.ICE.Diesel</t>
  </si>
  <si>
    <t>EMI.ktCO2.CZ.Tr.Road.Freight.LCV.ICE.LPG</t>
  </si>
  <si>
    <t>EMI.ktCO2.CZ.Tr.Road.Freight.LCV.ICE.NGas</t>
  </si>
  <si>
    <t>EMI.ktCO2.CZ.Tr.Road.Freight.LCV.ICE.BEV</t>
  </si>
  <si>
    <t>EMI.ktCO2.CZ.Tr.Road.Freight.HGV.Domestic</t>
  </si>
  <si>
    <t>EMI.ktCO2.CZ.Tr.Road.Freight.HGV.International</t>
  </si>
  <si>
    <t>EMIint.gCO2_per_km.CZ.Tr.Road</t>
  </si>
  <si>
    <t>EMIint.gCO2_per_km.CZ.Tr.Road.Passenger</t>
  </si>
  <si>
    <t>EMIint.gCO2_per_km.CZ.Tr.Road.Passenger.P2W</t>
  </si>
  <si>
    <t>EMIint.gCO2_per_km.CZ.Tr.Road.Passenger.Car</t>
  </si>
  <si>
    <t>EMIint.gCO2_per_km.CZ.Tr.Road.Passenger.Car.ICE.Gasoline</t>
  </si>
  <si>
    <t>EMIint.gCO2_per_km.CZ.Tr.Road.Passenger.Car.ICE.Diesel</t>
  </si>
  <si>
    <t>EMIint.gCO2_per_km.CZ.Tr.Road.Passenger.Car.ICE.LPG</t>
  </si>
  <si>
    <t>EMIint.gCO2_per_km.CZ.Tr.Road.Passenger.Car.ICE.NGas</t>
  </si>
  <si>
    <t>EMIint.gCO2_per_km.CZ.Tr.Road.Passenger.Car.PHEV</t>
  </si>
  <si>
    <t>EMIint.gCO2_per_km.CZ.Tr.Road.Passenger.Car.BEV</t>
  </si>
  <si>
    <t>EMIint.gCO2_per_km.CZ.Tr.Road.Passenger.Bus</t>
  </si>
  <si>
    <t>EMIint.gCO2_per_km.CZ.Tr.Road.Passenger.Bus.ICE.Gasoline</t>
  </si>
  <si>
    <t>EMIint.gCO2_per_km.CZ.Tr.Road.Passenger.Bus.ICE.Diesel</t>
  </si>
  <si>
    <t>EMIint.gCO2_per_km.CZ.Tr.Road.Passenger.Bus.ICE.LPG</t>
  </si>
  <si>
    <t>EMIint.gCO2_per_km.CZ.Tr.Road.Passenger.Bus.ICE.NGas</t>
  </si>
  <si>
    <t>EMIint.gCO2_per_km.CZ.Tr.Road.Passenger.Bus.ICE.BEV</t>
  </si>
  <si>
    <t>EMIint.gCO2_per_km.CZ.Tr.Road.Freight</t>
  </si>
  <si>
    <t>EMIint.gCO2_per_km.CZ.Tr.Road.Freight.LCV</t>
  </si>
  <si>
    <t>EMIint.gCO2_per_km.CZ.Tr.Road.Freight.LCV.ICE.Gasoline</t>
  </si>
  <si>
    <t>EMIint.gCO2_per_km.CZ.Tr.Road.Freight.LCV.ICE.Diesel</t>
  </si>
  <si>
    <t>EMIint.gCO2_per_km.CZ.Tr.Road.Freight.LCV.ICE.LPG</t>
  </si>
  <si>
    <t>EMIint.gCO2_per_km.CZ.Tr.Road.Freight.LCV.ICE.NGas</t>
  </si>
  <si>
    <t>EMIint.gCO2_per_km.CZ.Tr.Road.Freight.LCV.ICE.BEV</t>
  </si>
  <si>
    <t>EMIint.gCO2_per_km.CZ.Tr.Road.Freight.HGV</t>
  </si>
  <si>
    <t>EMIint.gCO2_per_km.CZ.Tr.Road.Freight.HGV.Domestic</t>
  </si>
  <si>
    <t>EMIint.gCO2_per_km.CZ.Tr.Road.Freight.HGV.International</t>
  </si>
  <si>
    <t>EMIint.gCO2_per_pkm.CZ.Tr.Road.Passenger.Car.ICE.Gasoline</t>
  </si>
  <si>
    <t>EMIint.gCO2_per_pkm.CZ.Tr.Road.Passenger.Car.ICE.Diesel</t>
  </si>
  <si>
    <t>EMIint.gCO2_per_pkm.CZ.Tr.Road.Passenger.Car.ICE.LPG</t>
  </si>
  <si>
    <t>EMIint.gCO2_per_pkm.CZ.Tr.Road.Passenger.Car.ICE.NGas</t>
  </si>
  <si>
    <t>EMIint.gCO2_per_pkm.CZ.Tr.Road.Passenger.Car.PHEV</t>
  </si>
  <si>
    <t>EMIint.gCO2_per_pkm.CZ.Tr.Road.Passenger.Car.BEV</t>
  </si>
  <si>
    <t>EMIint.gCO2_per_pkm.CZ.Tr.Road.Passenger.Bus.ICE.Gasoline</t>
  </si>
  <si>
    <t>EMIint.gCO2_per_pkm.CZ.Tr.Road.Passenger.Bus.ICE.Diesel</t>
  </si>
  <si>
    <t>EMIint.gCO2_per_pkm.CZ.Tr.Road.Passenger.Bus.ICE.LPG</t>
  </si>
  <si>
    <t>EMIint.gCO2_per_pkm.CZ.Tr.Road.Passenger.Bus.ICE.NGas</t>
  </si>
  <si>
    <t>EMIint.gCO2_per_pkm.CZ.Tr.Road.Passenger.Bus.ICE.BEV</t>
  </si>
  <si>
    <t>EMIint.gCO2_per_tkm.CZ.Tr.Road.Freight.LCV.ICE.Gasoline</t>
  </si>
  <si>
    <t>EMIint.gCO2_per_tkm.CZ.Tr.Road.Freight.LCV.ICE.Diesel</t>
  </si>
  <si>
    <t>EMIint.gCO2_per_tkm.CZ.Tr.Road.Freight.LCV.ICE.LPG</t>
  </si>
  <si>
    <t>EMIint.gCO2_per_tkm.CZ.Tr.Road.Freight.LCV.ICE.NGas</t>
  </si>
  <si>
    <t>EMIint.gCO2_per_tkm.CZ.Tr.Road.Freight.LCV.ICE.BEV</t>
  </si>
  <si>
    <t>EMIint.gCO2_per_tkm.CZ.Tr.Road.Freight.HGV.Domestic</t>
  </si>
  <si>
    <t>EMIint.gCO2_per_tkm.CZ.Tr.Road.Freight.HGV.International</t>
  </si>
  <si>
    <t>EMI_per_vehicle.kgCO2.CZ.Tr.Road.Passenger.P2W</t>
  </si>
  <si>
    <t>EMI_per_vehicle.kgCO2.CZ.Tr.Road.Passenger.Car</t>
  </si>
  <si>
    <t>EMI_per_vehicle.kgCO2.CZ.Tr.Road.Passenger.Car.ICE.Gasoline</t>
  </si>
  <si>
    <t>EMI_per_vehicle.kgCO2.CZ.Tr.Road.Passenger.Car.ICE.Diesel</t>
  </si>
  <si>
    <t>EMI_per_vehicle.kgCO2.CZ.Tr.Road.Passenger.Car.ICE.LPG</t>
  </si>
  <si>
    <t>EMI_per_vehicle.kgCO2.CZ.Tr.Road.Passenger.Car.ICE.NGas</t>
  </si>
  <si>
    <t>EMI_per_vehicle.kgCO2.CZ.Tr.Road.Passenger.Car.PHEV</t>
  </si>
  <si>
    <t>EMI_per_vehicle.kgCO2.CZ.Tr.Road.Passenger.Car.BEV</t>
  </si>
  <si>
    <t>EMI_per_vehicle.kgCO2.CZ.Tr.Road.Passenger.Bus</t>
  </si>
  <si>
    <t>EMI_per_vehicle.kgCO2.CZ.Tr.Road.Passenger.Bus.ICE.Gasoline</t>
  </si>
  <si>
    <t>EMI_per_vehicle.kgCO2.CZ.Tr.Road.Passenger.Bus.ICE.Diesel</t>
  </si>
  <si>
    <t>EMI_per_vehicle.kgCO2.CZ.Tr.Road.Passenger.Bus.ICE.LPG</t>
  </si>
  <si>
    <t>EMI_per_vehicle.kgCO2.CZ.Tr.Road.Passenger.Bus.ICE.NGas</t>
  </si>
  <si>
    <t>EMI_per_vehicle.kgCO2.CZ.Tr.Road.Passenger.Bus.ICE.BEV</t>
  </si>
  <si>
    <t>EMI_per_vehicle.kgCO2.CZ.Tr.Road.Freight.LCV</t>
  </si>
  <si>
    <t>EMI_per_vehicle.kgCO2.CZ.Tr.Road.Freight.LCV.ICE.Gasoline</t>
  </si>
  <si>
    <t>EMI_per_vehicle.kgCO2.CZ.Tr.Road.Freight.LCV.ICE.Diesel</t>
  </si>
  <si>
    <t>EMI_per_vehicle.kgCO2.CZ.Tr.Road.Freight.LCV.ICE.LPG</t>
  </si>
  <si>
    <t>EMI_per_vehicle.kgCO2.CZ.Tr.Road.Freight.LCV.ICE.NGas</t>
  </si>
  <si>
    <t>EMI_per_vehicle.kgCO2.CZ.Tr.Road.Freight.LCV.ICE.BEV</t>
  </si>
  <si>
    <t>EMI_per_vehicle.kgCO2.CZ.Tr.Road.Freight.HGV</t>
  </si>
  <si>
    <t>EMI_per_vehicle.kgCO2.CZ.Tr.Road.Freight.HGV.Domestic</t>
  </si>
  <si>
    <t>EMI_per_vehicle.kgCO2.CZ.Tr.Road.Freight.HGV.International</t>
  </si>
  <si>
    <t>Road transport / technologies - CZ - Czechia</t>
  </si>
  <si>
    <t>StockVin.number.CZ.Tr.Road</t>
  </si>
  <si>
    <t>StockVin.number.CZ.Tr.Road.Passenger</t>
  </si>
  <si>
    <t>StockVin.number.CZ.Tr.Road.Passenger.P2W</t>
  </si>
  <si>
    <t>StockVin.number.CZ.Tr.Road.Passenger.Car</t>
  </si>
  <si>
    <t>StockVin.number.CZ.Tr.Road.Passenger.Car.ICE.Gasoline</t>
  </si>
  <si>
    <t>StockVin.number.CZ.Tr.Road.Passenger.Car.ICE.Diesel</t>
  </si>
  <si>
    <t>StockVin.number.CZ.Tr.Road.Passenger.Car.ICE.LPG</t>
  </si>
  <si>
    <t>StockVin.number.CZ.Tr.Road.Passenger.Car.ICE.NGas</t>
  </si>
  <si>
    <t>StockVin.number.CZ.Tr.Road.Passenger.Car.PHEV</t>
  </si>
  <si>
    <t>StockVin.number.CZ.Tr.Road.Passenger.Car.BEV</t>
  </si>
  <si>
    <t>StockVin.number.CZ.Tr.Road.Passenger.Bus</t>
  </si>
  <si>
    <t>StockVin.number.CZ.Tr.Road.Passenger.Bus.ICE.Gasoline</t>
  </si>
  <si>
    <t>StockVin.number.CZ.Tr.Road.Passenger.Bus.ICE.Diesel</t>
  </si>
  <si>
    <t>StockVin.number.CZ.Tr.Road.Passenger.Bus.ICE.LPG</t>
  </si>
  <si>
    <t>StockVin.number.CZ.Tr.Road.Passenger.Bus.ICE.NGas</t>
  </si>
  <si>
    <t>StockVin.number.CZ.Tr.Road.Passenger.Bus.ICE.BEV</t>
  </si>
  <si>
    <t>StockVin.number.CZ.Tr.Road.Freight</t>
  </si>
  <si>
    <t>StockVin.number.CZ.Tr.Road.Freight.LCV</t>
  </si>
  <si>
    <t>StockVin.number.CZ.Tr.Road.Freight.LCV.ICE.Gasoline</t>
  </si>
  <si>
    <t>StockVin.number.CZ.Tr.Road.Freight.LCV.ICE.Diesel</t>
  </si>
  <si>
    <t>StockVin.number.CZ.Tr.Road.Freight.LCV.ICE.LPG</t>
  </si>
  <si>
    <t>StockVin.number.CZ.Tr.Road.Freight.LCV.ICE.NGas</t>
  </si>
  <si>
    <t>StockVin.number.CZ.Tr.Road.Freight.LCV.ICE.BEV</t>
  </si>
  <si>
    <t>StockVin.number.CZ.Tr.Road.Freight.HGV</t>
  </si>
  <si>
    <t>StockVin.number.CZ.Tr.Road.Freight.HGV.Domestic</t>
  </si>
  <si>
    <t>StockVin.number.CZ.Tr.Road.Freight.HGV.International</t>
  </si>
  <si>
    <t>Eff_test_stock.kgoe_per_100km.CZ.Tr.Road.Passenger.P2W</t>
  </si>
  <si>
    <t>Eff_test_stock.kgoe_per_100km.CZ.Tr.Road.Passenger.Car</t>
  </si>
  <si>
    <t>Eff_test_stock.kgoe_per_100km.CZ.Tr.Road.Passenger.Car.ICE.Gasoline</t>
  </si>
  <si>
    <t>Eff_test_stock.kgoe_per_100km.CZ.Tr.Road.Passenger.Car.ICE.Diesel</t>
  </si>
  <si>
    <t>Eff_test_stock.kgoe_per_100km.CZ.Tr.Road.Passenger.Car.ICE.LPG</t>
  </si>
  <si>
    <t>Eff_test_stock.kgoe_per_100km.CZ.Tr.Road.Passenger.Car.ICE.NGas</t>
  </si>
  <si>
    <t>Eff_test_stock.kgoe_per_100km.CZ.Tr.Road.Passenger.Car.PHEV</t>
  </si>
  <si>
    <t>Eff_test_stock.kgoe_per_100km.CZ.Tr.Road.Passenger.Car.BEV</t>
  </si>
  <si>
    <t>Eff_test_stock.kgoe_per_100km.CZ.Tr.Road.Passenger.Bus</t>
  </si>
  <si>
    <t>Eff_test_stock.kgoe_per_100km.CZ.Tr.Road.Passenger.Bus.ICE.Gasoline</t>
  </si>
  <si>
    <t>Eff_test_stock.kgoe_per_100km.CZ.Tr.Road.Passenger.Bus.ICE.Diesel</t>
  </si>
  <si>
    <t>Eff_test_stock.kgoe_per_100km.CZ.Tr.Road.Passenger.Bus.ICE.LPG</t>
  </si>
  <si>
    <t>Eff_test_stock.kgoe_per_100km.CZ.Tr.Road.Passenger.Bus.ICE.NGas</t>
  </si>
  <si>
    <t>Eff_test_stock.kgoe_per_100km.CZ.Tr.Road.Passenger.Bus.ICE.BEV</t>
  </si>
  <si>
    <t>Eff_test_stock.kgoe_per_100km.CZ.Tr.Road.Freight.LCV</t>
  </si>
  <si>
    <t>Eff_test_stock.kgoe_per_100km.CZ.Tr.Road.Freight.LCV.ICE.Gasoline</t>
  </si>
  <si>
    <t>Eff_test_stock.kgoe_per_100km.CZ.Tr.Road.Freight.LCV.ICE.Diesel</t>
  </si>
  <si>
    <t>Eff_test_stock.kgoe_per_100km.CZ.Tr.Road.Freight.LCV.ICE.LPG</t>
  </si>
  <si>
    <t>Eff_test_stock.kgoe_per_100km.CZ.Tr.Road.Freight.LCV.ICE.NGas</t>
  </si>
  <si>
    <t>Eff_test_stock.kgoe_per_100km.CZ.Tr.Road.Freight.LCV.ICE.BEV</t>
  </si>
  <si>
    <t>Eff_test_stock.kgoe_per_100km.CZ.Tr.Road.Freight.HGV</t>
  </si>
  <si>
    <t>Eff_test_stock.kgoe_per_100km.CZ.Tr.Road.Freight.HGV.Domestic</t>
  </si>
  <si>
    <t>Eff_test_stock.kgoe_per_100km.CZ.Tr.Road.Freight.HGV.International</t>
  </si>
  <si>
    <t>Eff_test_new.kgoe_per_100km.CZ.Tr.Road.Passenger.P2W</t>
  </si>
  <si>
    <t>Eff_test_new.kgoe_per_100km.CZ.Tr.Road.Passenger.Car</t>
  </si>
  <si>
    <t>Eff_test_new.kgoe_per_100km.CZ.Tr.Road.Passenger.Car.ICE.Gasoline</t>
  </si>
  <si>
    <t>Eff_test_new.kgoe_per_100km.CZ.Tr.Road.Passenger.Car.ICE.Diesel</t>
  </si>
  <si>
    <t>Eff_test_new.kgoe_per_100km.CZ.Tr.Road.Passenger.Car.ICE.LPG</t>
  </si>
  <si>
    <t>Eff_test_new.kgoe_per_100km.CZ.Tr.Road.Passenger.Car.ICE.NGas</t>
  </si>
  <si>
    <t>Eff_test_new.kgoe_per_100km.CZ.Tr.Road.Passenger.Car.PHEV</t>
  </si>
  <si>
    <t>Eff_test_new.kgoe_per_100km.CZ.Tr.Road.Passenger.Car.BEV</t>
  </si>
  <si>
    <t>Eff_test_new.kgoe_per_100km.CZ.Tr.Road.Passenger.Bus</t>
  </si>
  <si>
    <t>Eff_test_new.kgoe_per_100km.CZ.Tr.Road.Passenger.Bus.ICE.Gasoline</t>
  </si>
  <si>
    <t>Eff_test_new.kgoe_per_100km.CZ.Tr.Road.Passenger.Bus.ICE.Diesel</t>
  </si>
  <si>
    <t>Eff_test_new.kgoe_per_100km.CZ.Tr.Road.Passenger.Bus.ICE.LPG</t>
  </si>
  <si>
    <t>Eff_test_new.kgoe_per_100km.CZ.Tr.Road.Passenger.Bus.ICE.NGas</t>
  </si>
  <si>
    <t>Eff_test_new.kgoe_per_100km.CZ.Tr.Road.Passenger.Bus.ICE.BEV</t>
  </si>
  <si>
    <t>Eff_test_new.kgoe_per_100km.CZ.Tr.Road.Freight.LCV</t>
  </si>
  <si>
    <t>Eff_test_new.kgoe_per_100km.CZ.Tr.Road.Freight.LCV.ICE.Gasoline</t>
  </si>
  <si>
    <t>Eff_test_new.kgoe_per_100km.CZ.Tr.Road.Freight.LCV.ICE.Diesel</t>
  </si>
  <si>
    <t>Eff_test_new.kgoe_per_100km.CZ.Tr.Road.Freight.LCV.ICE.LPG</t>
  </si>
  <si>
    <t>Eff_test_new.kgoe_per_100km.CZ.Tr.Road.Freight.LCV.ICE.NGas</t>
  </si>
  <si>
    <t>Eff_test_new.kgoe_per_100km.CZ.Tr.Road.Freight.LCV.ICE.BEV</t>
  </si>
  <si>
    <t>Eff_test_new.kgoe_per_100km.CZ.Tr.Road.Freight.HGV</t>
  </si>
  <si>
    <t>Eff_test_new.kgoe_per_100km.CZ.Tr.Road.Freight.HGV.Domestic</t>
  </si>
  <si>
    <t>Eff_test_new.kgoe_per_100km.CZ.Tr.Road.Freight.HGV.International</t>
  </si>
  <si>
    <t>EMIint_test_stock.gCO2_per_km.CZ.Tr.Road.Passenger.P2W</t>
  </si>
  <si>
    <t>EMIint_test_stock.gCO2_per_km.CZ.Tr.Road.Passenger.Car</t>
  </si>
  <si>
    <t>EMIint_test_stock.gCO2_per_km.CZ.Tr.Road.Passenger.Car.ICE.Gasoline</t>
  </si>
  <si>
    <t>EMIint_test_stock.gCO2_per_km.CZ.Tr.Road.Passenger.Car.ICE.Diesel</t>
  </si>
  <si>
    <t>EMIint_test_stock.gCO2_per_km.CZ.Tr.Road.Passenger.Car.ICE.LPG</t>
  </si>
  <si>
    <t>EMIint_test_stock.gCO2_per_km.CZ.Tr.Road.Passenger.Car.ICE.NGas</t>
  </si>
  <si>
    <t>EMIint_test_stock.gCO2_per_km.CZ.Tr.Road.Passenger.Car.PHEV</t>
  </si>
  <si>
    <t>EMIint_test_stock.gCO2_per_km.CZ.Tr.Road.Passenger.Car.BEV</t>
  </si>
  <si>
    <t>EMIint_test_stock.gCO2_per_km.CZ.Tr.Road.Passenger.Bus</t>
  </si>
  <si>
    <t>EMIint_test_stock.gCO2_per_km.CZ.Tr.Road.Passenger.Bus.ICE.Gasoline</t>
  </si>
  <si>
    <t>EMIint_test_stock.gCO2_per_km.CZ.Tr.Road.Passenger.Bus.ICE.Diesel</t>
  </si>
  <si>
    <t>EMIint_test_stock.gCO2_per_km.CZ.Tr.Road.Passenger.Bus.ICE.LPG</t>
  </si>
  <si>
    <t>EMIint_test_stock.gCO2_per_km.CZ.Tr.Road.Passenger.Bus.ICE.NGas</t>
  </si>
  <si>
    <t>EMIint_test_stock.gCO2_per_km.CZ.Tr.Road.Passenger.Bus.ICE.BEV</t>
  </si>
  <si>
    <t>EMIint_test_stock.gCO2_per_km.CZ.Tr.Road.Freight.LCV</t>
  </si>
  <si>
    <t>EMIint_test_stock.gCO2_per_km.CZ.Tr.Road.Freight.LCV.ICE.Gasoline</t>
  </si>
  <si>
    <t>EMIint_test_stock.gCO2_per_km.CZ.Tr.Road.Freight.LCV.ICE.Diesel</t>
  </si>
  <si>
    <t>EMIint_test_stock.gCO2_per_km.CZ.Tr.Road.Freight.LCV.ICE.LPG</t>
  </si>
  <si>
    <t>EMIint_test_stock.gCO2_per_km.CZ.Tr.Road.Freight.LCV.ICE.NGas</t>
  </si>
  <si>
    <t>EMIint_test_stock.gCO2_per_km.CZ.Tr.Road.Freight.LCV.ICE.BEV</t>
  </si>
  <si>
    <t>EMIint_test_stock.gCO2_per_km.CZ.Tr.Road.Freight.HGV</t>
  </si>
  <si>
    <t>EMIint_test_stock.gCO2_per_km.CZ.Tr.Road.Freight.HGV.Domestic</t>
  </si>
  <si>
    <t>EMIint_test_stock.gCO2_per_km.CZ.Tr.Road.Freight.HGV.International</t>
  </si>
  <si>
    <t>EMIint_test_new.gCO2_per_km.CZ.Tr.Road.Passenger.P2W</t>
  </si>
  <si>
    <t>EMIint_test_new.gCO2_per_km.CZ.Tr.Road.Passenger.Car</t>
  </si>
  <si>
    <t>EMIint_test_new.gCO2_per_km.CZ.Tr.Road.Passenger.Car.ICE.Gasoline</t>
  </si>
  <si>
    <t>EMIint_test_new.gCO2_per_km.CZ.Tr.Road.Passenger.Car.ICE.Diesel</t>
  </si>
  <si>
    <t>EMIint_test_new.gCO2_per_km.CZ.Tr.Road.Passenger.Car.ICE.LPG</t>
  </si>
  <si>
    <t>EMIint_test_new.gCO2_per_km.CZ.Tr.Road.Passenger.Car.ICE.NGas</t>
  </si>
  <si>
    <t>EMIint_test_new.gCO2_per_km.CZ.Tr.Road.Passenger.Car.PHEV</t>
  </si>
  <si>
    <t>EMIint_test_new.gCO2_per_km.CZ.Tr.Road.Passenger.Car.BEV</t>
  </si>
  <si>
    <t>EMIint_test_new.gCO2_per_km.CZ.Tr.Road.Passenger.Bus</t>
  </si>
  <si>
    <t>EMIint_test_new.gCO2_per_km.CZ.Tr.Road.Passenger.Bus.ICE.Gasoline</t>
  </si>
  <si>
    <t>EMIint_test_new.gCO2_per_km.CZ.Tr.Road.Passenger.Bus.ICE.Diesel</t>
  </si>
  <si>
    <t>EMIint_test_new.gCO2_per_km.CZ.Tr.Road.Passenger.Bus.ICE.LPG</t>
  </si>
  <si>
    <t>EMIint_test_new.gCO2_per_km.CZ.Tr.Road.Passenger.Bus.ICE.NGas</t>
  </si>
  <si>
    <t>EMIint_test_new.gCO2_per_km.CZ.Tr.Road.Passenger.Bus.ICE.BEV</t>
  </si>
  <si>
    <t>EMIint_test_new.gCO2_per_km.CZ.Tr.Road.Freight.LCV</t>
  </si>
  <si>
    <t>EMIint_test_new.gCO2_per_km.CZ.Tr.Road.Freight.LCV.ICE.Gasoline</t>
  </si>
  <si>
    <t>EMIint_test_new.gCO2_per_km.CZ.Tr.Road.Freight.LCV.ICE.Diesel</t>
  </si>
  <si>
    <t>EMIint_test_new.gCO2_per_km.CZ.Tr.Road.Freight.LCV.ICE.LPG</t>
  </si>
  <si>
    <t>EMIint_test_new.gCO2_per_km.CZ.Tr.Road.Freight.LCV.ICE.NGas</t>
  </si>
  <si>
    <t>EMIint_test_new.gCO2_per_km.CZ.Tr.Road.Freight.LCV.ICE.BEV</t>
  </si>
  <si>
    <t>EMIint_test_new.gCO2_per_km.CZ.Tr.Road.Freight.HGV</t>
  </si>
  <si>
    <t>EMIint_test_new.gCO2_per_km.CZ.Tr.Road.Freight.HGV.Domestic</t>
  </si>
  <si>
    <t>EMIint_test_new.gCO2_per_km.CZ.Tr.Road.Freight.HGV.International</t>
  </si>
  <si>
    <t>FEC.ktoe.CZ.MBunk</t>
  </si>
  <si>
    <t>FEC.ktoe.CZ.MBunk.IntraEEA</t>
  </si>
  <si>
    <t>FEC.ktoe.CZ.MBunk.ExtraEEA</t>
  </si>
  <si>
    <t>EMI.ktCO2.CZ.MBunk</t>
  </si>
  <si>
    <t>EMI.ktCO2.CZ.MBunk.IntraEEA</t>
  </si>
  <si>
    <t>EMI.ktCO2.CZ.MBunk.ExtraEEA</t>
  </si>
  <si>
    <t>International maritime bunkers - CZ - Czechia</t>
  </si>
  <si>
    <t>VehicleKm.Mkm.CZ.MBunk.Freight</t>
  </si>
  <si>
    <t>VehicleKm.Mkm.CZ.MBunk.Freight.IntraEEA</t>
  </si>
  <si>
    <t>VehicleKm.Mkm.CZ.MBunk.Freight.ExtraEEA</t>
  </si>
  <si>
    <t>Load.t_per_movement.CZ.MBunk.Freight</t>
  </si>
  <si>
    <t>Load.t_per_movement.CZ.MBunk.Freight.IntraEEA</t>
  </si>
  <si>
    <t>Load.t_per_movement.CZ.MBunk.Freight.ExtraEEA</t>
  </si>
  <si>
    <t>International maritime bunkers / energy consumption - CZ - Czechia</t>
  </si>
  <si>
    <t>FEC.ktoe.CZ.ES.MBunk</t>
  </si>
  <si>
    <t>FEC.ktoe.CZ.ES.MBunk.IntraEEA</t>
  </si>
  <si>
    <t>FEC.ktoe.CZ.ES.MBunk.IntraEEA.Diesel</t>
  </si>
  <si>
    <t>FEC.ktoe.CZ.ES.MBunk.IntraEEA.RFO_Other</t>
  </si>
  <si>
    <t>FEC.ktoe.CZ.ES.MBunk.IntraEEA.LiqBio</t>
  </si>
  <si>
    <t>FEC.ktoe.CZ.ES.MBunk.IntraEEA.NG</t>
  </si>
  <si>
    <t>FEC.ktoe.CZ.ES.MBunk.IntraEEA.Biogas</t>
  </si>
  <si>
    <t>FEC.ktoe.CZ.ES.MBunk.ExtraEEA</t>
  </si>
  <si>
    <t>FEC.ktoe.CZ.ES.MBunk.ExtraEEA.Diesel</t>
  </si>
  <si>
    <t>FEC.ktoe.CZ.ES.MBunk.ExtraEEA.RFO_Other</t>
  </si>
  <si>
    <t>FEC.ktoe.CZ.ES.MBunk.ExtraEEA.LiqBio</t>
  </si>
  <si>
    <t>FEC.ktoe.CZ.ES.MBunk.ExtraEEA.NG</t>
  </si>
  <si>
    <t>FEC.ktoe.CZ.ES.MBunk.ExtraEEA.Biogas</t>
  </si>
  <si>
    <t>Eff.kgoe_per_100km.CZ.MBunk.Freight</t>
  </si>
  <si>
    <t>Eff.kgoe_per_100km.CZ.MBunk.Freight.IntraEEA</t>
  </si>
  <si>
    <t>Eff.kgoe_per_100km.CZ.MBunk.Freight.ExtraEEA</t>
  </si>
  <si>
    <t>International maritime bunkers / CO2 emissions - CZ - Czechia</t>
  </si>
  <si>
    <t>EMI.ktCO2.CZ.ES.MBunk</t>
  </si>
  <si>
    <t>EMI.ktCO2.CZ.ES.MBunk.IntraEEA</t>
  </si>
  <si>
    <t>EMI.ktCO2.CZ.ES.MBunk.ExtraEEA</t>
  </si>
  <si>
    <t>EMIint.gCO2_per_km.CZ.MBunk.Freight</t>
  </si>
  <si>
    <t>EMIint.gCO2_per_km.CZ.MBunk.Freight.IntraEEA</t>
  </si>
  <si>
    <t>EMIint.gCO2_per_km.CZ.MBunk.Freight.ExtraEEA</t>
  </si>
  <si>
    <t>FEC.ktoe.CZ.Tr.DNavi</t>
  </si>
  <si>
    <t>FEC.ktoe.CZ.Tr.Dnavi.DCS</t>
  </si>
  <si>
    <t>FEC.ktoe.CZ.Tr.Dnavi.IWW</t>
  </si>
  <si>
    <t>EMI.ktCO2.CZ.Tr.DNavi</t>
  </si>
  <si>
    <t>EMI.ktCO2.CZ.Tr.Dnavi.DCS</t>
  </si>
  <si>
    <t>EMI.ktCO2.CZ.Tr.Dnavi.IWW</t>
  </si>
  <si>
    <t>Domestic navigation - CZ - Czechia</t>
  </si>
  <si>
    <t>VehicleKm.Mkm.CZ.Tr.DNavi.Freight</t>
  </si>
  <si>
    <t>VehicleKm.Mkm.CZ.Tr.DNavi.Freight.DCS</t>
  </si>
  <si>
    <t>VehicleKm.Mkm.CZ.Tr.DNavi.Freight.IWW</t>
  </si>
  <si>
    <t>Load.t_per_movement.CZ.Tr.DNavi.Freight</t>
  </si>
  <si>
    <t>Load.t_per_movement.CZ.Tr.DNavi.Freight.DCS</t>
  </si>
  <si>
    <t>Load.t_per_movement.CZ.Tr.DNavi.Freight.IWW</t>
  </si>
  <si>
    <t>Domestic navigation / energy consumption - CZ - Czechia</t>
  </si>
  <si>
    <t>FEC.ktoe.CZ.ES.Tr.DNavi</t>
  </si>
  <si>
    <t>FEC.ktoe.CZ.ES.Tr.DNavi.DCS</t>
  </si>
  <si>
    <t>FEC.ktoe.CZ.ES.Tr.DNavi.DCS.Diesel</t>
  </si>
  <si>
    <t>FEC.ktoe.CZ.ES.Tr.DNavi.DCS.RFO_Other</t>
  </si>
  <si>
    <t>FEC.ktoe.CZ.ES.Tr.DNavi.DCS.LiqBio</t>
  </si>
  <si>
    <t>FEC.ktoe.CZ.ES.Tr.DNavi.DCS.NG</t>
  </si>
  <si>
    <t>FEC.ktoe.CZ.ES.Tr.DNavi.DCS.Biogas</t>
  </si>
  <si>
    <t>FEC.ktoe.CZ.ES.Tr.DNavi.IWW</t>
  </si>
  <si>
    <t>FEC.ktoe.CZ.ES.Tr.DNavi.IWW.Diesel</t>
  </si>
  <si>
    <t>FEC.ktoe.CZ.ES.Tr.DNavi.IWW.RFO_Other</t>
  </si>
  <si>
    <t>FEC.ktoe.CZ.ES.Tr.DNavi.IWW.LiqBio</t>
  </si>
  <si>
    <t>FEC.ktoe.CZ.ES.Tr.DNavi.IWW.NG</t>
  </si>
  <si>
    <t>FEC.ktoe.CZ.ES.Tr.DNavi.IWW.Biogas</t>
  </si>
  <si>
    <t>Eff.kgoe_per_100km.CZ.Tr.DNavi.Freight</t>
  </si>
  <si>
    <t>Eff.kgoe_per_100km.CZ.Tr.DNavi.Freight.DCS</t>
  </si>
  <si>
    <t>Eff.kgoe_per_100km.CZ.Tr.DNavi.Freight.IWW</t>
  </si>
  <si>
    <t>Domestic navigation / CO2 emissions - CZ - Czechia</t>
  </si>
  <si>
    <t>EMI.ktCO2.CZ.ES.Tr.DNavi</t>
  </si>
  <si>
    <t>EMI.ktCO2.CZ.ES.Tr.DNavi.DCS</t>
  </si>
  <si>
    <t>EMI.ktCO2.CZ.ES.Tr.DNavi.IWW</t>
  </si>
  <si>
    <t>EMIint.gCO2_per_km.CZ.Tr.DNavi.Freight</t>
  </si>
  <si>
    <t>EMIint.gCO2_per_km.CZ.Tr.DNavi.Freight.DCS</t>
  </si>
  <si>
    <t>EMIint.gCO2_per_km.CZ.Tr.DNavi.Freight.IWW</t>
  </si>
  <si>
    <t>Rail, metro and tram - CZ - Czechia</t>
  </si>
  <si>
    <t>Activity.Mpkm.CZ.Tr.Rail.Passenger.CPT.Diesel</t>
  </si>
  <si>
    <t>Activity.Mpkm.CZ.Tr.Rail.Passenger.CPT.Elc</t>
  </si>
  <si>
    <t>Activity.Mtkm.CZ.Tr.Rail.Freight.Diesel</t>
  </si>
  <si>
    <t>Activity.Mtkm.CZ.Tr.Rail.Freight.Elc</t>
  </si>
  <si>
    <t>VehicleKm.Mkm.CZ.Tr.Rail</t>
  </si>
  <si>
    <t>VehicleKm.Mkm.CZ.Tr.Rail.Passenger</t>
  </si>
  <si>
    <t>VehicleKm.Mkm.CZ.Tr.Rail.Passenger.MTU</t>
  </si>
  <si>
    <t>VehicleKm.Mkm.CZ.Tr.Rail.Passenger.CPT</t>
  </si>
  <si>
    <t>VehicleKm.Mkm.CZ.Tr.Rail.Passenger.CPT.Diesel</t>
  </si>
  <si>
    <t>VehicleKm.Mkm.CZ.Tr.Rail.Passenger.CPT.Elc</t>
  </si>
  <si>
    <t>VehicleKm.Mkm.CZ.Tr.Rail.Passenger.HST</t>
  </si>
  <si>
    <t>VehicleKm.Mkm.CZ.Tr.Rail.Freight</t>
  </si>
  <si>
    <t>VehicleKm.Mkm.CZ.Tr.Rail.Freight.Diesel</t>
  </si>
  <si>
    <t>VehicleKm.Mkm.CZ.Tr.Rail.Freight.Elc</t>
  </si>
  <si>
    <t>Stock.number.CZ.Tr.Rail</t>
  </si>
  <si>
    <t>Stock.number.CZ.Tr.Rail.Passenger</t>
  </si>
  <si>
    <t>Stock.number.CZ.Tr.Rail.Passenger.MTU</t>
  </si>
  <si>
    <t>Stock.number.CZ.Tr.Rail.Passenger.CPT</t>
  </si>
  <si>
    <t>Stock.number.CZ.Tr.Rail.Passenger.CPT.Diesel</t>
  </si>
  <si>
    <t>Stock.number.CZ.Tr.Rail.Passenger.CPT.Elc</t>
  </si>
  <si>
    <t>Stock.number.CZ.Tr.Rail.Passenger.HST</t>
  </si>
  <si>
    <t>Stock.number.CZ.Tr.Rail.Freight</t>
  </si>
  <si>
    <t>Stock.number.CZ.Tr.Rail.Freight.Diesel</t>
  </si>
  <si>
    <t>Stock.number.CZ.Tr.Rail.Freight.Elc</t>
  </si>
  <si>
    <t>StockNew.number.CZ.Tr.Rail</t>
  </si>
  <si>
    <t>StockNew.number.CZ.Tr.Rail.Passenger</t>
  </si>
  <si>
    <t>StockNew.number.CZ.Tr.Rail.Passenger.MTU</t>
  </si>
  <si>
    <t>StockNew.number.CZ.Tr.Rail.Passenger.CPT</t>
  </si>
  <si>
    <t>StockNew.number.CZ.Tr.Rail.Passenger.CPT.Diesel</t>
  </si>
  <si>
    <t>StockNew.number.CZ.Tr.Rail.Passenger.CPT.Elc</t>
  </si>
  <si>
    <t>StockNew.number.CZ.Tr.Rail.Passenger.HST</t>
  </si>
  <si>
    <t>StockNew.number.CZ.Tr.Rail.Freight</t>
  </si>
  <si>
    <t>StockNew.number.CZ.Tr.Rail.Freight.Diesel</t>
  </si>
  <si>
    <t>StockNew.number.CZ.Tr.Rail.Freight.Elc</t>
  </si>
  <si>
    <t>Load.passenger_per_movement.CZ.Tr.Rail.Passenger</t>
  </si>
  <si>
    <t>Load.passenger_per_movement.CZ.Tr.Rail.Passenger.MTU</t>
  </si>
  <si>
    <t>Load.passenger_per_movement.CZ.Tr.Rail.Passenger.CPT</t>
  </si>
  <si>
    <t>Load.passenger_per_movement.CZ.Tr.Rail.Passenger.CPT.Diesel</t>
  </si>
  <si>
    <t>Load.passenger_per_movement.CZ.Tr.Rail.Passenger.CPT.Elc</t>
  </si>
  <si>
    <t>Load.passenger_per_movement.CZ.Tr.Rail.Passenger.HST</t>
  </si>
  <si>
    <t>Load.t_per_movement.CZ.Tr.Rail.Freight</t>
  </si>
  <si>
    <t>Load.t_per_movement.CZ.Tr.Rail.Freight.Diesel</t>
  </si>
  <si>
    <t>Load.t_per_movement.CZ.Tr.Rail.Freight.Elc</t>
  </si>
  <si>
    <t>TrCap.seats.CZ.Tr.Rail.Passenger</t>
  </si>
  <si>
    <t>TrCap.seats.CZ.Tr.Rail.Passenger.MTU</t>
  </si>
  <si>
    <t>TrCap.seats.CZ.Tr.Rail.Passenger.CPT</t>
  </si>
  <si>
    <t>TrCap.seats.CZ.Tr.Rail.Passenger.CPT.Diesel</t>
  </si>
  <si>
    <t>TrCap.seats.CZ.Tr.Rail.Passenger.CPT.Elc</t>
  </si>
  <si>
    <t>TrCap.seats.CZ.Tr.Rail.Passenger.HST</t>
  </si>
  <si>
    <t>TrCap.t.CZ.Tr.Rail.Freight</t>
  </si>
  <si>
    <t>TrCap.t.CZ.Tr.Rail.Freight.Diesel</t>
  </si>
  <si>
    <t>TrCap.t.CZ.Tr.Rail.Freight.Elc</t>
  </si>
  <si>
    <t>VehicleKm_per_vehicle.km.CZ.Tr.Rail</t>
  </si>
  <si>
    <t>VehicleKm_per_vehicle.km.CZ.Tr.Rail.Passenger</t>
  </si>
  <si>
    <t>VehicleKm_per_vehicle.km.CZ.Tr.Rail.Passenger.MTU</t>
  </si>
  <si>
    <t>VehicleKm_per_vehicle.km.CZ.Tr.Rail.Passenger.CPT</t>
  </si>
  <si>
    <t>VehicleKm_per_vehicle.km.CZ.Tr.Rail.Passenger.CPT.Diesel</t>
  </si>
  <si>
    <t>VehicleKm_per_vehicle.km.CZ.Tr.Rail.Passenger.CPT.Elc</t>
  </si>
  <si>
    <t>VehicleKm_per_vehicle.km.CZ.Tr.Rail.Passenger.HST</t>
  </si>
  <si>
    <t>VehicleKm_per_vehicle.km.CZ.Tr.Rail.Freight</t>
  </si>
  <si>
    <t>VehicleKm_per_vehicle.km.CZ.Tr.Rail.Freight.Diesel</t>
  </si>
  <si>
    <t>VehicleKm_per_vehicle.km.CZ.Tr.Rail.Freight.Elc</t>
  </si>
  <si>
    <t>Activity_per_vehicle.pkm.CZ.Tr.Rail.Passenger</t>
  </si>
  <si>
    <t>Activity_per_vehicle.pkm.CZ.Tr.Rail.Passenger.MTU</t>
  </si>
  <si>
    <t>Activity_per_vehicle.pkm.CZ.Tr.Rail.Passenger.CPT</t>
  </si>
  <si>
    <t>Activity_per_vehicle.pkm.CZ.Tr.Rail.Passenger.CPT.Diesel</t>
  </si>
  <si>
    <t>Activity_per_vehicle.pkm.CZ.Tr.Rail.Passenger.CPT.Elc</t>
  </si>
  <si>
    <t>Activity_per_vehicle.pkm.CZ.Tr.Rail.Passenger.HST</t>
  </si>
  <si>
    <t>Activity_per_vehicle.tkm.CZ.Tr.Rail.Freight</t>
  </si>
  <si>
    <t>Activity_per_vehicle.tkm.CZ.Tr.Rail.Freight.Diesel</t>
  </si>
  <si>
    <t>Activity_per_vehicle.tkm.CZ.Tr.Rail.Freight.Elc</t>
  </si>
  <si>
    <t>Rail, metro and tram / energy consumption - CZ - Czechia</t>
  </si>
  <si>
    <t>FEC.ktoe.CZ.ES.Tr.Rail</t>
  </si>
  <si>
    <t>FEC.ktoe.CZ.ES.Tr.Rail.Diesel</t>
  </si>
  <si>
    <t>FEC.ktoe.CZ.ES.Tr.Rail.LiqBio</t>
  </si>
  <si>
    <t>FEC.ktoe.CZ.ES.Tr.Rail.Elec</t>
  </si>
  <si>
    <t>FEC.ktoe.CZ.Tr.Rail</t>
  </si>
  <si>
    <t>FEC.ktoe.CZ.Tr.Rail.Passenger.CPT.Diesel</t>
  </si>
  <si>
    <t>FEC.ktoe.CZ.Tr.Rail.Passenger.CPT.Elc</t>
  </si>
  <si>
    <t>FEC.ktoe.CZ.Tr.Rail.Freight.Diesel</t>
  </si>
  <si>
    <t>FEC.ktoe.CZ.Tr.Rail.Freight.Elc</t>
  </si>
  <si>
    <t>Eff.kgoe_per_100km.CZ.Tr.Rail</t>
  </si>
  <si>
    <t>Eff.kgoe_per_100km.CZ.Tr.Rail.Passenger</t>
  </si>
  <si>
    <t>Eff.kgoe_per_100km.CZ.Tr.Rail.Passenger.MTU</t>
  </si>
  <si>
    <t>Eff.kgoe_per_100km.CZ.Tr.Rail.Passenger.CPT</t>
  </si>
  <si>
    <t>Eff.kgoe_per_100km.CZ.Tr.Rail.Passenger.CPT.Diesel</t>
  </si>
  <si>
    <t>Eff.kgoe_per_100km.CZ.Tr.Rail.Passenger.CPT.Elc</t>
  </si>
  <si>
    <t>Eff.kgoe_per_100km.CZ.Tr.Rail.Passenger.HST</t>
  </si>
  <si>
    <t>Eff.kgoe_per_100km.CZ.Tr.Rail.Freight</t>
  </si>
  <si>
    <t>Eff.kgoe_per_100km.CZ.Tr.Rail.Freight.Diesel</t>
  </si>
  <si>
    <t>Eff.kgoe_per_100km.CZ.Tr.Rail.Freight.Elc</t>
  </si>
  <si>
    <t>Eff.kgoe_per_kpkm.CZ.Tr.Rail.Passenger.CPT.Diesel</t>
  </si>
  <si>
    <t>Eff.kgoe_per_kpkm.CZ.Tr.Rail.Passenger.CPT.Elc</t>
  </si>
  <si>
    <t>Eff.kgoe_per_ktkm.CZ.Tr.Rail.Freight.Diesel</t>
  </si>
  <si>
    <t>Eff.kgoe_per_ktkm.CZ.Tr.Rail.Freight.Elc</t>
  </si>
  <si>
    <t>FEC_per_vehicle.kgoe.CZ.Tr.Rail</t>
  </si>
  <si>
    <t>FEC_per_vehicle.kgoe.CZ.Tr.Rail.Passenger</t>
  </si>
  <si>
    <t>FEC_per_vehicle.kgoe.CZ.Tr.Rail.Passenger.MTU</t>
  </si>
  <si>
    <t>FEC_per_vehicle.kgoe.CZ.Tr.Rail.Passenger.CPT</t>
  </si>
  <si>
    <t>FEC_per_vehicle.kgoe.CZ.Tr.Rail.Passenger.CPT.Diesel</t>
  </si>
  <si>
    <t>FEC_per_vehicle.kgoe.CZ.Tr.Rail.Passenger.CPT.Elc</t>
  </si>
  <si>
    <t>FEC_per_vehicle.kgoe.CZ.Tr.Rail.Passenger.HST</t>
  </si>
  <si>
    <t>FEC_per_vehicle.kgoe.CZ.Tr.Rail.Freight</t>
  </si>
  <si>
    <t>FEC_per_vehicle.kgoe.CZ.Tr.Rail.Freight.Diesel</t>
  </si>
  <si>
    <t>FEC_per_vehicle.kgoe.CZ.Tr.Rail.Freight.Elc</t>
  </si>
  <si>
    <t>Rail, metro and tram / CO2 emissions - CZ - Czechia</t>
  </si>
  <si>
    <t>EMI.ktCO2.CZ.ES.Tr.Rail</t>
  </si>
  <si>
    <t>EMI.ktCO2.CZ.ES.Tr.Rail.Diesel</t>
  </si>
  <si>
    <t>EMI.ktCO2.CZ.ES.Tr.Rail.Elec</t>
  </si>
  <si>
    <t>EMI.ktCO2.CZ.Tr.Rail</t>
  </si>
  <si>
    <t>EMI.ktCO2.CZ.Tr.Rail.Passenger.CPT.Diesel</t>
  </si>
  <si>
    <t>EMI.ktCO2.CZ.Tr.Rail.Passenger.CPT.Elc</t>
  </si>
  <si>
    <t>EMI.ktCO2.CZ.Tr.Rail.Freight.Diesel</t>
  </si>
  <si>
    <t>EMI.ktCO2.CZ.Tr.Rail.Freight.Elc</t>
  </si>
  <si>
    <t>EMIint.gCO2_per_km.CZ.Tr.Rail</t>
  </si>
  <si>
    <t>EMIint.gCO2_per_km.CZ.Tr.Rail.Passenger</t>
  </si>
  <si>
    <t>EMIint.gCO2_per_km.CZ.Tr.Rail.Passenger.MTU</t>
  </si>
  <si>
    <t>EMIint.gCO2_per_km.CZ.Tr.Rail.Passenger.CPT</t>
  </si>
  <si>
    <t>EMIint.gCO2_per_km.CZ.Tr.Rail.Passenger.CPT.Diesel</t>
  </si>
  <si>
    <t>EMIint.gCO2_per_km.CZ.Tr.Rail.Passenger.CPT.Elc</t>
  </si>
  <si>
    <t>EMIint.gCO2_per_km.CZ.Tr.Rail.Passenger.HST</t>
  </si>
  <si>
    <t>EMIint.gCO2_per_km.CZ.Tr.Rail.Freight</t>
  </si>
  <si>
    <t>EMIint.gCO2_per_km.CZ.Tr.Rail.Freight.Diesel</t>
  </si>
  <si>
    <t>EMIint.gCO2_per_km.CZ.Tr.Rail.Freight.Elc</t>
  </si>
  <si>
    <t>EMIint.gCO2_per_pkm.CZ.Tr.Rail.Passenger.CPT.Diesel</t>
  </si>
  <si>
    <t>EMIint.gCO2_per_pkm.CZ.Tr.Rail.Passenger.CPT.Elc</t>
  </si>
  <si>
    <t>EMIint.gCO2_per_tkm.CZ.Tr.Rail.Freight.Diesel</t>
  </si>
  <si>
    <t>EMIint.gCO2_per_tkm.CZ.Tr.Rail.Freight.Elc</t>
  </si>
  <si>
    <t>EMI_per_vehicle.tCO2.CZ.Tr.Rail</t>
  </si>
  <si>
    <t>EMI_per_vehicle.tCO2.CZ.Tr.Rail.Passenger</t>
  </si>
  <si>
    <t>EMI_per_vehicle.tCO2.CZ.Tr.Rail.Passenger.MTU</t>
  </si>
  <si>
    <t>EMI_per_vehicle.tCO2.CZ.Tr.Rail.Passenger.CPT</t>
  </si>
  <si>
    <t>EMI_per_vehicle.tCO2.CZ.Tr.Rail.Passenger.CPT.Diesel</t>
  </si>
  <si>
    <t>EMI_per_vehicle.tCO2.CZ.Tr.Rail.Passenger.CPT.Elc</t>
  </si>
  <si>
    <t>EMI_per_vehicle.tCO2.CZ.Tr.Rail.Passenger.HST</t>
  </si>
  <si>
    <t>EMI_per_vehicle.tCO2.CZ.Tr.Rail.Freight</t>
  </si>
  <si>
    <t>EMI_per_vehicle.tCO2.CZ.Tr.Rail.Freight.Diesel</t>
  </si>
  <si>
    <t>EMI_per_vehicle.tCO2.CZ.Tr.Rail.Freight.Elc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</si>
</sst>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45432.783078703702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100074.32813763512</v>
      </c>
      <c r="C4" s="28">
        <f t="shared" si="0"/>
        <v>101074.84535169245</v>
      </c>
      <c r="D4" s="28">
        <f t="shared" si="0"/>
        <v>101349.85105646955</v>
      </c>
      <c r="E4" s="28">
        <f t="shared" si="0"/>
        <v>106398.10993802277</v>
      </c>
      <c r="F4" s="28">
        <f t="shared" si="0"/>
        <v>107261.23630483987</v>
      </c>
      <c r="G4" s="28">
        <f t="shared" si="0"/>
        <v>108606.52378593317</v>
      </c>
      <c r="H4" s="28">
        <f t="shared" si="0"/>
        <v>110580.31429484996</v>
      </c>
      <c r="I4" s="28">
        <f t="shared" si="0"/>
        <v>113160.09277375528</v>
      </c>
      <c r="J4" s="28">
        <f t="shared" si="0"/>
        <v>115579.69897665895</v>
      </c>
      <c r="K4" s="28">
        <f t="shared" si="0"/>
        <v>114360.01072680936</v>
      </c>
      <c r="L4" s="28">
        <f t="shared" si="0"/>
        <v>106681.14195247136</v>
      </c>
      <c r="M4" s="28">
        <f t="shared" si="0"/>
        <v>107802.37058761387</v>
      </c>
      <c r="N4" s="28">
        <f t="shared" si="0"/>
        <v>107117.37583906429</v>
      </c>
      <c r="O4" s="28">
        <f t="shared" si="0"/>
        <v>108002.50051257112</v>
      </c>
      <c r="P4" s="28">
        <f t="shared" si="0"/>
        <v>111032.86776196043</v>
      </c>
      <c r="Q4" s="28">
        <f t="shared" si="0"/>
        <v>114963.12206065789</v>
      </c>
      <c r="R4" s="28">
        <f t="shared" ref="R4:V4" si="1">R5+R9+R13</f>
        <v>120979.27666886448</v>
      </c>
      <c r="S4" s="28">
        <f t="shared" si="1"/>
        <v>127176.3794285633</v>
      </c>
      <c r="T4" s="28">
        <f t="shared" si="1"/>
        <v>133225.16477452879</v>
      </c>
      <c r="U4" s="28">
        <f t="shared" si="1"/>
        <v>138385.49807371735</v>
      </c>
      <c r="V4" s="28">
        <f t="shared" si="1"/>
        <v>93285.523979340171</v>
      </c>
      <c r="W4" s="28">
        <f t="shared" ref="W4" si="2">W5+W9+W13</f>
        <v>112920.72871886499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81621.97102729851</v>
      </c>
      <c r="C5" s="137">
        <f t="shared" si="3"/>
        <v>82430.646545298427</v>
      </c>
      <c r="D5" s="137">
        <f t="shared" si="3"/>
        <v>83229.263808267002</v>
      </c>
      <c r="E5" s="137">
        <f t="shared" si="3"/>
        <v>85189.534608617396</v>
      </c>
      <c r="F5" s="137">
        <f t="shared" si="3"/>
        <v>84188.301271809149</v>
      </c>
      <c r="G5" s="137">
        <f t="shared" si="3"/>
        <v>85697.261521008157</v>
      </c>
      <c r="H5" s="137">
        <f t="shared" si="3"/>
        <v>87136.643477376303</v>
      </c>
      <c r="I5" s="137">
        <f t="shared" si="3"/>
        <v>89208.96661931464</v>
      </c>
      <c r="J5" s="137">
        <f t="shared" si="3"/>
        <v>90082.66249279576</v>
      </c>
      <c r="K5" s="137">
        <f t="shared" si="3"/>
        <v>89963.603229612694</v>
      </c>
      <c r="L5" s="137">
        <f t="shared" si="3"/>
        <v>82164.207928549629</v>
      </c>
      <c r="M5" s="137">
        <f t="shared" si="3"/>
        <v>82988.082769516594</v>
      </c>
      <c r="N5" s="137">
        <f t="shared" si="3"/>
        <v>81647.559006617579</v>
      </c>
      <c r="O5" s="137">
        <f t="shared" si="3"/>
        <v>82071.182186037477</v>
      </c>
      <c r="P5" s="137">
        <f t="shared" si="3"/>
        <v>85049.36610307009</v>
      </c>
      <c r="Q5" s="137">
        <f t="shared" si="3"/>
        <v>87770.949461222248</v>
      </c>
      <c r="R5" s="137">
        <f t="shared" ref="R5:V5" si="4">R6+R7+R8</f>
        <v>91382.296126536545</v>
      </c>
      <c r="S5" s="137">
        <f t="shared" si="4"/>
        <v>94331.885953877791</v>
      </c>
      <c r="T5" s="137">
        <f t="shared" si="4"/>
        <v>97756.586292151143</v>
      </c>
      <c r="U5" s="137">
        <f t="shared" si="4"/>
        <v>100915.24911404923</v>
      </c>
      <c r="V5" s="137">
        <f t="shared" si="4"/>
        <v>79886.304423097739</v>
      </c>
      <c r="W5" s="137">
        <f t="shared" ref="W5" si="5">W6+W7+W8</f>
        <v>98665.877346995941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1510.6710272985213</v>
      </c>
      <c r="C6" s="102">
        <f>TrRoad_act!C$5</f>
        <v>1441.3465452984167</v>
      </c>
      <c r="D6" s="102">
        <f>TrRoad_act!D$5</f>
        <v>1408.7638082670003</v>
      </c>
      <c r="E6" s="102">
        <f>TrRoad_act!E$5</f>
        <v>1404.7346086174059</v>
      </c>
      <c r="F6" s="102">
        <f>TrRoad_act!F$5</f>
        <v>1400.3012718091427</v>
      </c>
      <c r="G6" s="102">
        <f>TrRoad_act!G$5</f>
        <v>1449.3615210081628</v>
      </c>
      <c r="H6" s="102">
        <f>TrRoad_act!H$5</f>
        <v>1491.5434773762943</v>
      </c>
      <c r="I6" s="102">
        <f>TrRoad_act!I$5</f>
        <v>1548.0666193146521</v>
      </c>
      <c r="J6" s="102">
        <f>TrRoad_act!J$5</f>
        <v>1595.7624927957693</v>
      </c>
      <c r="K6" s="102">
        <f>TrRoad_act!K$5</f>
        <v>1611.6032296126937</v>
      </c>
      <c r="L6" s="102">
        <f>TrRoad_act!L$5</f>
        <v>1638.607928549633</v>
      </c>
      <c r="M6" s="102">
        <f>TrRoad_act!M$5</f>
        <v>1665.2827695165961</v>
      </c>
      <c r="N6" s="102">
        <f>TrRoad_act!N$5</f>
        <v>1700.7590066175765</v>
      </c>
      <c r="O6" s="102">
        <f>TrRoad_act!O$5</f>
        <v>1700.2821860374759</v>
      </c>
      <c r="P6" s="102">
        <f>TrRoad_act!P$5</f>
        <v>1734.0661030700808</v>
      </c>
      <c r="Q6" s="102">
        <f>TrRoad_act!Q$5</f>
        <v>1803.0494612222478</v>
      </c>
      <c r="R6" s="102">
        <f>TrRoad_act!R$5</f>
        <v>1851.2961265365498</v>
      </c>
      <c r="S6" s="102">
        <f>TrRoad_act!S$5</f>
        <v>1746.0859538777979</v>
      </c>
      <c r="T6" s="102">
        <f>TrRoad_act!T$5</f>
        <v>1663.8862921511641</v>
      </c>
      <c r="U6" s="102">
        <f>TrRoad_act!U$5</f>
        <v>1767.8491140492611</v>
      </c>
      <c r="V6" s="102">
        <f>TrRoad_act!V$5</f>
        <v>1581.604423097742</v>
      </c>
      <c r="W6" s="102">
        <f>TrRoad_act!W$5</f>
        <v>1638.5773469959472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63939.999999999993</v>
      </c>
      <c r="C7" s="102">
        <f>TrRoad_act!C$6</f>
        <v>63470</v>
      </c>
      <c r="D7" s="102">
        <f>TrRoad_act!D$6</f>
        <v>65290.000000000007</v>
      </c>
      <c r="E7" s="102">
        <f>TrRoad_act!E$6</f>
        <v>67359.999999999985</v>
      </c>
      <c r="F7" s="102">
        <f>TrRoad_act!F$6</f>
        <v>67570</v>
      </c>
      <c r="G7" s="102">
        <f>TrRoad_act!G$6</f>
        <v>68640</v>
      </c>
      <c r="H7" s="102">
        <f>TrRoad_act!H$6</f>
        <v>69630</v>
      </c>
      <c r="I7" s="102">
        <f>TrRoad_act!I$6</f>
        <v>71540</v>
      </c>
      <c r="J7" s="102">
        <f>TrRoad_act!J$6</f>
        <v>72380</v>
      </c>
      <c r="K7" s="102">
        <f>TrRoad_act!K$6</f>
        <v>72290</v>
      </c>
      <c r="L7" s="102">
        <f>TrRoad_act!L$6</f>
        <v>63570</v>
      </c>
      <c r="M7" s="102">
        <f>TrRoad_act!M$6</f>
        <v>65489.999999999993</v>
      </c>
      <c r="N7" s="102">
        <f>TrRoad_act!N$6</f>
        <v>64620</v>
      </c>
      <c r="O7" s="102">
        <f>TrRoad_act!O$6</f>
        <v>64650.000000000007</v>
      </c>
      <c r="P7" s="102">
        <f>TrRoad_act!P$6</f>
        <v>66260</v>
      </c>
      <c r="Q7" s="102">
        <f>TrRoad_act!Q$6</f>
        <v>69705</v>
      </c>
      <c r="R7" s="102">
        <f>TrRoad_act!R$6</f>
        <v>72255</v>
      </c>
      <c r="S7" s="102">
        <f>TrRoad_act!S$6</f>
        <v>74326.999999999985</v>
      </c>
      <c r="T7" s="102">
        <f>TrRoad_act!T$6</f>
        <v>77970.999999999985</v>
      </c>
      <c r="U7" s="102">
        <f>TrRoad_act!U$6</f>
        <v>81178.999999999985</v>
      </c>
      <c r="V7" s="102">
        <f>TrRoad_act!V$6</f>
        <v>68936</v>
      </c>
      <c r="W7" s="102">
        <f>TrRoad_act!W$6</f>
        <v>87932.999999999985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16171.300000000003</v>
      </c>
      <c r="C8" s="102">
        <f>TrRoad_act!C$13</f>
        <v>17519.300000000007</v>
      </c>
      <c r="D8" s="102">
        <f>TrRoad_act!D$13</f>
        <v>16530.5</v>
      </c>
      <c r="E8" s="102">
        <f>TrRoad_act!E$13</f>
        <v>16424.800000000003</v>
      </c>
      <c r="F8" s="102">
        <f>TrRoad_act!F$13</f>
        <v>15218</v>
      </c>
      <c r="G8" s="102">
        <f>TrRoad_act!G$13</f>
        <v>15607.900000000001</v>
      </c>
      <c r="H8" s="102">
        <f>TrRoad_act!H$13</f>
        <v>16015.100000000002</v>
      </c>
      <c r="I8" s="102">
        <f>TrRoad_act!I$13</f>
        <v>16120.9</v>
      </c>
      <c r="J8" s="102">
        <f>TrRoad_act!J$13</f>
        <v>16106.899999999998</v>
      </c>
      <c r="K8" s="102">
        <f>TrRoad_act!K$13</f>
        <v>16062.000000000002</v>
      </c>
      <c r="L8" s="102">
        <f>TrRoad_act!L$13</f>
        <v>16955.599999999999</v>
      </c>
      <c r="M8" s="102">
        <f>TrRoad_act!M$13</f>
        <v>15832.8</v>
      </c>
      <c r="N8" s="102">
        <f>TrRoad_act!N$13</f>
        <v>15326.800000000001</v>
      </c>
      <c r="O8" s="102">
        <f>TrRoad_act!O$13</f>
        <v>15720.899999999998</v>
      </c>
      <c r="P8" s="102">
        <f>TrRoad_act!P$13</f>
        <v>17055.3</v>
      </c>
      <c r="Q8" s="102">
        <f>TrRoad_act!Q$13</f>
        <v>16262.900000000001</v>
      </c>
      <c r="R8" s="102">
        <f>TrRoad_act!R$13</f>
        <v>17275.999999999996</v>
      </c>
      <c r="S8" s="102">
        <f>TrRoad_act!S$13</f>
        <v>18258.8</v>
      </c>
      <c r="T8" s="102">
        <f>TrRoad_act!T$13</f>
        <v>18121.699999999997</v>
      </c>
      <c r="U8" s="102">
        <f>TrRoad_act!U$13</f>
        <v>17968.399999999998</v>
      </c>
      <c r="V8" s="102">
        <f>TrRoad_act!V$13</f>
        <v>9368.7000000000025</v>
      </c>
      <c r="W8" s="102">
        <f>TrRoad_act!W$13</f>
        <v>9094.3000000000011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15368</v>
      </c>
      <c r="C9" s="110">
        <f t="shared" si="6"/>
        <v>15526</v>
      </c>
      <c r="D9" s="110">
        <f t="shared" si="6"/>
        <v>14904</v>
      </c>
      <c r="E9" s="110">
        <f t="shared" si="6"/>
        <v>15081.4</v>
      </c>
      <c r="F9" s="110">
        <f t="shared" si="6"/>
        <v>15305.5</v>
      </c>
      <c r="G9" s="110">
        <f t="shared" si="6"/>
        <v>14601.2</v>
      </c>
      <c r="H9" s="110">
        <f t="shared" si="6"/>
        <v>14720.8</v>
      </c>
      <c r="I9" s="110">
        <f t="shared" si="6"/>
        <v>14648.4</v>
      </c>
      <c r="J9" s="110">
        <f t="shared" si="6"/>
        <v>15915.800000000001</v>
      </c>
      <c r="K9" s="110">
        <f t="shared" si="6"/>
        <v>15458.7</v>
      </c>
      <c r="L9" s="110">
        <f t="shared" si="6"/>
        <v>15556</v>
      </c>
      <c r="M9" s="110">
        <f t="shared" si="6"/>
        <v>15385.000000000002</v>
      </c>
      <c r="N9" s="110">
        <f t="shared" si="6"/>
        <v>16698</v>
      </c>
      <c r="O9" s="110">
        <f t="shared" si="6"/>
        <v>17092.900000000001</v>
      </c>
      <c r="P9" s="110">
        <f t="shared" si="6"/>
        <v>16868</v>
      </c>
      <c r="Q9" s="110">
        <f t="shared" si="6"/>
        <v>17550.699999999997</v>
      </c>
      <c r="R9" s="110">
        <f t="shared" ref="R9:V9" si="7">R10+R11+R12</f>
        <v>19105.400000000001</v>
      </c>
      <c r="S9" s="110">
        <f t="shared" si="7"/>
        <v>20146.2</v>
      </c>
      <c r="T9" s="110">
        <f t="shared" si="7"/>
        <v>20954.8</v>
      </c>
      <c r="U9" s="110">
        <f t="shared" si="7"/>
        <v>21954.799999999999</v>
      </c>
      <c r="V9" s="110">
        <f t="shared" si="7"/>
        <v>10377.5</v>
      </c>
      <c r="W9" s="110">
        <f t="shared" ref="W9" si="8">W10+W11+W12</f>
        <v>10365.900000000001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8068</v>
      </c>
      <c r="C10" s="102">
        <f>TrRail_act!C$5</f>
        <v>8227</v>
      </c>
      <c r="D10" s="102">
        <f>TrRail_act!D$5</f>
        <v>8307</v>
      </c>
      <c r="E10" s="102">
        <f>TrRail_act!E$5</f>
        <v>8563.4</v>
      </c>
      <c r="F10" s="102">
        <f>TrRail_act!F$5</f>
        <v>8725.5</v>
      </c>
      <c r="G10" s="102">
        <f>TrRail_act!G$5</f>
        <v>7934.2000000000007</v>
      </c>
      <c r="H10" s="102">
        <f>TrRail_act!H$5</f>
        <v>7798.8</v>
      </c>
      <c r="I10" s="102">
        <f>TrRail_act!I$5</f>
        <v>7750.4</v>
      </c>
      <c r="J10" s="102">
        <f>TrRail_act!J$5</f>
        <v>9142.8000000000011</v>
      </c>
      <c r="K10" s="102">
        <f>TrRail_act!K$5</f>
        <v>8986.7000000000007</v>
      </c>
      <c r="L10" s="102">
        <f>TrRail_act!L$5</f>
        <v>8997</v>
      </c>
      <c r="M10" s="102">
        <f>TrRail_act!M$5</f>
        <v>8716.0000000000018</v>
      </c>
      <c r="N10" s="102">
        <f>TrRail_act!N$5</f>
        <v>9501.9999999999982</v>
      </c>
      <c r="O10" s="102">
        <f>TrRail_act!O$5</f>
        <v>9580.9000000000015</v>
      </c>
      <c r="P10" s="102">
        <f>TrRail_act!P$5</f>
        <v>9224</v>
      </c>
      <c r="Q10" s="102">
        <f>TrRail_act!Q$5</f>
        <v>9425.6999999999989</v>
      </c>
      <c r="R10" s="102">
        <f>TrRail_act!R$5</f>
        <v>10367.4</v>
      </c>
      <c r="S10" s="102">
        <f>TrRail_act!S$5</f>
        <v>10743.2</v>
      </c>
      <c r="T10" s="102">
        <f>TrRail_act!T$5</f>
        <v>10734.8</v>
      </c>
      <c r="U10" s="102">
        <f>TrRail_act!U$5</f>
        <v>11098.8</v>
      </c>
      <c r="V10" s="102">
        <f>TrRail_act!V$5</f>
        <v>3754.5</v>
      </c>
      <c r="W10" s="102">
        <f>TrRail_act!W$5</f>
        <v>3613.9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7300</v>
      </c>
      <c r="C11" s="102">
        <f>TrRail_act!C$6</f>
        <v>7299</v>
      </c>
      <c r="D11" s="102">
        <f>TrRail_act!D$6</f>
        <v>6597</v>
      </c>
      <c r="E11" s="102">
        <f>TrRail_act!E$6</f>
        <v>6518</v>
      </c>
      <c r="F11" s="102">
        <f>TrRail_act!F$6</f>
        <v>6579</v>
      </c>
      <c r="G11" s="102">
        <f>TrRail_act!G$6</f>
        <v>6661</v>
      </c>
      <c r="H11" s="102">
        <f>TrRail_act!H$6</f>
        <v>6774</v>
      </c>
      <c r="I11" s="102">
        <f>TrRail_act!I$6</f>
        <v>6569</v>
      </c>
      <c r="J11" s="102">
        <f>TrRail_act!J$6</f>
        <v>6520</v>
      </c>
      <c r="K11" s="102">
        <f>TrRail_act!K$6</f>
        <v>6237</v>
      </c>
      <c r="L11" s="102">
        <f>TrRail_act!L$6</f>
        <v>6288</v>
      </c>
      <c r="M11" s="102">
        <f>TrRail_act!M$6</f>
        <v>6384</v>
      </c>
      <c r="N11" s="102">
        <f>TrRail_act!N$6</f>
        <v>6925</v>
      </c>
      <c r="O11" s="102">
        <f>TrRail_act!O$6</f>
        <v>7266</v>
      </c>
      <c r="P11" s="102">
        <f>TrRail_act!P$6</f>
        <v>7398</v>
      </c>
      <c r="Q11" s="102">
        <f>TrRail_act!Q$6</f>
        <v>7558</v>
      </c>
      <c r="R11" s="102">
        <f>TrRail_act!R$6</f>
        <v>8040</v>
      </c>
      <c r="S11" s="102">
        <f>TrRail_act!S$6</f>
        <v>8634</v>
      </c>
      <c r="T11" s="102">
        <f>TrRail_act!T$6</f>
        <v>9426</v>
      </c>
      <c r="U11" s="102">
        <f>TrRail_act!U$6</f>
        <v>9975</v>
      </c>
      <c r="V11" s="102">
        <f>TrRail_act!V$6</f>
        <v>6085.5218312453944</v>
      </c>
      <c r="W11" s="102">
        <f>TrRail_act!W$6</f>
        <v>6204.0530582166548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1</v>
      </c>
      <c r="G12" s="102">
        <f>TrRail_act!G$9</f>
        <v>6</v>
      </c>
      <c r="H12" s="102">
        <f>TrRail_act!H$9</f>
        <v>148</v>
      </c>
      <c r="I12" s="102">
        <f>TrRail_act!I$9</f>
        <v>329</v>
      </c>
      <c r="J12" s="102">
        <f>TrRail_act!J$9</f>
        <v>253</v>
      </c>
      <c r="K12" s="102">
        <f>TrRail_act!K$9</f>
        <v>235</v>
      </c>
      <c r="L12" s="102">
        <f>TrRail_act!L$9</f>
        <v>271</v>
      </c>
      <c r="M12" s="102">
        <f>TrRail_act!M$9</f>
        <v>285</v>
      </c>
      <c r="N12" s="102">
        <f>TrRail_act!N$9</f>
        <v>271</v>
      </c>
      <c r="O12" s="102">
        <f>TrRail_act!O$9</f>
        <v>246</v>
      </c>
      <c r="P12" s="102">
        <f>TrRail_act!P$9</f>
        <v>246</v>
      </c>
      <c r="Q12" s="102">
        <f>TrRail_act!Q$9</f>
        <v>567</v>
      </c>
      <c r="R12" s="102">
        <f>TrRail_act!R$9</f>
        <v>698</v>
      </c>
      <c r="S12" s="102">
        <f>TrRail_act!S$9</f>
        <v>769</v>
      </c>
      <c r="T12" s="102">
        <f>TrRail_act!T$9</f>
        <v>794</v>
      </c>
      <c r="U12" s="102">
        <f>TrRail_act!U$9</f>
        <v>881</v>
      </c>
      <c r="V12" s="102">
        <f>TrRail_act!V$9</f>
        <v>537.47816875460569</v>
      </c>
      <c r="W12" s="102">
        <f>TrRail_act!W$9</f>
        <v>547.94694178334555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3084.357110336613</v>
      </c>
      <c r="C13" s="110">
        <f t="shared" ref="C13:V13" si="10">C14+C15+C16</f>
        <v>3118.198806394018</v>
      </c>
      <c r="D13" s="110">
        <f t="shared" si="10"/>
        <v>3216.5872482025484</v>
      </c>
      <c r="E13" s="110">
        <f t="shared" si="10"/>
        <v>6127.1753294053769</v>
      </c>
      <c r="F13" s="110">
        <f t="shared" si="10"/>
        <v>7767.4350330307252</v>
      </c>
      <c r="G13" s="110">
        <f t="shared" si="10"/>
        <v>8308.0622649250108</v>
      </c>
      <c r="H13" s="110">
        <f t="shared" si="10"/>
        <v>8722.870817473653</v>
      </c>
      <c r="I13" s="110">
        <f t="shared" si="10"/>
        <v>9302.7261544406556</v>
      </c>
      <c r="J13" s="110">
        <f t="shared" si="10"/>
        <v>9581.2364838631875</v>
      </c>
      <c r="K13" s="110">
        <f t="shared" si="10"/>
        <v>8937.7074971966667</v>
      </c>
      <c r="L13" s="110">
        <f t="shared" si="10"/>
        <v>8960.9340239217272</v>
      </c>
      <c r="M13" s="110">
        <f t="shared" si="10"/>
        <v>9429.2878180972821</v>
      </c>
      <c r="N13" s="110">
        <f t="shared" si="10"/>
        <v>8771.8168324467115</v>
      </c>
      <c r="O13" s="110">
        <f t="shared" si="10"/>
        <v>8838.4183265336469</v>
      </c>
      <c r="P13" s="110">
        <f t="shared" si="10"/>
        <v>9115.5016588903454</v>
      </c>
      <c r="Q13" s="110">
        <f t="shared" si="10"/>
        <v>9641.472599435645</v>
      </c>
      <c r="R13" s="110">
        <f t="shared" si="10"/>
        <v>10491.580542327922</v>
      </c>
      <c r="S13" s="110">
        <f t="shared" si="10"/>
        <v>12698.293474685515</v>
      </c>
      <c r="T13" s="110">
        <f t="shared" si="10"/>
        <v>14513.778482377649</v>
      </c>
      <c r="U13" s="110">
        <f t="shared" si="10"/>
        <v>15515.448959668094</v>
      </c>
      <c r="V13" s="110">
        <f t="shared" si="10"/>
        <v>3021.7195562424295</v>
      </c>
      <c r="W13" s="110">
        <f t="shared" ref="W13" si="11">W14+W15+W16</f>
        <v>3888.9513718690432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18.381355763242688</v>
      </c>
      <c r="C14" s="102">
        <f>TrAvia_act!C$5</f>
        <v>23.786529025589669</v>
      </c>
      <c r="D14" s="102">
        <f>TrAvia_act!D$5</f>
        <v>17.18744447030296</v>
      </c>
      <c r="E14" s="102">
        <f>TrAvia_act!E$5</f>
        <v>30.436247522444024</v>
      </c>
      <c r="F14" s="102">
        <f>TrAvia_act!F$5</f>
        <v>31.966998024227102</v>
      </c>
      <c r="G14" s="102">
        <f>TrAvia_act!G$5</f>
        <v>47.232191295922291</v>
      </c>
      <c r="H14" s="102">
        <f>TrAvia_act!H$5</f>
        <v>53.025205084432088</v>
      </c>
      <c r="I14" s="102">
        <f>TrAvia_act!I$5</f>
        <v>54.952583011518144</v>
      </c>
      <c r="J14" s="102">
        <f>TrAvia_act!J$5</f>
        <v>62.746312159178366</v>
      </c>
      <c r="K14" s="102">
        <f>TrAvia_act!K$5</f>
        <v>56.881103923996008</v>
      </c>
      <c r="L14" s="102">
        <f>TrAvia_act!L$5</f>
        <v>47.288084621744652</v>
      </c>
      <c r="M14" s="102">
        <f>TrAvia_act!M$5</f>
        <v>32.095421837433626</v>
      </c>
      <c r="N14" s="102">
        <f>TrAvia_act!N$5</f>
        <v>31.188768136824287</v>
      </c>
      <c r="O14" s="102">
        <f>TrAvia_act!O$5</f>
        <v>22.267320513265126</v>
      </c>
      <c r="P14" s="102">
        <f>TrAvia_act!P$5</f>
        <v>24.440889925599645</v>
      </c>
      <c r="Q14" s="102">
        <f>TrAvia_act!Q$5</f>
        <v>24.089115349108102</v>
      </c>
      <c r="R14" s="102">
        <f>TrAvia_act!R$5</f>
        <v>18.901021290523556</v>
      </c>
      <c r="S14" s="102">
        <f>TrAvia_act!S$5</f>
        <v>14.110478008259889</v>
      </c>
      <c r="T14" s="102">
        <f>TrAvia_act!T$5</f>
        <v>15.579966156253615</v>
      </c>
      <c r="U14" s="102">
        <f>TrAvia_act!U$5</f>
        <v>6.9224926735842036</v>
      </c>
      <c r="V14" s="102">
        <f>TrAvia_act!V$5</f>
        <v>1.2973726864628892</v>
      </c>
      <c r="W14" s="102">
        <f>TrAvia_act!W$5</f>
        <v>4.1797077756519476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1794.2512329468038</v>
      </c>
      <c r="C15" s="102">
        <f>TrAvia_act!C$6</f>
        <v>1815.7603715807934</v>
      </c>
      <c r="D15" s="102">
        <f>TrAvia_act!D$6</f>
        <v>1874.5958662080675</v>
      </c>
      <c r="E15" s="102">
        <f>TrAvia_act!E$6</f>
        <v>3736.8629435038242</v>
      </c>
      <c r="F15" s="102">
        <f>TrAvia_act!F$6</f>
        <v>4728.7113204617654</v>
      </c>
      <c r="G15" s="102">
        <f>TrAvia_act!G$6</f>
        <v>5180.5771538813797</v>
      </c>
      <c r="H15" s="102">
        <f>TrAvia_act!H$6</f>
        <v>5311.4878440843795</v>
      </c>
      <c r="I15" s="102">
        <f>TrAvia_act!I$6</f>
        <v>5410.5548499393126</v>
      </c>
      <c r="J15" s="102">
        <f>TrAvia_act!J$6</f>
        <v>5416.3108496595323</v>
      </c>
      <c r="K15" s="102">
        <f>TrAvia_act!K$6</f>
        <v>4812.3681267357715</v>
      </c>
      <c r="L15" s="102">
        <f>TrAvia_act!L$6</f>
        <v>4608.1300723513068</v>
      </c>
      <c r="M15" s="102">
        <f>TrAvia_act!M$6</f>
        <v>4777.8570992665382</v>
      </c>
      <c r="N15" s="102">
        <f>TrAvia_act!N$6</f>
        <v>4336.515143117942</v>
      </c>
      <c r="O15" s="102">
        <f>TrAvia_act!O$6</f>
        <v>4210.9185321501373</v>
      </c>
      <c r="P15" s="102">
        <f>TrAvia_act!P$6</f>
        <v>4354.052129974787</v>
      </c>
      <c r="Q15" s="102">
        <f>TrAvia_act!Q$6</f>
        <v>4722.5069453816632</v>
      </c>
      <c r="R15" s="102">
        <f>TrAvia_act!R$6</f>
        <v>5171.5747398198655</v>
      </c>
      <c r="S15" s="102">
        <f>TrAvia_act!S$6</f>
        <v>6110.7264260643578</v>
      </c>
      <c r="T15" s="102">
        <f>TrAvia_act!T$6</f>
        <v>6696.0094456484067</v>
      </c>
      <c r="U15" s="102">
        <f>TrAvia_act!U$6</f>
        <v>6892.9078537151609</v>
      </c>
      <c r="V15" s="102">
        <f>TrAvia_act!V$6</f>
        <v>1573.0153593208781</v>
      </c>
      <c r="W15" s="102">
        <f>TrAvia_act!W$6</f>
        <v>2056.2110530479144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1271.7245216265665</v>
      </c>
      <c r="C16" s="102">
        <f>TrAvia_act!C$7</f>
        <v>1278.6519057876351</v>
      </c>
      <c r="D16" s="102">
        <f>TrAvia_act!D$7</f>
        <v>1324.8039375241779</v>
      </c>
      <c r="E16" s="102">
        <f>TrAvia_act!E$7</f>
        <v>2359.8761383791089</v>
      </c>
      <c r="F16" s="102">
        <f>TrAvia_act!F$7</f>
        <v>3006.7567145447329</v>
      </c>
      <c r="G16" s="102">
        <f>TrAvia_act!G$7</f>
        <v>3080.2529197477093</v>
      </c>
      <c r="H16" s="102">
        <f>TrAvia_act!H$7</f>
        <v>3358.3577683048425</v>
      </c>
      <c r="I16" s="102">
        <f>TrAvia_act!I$7</f>
        <v>3837.2187214898254</v>
      </c>
      <c r="J16" s="102">
        <f>TrAvia_act!J$7</f>
        <v>4102.179322044477</v>
      </c>
      <c r="K16" s="102">
        <f>TrAvia_act!K$7</f>
        <v>4068.4582665368994</v>
      </c>
      <c r="L16" s="102">
        <f>TrAvia_act!L$7</f>
        <v>4305.5158669486746</v>
      </c>
      <c r="M16" s="102">
        <f>TrAvia_act!M$7</f>
        <v>4619.3352969933103</v>
      </c>
      <c r="N16" s="102">
        <f>TrAvia_act!N$7</f>
        <v>4404.1129211919442</v>
      </c>
      <c r="O16" s="102">
        <f>TrAvia_act!O$7</f>
        <v>4605.2324738702446</v>
      </c>
      <c r="P16" s="102">
        <f>TrAvia_act!P$7</f>
        <v>4737.0086389899589</v>
      </c>
      <c r="Q16" s="102">
        <f>TrAvia_act!Q$7</f>
        <v>4894.8765387048743</v>
      </c>
      <c r="R16" s="102">
        <f>TrAvia_act!R$7</f>
        <v>5301.1047812175329</v>
      </c>
      <c r="S16" s="102">
        <f>TrAvia_act!S$7</f>
        <v>6573.4565706128978</v>
      </c>
      <c r="T16" s="102">
        <f>TrAvia_act!T$7</f>
        <v>7802.1890705729902</v>
      </c>
      <c r="U16" s="102">
        <f>TrAvia_act!U$7</f>
        <v>8615.6186132793482</v>
      </c>
      <c r="V16" s="102">
        <f>TrAvia_act!V$7</f>
        <v>1447.4068242350882</v>
      </c>
      <c r="W16" s="102">
        <f>TrAvia_act!W$7</f>
        <v>1828.5606110454767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44205.27857424783</v>
      </c>
      <c r="C17" s="28">
        <f t="shared" si="12"/>
        <v>45289.029743264466</v>
      </c>
      <c r="D17" s="28">
        <f t="shared" si="12"/>
        <v>46325.837550010452</v>
      </c>
      <c r="E17" s="28">
        <f t="shared" si="12"/>
        <v>47707.023516872054</v>
      </c>
      <c r="F17" s="28">
        <f t="shared" si="12"/>
        <v>47890.315664742491</v>
      </c>
      <c r="G17" s="28">
        <f t="shared" si="12"/>
        <v>47812.40425921222</v>
      </c>
      <c r="H17" s="28">
        <f t="shared" si="12"/>
        <v>50178.275229322462</v>
      </c>
      <c r="I17" s="28">
        <f t="shared" si="12"/>
        <v>51059.346103638258</v>
      </c>
      <c r="J17" s="28">
        <f t="shared" si="12"/>
        <v>48884.057239141286</v>
      </c>
      <c r="K17" s="28">
        <f t="shared" si="12"/>
        <v>42876.460069923611</v>
      </c>
      <c r="L17" s="28">
        <f t="shared" si="12"/>
        <v>46730.461146598056</v>
      </c>
      <c r="M17" s="28">
        <f t="shared" si="12"/>
        <v>48524.674520482367</v>
      </c>
      <c r="N17" s="28">
        <f t="shared" si="12"/>
        <v>47780.208811957884</v>
      </c>
      <c r="O17" s="28">
        <f t="shared" si="12"/>
        <v>50431.893107387034</v>
      </c>
      <c r="P17" s="28">
        <f t="shared" si="12"/>
        <v>52736.69351284708</v>
      </c>
      <c r="Q17" s="28">
        <f t="shared" si="12"/>
        <v>59189.55592346756</v>
      </c>
      <c r="R17" s="28">
        <f t="shared" ref="R17:V17" si="13">R18+R21+R22+R26</f>
        <v>60079.761449863086</v>
      </c>
      <c r="S17" s="28">
        <f t="shared" si="13"/>
        <v>60081.639468969952</v>
      </c>
      <c r="T17" s="28">
        <f t="shared" si="13"/>
        <v>61157.655948634376</v>
      </c>
      <c r="U17" s="28">
        <f t="shared" si="13"/>
        <v>63007.908666388998</v>
      </c>
      <c r="V17" s="28">
        <f t="shared" si="13"/>
        <v>68017.692081661327</v>
      </c>
      <c r="W17" s="28">
        <f t="shared" ref="W17" si="14">W18+W21+W22+W26</f>
        <v>72515.854061945283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26523.962710189258</v>
      </c>
      <c r="C18" s="137">
        <f t="shared" si="15"/>
        <v>28212.217360084309</v>
      </c>
      <c r="D18" s="137">
        <f t="shared" si="15"/>
        <v>30331.685777136998</v>
      </c>
      <c r="E18" s="137">
        <f t="shared" si="15"/>
        <v>31648.018789538852</v>
      </c>
      <c r="F18" s="137">
        <f t="shared" si="15"/>
        <v>32634.725860045612</v>
      </c>
      <c r="G18" s="137">
        <f t="shared" si="15"/>
        <v>32767.883827294652</v>
      </c>
      <c r="H18" s="137">
        <f t="shared" si="15"/>
        <v>34256.500302225992</v>
      </c>
      <c r="I18" s="137">
        <f t="shared" si="15"/>
        <v>34627.324775917645</v>
      </c>
      <c r="J18" s="137">
        <f t="shared" si="15"/>
        <v>33323.391401651839</v>
      </c>
      <c r="K18" s="137">
        <f t="shared" si="15"/>
        <v>29941.424168892758</v>
      </c>
      <c r="L18" s="137">
        <f t="shared" si="15"/>
        <v>32803.417928507362</v>
      </c>
      <c r="M18" s="137">
        <f t="shared" si="15"/>
        <v>34000.317662959591</v>
      </c>
      <c r="N18" s="137">
        <f t="shared" si="15"/>
        <v>33312.073467696682</v>
      </c>
      <c r="O18" s="137">
        <f t="shared" si="15"/>
        <v>36286.057917432125</v>
      </c>
      <c r="P18" s="137">
        <f t="shared" si="15"/>
        <v>37971.86071616986</v>
      </c>
      <c r="Q18" s="137">
        <f t="shared" si="15"/>
        <v>43722.698346720077</v>
      </c>
      <c r="R18" s="137">
        <f t="shared" ref="R18:V18" si="16">R19+R20</f>
        <v>44195.951582639333</v>
      </c>
      <c r="S18" s="137">
        <f t="shared" si="16"/>
        <v>43973.524127716511</v>
      </c>
      <c r="T18" s="137">
        <f t="shared" si="16"/>
        <v>44358.134210183191</v>
      </c>
      <c r="U18" s="137">
        <f t="shared" si="16"/>
        <v>46563.193841631757</v>
      </c>
      <c r="V18" s="137">
        <f t="shared" si="16"/>
        <v>52604.211039049442</v>
      </c>
      <c r="W18" s="137">
        <f t="shared" ref="W18" si="17">W19+W20</f>
        <v>56017.51048993216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206.73715044133394</v>
      </c>
      <c r="C19" s="102">
        <f>TrRoad_act!C$20</f>
        <v>240.16666215014288</v>
      </c>
      <c r="D19" s="102">
        <f>TrRoad_act!D$20</f>
        <v>284.11504992880538</v>
      </c>
      <c r="E19" s="102">
        <f>TrRoad_act!E$20</f>
        <v>335.3081592112095</v>
      </c>
      <c r="F19" s="102">
        <f>TrRoad_act!F$20</f>
        <v>396.29298925476411</v>
      </c>
      <c r="G19" s="102">
        <f>TrRoad_act!G$20</f>
        <v>479.13943640376834</v>
      </c>
      <c r="H19" s="102">
        <f>TrRoad_act!H$20</f>
        <v>559.03527910861658</v>
      </c>
      <c r="I19" s="102">
        <f>TrRoad_act!I$20</f>
        <v>642.73452502868861</v>
      </c>
      <c r="J19" s="102">
        <f>TrRoad_act!J$20</f>
        <v>765.04329187090184</v>
      </c>
      <c r="K19" s="102">
        <f>TrRoad_act!K$20</f>
        <v>782.18011397637724</v>
      </c>
      <c r="L19" s="102">
        <f>TrRoad_act!L$20</f>
        <v>823.76842491212676</v>
      </c>
      <c r="M19" s="102">
        <f>TrRoad_act!M$20</f>
        <v>838.11991628971145</v>
      </c>
      <c r="N19" s="102">
        <f>TrRoad_act!N$20</f>
        <v>849.65034273318975</v>
      </c>
      <c r="O19" s="102">
        <f>TrRoad_act!O$20</f>
        <v>877.3556261492073</v>
      </c>
      <c r="P19" s="102">
        <f>TrRoad_act!P$20</f>
        <v>965.40727780265763</v>
      </c>
      <c r="Q19" s="102">
        <f>TrRoad_act!Q$20</f>
        <v>1049.0945529087505</v>
      </c>
      <c r="R19" s="102">
        <f>TrRoad_act!R$20</f>
        <v>882.72158204362665</v>
      </c>
      <c r="S19" s="102">
        <f>TrRoad_act!S$20</f>
        <v>899.48005424162</v>
      </c>
      <c r="T19" s="102">
        <f>TrRoad_act!T$20</f>
        <v>909.13421018319082</v>
      </c>
      <c r="U19" s="102">
        <f>TrRoad_act!U$20</f>
        <v>914.19384163175584</v>
      </c>
      <c r="V19" s="102">
        <f>TrRoad_act!V$20</f>
        <v>894.21103904944266</v>
      </c>
      <c r="W19" s="102">
        <f>TrRoad_act!W$20</f>
        <v>909.51048993216261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26317.225559747923</v>
      </c>
      <c r="C20" s="102">
        <f>TrRoad_act!C$26</f>
        <v>27972.050697934166</v>
      </c>
      <c r="D20" s="102">
        <f>TrRoad_act!D$26</f>
        <v>30047.570727208193</v>
      </c>
      <c r="E20" s="102">
        <f>TrRoad_act!E$26</f>
        <v>31312.710630327641</v>
      </c>
      <c r="F20" s="102">
        <f>TrRoad_act!F$26</f>
        <v>32238.432870790846</v>
      </c>
      <c r="G20" s="102">
        <f>TrRoad_act!G$26</f>
        <v>32288.744390890883</v>
      </c>
      <c r="H20" s="102">
        <f>TrRoad_act!H$26</f>
        <v>33697.465023117373</v>
      </c>
      <c r="I20" s="102">
        <f>TrRoad_act!I$26</f>
        <v>33984.590250888956</v>
      </c>
      <c r="J20" s="102">
        <f>TrRoad_act!J$26</f>
        <v>32558.348109780938</v>
      </c>
      <c r="K20" s="102">
        <f>TrRoad_act!K$26</f>
        <v>29159.24405491638</v>
      </c>
      <c r="L20" s="102">
        <f>TrRoad_act!L$26</f>
        <v>31979.649503595232</v>
      </c>
      <c r="M20" s="102">
        <f>TrRoad_act!M$26</f>
        <v>33162.197746669881</v>
      </c>
      <c r="N20" s="102">
        <f>TrRoad_act!N$26</f>
        <v>32462.423124963494</v>
      </c>
      <c r="O20" s="102">
        <f>TrRoad_act!O$26</f>
        <v>35408.70229128292</v>
      </c>
      <c r="P20" s="102">
        <f>TrRoad_act!P$26</f>
        <v>37006.4534383672</v>
      </c>
      <c r="Q20" s="102">
        <f>TrRoad_act!Q$26</f>
        <v>42673.60379381133</v>
      </c>
      <c r="R20" s="102">
        <f>TrRoad_act!R$26</f>
        <v>43313.230000595708</v>
      </c>
      <c r="S20" s="102">
        <f>TrRoad_act!S$26</f>
        <v>43074.044073474892</v>
      </c>
      <c r="T20" s="102">
        <f>TrRoad_act!T$26</f>
        <v>43449</v>
      </c>
      <c r="U20" s="102">
        <f>TrRoad_act!U$26</f>
        <v>45649</v>
      </c>
      <c r="V20" s="102">
        <f>TrRoad_act!V$26</f>
        <v>51710</v>
      </c>
      <c r="W20" s="102">
        <f>TrRoad_act!W$26</f>
        <v>55108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17496</v>
      </c>
      <c r="C21" s="110">
        <f>TrRail_act!C$10</f>
        <v>16900</v>
      </c>
      <c r="D21" s="110">
        <f>TrRail_act!D$10</f>
        <v>15810</v>
      </c>
      <c r="E21" s="110">
        <f>TrRail_act!E$10</f>
        <v>15862</v>
      </c>
      <c r="F21" s="110">
        <f>TrRail_act!F$10</f>
        <v>15092</v>
      </c>
      <c r="G21" s="110">
        <f>TrRail_act!G$10</f>
        <v>14866</v>
      </c>
      <c r="H21" s="110">
        <f>TrRail_act!H$10</f>
        <v>15779</v>
      </c>
      <c r="I21" s="110">
        <f>TrRail_act!I$10</f>
        <v>16303.999999999998</v>
      </c>
      <c r="J21" s="110">
        <f>TrRail_act!J$10</f>
        <v>15437</v>
      </c>
      <c r="K21" s="110">
        <f>TrRail_act!K$10</f>
        <v>12791</v>
      </c>
      <c r="L21" s="110">
        <f>TrRail_act!L$10</f>
        <v>13770</v>
      </c>
      <c r="M21" s="110">
        <f>TrRail_act!M$10</f>
        <v>14316</v>
      </c>
      <c r="N21" s="110">
        <f>TrRail_act!N$10</f>
        <v>14267</v>
      </c>
      <c r="O21" s="110">
        <f>TrRail_act!O$10</f>
        <v>13965</v>
      </c>
      <c r="P21" s="110">
        <f>TrRail_act!P$10</f>
        <v>14575</v>
      </c>
      <c r="Q21" s="110">
        <f>TrRail_act!Q$10</f>
        <v>15261</v>
      </c>
      <c r="R21" s="110">
        <f>TrRail_act!R$10</f>
        <v>15619</v>
      </c>
      <c r="S21" s="110">
        <f>TrRail_act!S$10</f>
        <v>15843</v>
      </c>
      <c r="T21" s="110">
        <f>TrRail_act!T$10</f>
        <v>16564</v>
      </c>
      <c r="U21" s="110">
        <f>TrRail_act!U$10</f>
        <v>16180</v>
      </c>
      <c r="V21" s="110">
        <f>TrRail_act!V$10</f>
        <v>15251</v>
      </c>
      <c r="W21" s="110">
        <f>TrRail_act!W$10</f>
        <v>16326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96.315864058578754</v>
      </c>
      <c r="C22" s="110">
        <f t="shared" ref="C22:V22" si="19">C23+C24+C25</f>
        <v>98.812383180153731</v>
      </c>
      <c r="D22" s="110">
        <f t="shared" si="19"/>
        <v>104.15177287345297</v>
      </c>
      <c r="E22" s="110">
        <f t="shared" si="19"/>
        <v>139.00472733319978</v>
      </c>
      <c r="F22" s="110">
        <f t="shared" si="19"/>
        <v>115.5898046968785</v>
      </c>
      <c r="G22" s="110">
        <f t="shared" si="19"/>
        <v>115.52043191757154</v>
      </c>
      <c r="H22" s="110">
        <f t="shared" si="19"/>
        <v>99.774927096470321</v>
      </c>
      <c r="I22" s="110">
        <f t="shared" si="19"/>
        <v>92.021327720609904</v>
      </c>
      <c r="J22" s="110">
        <f t="shared" si="19"/>
        <v>95.665837489445721</v>
      </c>
      <c r="K22" s="110">
        <f t="shared" si="19"/>
        <v>111.03590103084977</v>
      </c>
      <c r="L22" s="110">
        <f t="shared" si="19"/>
        <v>114.04321809069572</v>
      </c>
      <c r="M22" s="110">
        <f t="shared" si="19"/>
        <v>166.35685752277985</v>
      </c>
      <c r="N22" s="110">
        <f t="shared" si="19"/>
        <v>163.13534426120435</v>
      </c>
      <c r="O22" s="110">
        <f t="shared" si="19"/>
        <v>155.8351899549082</v>
      </c>
      <c r="P22" s="110">
        <f t="shared" si="19"/>
        <v>162.8327966772186</v>
      </c>
      <c r="Q22" s="110">
        <f t="shared" si="19"/>
        <v>172.85757674748129</v>
      </c>
      <c r="R22" s="110">
        <f t="shared" si="19"/>
        <v>228.80986722375371</v>
      </c>
      <c r="S22" s="110">
        <f t="shared" si="19"/>
        <v>240.1153412534409</v>
      </c>
      <c r="T22" s="110">
        <f t="shared" si="19"/>
        <v>212.52173845118475</v>
      </c>
      <c r="U22" s="110">
        <f t="shared" si="19"/>
        <v>232.71482475723786</v>
      </c>
      <c r="V22" s="110">
        <f t="shared" si="19"/>
        <v>144.48104261189599</v>
      </c>
      <c r="W22" s="110">
        <f t="shared" ref="W22" si="20">W23+W24+W25</f>
        <v>150.34357201311798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8.4758606100287917E-2</v>
      </c>
      <c r="C23" s="102">
        <f>TrAvia_act!C$9</f>
        <v>8.0679194113323027E-2</v>
      </c>
      <c r="D23" s="102">
        <f>TrAvia_act!D$9</f>
        <v>9.5321212177585199E-2</v>
      </c>
      <c r="E23" s="102">
        <f>TrAvia_act!E$9</f>
        <v>8.2615684067790643E-2</v>
      </c>
      <c r="F23" s="102">
        <f>TrAvia_act!F$9</f>
        <v>4.0665950659548554E-2</v>
      </c>
      <c r="G23" s="102">
        <f>TrAvia_act!G$9</f>
        <v>9.322585017389183E-2</v>
      </c>
      <c r="H23" s="102">
        <f>TrAvia_act!H$9</f>
        <v>0.20243797128994995</v>
      </c>
      <c r="I23" s="102">
        <f>TrAvia_act!I$9</f>
        <v>0.33908189798994803</v>
      </c>
      <c r="J23" s="102">
        <f>TrAvia_act!J$9</f>
        <v>0.40359914684611814</v>
      </c>
      <c r="K23" s="102">
        <f>TrAvia_act!K$9</f>
        <v>0.48778530180119262</v>
      </c>
      <c r="L23" s="102">
        <f>TrAvia_act!L$9</f>
        <v>0.41748090804774907</v>
      </c>
      <c r="M23" s="102">
        <f>TrAvia_act!M$9</f>
        <v>0.39588284075803165</v>
      </c>
      <c r="N23" s="102">
        <f>TrAvia_act!N$9</f>
        <v>0.32048210403258326</v>
      </c>
      <c r="O23" s="102">
        <f>TrAvia_act!O$9</f>
        <v>0.20099497242031036</v>
      </c>
      <c r="P23" s="102">
        <f>TrAvia_act!P$9</f>
        <v>0.12621099737030564</v>
      </c>
      <c r="Q23" s="102">
        <f>TrAvia_act!Q$9</f>
        <v>0.12754944594253362</v>
      </c>
      <c r="R23" s="102">
        <f>TrAvia_act!R$9</f>
        <v>0.1160891481765457</v>
      </c>
      <c r="S23" s="102">
        <f>TrAvia_act!S$9</f>
        <v>0.11637122328305072</v>
      </c>
      <c r="T23" s="102">
        <f>TrAvia_act!T$9</f>
        <v>0.59793981810024155</v>
      </c>
      <c r="U23" s="102">
        <f>TrAvia_act!U$9</f>
        <v>0.49359397573940178</v>
      </c>
      <c r="V23" s="102">
        <f>TrAvia_act!V$9</f>
        <v>0.41465128089033576</v>
      </c>
      <c r="W23" s="102">
        <f>TrAvia_act!W$9</f>
        <v>0.63041908369042554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14.777603838420911</v>
      </c>
      <c r="C24" s="102">
        <f>TrAvia_act!C$10</f>
        <v>14.556638176629511</v>
      </c>
      <c r="D24" s="102">
        <f>TrAvia_act!D$10</f>
        <v>16.39220111358388</v>
      </c>
      <c r="E24" s="102">
        <f>TrAvia_act!E$10</f>
        <v>18.679426307198465</v>
      </c>
      <c r="F24" s="102">
        <f>TrAvia_act!F$10</f>
        <v>20.446147622660877</v>
      </c>
      <c r="G24" s="102">
        <f>TrAvia_act!G$10</f>
        <v>21.427370235993397</v>
      </c>
      <c r="H24" s="102">
        <f>TrAvia_act!H$10</f>
        <v>20.487469909677312</v>
      </c>
      <c r="I24" s="102">
        <f>TrAvia_act!I$10</f>
        <v>20.163415832159895</v>
      </c>
      <c r="J24" s="102">
        <f>TrAvia_act!J$10</f>
        <v>16.505651756010625</v>
      </c>
      <c r="K24" s="102">
        <f>TrAvia_act!K$10</f>
        <v>13.732367108274293</v>
      </c>
      <c r="L24" s="102">
        <f>TrAvia_act!L$10</f>
        <v>16.582968175988224</v>
      </c>
      <c r="M24" s="102">
        <f>TrAvia_act!M$10</f>
        <v>14.038777484025852</v>
      </c>
      <c r="N24" s="102">
        <f>TrAvia_act!N$10</f>
        <v>11.167532470826368</v>
      </c>
      <c r="O24" s="102">
        <f>TrAvia_act!O$10</f>
        <v>10.935211431699113</v>
      </c>
      <c r="P24" s="102">
        <f>TrAvia_act!P$10</f>
        <v>13.325953500030868</v>
      </c>
      <c r="Q24" s="102">
        <f>TrAvia_act!Q$10</f>
        <v>14.128884587113502</v>
      </c>
      <c r="R24" s="102">
        <f>TrAvia_act!R$10</f>
        <v>16.676997925804731</v>
      </c>
      <c r="S24" s="102">
        <f>TrAvia_act!S$10</f>
        <v>19.305621742316852</v>
      </c>
      <c r="T24" s="102">
        <f>TrAvia_act!T$10</f>
        <v>22.291713702338598</v>
      </c>
      <c r="U24" s="102">
        <f>TrAvia_act!U$10</f>
        <v>18.719794187163764</v>
      </c>
      <c r="V24" s="102">
        <f>TrAvia_act!V$10</f>
        <v>14.794140104982166</v>
      </c>
      <c r="W24" s="102">
        <f>TrAvia_act!W$10</f>
        <v>21.261022874456636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81.453501614057558</v>
      </c>
      <c r="C25" s="102">
        <f>TrAvia_act!C$11</f>
        <v>84.175065809410896</v>
      </c>
      <c r="D25" s="102">
        <f>TrAvia_act!D$11</f>
        <v>87.664250547691509</v>
      </c>
      <c r="E25" s="102">
        <f>TrAvia_act!E$11</f>
        <v>120.24268534193354</v>
      </c>
      <c r="F25" s="102">
        <f>TrAvia_act!F$11</f>
        <v>95.10299112355807</v>
      </c>
      <c r="G25" s="102">
        <f>TrAvia_act!G$11</f>
        <v>93.999835831404255</v>
      </c>
      <c r="H25" s="102">
        <f>TrAvia_act!H$11</f>
        <v>79.085019215503053</v>
      </c>
      <c r="I25" s="102">
        <f>TrAvia_act!I$11</f>
        <v>71.518829990460063</v>
      </c>
      <c r="J25" s="102">
        <f>TrAvia_act!J$11</f>
        <v>78.75658658658898</v>
      </c>
      <c r="K25" s="102">
        <f>TrAvia_act!K$11</f>
        <v>96.815748620774286</v>
      </c>
      <c r="L25" s="102">
        <f>TrAvia_act!L$11</f>
        <v>97.042769006659739</v>
      </c>
      <c r="M25" s="102">
        <f>TrAvia_act!M$11</f>
        <v>151.92219719799596</v>
      </c>
      <c r="N25" s="102">
        <f>TrAvia_act!N$11</f>
        <v>151.64732968634539</v>
      </c>
      <c r="O25" s="102">
        <f>TrAvia_act!O$11</f>
        <v>144.69898355078877</v>
      </c>
      <c r="P25" s="102">
        <f>TrAvia_act!P$11</f>
        <v>149.38063217981741</v>
      </c>
      <c r="Q25" s="102">
        <f>TrAvia_act!Q$11</f>
        <v>158.60114271442527</v>
      </c>
      <c r="R25" s="102">
        <f>TrAvia_act!R$11</f>
        <v>212.01678014977244</v>
      </c>
      <c r="S25" s="102">
        <f>TrAvia_act!S$11</f>
        <v>220.69334828784099</v>
      </c>
      <c r="T25" s="102">
        <f>TrAvia_act!T$11</f>
        <v>189.63208493074592</v>
      </c>
      <c r="U25" s="102">
        <f>TrAvia_act!U$11</f>
        <v>213.50143659433471</v>
      </c>
      <c r="V25" s="102">
        <f>TrAvia_act!V$11</f>
        <v>129.27225122602349</v>
      </c>
      <c r="W25" s="102">
        <f>TrAvia_act!W$11</f>
        <v>128.45213005497092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89</v>
      </c>
      <c r="C26" s="110">
        <f t="shared" si="21"/>
        <v>78</v>
      </c>
      <c r="D26" s="110">
        <f t="shared" si="21"/>
        <v>80</v>
      </c>
      <c r="E26" s="110">
        <f t="shared" si="21"/>
        <v>58</v>
      </c>
      <c r="F26" s="110">
        <f t="shared" si="21"/>
        <v>48</v>
      </c>
      <c r="G26" s="110">
        <f t="shared" si="21"/>
        <v>63</v>
      </c>
      <c r="H26" s="110">
        <f t="shared" si="21"/>
        <v>43</v>
      </c>
      <c r="I26" s="110">
        <f t="shared" si="21"/>
        <v>36</v>
      </c>
      <c r="J26" s="110">
        <f t="shared" si="21"/>
        <v>28</v>
      </c>
      <c r="K26" s="110">
        <f t="shared" si="21"/>
        <v>33</v>
      </c>
      <c r="L26" s="110">
        <f t="shared" si="21"/>
        <v>43</v>
      </c>
      <c r="M26" s="110">
        <f t="shared" si="21"/>
        <v>42</v>
      </c>
      <c r="N26" s="110">
        <f t="shared" si="21"/>
        <v>38</v>
      </c>
      <c r="O26" s="110">
        <f t="shared" si="21"/>
        <v>25</v>
      </c>
      <c r="P26" s="110">
        <f t="shared" si="21"/>
        <v>27</v>
      </c>
      <c r="Q26" s="110">
        <f t="shared" si="21"/>
        <v>33</v>
      </c>
      <c r="R26" s="110">
        <f t="shared" ref="R26:V26" si="22">R27+R28</f>
        <v>36</v>
      </c>
      <c r="S26" s="110">
        <f t="shared" si="22"/>
        <v>25</v>
      </c>
      <c r="T26" s="110">
        <f t="shared" si="22"/>
        <v>23</v>
      </c>
      <c r="U26" s="110">
        <f t="shared" si="22"/>
        <v>32</v>
      </c>
      <c r="V26" s="110">
        <f t="shared" si="22"/>
        <v>18</v>
      </c>
      <c r="W26" s="110">
        <f t="shared" ref="W26" si="23">W27+W28</f>
        <v>22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89</v>
      </c>
      <c r="C28" s="169">
        <f>TrNavi_act!C5</f>
        <v>78</v>
      </c>
      <c r="D28" s="169">
        <f>TrNavi_act!D5</f>
        <v>80</v>
      </c>
      <c r="E28" s="169">
        <f>TrNavi_act!E5</f>
        <v>58</v>
      </c>
      <c r="F28" s="169">
        <f>TrNavi_act!F5</f>
        <v>48</v>
      </c>
      <c r="G28" s="169">
        <f>TrNavi_act!G5</f>
        <v>63</v>
      </c>
      <c r="H28" s="169">
        <f>TrNavi_act!H5</f>
        <v>43</v>
      </c>
      <c r="I28" s="169">
        <f>TrNavi_act!I5</f>
        <v>36</v>
      </c>
      <c r="J28" s="169">
        <f>TrNavi_act!J5</f>
        <v>28</v>
      </c>
      <c r="K28" s="169">
        <f>TrNavi_act!K5</f>
        <v>33</v>
      </c>
      <c r="L28" s="169">
        <f>TrNavi_act!L5</f>
        <v>43</v>
      </c>
      <c r="M28" s="169">
        <f>TrNavi_act!M5</f>
        <v>42</v>
      </c>
      <c r="N28" s="169">
        <f>TrNavi_act!N5</f>
        <v>38</v>
      </c>
      <c r="O28" s="169">
        <f>TrNavi_act!O5</f>
        <v>25</v>
      </c>
      <c r="P28" s="169">
        <f>TrNavi_act!P5</f>
        <v>27</v>
      </c>
      <c r="Q28" s="169">
        <f>TrNavi_act!Q5</f>
        <v>33</v>
      </c>
      <c r="R28" s="169">
        <f>TrNavi_act!R5</f>
        <v>36</v>
      </c>
      <c r="S28" s="169">
        <f>TrNavi_act!S5</f>
        <v>25</v>
      </c>
      <c r="T28" s="169">
        <f>TrNavi_act!T5</f>
        <v>23</v>
      </c>
      <c r="U28" s="169">
        <f>TrNavi_act!U5</f>
        <v>32</v>
      </c>
      <c r="V28" s="169">
        <f>TrNavi_act!V5</f>
        <v>18</v>
      </c>
      <c r="W28" s="169">
        <f>TrNavi_act!W5</f>
        <v>22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3186.0245287649545</v>
      </c>
      <c r="C34" s="28">
        <f t="shared" si="25"/>
        <v>3364.6935616835508</v>
      </c>
      <c r="D34" s="28">
        <f t="shared" si="25"/>
        <v>3431.6692789853023</v>
      </c>
      <c r="E34" s="28">
        <f t="shared" si="25"/>
        <v>3818.6664794029398</v>
      </c>
      <c r="F34" s="28">
        <f t="shared" si="25"/>
        <v>3964.364005240695</v>
      </c>
      <c r="G34" s="28">
        <f t="shared" si="25"/>
        <v>4065.4715453922977</v>
      </c>
      <c r="H34" s="28">
        <f t="shared" si="25"/>
        <v>4126.1700583666743</v>
      </c>
      <c r="I34" s="28">
        <f t="shared" si="25"/>
        <v>4302.0739019055382</v>
      </c>
      <c r="J34" s="28">
        <f t="shared" si="25"/>
        <v>4345.9753029081476</v>
      </c>
      <c r="K34" s="28">
        <f t="shared" si="25"/>
        <v>4379.5936472387666</v>
      </c>
      <c r="L34" s="28">
        <f t="shared" si="25"/>
        <v>4078.2546305101932</v>
      </c>
      <c r="M34" s="28">
        <f t="shared" si="25"/>
        <v>4107.872192677537</v>
      </c>
      <c r="N34" s="28">
        <f t="shared" si="25"/>
        <v>4026.5818741800094</v>
      </c>
      <c r="O34" s="28">
        <f t="shared" si="25"/>
        <v>4039.0666275803401</v>
      </c>
      <c r="P34" s="28">
        <f t="shared" si="25"/>
        <v>4139.8179947573844</v>
      </c>
      <c r="Q34" s="28">
        <f t="shared" si="25"/>
        <v>4207.4723655456819</v>
      </c>
      <c r="R34" s="28">
        <f t="shared" ref="R34:V34" si="26">R35+R39+R43</f>
        <v>4425.0074303885913</v>
      </c>
      <c r="S34" s="28">
        <f t="shared" si="26"/>
        <v>4559.098971645547</v>
      </c>
      <c r="T34" s="28">
        <f t="shared" si="26"/>
        <v>4657.0873595635003</v>
      </c>
      <c r="U34" s="28">
        <f t="shared" si="26"/>
        <v>4767.0535454376195</v>
      </c>
      <c r="V34" s="28">
        <f t="shared" si="26"/>
        <v>4171.4225975719319</v>
      </c>
      <c r="W34" s="28">
        <f t="shared" ref="W34" si="27">W35+W39+W43</f>
        <v>4499.9195097507309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2856.9988615707975</v>
      </c>
      <c r="C35" s="137">
        <f t="shared" si="28"/>
        <v>3027.9551747622395</v>
      </c>
      <c r="D35" s="137">
        <f t="shared" si="28"/>
        <v>3108.5579838074109</v>
      </c>
      <c r="E35" s="137">
        <f t="shared" si="28"/>
        <v>3433.2924011011819</v>
      </c>
      <c r="F35" s="137">
        <f t="shared" si="28"/>
        <v>3479.2209904009751</v>
      </c>
      <c r="G35" s="137">
        <f t="shared" si="28"/>
        <v>3566.0504650167959</v>
      </c>
      <c r="H35" s="137">
        <f t="shared" si="28"/>
        <v>3614.2056950845104</v>
      </c>
      <c r="I35" s="137">
        <f t="shared" si="28"/>
        <v>3765.2535968299658</v>
      </c>
      <c r="J35" s="137">
        <f t="shared" si="28"/>
        <v>3774.7703711351542</v>
      </c>
      <c r="K35" s="137">
        <f t="shared" si="28"/>
        <v>3842.6334723734449</v>
      </c>
      <c r="L35" s="137">
        <f t="shared" si="28"/>
        <v>3573.9211788711641</v>
      </c>
      <c r="M35" s="137">
        <f t="shared" si="28"/>
        <v>3601.5882495420997</v>
      </c>
      <c r="N35" s="137">
        <f t="shared" si="28"/>
        <v>3554.6160280703257</v>
      </c>
      <c r="O35" s="137">
        <f t="shared" si="28"/>
        <v>3578.3894323733484</v>
      </c>
      <c r="P35" s="137">
        <f t="shared" si="28"/>
        <v>3676.1186516541165</v>
      </c>
      <c r="Q35" s="137">
        <f t="shared" si="28"/>
        <v>3723.019567779766</v>
      </c>
      <c r="R35" s="137">
        <f t="shared" ref="R35:V35" si="29">R36+R37+R38</f>
        <v>3913.593357484016</v>
      </c>
      <c r="S35" s="137">
        <f t="shared" si="29"/>
        <v>3992.0323961314311</v>
      </c>
      <c r="T35" s="137">
        <f t="shared" si="29"/>
        <v>4050.4539927764354</v>
      </c>
      <c r="U35" s="137">
        <f t="shared" si="29"/>
        <v>4148.1012624229306</v>
      </c>
      <c r="V35" s="137">
        <f t="shared" si="29"/>
        <v>3889.7500958903661</v>
      </c>
      <c r="W35" s="137">
        <f t="shared" ref="W35" si="30">W36+W37+W38</f>
        <v>4203.3337932351369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54.063568341064006</v>
      </c>
      <c r="C36" s="102">
        <f>TrRoad_ene!C$19</f>
        <v>51.379898738447864</v>
      </c>
      <c r="D36" s="102">
        <f>TrRoad_ene!D$19</f>
        <v>50.055025287910212</v>
      </c>
      <c r="E36" s="102">
        <f>TrRoad_ene!E$19</f>
        <v>49.84836492713324</v>
      </c>
      <c r="F36" s="102">
        <f>TrRoad_ene!F$19</f>
        <v>49.540540706435621</v>
      </c>
      <c r="G36" s="102">
        <f>TrRoad_ene!G$19</f>
        <v>50.978006042802477</v>
      </c>
      <c r="H36" s="102">
        <f>TrRoad_ene!H$19</f>
        <v>52.197148469018181</v>
      </c>
      <c r="I36" s="102">
        <f>TrRoad_ene!I$19</f>
        <v>53.815996242943271</v>
      </c>
      <c r="J36" s="102">
        <f>TrRoad_ene!J$19</f>
        <v>55.212560291984119</v>
      </c>
      <c r="K36" s="102">
        <f>TrRoad_ene!K$19</f>
        <v>55.560121217192098</v>
      </c>
      <c r="L36" s="102">
        <f>TrRoad_ene!L$19</f>
        <v>56.242677644562491</v>
      </c>
      <c r="M36" s="102">
        <f>TrRoad_ene!M$19</f>
        <v>56.86140470598351</v>
      </c>
      <c r="N36" s="102">
        <f>TrRoad_ene!N$19</f>
        <v>57.979091643600682</v>
      </c>
      <c r="O36" s="102">
        <f>TrRoad_ene!O$19</f>
        <v>57.774174278127347</v>
      </c>
      <c r="P36" s="102">
        <f>TrRoad_ene!P$19</f>
        <v>58.395855722712092</v>
      </c>
      <c r="Q36" s="102">
        <f>TrRoad_ene!Q$19</f>
        <v>59.911611075853607</v>
      </c>
      <c r="R36" s="102">
        <f>TrRoad_ene!R$19</f>
        <v>60.949751966024664</v>
      </c>
      <c r="S36" s="102">
        <f>TrRoad_ene!S$19</f>
        <v>57.104624381121354</v>
      </c>
      <c r="T36" s="102">
        <f>TrRoad_ene!T$19</f>
        <v>54.048928203353462</v>
      </c>
      <c r="U36" s="102">
        <f>TrRoad_ene!U$19</f>
        <v>56.950958980011102</v>
      </c>
      <c r="V36" s="102">
        <f>TrRoad_ene!V$19</f>
        <v>50.669175749903232</v>
      </c>
      <c r="W36" s="102">
        <f>TrRoad_ene!W$19</f>
        <v>50.103999812327196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2426.3454635487315</v>
      </c>
      <c r="C37" s="102">
        <f>TrRoad_ene!C$21</f>
        <v>2561.7351119295195</v>
      </c>
      <c r="D37" s="102">
        <f>TrRoad_ene!D$21</f>
        <v>2665.9856768457903</v>
      </c>
      <c r="E37" s="102">
        <f>TrRoad_ene!E$21</f>
        <v>3023.3169980544126</v>
      </c>
      <c r="F37" s="102">
        <f>TrRoad_ene!F$21</f>
        <v>3098.2312548614905</v>
      </c>
      <c r="G37" s="102">
        <f>TrRoad_ene!G$21</f>
        <v>3189.9126057029189</v>
      </c>
      <c r="H37" s="102">
        <f>TrRoad_ene!H$21</f>
        <v>3223.4780543301481</v>
      </c>
      <c r="I37" s="102">
        <f>TrRoad_ene!I$21</f>
        <v>3373.2867298132737</v>
      </c>
      <c r="J37" s="102">
        <f>TrRoad_ene!J$21</f>
        <v>3380.1852592834284</v>
      </c>
      <c r="K37" s="102">
        <f>TrRoad_ene!K$21</f>
        <v>3443.9771010574186</v>
      </c>
      <c r="L37" s="102">
        <f>TrRoad_ene!L$21</f>
        <v>3160.6791473202088</v>
      </c>
      <c r="M37" s="102">
        <f>TrRoad_ene!M$21</f>
        <v>3204.4131039410145</v>
      </c>
      <c r="N37" s="102">
        <f>TrRoad_ene!N$21</f>
        <v>3165.1333603401677</v>
      </c>
      <c r="O37" s="102">
        <f>TrRoad_ene!O$21</f>
        <v>3173.6880535639766</v>
      </c>
      <c r="P37" s="102">
        <f>TrRoad_ene!P$21</f>
        <v>3235.819085687725</v>
      </c>
      <c r="Q37" s="102">
        <f>TrRoad_ene!Q$21</f>
        <v>3291.0412501354231</v>
      </c>
      <c r="R37" s="102">
        <f>TrRoad_ene!R$21</f>
        <v>3456.2416717553224</v>
      </c>
      <c r="S37" s="102">
        <f>TrRoad_ene!S$21</f>
        <v>3519.1805985043447</v>
      </c>
      <c r="T37" s="102">
        <f>TrRoad_ene!T$21</f>
        <v>3583.2762097078867</v>
      </c>
      <c r="U37" s="102">
        <f>TrRoad_ene!U$21</f>
        <v>3674.4127863240133</v>
      </c>
      <c r="V37" s="102">
        <f>TrRoad_ene!V$21</f>
        <v>3526.05550514576</v>
      </c>
      <c r="W37" s="102">
        <f>TrRoad_ene!W$21</f>
        <v>3832.7094242895819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376.58982968100173</v>
      </c>
      <c r="C38" s="102">
        <f>TrRoad_ene!C$33</f>
        <v>414.84016409427215</v>
      </c>
      <c r="D38" s="102">
        <f>TrRoad_ene!D$33</f>
        <v>392.51728167371056</v>
      </c>
      <c r="E38" s="102">
        <f>TrRoad_ene!E$33</f>
        <v>360.12703811963581</v>
      </c>
      <c r="F38" s="102">
        <f>TrRoad_ene!F$33</f>
        <v>331.44919483304926</v>
      </c>
      <c r="G38" s="102">
        <f>TrRoad_ene!G$33</f>
        <v>325.15985327107467</v>
      </c>
      <c r="H38" s="102">
        <f>TrRoad_ene!H$33</f>
        <v>338.53049228534417</v>
      </c>
      <c r="I38" s="102">
        <f>TrRoad_ene!I$33</f>
        <v>338.15087077374903</v>
      </c>
      <c r="J38" s="102">
        <f>TrRoad_ene!J$33</f>
        <v>339.37255155974168</v>
      </c>
      <c r="K38" s="102">
        <f>TrRoad_ene!K$33</f>
        <v>343.09625009883399</v>
      </c>
      <c r="L38" s="102">
        <f>TrRoad_ene!L$33</f>
        <v>356.9993539063932</v>
      </c>
      <c r="M38" s="102">
        <f>TrRoad_ene!M$33</f>
        <v>340.31374089510155</v>
      </c>
      <c r="N38" s="102">
        <f>TrRoad_ene!N$33</f>
        <v>331.50357608655696</v>
      </c>
      <c r="O38" s="102">
        <f>TrRoad_ene!O$33</f>
        <v>346.92720453124474</v>
      </c>
      <c r="P38" s="102">
        <f>TrRoad_ene!P$33</f>
        <v>381.90371024367948</v>
      </c>
      <c r="Q38" s="102">
        <f>TrRoad_ene!Q$33</f>
        <v>372.06670656848917</v>
      </c>
      <c r="R38" s="102">
        <f>TrRoad_ene!R$33</f>
        <v>396.40193376266905</v>
      </c>
      <c r="S38" s="102">
        <f>TrRoad_ene!S$33</f>
        <v>415.74717324596486</v>
      </c>
      <c r="T38" s="102">
        <f>TrRoad_ene!T$33</f>
        <v>413.12885486519525</v>
      </c>
      <c r="U38" s="102">
        <f>TrRoad_ene!U$33</f>
        <v>416.73751711890628</v>
      </c>
      <c r="V38" s="102">
        <f>TrRoad_ene!V$33</f>
        <v>313.02541499470271</v>
      </c>
      <c r="W38" s="102">
        <f>TrRoad_ene!W$33</f>
        <v>320.52036913322752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142.14235127136692</v>
      </c>
      <c r="C39" s="110">
        <f t="shared" si="31"/>
        <v>138.19239941498515</v>
      </c>
      <c r="D39" s="110">
        <f t="shared" si="31"/>
        <v>135.25436001613201</v>
      </c>
      <c r="E39" s="110">
        <f t="shared" si="31"/>
        <v>138.96329017749892</v>
      </c>
      <c r="F39" s="110">
        <f t="shared" si="31"/>
        <v>165.80243957070283</v>
      </c>
      <c r="G39" s="110">
        <f t="shared" si="31"/>
        <v>168.8155247091494</v>
      </c>
      <c r="H39" s="110">
        <f t="shared" si="31"/>
        <v>172.62037040523211</v>
      </c>
      <c r="I39" s="110">
        <f t="shared" si="31"/>
        <v>166.65418884778251</v>
      </c>
      <c r="J39" s="110">
        <f t="shared" si="31"/>
        <v>181.67426389806246</v>
      </c>
      <c r="K39" s="110">
        <f t="shared" si="31"/>
        <v>176.96157004899993</v>
      </c>
      <c r="L39" s="110">
        <f t="shared" si="31"/>
        <v>173.02025893058735</v>
      </c>
      <c r="M39" s="110">
        <f t="shared" si="31"/>
        <v>167.84329529861606</v>
      </c>
      <c r="N39" s="110">
        <f t="shared" si="31"/>
        <v>171.25624999119685</v>
      </c>
      <c r="O39" s="110">
        <f t="shared" si="31"/>
        <v>170.64139300814597</v>
      </c>
      <c r="P39" s="110">
        <f t="shared" si="31"/>
        <v>164.35180547818624</v>
      </c>
      <c r="Q39" s="110">
        <f t="shared" si="31"/>
        <v>164.48968895297631</v>
      </c>
      <c r="R39" s="110">
        <f t="shared" ref="R39:V39" si="32">R40+R41+R42</f>
        <v>167.29829006765746</v>
      </c>
      <c r="S39" s="110">
        <f t="shared" si="32"/>
        <v>175.56607159529554</v>
      </c>
      <c r="T39" s="110">
        <f t="shared" si="32"/>
        <v>179.73337549927334</v>
      </c>
      <c r="U39" s="110">
        <f t="shared" si="32"/>
        <v>175.68142374302803</v>
      </c>
      <c r="V39" s="110">
        <f t="shared" si="32"/>
        <v>153.65969491421558</v>
      </c>
      <c r="W39" s="110">
        <f t="shared" ref="W39" si="33">W40+W41+W42</f>
        <v>155.47662318276403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44.643565152334965</v>
      </c>
      <c r="C40" s="102">
        <f>TrRail_ene!C$12</f>
        <v>45.185376561423176</v>
      </c>
      <c r="D40" s="102">
        <f>TrRail_ene!D$12</f>
        <v>46.021134100874967</v>
      </c>
      <c r="E40" s="102">
        <f>TrRail_ene!E$12</f>
        <v>48.03086478145341</v>
      </c>
      <c r="F40" s="102">
        <f>TrRail_ene!F$12</f>
        <v>50.343549614081248</v>
      </c>
      <c r="G40" s="102">
        <f>TrRail_ene!G$12</f>
        <v>46.918389002663304</v>
      </c>
      <c r="H40" s="102">
        <f>TrRail_ene!H$12</f>
        <v>45.912842769806147</v>
      </c>
      <c r="I40" s="102">
        <f>TrRail_ene!I$12</f>
        <v>45.86881156153553</v>
      </c>
      <c r="J40" s="102">
        <f>TrRail_ene!J$12</f>
        <v>53.209935748960632</v>
      </c>
      <c r="K40" s="102">
        <f>TrRail_ene!K$12</f>
        <v>52.79190348019614</v>
      </c>
      <c r="L40" s="102">
        <f>TrRail_ene!L$12</f>
        <v>51.707071897127292</v>
      </c>
      <c r="M40" s="102">
        <f>TrRail_ene!M$12</f>
        <v>48.814391453315757</v>
      </c>
      <c r="N40" s="102">
        <f>TrRail_ene!N$12</f>
        <v>51.75528454760417</v>
      </c>
      <c r="O40" s="102">
        <f>TrRail_ene!O$12</f>
        <v>50.630678920849739</v>
      </c>
      <c r="P40" s="102">
        <f>TrRail_ene!P$12</f>
        <v>46.100141056557057</v>
      </c>
      <c r="Q40" s="102">
        <f>TrRail_ene!Q$12</f>
        <v>44.173212115712204</v>
      </c>
      <c r="R40" s="102">
        <f>TrRail_ene!R$12</f>
        <v>46.274182707014219</v>
      </c>
      <c r="S40" s="102">
        <f>TrRail_ene!S$12</f>
        <v>46.153114514079675</v>
      </c>
      <c r="T40" s="102">
        <f>TrRail_ene!T$12</f>
        <v>44.511026411851752</v>
      </c>
      <c r="U40" s="102">
        <f>TrRail_ene!U$12</f>
        <v>44.679902773989582</v>
      </c>
      <c r="V40" s="102">
        <f>TrRail_ene!V$12</f>
        <v>37.903770890777679</v>
      </c>
      <c r="W40" s="102">
        <f>TrRail_ene!W$12</f>
        <v>37.763238973464908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97.498786119031962</v>
      </c>
      <c r="C41" s="102">
        <f>TrRail_ene!C$13</f>
        <v>93.007022853561963</v>
      </c>
      <c r="D41" s="102">
        <f>TrRail_ene!D$13</f>
        <v>89.233225915257051</v>
      </c>
      <c r="E41" s="102">
        <f>TrRail_ene!E$13</f>
        <v>90.932425396045517</v>
      </c>
      <c r="F41" s="102">
        <f>TrRail_ene!F$13</f>
        <v>115.38551363071042</v>
      </c>
      <c r="G41" s="102">
        <f>TrRail_ene!G$13</f>
        <v>121.46164210057997</v>
      </c>
      <c r="H41" s="102">
        <f>TrRail_ene!H$13</f>
        <v>122.4448607747722</v>
      </c>
      <c r="I41" s="102">
        <f>TrRail_ene!I$13</f>
        <v>115.75692460110407</v>
      </c>
      <c r="J41" s="102">
        <f>TrRail_ene!J$13</f>
        <v>124.04808038755117</v>
      </c>
      <c r="K41" s="102">
        <f>TrRail_ene!K$13</f>
        <v>119.74339572255752</v>
      </c>
      <c r="L41" s="102">
        <f>TrRail_ene!L$13</f>
        <v>116.91895158454753</v>
      </c>
      <c r="M41" s="102">
        <f>TrRail_ene!M$13</f>
        <v>114.40023920079989</v>
      </c>
      <c r="N41" s="102">
        <f>TrRail_ene!N$13</f>
        <v>115.25151811416852</v>
      </c>
      <c r="O41" s="102">
        <f>TrRail_ene!O$13</f>
        <v>116.0139925867214</v>
      </c>
      <c r="P41" s="102">
        <f>TrRail_ene!P$13</f>
        <v>113.47920941973868</v>
      </c>
      <c r="Q41" s="102">
        <f>TrRail_ene!Q$13</f>
        <v>113.70713037268929</v>
      </c>
      <c r="R41" s="102">
        <f>TrRail_ene!R$13</f>
        <v>112.70406457539126</v>
      </c>
      <c r="S41" s="102">
        <f>TrRail_ene!S$13</f>
        <v>120.35372303656646</v>
      </c>
      <c r="T41" s="102">
        <f>TrRail_ene!T$13</f>
        <v>125.95137042349953</v>
      </c>
      <c r="U41" s="102">
        <f>TrRail_ene!U$13</f>
        <v>122.82986536356873</v>
      </c>
      <c r="V41" s="102">
        <f>TrRail_ene!V$13</f>
        <v>107.85010087064282</v>
      </c>
      <c r="W41" s="102">
        <f>TrRail_ene!W$13</f>
        <v>109.58723509669892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7.3376325911176044E-2</v>
      </c>
      <c r="G42" s="102">
        <f>TrRail_ene!G$16</f>
        <v>0.43549360590615649</v>
      </c>
      <c r="H42" s="102">
        <f>TrRail_ene!H$16</f>
        <v>4.262666860653777</v>
      </c>
      <c r="I42" s="102">
        <f>TrRail_ene!I$16</f>
        <v>5.0284526851428817</v>
      </c>
      <c r="J42" s="102">
        <f>TrRail_ene!J$16</f>
        <v>4.4162477615506557</v>
      </c>
      <c r="K42" s="102">
        <f>TrRail_ene!K$16</f>
        <v>4.4262708462462799</v>
      </c>
      <c r="L42" s="102">
        <f>TrRail_ene!L$16</f>
        <v>4.3942354489125117</v>
      </c>
      <c r="M42" s="102">
        <f>TrRail_ene!M$16</f>
        <v>4.6286646445004065</v>
      </c>
      <c r="N42" s="102">
        <f>TrRail_ene!N$16</f>
        <v>4.249447329424159</v>
      </c>
      <c r="O42" s="102">
        <f>TrRail_ene!O$16</f>
        <v>3.9967215005748349</v>
      </c>
      <c r="P42" s="102">
        <f>TrRail_ene!P$16</f>
        <v>4.7724550018905161</v>
      </c>
      <c r="Q42" s="102">
        <f>TrRail_ene!Q$16</f>
        <v>6.609346464574835</v>
      </c>
      <c r="R42" s="102">
        <f>TrRail_ene!R$16</f>
        <v>8.3200427852519798</v>
      </c>
      <c r="S42" s="102">
        <f>TrRail_ene!S$16</f>
        <v>9.0592340446494042</v>
      </c>
      <c r="T42" s="102">
        <f>TrRail_ene!T$16</f>
        <v>9.2709786639220386</v>
      </c>
      <c r="U42" s="102">
        <f>TrRail_ene!U$16</f>
        <v>8.1716556054697449</v>
      </c>
      <c r="V42" s="102">
        <f>TrRail_ene!V$16</f>
        <v>7.9058231527950698</v>
      </c>
      <c r="W42" s="102">
        <f>TrRail_ene!W$16</f>
        <v>8.126149112600201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186.88331592279019</v>
      </c>
      <c r="C43" s="110">
        <f t="shared" si="34"/>
        <v>198.54598750632616</v>
      </c>
      <c r="D43" s="110">
        <f t="shared" si="34"/>
        <v>187.8569351617594</v>
      </c>
      <c r="E43" s="110">
        <f t="shared" si="34"/>
        <v>246.41078812425886</v>
      </c>
      <c r="F43" s="110">
        <f t="shared" si="34"/>
        <v>319.34057526901705</v>
      </c>
      <c r="G43" s="110">
        <f t="shared" si="34"/>
        <v>330.60555566635213</v>
      </c>
      <c r="H43" s="110">
        <f t="shared" si="34"/>
        <v>339.34399287693191</v>
      </c>
      <c r="I43" s="110">
        <f t="shared" si="34"/>
        <v>370.1661162277897</v>
      </c>
      <c r="J43" s="110">
        <f t="shared" si="34"/>
        <v>389.53066787493105</v>
      </c>
      <c r="K43" s="110">
        <f t="shared" si="34"/>
        <v>359.99860481632186</v>
      </c>
      <c r="L43" s="110">
        <f t="shared" si="34"/>
        <v>331.3131927084417</v>
      </c>
      <c r="M43" s="110">
        <f t="shared" si="34"/>
        <v>338.44064783682154</v>
      </c>
      <c r="N43" s="110">
        <f t="shared" si="34"/>
        <v>300.70959611848707</v>
      </c>
      <c r="O43" s="110">
        <f t="shared" si="34"/>
        <v>290.03580219884583</v>
      </c>
      <c r="P43" s="110">
        <f t="shared" si="34"/>
        <v>299.34753762508211</v>
      </c>
      <c r="Q43" s="110">
        <f t="shared" si="34"/>
        <v>319.96310881293954</v>
      </c>
      <c r="R43" s="110">
        <f t="shared" ref="R43:V43" si="35">R44+R45+R46</f>
        <v>344.1157828369179</v>
      </c>
      <c r="S43" s="110">
        <f t="shared" si="35"/>
        <v>391.50050391882019</v>
      </c>
      <c r="T43" s="110">
        <f t="shared" si="35"/>
        <v>426.89999128779169</v>
      </c>
      <c r="U43" s="110">
        <f t="shared" si="35"/>
        <v>443.27085927166041</v>
      </c>
      <c r="V43" s="110">
        <f t="shared" si="35"/>
        <v>128.01280676735075</v>
      </c>
      <c r="W43" s="110">
        <f t="shared" ref="W43" si="36">W44+W45+W46</f>
        <v>141.10909333282964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38.283933807423679</v>
      </c>
      <c r="C44" s="102">
        <f>TrAvia_ene!C$7</f>
        <v>49.404034280354658</v>
      </c>
      <c r="D44" s="102">
        <f>TrAvia_ene!D$7</f>
        <v>35.015183852077257</v>
      </c>
      <c r="E44" s="102">
        <f>TrAvia_ene!E$7</f>
        <v>57.693973196751593</v>
      </c>
      <c r="F44" s="102">
        <f>TrAvia_ene!F$7</f>
        <v>43.827335223116734</v>
      </c>
      <c r="G44" s="102">
        <f>TrAvia_ene!G$7</f>
        <v>29.369234751931899</v>
      </c>
      <c r="H44" s="102">
        <f>TrAvia_ene!H$7</f>
        <v>16.208676197677246</v>
      </c>
      <c r="I44" s="102">
        <f>TrAvia_ene!I$7</f>
        <v>36.02507696551266</v>
      </c>
      <c r="J44" s="102">
        <f>TrAvia_ene!J$7</f>
        <v>45.099020841072694</v>
      </c>
      <c r="K44" s="102">
        <f>TrAvia_ene!K$7</f>
        <v>31.148654251790568</v>
      </c>
      <c r="L44" s="102">
        <f>TrAvia_ene!L$7</f>
        <v>29.1427465003683</v>
      </c>
      <c r="M44" s="102">
        <f>TrAvia_ene!M$7</f>
        <v>42.735273470756745</v>
      </c>
      <c r="N44" s="102">
        <f>TrAvia_ene!N$7</f>
        <v>20.865914691065232</v>
      </c>
      <c r="O44" s="102">
        <f>TrAvia_ene!O$7</f>
        <v>18.976176594325523</v>
      </c>
      <c r="P44" s="102">
        <f>TrAvia_ene!P$7</f>
        <v>18.330629529886842</v>
      </c>
      <c r="Q44" s="102">
        <f>TrAvia_ene!Q$7</f>
        <v>37.698452184097498</v>
      </c>
      <c r="R44" s="102">
        <f>TrAvia_ene!R$7</f>
        <v>41.88821413346173</v>
      </c>
      <c r="S44" s="102">
        <f>TrAvia_ene!S$7</f>
        <v>51.702205471316006</v>
      </c>
      <c r="T44" s="102">
        <f>TrAvia_ene!T$7</f>
        <v>30.530391501918572</v>
      </c>
      <c r="U44" s="102">
        <f>TrAvia_ene!U$7</f>
        <v>37.327078959115823</v>
      </c>
      <c r="V44" s="102">
        <f>TrAvia_ene!V$7</f>
        <v>28.823538184434135</v>
      </c>
      <c r="W44" s="102">
        <f>TrAvia_ene!W$7</f>
        <v>4.5018936084103132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87.49199778959084</v>
      </c>
      <c r="C45" s="102">
        <f>TrAvia_ene!C$8</f>
        <v>87.806398037493906</v>
      </c>
      <c r="D45" s="102">
        <f>TrAvia_ene!D$8</f>
        <v>89.985329162786286</v>
      </c>
      <c r="E45" s="102">
        <f>TrAvia_ene!E$8</f>
        <v>116.97225432115737</v>
      </c>
      <c r="F45" s="102">
        <f>TrAvia_ene!F$8</f>
        <v>173.0907146472673</v>
      </c>
      <c r="G45" s="102">
        <f>TrAvia_ene!G$8</f>
        <v>193.30113426897822</v>
      </c>
      <c r="H45" s="102">
        <f>TrAvia_ene!H$8</f>
        <v>205.58100181432084</v>
      </c>
      <c r="I45" s="102">
        <f>TrAvia_ene!I$8</f>
        <v>213.03028656100676</v>
      </c>
      <c r="J45" s="102">
        <f>TrAvia_ene!J$8</f>
        <v>215.1269789186409</v>
      </c>
      <c r="K45" s="102">
        <f>TrAvia_ene!K$8</f>
        <v>198.85623168998666</v>
      </c>
      <c r="L45" s="102">
        <f>TrAvia_ene!L$8</f>
        <v>179.49500024219464</v>
      </c>
      <c r="M45" s="102">
        <f>TrAvia_ene!M$8</f>
        <v>173.9843313536426</v>
      </c>
      <c r="N45" s="102">
        <f>TrAvia_ene!N$8</f>
        <v>162.89321469131784</v>
      </c>
      <c r="O45" s="102">
        <f>TrAvia_ene!O$8</f>
        <v>157.27432513899353</v>
      </c>
      <c r="P45" s="102">
        <f>TrAvia_ene!P$8</f>
        <v>164.052772489235</v>
      </c>
      <c r="Q45" s="102">
        <f>TrAvia_ene!Q$8</f>
        <v>166.53548859107929</v>
      </c>
      <c r="R45" s="102">
        <f>TrAvia_ene!R$8</f>
        <v>183.18216204997913</v>
      </c>
      <c r="S45" s="102">
        <f>TrAvia_ene!S$8</f>
        <v>209.75061766391224</v>
      </c>
      <c r="T45" s="102">
        <f>TrAvia_ene!T$8</f>
        <v>245.04219059480928</v>
      </c>
      <c r="U45" s="102">
        <f>TrAvia_ene!U$8</f>
        <v>246.7777637889686</v>
      </c>
      <c r="V45" s="102">
        <f>TrAvia_ene!V$8</f>
        <v>53.426844337509515</v>
      </c>
      <c r="W45" s="102">
        <f>TrAvia_ene!W$8</f>
        <v>77.593237270126977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61.107384325775669</v>
      </c>
      <c r="C46" s="102">
        <f>TrAvia_ene!C$9</f>
        <v>61.335555188477592</v>
      </c>
      <c r="D46" s="102">
        <f>TrAvia_ene!D$9</f>
        <v>62.856422146895852</v>
      </c>
      <c r="E46" s="102">
        <f>TrAvia_ene!E$9</f>
        <v>71.744560606349893</v>
      </c>
      <c r="F46" s="102">
        <f>TrAvia_ene!F$9</f>
        <v>102.42252539863301</v>
      </c>
      <c r="G46" s="102">
        <f>TrAvia_ene!G$9</f>
        <v>107.93518664544199</v>
      </c>
      <c r="H46" s="102">
        <f>TrAvia_ene!H$9</f>
        <v>117.55431486493383</v>
      </c>
      <c r="I46" s="102">
        <f>TrAvia_ene!I$9</f>
        <v>121.11075270127027</v>
      </c>
      <c r="J46" s="102">
        <f>TrAvia_ene!J$9</f>
        <v>129.30466811521745</v>
      </c>
      <c r="K46" s="102">
        <f>TrAvia_ene!K$9</f>
        <v>129.99371887454464</v>
      </c>
      <c r="L46" s="102">
        <f>TrAvia_ene!L$9</f>
        <v>122.67544596587875</v>
      </c>
      <c r="M46" s="102">
        <f>TrAvia_ene!M$9</f>
        <v>121.72104301242219</v>
      </c>
      <c r="N46" s="102">
        <f>TrAvia_ene!N$9</f>
        <v>116.950466736104</v>
      </c>
      <c r="O46" s="102">
        <f>TrAvia_ene!O$9</f>
        <v>113.78530046552676</v>
      </c>
      <c r="P46" s="102">
        <f>TrAvia_ene!P$9</f>
        <v>116.96413560596029</v>
      </c>
      <c r="Q46" s="102">
        <f>TrAvia_ene!Q$9</f>
        <v>115.72916803776273</v>
      </c>
      <c r="R46" s="102">
        <f>TrAvia_ene!R$9</f>
        <v>119.04540665347706</v>
      </c>
      <c r="S46" s="102">
        <f>TrAvia_ene!S$9</f>
        <v>130.04768078359194</v>
      </c>
      <c r="T46" s="102">
        <f>TrAvia_ene!T$9</f>
        <v>151.32740919106385</v>
      </c>
      <c r="U46" s="102">
        <f>TrAvia_ene!U$9</f>
        <v>159.16601652357599</v>
      </c>
      <c r="V46" s="102">
        <f>TrAvia_ene!V$9</f>
        <v>45.762424245407111</v>
      </c>
      <c r="W46" s="102">
        <f>TrAvia_ene!W$9</f>
        <v>59.013962454292361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1069.2476221176412</v>
      </c>
      <c r="C47" s="28">
        <f t="shared" si="37"/>
        <v>1120.9179979866451</v>
      </c>
      <c r="D47" s="28">
        <f t="shared" si="37"/>
        <v>1244.7319887588346</v>
      </c>
      <c r="E47" s="28">
        <f t="shared" si="37"/>
        <v>1488.2509269381439</v>
      </c>
      <c r="F47" s="28">
        <f t="shared" si="37"/>
        <v>1671.8057559040542</v>
      </c>
      <c r="G47" s="28">
        <f t="shared" si="37"/>
        <v>1966.8651647139441</v>
      </c>
      <c r="H47" s="28">
        <f t="shared" si="37"/>
        <v>2140.9763497694885</v>
      </c>
      <c r="I47" s="28">
        <f t="shared" si="37"/>
        <v>2282.3092795822558</v>
      </c>
      <c r="J47" s="28">
        <f t="shared" si="37"/>
        <v>2271.8007930610047</v>
      </c>
      <c r="K47" s="28">
        <f t="shared" si="37"/>
        <v>2117.4311418576604</v>
      </c>
      <c r="L47" s="28">
        <f t="shared" si="37"/>
        <v>2086.0495301863857</v>
      </c>
      <c r="M47" s="28">
        <f t="shared" si="37"/>
        <v>2075.8660374141532</v>
      </c>
      <c r="N47" s="28">
        <f t="shared" si="37"/>
        <v>2018.0515384597948</v>
      </c>
      <c r="O47" s="28">
        <f t="shared" si="37"/>
        <v>1941.8586335082325</v>
      </c>
      <c r="P47" s="28">
        <f t="shared" si="37"/>
        <v>2058.8154946214245</v>
      </c>
      <c r="Q47" s="28">
        <f t="shared" si="37"/>
        <v>2244.466818634573</v>
      </c>
      <c r="R47" s="28">
        <f t="shared" ref="R47:V47" si="38">R48+R51+R52+R56</f>
        <v>2296.2003808852287</v>
      </c>
      <c r="S47" s="28">
        <f t="shared" si="38"/>
        <v>2391.3052580176682</v>
      </c>
      <c r="T47" s="28">
        <f t="shared" si="38"/>
        <v>2390.4146683568738</v>
      </c>
      <c r="U47" s="28">
        <f t="shared" si="38"/>
        <v>2400.714603710037</v>
      </c>
      <c r="V47" s="28">
        <f t="shared" si="38"/>
        <v>2273.8642380482647</v>
      </c>
      <c r="W47" s="28">
        <f t="shared" ref="W47" si="39">W48+W51+W52+W56</f>
        <v>2392.1322628009084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983.36168140122231</v>
      </c>
      <c r="C48" s="137">
        <f t="shared" si="40"/>
        <v>1035.7112430334937</v>
      </c>
      <c r="D48" s="137">
        <f t="shared" si="40"/>
        <v>1168.3133613227967</v>
      </c>
      <c r="E48" s="137">
        <f t="shared" si="40"/>
        <v>1414.7503706741236</v>
      </c>
      <c r="F48" s="137">
        <f t="shared" si="40"/>
        <v>1580.5980398753306</v>
      </c>
      <c r="G48" s="137">
        <f t="shared" si="40"/>
        <v>1879.4448865339855</v>
      </c>
      <c r="H48" s="137">
        <f t="shared" si="40"/>
        <v>2051.2752788298121</v>
      </c>
      <c r="I48" s="137">
        <f t="shared" si="40"/>
        <v>2191.0520266182752</v>
      </c>
      <c r="J48" s="137">
        <f t="shared" si="40"/>
        <v>2189.0656560463804</v>
      </c>
      <c r="K48" s="137">
        <f t="shared" si="40"/>
        <v>2045.199485252647</v>
      </c>
      <c r="L48" s="137">
        <f t="shared" si="40"/>
        <v>2017.2582182828523</v>
      </c>
      <c r="M48" s="137">
        <f t="shared" si="40"/>
        <v>2002.3306340319641</v>
      </c>
      <c r="N48" s="137">
        <f t="shared" si="40"/>
        <v>1949.9677714998311</v>
      </c>
      <c r="O48" s="137">
        <f t="shared" si="40"/>
        <v>1881.6433953532296</v>
      </c>
      <c r="P48" s="137">
        <f t="shared" si="40"/>
        <v>1993.4063252569372</v>
      </c>
      <c r="Q48" s="137">
        <f t="shared" si="40"/>
        <v>2176.3870282663534</v>
      </c>
      <c r="R48" s="137">
        <f t="shared" ref="R48:V48" si="41">R49+R50</f>
        <v>2225.4807478568719</v>
      </c>
      <c r="S48" s="137">
        <f t="shared" si="41"/>
        <v>2320.8368378310101</v>
      </c>
      <c r="T48" s="137">
        <f t="shared" si="41"/>
        <v>2321.4067625730017</v>
      </c>
      <c r="U48" s="137">
        <f t="shared" si="41"/>
        <v>2322.5013665183624</v>
      </c>
      <c r="V48" s="137">
        <f t="shared" si="41"/>
        <v>2191.1816236507248</v>
      </c>
      <c r="W48" s="137">
        <f t="shared" ref="W48" si="42">W49+W50</f>
        <v>2315.9094668487464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163.18292864622816</v>
      </c>
      <c r="C49" s="102">
        <f>TrRoad_ene!C$43</f>
        <v>176.46365907232371</v>
      </c>
      <c r="D49" s="102">
        <f>TrRoad_ene!D$43</f>
        <v>202.93862856354477</v>
      </c>
      <c r="E49" s="102">
        <f>TrRoad_ene!E$43</f>
        <v>232.26538899729704</v>
      </c>
      <c r="F49" s="102">
        <f>TrRoad_ene!F$43</f>
        <v>267.28312962020414</v>
      </c>
      <c r="G49" s="102">
        <f>TrRoad_ene!G$43</f>
        <v>316.98627836042499</v>
      </c>
      <c r="H49" s="102">
        <f>TrRoad_ene!H$43</f>
        <v>365.97227196696065</v>
      </c>
      <c r="I49" s="102">
        <f>TrRoad_ene!I$43</f>
        <v>416.88457511997268</v>
      </c>
      <c r="J49" s="102">
        <f>TrRoad_ene!J$43</f>
        <v>499.07721062436065</v>
      </c>
      <c r="K49" s="102">
        <f>TrRoad_ene!K$43</f>
        <v>508.83415421335184</v>
      </c>
      <c r="L49" s="102">
        <f>TrRoad_ene!L$43</f>
        <v>540.96137516958049</v>
      </c>
      <c r="M49" s="102">
        <f>TrRoad_ene!M$43</f>
        <v>552.95470443607837</v>
      </c>
      <c r="N49" s="102">
        <f>TrRoad_ene!N$43</f>
        <v>562.19553070756956</v>
      </c>
      <c r="O49" s="102">
        <f>TrRoad_ene!O$43</f>
        <v>585.46717144804677</v>
      </c>
      <c r="P49" s="102">
        <f>TrRoad_ene!P$43</f>
        <v>655.52634670279053</v>
      </c>
      <c r="Q49" s="102">
        <f>TrRoad_ene!Q$43</f>
        <v>715.55138022131894</v>
      </c>
      <c r="R49" s="102">
        <f>TrRoad_ene!R$43</f>
        <v>613.69156928684538</v>
      </c>
      <c r="S49" s="102">
        <f>TrRoad_ene!S$43</f>
        <v>624.96423817545144</v>
      </c>
      <c r="T49" s="102">
        <f>TrRoad_ene!T$43</f>
        <v>629.78419457711925</v>
      </c>
      <c r="U49" s="102">
        <f>TrRoad_ene!U$43</f>
        <v>631.05756123063145</v>
      </c>
      <c r="V49" s="102">
        <f>TrRoad_ene!V$43</f>
        <v>613.68016966231539</v>
      </c>
      <c r="W49" s="102">
        <f>TrRoad_ene!W$43</f>
        <v>626.25127035440892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820.17875275499409</v>
      </c>
      <c r="C50" s="102">
        <f>TrRoad_ene!C$52</f>
        <v>859.24758396116999</v>
      </c>
      <c r="D50" s="102">
        <f>TrRoad_ene!D$52</f>
        <v>965.37473275925197</v>
      </c>
      <c r="E50" s="102">
        <f>TrRoad_ene!E$52</f>
        <v>1182.4849816768265</v>
      </c>
      <c r="F50" s="102">
        <f>TrRoad_ene!F$52</f>
        <v>1313.3149102551265</v>
      </c>
      <c r="G50" s="102">
        <f>TrRoad_ene!G$52</f>
        <v>1562.4586081735604</v>
      </c>
      <c r="H50" s="102">
        <f>TrRoad_ene!H$52</f>
        <v>1685.3030068628514</v>
      </c>
      <c r="I50" s="102">
        <f>TrRoad_ene!I$52</f>
        <v>1774.1674514983026</v>
      </c>
      <c r="J50" s="102">
        <f>TrRoad_ene!J$52</f>
        <v>1689.9884454220196</v>
      </c>
      <c r="K50" s="102">
        <f>TrRoad_ene!K$52</f>
        <v>1536.3653310392951</v>
      </c>
      <c r="L50" s="102">
        <f>TrRoad_ene!L$52</f>
        <v>1476.2968431132717</v>
      </c>
      <c r="M50" s="102">
        <f>TrRoad_ene!M$52</f>
        <v>1449.3759295958857</v>
      </c>
      <c r="N50" s="102">
        <f>TrRoad_ene!N$52</f>
        <v>1387.7722407922615</v>
      </c>
      <c r="O50" s="102">
        <f>TrRoad_ene!O$52</f>
        <v>1296.1762239051827</v>
      </c>
      <c r="P50" s="102">
        <f>TrRoad_ene!P$52</f>
        <v>1337.8799785541466</v>
      </c>
      <c r="Q50" s="102">
        <f>TrRoad_ene!Q$52</f>
        <v>1460.8356480450343</v>
      </c>
      <c r="R50" s="102">
        <f>TrRoad_ene!R$52</f>
        <v>1611.7891785700263</v>
      </c>
      <c r="S50" s="102">
        <f>TrRoad_ene!S$52</f>
        <v>1695.8725996555586</v>
      </c>
      <c r="T50" s="102">
        <f>TrRoad_ene!T$52</f>
        <v>1691.6225679958825</v>
      </c>
      <c r="U50" s="102">
        <f>TrRoad_ene!U$52</f>
        <v>1691.4438052877308</v>
      </c>
      <c r="V50" s="102">
        <f>TrRoad_ene!V$52</f>
        <v>1577.5014539884091</v>
      </c>
      <c r="W50" s="102">
        <f>TrRoad_ene!W$52</f>
        <v>1689.6581964943375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67.34139765382649</v>
      </c>
      <c r="C51" s="110">
        <f>TrRail_ene!C$17</f>
        <v>64.087136268591792</v>
      </c>
      <c r="D51" s="110">
        <f>TrRail_ene!D$17</f>
        <v>57.789492090488764</v>
      </c>
      <c r="E51" s="110">
        <f>TrRail_ene!E$17</f>
        <v>56.180217991030673</v>
      </c>
      <c r="F51" s="110">
        <f>TrRail_ene!F$17</f>
        <v>72.24192844305469</v>
      </c>
      <c r="G51" s="110">
        <f>TrRail_ene!G$17</f>
        <v>68.481379848030258</v>
      </c>
      <c r="H51" s="110">
        <f>TrRail_ene!H$17</f>
        <v>70.227952896573598</v>
      </c>
      <c r="I51" s="110">
        <f>TrRail_ene!I$17</f>
        <v>73.639706251099696</v>
      </c>
      <c r="J51" s="110">
        <f>TrRail_ene!J$17</f>
        <v>65.841815207698517</v>
      </c>
      <c r="K51" s="110">
        <f>TrRail_ene!K$17</f>
        <v>54.761473803106625</v>
      </c>
      <c r="L51" s="110">
        <f>TrRail_ene!L$17</f>
        <v>52.61404889400427</v>
      </c>
      <c r="M51" s="110">
        <f>TrRail_ene!M$17</f>
        <v>54.152749413335783</v>
      </c>
      <c r="N51" s="110">
        <f>TrRail_ene!N$17</f>
        <v>48.207894462801448</v>
      </c>
      <c r="O51" s="110">
        <f>TrRail_ene!O$17</f>
        <v>45.153963827623556</v>
      </c>
      <c r="P51" s="110">
        <f>TrRail_ene!P$17</f>
        <v>50.357824788365789</v>
      </c>
      <c r="Q51" s="110">
        <f>TrRail_ene!Q$17</f>
        <v>51.917447762414888</v>
      </c>
      <c r="R51" s="110">
        <f>TrRail_ene!R$17</f>
        <v>51.827849227269496</v>
      </c>
      <c r="S51" s="110">
        <f>TrRail_ene!S$17</f>
        <v>50.354650674695876</v>
      </c>
      <c r="T51" s="110">
        <f>TrRail_ene!T$17</f>
        <v>49.123374285765401</v>
      </c>
      <c r="U51" s="110">
        <f>TrRail_ene!U$17</f>
        <v>49.893468776318414</v>
      </c>
      <c r="V51" s="110">
        <f>TrRail_ene!V$17</f>
        <v>51.429814974004586</v>
      </c>
      <c r="W51" s="110">
        <f>TrRail_ene!W$17</f>
        <v>53.912198829273791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13.446262753048138</v>
      </c>
      <c r="C52" s="110">
        <f t="shared" si="43"/>
        <v>13.109644479916348</v>
      </c>
      <c r="D52" s="110">
        <f t="shared" si="43"/>
        <v>14.622256583726385</v>
      </c>
      <c r="E52" s="110">
        <f t="shared" si="43"/>
        <v>13.314491325440152</v>
      </c>
      <c r="F52" s="110">
        <f t="shared" si="43"/>
        <v>12.965099709486623</v>
      </c>
      <c r="G52" s="110">
        <f t="shared" si="43"/>
        <v>13.943541496158742</v>
      </c>
      <c r="H52" s="110">
        <f t="shared" si="43"/>
        <v>13.342593537513524</v>
      </c>
      <c r="I52" s="110">
        <f t="shared" si="43"/>
        <v>12.512301656991012</v>
      </c>
      <c r="J52" s="110">
        <f t="shared" si="43"/>
        <v>12.797621033065267</v>
      </c>
      <c r="K52" s="110">
        <f t="shared" si="43"/>
        <v>12.337852621339284</v>
      </c>
      <c r="L52" s="110">
        <f t="shared" si="43"/>
        <v>12.065569114430197</v>
      </c>
      <c r="M52" s="110">
        <f t="shared" si="43"/>
        <v>16.302602378139767</v>
      </c>
      <c r="N52" s="110">
        <f t="shared" si="43"/>
        <v>14.745691929664314</v>
      </c>
      <c r="O52" s="110">
        <f t="shared" si="43"/>
        <v>13.008995737525613</v>
      </c>
      <c r="P52" s="110">
        <f t="shared" si="43"/>
        <v>11.970863062793981</v>
      </c>
      <c r="Q52" s="110">
        <f t="shared" si="43"/>
        <v>13.085300473388877</v>
      </c>
      <c r="R52" s="110">
        <f t="shared" si="43"/>
        <v>14.787742528516386</v>
      </c>
      <c r="S52" s="110">
        <f t="shared" si="43"/>
        <v>16.01050210009651</v>
      </c>
      <c r="T52" s="110">
        <f t="shared" si="43"/>
        <v>16.808091257350103</v>
      </c>
      <c r="U52" s="110">
        <f t="shared" si="43"/>
        <v>23.189673832380723</v>
      </c>
      <c r="V52" s="110">
        <f t="shared" si="43"/>
        <v>27.141105528436036</v>
      </c>
      <c r="W52" s="110">
        <f t="shared" ref="W52" si="44">W53+W54+W55</f>
        <v>18.181534354186642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0.76258381940348752</v>
      </c>
      <c r="C53" s="102">
        <f>TrAvia_ene!C$11</f>
        <v>0.73448678585341676</v>
      </c>
      <c r="D53" s="102">
        <f>TrAvia_ene!D$11</f>
        <v>0.83554701636641737</v>
      </c>
      <c r="E53" s="102">
        <f>TrAvia_ene!E$11</f>
        <v>0.64600960634384719</v>
      </c>
      <c r="F53" s="102">
        <f>TrAvia_ene!F$11</f>
        <v>0.20086770035703491</v>
      </c>
      <c r="G53" s="102">
        <f>TrAvia_ene!G$11</f>
        <v>0.32362853267687225</v>
      </c>
      <c r="H53" s="102">
        <f>TrAvia_ene!H$11</f>
        <v>0.36200308005276494</v>
      </c>
      <c r="I53" s="102">
        <f>TrAvia_ene!I$11</f>
        <v>1.229609190979174</v>
      </c>
      <c r="J53" s="102">
        <f>TrAvia_ene!J$11</f>
        <v>1.4634899069926517</v>
      </c>
      <c r="K53" s="102">
        <f>TrAvia_ene!K$11</f>
        <v>0.93509467340289198</v>
      </c>
      <c r="L53" s="102">
        <f>TrAvia_ene!L$11</f>
        <v>0.87255874468758887</v>
      </c>
      <c r="M53" s="102">
        <f>TrAvia_ene!M$11</f>
        <v>1.7471856865949271</v>
      </c>
      <c r="N53" s="102">
        <f>TrAvia_ene!N$11</f>
        <v>0.87578780248592825</v>
      </c>
      <c r="O53" s="102">
        <f>TrAvia_ene!O$11</f>
        <v>0.69708221908806667</v>
      </c>
      <c r="P53" s="102">
        <f>TrAvia_ene!P$11</f>
        <v>0.30840744345794718</v>
      </c>
      <c r="Q53" s="102">
        <f>TrAvia_ene!Q$11</f>
        <v>0.60214970756200736</v>
      </c>
      <c r="R53" s="102">
        <f>TrAvia_ene!R$11</f>
        <v>0.54927511847292043</v>
      </c>
      <c r="S53" s="102">
        <f>TrAvia_ene!S$11</f>
        <v>1.0772442277381602</v>
      </c>
      <c r="T53" s="102">
        <f>TrAvia_ene!T$11</f>
        <v>3.6334090139885689</v>
      </c>
      <c r="U53" s="102">
        <f>TrAvia_ene!U$11</f>
        <v>10.281347524117185</v>
      </c>
      <c r="V53" s="102">
        <f>TrAvia_ene!V$11</f>
        <v>12.568035332332849</v>
      </c>
      <c r="W53" s="102">
        <f>TrAvia_ene!W$11</f>
        <v>1.7267392376773913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2.8667173107494786</v>
      </c>
      <c r="C54" s="102">
        <f>TrAvia_ene!C$12</f>
        <v>2.679285201402223</v>
      </c>
      <c r="D54" s="102">
        <f>TrAvia_ene!D$12</f>
        <v>3.1762422270672772</v>
      </c>
      <c r="E54" s="102">
        <f>TrAvia_ene!E$12</f>
        <v>2.3731043528549405</v>
      </c>
      <c r="F54" s="102">
        <f>TrAvia_ene!F$12</f>
        <v>3.2382819087394679</v>
      </c>
      <c r="G54" s="102">
        <f>TrAvia_ene!G$12</f>
        <v>3.3934269364366338</v>
      </c>
      <c r="H54" s="102">
        <f>TrAvia_ene!H$12</f>
        <v>3.8645171227627193</v>
      </c>
      <c r="I54" s="102">
        <f>TrAvia_ene!I$12</f>
        <v>3.7591049828717078</v>
      </c>
      <c r="J54" s="102">
        <f>TrAvia_ene!J$12</f>
        <v>2.9680422251848304</v>
      </c>
      <c r="K54" s="102">
        <f>TrAvia_ene!K$12</f>
        <v>2.6276312965777935</v>
      </c>
      <c r="L54" s="102">
        <f>TrAvia_ene!L$12</f>
        <v>3.0166999463825519</v>
      </c>
      <c r="M54" s="102">
        <f>TrAvia_ene!M$12</f>
        <v>2.4598202141849401</v>
      </c>
      <c r="N54" s="102">
        <f>TrAvia_ene!N$12</f>
        <v>1.9846946464017015</v>
      </c>
      <c r="O54" s="102">
        <f>TrAvia_ene!O$12</f>
        <v>2.0106118163213953</v>
      </c>
      <c r="P54" s="102">
        <f>TrAvia_ene!P$12</f>
        <v>2.2136520608754755</v>
      </c>
      <c r="Q54" s="102">
        <f>TrAvia_ene!Q$12</f>
        <v>2.2941627351748664</v>
      </c>
      <c r="R54" s="102">
        <f>TrAvia_ene!R$12</f>
        <v>2.5091350492517406</v>
      </c>
      <c r="S54" s="102">
        <f>TrAvia_ene!S$12</f>
        <v>3.3513921446213413</v>
      </c>
      <c r="T54" s="102">
        <f>TrAvia_ene!T$12</f>
        <v>4.1262101125364259</v>
      </c>
      <c r="U54" s="102">
        <f>TrAvia_ene!U$12</f>
        <v>3.4604328091498613</v>
      </c>
      <c r="V54" s="102">
        <f>TrAvia_ene!V$12</f>
        <v>2.7462749484099684</v>
      </c>
      <c r="W54" s="102">
        <f>TrAvia_ene!W$12</f>
        <v>4.5489597551915741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9.8169616228951728</v>
      </c>
      <c r="C55" s="102">
        <f>TrAvia_ene!C$13</f>
        <v>9.6958724926607083</v>
      </c>
      <c r="D55" s="102">
        <f>TrAvia_ene!D$13</f>
        <v>10.61046734029269</v>
      </c>
      <c r="E55" s="102">
        <f>TrAvia_ene!E$13</f>
        <v>10.295377366241365</v>
      </c>
      <c r="F55" s="102">
        <f>TrAvia_ene!F$13</f>
        <v>9.525950100390121</v>
      </c>
      <c r="G55" s="102">
        <f>TrAvia_ene!G$13</f>
        <v>10.226486027045237</v>
      </c>
      <c r="H55" s="102">
        <f>TrAvia_ene!H$13</f>
        <v>9.11607333469804</v>
      </c>
      <c r="I55" s="102">
        <f>TrAvia_ene!I$13</f>
        <v>7.5235874831401297</v>
      </c>
      <c r="J55" s="102">
        <f>TrAvia_ene!J$13</f>
        <v>8.3660889008877852</v>
      </c>
      <c r="K55" s="102">
        <f>TrAvia_ene!K$13</f>
        <v>8.7751266513585993</v>
      </c>
      <c r="L55" s="102">
        <f>TrAvia_ene!L$13</f>
        <v>8.1763104233600572</v>
      </c>
      <c r="M55" s="102">
        <f>TrAvia_ene!M$13</f>
        <v>12.0955964773599</v>
      </c>
      <c r="N55" s="102">
        <f>TrAvia_ene!N$13</f>
        <v>11.885209480776684</v>
      </c>
      <c r="O55" s="102">
        <f>TrAvia_ene!O$13</f>
        <v>10.301301702116151</v>
      </c>
      <c r="P55" s="102">
        <f>TrAvia_ene!P$13</f>
        <v>9.4488035584605576</v>
      </c>
      <c r="Q55" s="102">
        <f>TrAvia_ene!Q$13</f>
        <v>10.188988030652002</v>
      </c>
      <c r="R55" s="102">
        <f>TrAvia_ene!R$13</f>
        <v>11.729332360791725</v>
      </c>
      <c r="S55" s="102">
        <f>TrAvia_ene!S$13</f>
        <v>11.581865727737009</v>
      </c>
      <c r="T55" s="102">
        <f>TrAvia_ene!T$13</f>
        <v>9.0484721308251075</v>
      </c>
      <c r="U55" s="102">
        <f>TrAvia_ene!U$13</f>
        <v>9.4478934991136772</v>
      </c>
      <c r="V55" s="102">
        <f>TrAvia_ene!V$13</f>
        <v>11.826795247693216</v>
      </c>
      <c r="W55" s="102">
        <f>TrAvia_ene!W$13</f>
        <v>11.905835361317676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5.0982803095442817</v>
      </c>
      <c r="C56" s="110">
        <f t="shared" si="45"/>
        <v>8.0099742046431643</v>
      </c>
      <c r="D56" s="110">
        <f t="shared" si="45"/>
        <v>4.0068787618228718</v>
      </c>
      <c r="E56" s="110">
        <f t="shared" si="45"/>
        <v>4.0058469475494407</v>
      </c>
      <c r="F56" s="110">
        <f t="shared" si="45"/>
        <v>6.0006878761822868</v>
      </c>
      <c r="G56" s="110">
        <f t="shared" si="45"/>
        <v>4.9953568357695612</v>
      </c>
      <c r="H56" s="110">
        <f t="shared" si="45"/>
        <v>6.1305245055889941</v>
      </c>
      <c r="I56" s="110">
        <f t="shared" si="45"/>
        <v>5.1052450558899398</v>
      </c>
      <c r="J56" s="110">
        <f t="shared" si="45"/>
        <v>4.0957007738607052</v>
      </c>
      <c r="K56" s="110">
        <f t="shared" si="45"/>
        <v>5.1323301805674966</v>
      </c>
      <c r="L56" s="110">
        <f t="shared" si="45"/>
        <v>4.1116938950988819</v>
      </c>
      <c r="M56" s="110">
        <f t="shared" si="45"/>
        <v>3.080051590713671</v>
      </c>
      <c r="N56" s="110">
        <f t="shared" si="45"/>
        <v>5.1301805674978498</v>
      </c>
      <c r="O56" s="110">
        <f t="shared" si="45"/>
        <v>2.0522785898538261</v>
      </c>
      <c r="P56" s="110">
        <f t="shared" si="45"/>
        <v>3.0804815133276011</v>
      </c>
      <c r="Q56" s="110">
        <f t="shared" si="45"/>
        <v>3.0770421324161652</v>
      </c>
      <c r="R56" s="110">
        <f t="shared" ref="R56:V56" si="46">R57+R58</f>
        <v>4.104041272570937</v>
      </c>
      <c r="S56" s="110">
        <f t="shared" si="46"/>
        <v>4.1032674118658639</v>
      </c>
      <c r="T56" s="110">
        <f t="shared" si="46"/>
        <v>3.0764402407566638</v>
      </c>
      <c r="U56" s="110">
        <f t="shared" si="46"/>
        <v>5.1300945829750626</v>
      </c>
      <c r="V56" s="110">
        <f t="shared" si="46"/>
        <v>4.1116938950988819</v>
      </c>
      <c r="W56" s="110">
        <f t="shared" ref="W56" si="47">W57+W58</f>
        <v>4.1290627687016332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5.0982803095442817</v>
      </c>
      <c r="C58" s="169">
        <f>TrNavi_ene!C10</f>
        <v>8.0099742046431643</v>
      </c>
      <c r="D58" s="169">
        <f>TrNavi_ene!D10</f>
        <v>4.0068787618228718</v>
      </c>
      <c r="E58" s="169">
        <f>TrNavi_ene!E10</f>
        <v>4.0058469475494407</v>
      </c>
      <c r="F58" s="169">
        <f>TrNavi_ene!F10</f>
        <v>6.0006878761822868</v>
      </c>
      <c r="G58" s="169">
        <f>TrNavi_ene!G10</f>
        <v>4.9953568357695612</v>
      </c>
      <c r="H58" s="169">
        <f>TrNavi_ene!H10</f>
        <v>6.1305245055889941</v>
      </c>
      <c r="I58" s="169">
        <f>TrNavi_ene!I10</f>
        <v>5.1052450558899398</v>
      </c>
      <c r="J58" s="169">
        <f>TrNavi_ene!J10</f>
        <v>4.0957007738607052</v>
      </c>
      <c r="K58" s="169">
        <f>TrNavi_ene!K10</f>
        <v>5.1323301805674966</v>
      </c>
      <c r="L58" s="169">
        <f>TrNavi_ene!L10</f>
        <v>4.1116938950988819</v>
      </c>
      <c r="M58" s="169">
        <f>TrNavi_ene!M10</f>
        <v>3.080051590713671</v>
      </c>
      <c r="N58" s="169">
        <f>TrNavi_ene!N10</f>
        <v>5.1301805674978498</v>
      </c>
      <c r="O58" s="169">
        <f>TrNavi_ene!O10</f>
        <v>2.0522785898538261</v>
      </c>
      <c r="P58" s="169">
        <f>TrNavi_ene!P10</f>
        <v>3.0804815133276011</v>
      </c>
      <c r="Q58" s="169">
        <f>TrNavi_ene!Q10</f>
        <v>3.0770421324161652</v>
      </c>
      <c r="R58" s="169">
        <f>TrNavi_ene!R10</f>
        <v>4.104041272570937</v>
      </c>
      <c r="S58" s="169">
        <f>TrNavi_ene!S10</f>
        <v>4.1032674118658639</v>
      </c>
      <c r="T58" s="169">
        <f>TrNavi_ene!T10</f>
        <v>3.0764402407566638</v>
      </c>
      <c r="U58" s="169">
        <f>TrNavi_ene!U10</f>
        <v>5.1300945829750626</v>
      </c>
      <c r="V58" s="169">
        <f>TrNavi_ene!V10</f>
        <v>4.1116938950988819</v>
      </c>
      <c r="W58" s="169">
        <f>TrNavi_ene!W10</f>
        <v>4.1290627687016332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0</v>
      </c>
      <c r="J59" s="28">
        <f t="shared" si="48"/>
        <v>0</v>
      </c>
      <c r="K59" s="28">
        <f t="shared" si="48"/>
        <v>0</v>
      </c>
      <c r="L59" s="28">
        <f t="shared" si="48"/>
        <v>0</v>
      </c>
      <c r="M59" s="28">
        <f t="shared" si="48"/>
        <v>0</v>
      </c>
      <c r="N59" s="28">
        <f t="shared" si="48"/>
        <v>0</v>
      </c>
      <c r="O59" s="28">
        <f t="shared" si="48"/>
        <v>0</v>
      </c>
      <c r="P59" s="28">
        <f t="shared" si="48"/>
        <v>0</v>
      </c>
      <c r="Q59" s="28">
        <f t="shared" si="48"/>
        <v>0</v>
      </c>
      <c r="R59" s="28">
        <f t="shared" si="48"/>
        <v>0</v>
      </c>
      <c r="S59" s="28">
        <f t="shared" si="48"/>
        <v>0</v>
      </c>
      <c r="T59" s="28">
        <f t="shared" si="48"/>
        <v>0</v>
      </c>
      <c r="U59" s="28">
        <f t="shared" si="48"/>
        <v>0</v>
      </c>
      <c r="V59" s="28">
        <f t="shared" si="48"/>
        <v>0</v>
      </c>
      <c r="W59" s="28">
        <f t="shared" si="48"/>
        <v>0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9133.5695785454282</v>
      </c>
      <c r="C64" s="28">
        <f t="shared" si="49"/>
        <v>9701.1561614548282</v>
      </c>
      <c r="D64" s="28">
        <f t="shared" si="49"/>
        <v>9880.247412400091</v>
      </c>
      <c r="E64" s="28">
        <f t="shared" si="49"/>
        <v>11035.76732974098</v>
      </c>
      <c r="F64" s="28">
        <f t="shared" si="49"/>
        <v>11441.92496748146</v>
      </c>
      <c r="G64" s="28">
        <f t="shared" si="49"/>
        <v>11801.291191990214</v>
      </c>
      <c r="H64" s="28">
        <f t="shared" si="49"/>
        <v>11963.950365611598</v>
      </c>
      <c r="I64" s="28">
        <f t="shared" si="49"/>
        <v>12495.473176857744</v>
      </c>
      <c r="J64" s="28">
        <f t="shared" si="49"/>
        <v>12458.724918060921</v>
      </c>
      <c r="K64" s="28">
        <f t="shared" si="49"/>
        <v>12399.368167702178</v>
      </c>
      <c r="L64" s="28">
        <f t="shared" si="49"/>
        <v>11463.633044419075</v>
      </c>
      <c r="M64" s="28">
        <f t="shared" si="49"/>
        <v>11469.329460430654</v>
      </c>
      <c r="N64" s="28">
        <f t="shared" si="49"/>
        <v>11263.660110796875</v>
      </c>
      <c r="O64" s="28">
        <f t="shared" si="49"/>
        <v>11308.368978647268</v>
      </c>
      <c r="P64" s="28">
        <f t="shared" si="49"/>
        <v>11564.6295461439</v>
      </c>
      <c r="Q64" s="28">
        <f t="shared" si="49"/>
        <v>11807.866232048464</v>
      </c>
      <c r="R64" s="28">
        <f t="shared" ref="R64:V64" si="50">R65+R69+R73</f>
        <v>12451.183918955458</v>
      </c>
      <c r="S64" s="28">
        <f t="shared" si="50"/>
        <v>12816.382088710641</v>
      </c>
      <c r="T64" s="28">
        <f t="shared" si="50"/>
        <v>13105.737829546182</v>
      </c>
      <c r="U64" s="28">
        <f t="shared" si="50"/>
        <v>13366.560836310349</v>
      </c>
      <c r="V64" s="28">
        <f t="shared" si="50"/>
        <v>11571.276140029137</v>
      </c>
      <c r="W64" s="28">
        <f t="shared" ref="W64" si="51">W65+W69+W73</f>
        <v>12566.860111026555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8331.189992579617</v>
      </c>
      <c r="C65" s="137">
        <f t="shared" si="52"/>
        <v>8873.8651707446261</v>
      </c>
      <c r="D65" s="137">
        <f t="shared" si="52"/>
        <v>9092.4404414668024</v>
      </c>
      <c r="E65" s="137">
        <f t="shared" si="52"/>
        <v>10070.242605378597</v>
      </c>
      <c r="F65" s="137">
        <f t="shared" si="52"/>
        <v>10256.460264932737</v>
      </c>
      <c r="G65" s="137">
        <f t="shared" si="52"/>
        <v>10575.906911528917</v>
      </c>
      <c r="H65" s="137">
        <f t="shared" si="52"/>
        <v>10703.50366704772</v>
      </c>
      <c r="I65" s="137">
        <f t="shared" si="52"/>
        <v>11145.22026770686</v>
      </c>
      <c r="J65" s="137">
        <f t="shared" si="52"/>
        <v>11026.89678082629</v>
      </c>
      <c r="K65" s="137">
        <f t="shared" si="52"/>
        <v>11079.508562940016</v>
      </c>
      <c r="L65" s="137">
        <f t="shared" si="52"/>
        <v>10236.963351297336</v>
      </c>
      <c r="M65" s="137">
        <f t="shared" si="52"/>
        <v>10222.830683108632</v>
      </c>
      <c r="N65" s="137">
        <f t="shared" si="52"/>
        <v>10128.627688445358</v>
      </c>
      <c r="O65" s="137">
        <f t="shared" si="52"/>
        <v>10210.804819696623</v>
      </c>
      <c r="P65" s="137">
        <f t="shared" si="52"/>
        <v>10445.401671808451</v>
      </c>
      <c r="Q65" s="137">
        <f t="shared" si="52"/>
        <v>10632.38265518086</v>
      </c>
      <c r="R65" s="137">
        <f t="shared" ref="R65:V65" si="53">R66+R67+R68</f>
        <v>11223.112289972527</v>
      </c>
      <c r="S65" s="137">
        <f t="shared" si="53"/>
        <v>11432.053537283296</v>
      </c>
      <c r="T65" s="137">
        <f t="shared" si="53"/>
        <v>11611.691476952652</v>
      </c>
      <c r="U65" s="137">
        <f t="shared" si="53"/>
        <v>11831.463790652855</v>
      </c>
      <c r="V65" s="137">
        <f t="shared" si="53"/>
        <v>11015.327233737684</v>
      </c>
      <c r="W65" s="137">
        <f t="shared" ref="W65" si="54">W66+W67+W68</f>
        <v>11977.862971937144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156.86287011574419</v>
      </c>
      <c r="C66" s="102">
        <f>TrRoad_emi!C$19</f>
        <v>149.0763305064265</v>
      </c>
      <c r="D66" s="102">
        <f>TrRoad_emi!D$19</f>
        <v>145.23227325366778</v>
      </c>
      <c r="E66" s="102">
        <f>TrRoad_emi!E$19</f>
        <v>144.63265805390657</v>
      </c>
      <c r="F66" s="102">
        <f>TrRoad_emi!F$19</f>
        <v>143.73952072998534</v>
      </c>
      <c r="G66" s="102">
        <f>TrRoad_emi!G$19</f>
        <v>147.91025798010375</v>
      </c>
      <c r="H66" s="102">
        <f>TrRoad_emi!H$19</f>
        <v>151.3547410340378</v>
      </c>
      <c r="I66" s="102">
        <f>TrRoad_emi!I$19</f>
        <v>156.14455145747874</v>
      </c>
      <c r="J66" s="102">
        <f>TrRoad_emi!J$19</f>
        <v>157.59673397097976</v>
      </c>
      <c r="K66" s="102">
        <f>TrRoad_emi!K$19</f>
        <v>156.73353660336173</v>
      </c>
      <c r="L66" s="102">
        <f>TrRoad_emi!L$19</f>
        <v>158.26787960460763</v>
      </c>
      <c r="M66" s="102">
        <f>TrRoad_emi!M$19</f>
        <v>159.59370375336383</v>
      </c>
      <c r="N66" s="102">
        <f>TrRoad_emi!N$19</f>
        <v>162.76822207850867</v>
      </c>
      <c r="O66" s="102">
        <f>TrRoad_emi!O$19</f>
        <v>162.11579483937456</v>
      </c>
      <c r="P66" s="102">
        <f>TrRoad_emi!P$19</f>
        <v>162.56891466524812</v>
      </c>
      <c r="Q66" s="102">
        <f>TrRoad_emi!Q$19</f>
        <v>167.10596715469518</v>
      </c>
      <c r="R66" s="102">
        <f>TrRoad_emi!R$19</f>
        <v>171.70821615679267</v>
      </c>
      <c r="S66" s="102">
        <f>TrRoad_emi!S$19</f>
        <v>159.76315475010392</v>
      </c>
      <c r="T66" s="102">
        <f>TrRoad_emi!T$19</f>
        <v>151.04209011374471</v>
      </c>
      <c r="U66" s="102">
        <f>TrRoad_emi!U$19</f>
        <v>157.98859992447782</v>
      </c>
      <c r="V66" s="102">
        <f>TrRoad_emi!V$19</f>
        <v>140.65937506154688</v>
      </c>
      <c r="W66" s="102">
        <f>TrRoad_emi!W$19</f>
        <v>140.24046879620752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7077.5801742488793</v>
      </c>
      <c r="C67" s="102">
        <f>TrRoad_emi!C$20</f>
        <v>7501.0661448612982</v>
      </c>
      <c r="D67" s="102">
        <f>TrRoad_emi!D$20</f>
        <v>7799.2375111150459</v>
      </c>
      <c r="E67" s="102">
        <f>TrRoad_emi!E$20</f>
        <v>8869.8433999008721</v>
      </c>
      <c r="F67" s="102">
        <f>TrRoad_emi!F$20</f>
        <v>9134.2109863947444</v>
      </c>
      <c r="G67" s="102">
        <f>TrRoad_emi!G$20</f>
        <v>9457.4768888821563</v>
      </c>
      <c r="H67" s="102">
        <f>TrRoad_emi!H$20</f>
        <v>9546.9909667500833</v>
      </c>
      <c r="I67" s="102">
        <f>TrRoad_emi!I$20</f>
        <v>9982.7886889767433</v>
      </c>
      <c r="J67" s="102">
        <f>TrRoad_emi!J$20</f>
        <v>9871.2997436015139</v>
      </c>
      <c r="K67" s="102">
        <f>TrRoad_emi!K$20</f>
        <v>9930.7146442782105</v>
      </c>
      <c r="L67" s="102">
        <f>TrRoad_emi!L$20</f>
        <v>9058.2331691805757</v>
      </c>
      <c r="M67" s="102">
        <f>TrRoad_emi!M$20</f>
        <v>9109.3407805601491</v>
      </c>
      <c r="N67" s="102">
        <f>TrRoad_emi!N$20</f>
        <v>9032.637617584789</v>
      </c>
      <c r="O67" s="102">
        <f>TrRoad_emi!O$20</f>
        <v>9064.2126271749148</v>
      </c>
      <c r="P67" s="102">
        <f>TrRoad_emi!P$20</f>
        <v>9190.2151588517936</v>
      </c>
      <c r="Q67" s="102">
        <f>TrRoad_emi!Q$20</f>
        <v>9396.0850519051564</v>
      </c>
      <c r="R67" s="102">
        <f>TrRoad_emi!R$20</f>
        <v>9914.817395078042</v>
      </c>
      <c r="S67" s="102">
        <f>TrRoad_emi!S$20</f>
        <v>10078.149580313995</v>
      </c>
      <c r="T67" s="102">
        <f>TrRoad_emi!T$20</f>
        <v>10271.882094743964</v>
      </c>
      <c r="U67" s="102">
        <f>TrRoad_emi!U$20</f>
        <v>10483.780505211334</v>
      </c>
      <c r="V67" s="102">
        <f>TrRoad_emi!V$20</f>
        <v>10000.873922571931</v>
      </c>
      <c r="W67" s="102">
        <f>TrRoad_emi!W$20</f>
        <v>10972.398230226856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1096.7469482149936</v>
      </c>
      <c r="C68" s="102">
        <f>TrRoad_emi!C$27</f>
        <v>1223.7226953769018</v>
      </c>
      <c r="D68" s="102">
        <f>TrRoad_emi!D$27</f>
        <v>1147.9706570980895</v>
      </c>
      <c r="E68" s="102">
        <f>TrRoad_emi!E$27</f>
        <v>1055.7665474238179</v>
      </c>
      <c r="F68" s="102">
        <f>TrRoad_emi!F$27</f>
        <v>978.50975780800684</v>
      </c>
      <c r="G68" s="102">
        <f>TrRoad_emi!G$27</f>
        <v>970.51976466665565</v>
      </c>
      <c r="H68" s="102">
        <f>TrRoad_emi!H$27</f>
        <v>1005.1579592635991</v>
      </c>
      <c r="I68" s="102">
        <f>TrRoad_emi!I$27</f>
        <v>1006.2870272726379</v>
      </c>
      <c r="J68" s="102">
        <f>TrRoad_emi!J$27</f>
        <v>998.00030325379578</v>
      </c>
      <c r="K68" s="102">
        <f>TrRoad_emi!K$27</f>
        <v>992.060382058443</v>
      </c>
      <c r="L68" s="102">
        <f>TrRoad_emi!L$27</f>
        <v>1020.462302512152</v>
      </c>
      <c r="M68" s="102">
        <f>TrRoad_emi!M$27</f>
        <v>953.89619879511849</v>
      </c>
      <c r="N68" s="102">
        <f>TrRoad_emi!N$27</f>
        <v>933.22184878206122</v>
      </c>
      <c r="O68" s="102">
        <f>TrRoad_emi!O$27</f>
        <v>984.4763976823341</v>
      </c>
      <c r="P68" s="102">
        <f>TrRoad_emi!P$27</f>
        <v>1092.6175982914106</v>
      </c>
      <c r="Q68" s="102">
        <f>TrRoad_emi!Q$27</f>
        <v>1069.1916361210076</v>
      </c>
      <c r="R68" s="102">
        <f>TrRoad_emi!R$27</f>
        <v>1136.5866787376933</v>
      </c>
      <c r="S68" s="102">
        <f>TrRoad_emi!S$27</f>
        <v>1194.1408022191965</v>
      </c>
      <c r="T68" s="102">
        <f>TrRoad_emi!T$27</f>
        <v>1188.767292094944</v>
      </c>
      <c r="U68" s="102">
        <f>TrRoad_emi!U$27</f>
        <v>1189.6946855170422</v>
      </c>
      <c r="V68" s="102">
        <f>TrRoad_emi!V$27</f>
        <v>873.7939361042063</v>
      </c>
      <c r="W68" s="102">
        <f>TrRoad_emi!W$27</f>
        <v>865.22427291408042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240.03796632101393</v>
      </c>
      <c r="C69" s="110">
        <f t="shared" si="55"/>
        <v>229.77017744546521</v>
      </c>
      <c r="D69" s="110">
        <f t="shared" si="55"/>
        <v>222.54335208725826</v>
      </c>
      <c r="E69" s="110">
        <f t="shared" si="55"/>
        <v>223.99891677496649</v>
      </c>
      <c r="F69" s="110">
        <f t="shared" si="55"/>
        <v>224.39929740123992</v>
      </c>
      <c r="G69" s="110">
        <f t="shared" si="55"/>
        <v>230.3239245220887</v>
      </c>
      <c r="H69" s="110">
        <f t="shared" si="55"/>
        <v>239.07912311020942</v>
      </c>
      <c r="I69" s="110">
        <f t="shared" si="55"/>
        <v>236.09935523229584</v>
      </c>
      <c r="J69" s="110">
        <f t="shared" si="55"/>
        <v>259.3815573980404</v>
      </c>
      <c r="K69" s="110">
        <f t="shared" si="55"/>
        <v>236.31404631420284</v>
      </c>
      <c r="L69" s="110">
        <f t="shared" si="55"/>
        <v>229.47610712319266</v>
      </c>
      <c r="M69" s="110">
        <f t="shared" si="55"/>
        <v>227.76771523931046</v>
      </c>
      <c r="N69" s="110">
        <f t="shared" si="55"/>
        <v>229.9632591688478</v>
      </c>
      <c r="O69" s="110">
        <f t="shared" si="55"/>
        <v>224.62722260920364</v>
      </c>
      <c r="P69" s="110">
        <f t="shared" si="55"/>
        <v>218.26287797966654</v>
      </c>
      <c r="Q69" s="110">
        <f t="shared" si="55"/>
        <v>212.54136781371932</v>
      </c>
      <c r="R69" s="110">
        <f t="shared" ref="R69:V69" si="56">R70+R71+R72</f>
        <v>192.42309664323744</v>
      </c>
      <c r="S69" s="110">
        <f t="shared" si="56"/>
        <v>206.0354934380629</v>
      </c>
      <c r="T69" s="110">
        <f t="shared" si="56"/>
        <v>209.16844044944509</v>
      </c>
      <c r="U69" s="110">
        <f t="shared" si="56"/>
        <v>200.91040130600231</v>
      </c>
      <c r="V69" s="110">
        <f t="shared" si="56"/>
        <v>170.70665352732541</v>
      </c>
      <c r="W69" s="110">
        <f t="shared" ref="W69" si="57">W70+W71+W72</f>
        <v>164.33540935653286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240.03796632101393</v>
      </c>
      <c r="C71" s="102">
        <f>TrRail_emi!C$11</f>
        <v>229.77017744546521</v>
      </c>
      <c r="D71" s="102">
        <f>TrRail_emi!D$11</f>
        <v>222.54335208725826</v>
      </c>
      <c r="E71" s="102">
        <f>TrRail_emi!E$11</f>
        <v>223.99891677496649</v>
      </c>
      <c r="F71" s="102">
        <f>TrRail_emi!F$11</f>
        <v>224.39929740123992</v>
      </c>
      <c r="G71" s="102">
        <f>TrRail_emi!G$11</f>
        <v>230.3239245220887</v>
      </c>
      <c r="H71" s="102">
        <f>TrRail_emi!H$11</f>
        <v>239.07912311020942</v>
      </c>
      <c r="I71" s="102">
        <f>TrRail_emi!I$11</f>
        <v>236.09935523229584</v>
      </c>
      <c r="J71" s="102">
        <f>TrRail_emi!J$11</f>
        <v>259.3815573980404</v>
      </c>
      <c r="K71" s="102">
        <f>TrRail_emi!K$11</f>
        <v>236.31404631420284</v>
      </c>
      <c r="L71" s="102">
        <f>TrRail_emi!L$11</f>
        <v>229.47610712319266</v>
      </c>
      <c r="M71" s="102">
        <f>TrRail_emi!M$11</f>
        <v>227.76771523931046</v>
      </c>
      <c r="N71" s="102">
        <f>TrRail_emi!N$11</f>
        <v>229.9632591688478</v>
      </c>
      <c r="O71" s="102">
        <f>TrRail_emi!O$11</f>
        <v>224.62722260920364</v>
      </c>
      <c r="P71" s="102">
        <f>TrRail_emi!P$11</f>
        <v>218.26287797966654</v>
      </c>
      <c r="Q71" s="102">
        <f>TrRail_emi!Q$11</f>
        <v>212.54136781371932</v>
      </c>
      <c r="R71" s="102">
        <f>TrRail_emi!R$11</f>
        <v>192.42309664323744</v>
      </c>
      <c r="S71" s="102">
        <f>TrRail_emi!S$11</f>
        <v>206.0354934380629</v>
      </c>
      <c r="T71" s="102">
        <f>TrRail_emi!T$11</f>
        <v>209.16844044944509</v>
      </c>
      <c r="U71" s="102">
        <f>TrRail_emi!U$11</f>
        <v>200.91040130600231</v>
      </c>
      <c r="V71" s="102">
        <f>TrRail_emi!V$11</f>
        <v>170.70665352732541</v>
      </c>
      <c r="W71" s="102">
        <f>TrRail_emi!W$11</f>
        <v>164.33540935653286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562.34161964479767</v>
      </c>
      <c r="C73" s="110">
        <f t="shared" si="58"/>
        <v>597.52081326473694</v>
      </c>
      <c r="D73" s="110">
        <f t="shared" si="58"/>
        <v>565.26361884603011</v>
      </c>
      <c r="E73" s="110">
        <f t="shared" si="58"/>
        <v>741.52580758741772</v>
      </c>
      <c r="F73" s="110">
        <f t="shared" si="58"/>
        <v>961.06540514748258</v>
      </c>
      <c r="G73" s="110">
        <f t="shared" si="58"/>
        <v>995.06035593920956</v>
      </c>
      <c r="H73" s="110">
        <f t="shared" si="58"/>
        <v>1021.3675754536671</v>
      </c>
      <c r="I73" s="110">
        <f t="shared" si="58"/>
        <v>1114.1535539185875</v>
      </c>
      <c r="J73" s="110">
        <f t="shared" si="58"/>
        <v>1172.4465798365904</v>
      </c>
      <c r="K73" s="110">
        <f t="shared" si="58"/>
        <v>1083.5455584479596</v>
      </c>
      <c r="L73" s="110">
        <f t="shared" si="58"/>
        <v>997.1935859985457</v>
      </c>
      <c r="M73" s="110">
        <f t="shared" si="58"/>
        <v>1018.7310620827113</v>
      </c>
      <c r="N73" s="110">
        <f t="shared" si="58"/>
        <v>905.06916318266758</v>
      </c>
      <c r="O73" s="110">
        <f t="shared" si="58"/>
        <v>872.93693634144097</v>
      </c>
      <c r="P73" s="110">
        <f t="shared" si="58"/>
        <v>900.96499635578289</v>
      </c>
      <c r="Q73" s="110">
        <f t="shared" si="58"/>
        <v>962.94220905388488</v>
      </c>
      <c r="R73" s="110">
        <f t="shared" ref="R73:V73" si="59">R74+R75+R76</f>
        <v>1035.6485323396937</v>
      </c>
      <c r="S73" s="110">
        <f t="shared" si="59"/>
        <v>1178.2930579892814</v>
      </c>
      <c r="T73" s="110">
        <f t="shared" si="59"/>
        <v>1284.8779121440848</v>
      </c>
      <c r="U73" s="110">
        <f t="shared" si="59"/>
        <v>1334.1866443514909</v>
      </c>
      <c r="V73" s="110">
        <f t="shared" si="59"/>
        <v>385.24225276412574</v>
      </c>
      <c r="W73" s="110">
        <f t="shared" ref="W73" si="60">W74+W75+W76</f>
        <v>424.66172973287883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115.16488121516744</v>
      </c>
      <c r="C74" s="102">
        <f>TrAvia_emi!C$7</f>
        <v>148.55741936262527</v>
      </c>
      <c r="D74" s="102">
        <f>TrAvia_emi!D$7</f>
        <v>105.16268873438185</v>
      </c>
      <c r="E74" s="102">
        <f>TrAvia_emi!E$7</f>
        <v>173.42984341644507</v>
      </c>
      <c r="F74" s="102">
        <f>TrAvia_emi!F$7</f>
        <v>131.68536391550003</v>
      </c>
      <c r="G74" s="102">
        <f>TrAvia_emi!G$7</f>
        <v>88.24588771637795</v>
      </c>
      <c r="H74" s="102">
        <f>TrAvia_emi!H$7</f>
        <v>48.63035880919314</v>
      </c>
      <c r="I74" s="102">
        <f>TrAvia_emi!I$7</f>
        <v>108.28570932979368</v>
      </c>
      <c r="J74" s="102">
        <f>TrAvia_emi!J$7</f>
        <v>135.60082399941342</v>
      </c>
      <c r="K74" s="102">
        <f>TrAvia_emi!K$7</f>
        <v>93.605526844005809</v>
      </c>
      <c r="L74" s="102">
        <f>TrAvia_emi!L$7</f>
        <v>87.567111810277112</v>
      </c>
      <c r="M74" s="102">
        <f>TrAvia_emi!M$7</f>
        <v>128.56645313910224</v>
      </c>
      <c r="N74" s="102">
        <f>TrAvia_emi!N$7</f>
        <v>62.653154419830777</v>
      </c>
      <c r="O74" s="102">
        <f>TrAvia_emi!O$7</f>
        <v>56.963651635598161</v>
      </c>
      <c r="P74" s="102">
        <f>TrAvia_emi!P$7</f>
        <v>55.017212561261879</v>
      </c>
      <c r="Q74" s="102">
        <f>TrAvia_emi!Q$7</f>
        <v>113.23831636924086</v>
      </c>
      <c r="R74" s="102">
        <f>TrAvia_emi!R$7</f>
        <v>125.85010177804752</v>
      </c>
      <c r="S74" s="102">
        <f>TrAvia_emi!S$7</f>
        <v>155.3951140284143</v>
      </c>
      <c r="T74" s="102">
        <f>TrAvia_emi!T$7</f>
        <v>91.682859308352704</v>
      </c>
      <c r="U74" s="102">
        <f>TrAvia_emi!U$7</f>
        <v>112.17034779385875</v>
      </c>
      <c r="V74" s="102">
        <f>TrAvia_emi!V$7</f>
        <v>86.651885007700827</v>
      </c>
      <c r="W74" s="102">
        <f>TrAvia_emi!W$7</f>
        <v>13.431819616221837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263.28767760196382</v>
      </c>
      <c r="C75" s="102">
        <f>TrAvia_emi!C$8</f>
        <v>264.32440783112986</v>
      </c>
      <c r="D75" s="102">
        <f>TrAvia_emi!D$8</f>
        <v>270.88366424376386</v>
      </c>
      <c r="E75" s="102">
        <f>TrAvia_emi!E$8</f>
        <v>352.12265332771989</v>
      </c>
      <c r="F75" s="102">
        <f>TrAvia_emi!F$8</f>
        <v>521.05657073724376</v>
      </c>
      <c r="G75" s="102">
        <f>TrAvia_emi!G$8</f>
        <v>581.89618286034045</v>
      </c>
      <c r="H75" s="102">
        <f>TrAvia_emi!H$8</f>
        <v>618.86238110686679</v>
      </c>
      <c r="I75" s="102">
        <f>TrAvia_emi!I$8</f>
        <v>641.28703151323498</v>
      </c>
      <c r="J75" s="102">
        <f>TrAvia_emi!J$8</f>
        <v>647.59872380699119</v>
      </c>
      <c r="K75" s="102">
        <f>TrAvia_emi!K$8</f>
        <v>598.61874373369847</v>
      </c>
      <c r="L75" s="102">
        <f>TrAvia_emi!L$8</f>
        <v>540.33545058308084</v>
      </c>
      <c r="M75" s="102">
        <f>TrAvia_emi!M$8</f>
        <v>523.74663332971886</v>
      </c>
      <c r="N75" s="102">
        <f>TrAvia_emi!N$8</f>
        <v>490.35894280284907</v>
      </c>
      <c r="O75" s="102">
        <f>TrAvia_emi!O$8</f>
        <v>473.44434788970341</v>
      </c>
      <c r="P75" s="102">
        <f>TrAvia_emi!P$8</f>
        <v>493.84957030985112</v>
      </c>
      <c r="Q75" s="102">
        <f>TrAvia_emi!Q$8</f>
        <v>501.32331343222097</v>
      </c>
      <c r="R75" s="102">
        <f>TrAvia_emi!R$8</f>
        <v>551.43494769494305</v>
      </c>
      <c r="S75" s="102">
        <f>TrAvia_emi!S$8</f>
        <v>631.41421405935728</v>
      </c>
      <c r="T75" s="102">
        <f>TrAvia_emi!T$8</f>
        <v>737.65276073570806</v>
      </c>
      <c r="U75" s="102">
        <f>TrAvia_emi!U$8</f>
        <v>742.87737268935928</v>
      </c>
      <c r="V75" s="102">
        <f>TrAvia_emi!V$8</f>
        <v>160.83132103617282</v>
      </c>
      <c r="W75" s="102">
        <f>TrAvia_emi!W$8</f>
        <v>233.57963601204614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183.88906082766638</v>
      </c>
      <c r="C76" s="102">
        <f>TrAvia_emi!C$9</f>
        <v>184.63898607098184</v>
      </c>
      <c r="D76" s="102">
        <f>TrAvia_emi!D$9</f>
        <v>189.21726586788435</v>
      </c>
      <c r="E76" s="102">
        <f>TrAvia_emi!E$9</f>
        <v>215.97331084325276</v>
      </c>
      <c r="F76" s="102">
        <f>TrAvia_emi!F$9</f>
        <v>308.32347049473884</v>
      </c>
      <c r="G76" s="102">
        <f>TrAvia_emi!G$9</f>
        <v>324.91828536249119</v>
      </c>
      <c r="H76" s="102">
        <f>TrAvia_emi!H$9</f>
        <v>353.87483553760711</v>
      </c>
      <c r="I76" s="102">
        <f>TrAvia_emi!I$9</f>
        <v>364.58081307555875</v>
      </c>
      <c r="J76" s="102">
        <f>TrAvia_emi!J$9</f>
        <v>389.24703203018601</v>
      </c>
      <c r="K76" s="102">
        <f>TrAvia_emi!K$9</f>
        <v>391.32128787025539</v>
      </c>
      <c r="L76" s="102">
        <f>TrAvia_emi!L$9</f>
        <v>369.29102360518777</v>
      </c>
      <c r="M76" s="102">
        <f>TrAvia_emi!M$9</f>
        <v>366.41797561389023</v>
      </c>
      <c r="N76" s="102">
        <f>TrAvia_emi!N$9</f>
        <v>352.05706595998782</v>
      </c>
      <c r="O76" s="102">
        <f>TrAvia_emi!O$9</f>
        <v>342.52893681613943</v>
      </c>
      <c r="P76" s="102">
        <f>TrAvia_emi!P$9</f>
        <v>352.09821348466988</v>
      </c>
      <c r="Q76" s="102">
        <f>TrAvia_emi!Q$9</f>
        <v>348.3805792524231</v>
      </c>
      <c r="R76" s="102">
        <f>TrAvia_emi!R$9</f>
        <v>358.36348286670324</v>
      </c>
      <c r="S76" s="102">
        <f>TrAvia_emi!S$9</f>
        <v>391.48372990150995</v>
      </c>
      <c r="T76" s="102">
        <f>TrAvia_emi!T$9</f>
        <v>455.54229210002416</v>
      </c>
      <c r="U76" s="102">
        <f>TrAvia_emi!U$9</f>
        <v>479.13892386827297</v>
      </c>
      <c r="V76" s="102">
        <f>TrAvia_emi!V$9</f>
        <v>137.75904672025209</v>
      </c>
      <c r="W76" s="102">
        <f>TrAvia_emi!W$9</f>
        <v>177.65027410461087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3086.3163405345731</v>
      </c>
      <c r="C77" s="28">
        <f t="shared" si="61"/>
        <v>3267.1412366251725</v>
      </c>
      <c r="D77" s="28">
        <f t="shared" si="61"/>
        <v>3636.1677070399055</v>
      </c>
      <c r="E77" s="28">
        <f t="shared" si="61"/>
        <v>4389.7143634990216</v>
      </c>
      <c r="F77" s="28">
        <f t="shared" si="61"/>
        <v>4952.5963744785422</v>
      </c>
      <c r="G77" s="28">
        <f t="shared" si="61"/>
        <v>5926.3635485837422</v>
      </c>
      <c r="H77" s="28">
        <f t="shared" si="61"/>
        <v>6447.0117606825697</v>
      </c>
      <c r="I77" s="28">
        <f t="shared" si="61"/>
        <v>6848.8244602672476</v>
      </c>
      <c r="J77" s="28">
        <f t="shared" si="61"/>
        <v>6767.4587638194835</v>
      </c>
      <c r="K77" s="28">
        <f t="shared" si="61"/>
        <v>6216.8151839604352</v>
      </c>
      <c r="L77" s="28">
        <f t="shared" si="61"/>
        <v>6057.5383098386446</v>
      </c>
      <c r="M77" s="28">
        <f t="shared" si="61"/>
        <v>5915.0610625725385</v>
      </c>
      <c r="N77" s="28">
        <f t="shared" si="61"/>
        <v>5786.8125881038295</v>
      </c>
      <c r="O77" s="28">
        <f t="shared" si="61"/>
        <v>5569.6524584375793</v>
      </c>
      <c r="P77" s="28">
        <f t="shared" si="61"/>
        <v>5881.6540051532502</v>
      </c>
      <c r="Q77" s="28">
        <f t="shared" si="61"/>
        <v>6462.4675425613023</v>
      </c>
      <c r="R77" s="28">
        <f t="shared" ref="R77:V77" si="62">R78+R81+R82+R86+R92</f>
        <v>6609.3326810274993</v>
      </c>
      <c r="S77" s="28">
        <f t="shared" si="62"/>
        <v>6896.3328902056828</v>
      </c>
      <c r="T77" s="28">
        <f t="shared" si="62"/>
        <v>6905.1309219758523</v>
      </c>
      <c r="U77" s="28">
        <f t="shared" si="62"/>
        <v>6904.707996906156</v>
      </c>
      <c r="V77" s="28">
        <f t="shared" si="62"/>
        <v>6452.8340946593917</v>
      </c>
      <c r="W77" s="28">
        <f t="shared" ref="W77" si="63">W78+W81+W82+W86+W92</f>
        <v>6844.5124911928278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2941.0805711403846</v>
      </c>
      <c r="C78" s="137">
        <f t="shared" si="64"/>
        <v>3131.2911199353748</v>
      </c>
      <c r="D78" s="137">
        <f t="shared" si="64"/>
        <v>3510.1394722531936</v>
      </c>
      <c r="E78" s="137">
        <f t="shared" si="64"/>
        <v>4275.3690853014059</v>
      </c>
      <c r="F78" s="137">
        <f t="shared" si="64"/>
        <v>4836.9974822672648</v>
      </c>
      <c r="G78" s="137">
        <f t="shared" si="64"/>
        <v>5812.7315177910832</v>
      </c>
      <c r="H78" s="137">
        <f t="shared" si="64"/>
        <v>6319.0088504322794</v>
      </c>
      <c r="I78" s="137">
        <f t="shared" si="64"/>
        <v>6727.2537995731418</v>
      </c>
      <c r="J78" s="137">
        <f t="shared" si="64"/>
        <v>6638.5871504537081</v>
      </c>
      <c r="K78" s="137">
        <f t="shared" si="64"/>
        <v>6096.195023099981</v>
      </c>
      <c r="L78" s="137">
        <f t="shared" si="64"/>
        <v>5943.0566062226662</v>
      </c>
      <c r="M78" s="137">
        <f t="shared" si="64"/>
        <v>5796.0661228113713</v>
      </c>
      <c r="N78" s="137">
        <f t="shared" si="64"/>
        <v>5678.0632139946392</v>
      </c>
      <c r="O78" s="137">
        <f t="shared" si="64"/>
        <v>5476.6493887033794</v>
      </c>
      <c r="P78" s="137">
        <f t="shared" si="64"/>
        <v>5776.2962175915472</v>
      </c>
      <c r="Q78" s="137">
        <f t="shared" si="64"/>
        <v>6354.7947653791407</v>
      </c>
      <c r="R78" s="137">
        <f t="shared" ref="R78:V78" si="65">R79+R80</f>
        <v>6495.5577803074684</v>
      </c>
      <c r="S78" s="137">
        <f t="shared" si="65"/>
        <v>6782.9996987167051</v>
      </c>
      <c r="T78" s="137">
        <f t="shared" si="65"/>
        <v>6797.1452795673458</v>
      </c>
      <c r="U78" s="137">
        <f t="shared" si="65"/>
        <v>6773.6440561471481</v>
      </c>
      <c r="V78" s="137">
        <f t="shared" si="65"/>
        <v>6311.5164454223159</v>
      </c>
      <c r="W78" s="137">
        <f t="shared" ref="W78" si="66">W79+W80</f>
        <v>6728.981675862854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482.22609395416282</v>
      </c>
      <c r="C79" s="102">
        <f>TrRoad_emi!C$34</f>
        <v>526.29787074282945</v>
      </c>
      <c r="D79" s="102">
        <f>TrRoad_emi!D$34</f>
        <v>602.92025325436623</v>
      </c>
      <c r="E79" s="102">
        <f>TrRoad_emi!E$34</f>
        <v>694.40926904285777</v>
      </c>
      <c r="F79" s="102">
        <f>TrRoad_emi!F$34</f>
        <v>808.7710909310382</v>
      </c>
      <c r="G79" s="102">
        <f>TrRoad_emi!G$34</f>
        <v>969.31217333880409</v>
      </c>
      <c r="H79" s="102">
        <f>TrRoad_emi!H$34</f>
        <v>1115.8654910727723</v>
      </c>
      <c r="I79" s="102">
        <f>TrRoad_emi!I$34</f>
        <v>1268.1942026848844</v>
      </c>
      <c r="J79" s="102">
        <f>TrRoad_emi!J$34</f>
        <v>1501.3687279873723</v>
      </c>
      <c r="K79" s="102">
        <f>TrRoad_emi!K$34</f>
        <v>1506.3913578450197</v>
      </c>
      <c r="L79" s="102">
        <f>TrRoad_emi!L$34</f>
        <v>1585.4102782924679</v>
      </c>
      <c r="M79" s="102">
        <f>TrRoad_emi!M$34</f>
        <v>1594.8553473053857</v>
      </c>
      <c r="N79" s="102">
        <f>TrRoad_emi!N$34</f>
        <v>1630.249357740043</v>
      </c>
      <c r="O79" s="102">
        <f>TrRoad_emi!O$34</f>
        <v>1697.1517181963384</v>
      </c>
      <c r="P79" s="102">
        <f>TrRoad_emi!P$34</f>
        <v>1891.6013459898049</v>
      </c>
      <c r="Q79" s="102">
        <f>TrRoad_emi!Q$34</f>
        <v>2079.0192857665352</v>
      </c>
      <c r="R79" s="102">
        <f>TrRoad_emi!R$34</f>
        <v>1779.5562068943873</v>
      </c>
      <c r="S79" s="102">
        <f>TrRoad_emi!S$34</f>
        <v>1812.3415154234519</v>
      </c>
      <c r="T79" s="102">
        <f>TrRoad_emi!T$34</f>
        <v>1828.3057165642867</v>
      </c>
      <c r="U79" s="102">
        <f>TrRoad_emi!U$34</f>
        <v>1823.8051513437083</v>
      </c>
      <c r="V79" s="102">
        <f>TrRoad_emi!V$34</f>
        <v>1753.4984647958177</v>
      </c>
      <c r="W79" s="102">
        <f>TrRoad_emi!W$34</f>
        <v>1797.015872897352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2458.8544771862216</v>
      </c>
      <c r="C80" s="102">
        <f>TrRoad_emi!C$40</f>
        <v>2604.9932491925451</v>
      </c>
      <c r="D80" s="102">
        <f>TrRoad_emi!D$40</f>
        <v>2907.2192189988273</v>
      </c>
      <c r="E80" s="102">
        <f>TrRoad_emi!E$40</f>
        <v>3580.959816258548</v>
      </c>
      <c r="F80" s="102">
        <f>TrRoad_emi!F$40</f>
        <v>4028.2263913362262</v>
      </c>
      <c r="G80" s="102">
        <f>TrRoad_emi!G$40</f>
        <v>4843.4193444522789</v>
      </c>
      <c r="H80" s="102">
        <f>TrRoad_emi!H$40</f>
        <v>5203.1433593595066</v>
      </c>
      <c r="I80" s="102">
        <f>TrRoad_emi!I$40</f>
        <v>5459.0595968882571</v>
      </c>
      <c r="J80" s="102">
        <f>TrRoad_emi!J$40</f>
        <v>5137.2184224663361</v>
      </c>
      <c r="K80" s="102">
        <f>TrRoad_emi!K$40</f>
        <v>4589.8036652549617</v>
      </c>
      <c r="L80" s="102">
        <f>TrRoad_emi!L$40</f>
        <v>4357.6463279301988</v>
      </c>
      <c r="M80" s="102">
        <f>TrRoad_emi!M$40</f>
        <v>4201.2107755059851</v>
      </c>
      <c r="N80" s="102">
        <f>TrRoad_emi!N$40</f>
        <v>4047.8138562545964</v>
      </c>
      <c r="O80" s="102">
        <f>TrRoad_emi!O$40</f>
        <v>3779.4976705070412</v>
      </c>
      <c r="P80" s="102">
        <f>TrRoad_emi!P$40</f>
        <v>3884.6948716017428</v>
      </c>
      <c r="Q80" s="102">
        <f>TrRoad_emi!Q$40</f>
        <v>4275.7754796126055</v>
      </c>
      <c r="R80" s="102">
        <f>TrRoad_emi!R$40</f>
        <v>4716.0015734130811</v>
      </c>
      <c r="S80" s="102">
        <f>TrRoad_emi!S$40</f>
        <v>4970.6581832932534</v>
      </c>
      <c r="T80" s="102">
        <f>TrRoad_emi!T$40</f>
        <v>4968.8395630030591</v>
      </c>
      <c r="U80" s="102">
        <f>TrRoad_emi!U$40</f>
        <v>4949.8389048034396</v>
      </c>
      <c r="V80" s="102">
        <f>TrRoad_emi!V$40</f>
        <v>4558.0179806264978</v>
      </c>
      <c r="W80" s="102">
        <f>TrRoad_emi!W$40</f>
        <v>4931.965802965502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88.956074638986038</v>
      </c>
      <c r="C81" s="110">
        <f>TrRail_emi!C$15</f>
        <v>71.538176914534773</v>
      </c>
      <c r="D81" s="110">
        <f>TrRail_emi!D$15</f>
        <v>69.585523912741721</v>
      </c>
      <c r="E81" s="110">
        <f>TrRail_emi!E$15</f>
        <v>61.839491665033464</v>
      </c>
      <c r="F81" s="110">
        <f>TrRail_emi!F$15</f>
        <v>57.954425158760039</v>
      </c>
      <c r="G81" s="110">
        <f>TrRail_emi!G$15</f>
        <v>56.16178425186839</v>
      </c>
      <c r="H81" s="110">
        <f>TrRail_emi!H$15</f>
        <v>68.821758943957605</v>
      </c>
      <c r="I81" s="110">
        <f>TrRail_emi!I$15</f>
        <v>68.071647892693306</v>
      </c>
      <c r="J81" s="110">
        <f>TrRail_emi!J$15</f>
        <v>77.64546812236604</v>
      </c>
      <c r="K81" s="110">
        <f>TrRail_emi!K$15</f>
        <v>67.561621868413653</v>
      </c>
      <c r="L81" s="110">
        <f>TrRail_emi!L$15</f>
        <v>65.409250894524462</v>
      </c>
      <c r="M81" s="110">
        <f>TrRail_emi!M$15</f>
        <v>60.366723883878961</v>
      </c>
      <c r="N81" s="110">
        <f>TrRail_emi!N$15</f>
        <v>48.45101637185774</v>
      </c>
      <c r="O81" s="110">
        <f>TrRail_emi!O$15</f>
        <v>47.48083867564106</v>
      </c>
      <c r="P81" s="110">
        <f>TrRail_emi!P$15</f>
        <v>59.767597957485727</v>
      </c>
      <c r="Q81" s="110">
        <f>TrRail_emi!Q$15</f>
        <v>58.739627636046706</v>
      </c>
      <c r="R81" s="110">
        <f>TrRail_emi!R$15</f>
        <v>56.529999219725539</v>
      </c>
      <c r="S81" s="110">
        <f>TrRail_emi!S$15</f>
        <v>52.411670278259628</v>
      </c>
      <c r="T81" s="110">
        <f>TrRail_emi!T$15</f>
        <v>47.870230792591279</v>
      </c>
      <c r="U81" s="110">
        <f>TrRail_emi!U$15</f>
        <v>45.394054270499851</v>
      </c>
      <c r="V81" s="110">
        <f>TrRail_emi!V$15</f>
        <v>46.908859481200857</v>
      </c>
      <c r="W81" s="110">
        <f>TrRail_emi!W$15</f>
        <v>48.034824622852547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40.462694075202336</v>
      </c>
      <c r="C82" s="110">
        <f t="shared" si="67"/>
        <v>39.461645215263175</v>
      </c>
      <c r="D82" s="110">
        <f t="shared" si="67"/>
        <v>44.011694873969901</v>
      </c>
      <c r="E82" s="110">
        <f t="shared" si="67"/>
        <v>40.077971652582399</v>
      </c>
      <c r="F82" s="110">
        <f t="shared" si="67"/>
        <v>39.027820172517281</v>
      </c>
      <c r="G82" s="110">
        <f t="shared" si="67"/>
        <v>41.972557580790792</v>
      </c>
      <c r="H82" s="110">
        <f t="shared" si="67"/>
        <v>40.161696826333213</v>
      </c>
      <c r="I82" s="110">
        <f t="shared" si="67"/>
        <v>37.660404561412463</v>
      </c>
      <c r="J82" s="110">
        <f t="shared" si="67"/>
        <v>38.519566163409358</v>
      </c>
      <c r="K82" s="110">
        <f t="shared" si="67"/>
        <v>37.135901352040229</v>
      </c>
      <c r="L82" s="110">
        <f t="shared" si="67"/>
        <v>36.316256281454486</v>
      </c>
      <c r="M82" s="110">
        <f t="shared" si="67"/>
        <v>49.072605917288769</v>
      </c>
      <c r="N82" s="110">
        <f t="shared" si="67"/>
        <v>44.382389097332279</v>
      </c>
      <c r="O82" s="110">
        <f t="shared" si="67"/>
        <v>39.155203378558767</v>
      </c>
      <c r="P82" s="110">
        <f t="shared" si="67"/>
        <v>36.03324584421707</v>
      </c>
      <c r="Q82" s="110">
        <f t="shared" si="67"/>
        <v>39.386876186114812</v>
      </c>
      <c r="R82" s="110">
        <f t="shared" si="67"/>
        <v>44.512446700306512</v>
      </c>
      <c r="S82" s="110">
        <f t="shared" si="67"/>
        <v>48.191467250718489</v>
      </c>
      <c r="T82" s="110">
        <f t="shared" si="67"/>
        <v>50.571005575915187</v>
      </c>
      <c r="U82" s="110">
        <f t="shared" si="67"/>
        <v>69.754184608509007</v>
      </c>
      <c r="V82" s="110">
        <f t="shared" si="67"/>
        <v>81.652593315874412</v>
      </c>
      <c r="W82" s="110">
        <f t="shared" ref="W82" si="68">W83+W84+W85</f>
        <v>54.685908747121047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2.293987744832573</v>
      </c>
      <c r="C83" s="102">
        <f>TrAvia_emi!C$11</f>
        <v>2.2085941573747419</v>
      </c>
      <c r="D83" s="102">
        <f>TrAvia_emi!D$11</f>
        <v>2.5094362256181686</v>
      </c>
      <c r="E83" s="102">
        <f>TrAvia_emi!E$11</f>
        <v>1.9419245835549577</v>
      </c>
      <c r="F83" s="102">
        <f>TrAvia_emi!F$11</f>
        <v>0.60353512449997182</v>
      </c>
      <c r="G83" s="102">
        <f>TrAvia_emi!G$11</f>
        <v>0.97240828362205889</v>
      </c>
      <c r="H83" s="102">
        <f>TrAvia_emi!H$11</f>
        <v>1.086105950806876</v>
      </c>
      <c r="I83" s="102">
        <f>TrAvia_emi!I$11</f>
        <v>3.696011630206347</v>
      </c>
      <c r="J83" s="102">
        <f>TrAvia_emi!J$11</f>
        <v>4.400326960586586</v>
      </c>
      <c r="K83" s="102">
        <f>TrAvia_emi!K$11</f>
        <v>2.810074195994186</v>
      </c>
      <c r="L83" s="102">
        <f>TrAvia_emi!L$11</f>
        <v>2.6218341897229043</v>
      </c>
      <c r="M83" s="102">
        <f>TrAvia_emi!M$11</f>
        <v>5.2563011408977696</v>
      </c>
      <c r="N83" s="102">
        <f>TrAvia_emi!N$11</f>
        <v>2.629689100169224</v>
      </c>
      <c r="O83" s="102">
        <f>TrAvia_emi!O$11</f>
        <v>2.0925368444018591</v>
      </c>
      <c r="P83" s="102">
        <f>TrAvia_emi!P$11</f>
        <v>0.92564839873810811</v>
      </c>
      <c r="Q83" s="102">
        <f>TrAvia_emi!Q$11</f>
        <v>1.8087325907591461</v>
      </c>
      <c r="R83" s="102">
        <f>TrAvia_emi!R$11</f>
        <v>1.65025726195249</v>
      </c>
      <c r="S83" s="102">
        <f>TrAvia_emi!S$11</f>
        <v>3.2377436915857278</v>
      </c>
      <c r="T83" s="102">
        <f>TrAvia_emi!T$11</f>
        <v>10.911138411647315</v>
      </c>
      <c r="U83" s="102">
        <f>TrAvia_emi!U$11</f>
        <v>30.896131166141242</v>
      </c>
      <c r="V83" s="102">
        <f>TrAvia_emi!V$11</f>
        <v>37.7831460322992</v>
      </c>
      <c r="W83" s="102">
        <f>TrAvia_emi!W$11</f>
        <v>5.1518876237781663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8.6267471558224571</v>
      </c>
      <c r="C84" s="102">
        <f>TrAvia_emi!C$12</f>
        <v>8.0654768912049644</v>
      </c>
      <c r="D84" s="102">
        <f>TrAvia_emi!D$12</f>
        <v>9.5614711975691158</v>
      </c>
      <c r="E84" s="102">
        <f>TrAvia_emi!E$12</f>
        <v>7.1437778659592768</v>
      </c>
      <c r="F84" s="102">
        <f>TrAvia_emi!F$12</f>
        <v>9.7482298220719859</v>
      </c>
      <c r="G84" s="102">
        <f>TrAvia_emi!G$12</f>
        <v>10.215264326283013</v>
      </c>
      <c r="H84" s="102">
        <f>TrAvia_emi!H$12</f>
        <v>11.633391448210146</v>
      </c>
      <c r="I84" s="102">
        <f>TrAvia_emi!I$12</f>
        <v>11.316068313704545</v>
      </c>
      <c r="J84" s="102">
        <f>TrAvia_emi!J$12</f>
        <v>8.9347248164623707</v>
      </c>
      <c r="K84" s="102">
        <f>TrAvia_emi!K$12</f>
        <v>7.9099826662960613</v>
      </c>
      <c r="L84" s="102">
        <f>TrAvia_emi!L$12</f>
        <v>9.0811996022349035</v>
      </c>
      <c r="M84" s="102">
        <f>TrAvia_emi!M$12</f>
        <v>7.4048194211068949</v>
      </c>
      <c r="N84" s="102">
        <f>TrAvia_emi!N$12</f>
        <v>5.9745445532537875</v>
      </c>
      <c r="O84" s="102">
        <f>TrAvia_emi!O$12</f>
        <v>6.0525632483010057</v>
      </c>
      <c r="P84" s="102">
        <f>TrAvia_emi!P$12</f>
        <v>6.6637771644524042</v>
      </c>
      <c r="Q84" s="102">
        <f>TrAvia_emi!Q$12</f>
        <v>6.9061391879940635</v>
      </c>
      <c r="R84" s="102">
        <f>TrAvia_emi!R$12</f>
        <v>7.5532723228049674</v>
      </c>
      <c r="S84" s="102">
        <f>TrAvia_emi!S$12</f>
        <v>10.088726605761352</v>
      </c>
      <c r="T84" s="102">
        <f>TrAvia_emi!T$12</f>
        <v>12.421168262901443</v>
      </c>
      <c r="U84" s="102">
        <f>TrAvia_emi!U$12</f>
        <v>10.416972721365674</v>
      </c>
      <c r="V84" s="102">
        <f>TrAvia_emi!V$12</f>
        <v>8.267136742928054</v>
      </c>
      <c r="W84" s="102">
        <f>TrAvia_emi!W$12</f>
        <v>13.693775401482947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29.541959174547308</v>
      </c>
      <c r="C85" s="102">
        <f>TrAvia_emi!C$13</f>
        <v>29.187574166683465</v>
      </c>
      <c r="D85" s="102">
        <f>TrAvia_emi!D$13</f>
        <v>31.940787450782615</v>
      </c>
      <c r="E85" s="102">
        <f>TrAvia_emi!E$13</f>
        <v>30.992269203068162</v>
      </c>
      <c r="F85" s="102">
        <f>TrAvia_emi!F$13</f>
        <v>28.676055225945323</v>
      </c>
      <c r="G85" s="102">
        <f>TrAvia_emi!G$13</f>
        <v>30.784884970885724</v>
      </c>
      <c r="H85" s="102">
        <f>TrAvia_emi!H$13</f>
        <v>27.442199427316194</v>
      </c>
      <c r="I85" s="102">
        <f>TrAvia_emi!I$13</f>
        <v>22.648324617501576</v>
      </c>
      <c r="J85" s="102">
        <f>TrAvia_emi!J$13</f>
        <v>25.184514386360402</v>
      </c>
      <c r="K85" s="102">
        <f>TrAvia_emi!K$13</f>
        <v>26.415844489749983</v>
      </c>
      <c r="L85" s="102">
        <f>TrAvia_emi!L$13</f>
        <v>24.613222489496682</v>
      </c>
      <c r="M85" s="102">
        <f>TrAvia_emi!M$13</f>
        <v>36.4114853552841</v>
      </c>
      <c r="N85" s="102">
        <f>TrAvia_emi!N$13</f>
        <v>35.77815544390927</v>
      </c>
      <c r="O85" s="102">
        <f>TrAvia_emi!O$13</f>
        <v>31.010103285855905</v>
      </c>
      <c r="P85" s="102">
        <f>TrAvia_emi!P$13</f>
        <v>28.443820281026561</v>
      </c>
      <c r="Q85" s="102">
        <f>TrAvia_emi!Q$13</f>
        <v>30.672004407361602</v>
      </c>
      <c r="R85" s="102">
        <f>TrAvia_emi!R$13</f>
        <v>35.30891711554905</v>
      </c>
      <c r="S85" s="102">
        <f>TrAvia_emi!S$13</f>
        <v>34.86499695337141</v>
      </c>
      <c r="T85" s="102">
        <f>TrAvia_emi!T$13</f>
        <v>27.23869890136643</v>
      </c>
      <c r="U85" s="102">
        <f>TrAvia_emi!U$13</f>
        <v>28.441080721002102</v>
      </c>
      <c r="V85" s="102">
        <f>TrAvia_emi!V$13</f>
        <v>35.602310540647167</v>
      </c>
      <c r="W85" s="102">
        <f>TrAvia_emi!W$13</f>
        <v>35.84024572185993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15.81700068</v>
      </c>
      <c r="C86" s="110">
        <f t="shared" si="69"/>
        <v>24.850294560000002</v>
      </c>
      <c r="D86" s="110">
        <f t="shared" si="69"/>
        <v>12.431016</v>
      </c>
      <c r="E86" s="110">
        <f t="shared" si="69"/>
        <v>12.42781488</v>
      </c>
      <c r="F86" s="110">
        <f t="shared" si="69"/>
        <v>18.616646880000001</v>
      </c>
      <c r="G86" s="110">
        <f t="shared" si="69"/>
        <v>15.49768896</v>
      </c>
      <c r="H86" s="110">
        <f t="shared" si="69"/>
        <v>19.01945448</v>
      </c>
      <c r="I86" s="110">
        <f t="shared" si="69"/>
        <v>15.838608240000001</v>
      </c>
      <c r="J86" s="110">
        <f t="shared" si="69"/>
        <v>12.706579080000001</v>
      </c>
      <c r="K86" s="110">
        <f t="shared" si="69"/>
        <v>15.922637639999996</v>
      </c>
      <c r="L86" s="110">
        <f t="shared" si="69"/>
        <v>12.75619644</v>
      </c>
      <c r="M86" s="110">
        <f t="shared" si="69"/>
        <v>9.5556099599999982</v>
      </c>
      <c r="N86" s="110">
        <f t="shared" si="69"/>
        <v>15.915968639999999</v>
      </c>
      <c r="O86" s="110">
        <f t="shared" si="69"/>
        <v>6.3670276799999996</v>
      </c>
      <c r="P86" s="110">
        <f t="shared" si="69"/>
        <v>9.5569437600000011</v>
      </c>
      <c r="Q86" s="110">
        <f t="shared" si="69"/>
        <v>9.5462733600000007</v>
      </c>
      <c r="R86" s="110">
        <f t="shared" ref="R86:V86" si="70">R87+R88</f>
        <v>12.732454799999999</v>
      </c>
      <c r="S86" s="110">
        <f t="shared" si="70"/>
        <v>12.730053959999999</v>
      </c>
      <c r="T86" s="110">
        <f t="shared" si="70"/>
        <v>9.5444060400000001</v>
      </c>
      <c r="U86" s="110">
        <f t="shared" si="70"/>
        <v>15.915701879999995</v>
      </c>
      <c r="V86" s="110">
        <f t="shared" si="70"/>
        <v>12.75619644</v>
      </c>
      <c r="W86" s="110">
        <f t="shared" ref="W86" si="71">W87+W88</f>
        <v>12.81008196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15.81700068</v>
      </c>
      <c r="C88" s="169">
        <f>TrNavi_emi!C$5</f>
        <v>24.850294560000002</v>
      </c>
      <c r="D88" s="169">
        <f>TrNavi_emi!D$5</f>
        <v>12.431016</v>
      </c>
      <c r="E88" s="169">
        <f>TrNavi_emi!E$5</f>
        <v>12.42781488</v>
      </c>
      <c r="F88" s="169">
        <f>TrNavi_emi!F$5</f>
        <v>18.616646880000001</v>
      </c>
      <c r="G88" s="169">
        <f>TrNavi_emi!G$5</f>
        <v>15.49768896</v>
      </c>
      <c r="H88" s="169">
        <f>TrNavi_emi!H$5</f>
        <v>19.01945448</v>
      </c>
      <c r="I88" s="169">
        <f>TrNavi_emi!I$5</f>
        <v>15.838608240000001</v>
      </c>
      <c r="J88" s="169">
        <f>TrNavi_emi!J$5</f>
        <v>12.706579080000001</v>
      </c>
      <c r="K88" s="169">
        <f>TrNavi_emi!K$5</f>
        <v>15.922637639999996</v>
      </c>
      <c r="L88" s="169">
        <f>TrNavi_emi!L$5</f>
        <v>12.75619644</v>
      </c>
      <c r="M88" s="169">
        <f>TrNavi_emi!M$5</f>
        <v>9.5556099599999982</v>
      </c>
      <c r="N88" s="169">
        <f>TrNavi_emi!N$5</f>
        <v>15.915968639999999</v>
      </c>
      <c r="O88" s="169">
        <f>TrNavi_emi!O$5</f>
        <v>6.3670276799999996</v>
      </c>
      <c r="P88" s="169">
        <f>TrNavi_emi!P$5</f>
        <v>9.5569437600000011</v>
      </c>
      <c r="Q88" s="169">
        <f>TrNavi_emi!Q$5</f>
        <v>9.5462733600000007</v>
      </c>
      <c r="R88" s="169">
        <f>TrNavi_emi!R$5</f>
        <v>12.732454799999999</v>
      </c>
      <c r="S88" s="169">
        <f>TrNavi_emi!S$5</f>
        <v>12.730053959999999</v>
      </c>
      <c r="T88" s="169">
        <f>TrNavi_emi!T$5</f>
        <v>9.5444060400000001</v>
      </c>
      <c r="U88" s="169">
        <f>TrNavi_emi!U$5</f>
        <v>15.915701879999995</v>
      </c>
      <c r="V88" s="169">
        <f>TrNavi_emi!V$5</f>
        <v>12.75619644</v>
      </c>
      <c r="W88" s="169">
        <f>TrNavi_emi!W$5</f>
        <v>12.81008196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0.81561347996302758</v>
      </c>
      <c r="C97" s="139">
        <f t="shared" si="76"/>
        <v>0.81554066452913121</v>
      </c>
      <c r="D97" s="139">
        <f t="shared" si="76"/>
        <v>0.8212075591694139</v>
      </c>
      <c r="E97" s="139">
        <f t="shared" si="76"/>
        <v>0.80066774361161652</v>
      </c>
      <c r="F97" s="139">
        <f t="shared" si="76"/>
        <v>0.78489027510873821</v>
      </c>
      <c r="G97" s="139">
        <f t="shared" si="76"/>
        <v>0.78906182182867879</v>
      </c>
      <c r="H97" s="139">
        <f t="shared" si="76"/>
        <v>0.78799417448784104</v>
      </c>
      <c r="I97" s="139">
        <f t="shared" si="76"/>
        <v>0.78834299648086259</v>
      </c>
      <c r="J97" s="139">
        <f t="shared" si="76"/>
        <v>0.77939865988911894</v>
      </c>
      <c r="K97" s="139">
        <f t="shared" si="76"/>
        <v>0.78667011884533322</v>
      </c>
      <c r="L97" s="139">
        <f t="shared" si="76"/>
        <v>0.77018493076457195</v>
      </c>
      <c r="M97" s="139">
        <f t="shared" si="76"/>
        <v>0.76981686318363429</v>
      </c>
      <c r="N97" s="139">
        <f t="shared" si="76"/>
        <v>0.76222516064328183</v>
      </c>
      <c r="O97" s="139">
        <f t="shared" si="76"/>
        <v>0.75990075967254733</v>
      </c>
      <c r="P97" s="139">
        <f t="shared" si="76"/>
        <v>0.76598369309351277</v>
      </c>
      <c r="Q97" s="139">
        <f t="shared" si="76"/>
        <v>0.76347047547048819</v>
      </c>
      <c r="R97" s="139">
        <f t="shared" ref="R97:V97" si="77">IF(R5=0,0,R5/R$4)</f>
        <v>0.75535495535042252</v>
      </c>
      <c r="S97" s="139">
        <f t="shared" si="77"/>
        <v>0.74174061549586168</v>
      </c>
      <c r="T97" s="139">
        <f t="shared" si="77"/>
        <v>0.73376967825556894</v>
      </c>
      <c r="U97" s="139">
        <f t="shared" si="77"/>
        <v>0.7292328352230385</v>
      </c>
      <c r="V97" s="139">
        <f t="shared" si="77"/>
        <v>0.85636335644949646</v>
      </c>
      <c r="W97" s="139">
        <f t="shared" ref="W97" si="78">IF(W5=0,0,W5/W$4)</f>
        <v>0.8737623150895627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1.5095490076344571E-2</v>
      </c>
      <c r="C98" s="140">
        <f t="shared" si="79"/>
        <v>1.4260190458696378E-2</v>
      </c>
      <c r="D98" s="140">
        <f t="shared" si="79"/>
        <v>1.3900008668804783E-2</v>
      </c>
      <c r="E98" s="140">
        <f t="shared" si="79"/>
        <v>1.3202627466180257E-2</v>
      </c>
      <c r="F98" s="140">
        <f t="shared" si="79"/>
        <v>1.3055054370522465E-2</v>
      </c>
      <c r="G98" s="140">
        <f t="shared" si="79"/>
        <v>1.334506869831226E-2</v>
      </c>
      <c r="H98" s="140">
        <f t="shared" si="79"/>
        <v>1.3488327347300365E-2</v>
      </c>
      <c r="I98" s="140">
        <f t="shared" si="79"/>
        <v>1.3680322995225471E-2</v>
      </c>
      <c r="J98" s="140">
        <f t="shared" si="79"/>
        <v>1.3806598450459969E-2</v>
      </c>
      <c r="K98" s="140">
        <f t="shared" si="79"/>
        <v>1.4092366897923755E-2</v>
      </c>
      <c r="L98" s="140">
        <f t="shared" si="79"/>
        <v>1.5359864907329794E-2</v>
      </c>
      <c r="M98" s="140">
        <f t="shared" si="79"/>
        <v>1.5447552409463725E-2</v>
      </c>
      <c r="N98" s="140">
        <f t="shared" si="79"/>
        <v>1.587752680921569E-2</v>
      </c>
      <c r="O98" s="140">
        <f t="shared" si="79"/>
        <v>1.5742989078660903E-2</v>
      </c>
      <c r="P98" s="140">
        <f t="shared" si="79"/>
        <v>1.5617592682445038E-2</v>
      </c>
      <c r="Q98" s="140">
        <f t="shared" si="79"/>
        <v>1.5683720387055133E-2</v>
      </c>
      <c r="R98" s="140">
        <f t="shared" ref="R98:V98" si="80">IF(R6=0,0,R6/R$4)</f>
        <v>1.5302588819437073E-2</v>
      </c>
      <c r="S98" s="140">
        <f t="shared" si="80"/>
        <v>1.3729640376014934E-2</v>
      </c>
      <c r="T98" s="140">
        <f t="shared" si="80"/>
        <v>1.2489279296198559E-2</v>
      </c>
      <c r="U98" s="140">
        <f t="shared" si="80"/>
        <v>1.2774814837227639E-2</v>
      </c>
      <c r="V98" s="140">
        <f t="shared" si="80"/>
        <v>1.6954446473903262E-2</v>
      </c>
      <c r="W98" s="140">
        <f t="shared" ref="W98" si="81">IF(W6=0,0,W6/W$4)</f>
        <v>1.4510864086570492E-2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0.63892509887312421</v>
      </c>
      <c r="C99" s="140">
        <f t="shared" si="82"/>
        <v>0.62795050320536772</v>
      </c>
      <c r="D99" s="140">
        <f t="shared" si="82"/>
        <v>0.64420420276318002</v>
      </c>
      <c r="E99" s="140">
        <f t="shared" si="82"/>
        <v>0.63309395288353709</v>
      </c>
      <c r="F99" s="140">
        <f t="shared" si="82"/>
        <v>0.6299573110267338</v>
      </c>
      <c r="G99" s="140">
        <f t="shared" si="82"/>
        <v>0.63200623321018512</v>
      </c>
      <c r="H99" s="140">
        <f t="shared" si="82"/>
        <v>0.62967808008159065</v>
      </c>
      <c r="I99" s="140">
        <f t="shared" si="82"/>
        <v>0.63220167327922117</v>
      </c>
      <c r="J99" s="140">
        <f t="shared" si="82"/>
        <v>0.62623454327058736</v>
      </c>
      <c r="K99" s="140">
        <f t="shared" si="82"/>
        <v>0.63212655840590171</v>
      </c>
      <c r="L99" s="140">
        <f t="shared" si="82"/>
        <v>0.59588788455528285</v>
      </c>
      <c r="M99" s="140">
        <f t="shared" si="82"/>
        <v>0.60750055534979652</v>
      </c>
      <c r="N99" s="140">
        <f t="shared" si="82"/>
        <v>0.60326347143797321</v>
      </c>
      <c r="O99" s="140">
        <f t="shared" si="82"/>
        <v>0.59859725185228441</v>
      </c>
      <c r="P99" s="140">
        <f t="shared" si="82"/>
        <v>0.59676023267319867</v>
      </c>
      <c r="Q99" s="140">
        <f t="shared" si="82"/>
        <v>0.60632486966752364</v>
      </c>
      <c r="R99" s="140">
        <f t="shared" ref="R99:V99" si="83">IF(R7=0,0,R7/R$4)</f>
        <v>0.59725104984526434</v>
      </c>
      <c r="S99" s="140">
        <f t="shared" si="83"/>
        <v>0.58444028941514625</v>
      </c>
      <c r="T99" s="140">
        <f t="shared" si="83"/>
        <v>0.58525729828864281</v>
      </c>
      <c r="U99" s="140">
        <f t="shared" si="83"/>
        <v>0.58661493530742859</v>
      </c>
      <c r="V99" s="140">
        <f t="shared" si="83"/>
        <v>0.7389785366405528</v>
      </c>
      <c r="W99" s="140">
        <f t="shared" ref="W99" si="84">IF(W7=0,0,W7/W$4)</f>
        <v>0.77871442203427388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0.16159289101355889</v>
      </c>
      <c r="C100" s="140">
        <f t="shared" si="85"/>
        <v>0.17332997086506702</v>
      </c>
      <c r="D100" s="140">
        <f t="shared" si="85"/>
        <v>0.16310334773742913</v>
      </c>
      <c r="E100" s="140">
        <f t="shared" si="85"/>
        <v>0.15437116326189912</v>
      </c>
      <c r="F100" s="140">
        <f t="shared" si="85"/>
        <v>0.14187790971148195</v>
      </c>
      <c r="G100" s="140">
        <f t="shared" si="85"/>
        <v>0.14371051992018138</v>
      </c>
      <c r="H100" s="140">
        <f t="shared" si="85"/>
        <v>0.14482776705894995</v>
      </c>
      <c r="I100" s="140">
        <f t="shared" si="85"/>
        <v>0.14246100020641594</v>
      </c>
      <c r="J100" s="140">
        <f t="shared" si="85"/>
        <v>0.1393575181680716</v>
      </c>
      <c r="K100" s="140">
        <f t="shared" si="85"/>
        <v>0.14045119354150773</v>
      </c>
      <c r="L100" s="140">
        <f t="shared" si="85"/>
        <v>0.15893718130195933</v>
      </c>
      <c r="M100" s="140">
        <f t="shared" si="85"/>
        <v>0.14686875542437408</v>
      </c>
      <c r="N100" s="140">
        <f t="shared" si="85"/>
        <v>0.14308416239609298</v>
      </c>
      <c r="O100" s="140">
        <f t="shared" si="85"/>
        <v>0.14556051874160209</v>
      </c>
      <c r="P100" s="140">
        <f t="shared" si="85"/>
        <v>0.15360586773786905</v>
      </c>
      <c r="Q100" s="140">
        <f t="shared" si="85"/>
        <v>0.14146188541590948</v>
      </c>
      <c r="R100" s="140">
        <f t="shared" ref="R100:V100" si="86">IF(R8=0,0,R8/R$4)</f>
        <v>0.14280131668572119</v>
      </c>
      <c r="S100" s="140">
        <f t="shared" si="86"/>
        <v>0.1435706857047005</v>
      </c>
      <c r="T100" s="140">
        <f t="shared" si="86"/>
        <v>0.13602310067072756</v>
      </c>
      <c r="U100" s="140">
        <f t="shared" si="86"/>
        <v>0.12984308507838235</v>
      </c>
      <c r="V100" s="140">
        <f t="shared" si="86"/>
        <v>0.10043037333504046</v>
      </c>
      <c r="W100" s="140">
        <f t="shared" ref="W100" si="87">IF(W8=0,0,W8/W$4)</f>
        <v>8.0537028968718213E-2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0.15356585735818226</v>
      </c>
      <c r="C101" s="124">
        <f t="shared" si="88"/>
        <v>0.15360894143322104</v>
      </c>
      <c r="D101" s="124">
        <f t="shared" si="88"/>
        <v>0.14705497684151378</v>
      </c>
      <c r="E101" s="124">
        <f t="shared" si="88"/>
        <v>0.14174499912437319</v>
      </c>
      <c r="F101" s="124">
        <f t="shared" si="88"/>
        <v>0.14269367506170896</v>
      </c>
      <c r="G101" s="124">
        <f t="shared" si="88"/>
        <v>0.13444127931743236</v>
      </c>
      <c r="H101" s="124">
        <f t="shared" si="88"/>
        <v>0.13312315210778514</v>
      </c>
      <c r="I101" s="124">
        <f t="shared" si="88"/>
        <v>0.12944846227094414</v>
      </c>
      <c r="J101" s="124">
        <f t="shared" si="88"/>
        <v>0.13770411361959126</v>
      </c>
      <c r="K101" s="124">
        <f t="shared" si="88"/>
        <v>0.13517574807621127</v>
      </c>
      <c r="L101" s="124">
        <f t="shared" si="88"/>
        <v>0.14581771169013655</v>
      </c>
      <c r="M101" s="124">
        <f t="shared" si="88"/>
        <v>0.14271485790283434</v>
      </c>
      <c r="N101" s="124">
        <f t="shared" si="88"/>
        <v>0.15588507344585695</v>
      </c>
      <c r="O101" s="124">
        <f t="shared" si="88"/>
        <v>0.15826392832460806</v>
      </c>
      <c r="P101" s="124">
        <f t="shared" si="88"/>
        <v>0.15191897984804581</v>
      </c>
      <c r="Q101" s="124">
        <f t="shared" si="88"/>
        <v>0.15266373847032214</v>
      </c>
      <c r="R101" s="124">
        <f t="shared" ref="R101:V101" si="89">IF(R9=0,0,R9/R$4)</f>
        <v>0.1579229147839418</v>
      </c>
      <c r="S101" s="124">
        <f t="shared" si="89"/>
        <v>0.1584114919022081</v>
      </c>
      <c r="T101" s="124">
        <f t="shared" si="89"/>
        <v>0.15728860261095606</v>
      </c>
      <c r="U101" s="124">
        <f t="shared" si="89"/>
        <v>0.15864957170804686</v>
      </c>
      <c r="V101" s="124">
        <f t="shared" si="89"/>
        <v>0.11124448421706129</v>
      </c>
      <c r="W101" s="124">
        <f t="shared" ref="W101" si="90">IF(W9=0,0,W9/W$4)</f>
        <v>9.1798026080823839E-2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8.0620076598504328E-2</v>
      </c>
      <c r="C102" s="140">
        <f t="shared" si="91"/>
        <v>8.1395128247527343E-2</v>
      </c>
      <c r="D102" s="140">
        <f t="shared" si="91"/>
        <v>8.1963613299950014E-2</v>
      </c>
      <c r="E102" s="140">
        <f t="shared" si="91"/>
        <v>8.0484512412750633E-2</v>
      </c>
      <c r="F102" s="140">
        <f t="shared" si="91"/>
        <v>8.1348120724637651E-2</v>
      </c>
      <c r="G102" s="140">
        <f t="shared" si="91"/>
        <v>7.3054543349887119E-2</v>
      </c>
      <c r="H102" s="140">
        <f t="shared" si="91"/>
        <v>7.052611533735903E-2</v>
      </c>
      <c r="I102" s="140">
        <f t="shared" si="91"/>
        <v>6.8490576580699972E-2</v>
      </c>
      <c r="J102" s="140">
        <f t="shared" si="91"/>
        <v>7.9103857173450226E-2</v>
      </c>
      <c r="K102" s="140">
        <f t="shared" si="91"/>
        <v>7.8582538973942698E-2</v>
      </c>
      <c r="L102" s="140">
        <f t="shared" si="91"/>
        <v>8.4335430192604699E-2</v>
      </c>
      <c r="M102" s="140">
        <f t="shared" si="91"/>
        <v>8.0851654304914158E-2</v>
      </c>
      <c r="N102" s="140">
        <f t="shared" si="91"/>
        <v>8.8706429984580934E-2</v>
      </c>
      <c r="O102" s="140">
        <f t="shared" si="91"/>
        <v>8.8709983144184865E-2</v>
      </c>
      <c r="P102" s="140">
        <f t="shared" si="91"/>
        <v>8.3074500244153096E-2</v>
      </c>
      <c r="Q102" s="140">
        <f t="shared" si="91"/>
        <v>8.1988900710496762E-2</v>
      </c>
      <c r="R102" s="140">
        <f t="shared" ref="R102:V102" si="92">IF(R10=0,0,R10/R$4)</f>
        <v>8.5695668592703528E-2</v>
      </c>
      <c r="S102" s="140">
        <f t="shared" si="92"/>
        <v>8.4474806157181115E-2</v>
      </c>
      <c r="T102" s="140">
        <f t="shared" si="92"/>
        <v>8.0576368722588193E-2</v>
      </c>
      <c r="U102" s="140">
        <f t="shared" si="92"/>
        <v>8.0202045405709466E-2</v>
      </c>
      <c r="V102" s="140">
        <f t="shared" si="92"/>
        <v>4.0247402167473537E-2</v>
      </c>
      <c r="W102" s="140">
        <f t="shared" ref="W102" si="93">IF(W10=0,0,W10/W$4)</f>
        <v>3.2003867146459954E-2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7.2945780759677933E-2</v>
      </c>
      <c r="C103" s="140">
        <f t="shared" si="94"/>
        <v>7.2213813185693698E-2</v>
      </c>
      <c r="D103" s="140">
        <f t="shared" si="94"/>
        <v>6.5091363541563765E-2</v>
      </c>
      <c r="E103" s="140">
        <f t="shared" si="94"/>
        <v>6.1260486711622562E-2</v>
      </c>
      <c r="F103" s="140">
        <f t="shared" si="94"/>
        <v>6.1336231304497286E-2</v>
      </c>
      <c r="G103" s="140">
        <f t="shared" si="94"/>
        <v>6.1331490667439446E-2</v>
      </c>
      <c r="H103" s="140">
        <f t="shared" si="94"/>
        <v>6.1258643034219379E-2</v>
      </c>
      <c r="I103" s="140">
        <f t="shared" si="94"/>
        <v>5.8050500304322114E-2</v>
      </c>
      <c r="J103" s="140">
        <f t="shared" si="94"/>
        <v>5.6411290717383669E-2</v>
      </c>
      <c r="K103" s="140">
        <f t="shared" si="94"/>
        <v>5.4538294989315381E-2</v>
      </c>
      <c r="L103" s="140">
        <f t="shared" si="94"/>
        <v>5.8942001228309247E-2</v>
      </c>
      <c r="M103" s="140">
        <f t="shared" si="94"/>
        <v>5.921947694843642E-2</v>
      </c>
      <c r="N103" s="140">
        <f t="shared" si="94"/>
        <v>6.464870844487719E-2</v>
      </c>
      <c r="O103" s="140">
        <f t="shared" si="94"/>
        <v>6.7276220138572276E-2</v>
      </c>
      <c r="P103" s="140">
        <f t="shared" si="94"/>
        <v>6.6628919428257216E-2</v>
      </c>
      <c r="Q103" s="140">
        <f t="shared" si="94"/>
        <v>6.5742821389385891E-2</v>
      </c>
      <c r="R103" s="140">
        <f t="shared" ref="R103:V103" si="95">IF(R11=0,0,R11/R$4)</f>
        <v>6.6457663009562309E-2</v>
      </c>
      <c r="S103" s="140">
        <f t="shared" si="95"/>
        <v>6.7889965407057648E-2</v>
      </c>
      <c r="T103" s="140">
        <f t="shared" si="95"/>
        <v>7.0752398887647311E-2</v>
      </c>
      <c r="U103" s="140">
        <f t="shared" si="95"/>
        <v>7.208125229051357E-2</v>
      </c>
      <c r="V103" s="140">
        <f t="shared" si="95"/>
        <v>6.5235436021060966E-2</v>
      </c>
      <c r="W103" s="140">
        <f t="shared" ref="W103" si="96">IF(W11=0,0,W11/W$4)</f>
        <v>5.4941666854299895E-2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9.3230325740229945E-6</v>
      </c>
      <c r="G104" s="140">
        <f t="shared" si="97"/>
        <v>5.5245300105785414E-5</v>
      </c>
      <c r="H104" s="140">
        <f t="shared" si="97"/>
        <v>1.3383937362067416E-3</v>
      </c>
      <c r="I104" s="140">
        <f t="shared" si="97"/>
        <v>2.9073853859220545E-3</v>
      </c>
      <c r="J104" s="140">
        <f t="shared" si="97"/>
        <v>2.1889657287573723E-3</v>
      </c>
      <c r="K104" s="140">
        <f t="shared" si="97"/>
        <v>2.0549141129532012E-3</v>
      </c>
      <c r="L104" s="140">
        <f t="shared" si="97"/>
        <v>2.5402802692226154E-3</v>
      </c>
      <c r="M104" s="140">
        <f t="shared" si="97"/>
        <v>2.6437266494837687E-3</v>
      </c>
      <c r="N104" s="140">
        <f t="shared" si="97"/>
        <v>2.5299350163988043E-3</v>
      </c>
      <c r="O104" s="140">
        <f t="shared" si="97"/>
        <v>2.2777250418509194E-3</v>
      </c>
      <c r="P104" s="140">
        <f t="shared" si="97"/>
        <v>2.2155601756354793E-3</v>
      </c>
      <c r="Q104" s="140">
        <f t="shared" si="97"/>
        <v>4.9320163704395081E-3</v>
      </c>
      <c r="R104" s="140">
        <f t="shared" ref="R104:V104" si="98">IF(R12=0,0,R12/R$4)</f>
        <v>5.7695831816759321E-3</v>
      </c>
      <c r="S104" s="140">
        <f t="shared" si="98"/>
        <v>6.0467203379693454E-3</v>
      </c>
      <c r="T104" s="140">
        <f t="shared" si="98"/>
        <v>5.9598350007205557E-3</v>
      </c>
      <c r="U104" s="140">
        <f t="shared" si="98"/>
        <v>6.3662740118238048E-3</v>
      </c>
      <c r="V104" s="140">
        <f t="shared" si="98"/>
        <v>5.7616460285267873E-3</v>
      </c>
      <c r="W104" s="140">
        <f t="shared" ref="W104" si="99">IF(W12=0,0,W12/W$4)</f>
        <v>4.8524920800639797E-3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3.0820662678790182E-2</v>
      </c>
      <c r="C105" s="124">
        <f t="shared" si="100"/>
        <v>3.0850394037647718E-2</v>
      </c>
      <c r="D105" s="124">
        <f t="shared" si="100"/>
        <v>3.1737463989072352E-2</v>
      </c>
      <c r="E105" s="124">
        <f t="shared" si="100"/>
        <v>5.7587257264010386E-2</v>
      </c>
      <c r="F105" s="124">
        <f t="shared" si="100"/>
        <v>7.2416049829552825E-2</v>
      </c>
      <c r="G105" s="124">
        <f t="shared" si="100"/>
        <v>7.6496898853888926E-2</v>
      </c>
      <c r="H105" s="124">
        <f t="shared" si="100"/>
        <v>7.8882673404373771E-2</v>
      </c>
      <c r="I105" s="124">
        <f t="shared" si="100"/>
        <v>8.220854124819342E-2</v>
      </c>
      <c r="J105" s="124">
        <f t="shared" si="100"/>
        <v>8.2897226491289749E-2</v>
      </c>
      <c r="K105" s="124">
        <f t="shared" si="100"/>
        <v>7.815413307845559E-2</v>
      </c>
      <c r="L105" s="124">
        <f t="shared" si="100"/>
        <v>8.3997357545291446E-2</v>
      </c>
      <c r="M105" s="124">
        <f t="shared" si="100"/>
        <v>8.7468278913531386E-2</v>
      </c>
      <c r="N105" s="124">
        <f t="shared" si="100"/>
        <v>8.1889765910861181E-2</v>
      </c>
      <c r="O105" s="124">
        <f t="shared" si="100"/>
        <v>8.1835312002844648E-2</v>
      </c>
      <c r="P105" s="124">
        <f t="shared" si="100"/>
        <v>8.2097327058441458E-2</v>
      </c>
      <c r="Q105" s="124">
        <f t="shared" si="100"/>
        <v>8.3865786059189693E-2</v>
      </c>
      <c r="R105" s="124">
        <f t="shared" ref="R105:V105" si="101">IF(R13=0,0,R13/R$4)</f>
        <v>8.6722129865635572E-2</v>
      </c>
      <c r="S105" s="124">
        <f t="shared" si="101"/>
        <v>9.9847892601930208E-2</v>
      </c>
      <c r="T105" s="124">
        <f t="shared" si="101"/>
        <v>0.10894171913347504</v>
      </c>
      <c r="U105" s="124">
        <f t="shared" si="101"/>
        <v>0.11211759306891451</v>
      </c>
      <c r="V105" s="124">
        <f t="shared" si="101"/>
        <v>3.2392159333442194E-2</v>
      </c>
      <c r="W105" s="124">
        <f t="shared" ref="W105" si="102">IF(W13=0,0,W13/W$4)</f>
        <v>3.4439658829613445E-2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1.8367703391385527E-4</v>
      </c>
      <c r="C106" s="140">
        <f t="shared" si="103"/>
        <v>2.3533579440882495E-4</v>
      </c>
      <c r="D106" s="140">
        <f t="shared" si="103"/>
        <v>1.6958529579610884E-4</v>
      </c>
      <c r="E106" s="140">
        <f t="shared" si="103"/>
        <v>2.8606003941398237E-4</v>
      </c>
      <c r="F106" s="140">
        <f t="shared" si="103"/>
        <v>2.9802936387359803E-4</v>
      </c>
      <c r="G106" s="140">
        <f t="shared" si="103"/>
        <v>4.3489276379951548E-4</v>
      </c>
      <c r="H106" s="140">
        <f t="shared" si="103"/>
        <v>4.7951758341947148E-4</v>
      </c>
      <c r="I106" s="140">
        <f t="shared" si="103"/>
        <v>4.8561804488254229E-4</v>
      </c>
      <c r="J106" s="140">
        <f t="shared" si="103"/>
        <v>5.4288350562195042E-4</v>
      </c>
      <c r="K106" s="140">
        <f t="shared" si="103"/>
        <v>4.9738631154798766E-4</v>
      </c>
      <c r="L106" s="140">
        <f t="shared" si="103"/>
        <v>4.4326563960866175E-4</v>
      </c>
      <c r="M106" s="140">
        <f t="shared" si="103"/>
        <v>2.9772463872998803E-4</v>
      </c>
      <c r="N106" s="140">
        <f t="shared" si="103"/>
        <v>2.9116441560035074E-4</v>
      </c>
      <c r="O106" s="140">
        <f t="shared" si="103"/>
        <v>2.0617412011375872E-4</v>
      </c>
      <c r="P106" s="140">
        <f t="shared" si="103"/>
        <v>2.2012301778962995E-4</v>
      </c>
      <c r="Q106" s="140">
        <f t="shared" si="103"/>
        <v>2.0953776234780737E-4</v>
      </c>
      <c r="R106" s="140">
        <f t="shared" ref="R106:V106" si="104">IF(R14=0,0,R14/R$4)</f>
        <v>1.5623354520673843E-4</v>
      </c>
      <c r="S106" s="140">
        <f t="shared" si="104"/>
        <v>1.109520342665985E-4</v>
      </c>
      <c r="T106" s="140">
        <f t="shared" si="104"/>
        <v>1.1694461915375567E-4</v>
      </c>
      <c r="U106" s="140">
        <f t="shared" si="104"/>
        <v>5.0023252218932811E-5</v>
      </c>
      <c r="V106" s="140">
        <f t="shared" si="104"/>
        <v>1.3907545684689693E-5</v>
      </c>
      <c r="W106" s="140">
        <f t="shared" ref="W106" si="105">IF(W14=0,0,W14/W$4)</f>
        <v>3.7014530662993042E-5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1.7929185899495804E-2</v>
      </c>
      <c r="C107" s="140">
        <f t="shared" si="106"/>
        <v>1.7964512983055375E-2</v>
      </c>
      <c r="D107" s="140">
        <f t="shared" si="106"/>
        <v>1.8496286345439133E-2</v>
      </c>
      <c r="E107" s="140">
        <f t="shared" si="106"/>
        <v>3.5121516215659836E-2</v>
      </c>
      <c r="F107" s="140">
        <f t="shared" si="106"/>
        <v>4.4085929673816332E-2</v>
      </c>
      <c r="G107" s="140">
        <f t="shared" si="106"/>
        <v>4.7700423264558749E-2</v>
      </c>
      <c r="H107" s="140">
        <f t="shared" si="106"/>
        <v>4.8032851759870161E-2</v>
      </c>
      <c r="I107" s="140">
        <f t="shared" si="106"/>
        <v>4.7813276901043318E-2</v>
      </c>
      <c r="J107" s="140">
        <f t="shared" si="106"/>
        <v>4.6862129747831785E-2</v>
      </c>
      <c r="K107" s="140">
        <f t="shared" si="106"/>
        <v>4.2080864597257427E-2</v>
      </c>
      <c r="L107" s="140">
        <f t="shared" si="106"/>
        <v>4.3195357567547631E-2</v>
      </c>
      <c r="M107" s="140">
        <f t="shared" si="106"/>
        <v>4.4320519792126888E-2</v>
      </c>
      <c r="N107" s="140">
        <f t="shared" si="106"/>
        <v>4.0483769408552597E-2</v>
      </c>
      <c r="O107" s="140">
        <f t="shared" si="106"/>
        <v>3.8989083698668631E-2</v>
      </c>
      <c r="P107" s="140">
        <f t="shared" si="106"/>
        <v>3.9214083340703136E-2</v>
      </c>
      <c r="Q107" s="140">
        <f t="shared" si="106"/>
        <v>4.1078450730399708E-2</v>
      </c>
      <c r="R107" s="140">
        <f t="shared" ref="R107:V107" si="107">IF(R15=0,0,R15/R$4)</f>
        <v>4.2747608369118596E-2</v>
      </c>
      <c r="S107" s="140">
        <f t="shared" si="107"/>
        <v>4.8049224655721826E-2</v>
      </c>
      <c r="T107" s="140">
        <f t="shared" si="107"/>
        <v>5.0260845666663501E-2</v>
      </c>
      <c r="U107" s="140">
        <f t="shared" si="107"/>
        <v>4.9809466668561897E-2</v>
      </c>
      <c r="V107" s="140">
        <f t="shared" si="107"/>
        <v>1.6862373626901125E-2</v>
      </c>
      <c r="W107" s="140">
        <f t="shared" ref="W107" si="108">IF(W15=0,0,W15/W$4)</f>
        <v>1.8209332125080375E-2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1.2707799745380522E-2</v>
      </c>
      <c r="C108" s="140">
        <f t="shared" si="109"/>
        <v>1.265054526018352E-2</v>
      </c>
      <c r="D108" s="140">
        <f t="shared" si="109"/>
        <v>1.3071592347837106E-2</v>
      </c>
      <c r="E108" s="140">
        <f t="shared" si="109"/>
        <v>2.217968100893657E-2</v>
      </c>
      <c r="F108" s="140">
        <f t="shared" si="109"/>
        <v>2.8032090791862904E-2</v>
      </c>
      <c r="G108" s="140">
        <f t="shared" si="109"/>
        <v>2.8361582825530661E-2</v>
      </c>
      <c r="H108" s="140">
        <f t="shared" si="109"/>
        <v>3.0370304061084142E-2</v>
      </c>
      <c r="I108" s="140">
        <f t="shared" si="109"/>
        <v>3.3909646302267567E-2</v>
      </c>
      <c r="J108" s="140">
        <f t="shared" si="109"/>
        <v>3.5492213237836016E-2</v>
      </c>
      <c r="K108" s="140">
        <f t="shared" si="109"/>
        <v>3.5575882169650172E-2</v>
      </c>
      <c r="L108" s="140">
        <f t="shared" si="109"/>
        <v>4.0358734338135138E-2</v>
      </c>
      <c r="M108" s="140">
        <f t="shared" si="109"/>
        <v>4.2850034482674507E-2</v>
      </c>
      <c r="N108" s="140">
        <f t="shared" si="109"/>
        <v>4.1114832086708221E-2</v>
      </c>
      <c r="O108" s="140">
        <f t="shared" si="109"/>
        <v>4.2640054184062262E-2</v>
      </c>
      <c r="P108" s="140">
        <f t="shared" si="109"/>
        <v>4.2663120699948681E-2</v>
      </c>
      <c r="Q108" s="140">
        <f t="shared" si="109"/>
        <v>4.2577797566442178E-2</v>
      </c>
      <c r="R108" s="140">
        <f t="shared" ref="R108:V108" si="110">IF(R16=0,0,R16/R$4)</f>
        <v>4.3818287951310243E-2</v>
      </c>
      <c r="S108" s="140">
        <f t="shared" si="110"/>
        <v>5.1687715911941788E-2</v>
      </c>
      <c r="T108" s="140">
        <f t="shared" si="110"/>
        <v>5.8563928847657799E-2</v>
      </c>
      <c r="U108" s="140">
        <f t="shared" si="110"/>
        <v>6.2258103148133674E-2</v>
      </c>
      <c r="V108" s="140">
        <f t="shared" si="110"/>
        <v>1.5515878160856379E-2</v>
      </c>
      <c r="W108" s="140">
        <f t="shared" ref="W108" si="111">IF(W16=0,0,W16/W$4)</f>
        <v>1.6193312173870076E-2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0.60001799707334103</v>
      </c>
      <c r="C110" s="139">
        <f t="shared" si="115"/>
        <v>0.62293711126103612</v>
      </c>
      <c r="D110" s="139">
        <f t="shared" si="115"/>
        <v>0.65474662480506307</v>
      </c>
      <c r="E110" s="139">
        <f t="shared" si="115"/>
        <v>0.66338279893622421</v>
      </c>
      <c r="F110" s="139">
        <f t="shared" si="115"/>
        <v>0.68144729069037535</v>
      </c>
      <c r="G110" s="139">
        <f t="shared" si="115"/>
        <v>0.68534273343890928</v>
      </c>
      <c r="H110" s="139">
        <f t="shared" si="115"/>
        <v>0.6826958508571388</v>
      </c>
      <c r="I110" s="139">
        <f t="shared" si="115"/>
        <v>0.67817799126593703</v>
      </c>
      <c r="J110" s="139">
        <f t="shared" si="115"/>
        <v>0.68168219423018594</v>
      </c>
      <c r="K110" s="139">
        <f t="shared" si="115"/>
        <v>0.69831847405461667</v>
      </c>
      <c r="L110" s="139">
        <f t="shared" si="115"/>
        <v>0.70197077288836962</v>
      </c>
      <c r="M110" s="139">
        <f t="shared" si="115"/>
        <v>0.70068100402421007</v>
      </c>
      <c r="N110" s="139">
        <f t="shared" si="115"/>
        <v>0.69719396997192939</v>
      </c>
      <c r="O110" s="139">
        <f t="shared" si="115"/>
        <v>0.71950616329564487</v>
      </c>
      <c r="P110" s="139">
        <f t="shared" si="115"/>
        <v>0.72002733176511369</v>
      </c>
      <c r="Q110" s="139">
        <f t="shared" si="115"/>
        <v>0.73868941343729255</v>
      </c>
      <c r="R110" s="139">
        <f t="shared" ref="R110:V110" si="116">IF(R18=0,0,R18/R$17)</f>
        <v>0.73562128936748716</v>
      </c>
      <c r="S110" s="139">
        <f t="shared" si="116"/>
        <v>0.73189620849855952</v>
      </c>
      <c r="T110" s="139">
        <f t="shared" si="116"/>
        <v>0.7253079524081022</v>
      </c>
      <c r="U110" s="139">
        <f t="shared" si="116"/>
        <v>0.7390055443384439</v>
      </c>
      <c r="V110" s="139">
        <f t="shared" si="116"/>
        <v>0.77339011996898366</v>
      </c>
      <c r="W110" s="139">
        <f t="shared" ref="W110" si="117">IF(W18=0,0,W18/W$17)</f>
        <v>0.7724863923147105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4.6767525759190774E-3</v>
      </c>
      <c r="C111" s="140">
        <f t="shared" si="118"/>
        <v>5.3029765378416228E-3</v>
      </c>
      <c r="D111" s="140">
        <f t="shared" si="118"/>
        <v>6.1329716839353997E-3</v>
      </c>
      <c r="E111" s="140">
        <f t="shared" si="118"/>
        <v>7.0284862582681252E-3</v>
      </c>
      <c r="F111" s="140">
        <f t="shared" si="118"/>
        <v>8.2750130951114286E-3</v>
      </c>
      <c r="G111" s="140">
        <f t="shared" si="118"/>
        <v>1.0021237037278887E-2</v>
      </c>
      <c r="H111" s="140">
        <f t="shared" si="118"/>
        <v>1.1140982358475637E-2</v>
      </c>
      <c r="I111" s="140">
        <f t="shared" si="118"/>
        <v>1.2587989742839466E-2</v>
      </c>
      <c r="J111" s="140">
        <f t="shared" si="118"/>
        <v>1.5650159481000167E-2</v>
      </c>
      <c r="K111" s="140">
        <f t="shared" si="118"/>
        <v>1.8242646727383405E-2</v>
      </c>
      <c r="L111" s="140">
        <f t="shared" si="118"/>
        <v>1.7628082511916245E-2</v>
      </c>
      <c r="M111" s="140">
        <f t="shared" si="118"/>
        <v>1.7272035816251363E-2</v>
      </c>
      <c r="N111" s="140">
        <f t="shared" si="118"/>
        <v>1.7782474456673972E-2</v>
      </c>
      <c r="O111" s="140">
        <f t="shared" si="118"/>
        <v>1.7396841008546163E-2</v>
      </c>
      <c r="P111" s="140">
        <f t="shared" si="118"/>
        <v>1.8306177606062405E-2</v>
      </c>
      <c r="Q111" s="140">
        <f t="shared" si="118"/>
        <v>1.7724318700164533E-2</v>
      </c>
      <c r="R111" s="140">
        <f t="shared" ref="R111:V111" si="119">IF(R19=0,0,R19/R$17)</f>
        <v>1.4692494789285457E-2</v>
      </c>
      <c r="S111" s="140">
        <f t="shared" si="119"/>
        <v>1.4970963878343728E-2</v>
      </c>
      <c r="T111" s="140">
        <f t="shared" si="119"/>
        <v>1.4865419481524315E-2</v>
      </c>
      <c r="U111" s="140">
        <f t="shared" si="119"/>
        <v>1.4509191956714226E-2</v>
      </c>
      <c r="V111" s="140">
        <f t="shared" si="119"/>
        <v>1.3146741850280105E-2</v>
      </c>
      <c r="W111" s="140">
        <f t="shared" ref="W111" si="120">IF(W19=0,0,W19/W$17)</f>
        <v>1.254222958134411E-2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0.59534124449742187</v>
      </c>
      <c r="C112" s="140">
        <f t="shared" si="121"/>
        <v>0.61763413472319451</v>
      </c>
      <c r="D112" s="140">
        <f t="shared" si="121"/>
        <v>0.64861365312112773</v>
      </c>
      <c r="E112" s="140">
        <f t="shared" si="121"/>
        <v>0.65635431267795608</v>
      </c>
      <c r="F112" s="140">
        <f t="shared" si="121"/>
        <v>0.67317227759526388</v>
      </c>
      <c r="G112" s="140">
        <f t="shared" si="121"/>
        <v>0.67532149640163042</v>
      </c>
      <c r="H112" s="140">
        <f t="shared" si="121"/>
        <v>0.67155486849866319</v>
      </c>
      <c r="I112" s="140">
        <f t="shared" si="121"/>
        <v>0.66559000152309755</v>
      </c>
      <c r="J112" s="140">
        <f t="shared" si="121"/>
        <v>0.66603203474918582</v>
      </c>
      <c r="K112" s="140">
        <f t="shared" si="121"/>
        <v>0.68007582732723326</v>
      </c>
      <c r="L112" s="140">
        <f t="shared" si="121"/>
        <v>0.68434269037645323</v>
      </c>
      <c r="M112" s="140">
        <f t="shared" si="121"/>
        <v>0.68340896820795871</v>
      </c>
      <c r="N112" s="140">
        <f t="shared" si="121"/>
        <v>0.67941149551525548</v>
      </c>
      <c r="O112" s="140">
        <f t="shared" si="121"/>
        <v>0.70210932228709877</v>
      </c>
      <c r="P112" s="140">
        <f t="shared" si="121"/>
        <v>0.70172115415905123</v>
      </c>
      <c r="Q112" s="140">
        <f t="shared" si="121"/>
        <v>0.72096509473712811</v>
      </c>
      <c r="R112" s="140">
        <f t="shared" ref="R112:V112" si="122">IF(R20=0,0,R20/R$17)</f>
        <v>0.72092879457820169</v>
      </c>
      <c r="S112" s="140">
        <f t="shared" si="122"/>
        <v>0.71692524462021578</v>
      </c>
      <c r="T112" s="140">
        <f t="shared" si="122"/>
        <v>0.71044253292657789</v>
      </c>
      <c r="U112" s="140">
        <f t="shared" si="122"/>
        <v>0.7244963523817296</v>
      </c>
      <c r="V112" s="140">
        <f t="shared" si="122"/>
        <v>0.76024337811870357</v>
      </c>
      <c r="W112" s="140">
        <f t="shared" ref="W112" si="123">IF(W20=0,0,W20/W$17)</f>
        <v>0.75994416273336651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0.39578983696739889</v>
      </c>
      <c r="C113" s="124">
        <f t="shared" si="124"/>
        <v>0.373158800173091</v>
      </c>
      <c r="D113" s="124">
        <f t="shared" si="124"/>
        <v>0.34127823340339009</v>
      </c>
      <c r="E113" s="124">
        <f t="shared" si="124"/>
        <v>0.33248773096041612</v>
      </c>
      <c r="F113" s="124">
        <f t="shared" si="124"/>
        <v>0.31513678267756623</v>
      </c>
      <c r="G113" s="124">
        <f t="shared" si="124"/>
        <v>0.31092349841695532</v>
      </c>
      <c r="H113" s="124">
        <f t="shared" si="124"/>
        <v>0.31445879572160529</v>
      </c>
      <c r="I113" s="124">
        <f t="shared" si="124"/>
        <v>0.31931470424448405</v>
      </c>
      <c r="J113" s="124">
        <f t="shared" si="124"/>
        <v>0.31578802725972693</v>
      </c>
      <c r="K113" s="124">
        <f t="shared" si="124"/>
        <v>0.29832220241923502</v>
      </c>
      <c r="L113" s="124">
        <f t="shared" si="124"/>
        <v>0.29466860934246197</v>
      </c>
      <c r="M113" s="124">
        <f t="shared" si="124"/>
        <v>0.29502516279541835</v>
      </c>
      <c r="N113" s="124">
        <f t="shared" si="124"/>
        <v>0.29859643469011837</v>
      </c>
      <c r="O113" s="124">
        <f t="shared" si="124"/>
        <v>0.27690810595318444</v>
      </c>
      <c r="P113" s="124">
        <f t="shared" si="124"/>
        <v>0.27637303420339415</v>
      </c>
      <c r="Q113" s="124">
        <f t="shared" si="124"/>
        <v>0.25783264905269032</v>
      </c>
      <c r="R113" s="124">
        <f t="shared" ref="R113:V113" si="125">IF(R21=0,0,R21/R$17)</f>
        <v>0.25997107217268411</v>
      </c>
      <c r="S113" s="124">
        <f t="shared" si="125"/>
        <v>0.26369120649882316</v>
      </c>
      <c r="T113" s="124">
        <f t="shared" si="125"/>
        <v>0.2708409886394586</v>
      </c>
      <c r="U113" s="124">
        <f t="shared" si="125"/>
        <v>0.25679316045338091</v>
      </c>
      <c r="V113" s="124">
        <f t="shared" si="125"/>
        <v>0.22422107444765707</v>
      </c>
      <c r="W113" s="124">
        <f t="shared" ref="W113" si="126">IF(W21=0,0,W21/W$17)</f>
        <v>0.22513697468216848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2.1788317405760766E-3</v>
      </c>
      <c r="C114" s="124">
        <f t="shared" si="127"/>
        <v>2.181817180458573E-3</v>
      </c>
      <c r="D114" s="124">
        <f t="shared" si="127"/>
        <v>2.2482437098091811E-3</v>
      </c>
      <c r="E114" s="124">
        <f t="shared" si="127"/>
        <v>2.9137162012222249E-3</v>
      </c>
      <c r="F114" s="124">
        <f t="shared" si="127"/>
        <v>2.4136363081435543E-3</v>
      </c>
      <c r="G114" s="124">
        <f t="shared" si="127"/>
        <v>2.4161184468215425E-3</v>
      </c>
      <c r="H114" s="124">
        <f t="shared" si="127"/>
        <v>1.9884088610157185E-3</v>
      </c>
      <c r="I114" s="124">
        <f t="shared" si="127"/>
        <v>1.8022425812862669E-3</v>
      </c>
      <c r="J114" s="124">
        <f t="shared" si="127"/>
        <v>1.9569946295874647E-3</v>
      </c>
      <c r="K114" s="124">
        <f t="shared" si="127"/>
        <v>2.5896704357069276E-3</v>
      </c>
      <c r="L114" s="124">
        <f t="shared" si="127"/>
        <v>2.4404470936619034E-3</v>
      </c>
      <c r="M114" s="124">
        <f t="shared" si="127"/>
        <v>3.4282941445091049E-3</v>
      </c>
      <c r="N114" s="124">
        <f t="shared" si="127"/>
        <v>3.4142869677115497E-3</v>
      </c>
      <c r="O114" s="124">
        <f t="shared" si="127"/>
        <v>3.0900126954005258E-3</v>
      </c>
      <c r="P114" s="124">
        <f t="shared" si="127"/>
        <v>3.0876565410296575E-3</v>
      </c>
      <c r="Q114" s="124">
        <f t="shared" si="127"/>
        <v>2.9204067178842689E-3</v>
      </c>
      <c r="R114" s="124">
        <f t="shared" ref="R114:V114" si="128">IF(R22=0,0,R22/R$17)</f>
        <v>3.8084350154202408E-3</v>
      </c>
      <c r="S114" s="124">
        <f t="shared" si="128"/>
        <v>3.9964845063432735E-3</v>
      </c>
      <c r="T114" s="124">
        <f t="shared" si="128"/>
        <v>3.4749817525655227E-3</v>
      </c>
      <c r="U114" s="124">
        <f t="shared" si="128"/>
        <v>3.6934224557333625E-3</v>
      </c>
      <c r="V114" s="124">
        <f t="shared" si="128"/>
        <v>2.1241685536526815E-3</v>
      </c>
      <c r="W114" s="124">
        <f t="shared" ref="W114" si="129">IF(W22=0,0,W22/W$17)</f>
        <v>2.0732510698238463E-3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1.91738653920993E-6</v>
      </c>
      <c r="C115" s="140">
        <f t="shared" si="130"/>
        <v>1.7814290694828123E-6</v>
      </c>
      <c r="D115" s="140">
        <f t="shared" si="130"/>
        <v>2.0576252307296641E-6</v>
      </c>
      <c r="E115" s="140">
        <f t="shared" si="130"/>
        <v>1.7317300048822539E-6</v>
      </c>
      <c r="F115" s="140">
        <f t="shared" si="130"/>
        <v>8.4914768455968615E-7</v>
      </c>
      <c r="G115" s="140">
        <f t="shared" si="130"/>
        <v>1.9498256073564761E-6</v>
      </c>
      <c r="H115" s="140">
        <f t="shared" si="130"/>
        <v>4.03437484379001E-6</v>
      </c>
      <c r="I115" s="140">
        <f t="shared" si="130"/>
        <v>6.6409369462290582E-6</v>
      </c>
      <c r="J115" s="140">
        <f t="shared" si="130"/>
        <v>8.2562530534588639E-6</v>
      </c>
      <c r="K115" s="140">
        <f t="shared" si="130"/>
        <v>1.1376529242519197E-5</v>
      </c>
      <c r="L115" s="140">
        <f t="shared" si="130"/>
        <v>8.9338067248698954E-6</v>
      </c>
      <c r="M115" s="140">
        <f t="shared" si="130"/>
        <v>8.1583821977194031E-6</v>
      </c>
      <c r="N115" s="140">
        <f t="shared" si="130"/>
        <v>6.7074236802493138E-6</v>
      </c>
      <c r="O115" s="140">
        <f t="shared" si="130"/>
        <v>3.9854734779105397E-6</v>
      </c>
      <c r="P115" s="140">
        <f t="shared" si="130"/>
        <v>2.3932292482379396E-6</v>
      </c>
      <c r="Q115" s="140">
        <f t="shared" si="130"/>
        <v>2.1549316252255007E-6</v>
      </c>
      <c r="R115" s="140">
        <f t="shared" ref="R115:V116" si="131">IF(R23=0,0,R23/R$17)</f>
        <v>1.9322504846065803E-6</v>
      </c>
      <c r="S115" s="140">
        <f t="shared" si="131"/>
        <v>1.9368849504040638E-6</v>
      </c>
      <c r="T115" s="140">
        <f t="shared" si="131"/>
        <v>9.7770231514831836E-6</v>
      </c>
      <c r="U115" s="140">
        <f t="shared" si="131"/>
        <v>7.8338415952330286E-6</v>
      </c>
      <c r="V115" s="140">
        <f t="shared" si="131"/>
        <v>6.0962268521623726E-6</v>
      </c>
      <c r="W115" s="140">
        <f t="shared" ref="W115" si="132">IF(W23=0,0,W23/W$17)</f>
        <v>8.6935345635163055E-6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3.3429500537136603E-4</v>
      </c>
      <c r="C116" s="140">
        <f t="shared" si="133"/>
        <v>3.2141642819792188E-4</v>
      </c>
      <c r="D116" s="140">
        <f t="shared" si="133"/>
        <v>3.5384575823130867E-4</v>
      </c>
      <c r="E116" s="140">
        <f t="shared" si="133"/>
        <v>3.9154457625285101E-4</v>
      </c>
      <c r="F116" s="140">
        <f t="shared" si="133"/>
        <v>4.2693699840683262E-4</v>
      </c>
      <c r="G116" s="140">
        <f t="shared" si="133"/>
        <v>4.4815504612205094E-4</v>
      </c>
      <c r="H116" s="140">
        <f t="shared" si="133"/>
        <v>4.0829362539956612E-4</v>
      </c>
      <c r="I116" s="140">
        <f t="shared" si="133"/>
        <v>3.949015678977358E-4</v>
      </c>
      <c r="J116" s="140">
        <f t="shared" si="133"/>
        <v>3.3764897367795832E-4</v>
      </c>
      <c r="K116" s="140">
        <f t="shared" si="133"/>
        <v>3.2027753890781399E-4</v>
      </c>
      <c r="L116" s="140">
        <f t="shared" si="133"/>
        <v>3.5486420996287243E-4</v>
      </c>
      <c r="M116" s="140">
        <f t="shared" si="133"/>
        <v>2.8931214114790311E-4</v>
      </c>
      <c r="N116" s="140">
        <f t="shared" si="133"/>
        <v>2.3372715918377245E-4</v>
      </c>
      <c r="O116" s="140">
        <f t="shared" si="133"/>
        <v>2.1683127001427937E-4</v>
      </c>
      <c r="P116" s="140">
        <f t="shared" si="133"/>
        <v>2.5268845299875617E-4</v>
      </c>
      <c r="Q116" s="140">
        <f t="shared" si="133"/>
        <v>2.387057035092852E-4</v>
      </c>
      <c r="R116" s="140">
        <f t="shared" si="131"/>
        <v>2.7758096109821911E-4</v>
      </c>
      <c r="S116" s="140">
        <f t="shared" si="131"/>
        <v>3.2132315151432451E-4</v>
      </c>
      <c r="T116" s="140">
        <f t="shared" si="131"/>
        <v>3.6449588128526633E-4</v>
      </c>
      <c r="U116" s="140">
        <f t="shared" si="131"/>
        <v>2.9710229371808478E-4</v>
      </c>
      <c r="V116" s="140">
        <f t="shared" si="131"/>
        <v>2.1750429413600915E-4</v>
      </c>
      <c r="W116" s="140">
        <f t="shared" ref="W116" si="134">IF(W24=0,0,W24/W$17)</f>
        <v>2.9319137379661572E-4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1.842619348665501E-3</v>
      </c>
      <c r="C117" s="140">
        <f t="shared" si="135"/>
        <v>1.8586193231911684E-3</v>
      </c>
      <c r="D117" s="140">
        <f t="shared" si="135"/>
        <v>1.8923403263471431E-3</v>
      </c>
      <c r="E117" s="140">
        <f t="shared" si="135"/>
        <v>2.5204398949644916E-3</v>
      </c>
      <c r="F117" s="140">
        <f t="shared" si="135"/>
        <v>1.985850162052162E-3</v>
      </c>
      <c r="G117" s="140">
        <f t="shared" si="135"/>
        <v>1.9660135750921353E-3</v>
      </c>
      <c r="H117" s="140">
        <f t="shared" si="135"/>
        <v>1.5760808607723623E-3</v>
      </c>
      <c r="I117" s="140">
        <f t="shared" si="135"/>
        <v>1.4007000764423021E-3</v>
      </c>
      <c r="J117" s="140">
        <f t="shared" si="135"/>
        <v>1.6110894028560476E-3</v>
      </c>
      <c r="K117" s="140">
        <f t="shared" si="135"/>
        <v>2.2580163675565948E-3</v>
      </c>
      <c r="L117" s="140">
        <f t="shared" si="135"/>
        <v>2.0766490769741608E-3</v>
      </c>
      <c r="M117" s="140">
        <f t="shared" si="135"/>
        <v>3.1308236211634822E-3</v>
      </c>
      <c r="N117" s="140">
        <f t="shared" si="135"/>
        <v>3.1738523848475276E-3</v>
      </c>
      <c r="O117" s="140">
        <f t="shared" si="135"/>
        <v>2.8691959519083357E-3</v>
      </c>
      <c r="P117" s="140">
        <f t="shared" si="135"/>
        <v>2.8325748587826631E-3</v>
      </c>
      <c r="Q117" s="140">
        <f t="shared" si="135"/>
        <v>2.6795460827497585E-3</v>
      </c>
      <c r="R117" s="140">
        <f t="shared" ref="R117:V117" si="136">IF(R25=0,0,R25/R$17)</f>
        <v>3.5289218038374154E-3</v>
      </c>
      <c r="S117" s="140">
        <f t="shared" si="136"/>
        <v>3.6732244698785446E-3</v>
      </c>
      <c r="T117" s="140">
        <f t="shared" si="136"/>
        <v>3.1007088481287731E-3</v>
      </c>
      <c r="U117" s="140">
        <f t="shared" si="136"/>
        <v>3.3884863204200447E-3</v>
      </c>
      <c r="V117" s="140">
        <f t="shared" si="136"/>
        <v>1.90056803266451E-3</v>
      </c>
      <c r="W117" s="140">
        <f t="shared" ref="W117" si="137">IF(W25=0,0,W25/W$17)</f>
        <v>1.7713661614637145E-3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2.0133342186841852E-3</v>
      </c>
      <c r="C118" s="124">
        <f t="shared" si="138"/>
        <v>1.7222713854142663E-3</v>
      </c>
      <c r="D118" s="124">
        <f t="shared" si="138"/>
        <v>1.7268980817375843E-3</v>
      </c>
      <c r="E118" s="124">
        <f t="shared" si="138"/>
        <v>1.2157539021374439E-3</v>
      </c>
      <c r="F118" s="124">
        <f t="shared" si="138"/>
        <v>1.0022903239148674E-3</v>
      </c>
      <c r="G118" s="124">
        <f t="shared" si="138"/>
        <v>1.3176496973138832E-3</v>
      </c>
      <c r="H118" s="124">
        <f t="shared" si="138"/>
        <v>8.5694456024013109E-4</v>
      </c>
      <c r="I118" s="124">
        <f t="shared" si="138"/>
        <v>7.0506190829253102E-4</v>
      </c>
      <c r="J118" s="124">
        <f t="shared" si="138"/>
        <v>5.7278388049960183E-4</v>
      </c>
      <c r="K118" s="124">
        <f t="shared" si="138"/>
        <v>7.6965309044130692E-4</v>
      </c>
      <c r="L118" s="124">
        <f t="shared" si="138"/>
        <v>9.2017067550659879E-4</v>
      </c>
      <c r="M118" s="124">
        <f t="shared" si="138"/>
        <v>8.6553903586250147E-4</v>
      </c>
      <c r="N118" s="124">
        <f t="shared" si="138"/>
        <v>7.9530837024073021E-4</v>
      </c>
      <c r="O118" s="124">
        <f t="shared" si="138"/>
        <v>4.9571805577011175E-4</v>
      </c>
      <c r="P118" s="124">
        <f t="shared" si="138"/>
        <v>5.1197749046254834E-4</v>
      </c>
      <c r="Q118" s="124">
        <f t="shared" si="138"/>
        <v>5.575307921328079E-4</v>
      </c>
      <c r="R118" s="124">
        <f t="shared" ref="R118:V118" si="139">IF(R26=0,0,R26/R$17)</f>
        <v>5.9920344440851701E-4</v>
      </c>
      <c r="S118" s="124">
        <f t="shared" si="139"/>
        <v>4.1610049627410084E-4</v>
      </c>
      <c r="T118" s="124">
        <f t="shared" si="139"/>
        <v>3.7607719987367468E-4</v>
      </c>
      <c r="U118" s="124">
        <f t="shared" si="139"/>
        <v>5.0787275244179163E-4</v>
      </c>
      <c r="V118" s="124">
        <f t="shared" si="139"/>
        <v>2.6463702970676203E-4</v>
      </c>
      <c r="W118" s="124">
        <f t="shared" ref="W118" si="140">IF(W26=0,0,W26/W$17)</f>
        <v>3.033819332970542E-4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2.0133342186841852E-3</v>
      </c>
      <c r="C120" s="127">
        <f t="shared" si="144"/>
        <v>1.7222713854142663E-3</v>
      </c>
      <c r="D120" s="127">
        <f t="shared" si="144"/>
        <v>1.7268980817375843E-3</v>
      </c>
      <c r="E120" s="127">
        <f t="shared" si="144"/>
        <v>1.2157539021374439E-3</v>
      </c>
      <c r="F120" s="127">
        <f t="shared" si="144"/>
        <v>1.0022903239148674E-3</v>
      </c>
      <c r="G120" s="127">
        <f t="shared" si="144"/>
        <v>1.3176496973138832E-3</v>
      </c>
      <c r="H120" s="127">
        <f t="shared" si="144"/>
        <v>8.5694456024013109E-4</v>
      </c>
      <c r="I120" s="127">
        <f t="shared" si="144"/>
        <v>7.0506190829253102E-4</v>
      </c>
      <c r="J120" s="127">
        <f t="shared" si="144"/>
        <v>5.7278388049960183E-4</v>
      </c>
      <c r="K120" s="127">
        <f t="shared" si="144"/>
        <v>7.6965309044130692E-4</v>
      </c>
      <c r="L120" s="127">
        <f t="shared" si="144"/>
        <v>9.2017067550659879E-4</v>
      </c>
      <c r="M120" s="127">
        <f t="shared" si="144"/>
        <v>8.6553903586250147E-4</v>
      </c>
      <c r="N120" s="127">
        <f t="shared" si="144"/>
        <v>7.9530837024073021E-4</v>
      </c>
      <c r="O120" s="127">
        <f t="shared" si="144"/>
        <v>4.9571805577011175E-4</v>
      </c>
      <c r="P120" s="127">
        <f t="shared" si="144"/>
        <v>5.1197749046254834E-4</v>
      </c>
      <c r="Q120" s="127">
        <f t="shared" si="144"/>
        <v>5.575307921328079E-4</v>
      </c>
      <c r="R120" s="127">
        <f t="shared" ref="R120:V120" si="145">IF(R28=0,0,R28/R$17)</f>
        <v>5.9920344440851701E-4</v>
      </c>
      <c r="S120" s="127">
        <f t="shared" si="145"/>
        <v>4.1610049627410084E-4</v>
      </c>
      <c r="T120" s="127">
        <f t="shared" si="145"/>
        <v>3.7607719987367468E-4</v>
      </c>
      <c r="U120" s="127">
        <f t="shared" si="145"/>
        <v>5.0787275244179163E-4</v>
      </c>
      <c r="V120" s="127">
        <f t="shared" si="145"/>
        <v>2.6463702970676203E-4</v>
      </c>
      <c r="W120" s="127">
        <f t="shared" ref="W120" si="146">IF(W28=0,0,W28/W$17)</f>
        <v>3.033819332970542E-4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0</v>
      </c>
      <c r="J121" s="31">
        <f t="shared" si="148"/>
        <v>0</v>
      </c>
      <c r="K121" s="31">
        <f t="shared" si="148"/>
        <v>0</v>
      </c>
      <c r="L121" s="31">
        <f t="shared" si="148"/>
        <v>0</v>
      </c>
      <c r="M121" s="31">
        <f t="shared" si="148"/>
        <v>0</v>
      </c>
      <c r="N121" s="31">
        <f t="shared" si="148"/>
        <v>0</v>
      </c>
      <c r="O121" s="31">
        <f t="shared" si="148"/>
        <v>0</v>
      </c>
      <c r="P121" s="31">
        <f t="shared" si="148"/>
        <v>0</v>
      </c>
      <c r="Q121" s="31">
        <f t="shared" si="148"/>
        <v>0</v>
      </c>
      <c r="R121" s="31">
        <f t="shared" si="148"/>
        <v>0</v>
      </c>
      <c r="S121" s="31">
        <f t="shared" si="148"/>
        <v>0</v>
      </c>
      <c r="T121" s="31">
        <f t="shared" si="148"/>
        <v>0</v>
      </c>
      <c r="U121" s="31">
        <f t="shared" si="148"/>
        <v>0</v>
      </c>
      <c r="V121" s="31">
        <f t="shared" si="148"/>
        <v>0</v>
      </c>
      <c r="W121" s="31">
        <f t="shared" si="148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</v>
      </c>
      <c r="J122" s="140">
        <f t="shared" si="150"/>
        <v>0</v>
      </c>
      <c r="K122" s="140">
        <f t="shared" si="150"/>
        <v>0</v>
      </c>
      <c r="L122" s="140">
        <f t="shared" si="150"/>
        <v>0</v>
      </c>
      <c r="M122" s="140">
        <f t="shared" si="150"/>
        <v>0</v>
      </c>
      <c r="N122" s="140">
        <f t="shared" si="150"/>
        <v>0</v>
      </c>
      <c r="O122" s="140">
        <f t="shared" si="150"/>
        <v>0</v>
      </c>
      <c r="P122" s="140">
        <f t="shared" si="150"/>
        <v>0</v>
      </c>
      <c r="Q122" s="140">
        <f t="shared" si="150"/>
        <v>0</v>
      </c>
      <c r="R122" s="140">
        <f t="shared" si="150"/>
        <v>0</v>
      </c>
      <c r="S122" s="140">
        <f t="shared" si="150"/>
        <v>0</v>
      </c>
      <c r="T122" s="140">
        <f t="shared" si="150"/>
        <v>0</v>
      </c>
      <c r="U122" s="140">
        <f t="shared" si="150"/>
        <v>0</v>
      </c>
      <c r="V122" s="140">
        <f t="shared" si="150"/>
        <v>0</v>
      </c>
      <c r="W122" s="140">
        <f t="shared" si="150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</v>
      </c>
      <c r="J123" s="127">
        <f t="shared" si="152"/>
        <v>0</v>
      </c>
      <c r="K123" s="127">
        <f t="shared" si="152"/>
        <v>0</v>
      </c>
      <c r="L123" s="127">
        <f t="shared" si="152"/>
        <v>0</v>
      </c>
      <c r="M123" s="127">
        <f t="shared" si="152"/>
        <v>0</v>
      </c>
      <c r="N123" s="127">
        <f t="shared" si="152"/>
        <v>0</v>
      </c>
      <c r="O123" s="127">
        <f t="shared" si="152"/>
        <v>0</v>
      </c>
      <c r="P123" s="127">
        <f t="shared" si="152"/>
        <v>0</v>
      </c>
      <c r="Q123" s="127">
        <f t="shared" si="152"/>
        <v>0</v>
      </c>
      <c r="R123" s="127">
        <f t="shared" si="152"/>
        <v>0</v>
      </c>
      <c r="S123" s="127">
        <f t="shared" si="152"/>
        <v>0</v>
      </c>
      <c r="T123" s="127">
        <f t="shared" si="152"/>
        <v>0</v>
      </c>
      <c r="U123" s="127">
        <f t="shared" si="152"/>
        <v>0</v>
      </c>
      <c r="V123" s="127">
        <f t="shared" si="152"/>
        <v>0</v>
      </c>
      <c r="W123" s="127">
        <f t="shared" si="152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0.89672845760490671</v>
      </c>
      <c r="C127" s="139">
        <f t="shared" ref="C127:W127" si="155">IF(C35=0,0,C35/C$34)</f>
        <v>0.89992004301490636</v>
      </c>
      <c r="D127" s="139">
        <f t="shared" si="155"/>
        <v>0.90584427900539677</v>
      </c>
      <c r="E127" s="139">
        <f t="shared" si="155"/>
        <v>0.89908150387566388</v>
      </c>
      <c r="F127" s="139">
        <f t="shared" si="155"/>
        <v>0.87762399865441609</v>
      </c>
      <c r="G127" s="139">
        <f t="shared" si="155"/>
        <v>0.87715543577188904</v>
      </c>
      <c r="H127" s="139">
        <f t="shared" si="155"/>
        <v>0.87592262169513613</v>
      </c>
      <c r="I127" s="139">
        <f t="shared" si="155"/>
        <v>0.87521825117002383</v>
      </c>
      <c r="J127" s="139">
        <f t="shared" si="155"/>
        <v>0.86856691721401025</v>
      </c>
      <c r="K127" s="139">
        <f t="shared" si="155"/>
        <v>0.87739497813824285</v>
      </c>
      <c r="L127" s="139">
        <f t="shared" si="155"/>
        <v>0.8763359580674499</v>
      </c>
      <c r="M127" s="139">
        <f t="shared" si="155"/>
        <v>0.87675275193860447</v>
      </c>
      <c r="N127" s="139">
        <f t="shared" si="155"/>
        <v>0.88278747064945828</v>
      </c>
      <c r="O127" s="139">
        <f t="shared" si="155"/>
        <v>0.88594464075900459</v>
      </c>
      <c r="P127" s="139">
        <f t="shared" si="155"/>
        <v>0.8879904035176206</v>
      </c>
      <c r="Q127" s="139">
        <f t="shared" si="155"/>
        <v>0.88485894720711122</v>
      </c>
      <c r="R127" s="139">
        <f t="shared" si="155"/>
        <v>0.88442639228299236</v>
      </c>
      <c r="S127" s="139">
        <f t="shared" si="155"/>
        <v>0.87561871785612044</v>
      </c>
      <c r="T127" s="139">
        <f t="shared" si="155"/>
        <v>0.86973974934326259</v>
      </c>
      <c r="U127" s="139">
        <f t="shared" si="155"/>
        <v>0.87016040891609736</v>
      </c>
      <c r="V127" s="139">
        <f t="shared" si="155"/>
        <v>0.93247567344399018</v>
      </c>
      <c r="W127" s="139">
        <f t="shared" si="155"/>
        <v>0.93409088409849739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1.6968974297891379E-2</v>
      </c>
      <c r="C128" s="140">
        <f t="shared" ref="C128:W128" si="156">IF(C36=0,0,C36/C$34)</f>
        <v>1.5270305540912179E-2</v>
      </c>
      <c r="D128" s="140">
        <f t="shared" si="156"/>
        <v>1.4586203161952365E-2</v>
      </c>
      <c r="E128" s="140">
        <f t="shared" si="156"/>
        <v>1.3053867153888545E-2</v>
      </c>
      <c r="F128" s="140">
        <f t="shared" si="156"/>
        <v>1.2496466177410917E-2</v>
      </c>
      <c r="G128" s="140">
        <f t="shared" si="156"/>
        <v>1.2539260322847336E-2</v>
      </c>
      <c r="H128" s="140">
        <f t="shared" si="156"/>
        <v>1.2650265919887991E-2</v>
      </c>
      <c r="I128" s="140">
        <f t="shared" si="156"/>
        <v>1.2509314686367031E-2</v>
      </c>
      <c r="J128" s="140">
        <f t="shared" si="156"/>
        <v>1.2704296836440407E-2</v>
      </c>
      <c r="K128" s="140">
        <f t="shared" si="156"/>
        <v>1.2686136133250965E-2</v>
      </c>
      <c r="L128" s="140">
        <f t="shared" si="156"/>
        <v>1.3790869560669506E-2</v>
      </c>
      <c r="M128" s="140">
        <f t="shared" si="156"/>
        <v>1.3842057892487859E-2</v>
      </c>
      <c r="N128" s="140">
        <f t="shared" si="156"/>
        <v>1.4399084249443654E-2</v>
      </c>
      <c r="O128" s="140">
        <f t="shared" si="156"/>
        <v>1.4303842844191403E-2</v>
      </c>
      <c r="P128" s="140">
        <f t="shared" si="156"/>
        <v>1.4105899292351474E-2</v>
      </c>
      <c r="Q128" s="140">
        <f t="shared" si="156"/>
        <v>1.4239335608347711E-2</v>
      </c>
      <c r="R128" s="140">
        <f t="shared" si="156"/>
        <v>1.3773932117594713E-2</v>
      </c>
      <c r="S128" s="140">
        <f t="shared" si="156"/>
        <v>1.2525418890064189E-2</v>
      </c>
      <c r="T128" s="140">
        <f t="shared" si="156"/>
        <v>1.1605736382067645E-2</v>
      </c>
      <c r="U128" s="140">
        <f t="shared" si="156"/>
        <v>1.1946783990818999E-2</v>
      </c>
      <c r="V128" s="140">
        <f t="shared" si="156"/>
        <v>1.2146737609226247E-2</v>
      </c>
      <c r="W128" s="140">
        <f t="shared" si="156"/>
        <v>1.1134421338816938E-2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0.76155894019098824</v>
      </c>
      <c r="C129" s="140">
        <f t="shared" ref="C129:W129" si="157">IF(C37=0,0,C37/C$34)</f>
        <v>0.76135762884978309</v>
      </c>
      <c r="D129" s="140">
        <f t="shared" si="157"/>
        <v>0.7768772163365596</v>
      </c>
      <c r="E129" s="140">
        <f t="shared" si="157"/>
        <v>0.79172062141627975</v>
      </c>
      <c r="F129" s="140">
        <f t="shared" si="157"/>
        <v>0.78152037773670147</v>
      </c>
      <c r="G129" s="140">
        <f t="shared" si="157"/>
        <v>0.78463532952734227</v>
      </c>
      <c r="H129" s="140">
        <f t="shared" si="157"/>
        <v>0.78122762967412629</v>
      </c>
      <c r="I129" s="140">
        <f t="shared" si="157"/>
        <v>0.78410710897344826</v>
      </c>
      <c r="J129" s="140">
        <f t="shared" si="157"/>
        <v>0.77777369259819484</v>
      </c>
      <c r="K129" s="140">
        <f t="shared" si="157"/>
        <v>0.78636909687472201</v>
      </c>
      <c r="L129" s="140">
        <f t="shared" si="157"/>
        <v>0.77500779958038202</v>
      </c>
      <c r="M129" s="140">
        <f t="shared" si="157"/>
        <v>0.78006640753162226</v>
      </c>
      <c r="N129" s="140">
        <f t="shared" si="157"/>
        <v>0.78605960570085986</v>
      </c>
      <c r="O129" s="140">
        <f t="shared" si="157"/>
        <v>0.78574788340771173</v>
      </c>
      <c r="P129" s="140">
        <f t="shared" si="157"/>
        <v>0.78163317560953816</v>
      </c>
      <c r="Q129" s="140">
        <f t="shared" si="157"/>
        <v>0.78218962935686365</v>
      </c>
      <c r="R129" s="140">
        <f t="shared" si="157"/>
        <v>0.78107025267792718</v>
      </c>
      <c r="S129" s="140">
        <f t="shared" si="157"/>
        <v>0.77190265453573659</v>
      </c>
      <c r="T129" s="140">
        <f t="shared" si="157"/>
        <v>0.76942430602026335</v>
      </c>
      <c r="U129" s="140">
        <f t="shared" si="157"/>
        <v>0.77079326911288115</v>
      </c>
      <c r="V129" s="140">
        <f t="shared" si="157"/>
        <v>0.84528848915911281</v>
      </c>
      <c r="W129" s="140">
        <f t="shared" si="157"/>
        <v>0.85172844002756209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0.11820054311602704</v>
      </c>
      <c r="C130" s="140">
        <f t="shared" ref="C130:W130" si="158">IF(C38=0,0,C38/C$34)</f>
        <v>0.12329210862421112</v>
      </c>
      <c r="D130" s="140">
        <f t="shared" si="158"/>
        <v>0.11438085950688481</v>
      </c>
      <c r="E130" s="140">
        <f t="shared" si="158"/>
        <v>9.430701530549554E-2</v>
      </c>
      <c r="F130" s="140">
        <f t="shared" si="158"/>
        <v>8.360715474030378E-2</v>
      </c>
      <c r="G130" s="140">
        <f t="shared" si="158"/>
        <v>7.9980845921699434E-2</v>
      </c>
      <c r="H130" s="140">
        <f t="shared" si="158"/>
        <v>8.2044726101121956E-2</v>
      </c>
      <c r="I130" s="140">
        <f t="shared" si="158"/>
        <v>7.8601827510208569E-2</v>
      </c>
      <c r="J130" s="140">
        <f t="shared" si="158"/>
        <v>7.8088927779374984E-2</v>
      </c>
      <c r="K130" s="140">
        <f t="shared" si="158"/>
        <v>7.8339745130269867E-2</v>
      </c>
      <c r="L130" s="140">
        <f t="shared" si="158"/>
        <v>8.7537288926398463E-2</v>
      </c>
      <c r="M130" s="140">
        <f t="shared" si="158"/>
        <v>8.2844286514494242E-2</v>
      </c>
      <c r="N130" s="140">
        <f t="shared" si="158"/>
        <v>8.2328780699154613E-2</v>
      </c>
      <c r="O130" s="140">
        <f t="shared" si="158"/>
        <v>8.5892914507101459E-2</v>
      </c>
      <c r="P130" s="140">
        <f t="shared" si="158"/>
        <v>9.2251328615730863E-2</v>
      </c>
      <c r="Q130" s="140">
        <f t="shared" si="158"/>
        <v>8.8429982241899893E-2</v>
      </c>
      <c r="R130" s="140">
        <f t="shared" si="158"/>
        <v>8.9582207487470408E-2</v>
      </c>
      <c r="S130" s="140">
        <f t="shared" si="158"/>
        <v>9.1190644430319615E-2</v>
      </c>
      <c r="T130" s="140">
        <f t="shared" si="158"/>
        <v>8.8709706940931637E-2</v>
      </c>
      <c r="U130" s="140">
        <f t="shared" si="158"/>
        <v>8.7420355812397196E-2</v>
      </c>
      <c r="V130" s="140">
        <f t="shared" si="158"/>
        <v>7.5040446675651143E-2</v>
      </c>
      <c r="W130" s="140">
        <f t="shared" si="158"/>
        <v>7.1228022732118257E-2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4.4614330488681971E-2</v>
      </c>
      <c r="C131" s="124">
        <f t="shared" ref="C131:W131" si="159">IF(C39=0,0,C39/C$34)</f>
        <v>4.1071318050681413E-2</v>
      </c>
      <c r="D131" s="124">
        <f t="shared" si="159"/>
        <v>3.9413576606695873E-2</v>
      </c>
      <c r="E131" s="124">
        <f t="shared" si="159"/>
        <v>3.6390528192770125E-2</v>
      </c>
      <c r="F131" s="124">
        <f t="shared" si="159"/>
        <v>4.1823212841081224E-2</v>
      </c>
      <c r="G131" s="124">
        <f t="shared" si="159"/>
        <v>4.1524217504481278E-2</v>
      </c>
      <c r="H131" s="124">
        <f t="shared" si="159"/>
        <v>4.1835495862611899E-2</v>
      </c>
      <c r="I131" s="124">
        <f t="shared" si="159"/>
        <v>3.8738104609027185E-2</v>
      </c>
      <c r="J131" s="124">
        <f t="shared" si="159"/>
        <v>4.1802875358378941E-2</v>
      </c>
      <c r="K131" s="124">
        <f t="shared" si="159"/>
        <v>4.0405933587142298E-2</v>
      </c>
      <c r="L131" s="124">
        <f t="shared" si="159"/>
        <v>4.2425075088786783E-2</v>
      </c>
      <c r="M131" s="124">
        <f t="shared" si="159"/>
        <v>4.085893801608631E-2</v>
      </c>
      <c r="N131" s="124">
        <f t="shared" si="159"/>
        <v>4.2531421275538377E-2</v>
      </c>
      <c r="O131" s="124">
        <f t="shared" si="159"/>
        <v>4.2247729176572435E-2</v>
      </c>
      <c r="P131" s="124">
        <f t="shared" si="159"/>
        <v>3.9700249065615777E-2</v>
      </c>
      <c r="Q131" s="124">
        <f t="shared" si="159"/>
        <v>3.9094656996432359E-2</v>
      </c>
      <c r="R131" s="124">
        <f t="shared" si="159"/>
        <v>3.7807459693455434E-2</v>
      </c>
      <c r="S131" s="124">
        <f t="shared" si="159"/>
        <v>3.8508940623398505E-2</v>
      </c>
      <c r="T131" s="124">
        <f t="shared" si="159"/>
        <v>3.8593515994537711E-2</v>
      </c>
      <c r="U131" s="124">
        <f t="shared" si="159"/>
        <v>3.685325160888251E-2</v>
      </c>
      <c r="V131" s="124">
        <f t="shared" si="159"/>
        <v>3.6836280985689772E-2</v>
      </c>
      <c r="W131" s="124">
        <f t="shared" si="159"/>
        <v>3.4550978711033992E-2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1.4012310561099417E-2</v>
      </c>
      <c r="C132" s="140">
        <f t="shared" ref="C132:W132" si="160">IF(C40=0,0,C40/C$34)</f>
        <v>1.3429269481175076E-2</v>
      </c>
      <c r="D132" s="140">
        <f t="shared" si="160"/>
        <v>1.3410713667163983E-2</v>
      </c>
      <c r="E132" s="140">
        <f t="shared" si="160"/>
        <v>1.2577915625918496E-2</v>
      </c>
      <c r="F132" s="140">
        <f t="shared" si="160"/>
        <v>1.2699022982634678E-2</v>
      </c>
      <c r="G132" s="140">
        <f t="shared" si="160"/>
        <v>1.1540700378493465E-2</v>
      </c>
      <c r="H132" s="140">
        <f t="shared" si="160"/>
        <v>1.112722988154796E-2</v>
      </c>
      <c r="I132" s="140">
        <f t="shared" si="160"/>
        <v>1.06620231561384E-2</v>
      </c>
      <c r="J132" s="140">
        <f t="shared" si="160"/>
        <v>1.2243497038134279E-2</v>
      </c>
      <c r="K132" s="140">
        <f t="shared" si="160"/>
        <v>1.2054064311076034E-2</v>
      </c>
      <c r="L132" s="140">
        <f t="shared" si="160"/>
        <v>1.2678725725043484E-2</v>
      </c>
      <c r="M132" s="140">
        <f t="shared" si="160"/>
        <v>1.1883132961227363E-2</v>
      </c>
      <c r="N132" s="140">
        <f t="shared" si="160"/>
        <v>1.2853404243305952E-2</v>
      </c>
      <c r="O132" s="140">
        <f t="shared" si="160"/>
        <v>1.2535242319382278E-2</v>
      </c>
      <c r="P132" s="140">
        <f t="shared" si="160"/>
        <v>1.1135789330578716E-2</v>
      </c>
      <c r="Q132" s="140">
        <f t="shared" si="160"/>
        <v>1.0498752761263407E-2</v>
      </c>
      <c r="R132" s="140">
        <f t="shared" si="160"/>
        <v>1.0457424859725162E-2</v>
      </c>
      <c r="S132" s="140">
        <f t="shared" si="160"/>
        <v>1.0123297344742949E-2</v>
      </c>
      <c r="T132" s="140">
        <f t="shared" si="160"/>
        <v>9.5576962541719813E-3</v>
      </c>
      <c r="U132" s="140">
        <f t="shared" si="160"/>
        <v>9.3726454607901688E-3</v>
      </c>
      <c r="V132" s="140">
        <f t="shared" si="160"/>
        <v>9.0865334317458985E-3</v>
      </c>
      <c r="W132" s="140">
        <f t="shared" si="160"/>
        <v>8.3919809880236666E-3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3.0602019927582557E-2</v>
      </c>
      <c r="C133" s="140">
        <f t="shared" ref="C133:W133" si="161">IF(C41=0,0,C41/C$34)</f>
        <v>2.7642048569506333E-2</v>
      </c>
      <c r="D133" s="140">
        <f t="shared" si="161"/>
        <v>2.6002862939531895E-2</v>
      </c>
      <c r="E133" s="140">
        <f t="shared" si="161"/>
        <v>2.3812612566851632E-2</v>
      </c>
      <c r="F133" s="140">
        <f t="shared" si="161"/>
        <v>2.9105680880508557E-2</v>
      </c>
      <c r="G133" s="140">
        <f t="shared" si="161"/>
        <v>2.9876397053680406E-2</v>
      </c>
      <c r="H133" s="140">
        <f t="shared" si="161"/>
        <v>2.9675185230548021E-2</v>
      </c>
      <c r="I133" s="140">
        <f t="shared" si="161"/>
        <v>2.6907237588324855E-2</v>
      </c>
      <c r="J133" s="140">
        <f t="shared" si="161"/>
        <v>2.8543208771698105E-2</v>
      </c>
      <c r="K133" s="140">
        <f t="shared" si="161"/>
        <v>2.7341211392534783E-2</v>
      </c>
      <c r="L133" s="140">
        <f t="shared" si="161"/>
        <v>2.866886994006082E-2</v>
      </c>
      <c r="M133" s="140">
        <f t="shared" si="161"/>
        <v>2.7849025927516282E-2</v>
      </c>
      <c r="N133" s="140">
        <f t="shared" si="161"/>
        <v>2.8622668485448054E-2</v>
      </c>
      <c r="O133" s="140">
        <f t="shared" si="161"/>
        <v>2.8722970746392767E-2</v>
      </c>
      <c r="P133" s="140">
        <f t="shared" si="161"/>
        <v>2.7411642145487407E-2</v>
      </c>
      <c r="Q133" s="140">
        <f t="shared" si="161"/>
        <v>2.7025045084982328E-2</v>
      </c>
      <c r="R133" s="140">
        <f t="shared" si="161"/>
        <v>2.5469802333302278E-2</v>
      </c>
      <c r="S133" s="140">
        <f t="shared" si="161"/>
        <v>2.6398576513711077E-2</v>
      </c>
      <c r="T133" s="140">
        <f t="shared" si="161"/>
        <v>2.7045095077474497E-2</v>
      </c>
      <c r="U133" s="140">
        <f t="shared" si="161"/>
        <v>2.5766411934081357E-2</v>
      </c>
      <c r="V133" s="140">
        <f t="shared" si="161"/>
        <v>2.5854513262074989E-2</v>
      </c>
      <c r="W133" s="140">
        <f t="shared" si="161"/>
        <v>2.4353154508483511E-2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1.8508977937993619E-5</v>
      </c>
      <c r="G134" s="140">
        <f t="shared" si="162"/>
        <v>1.0712007230741386E-4</v>
      </c>
      <c r="H134" s="140">
        <f t="shared" si="162"/>
        <v>1.0330807505159237E-3</v>
      </c>
      <c r="I134" s="140">
        <f t="shared" si="162"/>
        <v>1.1688438645639269E-3</v>
      </c>
      <c r="J134" s="140">
        <f t="shared" si="162"/>
        <v>1.0161695485465564E-3</v>
      </c>
      <c r="K134" s="140">
        <f t="shared" si="162"/>
        <v>1.0106578835314874E-3</v>
      </c>
      <c r="L134" s="140">
        <f t="shared" si="162"/>
        <v>1.0774794236824759E-3</v>
      </c>
      <c r="M134" s="140">
        <f t="shared" si="162"/>
        <v>1.1267791273426677E-3</v>
      </c>
      <c r="N134" s="140">
        <f t="shared" si="162"/>
        <v>1.0553485467843702E-3</v>
      </c>
      <c r="O134" s="140">
        <f t="shared" si="162"/>
        <v>9.8951611079739162E-4</v>
      </c>
      <c r="P134" s="140">
        <f t="shared" si="162"/>
        <v>1.1528175895496604E-3</v>
      </c>
      <c r="Q134" s="140">
        <f t="shared" si="162"/>
        <v>1.5708591501866337E-3</v>
      </c>
      <c r="R134" s="140">
        <f t="shared" si="162"/>
        <v>1.8802325004279908E-3</v>
      </c>
      <c r="S134" s="140">
        <f t="shared" si="162"/>
        <v>1.9870667649444758E-3</v>
      </c>
      <c r="T134" s="140">
        <f t="shared" si="162"/>
        <v>1.990724662891226E-3</v>
      </c>
      <c r="U134" s="140">
        <f t="shared" si="162"/>
        <v>1.7141942140109904E-3</v>
      </c>
      <c r="V134" s="140">
        <f t="shared" si="162"/>
        <v>1.8952342918688765E-3</v>
      </c>
      <c r="W134" s="140">
        <f t="shared" si="162"/>
        <v>1.8058432145268177E-3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5.8657211906411315E-2</v>
      </c>
      <c r="C135" s="124">
        <f t="shared" ref="C135:W135" si="163">IF(C43=0,0,C43/C$34)</f>
        <v>5.9008638934412237E-2</v>
      </c>
      <c r="D135" s="124">
        <f t="shared" si="163"/>
        <v>5.4742144387907372E-2</v>
      </c>
      <c r="E135" s="124">
        <f t="shared" si="163"/>
        <v>6.4527967931565983E-2</v>
      </c>
      <c r="F135" s="124">
        <f t="shared" si="163"/>
        <v>8.0552788504502731E-2</v>
      </c>
      <c r="G135" s="124">
        <f t="shared" si="163"/>
        <v>8.1320346723629658E-2</v>
      </c>
      <c r="H135" s="124">
        <f t="shared" si="163"/>
        <v>8.224188244225196E-2</v>
      </c>
      <c r="I135" s="124">
        <f t="shared" si="163"/>
        <v>8.6043644220948942E-2</v>
      </c>
      <c r="J135" s="124">
        <f t="shared" si="163"/>
        <v>8.9630207427610825E-2</v>
      </c>
      <c r="K135" s="124">
        <f t="shared" si="163"/>
        <v>8.2199088274614862E-2</v>
      </c>
      <c r="L135" s="124">
        <f t="shared" si="163"/>
        <v>8.1238966843763291E-2</v>
      </c>
      <c r="M135" s="124">
        <f t="shared" si="163"/>
        <v>8.2388310045309318E-2</v>
      </c>
      <c r="N135" s="124">
        <f t="shared" si="163"/>
        <v>7.4681108075003416E-2</v>
      </c>
      <c r="O135" s="124">
        <f t="shared" si="163"/>
        <v>7.1807630064423048E-2</v>
      </c>
      <c r="P135" s="124">
        <f t="shared" si="163"/>
        <v>7.2309347416763786E-2</v>
      </c>
      <c r="Q135" s="124">
        <f t="shared" si="163"/>
        <v>7.604639579645639E-2</v>
      </c>
      <c r="R135" s="124">
        <f t="shared" si="163"/>
        <v>7.7766148023552278E-2</v>
      </c>
      <c r="S135" s="124">
        <f t="shared" si="163"/>
        <v>8.587234152048101E-2</v>
      </c>
      <c r="T135" s="124">
        <f t="shared" si="163"/>
        <v>9.1666734662199725E-2</v>
      </c>
      <c r="U135" s="124">
        <f t="shared" si="163"/>
        <v>9.2986339475020052E-2</v>
      </c>
      <c r="V135" s="124">
        <f t="shared" si="163"/>
        <v>3.0688045570320163E-2</v>
      </c>
      <c r="W135" s="124">
        <f t="shared" si="163"/>
        <v>3.1358137190468607E-2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1.2016208118229474E-2</v>
      </c>
      <c r="C136" s="140">
        <f t="shared" ref="C136:W136" si="164">IF(C44=0,0,C44/C$34)</f>
        <v>1.468307094677441E-2</v>
      </c>
      <c r="D136" s="140">
        <f t="shared" si="164"/>
        <v>1.0203542650948803E-2</v>
      </c>
      <c r="E136" s="140">
        <f t="shared" si="164"/>
        <v>1.5108408526363953E-2</v>
      </c>
      <c r="F136" s="140">
        <f t="shared" si="164"/>
        <v>1.1055325687847822E-2</v>
      </c>
      <c r="G136" s="140">
        <f t="shared" si="164"/>
        <v>7.2240659967767436E-3</v>
      </c>
      <c r="H136" s="140">
        <f t="shared" si="164"/>
        <v>3.9282617944480401E-3</v>
      </c>
      <c r="I136" s="140">
        <f t="shared" si="164"/>
        <v>8.373886127236425E-3</v>
      </c>
      <c r="J136" s="140">
        <f t="shared" si="164"/>
        <v>1.0377192160041565E-2</v>
      </c>
      <c r="K136" s="140">
        <f t="shared" si="164"/>
        <v>7.1122247314951426E-3</v>
      </c>
      <c r="L136" s="140">
        <f t="shared" si="164"/>
        <v>7.1458869395613286E-3</v>
      </c>
      <c r="M136" s="140">
        <f t="shared" si="164"/>
        <v>1.0403262678652528E-2</v>
      </c>
      <c r="N136" s="140">
        <f t="shared" si="164"/>
        <v>5.1820415784577722E-3</v>
      </c>
      <c r="O136" s="140">
        <f t="shared" si="164"/>
        <v>4.6981588431219985E-3</v>
      </c>
      <c r="P136" s="140">
        <f t="shared" si="164"/>
        <v>4.4278829535744158E-3</v>
      </c>
      <c r="Q136" s="140">
        <f t="shared" si="164"/>
        <v>8.9598811136120809E-3</v>
      </c>
      <c r="R136" s="140">
        <f t="shared" si="164"/>
        <v>9.4662471854387881E-3</v>
      </c>
      <c r="S136" s="140">
        <f t="shared" si="164"/>
        <v>1.1340443757169583E-2</v>
      </c>
      <c r="T136" s="140">
        <f t="shared" si="164"/>
        <v>6.5556836590628456E-3</v>
      </c>
      <c r="U136" s="140">
        <f t="shared" si="164"/>
        <v>7.8302201985627519E-3</v>
      </c>
      <c r="V136" s="140">
        <f t="shared" si="164"/>
        <v>6.9097621998815244E-3</v>
      </c>
      <c r="W136" s="140">
        <f t="shared" si="164"/>
        <v>1.0004386964378596E-3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2.7461181481709007E-2</v>
      </c>
      <c r="C137" s="140">
        <f t="shared" ref="C137:W137" si="165">IF(C45=0,0,C45/C$34)</f>
        <v>2.6096402667219205E-2</v>
      </c>
      <c r="D137" s="140">
        <f t="shared" si="165"/>
        <v>2.6222028362066906E-2</v>
      </c>
      <c r="E137" s="140">
        <f t="shared" si="165"/>
        <v>3.0631702179826487E-2</v>
      </c>
      <c r="F137" s="140">
        <f t="shared" si="165"/>
        <v>4.3661660336550799E-2</v>
      </c>
      <c r="G137" s="140">
        <f t="shared" si="165"/>
        <v>4.7547039036113979E-2</v>
      </c>
      <c r="H137" s="140">
        <f t="shared" si="165"/>
        <v>4.9823686107522955E-2</v>
      </c>
      <c r="I137" s="140">
        <f t="shared" si="165"/>
        <v>4.9518044417286335E-2</v>
      </c>
      <c r="J137" s="140">
        <f t="shared" si="165"/>
        <v>4.9500276445355498E-2</v>
      </c>
      <c r="K137" s="140">
        <f t="shared" si="165"/>
        <v>4.5405178586684851E-2</v>
      </c>
      <c r="L137" s="140">
        <f t="shared" si="165"/>
        <v>4.4012700653695981E-2</v>
      </c>
      <c r="M137" s="140">
        <f t="shared" si="165"/>
        <v>4.2353881326633612E-2</v>
      </c>
      <c r="N137" s="140">
        <f t="shared" si="165"/>
        <v>4.0454464799499483E-2</v>
      </c>
      <c r="O137" s="140">
        <f t="shared" si="165"/>
        <v>3.8938284420727901E-2</v>
      </c>
      <c r="P137" s="140">
        <f t="shared" si="165"/>
        <v>3.9628015699479893E-2</v>
      </c>
      <c r="Q137" s="140">
        <f t="shared" si="165"/>
        <v>3.9580887079571039E-2</v>
      </c>
      <c r="R137" s="140">
        <f t="shared" si="165"/>
        <v>4.1397029255133388E-2</v>
      </c>
      <c r="S137" s="140">
        <f t="shared" si="165"/>
        <v>4.6007033180989601E-2</v>
      </c>
      <c r="T137" s="140">
        <f t="shared" si="165"/>
        <v>5.2617048312741249E-2</v>
      </c>
      <c r="U137" s="140">
        <f t="shared" si="165"/>
        <v>5.1767357223237186E-2</v>
      </c>
      <c r="V137" s="140">
        <f t="shared" si="165"/>
        <v>1.2807823491345082E-2</v>
      </c>
      <c r="W137" s="140">
        <f t="shared" si="165"/>
        <v>1.724325004080466E-2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1.9179822306472832E-2</v>
      </c>
      <c r="C138" s="140">
        <f t="shared" ref="C138:W138" si="166">IF(C46=0,0,C46/C$34)</f>
        <v>1.8229165320418621E-2</v>
      </c>
      <c r="D138" s="140">
        <f t="shared" si="166"/>
        <v>1.8316573374891662E-2</v>
      </c>
      <c r="E138" s="140">
        <f t="shared" si="166"/>
        <v>1.8787857225375539E-2</v>
      </c>
      <c r="F138" s="140">
        <f t="shared" si="166"/>
        <v>2.5835802480104111E-2</v>
      </c>
      <c r="G138" s="140">
        <f t="shared" si="166"/>
        <v>2.6549241690738922E-2</v>
      </c>
      <c r="H138" s="140">
        <f t="shared" si="166"/>
        <v>2.8489934540280964E-2</v>
      </c>
      <c r="I138" s="140">
        <f t="shared" si="166"/>
        <v>2.8151713676426177E-2</v>
      </c>
      <c r="J138" s="140">
        <f t="shared" si="166"/>
        <v>2.975273882221376E-2</v>
      </c>
      <c r="K138" s="140">
        <f t="shared" si="166"/>
        <v>2.9681684956434876E-2</v>
      </c>
      <c r="L138" s="140">
        <f t="shared" si="166"/>
        <v>3.0080379250505981E-2</v>
      </c>
      <c r="M138" s="140">
        <f t="shared" si="166"/>
        <v>2.963116604002318E-2</v>
      </c>
      <c r="N138" s="140">
        <f t="shared" si="166"/>
        <v>2.904460169704616E-2</v>
      </c>
      <c r="O138" s="140">
        <f t="shared" si="166"/>
        <v>2.8171186800573143E-2</v>
      </c>
      <c r="P138" s="140">
        <f t="shared" si="166"/>
        <v>2.8253448763709482E-2</v>
      </c>
      <c r="Q138" s="140">
        <f t="shared" si="166"/>
        <v>2.7505627603273256E-2</v>
      </c>
      <c r="R138" s="140">
        <f t="shared" si="166"/>
        <v>2.6902871582980107E-2</v>
      </c>
      <c r="S138" s="140">
        <f t="shared" si="166"/>
        <v>2.852486458232183E-2</v>
      </c>
      <c r="T138" s="140">
        <f t="shared" si="166"/>
        <v>3.2494002690395631E-2</v>
      </c>
      <c r="U138" s="140">
        <f t="shared" si="166"/>
        <v>3.3388762053220111E-2</v>
      </c>
      <c r="V138" s="140">
        <f t="shared" si="166"/>
        <v>1.0970459879093558E-2</v>
      </c>
      <c r="W138" s="140">
        <f t="shared" si="166"/>
        <v>1.3114448453226086E-2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0.91967628551156178</v>
      </c>
      <c r="C140" s="139">
        <f t="shared" ref="C140:W140" si="169">IF(C48=0,0,C48/C$47)</f>
        <v>0.9239848453622862</v>
      </c>
      <c r="D140" s="139">
        <f t="shared" si="169"/>
        <v>0.9386063601432485</v>
      </c>
      <c r="E140" s="139">
        <f t="shared" si="169"/>
        <v>0.95061279322349435</v>
      </c>
      <c r="F140" s="139">
        <f t="shared" si="169"/>
        <v>0.9454435925306397</v>
      </c>
      <c r="G140" s="139">
        <f t="shared" si="169"/>
        <v>0.95555349713427218</v>
      </c>
      <c r="H140" s="139">
        <f t="shared" si="169"/>
        <v>0.95810272684734044</v>
      </c>
      <c r="I140" s="139">
        <f t="shared" si="169"/>
        <v>0.96001538714302392</v>
      </c>
      <c r="J140" s="139">
        <f t="shared" si="169"/>
        <v>0.96358169375266933</v>
      </c>
      <c r="K140" s="139">
        <f t="shared" si="169"/>
        <v>0.96588712842787261</v>
      </c>
      <c r="L140" s="139">
        <f t="shared" si="169"/>
        <v>0.96702316464298577</v>
      </c>
      <c r="M140" s="139">
        <f t="shared" si="169"/>
        <v>0.96457603619076016</v>
      </c>
      <c r="N140" s="139">
        <f t="shared" si="169"/>
        <v>0.96626262230551052</v>
      </c>
      <c r="O140" s="139">
        <f t="shared" si="169"/>
        <v>0.96899092595313396</v>
      </c>
      <c r="P140" s="139">
        <f t="shared" si="169"/>
        <v>0.96822970803582631</v>
      </c>
      <c r="Q140" s="139">
        <f t="shared" si="169"/>
        <v>0.96966772250630284</v>
      </c>
      <c r="R140" s="139">
        <f t="shared" si="169"/>
        <v>0.96920145401199997</v>
      </c>
      <c r="S140" s="139">
        <f t="shared" si="169"/>
        <v>0.97053139913844599</v>
      </c>
      <c r="T140" s="139">
        <f t="shared" si="169"/>
        <v>0.9711314079948703</v>
      </c>
      <c r="U140" s="139">
        <f t="shared" si="169"/>
        <v>0.96742085166191571</v>
      </c>
      <c r="V140" s="139">
        <f t="shared" si="169"/>
        <v>0.96363784037145983</v>
      </c>
      <c r="W140" s="139">
        <f t="shared" si="169"/>
        <v>0.96813604450829405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0.15261472204450166</v>
      </c>
      <c r="C141" s="140">
        <f t="shared" ref="C141:W141" si="170">IF(C49=0,0,C49/C$47)</f>
        <v>0.15742780416523042</v>
      </c>
      <c r="D141" s="140">
        <f t="shared" si="170"/>
        <v>0.16303801171359136</v>
      </c>
      <c r="E141" s="140">
        <f t="shared" si="170"/>
        <v>0.15606601332689823</v>
      </c>
      <c r="F141" s="140">
        <f t="shared" si="170"/>
        <v>0.15987690476377547</v>
      </c>
      <c r="G141" s="140">
        <f t="shared" si="170"/>
        <v>0.16116319717652158</v>
      </c>
      <c r="H141" s="140">
        <f t="shared" si="170"/>
        <v>0.17093709232536064</v>
      </c>
      <c r="I141" s="140">
        <f t="shared" si="170"/>
        <v>0.18265910709361768</v>
      </c>
      <c r="J141" s="140">
        <f t="shared" si="170"/>
        <v>0.21968352689581921</v>
      </c>
      <c r="K141" s="140">
        <f t="shared" si="170"/>
        <v>0.24030729696690042</v>
      </c>
      <c r="L141" s="140">
        <f t="shared" si="170"/>
        <v>0.25932336089893626</v>
      </c>
      <c r="M141" s="140">
        <f t="shared" si="170"/>
        <v>0.26637301948678643</v>
      </c>
      <c r="N141" s="140">
        <f t="shared" si="170"/>
        <v>0.27858333644771288</v>
      </c>
      <c r="O141" s="140">
        <f t="shared" si="170"/>
        <v>0.30149834871878417</v>
      </c>
      <c r="P141" s="140">
        <f t="shared" si="170"/>
        <v>0.31839975384648489</v>
      </c>
      <c r="Q141" s="140">
        <f t="shared" si="170"/>
        <v>0.31880684280136806</v>
      </c>
      <c r="R141" s="140">
        <f t="shared" si="170"/>
        <v>0.26726394368520034</v>
      </c>
      <c r="S141" s="140">
        <f t="shared" si="170"/>
        <v>0.26134858194287208</v>
      </c>
      <c r="T141" s="140">
        <f t="shared" si="170"/>
        <v>0.26346232012122861</v>
      </c>
      <c r="U141" s="140">
        <f t="shared" si="170"/>
        <v>0.26286238283192942</v>
      </c>
      <c r="V141" s="140">
        <f t="shared" si="170"/>
        <v>0.26988426107139007</v>
      </c>
      <c r="W141" s="140">
        <f t="shared" si="170"/>
        <v>0.26179625604026657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0.76706156346706011</v>
      </c>
      <c r="C142" s="140">
        <f t="shared" ref="C142:W142" si="171">IF(C50=0,0,C50/C$47)</f>
        <v>0.76655704119705581</v>
      </c>
      <c r="D142" s="140">
        <f t="shared" si="171"/>
        <v>0.77556834842965716</v>
      </c>
      <c r="E142" s="140">
        <f t="shared" si="171"/>
        <v>0.79454677989659606</v>
      </c>
      <c r="F142" s="140">
        <f t="shared" si="171"/>
        <v>0.78556668776686422</v>
      </c>
      <c r="G142" s="140">
        <f t="shared" si="171"/>
        <v>0.79439029995775046</v>
      </c>
      <c r="H142" s="140">
        <f t="shared" si="171"/>
        <v>0.78716563452197974</v>
      </c>
      <c r="I142" s="140">
        <f t="shared" si="171"/>
        <v>0.77735628004940627</v>
      </c>
      <c r="J142" s="140">
        <f t="shared" si="171"/>
        <v>0.74389816685685006</v>
      </c>
      <c r="K142" s="140">
        <f t="shared" si="171"/>
        <v>0.72557983146097216</v>
      </c>
      <c r="L142" s="140">
        <f t="shared" si="171"/>
        <v>0.7076998037440495</v>
      </c>
      <c r="M142" s="140">
        <f t="shared" si="171"/>
        <v>0.69820301670397367</v>
      </c>
      <c r="N142" s="140">
        <f t="shared" si="171"/>
        <v>0.6876792858577977</v>
      </c>
      <c r="O142" s="140">
        <f t="shared" si="171"/>
        <v>0.66749257723434974</v>
      </c>
      <c r="P142" s="140">
        <f t="shared" si="171"/>
        <v>0.64982995418934142</v>
      </c>
      <c r="Q142" s="140">
        <f t="shared" si="171"/>
        <v>0.65086087970493467</v>
      </c>
      <c r="R142" s="140">
        <f t="shared" si="171"/>
        <v>0.70193751032679952</v>
      </c>
      <c r="S142" s="140">
        <f t="shared" si="171"/>
        <v>0.70918281719557386</v>
      </c>
      <c r="T142" s="140">
        <f t="shared" si="171"/>
        <v>0.70766908787364169</v>
      </c>
      <c r="U142" s="140">
        <f t="shared" si="171"/>
        <v>0.70455846882998618</v>
      </c>
      <c r="V142" s="140">
        <f t="shared" si="171"/>
        <v>0.69375357930006964</v>
      </c>
      <c r="W142" s="140">
        <f t="shared" si="171"/>
        <v>0.70633978846802747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6.2980170599264071E-2</v>
      </c>
      <c r="C143" s="124">
        <f t="shared" ref="C143:W143" si="172">IF(C51=0,0,C51/C$47)</f>
        <v>5.7173795392439886E-2</v>
      </c>
      <c r="D143" s="124">
        <f t="shared" si="172"/>
        <v>4.6427257122324518E-2</v>
      </c>
      <c r="E143" s="124">
        <f t="shared" si="172"/>
        <v>3.7749157063596231E-2</v>
      </c>
      <c r="F143" s="124">
        <f t="shared" si="172"/>
        <v>4.3211915133040547E-2</v>
      </c>
      <c r="G143" s="124">
        <f t="shared" si="172"/>
        <v>3.4817526425605295E-2</v>
      </c>
      <c r="H143" s="124">
        <f t="shared" si="172"/>
        <v>3.2801834968487528E-2</v>
      </c>
      <c r="I143" s="124">
        <f t="shared" si="172"/>
        <v>3.2265436989582057E-2</v>
      </c>
      <c r="J143" s="124">
        <f t="shared" si="172"/>
        <v>2.8982213321170569E-2</v>
      </c>
      <c r="K143" s="124">
        <f t="shared" si="172"/>
        <v>2.5862221784016742E-2</v>
      </c>
      <c r="L143" s="124">
        <f t="shared" si="172"/>
        <v>2.5221859851670577E-2</v>
      </c>
      <c r="M143" s="124">
        <f t="shared" si="172"/>
        <v>2.6086822770506092E-2</v>
      </c>
      <c r="N143" s="124">
        <f t="shared" si="172"/>
        <v>2.3888336617802333E-2</v>
      </c>
      <c r="O143" s="124">
        <f t="shared" si="172"/>
        <v>2.3252961388876572E-2</v>
      </c>
      <c r="P143" s="124">
        <f t="shared" si="172"/>
        <v>2.4459610353586153E-2</v>
      </c>
      <c r="Q143" s="124">
        <f t="shared" si="172"/>
        <v>2.3131305542756473E-2</v>
      </c>
      <c r="R143" s="124">
        <f t="shared" si="172"/>
        <v>2.257113519303959E-2</v>
      </c>
      <c r="S143" s="124">
        <f t="shared" si="172"/>
        <v>2.1057391358073045E-2</v>
      </c>
      <c r="T143" s="124">
        <f t="shared" si="172"/>
        <v>2.0550147610804231E-2</v>
      </c>
      <c r="U143" s="124">
        <f t="shared" si="172"/>
        <v>2.0782757225375151E-2</v>
      </c>
      <c r="V143" s="124">
        <f t="shared" si="172"/>
        <v>2.2617803698847277E-2</v>
      </c>
      <c r="W143" s="124">
        <f t="shared" si="172"/>
        <v>2.2537298487897522E-2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1.2575443213441862E-2</v>
      </c>
      <c r="C144" s="124">
        <f t="shared" ref="C144:W144" si="173">IF(C52=0,0,C52/C$47)</f>
        <v>1.1695453640197986E-2</v>
      </c>
      <c r="D144" s="124">
        <f t="shared" si="173"/>
        <v>1.1747313249582943E-2</v>
      </c>
      <c r="E144" s="124">
        <f t="shared" si="173"/>
        <v>8.9464021721342019E-3</v>
      </c>
      <c r="F144" s="124">
        <f t="shared" si="173"/>
        <v>7.7551471896180604E-3</v>
      </c>
      <c r="G144" s="124">
        <f t="shared" si="173"/>
        <v>7.0892208303392551E-3</v>
      </c>
      <c r="H144" s="124">
        <f t="shared" si="173"/>
        <v>6.2320135105416157E-3</v>
      </c>
      <c r="I144" s="124">
        <f t="shared" si="173"/>
        <v>5.4822989017865318E-3</v>
      </c>
      <c r="J144" s="124">
        <f t="shared" si="173"/>
        <v>5.6332496547031588E-3</v>
      </c>
      <c r="K144" s="124">
        <f t="shared" si="173"/>
        <v>5.8268022876602566E-3</v>
      </c>
      <c r="L144" s="124">
        <f t="shared" si="173"/>
        <v>5.783932231634095E-3</v>
      </c>
      <c r="M144" s="124">
        <f t="shared" si="173"/>
        <v>7.8533980923197969E-3</v>
      </c>
      <c r="N144" s="124">
        <f t="shared" si="173"/>
        <v>7.3068956112579929E-3</v>
      </c>
      <c r="O144" s="124">
        <f t="shared" si="173"/>
        <v>6.6992496328237283E-3</v>
      </c>
      <c r="P144" s="124">
        <f t="shared" si="173"/>
        <v>5.8144418934418336E-3</v>
      </c>
      <c r="Q144" s="124">
        <f t="shared" si="173"/>
        <v>5.8300262515573083E-3</v>
      </c>
      <c r="R144" s="124">
        <f t="shared" si="173"/>
        <v>6.4400923593677965E-3</v>
      </c>
      <c r="S144" s="124">
        <f t="shared" si="173"/>
        <v>6.6952983298204311E-3</v>
      </c>
      <c r="T144" s="124">
        <f t="shared" si="173"/>
        <v>7.0314541990757068E-3</v>
      </c>
      <c r="U144" s="124">
        <f t="shared" si="173"/>
        <v>9.6594879693503201E-3</v>
      </c>
      <c r="V144" s="124">
        <f t="shared" si="173"/>
        <v>1.1936115214922494E-2</v>
      </c>
      <c r="W144" s="124">
        <f t="shared" si="173"/>
        <v>7.6005556368769437E-3</v>
      </c>
      <c r="DA144" s="176"/>
    </row>
    <row r="145" spans="1:105" ht="11.45" customHeight="1" x14ac:dyDescent="0.25">
      <c r="A145" s="128" t="s">
        <v>27</v>
      </c>
      <c r="B145" s="140">
        <f t="shared" si="167"/>
        <v>7.1319664746431039E-4</v>
      </c>
      <c r="C145" s="140">
        <f t="shared" ref="C145:W145" si="174">IF(C53=0,0,C53/C$47)</f>
        <v>6.5525469942732386E-4</v>
      </c>
      <c r="D145" s="140">
        <f t="shared" si="174"/>
        <v>6.7126660511036612E-4</v>
      </c>
      <c r="E145" s="140">
        <f t="shared" si="174"/>
        <v>4.3407304148159771E-4</v>
      </c>
      <c r="F145" s="140">
        <f t="shared" si="174"/>
        <v>1.201501428306859E-4</v>
      </c>
      <c r="G145" s="140">
        <f t="shared" si="174"/>
        <v>1.645402737731338E-4</v>
      </c>
      <c r="H145" s="140">
        <f t="shared" si="174"/>
        <v>1.6908317557629281E-4</v>
      </c>
      <c r="I145" s="140">
        <f t="shared" si="174"/>
        <v>5.3875660147350245E-4</v>
      </c>
      <c r="J145" s="140">
        <f t="shared" si="174"/>
        <v>6.44198167138043E-4</v>
      </c>
      <c r="K145" s="140">
        <f t="shared" si="174"/>
        <v>4.4161751233266392E-4</v>
      </c>
      <c r="L145" s="140">
        <f t="shared" si="174"/>
        <v>4.1828285093960683E-4</v>
      </c>
      <c r="M145" s="140">
        <f t="shared" si="174"/>
        <v>8.4166591442063677E-4</v>
      </c>
      <c r="N145" s="140">
        <f t="shared" si="174"/>
        <v>4.3397692566084895E-4</v>
      </c>
      <c r="O145" s="140">
        <f t="shared" si="174"/>
        <v>3.5897681070052592E-4</v>
      </c>
      <c r="P145" s="140">
        <f t="shared" si="174"/>
        <v>1.4979848571358126E-4</v>
      </c>
      <c r="Q145" s="140">
        <f t="shared" si="174"/>
        <v>2.6828184875030885E-4</v>
      </c>
      <c r="R145" s="140">
        <f t="shared" si="174"/>
        <v>2.3921044654698841E-4</v>
      </c>
      <c r="S145" s="140">
        <f t="shared" si="174"/>
        <v>4.5048377831576742E-4</v>
      </c>
      <c r="T145" s="140">
        <f t="shared" si="174"/>
        <v>1.51999109697821E-3</v>
      </c>
      <c r="U145" s="140">
        <f t="shared" si="174"/>
        <v>4.2826196450958844E-3</v>
      </c>
      <c r="V145" s="140">
        <f t="shared" si="174"/>
        <v>5.5271704977076482E-3</v>
      </c>
      <c r="W145" s="140">
        <f t="shared" si="174"/>
        <v>7.218410388627846E-4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2.6810602627967083E-3</v>
      </c>
      <c r="C146" s="140">
        <f t="shared" ref="C146:W146" si="175">IF(C54=0,0,C54/C$47)</f>
        <v>2.3902597747691304E-3</v>
      </c>
      <c r="D146" s="140">
        <f t="shared" si="175"/>
        <v>2.5517478909129815E-3</v>
      </c>
      <c r="E146" s="140">
        <f t="shared" si="175"/>
        <v>1.5945592976966939E-3</v>
      </c>
      <c r="F146" s="140">
        <f t="shared" si="175"/>
        <v>1.9369965065040215E-3</v>
      </c>
      <c r="G146" s="140">
        <f t="shared" si="175"/>
        <v>1.7252971872782979E-3</v>
      </c>
      <c r="H146" s="140">
        <f t="shared" si="175"/>
        <v>1.805025601136976E-3</v>
      </c>
      <c r="I146" s="140">
        <f t="shared" si="175"/>
        <v>1.647062042160981E-3</v>
      </c>
      <c r="J146" s="140">
        <f t="shared" si="175"/>
        <v>1.3064711634270169E-3</v>
      </c>
      <c r="K146" s="140">
        <f t="shared" si="175"/>
        <v>1.2409524185388742E-3</v>
      </c>
      <c r="L146" s="140">
        <f t="shared" si="175"/>
        <v>1.4461305461491193E-3</v>
      </c>
      <c r="M146" s="140">
        <f t="shared" si="175"/>
        <v>1.1849609607993141E-3</v>
      </c>
      <c r="N146" s="140">
        <f t="shared" si="175"/>
        <v>9.8347074322811812E-4</v>
      </c>
      <c r="O146" s="140">
        <f t="shared" si="175"/>
        <v>1.0354058640658877E-3</v>
      </c>
      <c r="P146" s="140">
        <f t="shared" si="175"/>
        <v>1.075206625682853E-3</v>
      </c>
      <c r="Q146" s="140">
        <f t="shared" si="175"/>
        <v>1.0221415242710186E-3</v>
      </c>
      <c r="R146" s="140">
        <f t="shared" si="175"/>
        <v>1.0927334870854874E-3</v>
      </c>
      <c r="S146" s="140">
        <f t="shared" si="175"/>
        <v>1.4014907270348083E-3</v>
      </c>
      <c r="T146" s="140">
        <f t="shared" si="175"/>
        <v>1.7261482566841449E-3</v>
      </c>
      <c r="U146" s="140">
        <f t="shared" si="175"/>
        <v>1.4414178194284936E-3</v>
      </c>
      <c r="V146" s="140">
        <f t="shared" si="175"/>
        <v>1.2077567791677791E-3</v>
      </c>
      <c r="W146" s="140">
        <f t="shared" si="175"/>
        <v>1.9016338795018264E-3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9.1811863031808424E-3</v>
      </c>
      <c r="C147" s="140">
        <f t="shared" ref="C147:W147" si="176">IF(C55=0,0,C55/C$47)</f>
        <v>8.6499391660015326E-3</v>
      </c>
      <c r="D147" s="140">
        <f t="shared" si="176"/>
        <v>8.5242987535595945E-3</v>
      </c>
      <c r="E147" s="140">
        <f t="shared" si="176"/>
        <v>6.9177698329559115E-3</v>
      </c>
      <c r="F147" s="140">
        <f t="shared" si="176"/>
        <v>5.6980005402833536E-3</v>
      </c>
      <c r="G147" s="140">
        <f t="shared" si="176"/>
        <v>5.1993833692878235E-3</v>
      </c>
      <c r="H147" s="140">
        <f t="shared" si="176"/>
        <v>4.2579047338283469E-3</v>
      </c>
      <c r="I147" s="140">
        <f t="shared" si="176"/>
        <v>3.296480258152048E-3</v>
      </c>
      <c r="J147" s="140">
        <f t="shared" si="176"/>
        <v>3.6825803241380991E-3</v>
      </c>
      <c r="K147" s="140">
        <f t="shared" si="176"/>
        <v>4.1442323567887187E-3</v>
      </c>
      <c r="L147" s="140">
        <f t="shared" si="176"/>
        <v>3.9195188345453689E-3</v>
      </c>
      <c r="M147" s="140">
        <f t="shared" si="176"/>
        <v>5.8267712170998456E-3</v>
      </c>
      <c r="N147" s="140">
        <f t="shared" si="176"/>
        <v>5.8894479423690256E-3</v>
      </c>
      <c r="O147" s="140">
        <f t="shared" si="176"/>
        <v>5.3048669580573141E-3</v>
      </c>
      <c r="P147" s="140">
        <f t="shared" si="176"/>
        <v>4.5894367820453995E-3</v>
      </c>
      <c r="Q147" s="140">
        <f t="shared" si="176"/>
        <v>4.5396028785359803E-3</v>
      </c>
      <c r="R147" s="140">
        <f t="shared" si="176"/>
        <v>5.108148425735321E-3</v>
      </c>
      <c r="S147" s="140">
        <f t="shared" si="176"/>
        <v>4.8433238244698562E-3</v>
      </c>
      <c r="T147" s="140">
        <f t="shared" si="176"/>
        <v>3.7853148454133514E-3</v>
      </c>
      <c r="U147" s="140">
        <f t="shared" si="176"/>
        <v>3.9354505048259424E-3</v>
      </c>
      <c r="V147" s="140">
        <f t="shared" si="176"/>
        <v>5.2011879380470657E-3</v>
      </c>
      <c r="W147" s="140">
        <f t="shared" si="176"/>
        <v>4.9770807185123321E-3</v>
      </c>
      <c r="DA147" s="175"/>
    </row>
    <row r="148" spans="1:105" ht="11.45" customHeight="1" x14ac:dyDescent="0.25">
      <c r="A148" s="109" t="s">
        <v>142</v>
      </c>
      <c r="B148" s="124">
        <f t="shared" si="167"/>
        <v>4.7681006757323017E-3</v>
      </c>
      <c r="C148" s="124">
        <f t="shared" ref="C148:W148" si="177">IF(C56=0,0,C56/C$47)</f>
        <v>7.1459056050758472E-3</v>
      </c>
      <c r="D148" s="124">
        <f t="shared" si="177"/>
        <v>3.2190694848440982E-3</v>
      </c>
      <c r="E148" s="124">
        <f t="shared" si="177"/>
        <v>2.6916475407751821E-3</v>
      </c>
      <c r="F148" s="124">
        <f t="shared" si="177"/>
        <v>3.5893451467017617E-3</v>
      </c>
      <c r="G148" s="124">
        <f t="shared" si="177"/>
        <v>2.5397556097832836E-3</v>
      </c>
      <c r="H148" s="124">
        <f t="shared" si="177"/>
        <v>2.8634246736303492E-3</v>
      </c>
      <c r="I148" s="124">
        <f t="shared" si="177"/>
        <v>2.2368769656075631E-3</v>
      </c>
      <c r="J148" s="124">
        <f t="shared" si="177"/>
        <v>1.8028432714569985E-3</v>
      </c>
      <c r="K148" s="124">
        <f t="shared" si="177"/>
        <v>2.4238475004503858E-3</v>
      </c>
      <c r="L148" s="124">
        <f t="shared" si="177"/>
        <v>1.9710432737095689E-3</v>
      </c>
      <c r="M148" s="124">
        <f t="shared" si="177"/>
        <v>1.4837429464140196E-3</v>
      </c>
      <c r="N148" s="124">
        <f t="shared" si="177"/>
        <v>2.5421454654291314E-3</v>
      </c>
      <c r="O148" s="124">
        <f t="shared" si="177"/>
        <v>1.0568630251657943E-3</v>
      </c>
      <c r="P148" s="124">
        <f t="shared" si="177"/>
        <v>1.4962397171457275E-3</v>
      </c>
      <c r="Q148" s="124">
        <f t="shared" si="177"/>
        <v>1.3709456993835586E-3</v>
      </c>
      <c r="R148" s="124">
        <f t="shared" si="177"/>
        <v>1.7873184355926078E-3</v>
      </c>
      <c r="S148" s="124">
        <f t="shared" si="177"/>
        <v>1.7159111736606012E-3</v>
      </c>
      <c r="T148" s="124">
        <f t="shared" si="177"/>
        <v>1.2869901952498272E-3</v>
      </c>
      <c r="U148" s="124">
        <f t="shared" si="177"/>
        <v>2.1369031433586786E-3</v>
      </c>
      <c r="V148" s="124">
        <f t="shared" si="177"/>
        <v>1.8082407147702402E-3</v>
      </c>
      <c r="W148" s="124">
        <f t="shared" si="177"/>
        <v>1.726101366931518E-3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4.7681006757323017E-3</v>
      </c>
      <c r="C150" s="127">
        <f t="shared" ref="C150:W150" si="179">IF(C58=0,0,C58/C$47)</f>
        <v>7.1459056050758472E-3</v>
      </c>
      <c r="D150" s="127">
        <f t="shared" si="179"/>
        <v>3.2190694848440982E-3</v>
      </c>
      <c r="E150" s="127">
        <f t="shared" si="179"/>
        <v>2.6916475407751821E-3</v>
      </c>
      <c r="F150" s="127">
        <f t="shared" si="179"/>
        <v>3.5893451467017617E-3</v>
      </c>
      <c r="G150" s="127">
        <f t="shared" si="179"/>
        <v>2.5397556097832836E-3</v>
      </c>
      <c r="H150" s="127">
        <f t="shared" si="179"/>
        <v>2.8634246736303492E-3</v>
      </c>
      <c r="I150" s="127">
        <f t="shared" si="179"/>
        <v>2.2368769656075631E-3</v>
      </c>
      <c r="J150" s="127">
        <f t="shared" si="179"/>
        <v>1.8028432714569985E-3</v>
      </c>
      <c r="K150" s="127">
        <f t="shared" si="179"/>
        <v>2.4238475004503858E-3</v>
      </c>
      <c r="L150" s="127">
        <f t="shared" si="179"/>
        <v>1.9710432737095689E-3</v>
      </c>
      <c r="M150" s="127">
        <f t="shared" si="179"/>
        <v>1.4837429464140196E-3</v>
      </c>
      <c r="N150" s="127">
        <f t="shared" si="179"/>
        <v>2.5421454654291314E-3</v>
      </c>
      <c r="O150" s="127">
        <f t="shared" si="179"/>
        <v>1.0568630251657943E-3</v>
      </c>
      <c r="P150" s="127">
        <f t="shared" si="179"/>
        <v>1.4962397171457275E-3</v>
      </c>
      <c r="Q150" s="127">
        <f t="shared" si="179"/>
        <v>1.3709456993835586E-3</v>
      </c>
      <c r="R150" s="127">
        <f t="shared" si="179"/>
        <v>1.7873184355926078E-3</v>
      </c>
      <c r="S150" s="127">
        <f t="shared" si="179"/>
        <v>1.7159111736606012E-3</v>
      </c>
      <c r="T150" s="127">
        <f t="shared" si="179"/>
        <v>1.2869901952498272E-3</v>
      </c>
      <c r="U150" s="127">
        <f t="shared" si="179"/>
        <v>2.1369031433586786E-3</v>
      </c>
      <c r="V150" s="127">
        <f t="shared" si="179"/>
        <v>1.8082407147702402E-3</v>
      </c>
      <c r="W150" s="127">
        <f t="shared" si="179"/>
        <v>1.726101366931518E-3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0</v>
      </c>
      <c r="J151" s="31">
        <f t="shared" si="180"/>
        <v>0</v>
      </c>
      <c r="K151" s="31">
        <f t="shared" si="180"/>
        <v>0</v>
      </c>
      <c r="L151" s="31">
        <f t="shared" si="180"/>
        <v>0</v>
      </c>
      <c r="M151" s="31">
        <f t="shared" si="180"/>
        <v>0</v>
      </c>
      <c r="N151" s="31">
        <f t="shared" si="180"/>
        <v>0</v>
      </c>
      <c r="O151" s="31">
        <f t="shared" si="180"/>
        <v>0</v>
      </c>
      <c r="P151" s="31">
        <f t="shared" si="180"/>
        <v>0</v>
      </c>
      <c r="Q151" s="31">
        <f t="shared" si="180"/>
        <v>0</v>
      </c>
      <c r="R151" s="31">
        <f t="shared" si="180"/>
        <v>0</v>
      </c>
      <c r="S151" s="31">
        <f t="shared" si="180"/>
        <v>0</v>
      </c>
      <c r="T151" s="31">
        <f t="shared" si="180"/>
        <v>0</v>
      </c>
      <c r="U151" s="31">
        <f t="shared" si="180"/>
        <v>0</v>
      </c>
      <c r="V151" s="31">
        <f t="shared" si="180"/>
        <v>0</v>
      </c>
      <c r="W151" s="31">
        <f t="shared" si="180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</v>
      </c>
      <c r="J152" s="140">
        <f t="shared" si="181"/>
        <v>0</v>
      </c>
      <c r="K152" s="140">
        <f t="shared" si="181"/>
        <v>0</v>
      </c>
      <c r="L152" s="140">
        <f t="shared" si="181"/>
        <v>0</v>
      </c>
      <c r="M152" s="140">
        <f t="shared" si="181"/>
        <v>0</v>
      </c>
      <c r="N152" s="140">
        <f t="shared" si="181"/>
        <v>0</v>
      </c>
      <c r="O152" s="140">
        <f t="shared" si="181"/>
        <v>0</v>
      </c>
      <c r="P152" s="140">
        <f t="shared" si="181"/>
        <v>0</v>
      </c>
      <c r="Q152" s="140">
        <f t="shared" si="181"/>
        <v>0</v>
      </c>
      <c r="R152" s="140">
        <f t="shared" si="181"/>
        <v>0</v>
      </c>
      <c r="S152" s="140">
        <f t="shared" si="181"/>
        <v>0</v>
      </c>
      <c r="T152" s="140">
        <f t="shared" si="181"/>
        <v>0</v>
      </c>
      <c r="U152" s="140">
        <f t="shared" si="181"/>
        <v>0</v>
      </c>
      <c r="V152" s="140">
        <f t="shared" si="181"/>
        <v>0</v>
      </c>
      <c r="W152" s="140">
        <f t="shared" si="181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</v>
      </c>
      <c r="J153" s="127">
        <f t="shared" si="182"/>
        <v>0</v>
      </c>
      <c r="K153" s="127">
        <f t="shared" si="182"/>
        <v>0</v>
      </c>
      <c r="L153" s="127">
        <f t="shared" si="182"/>
        <v>0</v>
      </c>
      <c r="M153" s="127">
        <f t="shared" si="182"/>
        <v>0</v>
      </c>
      <c r="N153" s="127">
        <f t="shared" si="182"/>
        <v>0</v>
      </c>
      <c r="O153" s="127">
        <f t="shared" si="182"/>
        <v>0</v>
      </c>
      <c r="P153" s="127">
        <f t="shared" si="182"/>
        <v>0</v>
      </c>
      <c r="Q153" s="127">
        <f t="shared" si="182"/>
        <v>0</v>
      </c>
      <c r="R153" s="127">
        <f t="shared" si="182"/>
        <v>0</v>
      </c>
      <c r="S153" s="127">
        <f t="shared" si="182"/>
        <v>0</v>
      </c>
      <c r="T153" s="127">
        <f t="shared" si="182"/>
        <v>0</v>
      </c>
      <c r="U153" s="127">
        <f t="shared" si="182"/>
        <v>0</v>
      </c>
      <c r="V153" s="127">
        <f t="shared" si="182"/>
        <v>0</v>
      </c>
      <c r="W153" s="127">
        <f t="shared" si="182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0.9121504928532449</v>
      </c>
      <c r="C157" s="139">
        <f t="shared" ref="C157:W157" si="185">IF(C65=0,0,C65/C$64)</f>
        <v>0.91472243339435766</v>
      </c>
      <c r="D157" s="139">
        <f t="shared" si="185"/>
        <v>0.9202644490516948</v>
      </c>
      <c r="E157" s="139">
        <f t="shared" si="185"/>
        <v>0.91250950699546463</v>
      </c>
      <c r="F157" s="139">
        <f t="shared" si="185"/>
        <v>0.89639289665699828</v>
      </c>
      <c r="G157" s="139">
        <f t="shared" si="185"/>
        <v>0.89616523645370327</v>
      </c>
      <c r="H157" s="139">
        <f t="shared" si="185"/>
        <v>0.89464627819028542</v>
      </c>
      <c r="I157" s="139">
        <f t="shared" si="185"/>
        <v>0.89194063401683565</v>
      </c>
      <c r="J157" s="139">
        <f t="shared" si="185"/>
        <v>0.88507426348590723</v>
      </c>
      <c r="K157" s="139">
        <f t="shared" si="185"/>
        <v>0.89355428543527515</v>
      </c>
      <c r="L157" s="139">
        <f t="shared" si="185"/>
        <v>0.89299468254360004</v>
      </c>
      <c r="M157" s="139">
        <f t="shared" si="185"/>
        <v>0.89131894923565846</v>
      </c>
      <c r="N157" s="139">
        <f t="shared" si="185"/>
        <v>0.89923058657784594</v>
      </c>
      <c r="O157" s="139">
        <f t="shared" si="185"/>
        <v>0.90294231104210587</v>
      </c>
      <c r="P157" s="139">
        <f t="shared" si="185"/>
        <v>0.90321973826574986</v>
      </c>
      <c r="Q157" s="139">
        <f t="shared" si="185"/>
        <v>0.90044911131554395</v>
      </c>
      <c r="R157" s="139">
        <f t="shared" si="185"/>
        <v>0.9013690877127486</v>
      </c>
      <c r="S157" s="139">
        <f t="shared" si="185"/>
        <v>0.89198757169960341</v>
      </c>
      <c r="T157" s="139">
        <f t="shared" si="185"/>
        <v>0.88600059210514015</v>
      </c>
      <c r="U157" s="139">
        <f t="shared" si="185"/>
        <v>0.8851539251976176</v>
      </c>
      <c r="V157" s="139">
        <f t="shared" si="185"/>
        <v>0.95195439988090602</v>
      </c>
      <c r="W157" s="139">
        <f t="shared" si="185"/>
        <v>0.9531309226102862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1.7174322565430708E-2</v>
      </c>
      <c r="C158" s="140">
        <f t="shared" ref="C158:W158" si="186">IF(C66=0,0,C66/C$64)</f>
        <v>1.5366862261092636E-2</v>
      </c>
      <c r="D158" s="140">
        <f t="shared" si="186"/>
        <v>1.4699254704026509E-2</v>
      </c>
      <c r="E158" s="140">
        <f t="shared" si="186"/>
        <v>1.3105808933115776E-2</v>
      </c>
      <c r="F158" s="140">
        <f t="shared" si="186"/>
        <v>1.2562529568975541E-2</v>
      </c>
      <c r="G158" s="140">
        <f t="shared" si="186"/>
        <v>1.2533396182995092E-2</v>
      </c>
      <c r="H158" s="140">
        <f t="shared" si="186"/>
        <v>1.2650900113150088E-2</v>
      </c>
      <c r="I158" s="140">
        <f t="shared" si="186"/>
        <v>1.2496089523577742E-2</v>
      </c>
      <c r="J158" s="140">
        <f t="shared" si="186"/>
        <v>1.2649507474277564E-2</v>
      </c>
      <c r="K158" s="140">
        <f t="shared" si="186"/>
        <v>1.2640445422987003E-2</v>
      </c>
      <c r="L158" s="140">
        <f t="shared" si="186"/>
        <v>1.3806083899524186E-2</v>
      </c>
      <c r="M158" s="140">
        <f t="shared" si="186"/>
        <v>1.3914824254021503E-2</v>
      </c>
      <c r="N158" s="140">
        <f t="shared" si="186"/>
        <v>1.4450739855199096E-2</v>
      </c>
      <c r="O158" s="140">
        <f t="shared" si="186"/>
        <v>1.4335913087509389E-2</v>
      </c>
      <c r="P158" s="140">
        <f t="shared" si="186"/>
        <v>1.4057425187428935E-2</v>
      </c>
      <c r="Q158" s="140">
        <f t="shared" si="186"/>
        <v>1.4152088435854946E-2</v>
      </c>
      <c r="R158" s="140">
        <f t="shared" si="186"/>
        <v>1.3790513197334367E-2</v>
      </c>
      <c r="S158" s="140">
        <f t="shared" si="186"/>
        <v>1.2465542431887381E-2</v>
      </c>
      <c r="T158" s="140">
        <f t="shared" si="186"/>
        <v>1.1524882618453455E-2</v>
      </c>
      <c r="U158" s="140">
        <f t="shared" si="186"/>
        <v>1.1819689586516583E-2</v>
      </c>
      <c r="V158" s="140">
        <f t="shared" si="186"/>
        <v>1.2155908592912787E-2</v>
      </c>
      <c r="W158" s="140">
        <f t="shared" si="186"/>
        <v>1.1159547218414261E-2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0.77489749362330074</v>
      </c>
      <c r="C159" s="140">
        <f t="shared" ref="C159:W159" si="187">IF(C67=0,0,C67/C$64)</f>
        <v>0.77321362732670462</v>
      </c>
      <c r="D159" s="140">
        <f t="shared" si="187"/>
        <v>0.78937674185432871</v>
      </c>
      <c r="E159" s="140">
        <f t="shared" si="187"/>
        <v>0.80373599178708455</v>
      </c>
      <c r="F159" s="140">
        <f t="shared" si="187"/>
        <v>0.79831068743717881</v>
      </c>
      <c r="G159" s="140">
        <f t="shared" si="187"/>
        <v>0.80139340136790671</v>
      </c>
      <c r="H159" s="140">
        <f t="shared" si="187"/>
        <v>0.79797982062775308</v>
      </c>
      <c r="I159" s="140">
        <f t="shared" si="187"/>
        <v>0.79891241793591128</v>
      </c>
      <c r="J159" s="140">
        <f t="shared" si="187"/>
        <v>0.79232022606835795</v>
      </c>
      <c r="K159" s="140">
        <f t="shared" si="187"/>
        <v>0.80090489369818818</v>
      </c>
      <c r="L159" s="140">
        <f t="shared" si="187"/>
        <v>0.79017124275366279</v>
      </c>
      <c r="M159" s="140">
        <f t="shared" si="187"/>
        <v>0.79423481660261841</v>
      </c>
      <c r="N159" s="140">
        <f t="shared" si="187"/>
        <v>0.801927395600874</v>
      </c>
      <c r="O159" s="140">
        <f t="shared" si="187"/>
        <v>0.80154906903817669</v>
      </c>
      <c r="P159" s="140">
        <f t="shared" si="187"/>
        <v>0.79468305683135099</v>
      </c>
      <c r="Q159" s="140">
        <f t="shared" si="187"/>
        <v>0.79574792492166435</v>
      </c>
      <c r="R159" s="140">
        <f t="shared" si="187"/>
        <v>0.79629515230145331</v>
      </c>
      <c r="S159" s="140">
        <f t="shared" si="187"/>
        <v>0.78634902662517925</v>
      </c>
      <c r="T159" s="140">
        <f t="shared" si="187"/>
        <v>0.7837698440439238</v>
      </c>
      <c r="U159" s="140">
        <f t="shared" si="187"/>
        <v>0.78432894097426142</v>
      </c>
      <c r="V159" s="140">
        <f t="shared" si="187"/>
        <v>0.86428444032852791</v>
      </c>
      <c r="W159" s="140">
        <f t="shared" si="187"/>
        <v>0.87312169732830325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0.12007867666451354</v>
      </c>
      <c r="C160" s="140">
        <f t="shared" ref="C160:W160" si="188">IF(C68=0,0,C68/C$64)</f>
        <v>0.12614194380656038</v>
      </c>
      <c r="D160" s="140">
        <f t="shared" si="188"/>
        <v>0.1161884524933396</v>
      </c>
      <c r="E160" s="140">
        <f t="shared" si="188"/>
        <v>9.5667706275264303E-2</v>
      </c>
      <c r="F160" s="140">
        <f t="shared" si="188"/>
        <v>8.5519679650843894E-2</v>
      </c>
      <c r="G160" s="140">
        <f t="shared" si="188"/>
        <v>8.2238438902801414E-2</v>
      </c>
      <c r="H160" s="140">
        <f t="shared" si="188"/>
        <v>8.4015557449382258E-2</v>
      </c>
      <c r="I160" s="140">
        <f t="shared" si="188"/>
        <v>8.0532126557346623E-2</v>
      </c>
      <c r="J160" s="140">
        <f t="shared" si="188"/>
        <v>8.0104529943271649E-2</v>
      </c>
      <c r="K160" s="140">
        <f t="shared" si="188"/>
        <v>8.000894631409991E-2</v>
      </c>
      <c r="L160" s="140">
        <f t="shared" si="188"/>
        <v>8.9017355890413041E-2</v>
      </c>
      <c r="M160" s="140">
        <f t="shared" si="188"/>
        <v>8.3169308379018467E-2</v>
      </c>
      <c r="N160" s="140">
        <f t="shared" si="188"/>
        <v>8.2852451121772905E-2</v>
      </c>
      <c r="O160" s="140">
        <f t="shared" si="188"/>
        <v>8.705732891641986E-2</v>
      </c>
      <c r="P160" s="140">
        <f t="shared" si="188"/>
        <v>9.4479256246970053E-2</v>
      </c>
      <c r="Q160" s="140">
        <f t="shared" si="188"/>
        <v>9.0549097958024641E-2</v>
      </c>
      <c r="R160" s="140">
        <f t="shared" si="188"/>
        <v>9.128342221396106E-2</v>
      </c>
      <c r="S160" s="140">
        <f t="shared" si="188"/>
        <v>9.3173002642536695E-2</v>
      </c>
      <c r="T160" s="140">
        <f t="shared" si="188"/>
        <v>9.0705865442762934E-2</v>
      </c>
      <c r="U160" s="140">
        <f t="shared" si="188"/>
        <v>8.9005294636839483E-2</v>
      </c>
      <c r="V160" s="140">
        <f t="shared" si="188"/>
        <v>7.5514050959465395E-2</v>
      </c>
      <c r="W160" s="140">
        <f t="shared" si="188"/>
        <v>6.8849678063568606E-2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2.6280849371844529E-2</v>
      </c>
      <c r="C161" s="124">
        <f t="shared" ref="C161:W161" si="189">IF(C69=0,0,C69/C$64)</f>
        <v>2.3684824120077649E-2</v>
      </c>
      <c r="D161" s="124">
        <f t="shared" si="189"/>
        <v>2.2524066736219355E-2</v>
      </c>
      <c r="E161" s="124">
        <f t="shared" si="189"/>
        <v>2.0297538909804468E-2</v>
      </c>
      <c r="F161" s="124">
        <f t="shared" si="189"/>
        <v>1.9612023155106705E-2</v>
      </c>
      <c r="G161" s="124">
        <f t="shared" si="189"/>
        <v>1.9516841062138558E-2</v>
      </c>
      <c r="H161" s="124">
        <f t="shared" si="189"/>
        <v>1.9983292792437768E-2</v>
      </c>
      <c r="I161" s="124">
        <f t="shared" si="189"/>
        <v>1.8894791088789172E-2</v>
      </c>
      <c r="J161" s="124">
        <f t="shared" si="189"/>
        <v>2.0819269957716557E-2</v>
      </c>
      <c r="K161" s="124">
        <f t="shared" si="189"/>
        <v>1.9058555493960787E-2</v>
      </c>
      <c r="L161" s="124">
        <f t="shared" si="189"/>
        <v>2.0017747099372672E-2</v>
      </c>
      <c r="M161" s="124">
        <f t="shared" si="189"/>
        <v>1.9858851908048526E-2</v>
      </c>
      <c r="N161" s="124">
        <f t="shared" si="189"/>
        <v>2.0416388359270059E-2</v>
      </c>
      <c r="O161" s="124">
        <f t="shared" si="189"/>
        <v>1.986380379286793E-2</v>
      </c>
      <c r="P161" s="124">
        <f t="shared" si="189"/>
        <v>1.8873313417328091E-2</v>
      </c>
      <c r="Q161" s="124">
        <f t="shared" si="189"/>
        <v>1.7999980998840211E-2</v>
      </c>
      <c r="R161" s="124">
        <f t="shared" si="189"/>
        <v>1.5454200813008311E-2</v>
      </c>
      <c r="S161" s="124">
        <f t="shared" si="189"/>
        <v>1.6075948111717895E-2</v>
      </c>
      <c r="T161" s="124">
        <f t="shared" si="189"/>
        <v>1.5960065977963185E-2</v>
      </c>
      <c r="U161" s="124">
        <f t="shared" si="189"/>
        <v>1.5030822345881814E-2</v>
      </c>
      <c r="V161" s="124">
        <f t="shared" si="189"/>
        <v>1.4752621185557117E-2</v>
      </c>
      <c r="W161" s="124">
        <f t="shared" si="189"/>
        <v>1.3076886979297226E-2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2.6280849371844529E-2</v>
      </c>
      <c r="C163" s="140">
        <f t="shared" ref="C163:W163" si="191">IF(C71=0,0,C71/C$64)</f>
        <v>2.3684824120077649E-2</v>
      </c>
      <c r="D163" s="140">
        <f t="shared" si="191"/>
        <v>2.2524066736219355E-2</v>
      </c>
      <c r="E163" s="140">
        <f t="shared" si="191"/>
        <v>2.0297538909804468E-2</v>
      </c>
      <c r="F163" s="140">
        <f t="shared" si="191"/>
        <v>1.9612023155106705E-2</v>
      </c>
      <c r="G163" s="140">
        <f t="shared" si="191"/>
        <v>1.9516841062138558E-2</v>
      </c>
      <c r="H163" s="140">
        <f t="shared" si="191"/>
        <v>1.9983292792437768E-2</v>
      </c>
      <c r="I163" s="140">
        <f t="shared" si="191"/>
        <v>1.8894791088789172E-2</v>
      </c>
      <c r="J163" s="140">
        <f t="shared" si="191"/>
        <v>2.0819269957716557E-2</v>
      </c>
      <c r="K163" s="140">
        <f t="shared" si="191"/>
        <v>1.9058555493960787E-2</v>
      </c>
      <c r="L163" s="140">
        <f t="shared" si="191"/>
        <v>2.0017747099372672E-2</v>
      </c>
      <c r="M163" s="140">
        <f t="shared" si="191"/>
        <v>1.9858851908048526E-2</v>
      </c>
      <c r="N163" s="140">
        <f t="shared" si="191"/>
        <v>2.0416388359270059E-2</v>
      </c>
      <c r="O163" s="140">
        <f t="shared" si="191"/>
        <v>1.986380379286793E-2</v>
      </c>
      <c r="P163" s="140">
        <f t="shared" si="191"/>
        <v>1.8873313417328091E-2</v>
      </c>
      <c r="Q163" s="140">
        <f t="shared" si="191"/>
        <v>1.7999980998840211E-2</v>
      </c>
      <c r="R163" s="140">
        <f t="shared" si="191"/>
        <v>1.5454200813008311E-2</v>
      </c>
      <c r="S163" s="140">
        <f t="shared" si="191"/>
        <v>1.6075948111717895E-2</v>
      </c>
      <c r="T163" s="140">
        <f t="shared" si="191"/>
        <v>1.5960065977963185E-2</v>
      </c>
      <c r="U163" s="140">
        <f t="shared" si="191"/>
        <v>1.5030822345881814E-2</v>
      </c>
      <c r="V163" s="140">
        <f t="shared" si="191"/>
        <v>1.4752621185557117E-2</v>
      </c>
      <c r="W163" s="140">
        <f t="shared" si="191"/>
        <v>1.3076886979297226E-2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6.1568657774910572E-2</v>
      </c>
      <c r="C165" s="124">
        <f t="shared" ref="C165:W165" si="193">IF(C73=0,0,C73/C$64)</f>
        <v>6.159274248556474E-2</v>
      </c>
      <c r="D165" s="124">
        <f t="shared" si="193"/>
        <v>5.7211484212085877E-2</v>
      </c>
      <c r="E165" s="124">
        <f t="shared" si="193"/>
        <v>6.7192954094731E-2</v>
      </c>
      <c r="F165" s="124">
        <f t="shared" si="193"/>
        <v>8.3995080187894949E-2</v>
      </c>
      <c r="G165" s="124">
        <f t="shared" si="193"/>
        <v>8.4317922484158175E-2</v>
      </c>
      <c r="H165" s="124">
        <f t="shared" si="193"/>
        <v>8.5370429017276747E-2</v>
      </c>
      <c r="I165" s="124">
        <f t="shared" si="193"/>
        <v>8.9164574894375098E-2</v>
      </c>
      <c r="J165" s="124">
        <f t="shared" si="193"/>
        <v>9.4106466556376167E-2</v>
      </c>
      <c r="K165" s="124">
        <f t="shared" si="193"/>
        <v>8.738715907076415E-2</v>
      </c>
      <c r="L165" s="124">
        <f t="shared" si="193"/>
        <v>8.6987570357027158E-2</v>
      </c>
      <c r="M165" s="124">
        <f t="shared" si="193"/>
        <v>8.8822198856293014E-2</v>
      </c>
      <c r="N165" s="124">
        <f t="shared" si="193"/>
        <v>8.0353025062883957E-2</v>
      </c>
      <c r="O165" s="124">
        <f t="shared" si="193"/>
        <v>7.7193885165026122E-2</v>
      </c>
      <c r="P165" s="124">
        <f t="shared" si="193"/>
        <v>7.7906948316922076E-2</v>
      </c>
      <c r="Q165" s="124">
        <f t="shared" si="193"/>
        <v>8.1550907685615848E-2</v>
      </c>
      <c r="R165" s="124">
        <f t="shared" si="193"/>
        <v>8.3176711474243104E-2</v>
      </c>
      <c r="S165" s="124">
        <f t="shared" si="193"/>
        <v>9.1936480188678615E-2</v>
      </c>
      <c r="T165" s="124">
        <f t="shared" si="193"/>
        <v>9.803934191689663E-2</v>
      </c>
      <c r="U165" s="124">
        <f t="shared" si="193"/>
        <v>9.9815252456500567E-2</v>
      </c>
      <c r="V165" s="124">
        <f t="shared" si="193"/>
        <v>3.3292978933536686E-2</v>
      </c>
      <c r="W165" s="124">
        <f t="shared" si="193"/>
        <v>3.3792190410416631E-2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1.2608967416823259E-2</v>
      </c>
      <c r="C166" s="140">
        <f t="shared" ref="C166:W166" si="194">IF(C74=0,0,C74/C$64)</f>
        <v>1.5313372642415741E-2</v>
      </c>
      <c r="D166" s="140">
        <f t="shared" si="194"/>
        <v>1.0643730297927421E-2</v>
      </c>
      <c r="E166" s="140">
        <f t="shared" si="194"/>
        <v>1.5715250080441449E-2</v>
      </c>
      <c r="F166" s="140">
        <f t="shared" si="194"/>
        <v>1.1509021802691123E-2</v>
      </c>
      <c r="G166" s="140">
        <f t="shared" si="194"/>
        <v>7.4776468337864844E-3</v>
      </c>
      <c r="H166" s="140">
        <f t="shared" si="194"/>
        <v>4.0647409361520828E-3</v>
      </c>
      <c r="I166" s="140">
        <f t="shared" si="194"/>
        <v>8.6659951005572441E-3</v>
      </c>
      <c r="J166" s="140">
        <f t="shared" si="194"/>
        <v>1.0884004975728959E-2</v>
      </c>
      <c r="K166" s="140">
        <f t="shared" si="194"/>
        <v>7.5492174744701181E-3</v>
      </c>
      <c r="L166" s="140">
        <f t="shared" si="194"/>
        <v>7.6386876194460924E-3</v>
      </c>
      <c r="M166" s="140">
        <f t="shared" si="194"/>
        <v>1.1209587585975124E-2</v>
      </c>
      <c r="N166" s="140">
        <f t="shared" si="194"/>
        <v>5.5624152188127624E-3</v>
      </c>
      <c r="O166" s="140">
        <f t="shared" si="194"/>
        <v>5.0373004049618728E-3</v>
      </c>
      <c r="P166" s="140">
        <f t="shared" si="194"/>
        <v>4.7573692128864403E-3</v>
      </c>
      <c r="Q166" s="140">
        <f t="shared" si="194"/>
        <v>9.5900744591680513E-3</v>
      </c>
      <c r="R166" s="140">
        <f t="shared" si="194"/>
        <v>1.0107480750200437E-2</v>
      </c>
      <c r="S166" s="140">
        <f t="shared" si="194"/>
        <v>1.2124725445357523E-2</v>
      </c>
      <c r="T166" s="140">
        <f t="shared" si="194"/>
        <v>6.9956274496548081E-3</v>
      </c>
      <c r="U166" s="140">
        <f t="shared" si="194"/>
        <v>8.3918630354898223E-3</v>
      </c>
      <c r="V166" s="140">
        <f t="shared" si="194"/>
        <v>7.4885331539138811E-3</v>
      </c>
      <c r="W166" s="140">
        <f t="shared" si="194"/>
        <v>1.0688286093386476E-3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2.8826372355056154E-2</v>
      </c>
      <c r="C167" s="140">
        <f t="shared" ref="C167:W167" si="195">IF(C75=0,0,C75/C$64)</f>
        <v>2.7246691366680422E-2</v>
      </c>
      <c r="D167" s="140">
        <f t="shared" si="195"/>
        <v>2.7416688361851588E-2</v>
      </c>
      <c r="E167" s="140">
        <f t="shared" si="195"/>
        <v>3.1907400981421793E-2</v>
      </c>
      <c r="F167" s="140">
        <f t="shared" si="195"/>
        <v>4.5539240312981719E-2</v>
      </c>
      <c r="G167" s="140">
        <f t="shared" si="195"/>
        <v>4.9307840421333363E-2</v>
      </c>
      <c r="H167" s="140">
        <f t="shared" si="195"/>
        <v>5.1727260828972062E-2</v>
      </c>
      <c r="I167" s="140">
        <f t="shared" si="195"/>
        <v>5.1321548406900779E-2</v>
      </c>
      <c r="J167" s="140">
        <f t="shared" si="195"/>
        <v>5.1979534668767979E-2</v>
      </c>
      <c r="K167" s="140">
        <f t="shared" si="195"/>
        <v>4.8278165115943412E-2</v>
      </c>
      <c r="L167" s="140">
        <f t="shared" si="195"/>
        <v>4.7134747639722849E-2</v>
      </c>
      <c r="M167" s="140">
        <f t="shared" si="195"/>
        <v>4.5664974150115056E-2</v>
      </c>
      <c r="N167" s="140">
        <f t="shared" si="195"/>
        <v>4.3534600474388556E-2</v>
      </c>
      <c r="O167" s="140">
        <f t="shared" si="195"/>
        <v>4.1866722670941527E-2</v>
      </c>
      <c r="P167" s="140">
        <f t="shared" si="195"/>
        <v>4.2703449197343278E-2</v>
      </c>
      <c r="Q167" s="140">
        <f t="shared" si="195"/>
        <v>4.2456723643391911E-2</v>
      </c>
      <c r="R167" s="140">
        <f t="shared" si="195"/>
        <v>4.4287752175554043E-2</v>
      </c>
      <c r="S167" s="140">
        <f t="shared" si="195"/>
        <v>4.9266182116678693E-2</v>
      </c>
      <c r="T167" s="140">
        <f t="shared" si="195"/>
        <v>5.6284718215002708E-2</v>
      </c>
      <c r="U167" s="140">
        <f t="shared" si="195"/>
        <v>5.5577300832038115E-2</v>
      </c>
      <c r="V167" s="140">
        <f t="shared" si="195"/>
        <v>1.3899186147654051E-2</v>
      </c>
      <c r="W167" s="140">
        <f t="shared" si="195"/>
        <v>1.8586952822614463E-2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2.0133318003031159E-2</v>
      </c>
      <c r="C168" s="140">
        <f t="shared" ref="C168:W168" si="196">IF(C76=0,0,C76/C$64)</f>
        <v>1.9032678476468577E-2</v>
      </c>
      <c r="D168" s="140">
        <f t="shared" si="196"/>
        <v>1.9151065552306858E-2</v>
      </c>
      <c r="E168" s="140">
        <f t="shared" si="196"/>
        <v>1.9570303032867751E-2</v>
      </c>
      <c r="F168" s="140">
        <f t="shared" si="196"/>
        <v>2.6946818072222115E-2</v>
      </c>
      <c r="G168" s="140">
        <f t="shared" si="196"/>
        <v>2.7532435229038334E-2</v>
      </c>
      <c r="H168" s="140">
        <f t="shared" si="196"/>
        <v>2.9578427252152598E-2</v>
      </c>
      <c r="I168" s="140">
        <f t="shared" si="196"/>
        <v>2.917703138691707E-2</v>
      </c>
      <c r="J168" s="140">
        <f t="shared" si="196"/>
        <v>3.1242926911879236E-2</v>
      </c>
      <c r="K168" s="140">
        <f t="shared" si="196"/>
        <v>3.1559776480350625E-2</v>
      </c>
      <c r="L168" s="140">
        <f t="shared" si="196"/>
        <v>3.2214135097858219E-2</v>
      </c>
      <c r="M168" s="140">
        <f t="shared" si="196"/>
        <v>3.1947637120202828E-2</v>
      </c>
      <c r="N168" s="140">
        <f t="shared" si="196"/>
        <v>3.1256009369682647E-2</v>
      </c>
      <c r="O168" s="140">
        <f t="shared" si="196"/>
        <v>3.0289862089122734E-2</v>
      </c>
      <c r="P168" s="140">
        <f t="shared" si="196"/>
        <v>3.0446129906692359E-2</v>
      </c>
      <c r="Q168" s="140">
        <f t="shared" si="196"/>
        <v>2.9504109583055889E-2</v>
      </c>
      <c r="R168" s="140">
        <f t="shared" si="196"/>
        <v>2.8781478548488643E-2</v>
      </c>
      <c r="S168" s="140">
        <f t="shared" si="196"/>
        <v>3.0545572626642419E-2</v>
      </c>
      <c r="T168" s="140">
        <f t="shared" si="196"/>
        <v>3.4758996252239119E-2</v>
      </c>
      <c r="U168" s="140">
        <f t="shared" si="196"/>
        <v>3.584608858897264E-2</v>
      </c>
      <c r="V168" s="140">
        <f t="shared" si="196"/>
        <v>1.1905259631968753E-2</v>
      </c>
      <c r="W168" s="140">
        <f t="shared" si="196"/>
        <v>1.413640897846352E-2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0.95294203400775412</v>
      </c>
      <c r="C170" s="139">
        <f t="shared" ref="C170:W170" si="199">IF(C78=0,0,C78/C$77)</f>
        <v>0.95841927028838048</v>
      </c>
      <c r="D170" s="139">
        <f t="shared" si="199"/>
        <v>0.96534036795313061</v>
      </c>
      <c r="E170" s="139">
        <f t="shared" si="199"/>
        <v>0.97395154474094947</v>
      </c>
      <c r="F170" s="139">
        <f t="shared" si="199"/>
        <v>0.97665893130177628</v>
      </c>
      <c r="G170" s="139">
        <f t="shared" si="199"/>
        <v>0.98082601078028464</v>
      </c>
      <c r="H170" s="139">
        <f t="shared" si="199"/>
        <v>0.98014538905746651</v>
      </c>
      <c r="I170" s="139">
        <f t="shared" si="199"/>
        <v>0.98224941208533156</v>
      </c>
      <c r="J170" s="139">
        <f t="shared" si="199"/>
        <v>0.9809571631149413</v>
      </c>
      <c r="K170" s="139">
        <f t="shared" si="199"/>
        <v>0.98059775668228677</v>
      </c>
      <c r="L170" s="139">
        <f t="shared" si="199"/>
        <v>0.9811009526047838</v>
      </c>
      <c r="M170" s="139">
        <f t="shared" si="199"/>
        <v>0.97988271997492871</v>
      </c>
      <c r="N170" s="139">
        <f t="shared" si="199"/>
        <v>0.98120737928635349</v>
      </c>
      <c r="O170" s="139">
        <f t="shared" si="199"/>
        <v>0.98330181812452089</v>
      </c>
      <c r="P170" s="139">
        <f t="shared" si="199"/>
        <v>0.98208704771321242</v>
      </c>
      <c r="Q170" s="139">
        <f t="shared" si="199"/>
        <v>0.98333875157236195</v>
      </c>
      <c r="R170" s="139">
        <f t="shared" si="199"/>
        <v>0.98278572040311596</v>
      </c>
      <c r="S170" s="139">
        <f t="shared" si="199"/>
        <v>0.98356616577341616</v>
      </c>
      <c r="T170" s="139">
        <f t="shared" si="199"/>
        <v>0.98436153584505726</v>
      </c>
      <c r="U170" s="139">
        <f t="shared" si="199"/>
        <v>0.98101817762348031</v>
      </c>
      <c r="V170" s="139">
        <f t="shared" si="199"/>
        <v>0.97809990971966321</v>
      </c>
      <c r="W170" s="139">
        <f t="shared" si="199"/>
        <v>0.98312066557280253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0.15624648958396717</v>
      </c>
      <c r="C171" s="140">
        <f t="shared" ref="C171:W171" si="200">IF(C79=0,0,C79/C$77)</f>
        <v>0.16108819075311059</v>
      </c>
      <c r="D171" s="140">
        <f t="shared" si="200"/>
        <v>0.16581200368923177</v>
      </c>
      <c r="E171" s="140">
        <f t="shared" si="200"/>
        <v>0.1581900806159395</v>
      </c>
      <c r="F171" s="140">
        <f t="shared" si="200"/>
        <v>0.16330244376439693</v>
      </c>
      <c r="G171" s="140">
        <f t="shared" si="200"/>
        <v>0.16355935058530899</v>
      </c>
      <c r="H171" s="140">
        <f t="shared" si="200"/>
        <v>0.1730825896546265</v>
      </c>
      <c r="I171" s="140">
        <f t="shared" si="200"/>
        <v>0.18516961706964211</v>
      </c>
      <c r="J171" s="140">
        <f t="shared" si="200"/>
        <v>0.22185118230997766</v>
      </c>
      <c r="K171" s="140">
        <f t="shared" si="200"/>
        <v>0.24230917491830115</v>
      </c>
      <c r="L171" s="140">
        <f t="shared" si="200"/>
        <v>0.26172517567366382</v>
      </c>
      <c r="M171" s="140">
        <f t="shared" si="200"/>
        <v>0.26962618482449985</v>
      </c>
      <c r="N171" s="140">
        <f t="shared" si="200"/>
        <v>0.28171801538750513</v>
      </c>
      <c r="O171" s="140">
        <f t="shared" si="200"/>
        <v>0.30471411472457116</v>
      </c>
      <c r="P171" s="140">
        <f t="shared" si="200"/>
        <v>0.32161044228927199</v>
      </c>
      <c r="Q171" s="140">
        <f t="shared" si="200"/>
        <v>0.32170672766621694</v>
      </c>
      <c r="R171" s="140">
        <f t="shared" si="200"/>
        <v>0.26924899876847086</v>
      </c>
      <c r="S171" s="140">
        <f t="shared" si="200"/>
        <v>0.26279785855427273</v>
      </c>
      <c r="T171" s="140">
        <f t="shared" si="200"/>
        <v>0.26477495317947286</v>
      </c>
      <c r="U171" s="140">
        <f t="shared" si="200"/>
        <v>0.26413936000782573</v>
      </c>
      <c r="V171" s="140">
        <f t="shared" si="200"/>
        <v>0.27174082567023983</v>
      </c>
      <c r="W171" s="140">
        <f t="shared" si="200"/>
        <v>0.26254841016210595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0.79669554442378698</v>
      </c>
      <c r="C172" s="140">
        <f t="shared" ref="C172:W172" si="201">IF(C80=0,0,C80/C$77)</f>
        <v>0.79733107953526983</v>
      </c>
      <c r="D172" s="140">
        <f t="shared" si="201"/>
        <v>0.79952836426389884</v>
      </c>
      <c r="E172" s="140">
        <f t="shared" si="201"/>
        <v>0.81576146412500994</v>
      </c>
      <c r="F172" s="140">
        <f t="shared" si="201"/>
        <v>0.81335648753737932</v>
      </c>
      <c r="G172" s="140">
        <f t="shared" si="201"/>
        <v>0.81726666019497562</v>
      </c>
      <c r="H172" s="140">
        <f t="shared" si="201"/>
        <v>0.80706279940283987</v>
      </c>
      <c r="I172" s="140">
        <f t="shared" si="201"/>
        <v>0.79707979501568937</v>
      </c>
      <c r="J172" s="140">
        <f t="shared" si="201"/>
        <v>0.75910598080496372</v>
      </c>
      <c r="K172" s="140">
        <f t="shared" si="201"/>
        <v>0.73828858176398571</v>
      </c>
      <c r="L172" s="140">
        <f t="shared" si="201"/>
        <v>0.71937577693112009</v>
      </c>
      <c r="M172" s="140">
        <f t="shared" si="201"/>
        <v>0.71025653515042886</v>
      </c>
      <c r="N172" s="140">
        <f t="shared" si="201"/>
        <v>0.69948936389884842</v>
      </c>
      <c r="O172" s="140">
        <f t="shared" si="201"/>
        <v>0.67858770339994978</v>
      </c>
      <c r="P172" s="140">
        <f t="shared" si="201"/>
        <v>0.66047660542394049</v>
      </c>
      <c r="Q172" s="140">
        <f t="shared" si="201"/>
        <v>0.66163202390614495</v>
      </c>
      <c r="R172" s="140">
        <f t="shared" si="201"/>
        <v>0.7135367216346451</v>
      </c>
      <c r="S172" s="140">
        <f t="shared" si="201"/>
        <v>0.72076830721914353</v>
      </c>
      <c r="T172" s="140">
        <f t="shared" si="201"/>
        <v>0.71958658266558428</v>
      </c>
      <c r="U172" s="140">
        <f t="shared" si="201"/>
        <v>0.71687881761565453</v>
      </c>
      <c r="V172" s="140">
        <f t="shared" si="201"/>
        <v>0.70635908404942338</v>
      </c>
      <c r="W172" s="140">
        <f t="shared" si="201"/>
        <v>0.72057225541069669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2.8822733907950013E-2</v>
      </c>
      <c r="C173" s="124">
        <f t="shared" ref="C173:W173" si="202">IF(C81=0,0,C81/C$77)</f>
        <v>2.1896260900073874E-2</v>
      </c>
      <c r="D173" s="124">
        <f t="shared" si="202"/>
        <v>1.9137050191062061E-2</v>
      </c>
      <c r="E173" s="124">
        <f t="shared" si="202"/>
        <v>1.4087361168470534E-2</v>
      </c>
      <c r="F173" s="124">
        <f t="shared" si="202"/>
        <v>1.1701826835194509E-2</v>
      </c>
      <c r="G173" s="124">
        <f t="shared" si="202"/>
        <v>9.4766012566491475E-3</v>
      </c>
      <c r="H173" s="124">
        <f t="shared" si="202"/>
        <v>1.0674985791660969E-2</v>
      </c>
      <c r="I173" s="124">
        <f t="shared" si="202"/>
        <v>9.939172523343821E-3</v>
      </c>
      <c r="J173" s="124">
        <f t="shared" si="202"/>
        <v>1.1473356666386799E-2</v>
      </c>
      <c r="K173" s="124">
        <f t="shared" si="202"/>
        <v>1.0867561584060695E-2</v>
      </c>
      <c r="L173" s="124">
        <f t="shared" si="202"/>
        <v>1.0797992113114142E-2</v>
      </c>
      <c r="M173" s="124">
        <f t="shared" si="202"/>
        <v>1.0205596061526484E-2</v>
      </c>
      <c r="N173" s="124">
        <f t="shared" si="202"/>
        <v>8.3726603608107741E-3</v>
      </c>
      <c r="O173" s="124">
        <f t="shared" si="202"/>
        <v>8.5249194684870102E-3</v>
      </c>
      <c r="P173" s="124">
        <f t="shared" si="202"/>
        <v>1.0161699056952338E-2</v>
      </c>
      <c r="Q173" s="124">
        <f t="shared" si="202"/>
        <v>9.089349733548701E-3</v>
      </c>
      <c r="R173" s="124">
        <f t="shared" si="202"/>
        <v>8.5530570101272733E-3</v>
      </c>
      <c r="S173" s="124">
        <f t="shared" si="202"/>
        <v>7.5999333432259031E-3</v>
      </c>
      <c r="T173" s="124">
        <f t="shared" si="202"/>
        <v>6.9325594740343556E-3</v>
      </c>
      <c r="U173" s="124">
        <f t="shared" si="202"/>
        <v>6.5743626364561545E-3</v>
      </c>
      <c r="V173" s="124">
        <f t="shared" si="202"/>
        <v>7.2694972151886557E-3</v>
      </c>
      <c r="W173" s="124">
        <f t="shared" si="202"/>
        <v>7.018005253794383E-3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1.3110352151456351E-2</v>
      </c>
      <c r="C174" s="124">
        <f t="shared" ref="C174:W174" si="203">IF(C82=0,0,C82/C$77)</f>
        <v>1.2078340774770267E-2</v>
      </c>
      <c r="D174" s="124">
        <f t="shared" si="203"/>
        <v>1.2103868253590123E-2</v>
      </c>
      <c r="E174" s="124">
        <f t="shared" si="203"/>
        <v>9.1299725526187599E-3</v>
      </c>
      <c r="F174" s="124">
        <f t="shared" si="203"/>
        <v>7.8802747531846896E-3</v>
      </c>
      <c r="G174" s="124">
        <f t="shared" si="203"/>
        <v>7.0823460688335966E-3</v>
      </c>
      <c r="H174" s="124">
        <f t="shared" si="203"/>
        <v>6.2295057488899542E-3</v>
      </c>
      <c r="I174" s="124">
        <f t="shared" si="203"/>
        <v>5.4988129393438879E-3</v>
      </c>
      <c r="J174" s="124">
        <f t="shared" si="203"/>
        <v>5.6918804395742362E-3</v>
      </c>
      <c r="K174" s="124">
        <f t="shared" si="203"/>
        <v>5.973460727584751E-3</v>
      </c>
      <c r="L174" s="124">
        <f t="shared" si="203"/>
        <v>5.995216938615093E-3</v>
      </c>
      <c r="M174" s="124">
        <f t="shared" si="203"/>
        <v>8.2962129043426033E-3</v>
      </c>
      <c r="N174" s="124">
        <f t="shared" si="203"/>
        <v>7.6695742987375887E-3</v>
      </c>
      <c r="O174" s="124">
        <f t="shared" si="203"/>
        <v>7.0300981382135893E-3</v>
      </c>
      <c r="P174" s="124">
        <f t="shared" si="203"/>
        <v>6.126379724588747E-3</v>
      </c>
      <c r="Q174" s="124">
        <f t="shared" si="203"/>
        <v>6.0947116448501976E-3</v>
      </c>
      <c r="R174" s="124">
        <f t="shared" si="203"/>
        <v>6.7347868307616379E-3</v>
      </c>
      <c r="S174" s="124">
        <f t="shared" si="203"/>
        <v>6.9879844865321141E-3</v>
      </c>
      <c r="T174" s="124">
        <f t="shared" si="203"/>
        <v>7.3236852635148392E-3</v>
      </c>
      <c r="U174" s="124">
        <f t="shared" si="203"/>
        <v>1.0102409057669678E-2</v>
      </c>
      <c r="V174" s="124">
        <f t="shared" si="203"/>
        <v>1.2653756801752144E-2</v>
      </c>
      <c r="W174" s="124">
        <f t="shared" si="203"/>
        <v>7.9897448967312292E-3</v>
      </c>
      <c r="DA174" s="176"/>
    </row>
    <row r="175" spans="1:105" ht="11.45" customHeight="1" x14ac:dyDescent="0.25">
      <c r="A175" s="128" t="s">
        <v>27</v>
      </c>
      <c r="B175" s="140">
        <f t="shared" si="197"/>
        <v>7.4327693331502017E-4</v>
      </c>
      <c r="C175" s="140">
        <f t="shared" ref="C175:W175" si="204">IF(C83=0,0,C83/C$77)</f>
        <v>6.760020450343714E-4</v>
      </c>
      <c r="D175" s="140">
        <f t="shared" si="204"/>
        <v>6.9013214675431593E-4</v>
      </c>
      <c r="E175" s="140">
        <f t="shared" si="204"/>
        <v>4.4238062496783012E-4</v>
      </c>
      <c r="F175" s="140">
        <f t="shared" si="204"/>
        <v>1.2186236851645676E-4</v>
      </c>
      <c r="G175" s="140">
        <f t="shared" si="204"/>
        <v>1.6408178061476519E-4</v>
      </c>
      <c r="H175" s="140">
        <f t="shared" si="204"/>
        <v>1.6846656887312483E-4</v>
      </c>
      <c r="I175" s="140">
        <f t="shared" si="204"/>
        <v>5.3965635294763055E-4</v>
      </c>
      <c r="J175" s="140">
        <f t="shared" si="204"/>
        <v>6.5021851098847141E-4</v>
      </c>
      <c r="K175" s="140">
        <f t="shared" si="204"/>
        <v>4.5201186022776732E-4</v>
      </c>
      <c r="L175" s="140">
        <f t="shared" si="204"/>
        <v>4.3282172651958718E-4</v>
      </c>
      <c r="M175" s="140">
        <f t="shared" si="204"/>
        <v>8.8863007250372065E-4</v>
      </c>
      <c r="N175" s="140">
        <f t="shared" si="204"/>
        <v>4.5442790139345031E-4</v>
      </c>
      <c r="O175" s="140">
        <f t="shared" si="204"/>
        <v>3.7570330644811289E-4</v>
      </c>
      <c r="P175" s="140">
        <f t="shared" si="204"/>
        <v>1.5737892741176125E-4</v>
      </c>
      <c r="Q175" s="140">
        <f t="shared" si="204"/>
        <v>2.7988265764539253E-4</v>
      </c>
      <c r="R175" s="140">
        <f t="shared" si="204"/>
        <v>2.4968591257172699E-4</v>
      </c>
      <c r="S175" s="140">
        <f t="shared" si="204"/>
        <v>4.6948773255769591E-4</v>
      </c>
      <c r="T175" s="140">
        <f t="shared" si="204"/>
        <v>1.5801493896259353E-3</v>
      </c>
      <c r="U175" s="140">
        <f t="shared" si="204"/>
        <v>4.4746470350353852E-3</v>
      </c>
      <c r="V175" s="140">
        <f t="shared" si="204"/>
        <v>5.8552793203795455E-3</v>
      </c>
      <c r="W175" s="140">
        <f t="shared" si="204"/>
        <v>7.527033708255123E-4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2.7951597321771104E-3</v>
      </c>
      <c r="C176" s="140">
        <f t="shared" ref="C176:W176" si="205">IF(C84=0,0,C84/C$77)</f>
        <v>2.4686648990835435E-3</v>
      </c>
      <c r="D176" s="140">
        <f t="shared" si="205"/>
        <v>2.6295462607671695E-3</v>
      </c>
      <c r="E176" s="140">
        <f t="shared" si="205"/>
        <v>1.6273901384929756E-3</v>
      </c>
      <c r="F176" s="140">
        <f t="shared" si="205"/>
        <v>1.9683069414471264E-3</v>
      </c>
      <c r="G176" s="140">
        <f t="shared" si="205"/>
        <v>1.7236985619493786E-3</v>
      </c>
      <c r="H176" s="140">
        <f t="shared" si="205"/>
        <v>1.8044625758490123E-3</v>
      </c>
      <c r="I176" s="140">
        <f t="shared" si="205"/>
        <v>1.6522643235132618E-3</v>
      </c>
      <c r="J176" s="140">
        <f t="shared" si="205"/>
        <v>1.3202481357152305E-3</v>
      </c>
      <c r="K176" s="140">
        <f t="shared" si="205"/>
        <v>1.272352873977024E-3</v>
      </c>
      <c r="L176" s="140">
        <f t="shared" si="205"/>
        <v>1.4991567758614473E-3</v>
      </c>
      <c r="M176" s="140">
        <f t="shared" si="205"/>
        <v>1.2518584918693031E-3</v>
      </c>
      <c r="N176" s="140">
        <f t="shared" si="205"/>
        <v>1.0324413418080769E-3</v>
      </c>
      <c r="O176" s="140">
        <f t="shared" si="205"/>
        <v>1.0867039359218644E-3</v>
      </c>
      <c r="P176" s="140">
        <f t="shared" si="205"/>
        <v>1.1329767372602829E-3</v>
      </c>
      <c r="Q176" s="140">
        <f t="shared" si="205"/>
        <v>1.0686535974859098E-3</v>
      </c>
      <c r="R176" s="140">
        <f t="shared" si="205"/>
        <v>1.142819205407394E-3</v>
      </c>
      <c r="S176" s="140">
        <f t="shared" si="205"/>
        <v>1.4629117773722283E-3</v>
      </c>
      <c r="T176" s="140">
        <f t="shared" si="205"/>
        <v>1.7988316808549688E-3</v>
      </c>
      <c r="U176" s="140">
        <f t="shared" si="205"/>
        <v>1.5086767935781331E-3</v>
      </c>
      <c r="V176" s="140">
        <f t="shared" si="205"/>
        <v>1.2811636905046494E-3</v>
      </c>
      <c r="W176" s="140">
        <f t="shared" si="205"/>
        <v>2.0006940478380897E-3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9.5719154859642223E-3</v>
      </c>
      <c r="C177" s="140">
        <f t="shared" ref="C177:W177" si="206">IF(C85=0,0,C85/C$77)</f>
        <v>8.9336738306523521E-3</v>
      </c>
      <c r="D177" s="140">
        <f t="shared" si="206"/>
        <v>8.7841898460686366E-3</v>
      </c>
      <c r="E177" s="140">
        <f t="shared" si="206"/>
        <v>7.0602017891579537E-3</v>
      </c>
      <c r="F177" s="140">
        <f t="shared" si="206"/>
        <v>5.7901054432211059E-3</v>
      </c>
      <c r="G177" s="140">
        <f t="shared" si="206"/>
        <v>5.1945657262694534E-3</v>
      </c>
      <c r="H177" s="140">
        <f t="shared" si="206"/>
        <v>4.2565766041678171E-3</v>
      </c>
      <c r="I177" s="140">
        <f t="shared" si="206"/>
        <v>3.3068922628829967E-3</v>
      </c>
      <c r="J177" s="140">
        <f t="shared" si="206"/>
        <v>3.7214137928705342E-3</v>
      </c>
      <c r="K177" s="140">
        <f t="shared" si="206"/>
        <v>4.2490959933799595E-3</v>
      </c>
      <c r="L177" s="140">
        <f t="shared" si="206"/>
        <v>4.0632384362340596E-3</v>
      </c>
      <c r="M177" s="140">
        <f t="shared" si="206"/>
        <v>6.1557243399695798E-3</v>
      </c>
      <c r="N177" s="140">
        <f t="shared" si="206"/>
        <v>6.182705055536062E-3</v>
      </c>
      <c r="O177" s="140">
        <f t="shared" si="206"/>
        <v>5.567690895843613E-3</v>
      </c>
      <c r="P177" s="140">
        <f t="shared" si="206"/>
        <v>4.8360240599167039E-3</v>
      </c>
      <c r="Q177" s="140">
        <f t="shared" si="206"/>
        <v>4.7461753897188952E-3</v>
      </c>
      <c r="R177" s="140">
        <f t="shared" si="206"/>
        <v>5.3422817127825161E-3</v>
      </c>
      <c r="S177" s="140">
        <f t="shared" si="206"/>
        <v>5.0555849766021899E-3</v>
      </c>
      <c r="T177" s="140">
        <f t="shared" si="206"/>
        <v>3.9447041930339355E-3</v>
      </c>
      <c r="U177" s="140">
        <f t="shared" si="206"/>
        <v>4.119085229056161E-3</v>
      </c>
      <c r="V177" s="140">
        <f t="shared" si="206"/>
        <v>5.5173137908679504E-3</v>
      </c>
      <c r="W177" s="140">
        <f t="shared" si="206"/>
        <v>5.236347478067626E-3</v>
      </c>
      <c r="DA177" s="175"/>
    </row>
    <row r="178" spans="1:105" ht="11.45" customHeight="1" x14ac:dyDescent="0.25">
      <c r="A178" s="109" t="s">
        <v>142</v>
      </c>
      <c r="B178" s="124">
        <f t="shared" si="197"/>
        <v>5.1248799328394113E-3</v>
      </c>
      <c r="C178" s="124">
        <f t="shared" ref="C178:W178" si="207">IF(C86=0,0,C86/C$77)</f>
        <v>7.6061280367754691E-3</v>
      </c>
      <c r="D178" s="124">
        <f t="shared" si="207"/>
        <v>3.4187136022171306E-3</v>
      </c>
      <c r="E178" s="124">
        <f t="shared" si="207"/>
        <v>2.8311215379612635E-3</v>
      </c>
      <c r="F178" s="124">
        <f t="shared" si="207"/>
        <v>3.7589671098445096E-3</v>
      </c>
      <c r="G178" s="124">
        <f t="shared" si="207"/>
        <v>2.6150418942326907E-3</v>
      </c>
      <c r="H178" s="124">
        <f t="shared" si="207"/>
        <v>2.9501194019826539E-3</v>
      </c>
      <c r="I178" s="124">
        <f t="shared" si="207"/>
        <v>2.3126024519807831E-3</v>
      </c>
      <c r="J178" s="124">
        <f t="shared" si="207"/>
        <v>1.8775997790976622E-3</v>
      </c>
      <c r="K178" s="124">
        <f t="shared" si="207"/>
        <v>2.5612210060676835E-3</v>
      </c>
      <c r="L178" s="124">
        <f t="shared" si="207"/>
        <v>2.1058383434870574E-3</v>
      </c>
      <c r="M178" s="124">
        <f t="shared" si="207"/>
        <v>1.6154710592022421E-3</v>
      </c>
      <c r="N178" s="124">
        <f t="shared" si="207"/>
        <v>2.7503860540980815E-3</v>
      </c>
      <c r="O178" s="124">
        <f t="shared" si="207"/>
        <v>1.1431642687784694E-3</v>
      </c>
      <c r="P178" s="124">
        <f t="shared" si="207"/>
        <v>1.6248735052464191E-3</v>
      </c>
      <c r="Q178" s="124">
        <f t="shared" si="207"/>
        <v>1.4771870492391638E-3</v>
      </c>
      <c r="R178" s="124">
        <f t="shared" si="207"/>
        <v>1.9264357559953523E-3</v>
      </c>
      <c r="S178" s="124">
        <f t="shared" si="207"/>
        <v>1.8459163968258391E-3</v>
      </c>
      <c r="T178" s="124">
        <f t="shared" si="207"/>
        <v>1.3822194173936009E-3</v>
      </c>
      <c r="U178" s="124">
        <f t="shared" si="207"/>
        <v>2.3050506823940218E-3</v>
      </c>
      <c r="V178" s="124">
        <f t="shared" si="207"/>
        <v>1.9768362633958789E-3</v>
      </c>
      <c r="W178" s="124">
        <f t="shared" si="207"/>
        <v>1.8715842766717666E-3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5.1248799328394113E-3</v>
      </c>
      <c r="C180" s="127">
        <f t="shared" ref="C180:W180" si="209">IF(C88=0,0,C88/C$77)</f>
        <v>7.6061280367754691E-3</v>
      </c>
      <c r="D180" s="127">
        <f t="shared" si="209"/>
        <v>3.4187136022171306E-3</v>
      </c>
      <c r="E180" s="127">
        <f t="shared" si="209"/>
        <v>2.8311215379612635E-3</v>
      </c>
      <c r="F180" s="127">
        <f t="shared" si="209"/>
        <v>3.7589671098445096E-3</v>
      </c>
      <c r="G180" s="127">
        <f t="shared" si="209"/>
        <v>2.6150418942326907E-3</v>
      </c>
      <c r="H180" s="127">
        <f t="shared" si="209"/>
        <v>2.9501194019826539E-3</v>
      </c>
      <c r="I180" s="127">
        <f t="shared" si="209"/>
        <v>2.3126024519807831E-3</v>
      </c>
      <c r="J180" s="127">
        <f t="shared" si="209"/>
        <v>1.8775997790976622E-3</v>
      </c>
      <c r="K180" s="127">
        <f t="shared" si="209"/>
        <v>2.5612210060676835E-3</v>
      </c>
      <c r="L180" s="127">
        <f t="shared" si="209"/>
        <v>2.1058383434870574E-3</v>
      </c>
      <c r="M180" s="127">
        <f t="shared" si="209"/>
        <v>1.6154710592022421E-3</v>
      </c>
      <c r="N180" s="127">
        <f t="shared" si="209"/>
        <v>2.7503860540980815E-3</v>
      </c>
      <c r="O180" s="127">
        <f t="shared" si="209"/>
        <v>1.1431642687784694E-3</v>
      </c>
      <c r="P180" s="127">
        <f t="shared" si="209"/>
        <v>1.6248735052464191E-3</v>
      </c>
      <c r="Q180" s="127">
        <f t="shared" si="209"/>
        <v>1.4771870492391638E-3</v>
      </c>
      <c r="R180" s="127">
        <f t="shared" si="209"/>
        <v>1.9264357559953523E-3</v>
      </c>
      <c r="S180" s="127">
        <f t="shared" si="209"/>
        <v>1.8459163968258391E-3</v>
      </c>
      <c r="T180" s="127">
        <f t="shared" si="209"/>
        <v>1.3822194173936009E-3</v>
      </c>
      <c r="U180" s="127">
        <f t="shared" si="209"/>
        <v>2.3050506823940218E-3</v>
      </c>
      <c r="V180" s="127">
        <f t="shared" si="209"/>
        <v>1.9768362633958789E-3</v>
      </c>
      <c r="W180" s="127">
        <f t="shared" si="209"/>
        <v>1.8715842766717666E-3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0</v>
      </c>
      <c r="J181" s="31">
        <f t="shared" si="210"/>
        <v>0</v>
      </c>
      <c r="K181" s="31">
        <f t="shared" si="210"/>
        <v>0</v>
      </c>
      <c r="L181" s="31">
        <f t="shared" si="210"/>
        <v>0</v>
      </c>
      <c r="M181" s="31">
        <f t="shared" si="210"/>
        <v>0</v>
      </c>
      <c r="N181" s="31">
        <f t="shared" si="210"/>
        <v>0</v>
      </c>
      <c r="O181" s="31">
        <f t="shared" si="210"/>
        <v>0</v>
      </c>
      <c r="P181" s="31">
        <f t="shared" si="210"/>
        <v>0</v>
      </c>
      <c r="Q181" s="31">
        <f t="shared" si="210"/>
        <v>0</v>
      </c>
      <c r="R181" s="31">
        <f t="shared" si="210"/>
        <v>0</v>
      </c>
      <c r="S181" s="31">
        <f t="shared" si="210"/>
        <v>0</v>
      </c>
      <c r="T181" s="31">
        <f t="shared" si="210"/>
        <v>0</v>
      </c>
      <c r="U181" s="31">
        <f t="shared" si="210"/>
        <v>0</v>
      </c>
      <c r="V181" s="31">
        <f t="shared" si="210"/>
        <v>0</v>
      </c>
      <c r="W181" s="31">
        <f t="shared" si="210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</v>
      </c>
      <c r="J182" s="140">
        <f t="shared" si="211"/>
        <v>0</v>
      </c>
      <c r="K182" s="140">
        <f t="shared" si="211"/>
        <v>0</v>
      </c>
      <c r="L182" s="140">
        <f t="shared" si="211"/>
        <v>0</v>
      </c>
      <c r="M182" s="140">
        <f t="shared" si="211"/>
        <v>0</v>
      </c>
      <c r="N182" s="140">
        <f t="shared" si="211"/>
        <v>0</v>
      </c>
      <c r="O182" s="140">
        <f t="shared" si="211"/>
        <v>0</v>
      </c>
      <c r="P182" s="140">
        <f t="shared" si="211"/>
        <v>0</v>
      </c>
      <c r="Q182" s="140">
        <f t="shared" si="211"/>
        <v>0</v>
      </c>
      <c r="R182" s="140">
        <f t="shared" si="211"/>
        <v>0</v>
      </c>
      <c r="S182" s="140">
        <f t="shared" si="211"/>
        <v>0</v>
      </c>
      <c r="T182" s="140">
        <f t="shared" si="211"/>
        <v>0</v>
      </c>
      <c r="U182" s="140">
        <f t="shared" si="211"/>
        <v>0</v>
      </c>
      <c r="V182" s="140">
        <f t="shared" si="211"/>
        <v>0</v>
      </c>
      <c r="W182" s="140">
        <f t="shared" si="211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</v>
      </c>
      <c r="J183" s="127">
        <f t="shared" si="212"/>
        <v>0</v>
      </c>
      <c r="K183" s="127">
        <f t="shared" si="212"/>
        <v>0</v>
      </c>
      <c r="L183" s="127">
        <f t="shared" si="212"/>
        <v>0</v>
      </c>
      <c r="M183" s="127">
        <f t="shared" si="212"/>
        <v>0</v>
      </c>
      <c r="N183" s="127">
        <f t="shared" si="212"/>
        <v>0</v>
      </c>
      <c r="O183" s="127">
        <f t="shared" si="212"/>
        <v>0</v>
      </c>
      <c r="P183" s="127">
        <f t="shared" si="212"/>
        <v>0</v>
      </c>
      <c r="Q183" s="127">
        <f t="shared" si="212"/>
        <v>0</v>
      </c>
      <c r="R183" s="127">
        <f t="shared" si="212"/>
        <v>0</v>
      </c>
      <c r="S183" s="127">
        <f t="shared" si="212"/>
        <v>0</v>
      </c>
      <c r="T183" s="127">
        <f t="shared" si="212"/>
        <v>0</v>
      </c>
      <c r="U183" s="127">
        <f t="shared" si="212"/>
        <v>0</v>
      </c>
      <c r="V183" s="127">
        <f t="shared" si="212"/>
        <v>0</v>
      </c>
      <c r="W183" s="127">
        <f t="shared" si="21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31.836581749348571</v>
      </c>
      <c r="C186" s="32">
        <f t="shared" si="213"/>
        <v>33.289128961573134</v>
      </c>
      <c r="D186" s="32">
        <f t="shared" si="213"/>
        <v>33.859638107146935</v>
      </c>
      <c r="E186" s="32">
        <f t="shared" si="213"/>
        <v>35.8903600978187</v>
      </c>
      <c r="F186" s="32">
        <f t="shared" si="213"/>
        <v>36.959894756143264</v>
      </c>
      <c r="G186" s="32">
        <f t="shared" si="213"/>
        <v>37.433032599454783</v>
      </c>
      <c r="H186" s="32">
        <f t="shared" si="213"/>
        <v>37.313784869201093</v>
      </c>
      <c r="I186" s="32">
        <f t="shared" si="213"/>
        <v>38.017589032087635</v>
      </c>
      <c r="J186" s="32">
        <f t="shared" si="213"/>
        <v>37.601545439098324</v>
      </c>
      <c r="K186" s="32">
        <f t="shared" si="213"/>
        <v>38.296548062600529</v>
      </c>
      <c r="L186" s="32">
        <f t="shared" si="213"/>
        <v>38.228449338563884</v>
      </c>
      <c r="M186" s="32">
        <f t="shared" si="213"/>
        <v>38.105583117385713</v>
      </c>
      <c r="N186" s="32">
        <f t="shared" si="213"/>
        <v>37.590370774482402</v>
      </c>
      <c r="O186" s="32">
        <f t="shared" si="213"/>
        <v>37.397899200585698</v>
      </c>
      <c r="P186" s="32">
        <f t="shared" si="213"/>
        <v>37.284617412860115</v>
      </c>
      <c r="Q186" s="32">
        <f t="shared" si="213"/>
        <v>36.598452530940285</v>
      </c>
      <c r="R186" s="32">
        <f t="shared" si="213"/>
        <v>36.576573709399781</v>
      </c>
      <c r="S186" s="32">
        <f t="shared" si="213"/>
        <v>35.848630006065356</v>
      </c>
      <c r="T186" s="32">
        <f t="shared" si="213"/>
        <v>34.956514164911617</v>
      </c>
      <c r="U186" s="32">
        <f t="shared" si="213"/>
        <v>34.447638024168043</v>
      </c>
      <c r="V186" s="32">
        <f t="shared" si="213"/>
        <v>44.716719375406754</v>
      </c>
      <c r="W186" s="32">
        <f t="shared" ref="W186" si="214">IF(W34=0,0,W34/W4*1000)</f>
        <v>39.850252126463261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35.002816344820594</v>
      </c>
      <c r="C187" s="141">
        <f t="shared" si="215"/>
        <v>36.733366795786033</v>
      </c>
      <c r="D187" s="141">
        <f t="shared" si="215"/>
        <v>37.349338941270844</v>
      </c>
      <c r="E187" s="141">
        <f t="shared" si="215"/>
        <v>40.301809569386769</v>
      </c>
      <c r="F187" s="141">
        <f t="shared" si="215"/>
        <v>41.326656291210959</v>
      </c>
      <c r="G187" s="141">
        <f t="shared" si="215"/>
        <v>41.61218692084578</v>
      </c>
      <c r="H187" s="141">
        <f t="shared" si="215"/>
        <v>41.477449105816007</v>
      </c>
      <c r="I187" s="141">
        <f t="shared" si="215"/>
        <v>42.207120422071455</v>
      </c>
      <c r="J187" s="141">
        <f t="shared" si="215"/>
        <v>41.903405901629924</v>
      </c>
      <c r="K187" s="141">
        <f t="shared" si="215"/>
        <v>42.713201054941649</v>
      </c>
      <c r="L187" s="141">
        <f t="shared" si="215"/>
        <v>43.497299724218877</v>
      </c>
      <c r="M187" s="141">
        <f t="shared" si="215"/>
        <v>43.398860768296302</v>
      </c>
      <c r="N187" s="141">
        <f t="shared" si="215"/>
        <v>43.536096747022434</v>
      </c>
      <c r="O187" s="141">
        <f t="shared" si="215"/>
        <v>43.601046519129213</v>
      </c>
      <c r="P187" s="141">
        <f t="shared" si="215"/>
        <v>43.223351567360091</v>
      </c>
      <c r="Q187" s="141">
        <f t="shared" si="215"/>
        <v>42.417446668098535</v>
      </c>
      <c r="R187" s="141">
        <f t="shared" si="215"/>
        <v>42.826603438207393</v>
      </c>
      <c r="S187" s="141">
        <f t="shared" si="215"/>
        <v>42.319013934305076</v>
      </c>
      <c r="T187" s="141">
        <f t="shared" si="215"/>
        <v>41.434077706758522</v>
      </c>
      <c r="U187" s="141">
        <f t="shared" si="215"/>
        <v>41.104801294549247</v>
      </c>
      <c r="V187" s="141">
        <f t="shared" si="215"/>
        <v>48.69107569789788</v>
      </c>
      <c r="W187" s="141">
        <f t="shared" ref="W187" si="216">IF(W35=0,0,W35/W5*1000)</f>
        <v>42.601696820193688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35.787783947736088</v>
      </c>
      <c r="C188" s="97">
        <f t="shared" si="217"/>
        <v>35.647151551475197</v>
      </c>
      <c r="D188" s="97">
        <f t="shared" si="217"/>
        <v>35.531169238004289</v>
      </c>
      <c r="E188" s="97">
        <f t="shared" si="217"/>
        <v>35.48596626105477</v>
      </c>
      <c r="F188" s="97">
        <f t="shared" si="217"/>
        <v>35.378487261124093</v>
      </c>
      <c r="G188" s="97">
        <f t="shared" si="217"/>
        <v>35.172733168286847</v>
      </c>
      <c r="H188" s="97">
        <f t="shared" si="217"/>
        <v>34.995391861346064</v>
      </c>
      <c r="I188" s="97">
        <f t="shared" si="217"/>
        <v>34.763359387445654</v>
      </c>
      <c r="J188" s="97">
        <f t="shared" si="217"/>
        <v>34.599484911599809</v>
      </c>
      <c r="K188" s="97">
        <f t="shared" si="217"/>
        <v>34.475061973252878</v>
      </c>
      <c r="L188" s="97">
        <f t="shared" si="217"/>
        <v>34.323450207118235</v>
      </c>
      <c r="M188" s="97">
        <f t="shared" si="217"/>
        <v>34.145194886325179</v>
      </c>
      <c r="N188" s="97">
        <f t="shared" si="217"/>
        <v>34.090127653598579</v>
      </c>
      <c r="O188" s="97">
        <f t="shared" si="217"/>
        <v>33.979168136067237</v>
      </c>
      <c r="P188" s="97">
        <f t="shared" si="217"/>
        <v>33.675680309605859</v>
      </c>
      <c r="Q188" s="97">
        <f t="shared" si="217"/>
        <v>33.227935430701294</v>
      </c>
      <c r="R188" s="97">
        <f t="shared" si="217"/>
        <v>32.922745903461134</v>
      </c>
      <c r="S188" s="97">
        <f t="shared" si="217"/>
        <v>32.704360432142792</v>
      </c>
      <c r="T188" s="97">
        <f t="shared" si="217"/>
        <v>32.483546777391872</v>
      </c>
      <c r="U188" s="97">
        <f t="shared" si="217"/>
        <v>32.214830172675107</v>
      </c>
      <c r="V188" s="97">
        <f t="shared" si="217"/>
        <v>32.036566798834706</v>
      </c>
      <c r="W188" s="97">
        <f t="shared" ref="W188" si="218">IF(W36=0,0,W36/W6*1000)</f>
        <v>30.577744715062952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37.947223389876946</v>
      </c>
      <c r="C189" s="97">
        <f t="shared" si="219"/>
        <v>40.361353583260119</v>
      </c>
      <c r="D189" s="97">
        <f t="shared" si="219"/>
        <v>40.832986320198962</v>
      </c>
      <c r="E189" s="97">
        <f t="shared" si="219"/>
        <v>44.88297206137787</v>
      </c>
      <c r="F189" s="97">
        <f t="shared" si="219"/>
        <v>45.852171893761884</v>
      </c>
      <c r="G189" s="97">
        <f t="shared" si="219"/>
        <v>46.473085747420143</v>
      </c>
      <c r="H189" s="97">
        <f t="shared" si="219"/>
        <v>46.294385384606464</v>
      </c>
      <c r="I189" s="97">
        <f t="shared" si="219"/>
        <v>47.152456385424571</v>
      </c>
      <c r="J189" s="97">
        <f t="shared" si="219"/>
        <v>46.700542405131642</v>
      </c>
      <c r="K189" s="97">
        <f t="shared" si="219"/>
        <v>47.641127418141082</v>
      </c>
      <c r="L189" s="97">
        <f t="shared" si="219"/>
        <v>49.719665680670268</v>
      </c>
      <c r="M189" s="97">
        <f t="shared" si="219"/>
        <v>48.929807664391738</v>
      </c>
      <c r="N189" s="97">
        <f t="shared" si="219"/>
        <v>48.980708145158893</v>
      </c>
      <c r="O189" s="97">
        <f t="shared" si="219"/>
        <v>49.090302452652374</v>
      </c>
      <c r="P189" s="97">
        <f t="shared" si="219"/>
        <v>48.83518088873717</v>
      </c>
      <c r="Q189" s="97">
        <f t="shared" si="219"/>
        <v>47.213847645583861</v>
      </c>
      <c r="R189" s="97">
        <f t="shared" si="219"/>
        <v>47.833944664802743</v>
      </c>
      <c r="S189" s="97">
        <f t="shared" si="219"/>
        <v>47.347270823581546</v>
      </c>
      <c r="T189" s="97">
        <f t="shared" si="219"/>
        <v>45.95652498631398</v>
      </c>
      <c r="U189" s="97">
        <f t="shared" si="219"/>
        <v>45.263094966974386</v>
      </c>
      <c r="V189" s="97">
        <f t="shared" si="219"/>
        <v>51.149696894884528</v>
      </c>
      <c r="W189" s="97">
        <f t="shared" ref="W189" si="220">IF(W37=0,0,W37/W7*1000)</f>
        <v>43.586701514671198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23.287542107375515</v>
      </c>
      <c r="C190" s="97">
        <f t="shared" si="221"/>
        <v>23.67903763816317</v>
      </c>
      <c r="D190" s="97">
        <f t="shared" si="221"/>
        <v>23.745033826787488</v>
      </c>
      <c r="E190" s="97">
        <f t="shared" si="221"/>
        <v>21.925809636624845</v>
      </c>
      <c r="F190" s="97">
        <f t="shared" si="221"/>
        <v>21.780075885993512</v>
      </c>
      <c r="G190" s="97">
        <f t="shared" si="221"/>
        <v>20.833030277684678</v>
      </c>
      <c r="H190" s="97">
        <f t="shared" si="221"/>
        <v>21.138206585369065</v>
      </c>
      <c r="I190" s="97">
        <f t="shared" si="221"/>
        <v>20.975930051904609</v>
      </c>
      <c r="J190" s="97">
        <f t="shared" si="221"/>
        <v>21.070010465064147</v>
      </c>
      <c r="K190" s="97">
        <f t="shared" si="221"/>
        <v>21.360742753009212</v>
      </c>
      <c r="L190" s="97">
        <f t="shared" si="221"/>
        <v>21.054952576517092</v>
      </c>
      <c r="M190" s="97">
        <f t="shared" si="221"/>
        <v>21.494223440901266</v>
      </c>
      <c r="N190" s="97">
        <f t="shared" si="221"/>
        <v>21.629014281295309</v>
      </c>
      <c r="O190" s="97">
        <f t="shared" si="221"/>
        <v>22.067897164363668</v>
      </c>
      <c r="P190" s="97">
        <f t="shared" si="221"/>
        <v>22.392083999910849</v>
      </c>
      <c r="Q190" s="97">
        <f t="shared" si="221"/>
        <v>22.878250900422994</v>
      </c>
      <c r="R190" s="97">
        <f t="shared" si="221"/>
        <v>22.94523812008967</v>
      </c>
      <c r="S190" s="97">
        <f t="shared" si="221"/>
        <v>22.769687670929354</v>
      </c>
      <c r="T190" s="97">
        <f t="shared" si="221"/>
        <v>22.797466841697819</v>
      </c>
      <c r="U190" s="97">
        <f t="shared" si="221"/>
        <v>23.192800534210413</v>
      </c>
      <c r="V190" s="97">
        <f t="shared" si="221"/>
        <v>33.411830349429763</v>
      </c>
      <c r="W190" s="97">
        <f t="shared" ref="W190" si="222">IF(W38=0,0,W38/W8*1000)</f>
        <v>35.244094557385118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9.2492420140139853</v>
      </c>
      <c r="C191" s="130">
        <f t="shared" si="223"/>
        <v>8.900708451306528</v>
      </c>
      <c r="D191" s="130">
        <f t="shared" si="223"/>
        <v>9.0750375748880838</v>
      </c>
      <c r="E191" s="130">
        <f t="shared" si="223"/>
        <v>9.2142168616639655</v>
      </c>
      <c r="F191" s="130">
        <f t="shared" si="223"/>
        <v>10.832866588527185</v>
      </c>
      <c r="G191" s="130">
        <f t="shared" si="223"/>
        <v>11.56175689047129</v>
      </c>
      <c r="H191" s="130">
        <f t="shared" si="223"/>
        <v>11.726290038940284</v>
      </c>
      <c r="I191" s="130">
        <f t="shared" si="223"/>
        <v>11.376955083680301</v>
      </c>
      <c r="J191" s="130">
        <f t="shared" si="223"/>
        <v>11.414711412436851</v>
      </c>
      <c r="K191" s="130">
        <f t="shared" si="223"/>
        <v>11.447377208238722</v>
      </c>
      <c r="L191" s="130">
        <f t="shared" si="223"/>
        <v>11.122413148019243</v>
      </c>
      <c r="M191" s="130">
        <f t="shared" si="223"/>
        <v>10.909541455873645</v>
      </c>
      <c r="N191" s="130">
        <f t="shared" si="223"/>
        <v>10.256093543609826</v>
      </c>
      <c r="O191" s="130">
        <f t="shared" si="223"/>
        <v>9.9831738913903418</v>
      </c>
      <c r="P191" s="130">
        <f t="shared" si="223"/>
        <v>9.7434079605279962</v>
      </c>
      <c r="Q191" s="130">
        <f t="shared" si="223"/>
        <v>9.3722580269149578</v>
      </c>
      <c r="R191" s="130">
        <f t="shared" si="223"/>
        <v>8.7565970912756299</v>
      </c>
      <c r="S191" s="130">
        <f t="shared" si="223"/>
        <v>8.7145998548259982</v>
      </c>
      <c r="T191" s="130">
        <f t="shared" si="223"/>
        <v>8.5771935546640083</v>
      </c>
      <c r="U191" s="130">
        <f t="shared" si="223"/>
        <v>8.0019596508748894</v>
      </c>
      <c r="V191" s="130">
        <f t="shared" si="223"/>
        <v>14.807005050755537</v>
      </c>
      <c r="W191" s="130">
        <f t="shared" ref="W191" si="224">IF(W39=0,0,W39/W9*1000)</f>
        <v>14.998854241577094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5.5334116450588704</v>
      </c>
      <c r="C192" s="97">
        <f t="shared" si="225"/>
        <v>5.4923272835083479</v>
      </c>
      <c r="D192" s="97">
        <f t="shared" si="225"/>
        <v>5.5400426268057021</v>
      </c>
      <c r="E192" s="97">
        <f t="shared" si="225"/>
        <v>5.6088545182349785</v>
      </c>
      <c r="F192" s="97">
        <f t="shared" si="225"/>
        <v>5.769703697677067</v>
      </c>
      <c r="G192" s="97">
        <f t="shared" si="225"/>
        <v>5.9134366417109847</v>
      </c>
      <c r="H192" s="97">
        <f t="shared" si="225"/>
        <v>5.8871676116589917</v>
      </c>
      <c r="I192" s="97">
        <f t="shared" si="225"/>
        <v>5.9182508724111704</v>
      </c>
      <c r="J192" s="97">
        <f t="shared" si="225"/>
        <v>5.819873096749423</v>
      </c>
      <c r="K192" s="97">
        <f t="shared" si="225"/>
        <v>5.8744481823356889</v>
      </c>
      <c r="L192" s="97">
        <f t="shared" si="225"/>
        <v>5.7471459261006217</v>
      </c>
      <c r="M192" s="97">
        <f t="shared" si="225"/>
        <v>5.6005497307613297</v>
      </c>
      <c r="N192" s="97">
        <f t="shared" si="225"/>
        <v>5.4467779991164154</v>
      </c>
      <c r="O192" s="97">
        <f t="shared" si="225"/>
        <v>5.2845430931175281</v>
      </c>
      <c r="P192" s="97">
        <f t="shared" si="225"/>
        <v>4.9978470356198024</v>
      </c>
      <c r="Q192" s="97">
        <f t="shared" si="225"/>
        <v>4.6864648902163459</v>
      </c>
      <c r="R192" s="97">
        <f t="shared" si="225"/>
        <v>4.4634317868524631</v>
      </c>
      <c r="S192" s="97">
        <f t="shared" si="225"/>
        <v>4.2960304670935736</v>
      </c>
      <c r="T192" s="97">
        <f t="shared" si="225"/>
        <v>4.1464234463475567</v>
      </c>
      <c r="U192" s="97">
        <f t="shared" si="225"/>
        <v>4.0256516717113184</v>
      </c>
      <c r="V192" s="97">
        <f t="shared" si="225"/>
        <v>10.095557568458565</v>
      </c>
      <c r="W192" s="97">
        <f t="shared" ref="W192" si="226">IF(W40=0,0,W40/W10*1000)</f>
        <v>10.449442146563245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13.355998098497528</v>
      </c>
      <c r="C193" s="97">
        <f t="shared" si="227"/>
        <v>12.742433600981226</v>
      </c>
      <c r="D193" s="97">
        <f t="shared" si="227"/>
        <v>13.52633407840792</v>
      </c>
      <c r="E193" s="97">
        <f t="shared" si="227"/>
        <v>13.950970450451905</v>
      </c>
      <c r="F193" s="97">
        <f t="shared" si="227"/>
        <v>17.538457764205869</v>
      </c>
      <c r="G193" s="97">
        <f t="shared" si="227"/>
        <v>18.234745849058694</v>
      </c>
      <c r="H193" s="97">
        <f t="shared" si="227"/>
        <v>18.075710182281107</v>
      </c>
      <c r="I193" s="97">
        <f t="shared" si="227"/>
        <v>17.62169654454317</v>
      </c>
      <c r="J193" s="97">
        <f t="shared" si="227"/>
        <v>19.025779200544658</v>
      </c>
      <c r="K193" s="97">
        <f t="shared" si="227"/>
        <v>19.198876979727036</v>
      </c>
      <c r="L193" s="97">
        <f t="shared" si="227"/>
        <v>18.593980849959848</v>
      </c>
      <c r="M193" s="97">
        <f t="shared" si="227"/>
        <v>17.919836967543841</v>
      </c>
      <c r="N193" s="97">
        <f t="shared" si="227"/>
        <v>16.642818500240942</v>
      </c>
      <c r="O193" s="97">
        <f t="shared" si="227"/>
        <v>15.966693171858161</v>
      </c>
      <c r="P193" s="97">
        <f t="shared" si="227"/>
        <v>15.339174022673516</v>
      </c>
      <c r="Q193" s="97">
        <f t="shared" si="227"/>
        <v>15.0446057651084</v>
      </c>
      <c r="R193" s="97">
        <f t="shared" si="227"/>
        <v>14.017918479526275</v>
      </c>
      <c r="S193" s="97">
        <f t="shared" si="227"/>
        <v>13.939509269928939</v>
      </c>
      <c r="T193" s="97">
        <f t="shared" si="227"/>
        <v>13.362122896615693</v>
      </c>
      <c r="U193" s="97">
        <f t="shared" si="227"/>
        <v>12.31377096376629</v>
      </c>
      <c r="V193" s="97">
        <f t="shared" si="227"/>
        <v>17.722408013869771</v>
      </c>
      <c r="W193" s="97">
        <f t="shared" ref="W193" si="228">IF(W41=0,0,W41/W11*1000)</f>
        <v>17.663813327895618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73.376325911176039</v>
      </c>
      <c r="G194" s="97">
        <f t="shared" si="229"/>
        <v>72.582267651026086</v>
      </c>
      <c r="H194" s="97">
        <f t="shared" si="229"/>
        <v>28.801803112525523</v>
      </c>
      <c r="I194" s="97">
        <f t="shared" si="229"/>
        <v>15.284050714720006</v>
      </c>
      <c r="J194" s="97">
        <f t="shared" si="229"/>
        <v>17.455524749212078</v>
      </c>
      <c r="K194" s="97">
        <f t="shared" si="229"/>
        <v>18.835195090409702</v>
      </c>
      <c r="L194" s="97">
        <f t="shared" si="229"/>
        <v>16.214890955396722</v>
      </c>
      <c r="M194" s="97">
        <f t="shared" si="229"/>
        <v>16.24092857719441</v>
      </c>
      <c r="N194" s="97">
        <f t="shared" si="229"/>
        <v>15.680617451749663</v>
      </c>
      <c r="O194" s="97">
        <f t="shared" si="229"/>
        <v>16.246835368190386</v>
      </c>
      <c r="P194" s="97">
        <f t="shared" si="229"/>
        <v>19.400223584920798</v>
      </c>
      <c r="Q194" s="97">
        <f t="shared" si="229"/>
        <v>11.656695704717523</v>
      </c>
      <c r="R194" s="97">
        <f t="shared" si="229"/>
        <v>11.919832070561576</v>
      </c>
      <c r="S194" s="97">
        <f t="shared" si="229"/>
        <v>11.780538419570096</v>
      </c>
      <c r="T194" s="97">
        <f t="shared" si="229"/>
        <v>11.676295546501308</v>
      </c>
      <c r="U194" s="97">
        <f t="shared" si="229"/>
        <v>9.2754320152891534</v>
      </c>
      <c r="V194" s="97">
        <f t="shared" si="229"/>
        <v>14.709105620259342</v>
      </c>
      <c r="W194" s="97">
        <f t="shared" ref="W194" si="230">IF(W42=0,0,W42/W12*1000)</f>
        <v>14.830175137309599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60.590686887872906</v>
      </c>
      <c r="C195" s="130">
        <f t="shared" si="231"/>
        <v>63.673293408745444</v>
      </c>
      <c r="D195" s="130">
        <f t="shared" si="231"/>
        <v>58.402561679847224</v>
      </c>
      <c r="E195" s="130">
        <f t="shared" si="231"/>
        <v>40.216049790788709</v>
      </c>
      <c r="F195" s="130">
        <f t="shared" si="231"/>
        <v>41.112744929443664</v>
      </c>
      <c r="G195" s="130">
        <f t="shared" si="231"/>
        <v>39.793341109406839</v>
      </c>
      <c r="H195" s="130">
        <f t="shared" si="231"/>
        <v>38.902787852498982</v>
      </c>
      <c r="I195" s="130">
        <f t="shared" si="231"/>
        <v>39.791144024065559</v>
      </c>
      <c r="J195" s="130">
        <f t="shared" si="231"/>
        <v>40.655573894975078</v>
      </c>
      <c r="K195" s="130">
        <f t="shared" si="231"/>
        <v>40.278629047687701</v>
      </c>
      <c r="L195" s="130">
        <f t="shared" si="231"/>
        <v>36.973064618485317</v>
      </c>
      <c r="M195" s="130">
        <f t="shared" si="231"/>
        <v>35.892493088106292</v>
      </c>
      <c r="N195" s="130">
        <f t="shared" si="231"/>
        <v>34.281335538855579</v>
      </c>
      <c r="O195" s="130">
        <f t="shared" si="231"/>
        <v>32.815351286115856</v>
      </c>
      <c r="P195" s="130">
        <f t="shared" si="231"/>
        <v>32.839392589340221</v>
      </c>
      <c r="Q195" s="130">
        <f t="shared" si="231"/>
        <v>33.186124371879487</v>
      </c>
      <c r="R195" s="130">
        <f t="shared" si="231"/>
        <v>32.799231864883907</v>
      </c>
      <c r="S195" s="130">
        <f t="shared" si="231"/>
        <v>30.830954151381828</v>
      </c>
      <c r="T195" s="130">
        <f t="shared" si="231"/>
        <v>29.413428888013236</v>
      </c>
      <c r="U195" s="130">
        <f t="shared" si="231"/>
        <v>28.569644386309967</v>
      </c>
      <c r="V195" s="130">
        <f t="shared" si="231"/>
        <v>42.364224867557638</v>
      </c>
      <c r="W195" s="130">
        <f t="shared" ref="W195" si="232">IF(W43=0,0,W43/W13*1000)</f>
        <v>36.284612441685567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2082.7589814664434</v>
      </c>
      <c r="C196" s="97">
        <f t="shared" si="233"/>
        <v>2076.9753429432917</v>
      </c>
      <c r="D196" s="97">
        <f t="shared" si="233"/>
        <v>2037.2536424817347</v>
      </c>
      <c r="E196" s="97">
        <f t="shared" si="233"/>
        <v>1895.5678801799538</v>
      </c>
      <c r="F196" s="97">
        <f t="shared" si="233"/>
        <v>1371.0181728638058</v>
      </c>
      <c r="G196" s="97">
        <f t="shared" si="233"/>
        <v>621.80546669803653</v>
      </c>
      <c r="H196" s="97">
        <f t="shared" si="233"/>
        <v>305.67870830236592</v>
      </c>
      <c r="I196" s="97">
        <f t="shared" si="233"/>
        <v>655.56658106429234</v>
      </c>
      <c r="J196" s="97">
        <f t="shared" si="233"/>
        <v>718.7517367819637</v>
      </c>
      <c r="K196" s="97">
        <f t="shared" si="233"/>
        <v>547.60987574030037</v>
      </c>
      <c r="L196" s="97">
        <f t="shared" si="233"/>
        <v>616.2809666215046</v>
      </c>
      <c r="M196" s="97">
        <f t="shared" si="233"/>
        <v>1331.5068325699217</v>
      </c>
      <c r="N196" s="97">
        <f t="shared" si="233"/>
        <v>669.02016134548899</v>
      </c>
      <c r="O196" s="97">
        <f t="shared" si="233"/>
        <v>852.19847547534982</v>
      </c>
      <c r="P196" s="97">
        <f t="shared" si="233"/>
        <v>749.99844873435427</v>
      </c>
      <c r="Q196" s="97">
        <f t="shared" si="233"/>
        <v>1564.9579338119315</v>
      </c>
      <c r="R196" s="97">
        <f t="shared" si="233"/>
        <v>2216.1878709942152</v>
      </c>
      <c r="S196" s="97">
        <f t="shared" si="233"/>
        <v>3664.1002126966177</v>
      </c>
      <c r="T196" s="97">
        <f t="shared" si="233"/>
        <v>1959.5929282339314</v>
      </c>
      <c r="U196" s="97">
        <f t="shared" si="233"/>
        <v>5392.1442346271606</v>
      </c>
      <c r="V196" s="97">
        <f t="shared" si="233"/>
        <v>22216.852940705579</v>
      </c>
      <c r="W196" s="97">
        <f t="shared" ref="W196" si="234">IF(W44=0,0,W44/W14*1000)</f>
        <v>1077.0833393270204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48.762400818249745</v>
      </c>
      <c r="C197" s="97">
        <f t="shared" si="235"/>
        <v>48.357921789564131</v>
      </c>
      <c r="D197" s="97">
        <f t="shared" si="235"/>
        <v>48.002521922129603</v>
      </c>
      <c r="E197" s="97">
        <f t="shared" si="235"/>
        <v>31.302259700078736</v>
      </c>
      <c r="F197" s="97">
        <f t="shared" si="235"/>
        <v>36.604204172557687</v>
      </c>
      <c r="G197" s="97">
        <f t="shared" si="235"/>
        <v>37.312663922812852</v>
      </c>
      <c r="H197" s="97">
        <f t="shared" si="235"/>
        <v>38.704974547439619</v>
      </c>
      <c r="I197" s="97">
        <f t="shared" si="235"/>
        <v>39.373094344177332</v>
      </c>
      <c r="J197" s="97">
        <f t="shared" si="235"/>
        <v>39.718359025158925</v>
      </c>
      <c r="K197" s="97">
        <f t="shared" si="235"/>
        <v>41.32190772879855</v>
      </c>
      <c r="L197" s="97">
        <f t="shared" si="235"/>
        <v>38.951808526230899</v>
      </c>
      <c r="M197" s="97">
        <f t="shared" si="235"/>
        <v>36.414720603584279</v>
      </c>
      <c r="N197" s="97">
        <f t="shared" si="235"/>
        <v>37.563160582946352</v>
      </c>
      <c r="O197" s="97">
        <f t="shared" si="235"/>
        <v>37.349173093284158</v>
      </c>
      <c r="P197" s="97">
        <f t="shared" si="235"/>
        <v>37.678182895386001</v>
      </c>
      <c r="Q197" s="97">
        <f t="shared" si="235"/>
        <v>35.26421252888602</v>
      </c>
      <c r="R197" s="97">
        <f t="shared" si="235"/>
        <v>35.420963877698817</v>
      </c>
      <c r="S197" s="97">
        <f t="shared" si="235"/>
        <v>34.324989050279427</v>
      </c>
      <c r="T197" s="97">
        <f t="shared" si="235"/>
        <v>36.595257605865079</v>
      </c>
      <c r="U197" s="97">
        <f t="shared" si="235"/>
        <v>35.801691974738873</v>
      </c>
      <c r="V197" s="97">
        <f t="shared" si="235"/>
        <v>33.964604363796944</v>
      </c>
      <c r="W197" s="97">
        <f t="shared" ref="W197" si="236">IF(W45=0,0,W45/W15*1000)</f>
        <v>37.736027707423709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48.050802895282573</v>
      </c>
      <c r="C198" s="97">
        <f t="shared" si="237"/>
        <v>47.968923294018467</v>
      </c>
      <c r="D198" s="97">
        <f t="shared" si="237"/>
        <v>47.445829806607676</v>
      </c>
      <c r="E198" s="97">
        <f t="shared" si="237"/>
        <v>30.401833146898955</v>
      </c>
      <c r="F198" s="97">
        <f t="shared" si="237"/>
        <v>34.06412128496445</v>
      </c>
      <c r="G198" s="97">
        <f t="shared" si="237"/>
        <v>35.041014311994388</v>
      </c>
      <c r="H198" s="97">
        <f t="shared" si="237"/>
        <v>35.003511530062589</v>
      </c>
      <c r="I198" s="97">
        <f t="shared" si="237"/>
        <v>31.562118683255097</v>
      </c>
      <c r="J198" s="97">
        <f t="shared" si="237"/>
        <v>31.52096921271924</v>
      </c>
      <c r="K198" s="97">
        <f t="shared" si="237"/>
        <v>31.951592067133632</v>
      </c>
      <c r="L198" s="97">
        <f t="shared" si="237"/>
        <v>28.492624288670669</v>
      </c>
      <c r="M198" s="97">
        <f t="shared" si="237"/>
        <v>26.350337264248704</v>
      </c>
      <c r="N198" s="97">
        <f t="shared" si="237"/>
        <v>26.554829276369265</v>
      </c>
      <c r="O198" s="97">
        <f t="shared" si="237"/>
        <v>24.707829867685575</v>
      </c>
      <c r="P198" s="97">
        <f t="shared" si="237"/>
        <v>24.691560543765398</v>
      </c>
      <c r="Q198" s="97">
        <f t="shared" si="237"/>
        <v>23.642918697267753</v>
      </c>
      <c r="R198" s="97">
        <f t="shared" si="237"/>
        <v>22.456716395282282</v>
      </c>
      <c r="S198" s="97">
        <f t="shared" si="237"/>
        <v>19.783759029454803</v>
      </c>
      <c r="T198" s="97">
        <f t="shared" si="237"/>
        <v>19.395506545953317</v>
      </c>
      <c r="U198" s="97">
        <f t="shared" si="237"/>
        <v>18.4741251519945</v>
      </c>
      <c r="V198" s="97">
        <f t="shared" si="237"/>
        <v>31.616836040268915</v>
      </c>
      <c r="W198" s="97">
        <f t="shared" ref="W198" si="238">IF(W46=0,0,W46/W16*1000)</f>
        <v>32.273451641589951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24.188233998383641</v>
      </c>
      <c r="C199" s="32">
        <f t="shared" si="239"/>
        <v>24.750320427285192</v>
      </c>
      <c r="D199" s="32">
        <f t="shared" si="239"/>
        <v>26.869066045812996</v>
      </c>
      <c r="E199" s="32">
        <f t="shared" si="239"/>
        <v>31.195635720426147</v>
      </c>
      <c r="F199" s="32">
        <f t="shared" si="239"/>
        <v>34.909056929329459</v>
      </c>
      <c r="G199" s="32">
        <f t="shared" si="239"/>
        <v>41.137131570516658</v>
      </c>
      <c r="H199" s="32">
        <f t="shared" si="239"/>
        <v>42.667396198551984</v>
      </c>
      <c r="I199" s="32">
        <f t="shared" si="239"/>
        <v>44.69914822155603</v>
      </c>
      <c r="J199" s="32">
        <f t="shared" si="239"/>
        <v>46.473245498984113</v>
      </c>
      <c r="K199" s="32">
        <f t="shared" si="239"/>
        <v>49.384467337194351</v>
      </c>
      <c r="L199" s="32">
        <f t="shared" si="239"/>
        <v>44.640037333298359</v>
      </c>
      <c r="M199" s="32">
        <f t="shared" si="239"/>
        <v>42.779597347694228</v>
      </c>
      <c r="N199" s="32">
        <f t="shared" si="239"/>
        <v>42.236138950375199</v>
      </c>
      <c r="O199" s="32">
        <f t="shared" si="239"/>
        <v>38.504575455324279</v>
      </c>
      <c r="P199" s="32">
        <f t="shared" si="239"/>
        <v>39.039525565247665</v>
      </c>
      <c r="Q199" s="32">
        <f t="shared" si="239"/>
        <v>37.919980706337476</v>
      </c>
      <c r="R199" s="32">
        <f t="shared" si="239"/>
        <v>38.219199368849381</v>
      </c>
      <c r="S199" s="32">
        <f t="shared" si="239"/>
        <v>39.800932184160736</v>
      </c>
      <c r="T199" s="32">
        <f t="shared" si="239"/>
        <v>39.086106739678769</v>
      </c>
      <c r="U199" s="32">
        <f t="shared" si="239"/>
        <v>38.101797925419426</v>
      </c>
      <c r="V199" s="32">
        <f t="shared" si="239"/>
        <v>33.430482106306798</v>
      </c>
      <c r="W199" s="32">
        <f t="shared" ref="W199" si="240">IF(W47=0,0,W47/W17*1000)</f>
        <v>32.987714117763474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37.07446327480551</v>
      </c>
      <c r="C200" s="141">
        <f t="shared" si="241"/>
        <v>36.711444187965753</v>
      </c>
      <c r="D200" s="141">
        <f t="shared" si="241"/>
        <v>38.517917200745629</v>
      </c>
      <c r="E200" s="141">
        <f t="shared" si="241"/>
        <v>44.702652007454091</v>
      </c>
      <c r="F200" s="141">
        <f t="shared" si="241"/>
        <v>48.433011101540828</v>
      </c>
      <c r="G200" s="141">
        <f t="shared" si="241"/>
        <v>57.356309502308015</v>
      </c>
      <c r="H200" s="141">
        <f t="shared" si="241"/>
        <v>59.879884422884849</v>
      </c>
      <c r="I200" s="141">
        <f t="shared" si="241"/>
        <v>63.275232516434301</v>
      </c>
      <c r="J200" s="141">
        <f t="shared" si="241"/>
        <v>65.691562712247475</v>
      </c>
      <c r="K200" s="141">
        <f t="shared" si="241"/>
        <v>68.306686873548244</v>
      </c>
      <c r="L200" s="141">
        <f t="shared" si="241"/>
        <v>61.495366814498368</v>
      </c>
      <c r="M200" s="141">
        <f t="shared" si="241"/>
        <v>58.891527246327179</v>
      </c>
      <c r="N200" s="141">
        <f t="shared" si="241"/>
        <v>58.536367404171045</v>
      </c>
      <c r="O200" s="141">
        <f t="shared" si="241"/>
        <v>51.855822961944632</v>
      </c>
      <c r="P200" s="141">
        <f t="shared" si="241"/>
        <v>52.496935563867936</v>
      </c>
      <c r="Q200" s="141">
        <f t="shared" si="241"/>
        <v>49.77705197898927</v>
      </c>
      <c r="R200" s="141">
        <f t="shared" si="241"/>
        <v>50.354855324148417</v>
      </c>
      <c r="S200" s="141">
        <f t="shared" si="241"/>
        <v>52.778049607540709</v>
      </c>
      <c r="T200" s="141">
        <f t="shared" si="241"/>
        <v>52.333282359745468</v>
      </c>
      <c r="U200" s="141">
        <f t="shared" si="241"/>
        <v>49.878480724873164</v>
      </c>
      <c r="V200" s="141">
        <f t="shared" si="241"/>
        <v>41.654110581074107</v>
      </c>
      <c r="W200" s="141">
        <f t="shared" ref="W200" si="242">IF(W48=0,0,W48/W18*1000)</f>
        <v>41.342598887270746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789.32561611627114</v>
      </c>
      <c r="C201" s="97">
        <f t="shared" si="243"/>
        <v>734.75501342482528</v>
      </c>
      <c r="D201" s="97">
        <f t="shared" si="243"/>
        <v>714.28327578703727</v>
      </c>
      <c r="E201" s="97">
        <f t="shared" si="243"/>
        <v>692.69232679480922</v>
      </c>
      <c r="F201" s="97">
        <f t="shared" si="243"/>
        <v>674.45838525388695</v>
      </c>
      <c r="G201" s="97">
        <f t="shared" si="243"/>
        <v>661.57417711136236</v>
      </c>
      <c r="H201" s="97">
        <f t="shared" si="243"/>
        <v>654.64968964124148</v>
      </c>
      <c r="I201" s="97">
        <f t="shared" si="243"/>
        <v>648.61083213378799</v>
      </c>
      <c r="J201" s="97">
        <f t="shared" si="243"/>
        <v>652.35159359919987</v>
      </c>
      <c r="K201" s="97">
        <f t="shared" si="243"/>
        <v>650.53322773265904</v>
      </c>
      <c r="L201" s="97">
        <f t="shared" si="243"/>
        <v>656.69107823267939</v>
      </c>
      <c r="M201" s="97">
        <f t="shared" si="243"/>
        <v>659.75607271566071</v>
      </c>
      <c r="N201" s="97">
        <f t="shared" si="243"/>
        <v>661.67869584925506</v>
      </c>
      <c r="O201" s="97">
        <f t="shared" si="243"/>
        <v>667.30884717490767</v>
      </c>
      <c r="P201" s="97">
        <f t="shared" si="243"/>
        <v>679.01533557403843</v>
      </c>
      <c r="Q201" s="97">
        <f t="shared" si="243"/>
        <v>682.0656710468661</v>
      </c>
      <c r="R201" s="97">
        <f t="shared" si="243"/>
        <v>695.22665104217981</v>
      </c>
      <c r="S201" s="97">
        <f t="shared" si="243"/>
        <v>694.80611073958551</v>
      </c>
      <c r="T201" s="97">
        <f t="shared" si="243"/>
        <v>692.72961849078092</v>
      </c>
      <c r="U201" s="97">
        <f t="shared" si="243"/>
        <v>690.2885717368747</v>
      </c>
      <c r="V201" s="97">
        <f t="shared" si="243"/>
        <v>686.28113819156715</v>
      </c>
      <c r="W201" s="97">
        <f t="shared" ref="W201" si="244">IF(W49=0,0,W49/W19*1000)</f>
        <v>688.55860079317927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31.165091886032762</v>
      </c>
      <c r="C202" s="97">
        <f t="shared" si="245"/>
        <v>30.718076169675626</v>
      </c>
      <c r="D202" s="97">
        <f t="shared" si="245"/>
        <v>32.128212344470882</v>
      </c>
      <c r="E202" s="97">
        <f t="shared" si="245"/>
        <v>37.763737404820567</v>
      </c>
      <c r="F202" s="97">
        <f t="shared" si="245"/>
        <v>40.737554319677741</v>
      </c>
      <c r="G202" s="97">
        <f t="shared" si="245"/>
        <v>48.390194095449317</v>
      </c>
      <c r="H202" s="97">
        <f t="shared" si="245"/>
        <v>50.012753354197052</v>
      </c>
      <c r="I202" s="97">
        <f t="shared" si="245"/>
        <v>52.205056421178845</v>
      </c>
      <c r="J202" s="97">
        <f t="shared" si="245"/>
        <v>51.906455441894046</v>
      </c>
      <c r="K202" s="97">
        <f t="shared" si="245"/>
        <v>52.688791525110098</v>
      </c>
      <c r="L202" s="97">
        <f t="shared" si="245"/>
        <v>46.163634249565575</v>
      </c>
      <c r="M202" s="97">
        <f t="shared" si="245"/>
        <v>43.705665730234387</v>
      </c>
      <c r="N202" s="97">
        <f t="shared" si="245"/>
        <v>42.750112505466952</v>
      </c>
      <c r="O202" s="97">
        <f t="shared" si="245"/>
        <v>36.606148772198338</v>
      </c>
      <c r="P202" s="97">
        <f t="shared" si="245"/>
        <v>36.152612699899315</v>
      </c>
      <c r="Q202" s="97">
        <f t="shared" si="245"/>
        <v>34.23276963209959</v>
      </c>
      <c r="R202" s="97">
        <f t="shared" si="245"/>
        <v>37.212398580014899</v>
      </c>
      <c r="S202" s="97">
        <f t="shared" si="245"/>
        <v>39.371102392029201</v>
      </c>
      <c r="T202" s="97">
        <f t="shared" si="245"/>
        <v>38.933521323756189</v>
      </c>
      <c r="U202" s="97">
        <f t="shared" si="245"/>
        <v>37.053249913201398</v>
      </c>
      <c r="V202" s="97">
        <f t="shared" si="245"/>
        <v>30.50669994175999</v>
      </c>
      <c r="W202" s="97">
        <f t="shared" ref="W202" si="246">IF(W50=0,0,W50/W20*1000)</f>
        <v>30.660851355417318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3.8489596281336587</v>
      </c>
      <c r="C203" s="130">
        <f t="shared" si="247"/>
        <v>3.7921382407450763</v>
      </c>
      <c r="D203" s="130">
        <f t="shared" si="247"/>
        <v>3.6552493415868921</v>
      </c>
      <c r="E203" s="130">
        <f t="shared" si="247"/>
        <v>3.5418117507899809</v>
      </c>
      <c r="F203" s="130">
        <f t="shared" si="247"/>
        <v>4.7867697086572152</v>
      </c>
      <c r="G203" s="130">
        <f t="shared" si="247"/>
        <v>4.606577414773998</v>
      </c>
      <c r="H203" s="130">
        <f t="shared" si="247"/>
        <v>4.4507226628159957</v>
      </c>
      <c r="I203" s="130">
        <f t="shared" si="247"/>
        <v>4.5166650055875674</v>
      </c>
      <c r="J203" s="130">
        <f t="shared" si="247"/>
        <v>4.2651949995270142</v>
      </c>
      <c r="K203" s="130">
        <f t="shared" si="247"/>
        <v>4.2812503950517264</v>
      </c>
      <c r="L203" s="130">
        <f t="shared" si="247"/>
        <v>3.8209185834425758</v>
      </c>
      <c r="M203" s="130">
        <f t="shared" si="247"/>
        <v>3.7826731917669592</v>
      </c>
      <c r="N203" s="130">
        <f t="shared" si="247"/>
        <v>3.3789790749843305</v>
      </c>
      <c r="O203" s="130">
        <f t="shared" si="247"/>
        <v>3.2333665469118191</v>
      </c>
      <c r="P203" s="130">
        <f t="shared" si="247"/>
        <v>3.4550823182412205</v>
      </c>
      <c r="Q203" s="130">
        <f t="shared" si="247"/>
        <v>3.4019689248682843</v>
      </c>
      <c r="R203" s="130">
        <f t="shared" si="247"/>
        <v>3.3182565610646968</v>
      </c>
      <c r="S203" s="130">
        <f t="shared" si="247"/>
        <v>3.178353258517697</v>
      </c>
      <c r="T203" s="130">
        <f t="shared" si="247"/>
        <v>2.9656709904470784</v>
      </c>
      <c r="U203" s="130">
        <f t="shared" si="247"/>
        <v>3.0836507278317935</v>
      </c>
      <c r="V203" s="130">
        <f t="shared" si="247"/>
        <v>3.372225753983646</v>
      </c>
      <c r="W203" s="130">
        <f t="shared" ref="W203" si="248">IF(W51=0,0,W51/W21*1000)</f>
        <v>3.3022295007517939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139.605898617804</v>
      </c>
      <c r="C204" s="130">
        <f t="shared" si="249"/>
        <v>132.67208074533511</v>
      </c>
      <c r="D204" s="130">
        <f t="shared" si="249"/>
        <v>140.39373675849757</v>
      </c>
      <c r="E204" s="130">
        <f t="shared" si="249"/>
        <v>95.784449787270859</v>
      </c>
      <c r="F204" s="130">
        <f t="shared" si="249"/>
        <v>112.16473410856749</v>
      </c>
      <c r="G204" s="130">
        <f t="shared" si="249"/>
        <v>120.70195085582797</v>
      </c>
      <c r="H204" s="130">
        <f t="shared" si="249"/>
        <v>133.72691843325373</v>
      </c>
      <c r="I204" s="130">
        <f t="shared" si="249"/>
        <v>135.97175749278662</v>
      </c>
      <c r="J204" s="130">
        <f t="shared" si="249"/>
        <v>133.77420162633456</v>
      </c>
      <c r="K204" s="130">
        <f t="shared" si="249"/>
        <v>111.11588690500547</v>
      </c>
      <c r="L204" s="130">
        <f t="shared" si="249"/>
        <v>105.79821682017734</v>
      </c>
      <c r="M204" s="130">
        <f t="shared" si="249"/>
        <v>97.997777914910372</v>
      </c>
      <c r="N204" s="130">
        <f t="shared" si="249"/>
        <v>90.389314445888758</v>
      </c>
      <c r="O204" s="130">
        <f t="shared" si="249"/>
        <v>83.479191967423006</v>
      </c>
      <c r="P204" s="130">
        <f t="shared" si="249"/>
        <v>73.516289759019941</v>
      </c>
      <c r="Q204" s="130">
        <f t="shared" si="249"/>
        <v>75.699895368222798</v>
      </c>
      <c r="R204" s="130">
        <f t="shared" si="249"/>
        <v>64.62895463356665</v>
      </c>
      <c r="S204" s="130">
        <f t="shared" si="249"/>
        <v>66.678380550443379</v>
      </c>
      <c r="T204" s="130">
        <f t="shared" si="249"/>
        <v>79.088809360604969</v>
      </c>
      <c r="U204" s="130">
        <f t="shared" si="249"/>
        <v>99.64845968266782</v>
      </c>
      <c r="V204" s="130">
        <f t="shared" si="249"/>
        <v>187.85236483475754</v>
      </c>
      <c r="W204" s="130">
        <f t="shared" ref="W204" si="250">IF(W52=0,0,W52/W22*1000)</f>
        <v>120.93323386383452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8997.1255367411832</v>
      </c>
      <c r="C205" s="97">
        <f t="shared" si="251"/>
        <v>9103.7942796224161</v>
      </c>
      <c r="D205" s="97">
        <f t="shared" si="251"/>
        <v>8765.5936939804942</v>
      </c>
      <c r="E205" s="97">
        <f t="shared" si="251"/>
        <v>7819.4547879523852</v>
      </c>
      <c r="F205" s="97">
        <f t="shared" si="251"/>
        <v>4939.4566486021704</v>
      </c>
      <c r="G205" s="97">
        <f t="shared" si="251"/>
        <v>3471.4463002827661</v>
      </c>
      <c r="H205" s="97">
        <f t="shared" si="251"/>
        <v>1788.2172882194686</v>
      </c>
      <c r="I205" s="97">
        <f t="shared" si="251"/>
        <v>3626.2896906859514</v>
      </c>
      <c r="J205" s="97">
        <f t="shared" si="251"/>
        <v>3626.0976229234757</v>
      </c>
      <c r="K205" s="97">
        <f t="shared" si="251"/>
        <v>1917.0210130357923</v>
      </c>
      <c r="L205" s="97">
        <f t="shared" si="251"/>
        <v>2090.0566417944806</v>
      </c>
      <c r="M205" s="97">
        <f t="shared" si="251"/>
        <v>4413.390798271118</v>
      </c>
      <c r="N205" s="97">
        <f t="shared" si="251"/>
        <v>2732.7198351047</v>
      </c>
      <c r="O205" s="97">
        <f t="shared" si="251"/>
        <v>3468.1574901802228</v>
      </c>
      <c r="P205" s="97">
        <f t="shared" si="251"/>
        <v>2443.5861365794731</v>
      </c>
      <c r="Q205" s="97">
        <f t="shared" si="251"/>
        <v>4720.9119813291945</v>
      </c>
      <c r="R205" s="97">
        <f t="shared" si="251"/>
        <v>4731.4940896766293</v>
      </c>
      <c r="S205" s="97">
        <f t="shared" si="251"/>
        <v>9256.9640272489869</v>
      </c>
      <c r="T205" s="97">
        <f t="shared" si="251"/>
        <v>6076.5463412898962</v>
      </c>
      <c r="U205" s="97">
        <f t="shared" si="251"/>
        <v>20829.564438495767</v>
      </c>
      <c r="V205" s="97">
        <f t="shared" si="251"/>
        <v>30309.891495684926</v>
      </c>
      <c r="W205" s="97">
        <f t="shared" ref="W205" si="252">IF(W53=0,0,W53/W23*1000)</f>
        <v>2739.0338940394868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193.9906727839178</v>
      </c>
      <c r="C206" s="97">
        <f t="shared" si="253"/>
        <v>184.05933903775804</v>
      </c>
      <c r="D206" s="97">
        <f t="shared" si="253"/>
        <v>193.76545011000326</v>
      </c>
      <c r="E206" s="97">
        <f t="shared" si="253"/>
        <v>127.0437493008241</v>
      </c>
      <c r="F206" s="97">
        <f t="shared" si="253"/>
        <v>158.38102944881481</v>
      </c>
      <c r="G206" s="97">
        <f t="shared" si="253"/>
        <v>158.36880116704208</v>
      </c>
      <c r="H206" s="97">
        <f t="shared" si="253"/>
        <v>188.62832452226345</v>
      </c>
      <c r="I206" s="97">
        <f t="shared" si="253"/>
        <v>186.4319525105501</v>
      </c>
      <c r="J206" s="97">
        <f t="shared" si="253"/>
        <v>179.8197532008393</v>
      </c>
      <c r="K206" s="97">
        <f t="shared" si="253"/>
        <v>191.34583832925219</v>
      </c>
      <c r="L206" s="97">
        <f t="shared" si="253"/>
        <v>181.91556025239606</v>
      </c>
      <c r="M206" s="97">
        <f t="shared" si="253"/>
        <v>175.21612668794475</v>
      </c>
      <c r="N206" s="97">
        <f t="shared" si="253"/>
        <v>177.72006945907177</v>
      </c>
      <c r="O206" s="97">
        <f t="shared" si="253"/>
        <v>183.86583824918205</v>
      </c>
      <c r="P206" s="97">
        <f t="shared" si="253"/>
        <v>166.11584761048039</v>
      </c>
      <c r="Q206" s="97">
        <f t="shared" si="253"/>
        <v>162.37394544699572</v>
      </c>
      <c r="R206" s="97">
        <f t="shared" si="253"/>
        <v>150.45483967886656</v>
      </c>
      <c r="S206" s="97">
        <f t="shared" si="253"/>
        <v>173.59669578914807</v>
      </c>
      <c r="T206" s="97">
        <f t="shared" si="253"/>
        <v>185.10062382972154</v>
      </c>
      <c r="U206" s="97">
        <f t="shared" si="253"/>
        <v>184.85421231408057</v>
      </c>
      <c r="V206" s="97">
        <f t="shared" si="253"/>
        <v>185.63261730129997</v>
      </c>
      <c r="W206" s="97">
        <f t="shared" ref="W206" si="254">IF(W54=0,0,W54/W24*1000)</f>
        <v>213.95770946922661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120.52227870337406</v>
      </c>
      <c r="C207" s="97">
        <f t="shared" si="255"/>
        <v>115.18699034479039</v>
      </c>
      <c r="D207" s="97">
        <f t="shared" si="255"/>
        <v>121.0352826152359</v>
      </c>
      <c r="E207" s="97">
        <f t="shared" si="255"/>
        <v>85.62165205280013</v>
      </c>
      <c r="F207" s="97">
        <f t="shared" si="255"/>
        <v>100.16456883058474</v>
      </c>
      <c r="G207" s="97">
        <f t="shared" si="255"/>
        <v>108.7925945465182</v>
      </c>
      <c r="H207" s="97">
        <f t="shared" si="255"/>
        <v>115.26928140280472</v>
      </c>
      <c r="I207" s="97">
        <f t="shared" si="255"/>
        <v>105.19729537163437</v>
      </c>
      <c r="J207" s="97">
        <f t="shared" si="255"/>
        <v>106.2271647805569</v>
      </c>
      <c r="K207" s="97">
        <f t="shared" si="255"/>
        <v>90.637388817088294</v>
      </c>
      <c r="L207" s="97">
        <f t="shared" si="255"/>
        <v>84.25471065030041</v>
      </c>
      <c r="M207" s="97">
        <f t="shared" si="255"/>
        <v>79.617045438041202</v>
      </c>
      <c r="N207" s="97">
        <f t="shared" si="255"/>
        <v>78.374010972425651</v>
      </c>
      <c r="O207" s="97">
        <f t="shared" si="255"/>
        <v>71.191251308966073</v>
      </c>
      <c r="P207" s="97">
        <f t="shared" si="255"/>
        <v>63.253203715770397</v>
      </c>
      <c r="Q207" s="97">
        <f t="shared" si="255"/>
        <v>64.242841232223242</v>
      </c>
      <c r="R207" s="97">
        <f t="shared" si="255"/>
        <v>55.322660557838468</v>
      </c>
      <c r="S207" s="97">
        <f t="shared" si="255"/>
        <v>52.47945086514919</v>
      </c>
      <c r="T207" s="97">
        <f t="shared" si="255"/>
        <v>47.715934432348995</v>
      </c>
      <c r="U207" s="97">
        <f t="shared" si="255"/>
        <v>44.25213080446494</v>
      </c>
      <c r="V207" s="97">
        <f t="shared" si="255"/>
        <v>91.487501265951437</v>
      </c>
      <c r="W207" s="97">
        <f t="shared" ref="W207" si="256">IF(W55=0,0,W55/W25*1000)</f>
        <v>92.686943814965076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57.28404842184586</v>
      </c>
      <c r="C208" s="130">
        <f t="shared" si="257"/>
        <v>102.69197698260467</v>
      </c>
      <c r="D208" s="130">
        <f t="shared" si="257"/>
        <v>50.0859845227859</v>
      </c>
      <c r="E208" s="130">
        <f t="shared" si="257"/>
        <v>69.066326681886906</v>
      </c>
      <c r="F208" s="130">
        <f t="shared" si="257"/>
        <v>125.01433075379764</v>
      </c>
      <c r="G208" s="130">
        <f t="shared" si="257"/>
        <v>79.29137834554858</v>
      </c>
      <c r="H208" s="130">
        <f t="shared" si="257"/>
        <v>142.57033733927892</v>
      </c>
      <c r="I208" s="130">
        <f t="shared" si="257"/>
        <v>141.81236266360943</v>
      </c>
      <c r="J208" s="130">
        <f t="shared" si="257"/>
        <v>146.27502763788235</v>
      </c>
      <c r="K208" s="130">
        <f t="shared" si="257"/>
        <v>155.52515698689385</v>
      </c>
      <c r="L208" s="130">
        <f t="shared" si="257"/>
        <v>95.620788258113535</v>
      </c>
      <c r="M208" s="130">
        <f t="shared" si="257"/>
        <v>73.334561683658833</v>
      </c>
      <c r="N208" s="130">
        <f t="shared" si="257"/>
        <v>135.00475177625921</v>
      </c>
      <c r="O208" s="130">
        <f t="shared" si="257"/>
        <v>82.091143594153039</v>
      </c>
      <c r="P208" s="130">
        <f t="shared" si="257"/>
        <v>114.09190790102227</v>
      </c>
      <c r="Q208" s="130">
        <f t="shared" si="257"/>
        <v>93.243700982308042</v>
      </c>
      <c r="R208" s="130">
        <f t="shared" si="257"/>
        <v>114.0011464603038</v>
      </c>
      <c r="S208" s="130">
        <f t="shared" si="257"/>
        <v>164.13069647463453</v>
      </c>
      <c r="T208" s="130">
        <f t="shared" si="257"/>
        <v>133.75827133724624</v>
      </c>
      <c r="U208" s="130">
        <f t="shared" si="257"/>
        <v>160.31545571797071</v>
      </c>
      <c r="V208" s="130">
        <f t="shared" si="257"/>
        <v>228.42743861660455</v>
      </c>
      <c r="W208" s="130">
        <f t="shared" ref="W208" si="258">IF(W56=0,0,W56/W26*1000)</f>
        <v>187.68467130461968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57.28404842184586</v>
      </c>
      <c r="C210" s="98">
        <f t="shared" si="261"/>
        <v>102.69197698260467</v>
      </c>
      <c r="D210" s="98">
        <f t="shared" si="261"/>
        <v>50.0859845227859</v>
      </c>
      <c r="E210" s="98">
        <f t="shared" si="261"/>
        <v>69.066326681886906</v>
      </c>
      <c r="F210" s="98">
        <f t="shared" si="261"/>
        <v>125.01433075379764</v>
      </c>
      <c r="G210" s="98">
        <f t="shared" si="261"/>
        <v>79.29137834554858</v>
      </c>
      <c r="H210" s="98">
        <f t="shared" si="261"/>
        <v>142.57033733927892</v>
      </c>
      <c r="I210" s="98">
        <f t="shared" si="261"/>
        <v>141.81236266360943</v>
      </c>
      <c r="J210" s="98">
        <f t="shared" si="261"/>
        <v>146.27502763788235</v>
      </c>
      <c r="K210" s="98">
        <f t="shared" si="261"/>
        <v>155.52515698689385</v>
      </c>
      <c r="L210" s="98">
        <f t="shared" si="261"/>
        <v>95.620788258113535</v>
      </c>
      <c r="M210" s="98">
        <f t="shared" si="261"/>
        <v>73.334561683658833</v>
      </c>
      <c r="N210" s="98">
        <f t="shared" si="261"/>
        <v>135.00475177625921</v>
      </c>
      <c r="O210" s="98">
        <f t="shared" si="261"/>
        <v>82.091143594153039</v>
      </c>
      <c r="P210" s="98">
        <f t="shared" si="261"/>
        <v>114.09190790102227</v>
      </c>
      <c r="Q210" s="98">
        <f t="shared" si="261"/>
        <v>93.243700982308042</v>
      </c>
      <c r="R210" s="98">
        <f t="shared" si="261"/>
        <v>114.0011464603038</v>
      </c>
      <c r="S210" s="98">
        <f t="shared" si="261"/>
        <v>164.13069647463453</v>
      </c>
      <c r="T210" s="98">
        <f t="shared" si="261"/>
        <v>133.75827133724624</v>
      </c>
      <c r="U210" s="98">
        <f t="shared" si="261"/>
        <v>160.31545571797071</v>
      </c>
      <c r="V210" s="98">
        <f t="shared" si="261"/>
        <v>228.42743861660455</v>
      </c>
      <c r="W210" s="98">
        <f t="shared" ref="W210:W213" si="262">IF(W58=0,0,W58/W28*1000)</f>
        <v>187.68467130461968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</v>
      </c>
      <c r="J211" s="32">
        <f t="shared" si="263"/>
        <v>0</v>
      </c>
      <c r="K211" s="32">
        <f t="shared" si="263"/>
        <v>0</v>
      </c>
      <c r="L211" s="32">
        <f t="shared" si="263"/>
        <v>0</v>
      </c>
      <c r="M211" s="32">
        <f t="shared" si="263"/>
        <v>0</v>
      </c>
      <c r="N211" s="32">
        <f t="shared" si="263"/>
        <v>0</v>
      </c>
      <c r="O211" s="32">
        <f t="shared" si="263"/>
        <v>0</v>
      </c>
      <c r="P211" s="32">
        <f t="shared" si="263"/>
        <v>0</v>
      </c>
      <c r="Q211" s="32">
        <f t="shared" si="263"/>
        <v>0</v>
      </c>
      <c r="R211" s="32">
        <f t="shared" si="263"/>
        <v>0</v>
      </c>
      <c r="S211" s="32">
        <f t="shared" si="263"/>
        <v>0</v>
      </c>
      <c r="T211" s="32">
        <f t="shared" si="263"/>
        <v>0</v>
      </c>
      <c r="U211" s="32">
        <f t="shared" si="263"/>
        <v>0</v>
      </c>
      <c r="V211" s="32">
        <f t="shared" si="263"/>
        <v>0</v>
      </c>
      <c r="W211" s="32">
        <f t="shared" si="262"/>
        <v>0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0</v>
      </c>
      <c r="J212" s="97">
        <f t="shared" si="264"/>
        <v>0</v>
      </c>
      <c r="K212" s="97">
        <f t="shared" si="264"/>
        <v>0</v>
      </c>
      <c r="L212" s="97">
        <f t="shared" si="264"/>
        <v>0</v>
      </c>
      <c r="M212" s="97">
        <f t="shared" si="264"/>
        <v>0</v>
      </c>
      <c r="N212" s="97">
        <f t="shared" si="264"/>
        <v>0</v>
      </c>
      <c r="O212" s="97">
        <f t="shared" si="264"/>
        <v>0</v>
      </c>
      <c r="P212" s="97">
        <f t="shared" si="264"/>
        <v>0</v>
      </c>
      <c r="Q212" s="97">
        <f t="shared" si="264"/>
        <v>0</v>
      </c>
      <c r="R212" s="97">
        <f t="shared" si="264"/>
        <v>0</v>
      </c>
      <c r="S212" s="97">
        <f t="shared" si="264"/>
        <v>0</v>
      </c>
      <c r="T212" s="97">
        <f t="shared" si="264"/>
        <v>0</v>
      </c>
      <c r="U212" s="97">
        <f t="shared" si="264"/>
        <v>0</v>
      </c>
      <c r="V212" s="97">
        <f t="shared" si="264"/>
        <v>0</v>
      </c>
      <c r="W212" s="97">
        <f t="shared" si="262"/>
        <v>0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</v>
      </c>
      <c r="J213" s="98">
        <f t="shared" si="265"/>
        <v>0</v>
      </c>
      <c r="K213" s="98">
        <f t="shared" si="265"/>
        <v>0</v>
      </c>
      <c r="L213" s="98">
        <f t="shared" si="265"/>
        <v>0</v>
      </c>
      <c r="M213" s="98">
        <f t="shared" si="265"/>
        <v>0</v>
      </c>
      <c r="N213" s="98">
        <f t="shared" si="265"/>
        <v>0</v>
      </c>
      <c r="O213" s="98">
        <f t="shared" si="265"/>
        <v>0</v>
      </c>
      <c r="P213" s="98">
        <f t="shared" si="265"/>
        <v>0</v>
      </c>
      <c r="Q213" s="98">
        <f t="shared" si="265"/>
        <v>0</v>
      </c>
      <c r="R213" s="98">
        <f t="shared" si="265"/>
        <v>0</v>
      </c>
      <c r="S213" s="98">
        <f t="shared" si="265"/>
        <v>0</v>
      </c>
      <c r="T213" s="98">
        <f t="shared" si="265"/>
        <v>0</v>
      </c>
      <c r="U213" s="98">
        <f t="shared" si="265"/>
        <v>0</v>
      </c>
      <c r="V213" s="98">
        <f t="shared" si="265"/>
        <v>0</v>
      </c>
      <c r="W213" s="98">
        <f t="shared" si="262"/>
        <v>0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91.267858086279276</v>
      </c>
      <c r="C216" s="32">
        <f t="shared" si="266"/>
        <v>95.979925843066226</v>
      </c>
      <c r="D216" s="32">
        <f t="shared" si="266"/>
        <v>97.486550886937863</v>
      </c>
      <c r="E216" s="32">
        <f t="shared" si="266"/>
        <v>103.72146024181585</v>
      </c>
      <c r="F216" s="32">
        <f t="shared" si="266"/>
        <v>106.67343918135664</v>
      </c>
      <c r="G216" s="32">
        <f t="shared" si="266"/>
        <v>108.66097892287692</v>
      </c>
      <c r="H216" s="32">
        <f t="shared" si="266"/>
        <v>108.19240695691161</v>
      </c>
      <c r="I216" s="32">
        <f t="shared" si="266"/>
        <v>110.42296688321348</v>
      </c>
      <c r="J216" s="32">
        <f t="shared" si="266"/>
        <v>107.79336707371881</v>
      </c>
      <c r="K216" s="32">
        <f t="shared" si="266"/>
        <v>108.42398570005905</v>
      </c>
      <c r="L216" s="32">
        <f t="shared" si="266"/>
        <v>107.45697725588988</v>
      </c>
      <c r="M216" s="32">
        <f t="shared" si="266"/>
        <v>106.39218226754321</v>
      </c>
      <c r="N216" s="32">
        <f t="shared" si="266"/>
        <v>105.15250231409391</v>
      </c>
      <c r="O216" s="32">
        <f t="shared" si="266"/>
        <v>104.70469595591459</v>
      </c>
      <c r="P216" s="32">
        <f t="shared" si="266"/>
        <v>104.1550108472107</v>
      </c>
      <c r="Q216" s="32">
        <f t="shared" si="266"/>
        <v>102.71003449104566</v>
      </c>
      <c r="R216" s="32">
        <f t="shared" si="266"/>
        <v>102.91997325323672</v>
      </c>
      <c r="S216" s="32">
        <f t="shared" si="266"/>
        <v>100.77643463588123</v>
      </c>
      <c r="T216" s="32">
        <f t="shared" si="266"/>
        <v>98.372840084126949</v>
      </c>
      <c r="U216" s="32">
        <f t="shared" si="266"/>
        <v>96.589317684068618</v>
      </c>
      <c r="V216" s="32">
        <f t="shared" si="266"/>
        <v>124.04149804198786</v>
      </c>
      <c r="W216" s="32">
        <f t="shared" ref="W216" si="267">IF(W4=0,0,W64/W4*1000)</f>
        <v>111.28922256881509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102.07043382710332</v>
      </c>
      <c r="C217" s="141">
        <f t="shared" si="268"/>
        <v>107.65249992147201</v>
      </c>
      <c r="D217" s="141">
        <f t="shared" si="268"/>
        <v>109.24571509382579</v>
      </c>
      <c r="E217" s="141">
        <f t="shared" si="268"/>
        <v>118.20985584255011</v>
      </c>
      <c r="F217" s="141">
        <f t="shared" si="268"/>
        <v>121.82761868325238</v>
      </c>
      <c r="G217" s="141">
        <f t="shared" si="268"/>
        <v>123.4100918024819</v>
      </c>
      <c r="H217" s="141">
        <f t="shared" si="268"/>
        <v>122.83584999262361</v>
      </c>
      <c r="I217" s="141">
        <f t="shared" si="268"/>
        <v>124.93385687637601</v>
      </c>
      <c r="J217" s="141">
        <f t="shared" si="268"/>
        <v>122.40864641082462</v>
      </c>
      <c r="K217" s="141">
        <f t="shared" si="268"/>
        <v>123.15545581986039</v>
      </c>
      <c r="L217" s="141">
        <f t="shared" si="268"/>
        <v>124.59151751574659</v>
      </c>
      <c r="M217" s="141">
        <f t="shared" si="268"/>
        <v>123.18432167544555</v>
      </c>
      <c r="N217" s="141">
        <f t="shared" si="268"/>
        <v>124.05303736789519</v>
      </c>
      <c r="O217" s="141">
        <f t="shared" si="268"/>
        <v>124.41400925054246</v>
      </c>
      <c r="P217" s="141">
        <f t="shared" si="268"/>
        <v>122.81574984521131</v>
      </c>
      <c r="Q217" s="141">
        <f t="shared" si="268"/>
        <v>121.13783342264415</v>
      </c>
      <c r="R217" s="141">
        <f t="shared" si="268"/>
        <v>122.81495175424294</v>
      </c>
      <c r="S217" s="141">
        <f t="shared" si="268"/>
        <v>121.18970612834809</v>
      </c>
      <c r="T217" s="141">
        <f t="shared" si="268"/>
        <v>118.78167924410175</v>
      </c>
      <c r="U217" s="141">
        <f t="shared" si="268"/>
        <v>117.24158533544858</v>
      </c>
      <c r="V217" s="141">
        <f t="shared" si="268"/>
        <v>137.88755548632932</v>
      </c>
      <c r="W217" s="141">
        <f t="shared" ref="W217" si="269">IF(W5=0,0,W65/W5*1000)</f>
        <v>121.39823101975216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103.83655162584036</v>
      </c>
      <c r="C218" s="97">
        <f t="shared" si="270"/>
        <v>103.4285134221914</v>
      </c>
      <c r="D218" s="97">
        <f t="shared" si="270"/>
        <v>103.09199626041372</v>
      </c>
      <c r="E218" s="97">
        <f t="shared" si="270"/>
        <v>102.96084197445639</v>
      </c>
      <c r="F218" s="97">
        <f t="shared" si="270"/>
        <v>102.64899677215794</v>
      </c>
      <c r="G218" s="97">
        <f t="shared" si="270"/>
        <v>102.05201106568546</v>
      </c>
      <c r="H218" s="97">
        <f t="shared" si="270"/>
        <v>101.47524583076786</v>
      </c>
      <c r="I218" s="97">
        <f t="shared" si="270"/>
        <v>100.86423252676673</v>
      </c>
      <c r="J218" s="97">
        <f t="shared" si="270"/>
        <v>98.759517586399042</v>
      </c>
      <c r="K218" s="97">
        <f t="shared" si="270"/>
        <v>97.253178526471743</v>
      </c>
      <c r="L218" s="97">
        <f t="shared" si="270"/>
        <v>96.586789827566577</v>
      </c>
      <c r="M218" s="97">
        <f t="shared" si="270"/>
        <v>95.835798384974126</v>
      </c>
      <c r="N218" s="97">
        <f t="shared" si="270"/>
        <v>95.703283913349779</v>
      </c>
      <c r="O218" s="97">
        <f t="shared" si="270"/>
        <v>95.346405538240091</v>
      </c>
      <c r="P218" s="97">
        <f t="shared" si="270"/>
        <v>93.750125429144632</v>
      </c>
      <c r="Q218" s="97">
        <f t="shared" si="270"/>
        <v>92.679635666465686</v>
      </c>
      <c r="R218" s="97">
        <f t="shared" si="270"/>
        <v>92.750270308202175</v>
      </c>
      <c r="S218" s="97">
        <f t="shared" si="270"/>
        <v>91.497875230766084</v>
      </c>
      <c r="T218" s="97">
        <f t="shared" si="270"/>
        <v>90.77668998550925</v>
      </c>
      <c r="U218" s="97">
        <f t="shared" si="270"/>
        <v>89.367694713834879</v>
      </c>
      <c r="V218" s="97">
        <f t="shared" si="270"/>
        <v>88.934611592733418</v>
      </c>
      <c r="W218" s="97">
        <f t="shared" ref="W218" si="271">IF(W6=0,0,W66/W6*1000)</f>
        <v>85.586725004660025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110.69096300045167</v>
      </c>
      <c r="C219" s="97">
        <f t="shared" si="272"/>
        <v>118.18286032552857</v>
      </c>
      <c r="D219" s="97">
        <f t="shared" si="272"/>
        <v>119.45531491981997</v>
      </c>
      <c r="E219" s="97">
        <f t="shared" si="272"/>
        <v>131.67819774199634</v>
      </c>
      <c r="F219" s="97">
        <f t="shared" si="272"/>
        <v>135.18145606622383</v>
      </c>
      <c r="G219" s="97">
        <f t="shared" si="272"/>
        <v>137.78375420865612</v>
      </c>
      <c r="H219" s="97">
        <f t="shared" si="272"/>
        <v>137.11031116975562</v>
      </c>
      <c r="I219" s="97">
        <f t="shared" si="272"/>
        <v>139.54135712855387</v>
      </c>
      <c r="J219" s="97">
        <f t="shared" si="272"/>
        <v>136.38159358388384</v>
      </c>
      <c r="K219" s="97">
        <f t="shared" si="272"/>
        <v>137.37328322421098</v>
      </c>
      <c r="L219" s="97">
        <f t="shared" si="272"/>
        <v>142.49226316156324</v>
      </c>
      <c r="M219" s="97">
        <f t="shared" si="272"/>
        <v>139.09514094610091</v>
      </c>
      <c r="N219" s="97">
        <f t="shared" si="272"/>
        <v>139.78083592672223</v>
      </c>
      <c r="O219" s="97">
        <f t="shared" si="272"/>
        <v>140.20437165003733</v>
      </c>
      <c r="P219" s="97">
        <f t="shared" si="272"/>
        <v>138.699293070507</v>
      </c>
      <c r="Q219" s="97">
        <f t="shared" si="272"/>
        <v>134.79786316483978</v>
      </c>
      <c r="R219" s="97">
        <f t="shared" si="272"/>
        <v>137.2198103256251</v>
      </c>
      <c r="S219" s="97">
        <f t="shared" si="272"/>
        <v>135.59204031259162</v>
      </c>
      <c r="T219" s="97">
        <f t="shared" si="272"/>
        <v>131.73977625968587</v>
      </c>
      <c r="U219" s="97">
        <f t="shared" si="272"/>
        <v>129.14399666430157</v>
      </c>
      <c r="V219" s="97">
        <f t="shared" si="272"/>
        <v>145.07476387623203</v>
      </c>
      <c r="W219" s="97">
        <f t="shared" ref="W219" si="273">IF(W7=0,0,W67/W7*1000)</f>
        <v>124.78134750579257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67.820580176917957</v>
      </c>
      <c r="C220" s="97">
        <f t="shared" si="274"/>
        <v>69.849976618751981</v>
      </c>
      <c r="D220" s="97">
        <f t="shared" si="274"/>
        <v>69.445610060076206</v>
      </c>
      <c r="E220" s="97">
        <f t="shared" si="274"/>
        <v>64.278806891031721</v>
      </c>
      <c r="F220" s="97">
        <f t="shared" si="274"/>
        <v>64.299497818899127</v>
      </c>
      <c r="G220" s="97">
        <f t="shared" si="274"/>
        <v>62.181316171083594</v>
      </c>
      <c r="H220" s="97">
        <f t="shared" si="274"/>
        <v>62.763139740844508</v>
      </c>
      <c r="I220" s="97">
        <f t="shared" si="274"/>
        <v>62.421268494478468</v>
      </c>
      <c r="J220" s="97">
        <f t="shared" si="274"/>
        <v>61.961041743215389</v>
      </c>
      <c r="K220" s="97">
        <f t="shared" si="274"/>
        <v>61.764436686492523</v>
      </c>
      <c r="L220" s="97">
        <f t="shared" si="274"/>
        <v>60.184381709414708</v>
      </c>
      <c r="M220" s="97">
        <f t="shared" si="274"/>
        <v>60.248105123232691</v>
      </c>
      <c r="N220" s="97">
        <f t="shared" si="274"/>
        <v>60.888238169876367</v>
      </c>
      <c r="O220" s="97">
        <f t="shared" si="274"/>
        <v>62.622139806393669</v>
      </c>
      <c r="P220" s="97">
        <f t="shared" si="274"/>
        <v>64.063229511730114</v>
      </c>
      <c r="Q220" s="97">
        <f t="shared" si="274"/>
        <v>65.744217582411963</v>
      </c>
      <c r="R220" s="97">
        <f t="shared" si="274"/>
        <v>65.789921205006564</v>
      </c>
      <c r="S220" s="97">
        <f t="shared" si="274"/>
        <v>65.400836978289732</v>
      </c>
      <c r="T220" s="97">
        <f t="shared" si="274"/>
        <v>65.599104504265284</v>
      </c>
      <c r="U220" s="97">
        <f t="shared" si="274"/>
        <v>66.210385204973306</v>
      </c>
      <c r="V220" s="97">
        <f t="shared" si="274"/>
        <v>93.267362185170413</v>
      </c>
      <c r="W220" s="97">
        <f t="shared" ref="W220" si="275">IF(W8=0,0,W68/W8*1000)</f>
        <v>95.139183105250581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15.61933669449596</v>
      </c>
      <c r="C221" s="130">
        <f t="shared" si="276"/>
        <v>14.799058189196522</v>
      </c>
      <c r="D221" s="130">
        <f t="shared" si="276"/>
        <v>14.931786908699561</v>
      </c>
      <c r="E221" s="130">
        <f t="shared" si="276"/>
        <v>14.852660679709212</v>
      </c>
      <c r="F221" s="130">
        <f t="shared" si="276"/>
        <v>14.661350325127565</v>
      </c>
      <c r="G221" s="130">
        <f t="shared" si="276"/>
        <v>15.774314749615696</v>
      </c>
      <c r="H221" s="130">
        <f t="shared" si="276"/>
        <v>16.240905596856791</v>
      </c>
      <c r="I221" s="130">
        <f t="shared" si="276"/>
        <v>16.117757245316611</v>
      </c>
      <c r="J221" s="130">
        <f t="shared" si="276"/>
        <v>16.297110883401427</v>
      </c>
      <c r="K221" s="130">
        <f t="shared" si="276"/>
        <v>15.286799427778716</v>
      </c>
      <c r="L221" s="130">
        <f t="shared" si="276"/>
        <v>14.751613983234293</v>
      </c>
      <c r="M221" s="130">
        <f t="shared" si="276"/>
        <v>14.804531377270747</v>
      </c>
      <c r="N221" s="130">
        <f t="shared" si="276"/>
        <v>13.771904369915426</v>
      </c>
      <c r="O221" s="130">
        <f t="shared" si="276"/>
        <v>13.141551323017371</v>
      </c>
      <c r="P221" s="130">
        <f t="shared" si="276"/>
        <v>12.939463954213098</v>
      </c>
      <c r="Q221" s="130">
        <f t="shared" si="276"/>
        <v>12.110136223268549</v>
      </c>
      <c r="R221" s="130">
        <f t="shared" si="276"/>
        <v>10.071660192575786</v>
      </c>
      <c r="S221" s="130">
        <f t="shared" si="276"/>
        <v>10.227015190857973</v>
      </c>
      <c r="T221" s="130">
        <f t="shared" si="276"/>
        <v>9.9818867490715775</v>
      </c>
      <c r="U221" s="130">
        <f t="shared" si="276"/>
        <v>9.1510923035510388</v>
      </c>
      <c r="V221" s="130">
        <f t="shared" si="276"/>
        <v>16.449689571411749</v>
      </c>
      <c r="W221" s="130">
        <f t="shared" ref="W221" si="277">IF(W9=0,0,W69/W9*1000)</f>
        <v>15.853462734208591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32.88191319465944</v>
      </c>
      <c r="C223" s="97">
        <f t="shared" si="280"/>
        <v>31.479679058153888</v>
      </c>
      <c r="D223" s="97">
        <f t="shared" si="280"/>
        <v>33.734023357171175</v>
      </c>
      <c r="E223" s="97">
        <f t="shared" si="280"/>
        <v>34.366203862375961</v>
      </c>
      <c r="F223" s="97">
        <f t="shared" si="280"/>
        <v>34.108420337625766</v>
      </c>
      <c r="G223" s="97">
        <f t="shared" si="280"/>
        <v>34.577979961280391</v>
      </c>
      <c r="H223" s="97">
        <f t="shared" si="280"/>
        <v>35.293640848864698</v>
      </c>
      <c r="I223" s="97">
        <f t="shared" si="280"/>
        <v>35.94144546084577</v>
      </c>
      <c r="J223" s="97">
        <f t="shared" si="280"/>
        <v>39.782447453687176</v>
      </c>
      <c r="K223" s="97">
        <f t="shared" si="280"/>
        <v>37.8890566481005</v>
      </c>
      <c r="L223" s="97">
        <f t="shared" si="280"/>
        <v>36.49429184529145</v>
      </c>
      <c r="M223" s="97">
        <f t="shared" si="280"/>
        <v>35.67790025678422</v>
      </c>
      <c r="N223" s="97">
        <f t="shared" si="280"/>
        <v>33.207690854707259</v>
      </c>
      <c r="O223" s="97">
        <f t="shared" si="280"/>
        <v>30.914839335150514</v>
      </c>
      <c r="P223" s="97">
        <f t="shared" si="280"/>
        <v>29.502957283004399</v>
      </c>
      <c r="Q223" s="97">
        <f t="shared" si="280"/>
        <v>28.121377059237805</v>
      </c>
      <c r="R223" s="97">
        <f t="shared" si="280"/>
        <v>23.933220975527046</v>
      </c>
      <c r="S223" s="97">
        <f t="shared" si="280"/>
        <v>23.863272346312591</v>
      </c>
      <c r="T223" s="97">
        <f t="shared" si="280"/>
        <v>22.190583540149063</v>
      </c>
      <c r="U223" s="97">
        <f t="shared" si="280"/>
        <v>20.141393614636826</v>
      </c>
      <c r="V223" s="97">
        <f t="shared" si="280"/>
        <v>28.051276170081621</v>
      </c>
      <c r="W223" s="97">
        <f t="shared" ref="W223" si="281">IF(W11=0,0,W71/W11*1000)</f>
        <v>26.488395217524271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182.3205288908411</v>
      </c>
      <c r="C225" s="130">
        <f t="shared" si="284"/>
        <v>191.62370662174953</v>
      </c>
      <c r="D225" s="130">
        <f t="shared" si="284"/>
        <v>175.73396125409107</v>
      </c>
      <c r="E225" s="130">
        <f t="shared" si="284"/>
        <v>121.0224561436502</v>
      </c>
      <c r="F225" s="130">
        <f t="shared" si="284"/>
        <v>123.73008606581041</v>
      </c>
      <c r="G225" s="130">
        <f t="shared" si="284"/>
        <v>119.77044998087662</v>
      </c>
      <c r="H225" s="130">
        <f t="shared" si="284"/>
        <v>117.0907602354564</v>
      </c>
      <c r="I225" s="130">
        <f t="shared" si="284"/>
        <v>119.76634971531935</v>
      </c>
      <c r="J225" s="130">
        <f t="shared" si="284"/>
        <v>122.36902635805269</v>
      </c>
      <c r="K225" s="130">
        <f t="shared" si="284"/>
        <v>121.23305207602915</v>
      </c>
      <c r="L225" s="130">
        <f t="shared" si="284"/>
        <v>111.28232652271295</v>
      </c>
      <c r="M225" s="130">
        <f t="shared" si="284"/>
        <v>108.03902497572496</v>
      </c>
      <c r="N225" s="130">
        <f t="shared" si="284"/>
        <v>103.17921366470415</v>
      </c>
      <c r="O225" s="130">
        <f t="shared" si="284"/>
        <v>98.766193688842904</v>
      </c>
      <c r="P225" s="130">
        <f t="shared" si="284"/>
        <v>98.838772683132802</v>
      </c>
      <c r="Q225" s="130">
        <f t="shared" si="284"/>
        <v>99.875013813787106</v>
      </c>
      <c r="R225" s="130">
        <f t="shared" si="284"/>
        <v>98.712346358244616</v>
      </c>
      <c r="S225" s="130">
        <f t="shared" si="284"/>
        <v>92.791449523374851</v>
      </c>
      <c r="T225" s="130">
        <f t="shared" si="284"/>
        <v>88.528146802306438</v>
      </c>
      <c r="U225" s="130">
        <f t="shared" si="284"/>
        <v>85.990850011473455</v>
      </c>
      <c r="V225" s="130">
        <f t="shared" si="284"/>
        <v>127.49106778233993</v>
      </c>
      <c r="W225" s="130">
        <f t="shared" ref="W225" si="285">IF(W13=0,0,W73/W13*1000)</f>
        <v>109.19697602924383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6265.3094090841432</v>
      </c>
      <c r="C226" s="97">
        <f t="shared" si="286"/>
        <v>6245.443343280831</v>
      </c>
      <c r="D226" s="97">
        <f t="shared" si="286"/>
        <v>6118.5762034655845</v>
      </c>
      <c r="E226" s="97">
        <f t="shared" si="286"/>
        <v>5698.1348731822472</v>
      </c>
      <c r="F226" s="97">
        <f t="shared" si="286"/>
        <v>4119.4160244793247</v>
      </c>
      <c r="G226" s="97">
        <f t="shared" si="286"/>
        <v>1868.3420204557926</v>
      </c>
      <c r="H226" s="97">
        <f t="shared" si="286"/>
        <v>917.11778826237389</v>
      </c>
      <c r="I226" s="97">
        <f t="shared" si="286"/>
        <v>1970.5299259016965</v>
      </c>
      <c r="J226" s="97">
        <f t="shared" si="286"/>
        <v>2161.0963151971964</v>
      </c>
      <c r="K226" s="97">
        <f t="shared" si="286"/>
        <v>1645.634848597183</v>
      </c>
      <c r="L226" s="97">
        <f t="shared" si="286"/>
        <v>1851.7796292813011</v>
      </c>
      <c r="M226" s="97">
        <f t="shared" si="286"/>
        <v>4005.7567646346442</v>
      </c>
      <c r="N226" s="97">
        <f t="shared" si="286"/>
        <v>2008.8370962576359</v>
      </c>
      <c r="O226" s="97">
        <f t="shared" si="286"/>
        <v>2558.172708820699</v>
      </c>
      <c r="P226" s="97">
        <f t="shared" si="286"/>
        <v>2251.0314775255492</v>
      </c>
      <c r="Q226" s="97">
        <f t="shared" si="286"/>
        <v>4700.8084243921194</v>
      </c>
      <c r="R226" s="97">
        <f t="shared" si="286"/>
        <v>6658.3757482536275</v>
      </c>
      <c r="S226" s="97">
        <f t="shared" si="286"/>
        <v>11012.746268230618</v>
      </c>
      <c r="T226" s="97">
        <f t="shared" si="286"/>
        <v>5884.6635730047647</v>
      </c>
      <c r="U226" s="97">
        <f t="shared" si="286"/>
        <v>16203.751030592453</v>
      </c>
      <c r="V226" s="97">
        <f t="shared" si="286"/>
        <v>66790.280011170471</v>
      </c>
      <c r="W226" s="97">
        <f t="shared" ref="W226" si="287">IF(W14=0,0,W74/W14*1000)</f>
        <v>3213.5786368765343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146.73958293429791</v>
      </c>
      <c r="C227" s="97">
        <f t="shared" si="288"/>
        <v>145.57229685600538</v>
      </c>
      <c r="D227" s="97">
        <f t="shared" si="288"/>
        <v>144.50243336538844</v>
      </c>
      <c r="E227" s="97">
        <f t="shared" si="288"/>
        <v>94.229480355936303</v>
      </c>
      <c r="F227" s="97">
        <f t="shared" si="288"/>
        <v>110.18997257932884</v>
      </c>
      <c r="G227" s="97">
        <f t="shared" si="288"/>
        <v>112.32265548335161</v>
      </c>
      <c r="H227" s="97">
        <f t="shared" si="288"/>
        <v>116.51394096592334</v>
      </c>
      <c r="I227" s="97">
        <f t="shared" si="288"/>
        <v>118.52518813674497</v>
      </c>
      <c r="J227" s="97">
        <f t="shared" si="288"/>
        <v>119.56454158233903</v>
      </c>
      <c r="K227" s="97">
        <f t="shared" si="288"/>
        <v>124.39171899755338</v>
      </c>
      <c r="L227" s="97">
        <f t="shared" si="288"/>
        <v>117.25698756315134</v>
      </c>
      <c r="M227" s="97">
        <f t="shared" si="288"/>
        <v>109.61956844839931</v>
      </c>
      <c r="N227" s="97">
        <f t="shared" si="288"/>
        <v>113.07672788392073</v>
      </c>
      <c r="O227" s="97">
        <f t="shared" si="288"/>
        <v>112.43255937510574</v>
      </c>
      <c r="P227" s="97">
        <f t="shared" si="288"/>
        <v>113.42298060926313</v>
      </c>
      <c r="Q227" s="97">
        <f t="shared" si="288"/>
        <v>106.15618340646084</v>
      </c>
      <c r="R227" s="97">
        <f t="shared" si="288"/>
        <v>106.62805343390444</v>
      </c>
      <c r="S227" s="97">
        <f t="shared" si="288"/>
        <v>103.3288303279554</v>
      </c>
      <c r="T227" s="97">
        <f t="shared" si="288"/>
        <v>110.16304064730566</v>
      </c>
      <c r="U227" s="97">
        <f t="shared" si="288"/>
        <v>107.77416272712262</v>
      </c>
      <c r="V227" s="97">
        <f t="shared" si="288"/>
        <v>102.2439609906981</v>
      </c>
      <c r="W227" s="97">
        <f t="shared" ref="W227" si="289">IF(W15=0,0,W75/W15*1000)</f>
        <v>113.5971113791125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144.59818750091242</v>
      </c>
      <c r="C228" s="97">
        <f t="shared" si="290"/>
        <v>144.40129110607811</v>
      </c>
      <c r="D228" s="97">
        <f t="shared" si="290"/>
        <v>142.82661796846531</v>
      </c>
      <c r="E228" s="97">
        <f t="shared" si="290"/>
        <v>91.518918018974915</v>
      </c>
      <c r="F228" s="97">
        <f t="shared" si="290"/>
        <v>102.54353769404437</v>
      </c>
      <c r="G228" s="97">
        <f t="shared" si="290"/>
        <v>105.48428776072839</v>
      </c>
      <c r="H228" s="97">
        <f t="shared" si="290"/>
        <v>105.37139279125351</v>
      </c>
      <c r="I228" s="97">
        <f t="shared" si="290"/>
        <v>95.011736243694713</v>
      </c>
      <c r="J228" s="97">
        <f t="shared" si="290"/>
        <v>94.88786361396555</v>
      </c>
      <c r="K228" s="97">
        <f t="shared" si="290"/>
        <v>96.184171554339386</v>
      </c>
      <c r="L228" s="97">
        <f t="shared" si="290"/>
        <v>85.771609028328783</v>
      </c>
      <c r="M228" s="97">
        <f t="shared" si="290"/>
        <v>79.322662689670707</v>
      </c>
      <c r="N228" s="97">
        <f t="shared" si="290"/>
        <v>79.938246875083735</v>
      </c>
      <c r="O228" s="97">
        <f t="shared" si="290"/>
        <v>74.378207562728662</v>
      </c>
      <c r="P228" s="97">
        <f t="shared" si="290"/>
        <v>74.329231867253981</v>
      </c>
      <c r="Q228" s="97">
        <f t="shared" si="290"/>
        <v>71.172495669237122</v>
      </c>
      <c r="R228" s="97">
        <f t="shared" si="290"/>
        <v>67.601659966509089</v>
      </c>
      <c r="S228" s="97">
        <f t="shared" si="290"/>
        <v>59.555231816950858</v>
      </c>
      <c r="T228" s="97">
        <f t="shared" si="290"/>
        <v>58.386471793943507</v>
      </c>
      <c r="U228" s="97">
        <f t="shared" si="290"/>
        <v>55.612828907000463</v>
      </c>
      <c r="V228" s="97">
        <f t="shared" si="290"/>
        <v>95.1764524069131</v>
      </c>
      <c r="W228" s="97">
        <f t="shared" ref="W228" si="291">IF(W16=0,0,W76/W16*1000)</f>
        <v>97.153068392433326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69.817823573959643</v>
      </c>
      <c r="C229" s="32">
        <f t="shared" si="292"/>
        <v>72.139793127519425</v>
      </c>
      <c r="D229" s="32">
        <f t="shared" si="292"/>
        <v>78.49113797704203</v>
      </c>
      <c r="E229" s="32">
        <f t="shared" si="292"/>
        <v>92.014006322288296</v>
      </c>
      <c r="F229" s="32">
        <f t="shared" si="292"/>
        <v>103.41540467491033</v>
      </c>
      <c r="G229" s="32">
        <f t="shared" si="292"/>
        <v>123.95033549148252</v>
      </c>
      <c r="H229" s="32">
        <f t="shared" si="292"/>
        <v>128.48213158421112</v>
      </c>
      <c r="I229" s="32">
        <f t="shared" si="292"/>
        <v>134.13459009768306</v>
      </c>
      <c r="J229" s="32">
        <f t="shared" si="292"/>
        <v>138.43897470934152</v>
      </c>
      <c r="K229" s="32">
        <f t="shared" si="292"/>
        <v>144.99366724356335</v>
      </c>
      <c r="L229" s="32">
        <f t="shared" si="292"/>
        <v>129.62718880165875</v>
      </c>
      <c r="M229" s="32">
        <f t="shared" si="292"/>
        <v>121.89800593254425</v>
      </c>
      <c r="N229" s="32">
        <f t="shared" si="292"/>
        <v>121.11317074561576</v>
      </c>
      <c r="O229" s="32">
        <f t="shared" si="292"/>
        <v>110.439091520476</v>
      </c>
      <c r="P229" s="32">
        <f t="shared" si="292"/>
        <v>111.52868360471693</v>
      </c>
      <c r="Q229" s="32">
        <f t="shared" si="292"/>
        <v>109.18256509505343</v>
      </c>
      <c r="R229" s="32">
        <f t="shared" si="292"/>
        <v>110.00930299204045</v>
      </c>
      <c r="S229" s="32">
        <f t="shared" si="292"/>
        <v>114.78270152343954</v>
      </c>
      <c r="T229" s="32">
        <f t="shared" si="292"/>
        <v>112.90705660425236</v>
      </c>
      <c r="U229" s="32">
        <f t="shared" si="292"/>
        <v>109.58478297486187</v>
      </c>
      <c r="V229" s="32">
        <f t="shared" si="292"/>
        <v>94.869936000065778</v>
      </c>
      <c r="W229" s="32">
        <f t="shared" ref="W229" si="293">IF(W17=0,0,W77/W17*1000)</f>
        <v>94.386428729723491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110.88390536797731</v>
      </c>
      <c r="C230" s="141">
        <f t="shared" si="294"/>
        <v>110.99060665701667</v>
      </c>
      <c r="D230" s="141">
        <f t="shared" si="294"/>
        <v>115.72516931779039</v>
      </c>
      <c r="E230" s="141">
        <f t="shared" si="294"/>
        <v>135.09120788043182</v>
      </c>
      <c r="F230" s="141">
        <f t="shared" si="294"/>
        <v>148.21627437628197</v>
      </c>
      <c r="G230" s="141">
        <f t="shared" si="294"/>
        <v>177.39111712027173</v>
      </c>
      <c r="H230" s="141">
        <f t="shared" si="294"/>
        <v>184.4615998331175</v>
      </c>
      <c r="I230" s="141">
        <f t="shared" si="294"/>
        <v>194.27587441729725</v>
      </c>
      <c r="J230" s="141">
        <f t="shared" si="294"/>
        <v>199.2170325774415</v>
      </c>
      <c r="K230" s="141">
        <f t="shared" si="294"/>
        <v>203.60404330511241</v>
      </c>
      <c r="L230" s="141">
        <f t="shared" si="294"/>
        <v>181.17187114998566</v>
      </c>
      <c r="M230" s="141">
        <f t="shared" si="294"/>
        <v>170.47094030905728</v>
      </c>
      <c r="N230" s="141">
        <f t="shared" si="294"/>
        <v>170.45060913127367</v>
      </c>
      <c r="O230" s="141">
        <f t="shared" si="294"/>
        <v>150.92985303516124</v>
      </c>
      <c r="P230" s="141">
        <f t="shared" si="294"/>
        <v>152.12044152294547</v>
      </c>
      <c r="Q230" s="141">
        <f t="shared" si="294"/>
        <v>145.34315139897708</v>
      </c>
      <c r="R230" s="141">
        <f t="shared" si="294"/>
        <v>146.97178243038434</v>
      </c>
      <c r="S230" s="141">
        <f t="shared" si="294"/>
        <v>154.25190118982027</v>
      </c>
      <c r="T230" s="141">
        <f t="shared" si="294"/>
        <v>153.23334492294632</v>
      </c>
      <c r="U230" s="141">
        <f t="shared" si="294"/>
        <v>145.47206704044623</v>
      </c>
      <c r="V230" s="141">
        <f t="shared" si="294"/>
        <v>119.98120151896427</v>
      </c>
      <c r="W230" s="141">
        <f t="shared" ref="W230" si="295">IF(W18=0,0,W78/W18*1000)</f>
        <v>120.12282618436303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2332.5565478905287</v>
      </c>
      <c r="C231" s="97">
        <f t="shared" si="296"/>
        <v>2191.3860401399443</v>
      </c>
      <c r="D231" s="97">
        <f t="shared" si="296"/>
        <v>2122.0989645055697</v>
      </c>
      <c r="E231" s="97">
        <f t="shared" si="296"/>
        <v>2070.9584600518224</v>
      </c>
      <c r="F231" s="97">
        <f t="shared" si="296"/>
        <v>2040.8412787012619</v>
      </c>
      <c r="G231" s="97">
        <f t="shared" si="296"/>
        <v>2023.0273271056105</v>
      </c>
      <c r="H231" s="97">
        <f t="shared" si="296"/>
        <v>1996.0555849928169</v>
      </c>
      <c r="I231" s="97">
        <f t="shared" si="296"/>
        <v>1973.1228886891961</v>
      </c>
      <c r="J231" s="97">
        <f t="shared" si="296"/>
        <v>1962.4624435511323</v>
      </c>
      <c r="K231" s="97">
        <f t="shared" si="296"/>
        <v>1925.8880799039521</v>
      </c>
      <c r="L231" s="97">
        <f t="shared" si="296"/>
        <v>1924.5824801570748</v>
      </c>
      <c r="M231" s="97">
        <f t="shared" si="296"/>
        <v>1902.8963711609197</v>
      </c>
      <c r="N231" s="97">
        <f t="shared" si="296"/>
        <v>1918.7297123847331</v>
      </c>
      <c r="O231" s="97">
        <f t="shared" si="296"/>
        <v>1934.3942953273006</v>
      </c>
      <c r="P231" s="97">
        <f t="shared" si="296"/>
        <v>1959.381692559059</v>
      </c>
      <c r="Q231" s="97">
        <f t="shared" si="296"/>
        <v>1981.7272713905386</v>
      </c>
      <c r="R231" s="97">
        <f t="shared" si="296"/>
        <v>2015.9881021312067</v>
      </c>
      <c r="S231" s="97">
        <f t="shared" si="296"/>
        <v>2014.8768245355861</v>
      </c>
      <c r="T231" s="97">
        <f t="shared" si="296"/>
        <v>2011.0404999454179</v>
      </c>
      <c r="U231" s="97">
        <f t="shared" si="296"/>
        <v>1994.9873520131966</v>
      </c>
      <c r="V231" s="97">
        <f t="shared" si="296"/>
        <v>1960.9447750273896</v>
      </c>
      <c r="W231" s="97">
        <f t="shared" ref="W231" si="297">IF(W19=0,0,W79/W19*1000)</f>
        <v>1975.8055490172362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93.431371464438413</v>
      </c>
      <c r="C232" s="97">
        <f t="shared" si="298"/>
        <v>93.128432996331327</v>
      </c>
      <c r="D232" s="97">
        <f t="shared" si="298"/>
        <v>96.753885543443573</v>
      </c>
      <c r="E232" s="97">
        <f t="shared" si="298"/>
        <v>114.36122086441925</v>
      </c>
      <c r="F232" s="97">
        <f t="shared" si="298"/>
        <v>124.95106097374668</v>
      </c>
      <c r="G232" s="97">
        <f t="shared" si="298"/>
        <v>150.00333508845506</v>
      </c>
      <c r="H232" s="97">
        <f t="shared" si="298"/>
        <v>154.40756020638378</v>
      </c>
      <c r="I232" s="97">
        <f t="shared" si="298"/>
        <v>160.63337991092774</v>
      </c>
      <c r="J232" s="97">
        <f t="shared" si="298"/>
        <v>157.78498359758771</v>
      </c>
      <c r="K232" s="97">
        <f t="shared" si="298"/>
        <v>157.40475495904016</v>
      </c>
      <c r="L232" s="97">
        <f t="shared" si="298"/>
        <v>136.2631046797527</v>
      </c>
      <c r="M232" s="97">
        <f t="shared" si="298"/>
        <v>126.68674156036197</v>
      </c>
      <c r="N232" s="97">
        <f t="shared" si="298"/>
        <v>124.69228931779406</v>
      </c>
      <c r="O232" s="97">
        <f t="shared" si="298"/>
        <v>106.73923148653476</v>
      </c>
      <c r="P232" s="97">
        <f t="shared" si="298"/>
        <v>104.97344410675694</v>
      </c>
      <c r="Q232" s="97">
        <f t="shared" si="298"/>
        <v>100.19719684965283</v>
      </c>
      <c r="R232" s="97">
        <f t="shared" si="298"/>
        <v>108.8813180949151</v>
      </c>
      <c r="S232" s="97">
        <f t="shared" si="298"/>
        <v>115.39799176539816</v>
      </c>
      <c r="T232" s="97">
        <f t="shared" si="298"/>
        <v>114.36027441375082</v>
      </c>
      <c r="U232" s="97">
        <f t="shared" si="298"/>
        <v>108.43258132277683</v>
      </c>
      <c r="V232" s="97">
        <f t="shared" si="298"/>
        <v>88.145774137043077</v>
      </c>
      <c r="W232" s="97">
        <f t="shared" ref="W232" si="299">IF(W20=0,0,W80/W20*1000)</f>
        <v>89.496367187441052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5.0843664059777112</v>
      </c>
      <c r="C233" s="130">
        <f t="shared" si="300"/>
        <v>4.2330282197949574</v>
      </c>
      <c r="D233" s="130">
        <f t="shared" si="300"/>
        <v>4.4013614113056114</v>
      </c>
      <c r="E233" s="130">
        <f t="shared" si="300"/>
        <v>3.8985935988547133</v>
      </c>
      <c r="F233" s="130">
        <f t="shared" si="300"/>
        <v>3.8400758785290243</v>
      </c>
      <c r="G233" s="130">
        <f t="shared" si="300"/>
        <v>3.777867903394887</v>
      </c>
      <c r="H233" s="130">
        <f t="shared" si="300"/>
        <v>4.3616045975003237</v>
      </c>
      <c r="I233" s="130">
        <f t="shared" si="300"/>
        <v>4.1751501406215228</v>
      </c>
      <c r="J233" s="130">
        <f t="shared" si="300"/>
        <v>5.0298288606831667</v>
      </c>
      <c r="K233" s="130">
        <f t="shared" si="300"/>
        <v>5.2819655905256546</v>
      </c>
      <c r="L233" s="130">
        <f t="shared" si="300"/>
        <v>4.7501271528340201</v>
      </c>
      <c r="M233" s="130">
        <f t="shared" si="300"/>
        <v>4.2167312017238725</v>
      </c>
      <c r="N233" s="130">
        <f t="shared" si="300"/>
        <v>3.3960199321411464</v>
      </c>
      <c r="O233" s="130">
        <f t="shared" si="300"/>
        <v>3.3999884479513827</v>
      </c>
      <c r="P233" s="130">
        <f t="shared" si="300"/>
        <v>4.1006928272717484</v>
      </c>
      <c r="Q233" s="130">
        <f t="shared" si="300"/>
        <v>3.8490025316851257</v>
      </c>
      <c r="R233" s="130">
        <f t="shared" si="300"/>
        <v>3.6193097650121993</v>
      </c>
      <c r="S233" s="130">
        <f t="shared" si="300"/>
        <v>3.3081910167430175</v>
      </c>
      <c r="T233" s="130">
        <f t="shared" si="300"/>
        <v>2.890016348260763</v>
      </c>
      <c r="U233" s="130">
        <f t="shared" si="300"/>
        <v>2.8055657769159366</v>
      </c>
      <c r="V233" s="130">
        <f t="shared" si="300"/>
        <v>3.0757890945643469</v>
      </c>
      <c r="W233" s="130">
        <f t="shared" ref="W233" si="301">IF(W21=0,0,W81/W21*1000)</f>
        <v>2.9422286305802126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420.10414868513413</v>
      </c>
      <c r="C234" s="130">
        <f t="shared" si="302"/>
        <v>399.35931049570075</v>
      </c>
      <c r="D234" s="130">
        <f t="shared" si="302"/>
        <v>422.57269040869062</v>
      </c>
      <c r="E234" s="130">
        <f t="shared" si="302"/>
        <v>288.32092563667942</v>
      </c>
      <c r="F234" s="130">
        <f t="shared" si="302"/>
        <v>337.64067925249486</v>
      </c>
      <c r="G234" s="130">
        <f t="shared" si="302"/>
        <v>363.3344931634249</v>
      </c>
      <c r="H234" s="130">
        <f t="shared" si="302"/>
        <v>402.52293832799995</v>
      </c>
      <c r="I234" s="130">
        <f t="shared" si="302"/>
        <v>409.25734820687342</v>
      </c>
      <c r="J234" s="130">
        <f t="shared" si="302"/>
        <v>402.64703863235405</v>
      </c>
      <c r="K234" s="130">
        <f t="shared" si="302"/>
        <v>334.44949793060658</v>
      </c>
      <c r="L234" s="130">
        <f t="shared" si="302"/>
        <v>318.44292794835968</v>
      </c>
      <c r="M234" s="130">
        <f t="shared" si="302"/>
        <v>294.9839678870411</v>
      </c>
      <c r="N234" s="130">
        <f t="shared" si="302"/>
        <v>272.058696405295</v>
      </c>
      <c r="O234" s="130">
        <f t="shared" si="302"/>
        <v>251.2603436354045</v>
      </c>
      <c r="P234" s="130">
        <f t="shared" si="302"/>
        <v>221.28985425242877</v>
      </c>
      <c r="Q234" s="130">
        <f t="shared" si="302"/>
        <v>227.85738946030156</v>
      </c>
      <c r="R234" s="130">
        <f t="shared" si="302"/>
        <v>194.539017221568</v>
      </c>
      <c r="S234" s="130">
        <f t="shared" si="302"/>
        <v>200.70132545114043</v>
      </c>
      <c r="T234" s="130">
        <f t="shared" si="302"/>
        <v>237.95686005801761</v>
      </c>
      <c r="U234" s="130">
        <f t="shared" si="302"/>
        <v>299.7410443502032</v>
      </c>
      <c r="V234" s="130">
        <f t="shared" si="302"/>
        <v>565.14399287115509</v>
      </c>
      <c r="W234" s="130">
        <f t="shared" ref="W234" si="303">IF(W22=0,0,W82/W22*1000)</f>
        <v>363.73958670045113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27064.953641619413</v>
      </c>
      <c r="C235" s="97">
        <f t="shared" si="304"/>
        <v>27375.015103305595</v>
      </c>
      <c r="D235" s="97">
        <f t="shared" si="304"/>
        <v>26326.104843726094</v>
      </c>
      <c r="E235" s="97">
        <f t="shared" si="304"/>
        <v>23505.519629438684</v>
      </c>
      <c r="F235" s="97">
        <f t="shared" si="304"/>
        <v>14841.288958241996</v>
      </c>
      <c r="G235" s="97">
        <f t="shared" si="304"/>
        <v>10430.672198840239</v>
      </c>
      <c r="H235" s="97">
        <f t="shared" si="304"/>
        <v>5365.1295944438061</v>
      </c>
      <c r="I235" s="97">
        <f t="shared" si="304"/>
        <v>10900.05586295236</v>
      </c>
      <c r="J235" s="97">
        <f t="shared" si="304"/>
        <v>10902.716209814775</v>
      </c>
      <c r="K235" s="97">
        <f t="shared" si="304"/>
        <v>5760.8832935673245</v>
      </c>
      <c r="L235" s="97">
        <f t="shared" si="304"/>
        <v>6280.1295560635162</v>
      </c>
      <c r="M235" s="97">
        <f t="shared" si="304"/>
        <v>13277.415941628256</v>
      </c>
      <c r="N235" s="97">
        <f t="shared" si="304"/>
        <v>8205.4163620376894</v>
      </c>
      <c r="O235" s="97">
        <f t="shared" si="304"/>
        <v>10410.891472578993</v>
      </c>
      <c r="P235" s="97">
        <f t="shared" si="304"/>
        <v>7334.1342515679271</v>
      </c>
      <c r="Q235" s="97">
        <f t="shared" si="304"/>
        <v>14180.63855466731</v>
      </c>
      <c r="R235" s="97">
        <f t="shared" si="304"/>
        <v>14215.430881126087</v>
      </c>
      <c r="S235" s="97">
        <f t="shared" si="304"/>
        <v>27822.545817109236</v>
      </c>
      <c r="T235" s="97">
        <f t="shared" si="304"/>
        <v>18247.887297945625</v>
      </c>
      <c r="U235" s="97">
        <f t="shared" si="304"/>
        <v>62594.222548723294</v>
      </c>
      <c r="V235" s="97">
        <f t="shared" si="304"/>
        <v>91120.292577347267</v>
      </c>
      <c r="W235" s="97">
        <f t="shared" ref="W235" si="305">IF(W23=0,0,W83/W23*1000)</f>
        <v>8172.1631801172753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583.77171631800115</v>
      </c>
      <c r="C236" s="97">
        <f t="shared" si="306"/>
        <v>554.0755216512822</v>
      </c>
      <c r="D236" s="97">
        <f t="shared" si="306"/>
        <v>583.29391710828395</v>
      </c>
      <c r="E236" s="97">
        <f t="shared" si="306"/>
        <v>382.44096732276455</v>
      </c>
      <c r="F236" s="97">
        <f t="shared" si="306"/>
        <v>476.77587005523844</v>
      </c>
      <c r="G236" s="97">
        <f t="shared" si="306"/>
        <v>476.73905914611743</v>
      </c>
      <c r="H236" s="97">
        <f t="shared" si="306"/>
        <v>567.82958068995538</v>
      </c>
      <c r="I236" s="97">
        <f t="shared" si="306"/>
        <v>561.21782181647211</v>
      </c>
      <c r="J236" s="97">
        <f t="shared" si="306"/>
        <v>541.31305740221626</v>
      </c>
      <c r="K236" s="97">
        <f t="shared" si="306"/>
        <v>576.01013750426068</v>
      </c>
      <c r="L236" s="97">
        <f t="shared" si="306"/>
        <v>547.62208465094216</v>
      </c>
      <c r="M236" s="97">
        <f t="shared" si="306"/>
        <v>527.45471815708561</v>
      </c>
      <c r="N236" s="97">
        <f t="shared" si="306"/>
        <v>534.99236011728271</v>
      </c>
      <c r="O236" s="97">
        <f t="shared" si="306"/>
        <v>553.49302444722446</v>
      </c>
      <c r="P236" s="97">
        <f t="shared" si="306"/>
        <v>500.06006432762717</v>
      </c>
      <c r="Q236" s="97">
        <f t="shared" si="306"/>
        <v>488.79578181938928</v>
      </c>
      <c r="R236" s="97">
        <f t="shared" si="306"/>
        <v>452.91558806981698</v>
      </c>
      <c r="S236" s="97">
        <f t="shared" si="306"/>
        <v>522.5797304236736</v>
      </c>
      <c r="T236" s="97">
        <f t="shared" si="306"/>
        <v>557.21011084035024</v>
      </c>
      <c r="U236" s="97">
        <f t="shared" si="306"/>
        <v>556.46833598783007</v>
      </c>
      <c r="V236" s="97">
        <f t="shared" si="306"/>
        <v>558.81157568218259</v>
      </c>
      <c r="W236" s="97">
        <f t="shared" ref="W236" si="307">IF(W24=0,0,W84/W24*1000)</f>
        <v>644.07886122614013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362.68495017590311</v>
      </c>
      <c r="C237" s="97">
        <f t="shared" si="308"/>
        <v>346.74845675523369</v>
      </c>
      <c r="D237" s="97">
        <f t="shared" si="308"/>
        <v>364.35362478124466</v>
      </c>
      <c r="E237" s="97">
        <f t="shared" si="308"/>
        <v>257.74764689374325</v>
      </c>
      <c r="F237" s="97">
        <f t="shared" si="308"/>
        <v>301.52632306474266</v>
      </c>
      <c r="G237" s="97">
        <f t="shared" si="308"/>
        <v>327.49934825525355</v>
      </c>
      <c r="H237" s="97">
        <f t="shared" si="308"/>
        <v>346.99617828425198</v>
      </c>
      <c r="I237" s="97">
        <f t="shared" si="308"/>
        <v>316.67638607234835</v>
      </c>
      <c r="J237" s="97">
        <f t="shared" si="308"/>
        <v>319.77661142882658</v>
      </c>
      <c r="K237" s="97">
        <f t="shared" si="308"/>
        <v>272.84656542005803</v>
      </c>
      <c r="L237" s="97">
        <f t="shared" si="308"/>
        <v>253.63273061393738</v>
      </c>
      <c r="M237" s="97">
        <f t="shared" si="308"/>
        <v>239.67192435895345</v>
      </c>
      <c r="N237" s="97">
        <f t="shared" si="308"/>
        <v>235.93000627119386</v>
      </c>
      <c r="O237" s="97">
        <f t="shared" si="308"/>
        <v>214.30767877489259</v>
      </c>
      <c r="P237" s="97">
        <f t="shared" si="308"/>
        <v>190.41170107505786</v>
      </c>
      <c r="Q237" s="97">
        <f t="shared" si="308"/>
        <v>193.39081599550096</v>
      </c>
      <c r="R237" s="97">
        <f t="shared" si="308"/>
        <v>166.53831404573828</v>
      </c>
      <c r="S237" s="97">
        <f t="shared" si="308"/>
        <v>157.97937375030654</v>
      </c>
      <c r="T237" s="97">
        <f t="shared" si="308"/>
        <v>143.63971640829698</v>
      </c>
      <c r="U237" s="97">
        <f t="shared" si="308"/>
        <v>133.21259648028425</v>
      </c>
      <c r="V237" s="97">
        <f t="shared" si="308"/>
        <v>275.40566674590525</v>
      </c>
      <c r="W237" s="97">
        <f t="shared" ref="W237" si="309">IF(W25=0,0,W85/W25*1000)</f>
        <v>279.01635968607246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177.71910876404496</v>
      </c>
      <c r="C238" s="130">
        <f t="shared" si="310"/>
        <v>318.59352000000001</v>
      </c>
      <c r="D238" s="130">
        <f t="shared" si="310"/>
        <v>155.3877</v>
      </c>
      <c r="E238" s="130">
        <f t="shared" si="310"/>
        <v>214.27267034482759</v>
      </c>
      <c r="F238" s="130">
        <f t="shared" si="310"/>
        <v>387.84681000000006</v>
      </c>
      <c r="G238" s="130">
        <f t="shared" si="310"/>
        <v>245.99506285714284</v>
      </c>
      <c r="H238" s="130">
        <f t="shared" si="310"/>
        <v>442.31289488372096</v>
      </c>
      <c r="I238" s="130">
        <f t="shared" si="310"/>
        <v>439.96134000000001</v>
      </c>
      <c r="J238" s="130">
        <f t="shared" si="310"/>
        <v>453.80639571428577</v>
      </c>
      <c r="K238" s="130">
        <f t="shared" si="310"/>
        <v>482.50417090909082</v>
      </c>
      <c r="L238" s="130">
        <f t="shared" si="310"/>
        <v>296.65573116279069</v>
      </c>
      <c r="M238" s="130">
        <f t="shared" si="310"/>
        <v>227.51452285714282</v>
      </c>
      <c r="N238" s="130">
        <f t="shared" si="310"/>
        <v>418.84127999999998</v>
      </c>
      <c r="O238" s="130">
        <f t="shared" si="310"/>
        <v>254.68110719999999</v>
      </c>
      <c r="P238" s="130">
        <f t="shared" si="310"/>
        <v>353.96088000000003</v>
      </c>
      <c r="Q238" s="130">
        <f t="shared" si="310"/>
        <v>289.28101090909092</v>
      </c>
      <c r="R238" s="130">
        <f t="shared" si="310"/>
        <v>353.67929999999996</v>
      </c>
      <c r="S238" s="130">
        <f t="shared" si="310"/>
        <v>509.20215839999992</v>
      </c>
      <c r="T238" s="130">
        <f t="shared" si="310"/>
        <v>414.97417565217393</v>
      </c>
      <c r="U238" s="130">
        <f t="shared" si="310"/>
        <v>497.36568374999985</v>
      </c>
      <c r="V238" s="130">
        <f t="shared" si="310"/>
        <v>708.67758000000003</v>
      </c>
      <c r="W238" s="130">
        <f t="shared" ref="W238" si="311">IF(W26=0,0,W86/W26*1000)</f>
        <v>582.27645272727273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177.71910876404496</v>
      </c>
      <c r="C240" s="98">
        <f t="shared" si="314"/>
        <v>318.59352000000001</v>
      </c>
      <c r="D240" s="98">
        <f t="shared" si="314"/>
        <v>155.3877</v>
      </c>
      <c r="E240" s="98">
        <f t="shared" si="314"/>
        <v>214.27267034482759</v>
      </c>
      <c r="F240" s="98">
        <f t="shared" si="314"/>
        <v>387.84681000000006</v>
      </c>
      <c r="G240" s="98">
        <f t="shared" si="314"/>
        <v>245.99506285714284</v>
      </c>
      <c r="H240" s="98">
        <f t="shared" si="314"/>
        <v>442.31289488372096</v>
      </c>
      <c r="I240" s="98">
        <f t="shared" si="314"/>
        <v>439.96134000000001</v>
      </c>
      <c r="J240" s="98">
        <f t="shared" si="314"/>
        <v>453.80639571428577</v>
      </c>
      <c r="K240" s="98">
        <f t="shared" si="314"/>
        <v>482.50417090909082</v>
      </c>
      <c r="L240" s="98">
        <f t="shared" si="314"/>
        <v>296.65573116279069</v>
      </c>
      <c r="M240" s="98">
        <f t="shared" si="314"/>
        <v>227.51452285714282</v>
      </c>
      <c r="N240" s="98">
        <f t="shared" si="314"/>
        <v>418.84127999999998</v>
      </c>
      <c r="O240" s="98">
        <f t="shared" si="314"/>
        <v>254.68110719999999</v>
      </c>
      <c r="P240" s="98">
        <f t="shared" si="314"/>
        <v>353.96088000000003</v>
      </c>
      <c r="Q240" s="98">
        <f t="shared" si="314"/>
        <v>289.28101090909092</v>
      </c>
      <c r="R240" s="98">
        <f t="shared" si="314"/>
        <v>353.67929999999996</v>
      </c>
      <c r="S240" s="98">
        <f t="shared" si="314"/>
        <v>509.20215839999992</v>
      </c>
      <c r="T240" s="98">
        <f t="shared" si="314"/>
        <v>414.97417565217393</v>
      </c>
      <c r="U240" s="98">
        <f t="shared" si="314"/>
        <v>497.36568374999985</v>
      </c>
      <c r="V240" s="98">
        <f t="shared" si="314"/>
        <v>708.67758000000003</v>
      </c>
      <c r="W240" s="98">
        <f t="shared" ref="W240:W243" si="315">IF(W28=0,0,W88/W28*1000)</f>
        <v>582.27645272727273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0</v>
      </c>
      <c r="J241" s="32">
        <f t="shared" si="316"/>
        <v>0</v>
      </c>
      <c r="K241" s="32">
        <f t="shared" si="316"/>
        <v>0</v>
      </c>
      <c r="L241" s="32">
        <f t="shared" si="316"/>
        <v>0</v>
      </c>
      <c r="M241" s="32">
        <f t="shared" si="316"/>
        <v>0</v>
      </c>
      <c r="N241" s="32">
        <f t="shared" si="316"/>
        <v>0</v>
      </c>
      <c r="O241" s="32">
        <f t="shared" si="316"/>
        <v>0</v>
      </c>
      <c r="P241" s="32">
        <f t="shared" si="316"/>
        <v>0</v>
      </c>
      <c r="Q241" s="32">
        <f t="shared" si="316"/>
        <v>0</v>
      </c>
      <c r="R241" s="32">
        <f t="shared" si="316"/>
        <v>0</v>
      </c>
      <c r="S241" s="32">
        <f t="shared" si="316"/>
        <v>0</v>
      </c>
      <c r="T241" s="32">
        <f t="shared" si="316"/>
        <v>0</v>
      </c>
      <c r="U241" s="32">
        <f t="shared" si="316"/>
        <v>0</v>
      </c>
      <c r="V241" s="32">
        <f t="shared" si="316"/>
        <v>0</v>
      </c>
      <c r="W241" s="32">
        <f t="shared" si="315"/>
        <v>0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0</v>
      </c>
      <c r="J242" s="97">
        <f t="shared" si="317"/>
        <v>0</v>
      </c>
      <c r="K242" s="97">
        <f t="shared" si="317"/>
        <v>0</v>
      </c>
      <c r="L242" s="97">
        <f t="shared" si="317"/>
        <v>0</v>
      </c>
      <c r="M242" s="97">
        <f t="shared" si="317"/>
        <v>0</v>
      </c>
      <c r="N242" s="97">
        <f t="shared" si="317"/>
        <v>0</v>
      </c>
      <c r="O242" s="97">
        <f t="shared" si="317"/>
        <v>0</v>
      </c>
      <c r="P242" s="97">
        <f t="shared" si="317"/>
        <v>0</v>
      </c>
      <c r="Q242" s="97">
        <f t="shared" si="317"/>
        <v>0</v>
      </c>
      <c r="R242" s="97">
        <f t="shared" si="317"/>
        <v>0</v>
      </c>
      <c r="S242" s="97">
        <f t="shared" si="317"/>
        <v>0</v>
      </c>
      <c r="T242" s="97">
        <f t="shared" si="317"/>
        <v>0</v>
      </c>
      <c r="U242" s="97">
        <f t="shared" si="317"/>
        <v>0</v>
      </c>
      <c r="V242" s="97">
        <f t="shared" si="317"/>
        <v>0</v>
      </c>
      <c r="W242" s="97">
        <f t="shared" si="315"/>
        <v>0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0</v>
      </c>
      <c r="J243" s="98">
        <f t="shared" si="318"/>
        <v>0</v>
      </c>
      <c r="K243" s="98">
        <f t="shared" si="318"/>
        <v>0</v>
      </c>
      <c r="L243" s="98">
        <f t="shared" si="318"/>
        <v>0</v>
      </c>
      <c r="M243" s="98">
        <f t="shared" si="318"/>
        <v>0</v>
      </c>
      <c r="N243" s="98">
        <f t="shared" si="318"/>
        <v>0</v>
      </c>
      <c r="O243" s="98">
        <f t="shared" si="318"/>
        <v>0</v>
      </c>
      <c r="P243" s="98">
        <f t="shared" si="318"/>
        <v>0</v>
      </c>
      <c r="Q243" s="98">
        <f t="shared" si="318"/>
        <v>0</v>
      </c>
      <c r="R243" s="98">
        <f t="shared" si="318"/>
        <v>0</v>
      </c>
      <c r="S243" s="98">
        <f t="shared" si="318"/>
        <v>0</v>
      </c>
      <c r="T243" s="98">
        <f t="shared" si="318"/>
        <v>0</v>
      </c>
      <c r="U243" s="98">
        <f t="shared" si="318"/>
        <v>0</v>
      </c>
      <c r="V243" s="98">
        <f t="shared" si="318"/>
        <v>0</v>
      </c>
      <c r="W243" s="98">
        <f t="shared" si="315"/>
        <v>0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81621.97102729851</v>
      </c>
      <c r="C4" s="29">
        <f t="shared" si="0"/>
        <v>82430.646545298427</v>
      </c>
      <c r="D4" s="29">
        <f t="shared" si="0"/>
        <v>83229.263808267002</v>
      </c>
      <c r="E4" s="29">
        <f t="shared" si="0"/>
        <v>85189.534608617396</v>
      </c>
      <c r="F4" s="29">
        <f t="shared" si="0"/>
        <v>84188.301271809149</v>
      </c>
      <c r="G4" s="29">
        <f t="shared" si="0"/>
        <v>85697.261521008157</v>
      </c>
      <c r="H4" s="29">
        <f t="shared" si="0"/>
        <v>87136.643477376303</v>
      </c>
      <c r="I4" s="29">
        <f t="shared" si="0"/>
        <v>89208.96661931464</v>
      </c>
      <c r="J4" s="29">
        <f t="shared" si="0"/>
        <v>90082.66249279576</v>
      </c>
      <c r="K4" s="29">
        <f t="shared" si="0"/>
        <v>89963.603229612694</v>
      </c>
      <c r="L4" s="29">
        <f t="shared" ref="L4" si="1">L5+L6+L13</f>
        <v>82164.207928549629</v>
      </c>
      <c r="M4" s="29">
        <f t="shared" ref="M4:V4" si="2">M5+M6+M13</f>
        <v>82988.082769516594</v>
      </c>
      <c r="N4" s="29">
        <f t="shared" si="2"/>
        <v>81647.559006617579</v>
      </c>
      <c r="O4" s="29">
        <f t="shared" si="2"/>
        <v>82071.182186037477</v>
      </c>
      <c r="P4" s="29">
        <f t="shared" si="2"/>
        <v>85049.36610307009</v>
      </c>
      <c r="Q4" s="29">
        <f t="shared" si="2"/>
        <v>87770.949461222248</v>
      </c>
      <c r="R4" s="29">
        <f t="shared" si="2"/>
        <v>91382.296126536545</v>
      </c>
      <c r="S4" s="29">
        <f t="shared" si="2"/>
        <v>94331.885953877791</v>
      </c>
      <c r="T4" s="29">
        <f t="shared" si="2"/>
        <v>97756.586292151143</v>
      </c>
      <c r="U4" s="29">
        <f t="shared" si="2"/>
        <v>100915.24911404923</v>
      </c>
      <c r="V4" s="29">
        <f t="shared" si="2"/>
        <v>79886.304423097739</v>
      </c>
      <c r="W4" s="29">
        <f t="shared" ref="W4" si="3">W5+W6+W13</f>
        <v>98665.877346995941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1510.6710272985213</v>
      </c>
      <c r="C5" s="152">
        <f t="shared" si="4"/>
        <v>1441.3465452984167</v>
      </c>
      <c r="D5" s="152">
        <f t="shared" si="4"/>
        <v>1408.7638082670003</v>
      </c>
      <c r="E5" s="152">
        <f t="shared" si="4"/>
        <v>1404.7346086174059</v>
      </c>
      <c r="F5" s="152">
        <f t="shared" si="4"/>
        <v>1400.3012718091427</v>
      </c>
      <c r="G5" s="152">
        <f t="shared" si="4"/>
        <v>1449.3615210081628</v>
      </c>
      <c r="H5" s="152">
        <f t="shared" si="4"/>
        <v>1491.5434773762943</v>
      </c>
      <c r="I5" s="152">
        <f t="shared" si="4"/>
        <v>1548.0666193146521</v>
      </c>
      <c r="J5" s="152">
        <f t="shared" si="4"/>
        <v>1595.7624927957693</v>
      </c>
      <c r="K5" s="152">
        <f t="shared" si="4"/>
        <v>1611.6032296126937</v>
      </c>
      <c r="L5" s="152">
        <f t="shared" ref="L5:L7" si="5">IF(L32=0,0,L32*L142)</f>
        <v>1638.607928549633</v>
      </c>
      <c r="M5" s="152">
        <f t="shared" ref="M5:V5" si="6">IF(M32=0,0,M32*M142)</f>
        <v>1665.2827695165961</v>
      </c>
      <c r="N5" s="152">
        <f t="shared" si="6"/>
        <v>1700.7590066175765</v>
      </c>
      <c r="O5" s="152">
        <f t="shared" si="6"/>
        <v>1700.2821860374759</v>
      </c>
      <c r="P5" s="152">
        <f t="shared" si="6"/>
        <v>1734.0661030700808</v>
      </c>
      <c r="Q5" s="152">
        <f t="shared" si="6"/>
        <v>1803.0494612222478</v>
      </c>
      <c r="R5" s="152">
        <f t="shared" si="6"/>
        <v>1851.2961265365498</v>
      </c>
      <c r="S5" s="152">
        <f t="shared" si="6"/>
        <v>1746.0859538777979</v>
      </c>
      <c r="T5" s="152">
        <f t="shared" si="6"/>
        <v>1663.8862921511641</v>
      </c>
      <c r="U5" s="152">
        <f t="shared" si="6"/>
        <v>1767.8491140492611</v>
      </c>
      <c r="V5" s="152">
        <f t="shared" si="6"/>
        <v>1581.604423097742</v>
      </c>
      <c r="W5" s="152">
        <f t="shared" ref="W5" si="7">IF(W32=0,0,W32*W142)</f>
        <v>1638.5773469959472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63939.999999999993</v>
      </c>
      <c r="C6" s="116">
        <f t="shared" si="8"/>
        <v>63470</v>
      </c>
      <c r="D6" s="116">
        <f t="shared" si="8"/>
        <v>65290.000000000007</v>
      </c>
      <c r="E6" s="116">
        <f t="shared" si="8"/>
        <v>67359.999999999985</v>
      </c>
      <c r="F6" s="116">
        <f t="shared" si="8"/>
        <v>67570</v>
      </c>
      <c r="G6" s="116">
        <f t="shared" si="8"/>
        <v>68640</v>
      </c>
      <c r="H6" s="116">
        <f t="shared" si="8"/>
        <v>69630</v>
      </c>
      <c r="I6" s="116">
        <f t="shared" si="8"/>
        <v>71540</v>
      </c>
      <c r="J6" s="116">
        <f t="shared" si="8"/>
        <v>72380</v>
      </c>
      <c r="K6" s="116">
        <f t="shared" si="8"/>
        <v>72290</v>
      </c>
      <c r="L6" s="116">
        <f t="shared" ref="L6" si="9">SUM(L7:L12)</f>
        <v>63570</v>
      </c>
      <c r="M6" s="116">
        <f t="shared" ref="M6:V6" si="10">SUM(M7:M12)</f>
        <v>65489.999999999993</v>
      </c>
      <c r="N6" s="116">
        <f t="shared" si="10"/>
        <v>64620</v>
      </c>
      <c r="O6" s="116">
        <f t="shared" si="10"/>
        <v>64650.000000000007</v>
      </c>
      <c r="P6" s="116">
        <f t="shared" si="10"/>
        <v>66260</v>
      </c>
      <c r="Q6" s="116">
        <f t="shared" si="10"/>
        <v>69705</v>
      </c>
      <c r="R6" s="116">
        <f t="shared" si="10"/>
        <v>72255</v>
      </c>
      <c r="S6" s="116">
        <f t="shared" si="10"/>
        <v>74326.999999999985</v>
      </c>
      <c r="T6" s="116">
        <f t="shared" si="10"/>
        <v>77970.999999999985</v>
      </c>
      <c r="U6" s="116">
        <f t="shared" si="10"/>
        <v>81178.999999999985</v>
      </c>
      <c r="V6" s="116">
        <f t="shared" si="10"/>
        <v>68936</v>
      </c>
      <c r="W6" s="116">
        <f t="shared" ref="W6" si="11">SUM(W7:W12)</f>
        <v>87932.999999999985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47324.395814204443</v>
      </c>
      <c r="C7" s="87">
        <f t="shared" si="12"/>
        <v>44732.076038905623</v>
      </c>
      <c r="D7" s="87">
        <f t="shared" si="12"/>
        <v>44451.612858968867</v>
      </c>
      <c r="E7" s="87">
        <f t="shared" si="12"/>
        <v>43999.687826126079</v>
      </c>
      <c r="F7" s="87">
        <f t="shared" si="12"/>
        <v>42731.209328225719</v>
      </c>
      <c r="G7" s="87">
        <f t="shared" si="12"/>
        <v>41064.076472262299</v>
      </c>
      <c r="H7" s="87">
        <f t="shared" si="12"/>
        <v>40765.348078099545</v>
      </c>
      <c r="I7" s="87">
        <f t="shared" si="12"/>
        <v>41861.976930084595</v>
      </c>
      <c r="J7" s="87">
        <f t="shared" si="12"/>
        <v>41224.481631356728</v>
      </c>
      <c r="K7" s="87">
        <f t="shared" si="12"/>
        <v>39907.629128444263</v>
      </c>
      <c r="L7" s="87">
        <f t="shared" si="5"/>
        <v>34713.781296393208</v>
      </c>
      <c r="M7" s="87">
        <f t="shared" ref="M7:V7" si="13">IF(M34=0,0,M34*M144)</f>
        <v>33965.961958473476</v>
      </c>
      <c r="N7" s="87">
        <f t="shared" si="13"/>
        <v>31535.650824681503</v>
      </c>
      <c r="O7" s="87">
        <f t="shared" si="13"/>
        <v>29498.934317330932</v>
      </c>
      <c r="P7" s="87">
        <f t="shared" si="13"/>
        <v>29624.507946212743</v>
      </c>
      <c r="Q7" s="87">
        <f t="shared" si="13"/>
        <v>30939.520342027587</v>
      </c>
      <c r="R7" s="87">
        <f t="shared" si="13"/>
        <v>31207.516943053364</v>
      </c>
      <c r="S7" s="87">
        <f t="shared" si="13"/>
        <v>31668.404920854988</v>
      </c>
      <c r="T7" s="87">
        <f t="shared" si="13"/>
        <v>32980.366021171343</v>
      </c>
      <c r="U7" s="87">
        <f t="shared" si="13"/>
        <v>33835.517631710296</v>
      </c>
      <c r="V7" s="87">
        <f t="shared" si="13"/>
        <v>27112.348504115806</v>
      </c>
      <c r="W7" s="87">
        <f t="shared" ref="W7" si="14">IF(W34=0,0,W34*W144)</f>
        <v>32932.509539423278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15375.230391673116</v>
      </c>
      <c r="C8" s="87">
        <f t="shared" si="15"/>
        <v>17573.837615355485</v>
      </c>
      <c r="D8" s="87">
        <f t="shared" si="15"/>
        <v>19670.176042672989</v>
      </c>
      <c r="E8" s="87">
        <f t="shared" si="15"/>
        <v>22176.477530669552</v>
      </c>
      <c r="F8" s="87">
        <f t="shared" si="15"/>
        <v>23627.716500052527</v>
      </c>
      <c r="G8" s="87">
        <f t="shared" si="15"/>
        <v>26345.230824756109</v>
      </c>
      <c r="H8" s="87">
        <f t="shared" si="15"/>
        <v>27546.23494351183</v>
      </c>
      <c r="I8" s="87">
        <f t="shared" si="15"/>
        <v>28279.344136772703</v>
      </c>
      <c r="J8" s="87">
        <f t="shared" si="15"/>
        <v>29777.349553345768</v>
      </c>
      <c r="K8" s="87">
        <f t="shared" si="15"/>
        <v>30990.172792585334</v>
      </c>
      <c r="L8" s="87">
        <f t="shared" ref="L8" si="16">IF(L35=0,0,L35*L145)</f>
        <v>27585.206440273963</v>
      </c>
      <c r="M8" s="87">
        <f t="shared" ref="M8:V8" si="17">IF(M35=0,0,M35*M145)</f>
        <v>30217.512193140843</v>
      </c>
      <c r="N8" s="87">
        <f t="shared" si="17"/>
        <v>31658.521980242956</v>
      </c>
      <c r="O8" s="87">
        <f t="shared" si="17"/>
        <v>33676.681971679471</v>
      </c>
      <c r="P8" s="87">
        <f t="shared" si="17"/>
        <v>35015.709700145409</v>
      </c>
      <c r="Q8" s="87">
        <f t="shared" si="17"/>
        <v>37076.664458331805</v>
      </c>
      <c r="R8" s="87">
        <f t="shared" si="17"/>
        <v>39336.721324868566</v>
      </c>
      <c r="S8" s="87">
        <f t="shared" si="17"/>
        <v>41027.196594401241</v>
      </c>
      <c r="T8" s="87">
        <f t="shared" si="17"/>
        <v>43341.026757480766</v>
      </c>
      <c r="U8" s="87">
        <f t="shared" si="17"/>
        <v>45686.616339012879</v>
      </c>
      <c r="V8" s="87">
        <f t="shared" si="17"/>
        <v>40485.701261769063</v>
      </c>
      <c r="W8" s="87">
        <f t="shared" ref="W8" si="18">IF(W35=0,0,W35*W145)</f>
        <v>53330.21145972512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1240.3737941224315</v>
      </c>
      <c r="C9" s="87">
        <f t="shared" si="19"/>
        <v>1164.0863457388909</v>
      </c>
      <c r="D9" s="87">
        <f t="shared" si="19"/>
        <v>1168.2110983581549</v>
      </c>
      <c r="E9" s="87">
        <f t="shared" si="19"/>
        <v>1183.8346432043681</v>
      </c>
      <c r="F9" s="87">
        <f t="shared" si="19"/>
        <v>1211.0741717217559</v>
      </c>
      <c r="G9" s="87">
        <f t="shared" si="19"/>
        <v>1230.6927029815904</v>
      </c>
      <c r="H9" s="87">
        <f t="shared" si="19"/>
        <v>1318.4169783886239</v>
      </c>
      <c r="I9" s="87">
        <f t="shared" si="19"/>
        <v>1398.6789331426976</v>
      </c>
      <c r="J9" s="87">
        <f t="shared" si="19"/>
        <v>1364.183271382642</v>
      </c>
      <c r="K9" s="87">
        <f t="shared" si="19"/>
        <v>1370.2534731581554</v>
      </c>
      <c r="L9" s="87">
        <f t="shared" ref="L9" si="20">IF(L36=0,0,L36*L146)</f>
        <v>1243.0414319049719</v>
      </c>
      <c r="M9" s="87">
        <f t="shared" ref="M9:V9" si="21">IF(M36=0,0,M36*M146)</f>
        <v>1270.1117155427278</v>
      </c>
      <c r="N9" s="87">
        <f t="shared" si="21"/>
        <v>1380.2521313746183</v>
      </c>
      <c r="O9" s="87">
        <f t="shared" si="21"/>
        <v>1408.0903077375403</v>
      </c>
      <c r="P9" s="87">
        <f t="shared" si="21"/>
        <v>1535.5492139113239</v>
      </c>
      <c r="Q9" s="87">
        <f t="shared" si="21"/>
        <v>1562.6091978389327</v>
      </c>
      <c r="R9" s="87">
        <f t="shared" si="21"/>
        <v>1499.9556536996815</v>
      </c>
      <c r="S9" s="87">
        <f t="shared" si="21"/>
        <v>1361.9957596885679</v>
      </c>
      <c r="T9" s="87">
        <f t="shared" si="21"/>
        <v>1311.3233713716154</v>
      </c>
      <c r="U9" s="87">
        <f t="shared" si="21"/>
        <v>1268.47771943353</v>
      </c>
      <c r="V9" s="87">
        <f t="shared" si="21"/>
        <v>959.74198737078416</v>
      </c>
      <c r="W9" s="87">
        <f t="shared" ref="W9" si="22">IF(W36=0,0,W36*W146)</f>
        <v>1129.0007611525996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13.985543914860434</v>
      </c>
      <c r="K10" s="87">
        <f t="shared" si="23"/>
        <v>21.944605812246827</v>
      </c>
      <c r="L10" s="87">
        <f t="shared" ref="L10" si="24">IF(L37=0,0,L37*L147)</f>
        <v>27.894473430836751</v>
      </c>
      <c r="M10" s="87">
        <f t="shared" ref="M10:V10" si="25">IF(M37=0,0,M37*M147)</f>
        <v>35.616632029039984</v>
      </c>
      <c r="N10" s="87">
        <f t="shared" si="25"/>
        <v>44.448414100697995</v>
      </c>
      <c r="O10" s="87">
        <f t="shared" si="25"/>
        <v>62.987712577479037</v>
      </c>
      <c r="P10" s="87">
        <f t="shared" si="25"/>
        <v>78.043743266480107</v>
      </c>
      <c r="Q10" s="87">
        <f t="shared" si="25"/>
        <v>114.53363360529143</v>
      </c>
      <c r="R10" s="87">
        <f t="shared" si="25"/>
        <v>189.85143967651982</v>
      </c>
      <c r="S10" s="87">
        <f t="shared" si="25"/>
        <v>234.52498888055453</v>
      </c>
      <c r="T10" s="87">
        <f t="shared" si="25"/>
        <v>290.86303628102593</v>
      </c>
      <c r="U10" s="87">
        <f t="shared" si="25"/>
        <v>325.71443050300576</v>
      </c>
      <c r="V10" s="87">
        <f t="shared" si="25"/>
        <v>283.23464724777085</v>
      </c>
      <c r="W10" s="87">
        <f t="shared" ref="W10" si="26">IF(W37=0,0,W37*W147)</f>
        <v>363.36283653023685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0.16776674946135919</v>
      </c>
      <c r="O11" s="87">
        <f t="shared" si="29"/>
        <v>0.29416535461884968</v>
      </c>
      <c r="P11" s="87">
        <f t="shared" si="29"/>
        <v>0.91339507422575106</v>
      </c>
      <c r="Q11" s="87">
        <f t="shared" si="29"/>
        <v>2.4909142442136716</v>
      </c>
      <c r="R11" s="87">
        <f t="shared" si="29"/>
        <v>3.9456073161995215</v>
      </c>
      <c r="S11" s="87">
        <f t="shared" si="29"/>
        <v>6.1703251851055443</v>
      </c>
      <c r="T11" s="87">
        <f t="shared" si="29"/>
        <v>8.9580957780592723</v>
      </c>
      <c r="U11" s="87">
        <f t="shared" si="29"/>
        <v>13.372135097484859</v>
      </c>
      <c r="V11" s="87">
        <f t="shared" si="29"/>
        <v>21.940286201783714</v>
      </c>
      <c r="W11" s="87">
        <f t="shared" ref="W11" si="30">IF(W38=0,0,W38*W148)</f>
        <v>50.636719222286317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7.635799701697206E-2</v>
      </c>
      <c r="M12" s="87">
        <f t="shared" ref="M12:V12" si="33">IF(M39=0,0,M39*M149)</f>
        <v>0.79750081390218464</v>
      </c>
      <c r="N12" s="87">
        <f t="shared" si="33"/>
        <v>0.95888285076584778</v>
      </c>
      <c r="O12" s="87">
        <f t="shared" si="33"/>
        <v>3.0115253199626064</v>
      </c>
      <c r="P12" s="87">
        <f t="shared" si="33"/>
        <v>5.2760013898229454</v>
      </c>
      <c r="Q12" s="87">
        <f t="shared" si="33"/>
        <v>9.1814539521718981</v>
      </c>
      <c r="R12" s="87">
        <f t="shared" si="33"/>
        <v>17.009031385665047</v>
      </c>
      <c r="S12" s="87">
        <f t="shared" si="33"/>
        <v>28.707410989539429</v>
      </c>
      <c r="T12" s="87">
        <f t="shared" si="33"/>
        <v>38.462717917187483</v>
      </c>
      <c r="U12" s="87">
        <f t="shared" si="33"/>
        <v>49.301744242792267</v>
      </c>
      <c r="V12" s="87">
        <f t="shared" si="33"/>
        <v>73.033313294788528</v>
      </c>
      <c r="W12" s="87">
        <f t="shared" ref="W12" si="34">IF(W39=0,0,W39*W149)</f>
        <v>127.27868394647496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16171.300000000003</v>
      </c>
      <c r="C13" s="116">
        <f t="shared" si="35"/>
        <v>17519.300000000007</v>
      </c>
      <c r="D13" s="116">
        <f t="shared" si="35"/>
        <v>16530.5</v>
      </c>
      <c r="E13" s="116">
        <f t="shared" si="35"/>
        <v>16424.800000000003</v>
      </c>
      <c r="F13" s="116">
        <f t="shared" si="35"/>
        <v>15218</v>
      </c>
      <c r="G13" s="116">
        <f t="shared" si="35"/>
        <v>15607.900000000001</v>
      </c>
      <c r="H13" s="116">
        <f t="shared" si="35"/>
        <v>16015.100000000002</v>
      </c>
      <c r="I13" s="116">
        <f t="shared" si="35"/>
        <v>16120.9</v>
      </c>
      <c r="J13" s="116">
        <f t="shared" si="35"/>
        <v>16106.899999999998</v>
      </c>
      <c r="K13" s="116">
        <f t="shared" si="35"/>
        <v>16062.000000000002</v>
      </c>
      <c r="L13" s="116">
        <f t="shared" ref="L13" si="36">SUM(L14:L18)</f>
        <v>16955.599999999999</v>
      </c>
      <c r="M13" s="116">
        <f t="shared" ref="M13:V13" si="37">SUM(M14:M18)</f>
        <v>15832.8</v>
      </c>
      <c r="N13" s="116">
        <f t="shared" si="37"/>
        <v>15326.800000000001</v>
      </c>
      <c r="O13" s="116">
        <f t="shared" si="37"/>
        <v>15720.899999999998</v>
      </c>
      <c r="P13" s="116">
        <f t="shared" si="37"/>
        <v>17055.3</v>
      </c>
      <c r="Q13" s="116">
        <f t="shared" si="37"/>
        <v>16262.900000000001</v>
      </c>
      <c r="R13" s="116">
        <f t="shared" si="37"/>
        <v>17275.999999999996</v>
      </c>
      <c r="S13" s="116">
        <f t="shared" si="37"/>
        <v>18258.8</v>
      </c>
      <c r="T13" s="116">
        <f t="shared" si="37"/>
        <v>18121.699999999997</v>
      </c>
      <c r="U13" s="116">
        <f t="shared" si="37"/>
        <v>17968.399999999998</v>
      </c>
      <c r="V13" s="116">
        <f t="shared" si="37"/>
        <v>9368.7000000000025</v>
      </c>
      <c r="W13" s="116">
        <f t="shared" ref="W13" si="38">SUM(W14:W18)</f>
        <v>9094.3000000000011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437.0435375662405</v>
      </c>
      <c r="C14" s="101">
        <f t="shared" si="39"/>
        <v>422.15363321479401</v>
      </c>
      <c r="D14" s="101">
        <f t="shared" si="39"/>
        <v>424.79549740325911</v>
      </c>
      <c r="E14" s="101">
        <f t="shared" si="39"/>
        <v>389.0342506354753</v>
      </c>
      <c r="F14" s="101">
        <f t="shared" si="39"/>
        <v>339.2050914964106</v>
      </c>
      <c r="G14" s="101">
        <f t="shared" si="39"/>
        <v>321.41129405966547</v>
      </c>
      <c r="H14" s="101">
        <f t="shared" si="39"/>
        <v>309.78561214480686</v>
      </c>
      <c r="I14" s="101">
        <f t="shared" si="39"/>
        <v>304.96090907292285</v>
      </c>
      <c r="J14" s="101">
        <f t="shared" si="39"/>
        <v>289.10172865721682</v>
      </c>
      <c r="K14" s="101">
        <f t="shared" si="39"/>
        <v>267.19898469640407</v>
      </c>
      <c r="L14" s="101">
        <f t="shared" ref="L14" si="40">IF(L41=0,0,L41*L151)</f>
        <v>277.32062099096163</v>
      </c>
      <c r="M14" s="101">
        <f t="shared" ref="M14:V14" si="41">IF(M41=0,0,M41*M151)</f>
        <v>250.07540863493298</v>
      </c>
      <c r="N14" s="101">
        <f t="shared" si="41"/>
        <v>225.94388199689075</v>
      </c>
      <c r="O14" s="101">
        <f t="shared" si="41"/>
        <v>225.89220885617587</v>
      </c>
      <c r="P14" s="101">
        <f t="shared" si="41"/>
        <v>231.83644564824084</v>
      </c>
      <c r="Q14" s="101">
        <f t="shared" si="41"/>
        <v>212.49713042587436</v>
      </c>
      <c r="R14" s="101">
        <f t="shared" si="41"/>
        <v>215.36785075276075</v>
      </c>
      <c r="S14" s="101">
        <f t="shared" si="41"/>
        <v>213.38253861811691</v>
      </c>
      <c r="T14" s="101">
        <f t="shared" si="41"/>
        <v>197.79655785943518</v>
      </c>
      <c r="U14" s="101">
        <f t="shared" si="41"/>
        <v>187.42933679555949</v>
      </c>
      <c r="V14" s="101">
        <f t="shared" si="41"/>
        <v>104.67834308319431</v>
      </c>
      <c r="W14" s="101">
        <f t="shared" ref="W14" si="42">IF(W41=0,0,W41*W151)</f>
        <v>94.741601178841108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14855.852124069239</v>
      </c>
      <c r="C15" s="101">
        <f t="shared" si="43"/>
        <v>16190.352935517887</v>
      </c>
      <c r="D15" s="101">
        <f t="shared" si="43"/>
        <v>15128.967947925867</v>
      </c>
      <c r="E15" s="101">
        <f t="shared" si="43"/>
        <v>14942.155190060608</v>
      </c>
      <c r="F15" s="101">
        <f t="shared" si="43"/>
        <v>13701.359809858577</v>
      </c>
      <c r="G15" s="101">
        <f t="shared" si="43"/>
        <v>14080.856613959942</v>
      </c>
      <c r="H15" s="101">
        <f t="shared" si="43"/>
        <v>14518.711120079121</v>
      </c>
      <c r="I15" s="101">
        <f t="shared" si="43"/>
        <v>14813.185238445469</v>
      </c>
      <c r="J15" s="101">
        <f t="shared" si="43"/>
        <v>14824.334392145862</v>
      </c>
      <c r="K15" s="101">
        <f t="shared" si="43"/>
        <v>14824.140823041338</v>
      </c>
      <c r="L15" s="101">
        <f t="shared" ref="L15" si="44">IF(L42=0,0,L42*L152)</f>
        <v>15688.045113617962</v>
      </c>
      <c r="M15" s="101">
        <f t="shared" ref="M15:V15" si="45">IF(M42=0,0,M42*M152)</f>
        <v>14604.496684872633</v>
      </c>
      <c r="N15" s="101">
        <f t="shared" si="45"/>
        <v>14122.667239720378</v>
      </c>
      <c r="O15" s="101">
        <f t="shared" si="45"/>
        <v>14700.773964653243</v>
      </c>
      <c r="P15" s="101">
        <f t="shared" si="45"/>
        <v>16369.795445874959</v>
      </c>
      <c r="Q15" s="101">
        <f t="shared" si="45"/>
        <v>15476.978803071494</v>
      </c>
      <c r="R15" s="101">
        <f t="shared" si="45"/>
        <v>16199.719044022148</v>
      </c>
      <c r="S15" s="101">
        <f t="shared" si="45"/>
        <v>16922.621625199929</v>
      </c>
      <c r="T15" s="101">
        <f t="shared" si="45"/>
        <v>16741.731453848191</v>
      </c>
      <c r="U15" s="101">
        <f t="shared" si="45"/>
        <v>16329.733831451915</v>
      </c>
      <c r="V15" s="101">
        <f t="shared" si="45"/>
        <v>8319.0313639393007</v>
      </c>
      <c r="W15" s="101">
        <f t="shared" ref="W15" si="46">IF(W42=0,0,W42*W152)</f>
        <v>8095.353722930171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1.8459967447505772</v>
      </c>
      <c r="W16" s="101">
        <f t="shared" ref="W16" si="50">IF(W43=0,0,W43*W153)</f>
        <v>1.7387457248710296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208.50175704492878</v>
      </c>
      <c r="C17" s="101">
        <f t="shared" si="51"/>
        <v>247.19265357585701</v>
      </c>
      <c r="D17" s="101">
        <f t="shared" si="51"/>
        <v>332.68253783941532</v>
      </c>
      <c r="E17" s="101">
        <f t="shared" si="51"/>
        <v>403.5087955047477</v>
      </c>
      <c r="F17" s="101">
        <f t="shared" si="51"/>
        <v>481.69253141946677</v>
      </c>
      <c r="G17" s="101">
        <f t="shared" si="51"/>
        <v>490.44043060541696</v>
      </c>
      <c r="H17" s="101">
        <f t="shared" si="51"/>
        <v>450.26272494840589</v>
      </c>
      <c r="I17" s="101">
        <f t="shared" si="51"/>
        <v>273.22327217834629</v>
      </c>
      <c r="J17" s="101">
        <f t="shared" si="51"/>
        <v>269.86268010450499</v>
      </c>
      <c r="K17" s="101">
        <f t="shared" si="51"/>
        <v>260.49949729272555</v>
      </c>
      <c r="L17" s="101">
        <f t="shared" ref="L17" si="52">IF(L44=0,0,L44*L154)</f>
        <v>262.52546507389172</v>
      </c>
      <c r="M17" s="101">
        <f t="shared" ref="M17:V17" si="53">IF(M44=0,0,M44*M154)</f>
        <v>269.09801951536434</v>
      </c>
      <c r="N17" s="101">
        <f t="shared" si="53"/>
        <v>268.81783661256429</v>
      </c>
      <c r="O17" s="101">
        <f t="shared" si="53"/>
        <v>256.03737244427288</v>
      </c>
      <c r="P17" s="101">
        <f t="shared" si="53"/>
        <v>307.1584691121401</v>
      </c>
      <c r="Q17" s="101">
        <f t="shared" si="53"/>
        <v>453.11254300400191</v>
      </c>
      <c r="R17" s="101">
        <f t="shared" si="53"/>
        <v>742.0749946095051</v>
      </c>
      <c r="S17" s="101">
        <f t="shared" si="53"/>
        <v>1006.2925774675591</v>
      </c>
      <c r="T17" s="101">
        <f t="shared" si="53"/>
        <v>1067.9465024353549</v>
      </c>
      <c r="U17" s="101">
        <f t="shared" si="53"/>
        <v>1354.5858448275553</v>
      </c>
      <c r="V17" s="101">
        <f t="shared" si="53"/>
        <v>879.72698526931481</v>
      </c>
      <c r="W17" s="101">
        <f t="shared" ref="W17" si="54">IF(W44=0,0,W44*W154)</f>
        <v>826.76832600454281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669.90258131959422</v>
      </c>
      <c r="C18" s="101">
        <f t="shared" si="55"/>
        <v>659.60077769146494</v>
      </c>
      <c r="D18" s="101">
        <f t="shared" si="55"/>
        <v>644.05401683145908</v>
      </c>
      <c r="E18" s="101">
        <f t="shared" si="55"/>
        <v>690.10176379917277</v>
      </c>
      <c r="F18" s="101">
        <f t="shared" si="55"/>
        <v>695.74256722554571</v>
      </c>
      <c r="G18" s="101">
        <f t="shared" si="55"/>
        <v>715.19166137497655</v>
      </c>
      <c r="H18" s="101">
        <f t="shared" si="55"/>
        <v>736.34054282766692</v>
      </c>
      <c r="I18" s="101">
        <f t="shared" si="55"/>
        <v>729.53058030326179</v>
      </c>
      <c r="J18" s="101">
        <f t="shared" si="55"/>
        <v>723.6011990924153</v>
      </c>
      <c r="K18" s="101">
        <f t="shared" si="55"/>
        <v>710.16069496953435</v>
      </c>
      <c r="L18" s="101">
        <f t="shared" ref="L18" si="56">IF(L45=0,0,L45*L155)</f>
        <v>727.70880031718343</v>
      </c>
      <c r="M18" s="101">
        <f t="shared" ref="M18:V18" si="57">IF(M45=0,0,M45*M155)</f>
        <v>709.1298869770684</v>
      </c>
      <c r="N18" s="101">
        <f t="shared" si="57"/>
        <v>709.37104167016616</v>
      </c>
      <c r="O18" s="101">
        <f t="shared" si="57"/>
        <v>538.19645404630774</v>
      </c>
      <c r="P18" s="101">
        <f t="shared" si="57"/>
        <v>146.50963936465953</v>
      </c>
      <c r="Q18" s="101">
        <f t="shared" si="57"/>
        <v>120.3115234986322</v>
      </c>
      <c r="R18" s="101">
        <f t="shared" si="57"/>
        <v>118.83811061558433</v>
      </c>
      <c r="S18" s="101">
        <f t="shared" si="57"/>
        <v>116.50325871439529</v>
      </c>
      <c r="T18" s="101">
        <f t="shared" si="57"/>
        <v>114.22548585701652</v>
      </c>
      <c r="U18" s="101">
        <f t="shared" si="57"/>
        <v>96.650986924972557</v>
      </c>
      <c r="V18" s="101">
        <f t="shared" si="57"/>
        <v>63.417310963440819</v>
      </c>
      <c r="W18" s="101">
        <f t="shared" ref="W18" si="58">IF(W45=0,0,W45*W155)</f>
        <v>75.69760416157358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26523.962710189258</v>
      </c>
      <c r="C19" s="29">
        <f t="shared" si="59"/>
        <v>28212.217360084309</v>
      </c>
      <c r="D19" s="29">
        <f t="shared" si="59"/>
        <v>30331.685777136998</v>
      </c>
      <c r="E19" s="29">
        <f t="shared" si="59"/>
        <v>31648.018789538852</v>
      </c>
      <c r="F19" s="29">
        <f t="shared" si="59"/>
        <v>32634.725860045612</v>
      </c>
      <c r="G19" s="29">
        <f t="shared" si="59"/>
        <v>32767.883827294652</v>
      </c>
      <c r="H19" s="29">
        <f t="shared" si="59"/>
        <v>34256.500302225992</v>
      </c>
      <c r="I19" s="29">
        <f t="shared" si="59"/>
        <v>34627.324775917645</v>
      </c>
      <c r="J19" s="29">
        <f t="shared" si="59"/>
        <v>33323.391401651839</v>
      </c>
      <c r="K19" s="29">
        <f t="shared" si="59"/>
        <v>29941.424168892758</v>
      </c>
      <c r="L19" s="29">
        <f t="shared" ref="L19" si="60">L20+L26</f>
        <v>32803.417928507362</v>
      </c>
      <c r="M19" s="29">
        <f t="shared" ref="M19:V19" si="61">M20+M26</f>
        <v>34000.317662959591</v>
      </c>
      <c r="N19" s="29">
        <f t="shared" si="61"/>
        <v>33312.073467696682</v>
      </c>
      <c r="O19" s="29">
        <f t="shared" si="61"/>
        <v>36286.057917432125</v>
      </c>
      <c r="P19" s="29">
        <f t="shared" si="61"/>
        <v>37971.86071616986</v>
      </c>
      <c r="Q19" s="29">
        <f t="shared" si="61"/>
        <v>43722.698346720077</v>
      </c>
      <c r="R19" s="29">
        <f t="shared" si="61"/>
        <v>44195.951582639333</v>
      </c>
      <c r="S19" s="29">
        <f t="shared" si="61"/>
        <v>43973.524127716511</v>
      </c>
      <c r="T19" s="29">
        <f t="shared" si="61"/>
        <v>44358.134210183191</v>
      </c>
      <c r="U19" s="29">
        <f t="shared" si="61"/>
        <v>46563.193841631757</v>
      </c>
      <c r="V19" s="29">
        <f t="shared" si="61"/>
        <v>52604.211039049442</v>
      </c>
      <c r="W19" s="29">
        <f t="shared" ref="W19" si="62">W20+W26</f>
        <v>56017.51048993216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206.73715044133394</v>
      </c>
      <c r="C20" s="152">
        <f t="shared" si="63"/>
        <v>240.16666215014288</v>
      </c>
      <c r="D20" s="152">
        <f t="shared" si="63"/>
        <v>284.11504992880538</v>
      </c>
      <c r="E20" s="152">
        <f t="shared" si="63"/>
        <v>335.3081592112095</v>
      </c>
      <c r="F20" s="152">
        <f t="shared" si="63"/>
        <v>396.29298925476411</v>
      </c>
      <c r="G20" s="152">
        <f t="shared" si="63"/>
        <v>479.13943640376834</v>
      </c>
      <c r="H20" s="152">
        <f t="shared" si="63"/>
        <v>559.03527910861658</v>
      </c>
      <c r="I20" s="152">
        <f t="shared" si="63"/>
        <v>642.73452502868861</v>
      </c>
      <c r="J20" s="152">
        <f t="shared" si="63"/>
        <v>765.04329187090184</v>
      </c>
      <c r="K20" s="152">
        <f t="shared" si="63"/>
        <v>782.18011397637724</v>
      </c>
      <c r="L20" s="152">
        <f t="shared" ref="L20" si="64">SUM(L21:L25)</f>
        <v>823.76842491212676</v>
      </c>
      <c r="M20" s="152">
        <f t="shared" ref="M20:V20" si="65">SUM(M21:M25)</f>
        <v>838.11991628971145</v>
      </c>
      <c r="N20" s="152">
        <f t="shared" si="65"/>
        <v>849.65034273318975</v>
      </c>
      <c r="O20" s="152">
        <f t="shared" si="65"/>
        <v>877.3556261492073</v>
      </c>
      <c r="P20" s="152">
        <f t="shared" si="65"/>
        <v>965.40727780265763</v>
      </c>
      <c r="Q20" s="152">
        <f t="shared" si="65"/>
        <v>1049.0945529087505</v>
      </c>
      <c r="R20" s="152">
        <f t="shared" si="65"/>
        <v>882.72158204362665</v>
      </c>
      <c r="S20" s="152">
        <f t="shared" si="65"/>
        <v>899.48005424162</v>
      </c>
      <c r="T20" s="152">
        <f t="shared" si="65"/>
        <v>909.13421018319082</v>
      </c>
      <c r="U20" s="152">
        <f t="shared" si="65"/>
        <v>914.19384163175584</v>
      </c>
      <c r="V20" s="152">
        <f t="shared" si="65"/>
        <v>894.21103904944266</v>
      </c>
      <c r="W20" s="152">
        <f t="shared" ref="W20" si="66">SUM(W21:W25)</f>
        <v>909.51048993216261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37.555190878208521</v>
      </c>
      <c r="C21" s="87">
        <f t="shared" si="67"/>
        <v>41.786920086287338</v>
      </c>
      <c r="D21" s="87">
        <f t="shared" si="67"/>
        <v>47.581617790136185</v>
      </c>
      <c r="E21" s="87">
        <f t="shared" si="67"/>
        <v>47.727787115580263</v>
      </c>
      <c r="F21" s="87">
        <f t="shared" si="67"/>
        <v>49.824686804144243</v>
      </c>
      <c r="G21" s="87">
        <f t="shared" si="67"/>
        <v>55.042925954082868</v>
      </c>
      <c r="H21" s="87">
        <f t="shared" si="67"/>
        <v>64.541713958666094</v>
      </c>
      <c r="I21" s="87">
        <f t="shared" si="67"/>
        <v>73.82920119521448</v>
      </c>
      <c r="J21" s="87">
        <f t="shared" si="67"/>
        <v>82.959116900652134</v>
      </c>
      <c r="K21" s="87">
        <f t="shared" si="67"/>
        <v>81.08800049187218</v>
      </c>
      <c r="L21" s="87">
        <f t="shared" ref="L21" si="68">IF(L48=0,0,L48*L158)</f>
        <v>79.993860028386877</v>
      </c>
      <c r="M21" s="87">
        <f t="shared" ref="M21:V21" si="69">IF(M48=0,0,M48*M158)</f>
        <v>77.904406042704423</v>
      </c>
      <c r="N21" s="87">
        <f t="shared" si="69"/>
        <v>75.477758747479299</v>
      </c>
      <c r="O21" s="87">
        <f t="shared" si="69"/>
        <v>75.84773479888544</v>
      </c>
      <c r="P21" s="87">
        <f t="shared" si="69"/>
        <v>78.813653321301473</v>
      </c>
      <c r="Q21" s="87">
        <f t="shared" si="69"/>
        <v>83.648276506244073</v>
      </c>
      <c r="R21" s="87">
        <f t="shared" si="69"/>
        <v>85.254490927351782</v>
      </c>
      <c r="S21" s="87">
        <f t="shared" si="69"/>
        <v>85.405395355519076</v>
      </c>
      <c r="T21" s="87">
        <f t="shared" si="69"/>
        <v>85.930384289837932</v>
      </c>
      <c r="U21" s="87">
        <f t="shared" si="69"/>
        <v>86.212068143996504</v>
      </c>
      <c r="V21" s="87">
        <f t="shared" si="69"/>
        <v>85.64589426314231</v>
      </c>
      <c r="W21" s="87">
        <f t="shared" ref="W21" si="70">IF(W48=0,0,W48*W158)</f>
        <v>86.101892601907167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162.95427550383133</v>
      </c>
      <c r="C22" s="87">
        <f t="shared" si="71"/>
        <v>192.16938488515822</v>
      </c>
      <c r="D22" s="87">
        <f t="shared" si="71"/>
        <v>230.1616543390268</v>
      </c>
      <c r="E22" s="87">
        <f t="shared" si="71"/>
        <v>281.08389538150817</v>
      </c>
      <c r="F22" s="87">
        <f t="shared" si="71"/>
        <v>339.66223343113438</v>
      </c>
      <c r="G22" s="87">
        <f t="shared" si="71"/>
        <v>417.06826483896884</v>
      </c>
      <c r="H22" s="87">
        <f t="shared" si="71"/>
        <v>486.98300478358874</v>
      </c>
      <c r="I22" s="87">
        <f t="shared" si="71"/>
        <v>560.85591962846399</v>
      </c>
      <c r="J22" s="87">
        <f t="shared" si="71"/>
        <v>674.13628196422258</v>
      </c>
      <c r="K22" s="87">
        <f t="shared" si="71"/>
        <v>692.89576626073608</v>
      </c>
      <c r="L22" s="87">
        <f t="shared" ref="L22" si="72">IF(L49=0,0,L49*L159)</f>
        <v>735.77409366860081</v>
      </c>
      <c r="M22" s="87">
        <f t="shared" ref="M22:V22" si="73">IF(M49=0,0,M49*M159)</f>
        <v>752.06604592587519</v>
      </c>
      <c r="N22" s="87">
        <f t="shared" si="73"/>
        <v>764.58559798359227</v>
      </c>
      <c r="O22" s="87">
        <f t="shared" si="73"/>
        <v>791.07686576272067</v>
      </c>
      <c r="P22" s="87">
        <f t="shared" si="73"/>
        <v>873.6727547690233</v>
      </c>
      <c r="Q22" s="87">
        <f t="shared" si="73"/>
        <v>948.79811830555786</v>
      </c>
      <c r="R22" s="87">
        <f t="shared" si="73"/>
        <v>776.91783951077889</v>
      </c>
      <c r="S22" s="87">
        <f t="shared" si="73"/>
        <v>790.0929688078694</v>
      </c>
      <c r="T22" s="87">
        <f t="shared" si="73"/>
        <v>796.2759352120155</v>
      </c>
      <c r="U22" s="87">
        <f t="shared" si="73"/>
        <v>799.01497091780038</v>
      </c>
      <c r="V22" s="87">
        <f t="shared" si="73"/>
        <v>779.94662929530091</v>
      </c>
      <c r="W22" s="87">
        <f t="shared" ref="W22" si="74">IF(W49=0,0,W49*W159)</f>
        <v>792.10752641004433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6.2276840592940976</v>
      </c>
      <c r="C23" s="87">
        <f t="shared" si="75"/>
        <v>6.2103571786973246</v>
      </c>
      <c r="D23" s="87">
        <f t="shared" si="75"/>
        <v>6.3717777996424401</v>
      </c>
      <c r="E23" s="87">
        <f t="shared" si="75"/>
        <v>6.496476714121048</v>
      </c>
      <c r="F23" s="87">
        <f t="shared" si="75"/>
        <v>6.8060690194855109</v>
      </c>
      <c r="G23" s="87">
        <f t="shared" si="75"/>
        <v>7.0282456107166347</v>
      </c>
      <c r="H23" s="87">
        <f t="shared" si="75"/>
        <v>7.5105603663617231</v>
      </c>
      <c r="I23" s="87">
        <f t="shared" si="75"/>
        <v>8.049404205010136</v>
      </c>
      <c r="J23" s="87">
        <f t="shared" si="75"/>
        <v>7.8927260103333552</v>
      </c>
      <c r="K23" s="87">
        <f t="shared" si="75"/>
        <v>8.1383214919474813</v>
      </c>
      <c r="L23" s="87">
        <f t="shared" ref="L23" si="76">IF(L50=0,0,L50*L160)</f>
        <v>7.9366308744788876</v>
      </c>
      <c r="M23" s="87">
        <f t="shared" ref="M23:V23" si="77">IF(M50=0,0,M50*M160)</f>
        <v>8.079903156291568</v>
      </c>
      <c r="N23" s="87">
        <f t="shared" si="77"/>
        <v>9.0273754594496456</v>
      </c>
      <c r="O23" s="87">
        <f t="shared" si="77"/>
        <v>9.4674121138186109</v>
      </c>
      <c r="P23" s="87">
        <f t="shared" si="77"/>
        <v>10.598825993784416</v>
      </c>
      <c r="Q23" s="87">
        <f t="shared" si="77"/>
        <v>10.616123937062106</v>
      </c>
      <c r="R23" s="87">
        <f t="shared" si="77"/>
        <v>11.398816892008822</v>
      </c>
      <c r="S23" s="87">
        <f t="shared" si="77"/>
        <v>11.179861049362657</v>
      </c>
      <c r="T23" s="87">
        <f t="shared" si="77"/>
        <v>11.036380315480248</v>
      </c>
      <c r="U23" s="87">
        <f t="shared" si="77"/>
        <v>10.052870858343995</v>
      </c>
      <c r="V23" s="87">
        <f t="shared" si="77"/>
        <v>8.990728616646301</v>
      </c>
      <c r="W23" s="87">
        <f t="shared" ref="W23" si="78">IF(W50=0,0,W50*W160)</f>
        <v>8.0785253981802896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0.46017760026929461</v>
      </c>
      <c r="O24" s="87">
        <f t="shared" si="81"/>
        <v>0.84693053030016885</v>
      </c>
      <c r="P24" s="87">
        <f t="shared" si="81"/>
        <v>2.1892635351075196</v>
      </c>
      <c r="Q24" s="87">
        <f t="shared" si="81"/>
        <v>5.8762902274777602</v>
      </c>
      <c r="R24" s="87">
        <f t="shared" si="81"/>
        <v>8.9673628230713298</v>
      </c>
      <c r="S24" s="87">
        <f t="shared" si="81"/>
        <v>12.580699132814651</v>
      </c>
      <c r="T24" s="87">
        <f t="shared" si="81"/>
        <v>15.586802497151279</v>
      </c>
      <c r="U24" s="87">
        <f t="shared" si="81"/>
        <v>18.427823934922923</v>
      </c>
      <c r="V24" s="87">
        <f t="shared" si="81"/>
        <v>19.015926500987526</v>
      </c>
      <c r="W24" s="87">
        <f t="shared" ref="W24" si="82">IF(W51=0,0,W51*W161)</f>
        <v>22.168653577360033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5.516699569373E-2</v>
      </c>
      <c r="K25" s="87">
        <f t="shared" si="83"/>
        <v>5.8025731821395685E-2</v>
      </c>
      <c r="L25" s="87">
        <f t="shared" ref="L25" si="84">IF(L52=0,0,L52*L162)</f>
        <v>6.3840340660300449E-2</v>
      </c>
      <c r="M25" s="87">
        <f t="shared" ref="M25:V25" si="85">IF(M52=0,0,M52*M162)</f>
        <v>6.956116484026599E-2</v>
      </c>
      <c r="N25" s="87">
        <f t="shared" si="85"/>
        <v>9.9432942399296037E-2</v>
      </c>
      <c r="O25" s="87">
        <f t="shared" si="85"/>
        <v>0.11668294348244711</v>
      </c>
      <c r="P25" s="87">
        <f t="shared" si="85"/>
        <v>0.1327801834409281</v>
      </c>
      <c r="Q25" s="87">
        <f t="shared" si="85"/>
        <v>0.15574393240872902</v>
      </c>
      <c r="R25" s="87">
        <f t="shared" si="85"/>
        <v>0.18307189041598784</v>
      </c>
      <c r="S25" s="87">
        <f t="shared" si="85"/>
        <v>0.22112989605423242</v>
      </c>
      <c r="T25" s="87">
        <f t="shared" si="85"/>
        <v>0.30470786870575445</v>
      </c>
      <c r="U25" s="87">
        <f t="shared" si="85"/>
        <v>0.48610777669207006</v>
      </c>
      <c r="V25" s="87">
        <f t="shared" si="85"/>
        <v>0.61186037336561094</v>
      </c>
      <c r="W25" s="87">
        <f t="shared" ref="W25" si="86">IF(W52=0,0,W52*W162)</f>
        <v>1.0538919446707391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26317.225559747923</v>
      </c>
      <c r="C26" s="116">
        <f t="shared" si="87"/>
        <v>27972.050697934166</v>
      </c>
      <c r="D26" s="116">
        <f t="shared" si="87"/>
        <v>30047.570727208193</v>
      </c>
      <c r="E26" s="116">
        <f t="shared" si="87"/>
        <v>31312.710630327641</v>
      </c>
      <c r="F26" s="116">
        <f t="shared" si="87"/>
        <v>32238.432870790846</v>
      </c>
      <c r="G26" s="116">
        <f t="shared" si="87"/>
        <v>32288.744390890883</v>
      </c>
      <c r="H26" s="116">
        <f t="shared" si="87"/>
        <v>33697.465023117373</v>
      </c>
      <c r="I26" s="116">
        <f t="shared" si="87"/>
        <v>33984.590250888956</v>
      </c>
      <c r="J26" s="116">
        <f t="shared" si="87"/>
        <v>32558.348109780938</v>
      </c>
      <c r="K26" s="116">
        <f t="shared" si="87"/>
        <v>29159.24405491638</v>
      </c>
      <c r="L26" s="116">
        <f t="shared" ref="L26" si="88">SUM(L27:L28)</f>
        <v>31979.649503595232</v>
      </c>
      <c r="M26" s="116">
        <f t="shared" ref="M26:V26" si="89">SUM(M27:M28)</f>
        <v>33162.197746669881</v>
      </c>
      <c r="N26" s="116">
        <f t="shared" si="89"/>
        <v>32462.423124963494</v>
      </c>
      <c r="O26" s="116">
        <f t="shared" si="89"/>
        <v>35408.70229128292</v>
      </c>
      <c r="P26" s="116">
        <f t="shared" si="89"/>
        <v>37006.4534383672</v>
      </c>
      <c r="Q26" s="116">
        <f t="shared" si="89"/>
        <v>42673.60379381133</v>
      </c>
      <c r="R26" s="116">
        <f t="shared" si="89"/>
        <v>43313.230000595708</v>
      </c>
      <c r="S26" s="116">
        <f t="shared" si="89"/>
        <v>43074.044073474892</v>
      </c>
      <c r="T26" s="116">
        <f t="shared" si="89"/>
        <v>43449</v>
      </c>
      <c r="U26" s="116">
        <f t="shared" si="89"/>
        <v>45649</v>
      </c>
      <c r="V26" s="116">
        <f t="shared" si="89"/>
        <v>51710</v>
      </c>
      <c r="W26" s="116">
        <f t="shared" ref="W26" si="90">SUM(W27:W28)</f>
        <v>55108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14214</v>
      </c>
      <c r="C27" s="101">
        <f t="shared" si="91"/>
        <v>15007</v>
      </c>
      <c r="D27" s="101">
        <f t="shared" si="91"/>
        <v>16318</v>
      </c>
      <c r="E27" s="101">
        <f t="shared" si="91"/>
        <v>17362</v>
      </c>
      <c r="F27" s="101">
        <f t="shared" si="91"/>
        <v>16046</v>
      </c>
      <c r="G27" s="101">
        <f t="shared" si="91"/>
        <v>15518</v>
      </c>
      <c r="H27" s="101">
        <f t="shared" si="91"/>
        <v>16082</v>
      </c>
      <c r="I27" s="101">
        <f t="shared" si="91"/>
        <v>15831</v>
      </c>
      <c r="J27" s="101">
        <f t="shared" si="91"/>
        <v>15748</v>
      </c>
      <c r="K27" s="101">
        <f t="shared" si="91"/>
        <v>13480</v>
      </c>
      <c r="L27" s="101">
        <f t="shared" ref="L27:V27" si="92">IF(L54=0,0,L54*L164)</f>
        <v>14762</v>
      </c>
      <c r="M27" s="101">
        <f t="shared" si="92"/>
        <v>14985</v>
      </c>
      <c r="N27" s="101">
        <f t="shared" si="92"/>
        <v>14403</v>
      </c>
      <c r="O27" s="101">
        <f t="shared" si="92"/>
        <v>15392</v>
      </c>
      <c r="P27" s="101">
        <f t="shared" si="92"/>
        <v>16813</v>
      </c>
      <c r="Q27" s="101">
        <f t="shared" si="92"/>
        <v>21184</v>
      </c>
      <c r="R27" s="101">
        <f t="shared" si="92"/>
        <v>22304</v>
      </c>
      <c r="S27" s="101">
        <f t="shared" si="92"/>
        <v>21899</v>
      </c>
      <c r="T27" s="101">
        <f t="shared" si="92"/>
        <v>23543</v>
      </c>
      <c r="U27" s="101">
        <f t="shared" si="92"/>
        <v>25012</v>
      </c>
      <c r="V27" s="101">
        <f t="shared" si="92"/>
        <v>28271</v>
      </c>
      <c r="W27" s="101">
        <f t="shared" ref="W27" si="93">IF(W54=0,0,W54*W164)</f>
        <v>29764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12103.225559747923</v>
      </c>
      <c r="C28" s="88">
        <f t="shared" si="94"/>
        <v>12965.050697934166</v>
      </c>
      <c r="D28" s="88">
        <f t="shared" si="94"/>
        <v>13729.570727208191</v>
      </c>
      <c r="E28" s="88">
        <f t="shared" si="94"/>
        <v>13950.710630327641</v>
      </c>
      <c r="F28" s="88">
        <f t="shared" si="94"/>
        <v>16192.432870790846</v>
      </c>
      <c r="G28" s="88">
        <f t="shared" si="94"/>
        <v>16770.744390890883</v>
      </c>
      <c r="H28" s="88">
        <f t="shared" si="94"/>
        <v>17615.465023117373</v>
      </c>
      <c r="I28" s="88">
        <f t="shared" si="94"/>
        <v>18153.590250888956</v>
      </c>
      <c r="J28" s="88">
        <f t="shared" si="94"/>
        <v>16810.348109780938</v>
      </c>
      <c r="K28" s="88">
        <f t="shared" si="94"/>
        <v>15679.24405491638</v>
      </c>
      <c r="L28" s="88">
        <f t="shared" ref="L28:V28" si="95">IF(L55=0,0,L55*L165)</f>
        <v>17217.649503595232</v>
      </c>
      <c r="M28" s="88">
        <f t="shared" si="95"/>
        <v>18177.197746669881</v>
      </c>
      <c r="N28" s="88">
        <f t="shared" si="95"/>
        <v>18059.423124963494</v>
      </c>
      <c r="O28" s="88">
        <f t="shared" si="95"/>
        <v>20016.70229128292</v>
      </c>
      <c r="P28" s="88">
        <f t="shared" si="95"/>
        <v>20193.4534383672</v>
      </c>
      <c r="Q28" s="88">
        <f t="shared" si="95"/>
        <v>21489.60379381133</v>
      </c>
      <c r="R28" s="88">
        <f t="shared" si="95"/>
        <v>21009.230000595708</v>
      </c>
      <c r="S28" s="88">
        <f t="shared" si="95"/>
        <v>21175.044073474892</v>
      </c>
      <c r="T28" s="88">
        <f t="shared" si="95"/>
        <v>19906</v>
      </c>
      <c r="U28" s="88">
        <f t="shared" si="95"/>
        <v>20637</v>
      </c>
      <c r="V28" s="88">
        <f t="shared" si="95"/>
        <v>23439</v>
      </c>
      <c r="W28" s="88">
        <f t="shared" ref="W28" si="96">IF(W55=0,0,W55*W165)</f>
        <v>25344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37389.782736445741</v>
      </c>
      <c r="C30" s="62">
        <f t="shared" ref="C30:V30" si="98">C31+C46</f>
        <v>40741.992977790789</v>
      </c>
      <c r="D30" s="62">
        <f t="shared" si="98"/>
        <v>43171.758854397929</v>
      </c>
      <c r="E30" s="62">
        <f t="shared" si="98"/>
        <v>49187.123138965864</v>
      </c>
      <c r="F30" s="62">
        <f t="shared" si="98"/>
        <v>51391.685213213284</v>
      </c>
      <c r="G30" s="62">
        <f t="shared" si="98"/>
        <v>54219.205480112098</v>
      </c>
      <c r="H30" s="62">
        <f t="shared" si="98"/>
        <v>55391.702569676156</v>
      </c>
      <c r="I30" s="62">
        <f t="shared" si="98"/>
        <v>58215.581258009093</v>
      </c>
      <c r="J30" s="62">
        <f t="shared" si="98"/>
        <v>59212.797475205676</v>
      </c>
      <c r="K30" s="62">
        <f t="shared" si="98"/>
        <v>60029.776483053363</v>
      </c>
      <c r="L30" s="62">
        <f t="shared" si="98"/>
        <v>57200.289831378621</v>
      </c>
      <c r="M30" s="62">
        <f t="shared" si="98"/>
        <v>58292.344780700842</v>
      </c>
      <c r="N30" s="62">
        <f t="shared" si="98"/>
        <v>58072.746775793566</v>
      </c>
      <c r="O30" s="62">
        <f t="shared" si="98"/>
        <v>58994.810005083411</v>
      </c>
      <c r="P30" s="62">
        <f t="shared" si="98"/>
        <v>61378.914608391737</v>
      </c>
      <c r="Q30" s="62">
        <f t="shared" si="98"/>
        <v>64274.034564020061</v>
      </c>
      <c r="R30" s="62">
        <f t="shared" si="98"/>
        <v>66746.908825935141</v>
      </c>
      <c r="S30" s="62">
        <f t="shared" si="98"/>
        <v>68739.928846111623</v>
      </c>
      <c r="T30" s="62">
        <f t="shared" si="98"/>
        <v>70578.608120140052</v>
      </c>
      <c r="U30" s="62">
        <f t="shared" si="98"/>
        <v>73018.344209322793</v>
      </c>
      <c r="V30" s="62">
        <f t="shared" si="98"/>
        <v>71191.510984778201</v>
      </c>
      <c r="W30" s="62">
        <f t="shared" ref="W30" si="99">W31+W46</f>
        <v>77785.690583557123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33657.849496773953</v>
      </c>
      <c r="C31" s="29">
        <f t="shared" ref="C31:V31" si="101">C32+C33+C40</f>
        <v>36467.668876714677</v>
      </c>
      <c r="D31" s="29">
        <f t="shared" si="101"/>
        <v>38299.308520669547</v>
      </c>
      <c r="E31" s="29">
        <f t="shared" si="101"/>
        <v>43602.664342264718</v>
      </c>
      <c r="F31" s="29">
        <f t="shared" si="101"/>
        <v>45028.194544432285</v>
      </c>
      <c r="G31" s="29">
        <f t="shared" si="101"/>
        <v>46857.073608520303</v>
      </c>
      <c r="H31" s="29">
        <f t="shared" si="101"/>
        <v>47550.158585589226</v>
      </c>
      <c r="I31" s="29">
        <f t="shared" si="101"/>
        <v>49831.873635922573</v>
      </c>
      <c r="J31" s="29">
        <f t="shared" si="101"/>
        <v>50164.232674197534</v>
      </c>
      <c r="K31" s="29">
        <f t="shared" si="101"/>
        <v>51385.797088304971</v>
      </c>
      <c r="L31" s="29">
        <f t="shared" si="101"/>
        <v>48169.817227310297</v>
      </c>
      <c r="M31" s="29">
        <f t="shared" si="101"/>
        <v>49103.333368541418</v>
      </c>
      <c r="N31" s="29">
        <f t="shared" si="101"/>
        <v>48897.790804542085</v>
      </c>
      <c r="O31" s="29">
        <f t="shared" si="101"/>
        <v>49357.5307647683</v>
      </c>
      <c r="P31" s="29">
        <f t="shared" si="101"/>
        <v>50834.321753153592</v>
      </c>
      <c r="Q31" s="29">
        <f t="shared" si="101"/>
        <v>52529.92940791195</v>
      </c>
      <c r="R31" s="29">
        <f t="shared" si="101"/>
        <v>56020.074316758641</v>
      </c>
      <c r="S31" s="29">
        <f t="shared" si="101"/>
        <v>57732.285104328555</v>
      </c>
      <c r="T31" s="29">
        <f t="shared" si="101"/>
        <v>59472.149909542641</v>
      </c>
      <c r="U31" s="29">
        <f t="shared" si="101"/>
        <v>61777.978714818273</v>
      </c>
      <c r="V31" s="29">
        <f t="shared" si="101"/>
        <v>59625.7073213439</v>
      </c>
      <c r="W31" s="29">
        <f t="shared" ref="W31" si="102">W32+W33+W40</f>
        <v>65622.858979730474</v>
      </c>
      <c r="DA31" s="173" t="s">
        <v>474</v>
      </c>
    </row>
    <row r="32" spans="1:105" ht="11.45" customHeight="1" x14ac:dyDescent="0.25">
      <c r="A32" s="136" t="s">
        <v>180</v>
      </c>
      <c r="B32" s="152">
        <v>1308</v>
      </c>
      <c r="C32" s="152">
        <v>1248</v>
      </c>
      <c r="D32" s="152">
        <v>1220</v>
      </c>
      <c r="E32" s="152">
        <v>1216</v>
      </c>
      <c r="F32" s="152">
        <v>1212</v>
      </c>
      <c r="G32" s="152">
        <v>1255.5999999999999</v>
      </c>
      <c r="H32" s="152">
        <v>1291.782419923104</v>
      </c>
      <c r="I32" s="152">
        <v>1338.5869458844097</v>
      </c>
      <c r="J32" s="152">
        <v>1379.1029699695405</v>
      </c>
      <c r="K32" s="152">
        <v>1392.1249137646314</v>
      </c>
      <c r="L32" s="152">
        <v>1417.8878613059337</v>
      </c>
      <c r="M32" s="152">
        <v>1442.2330073375992</v>
      </c>
      <c r="N32" s="152">
        <v>1482.1047696580656</v>
      </c>
      <c r="O32" s="152">
        <v>1482.4518797272754</v>
      </c>
      <c r="P32" s="152">
        <v>1508.631938231106</v>
      </c>
      <c r="Q32" s="152">
        <v>1565.9407837433221</v>
      </c>
      <c r="R32" s="152">
        <v>1606.1733736170747</v>
      </c>
      <c r="S32" s="152">
        <v>1516.8843624835531</v>
      </c>
      <c r="T32" s="152">
        <v>1447.0960430161458</v>
      </c>
      <c r="U32" s="152">
        <v>1536.1700042642337</v>
      </c>
      <c r="V32" s="152">
        <v>1375.9795421443009</v>
      </c>
      <c r="W32" s="152">
        <v>1425.5464119443791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31633.049496773951</v>
      </c>
      <c r="C33" s="116">
        <f t="shared" ref="C33:V33" si="104">SUM(C34:C39)</f>
        <v>34421.618876714674</v>
      </c>
      <c r="D33" s="116">
        <f t="shared" si="104"/>
        <v>36318.19488128199</v>
      </c>
      <c r="E33" s="116">
        <f t="shared" si="104"/>
        <v>41684.505974868633</v>
      </c>
      <c r="F33" s="116">
        <f t="shared" si="104"/>
        <v>43168.170074808375</v>
      </c>
      <c r="G33" s="116">
        <f t="shared" si="104"/>
        <v>44962.473608520304</v>
      </c>
      <c r="H33" s="116">
        <f t="shared" si="104"/>
        <v>45600.134566207766</v>
      </c>
      <c r="I33" s="116">
        <f t="shared" si="104"/>
        <v>47828.088719195301</v>
      </c>
      <c r="J33" s="116">
        <f t="shared" si="104"/>
        <v>48117.883237096044</v>
      </c>
      <c r="K33" s="116">
        <f t="shared" si="104"/>
        <v>49321.191206195763</v>
      </c>
      <c r="L33" s="116">
        <f t="shared" si="104"/>
        <v>46056.124942110306</v>
      </c>
      <c r="M33" s="116">
        <f t="shared" si="104"/>
        <v>46999.721284701183</v>
      </c>
      <c r="N33" s="116">
        <f t="shared" si="104"/>
        <v>46775.418503378314</v>
      </c>
      <c r="O33" s="116">
        <f t="shared" si="104"/>
        <v>47209.412704359973</v>
      </c>
      <c r="P33" s="116">
        <f t="shared" si="104"/>
        <v>48617.9981829608</v>
      </c>
      <c r="Q33" s="116">
        <f t="shared" si="104"/>
        <v>50284.613100195791</v>
      </c>
      <c r="R33" s="116">
        <f t="shared" si="104"/>
        <v>53691.767343823711</v>
      </c>
      <c r="S33" s="116">
        <f t="shared" si="104"/>
        <v>55451.763889598013</v>
      </c>
      <c r="T33" s="116">
        <f t="shared" si="104"/>
        <v>57267.208061817189</v>
      </c>
      <c r="U33" s="116">
        <f t="shared" si="104"/>
        <v>59490.437715736436</v>
      </c>
      <c r="V33" s="116">
        <f t="shared" si="104"/>
        <v>57707.178252836675</v>
      </c>
      <c r="W33" s="116">
        <f t="shared" ref="W33" si="105">SUM(W34:W39)</f>
        <v>63680.66147276252</v>
      </c>
      <c r="DA33" s="176" t="s">
        <v>476</v>
      </c>
    </row>
    <row r="34" spans="1:105" ht="11.45" customHeight="1" x14ac:dyDescent="0.25">
      <c r="A34" s="111" t="s">
        <v>110</v>
      </c>
      <c r="B34" s="87">
        <v>23624.908200383179</v>
      </c>
      <c r="C34" s="87">
        <v>24515.740802425917</v>
      </c>
      <c r="D34" s="87">
        <v>25012.595406911347</v>
      </c>
      <c r="E34" s="87">
        <v>27574.495512679398</v>
      </c>
      <c r="F34" s="87">
        <v>27669.152883184761</v>
      </c>
      <c r="G34" s="87">
        <v>27300.757469606971</v>
      </c>
      <c r="H34" s="87">
        <v>27108.201557989039</v>
      </c>
      <c r="I34" s="87">
        <v>28417.369413589797</v>
      </c>
      <c r="J34" s="87">
        <v>27845.818675848444</v>
      </c>
      <c r="K34" s="87">
        <v>27684.137794158312</v>
      </c>
      <c r="L34" s="87">
        <v>25576.703417615103</v>
      </c>
      <c r="M34" s="87">
        <v>24817.384228041028</v>
      </c>
      <c r="N34" s="87">
        <v>23266.799032911389</v>
      </c>
      <c r="O34" s="87">
        <v>21983.403060463577</v>
      </c>
      <c r="P34" s="87">
        <v>22189.665372815693</v>
      </c>
      <c r="Q34" s="87">
        <v>22787.629052792181</v>
      </c>
      <c r="R34" s="87">
        <v>23688.325524082211</v>
      </c>
      <c r="S34" s="87">
        <v>24141.621812502286</v>
      </c>
      <c r="T34" s="87">
        <v>24755.291246533001</v>
      </c>
      <c r="U34" s="87">
        <v>25347.646718301305</v>
      </c>
      <c r="V34" s="87">
        <v>23223.847274129846</v>
      </c>
      <c r="W34" s="87">
        <v>24422.581637238723</v>
      </c>
      <c r="DA34" s="171" t="s">
        <v>477</v>
      </c>
    </row>
    <row r="35" spans="1:105" ht="11.45" customHeight="1" x14ac:dyDescent="0.25">
      <c r="A35" s="111" t="s">
        <v>111</v>
      </c>
      <c r="B35" s="87">
        <v>7375.5120333900813</v>
      </c>
      <c r="C35" s="87">
        <v>9255.0350502671536</v>
      </c>
      <c r="D35" s="87">
        <v>10635.672939897991</v>
      </c>
      <c r="E35" s="87">
        <v>13354.75845025904</v>
      </c>
      <c r="F35" s="87">
        <v>14701.373879867613</v>
      </c>
      <c r="G35" s="87">
        <v>16830.620865531091</v>
      </c>
      <c r="H35" s="87">
        <v>17601.808452520134</v>
      </c>
      <c r="I35" s="87">
        <v>18446.711856755341</v>
      </c>
      <c r="J35" s="87">
        <v>19327.528334410821</v>
      </c>
      <c r="K35" s="87">
        <v>20657.823596706054</v>
      </c>
      <c r="L35" s="87">
        <v>19530.095866307227</v>
      </c>
      <c r="M35" s="87">
        <v>21215.647154894607</v>
      </c>
      <c r="N35" s="87">
        <v>22444.553379673634</v>
      </c>
      <c r="O35" s="87">
        <v>24115.894959027151</v>
      </c>
      <c r="P35" s="87">
        <v>25202.755870238558</v>
      </c>
      <c r="Q35" s="87">
        <v>26240.476278479713</v>
      </c>
      <c r="R35" s="87">
        <v>28691.86632055814</v>
      </c>
      <c r="S35" s="87">
        <v>30053.675130069885</v>
      </c>
      <c r="T35" s="87">
        <v>31260.596209572515</v>
      </c>
      <c r="U35" s="87">
        <v>32888.139590494931</v>
      </c>
      <c r="V35" s="87">
        <v>33323.774487207294</v>
      </c>
      <c r="W35" s="87">
        <v>38003.670282772422</v>
      </c>
      <c r="DA35" s="171" t="s">
        <v>478</v>
      </c>
    </row>
    <row r="36" spans="1:105" ht="11.45" customHeight="1" x14ac:dyDescent="0.25">
      <c r="A36" s="111" t="s">
        <v>112</v>
      </c>
      <c r="B36" s="87">
        <v>632.62926300068978</v>
      </c>
      <c r="C36" s="87">
        <v>650.84302402160313</v>
      </c>
      <c r="D36" s="87">
        <v>669.92653447265343</v>
      </c>
      <c r="E36" s="87">
        <v>755.25201193018847</v>
      </c>
      <c r="F36" s="87">
        <v>797.64331175600182</v>
      </c>
      <c r="G36" s="87">
        <v>831.09527338224063</v>
      </c>
      <c r="H36" s="87">
        <v>890.12455569859389</v>
      </c>
      <c r="I36" s="87">
        <v>964.00744885016229</v>
      </c>
      <c r="J36" s="87">
        <v>934.95115080474011</v>
      </c>
      <c r="K36" s="87">
        <v>963.79464657083122</v>
      </c>
      <c r="L36" s="87">
        <v>928.42976078055199</v>
      </c>
      <c r="M36" s="87">
        <v>939.70271106066218</v>
      </c>
      <c r="N36" s="87">
        <v>1030.0004640168804</v>
      </c>
      <c r="O36" s="87">
        <v>1060.0316767206575</v>
      </c>
      <c r="P36" s="87">
        <v>1161.5492995694503</v>
      </c>
      <c r="Q36" s="87">
        <v>1162.1169174679158</v>
      </c>
      <c r="R36" s="87">
        <v>1149.0699817370228</v>
      </c>
      <c r="S36" s="87">
        <v>1047.5452272811765</v>
      </c>
      <c r="T36" s="87">
        <v>992.91248973034635</v>
      </c>
      <c r="U36" s="87">
        <v>958.32888021240376</v>
      </c>
      <c r="V36" s="87">
        <v>828.25967881066993</v>
      </c>
      <c r="W36" s="87">
        <v>842.9041191676971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9.5850760320321662</v>
      </c>
      <c r="K37" s="87">
        <v>15.435168760568054</v>
      </c>
      <c r="L37" s="87">
        <v>20.834429673677267</v>
      </c>
      <c r="M37" s="87">
        <v>26.351261284317282</v>
      </c>
      <c r="N37" s="87">
        <v>33.169220396666489</v>
      </c>
      <c r="O37" s="87">
        <v>47.418102524677906</v>
      </c>
      <c r="P37" s="87">
        <v>59.035330490028173</v>
      </c>
      <c r="Q37" s="87">
        <v>85.178989996896533</v>
      </c>
      <c r="R37" s="87">
        <v>145.43936001292224</v>
      </c>
      <c r="S37" s="87">
        <v>180.37907315964898</v>
      </c>
      <c r="T37" s="87">
        <v>220.23670730602583</v>
      </c>
      <c r="U37" s="87">
        <v>246.07570213559669</v>
      </c>
      <c r="V37" s="87">
        <v>244.43219223966338</v>
      </c>
      <c r="W37" s="87">
        <v>271.28416755991663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0.12519439446161854</v>
      </c>
      <c r="O38" s="87">
        <v>0.22145212730763877</v>
      </c>
      <c r="P38" s="87">
        <v>0.69092764926411276</v>
      </c>
      <c r="Q38" s="87">
        <v>1.8525000282641957</v>
      </c>
      <c r="R38" s="87">
        <v>3.0226086455183911</v>
      </c>
      <c r="S38" s="87">
        <v>4.7457524389856651</v>
      </c>
      <c r="T38" s="87">
        <v>6.7829227911435561</v>
      </c>
      <c r="U38" s="87">
        <v>10.102584426744571</v>
      </c>
      <c r="V38" s="87">
        <v>18.934520570769749</v>
      </c>
      <c r="W38" s="87">
        <v>37.805022531631593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6.1467733748325565E-2</v>
      </c>
      <c r="M39" s="87">
        <v>0.63592942056845025</v>
      </c>
      <c r="N39" s="87">
        <v>0.77121198528637469</v>
      </c>
      <c r="O39" s="87">
        <v>2.4434534966012618</v>
      </c>
      <c r="P39" s="87">
        <v>4.3013821978017672</v>
      </c>
      <c r="Q39" s="87">
        <v>7.3593614308271755</v>
      </c>
      <c r="R39" s="87">
        <v>14.043548787902768</v>
      </c>
      <c r="S39" s="87">
        <v>23.79689414604222</v>
      </c>
      <c r="T39" s="87">
        <v>31.388485884161483</v>
      </c>
      <c r="U39" s="87">
        <v>40.144240165464268</v>
      </c>
      <c r="V39" s="87">
        <v>67.93009987843196</v>
      </c>
      <c r="W39" s="87">
        <v>102.41624349213107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716.8</v>
      </c>
      <c r="C40" s="116">
        <f t="shared" ref="C40:V40" si="107">SUM(C41:C45)</f>
        <v>798.05000000000007</v>
      </c>
      <c r="D40" s="116">
        <f t="shared" si="107"/>
        <v>761.11363938756017</v>
      </c>
      <c r="E40" s="116">
        <f t="shared" si="107"/>
        <v>702.15836739608437</v>
      </c>
      <c r="F40" s="116">
        <f t="shared" si="107"/>
        <v>648.02446962391218</v>
      </c>
      <c r="G40" s="116">
        <f t="shared" si="107"/>
        <v>639</v>
      </c>
      <c r="H40" s="116">
        <f t="shared" si="107"/>
        <v>658.241599458358</v>
      </c>
      <c r="I40" s="116">
        <f t="shared" si="107"/>
        <v>665.19797084285904</v>
      </c>
      <c r="J40" s="116">
        <f t="shared" si="107"/>
        <v>667.2464671319442</v>
      </c>
      <c r="K40" s="116">
        <f t="shared" si="107"/>
        <v>672.4809683445809</v>
      </c>
      <c r="L40" s="116">
        <f t="shared" si="107"/>
        <v>695.80442389405869</v>
      </c>
      <c r="M40" s="116">
        <f t="shared" si="107"/>
        <v>661.37907650263412</v>
      </c>
      <c r="N40" s="116">
        <f t="shared" si="107"/>
        <v>640.26753150570903</v>
      </c>
      <c r="O40" s="116">
        <f t="shared" si="107"/>
        <v>665.6661806810539</v>
      </c>
      <c r="P40" s="116">
        <f t="shared" si="107"/>
        <v>707.69163196168824</v>
      </c>
      <c r="Q40" s="116">
        <f t="shared" si="107"/>
        <v>679.37552397283139</v>
      </c>
      <c r="R40" s="116">
        <f t="shared" si="107"/>
        <v>722.13359931785715</v>
      </c>
      <c r="S40" s="116">
        <f t="shared" si="107"/>
        <v>763.63685224699248</v>
      </c>
      <c r="T40" s="116">
        <f t="shared" si="107"/>
        <v>757.84580470930462</v>
      </c>
      <c r="U40" s="116">
        <f t="shared" si="107"/>
        <v>751.37099481760663</v>
      </c>
      <c r="V40" s="116">
        <f t="shared" si="107"/>
        <v>542.54952636292728</v>
      </c>
      <c r="W40" s="116">
        <f t="shared" ref="W40" si="108">SUM(W41:W45)</f>
        <v>516.65109502357848</v>
      </c>
      <c r="DA40" s="176" t="s">
        <v>483</v>
      </c>
    </row>
    <row r="41" spans="1:105" ht="11.45" customHeight="1" x14ac:dyDescent="0.25">
      <c r="A41" s="111" t="s">
        <v>110</v>
      </c>
      <c r="B41" s="101">
        <v>50.367583316829872</v>
      </c>
      <c r="C41" s="101">
        <v>49.998529516954015</v>
      </c>
      <c r="D41" s="101">
        <v>50.853022126524472</v>
      </c>
      <c r="E41" s="101">
        <v>43.241044100819941</v>
      </c>
      <c r="F41" s="101">
        <v>37.555153024562976</v>
      </c>
      <c r="G41" s="101">
        <v>34.212977014891699</v>
      </c>
      <c r="H41" s="101">
        <v>33.10474613028947</v>
      </c>
      <c r="I41" s="101">
        <v>32.717427844873725</v>
      </c>
      <c r="J41" s="101">
        <v>31.138547978164091</v>
      </c>
      <c r="K41" s="101">
        <v>29.086303269844922</v>
      </c>
      <c r="L41" s="101">
        <v>29.588948713030064</v>
      </c>
      <c r="M41" s="101">
        <v>27.160456225643987</v>
      </c>
      <c r="N41" s="101">
        <v>24.540529146391464</v>
      </c>
      <c r="O41" s="101">
        <v>24.868734625799636</v>
      </c>
      <c r="P41" s="101">
        <v>25.011500980891689</v>
      </c>
      <c r="Q41" s="101">
        <v>23.080133816667615</v>
      </c>
      <c r="R41" s="101">
        <v>23.406074278059144</v>
      </c>
      <c r="S41" s="101">
        <v>23.203146006227623</v>
      </c>
      <c r="T41" s="101">
        <v>21.506710631742983</v>
      </c>
      <c r="U41" s="101">
        <v>20.377736183512042</v>
      </c>
      <c r="V41" s="101">
        <v>15.707679602640924</v>
      </c>
      <c r="W41" s="101">
        <v>13.994008904772446</v>
      </c>
      <c r="DA41" s="175" t="s">
        <v>484</v>
      </c>
    </row>
    <row r="42" spans="1:105" ht="11.45" customHeight="1" x14ac:dyDescent="0.25">
      <c r="A42" s="111" t="s">
        <v>111</v>
      </c>
      <c r="B42" s="101">
        <v>629.22715519280905</v>
      </c>
      <c r="C42" s="101">
        <v>708.37653613249961</v>
      </c>
      <c r="D42" s="101">
        <v>667.18659289221034</v>
      </c>
      <c r="E42" s="101">
        <v>613.98033969705159</v>
      </c>
      <c r="F42" s="101">
        <v>562.1597589752231</v>
      </c>
      <c r="G42" s="101">
        <v>557.0879955792409</v>
      </c>
      <c r="H42" s="101">
        <v>577.90510650356953</v>
      </c>
      <c r="I42" s="101">
        <v>592.38034423870226</v>
      </c>
      <c r="J42" s="101">
        <v>596.15607313135968</v>
      </c>
      <c r="K42" s="101">
        <v>603.85522493257395</v>
      </c>
      <c r="L42" s="101">
        <v>626.66047213387083</v>
      </c>
      <c r="M42" s="101">
        <v>594.40463591665116</v>
      </c>
      <c r="N42" s="101">
        <v>575.84202490772816</v>
      </c>
      <c r="O42" s="101">
        <v>607.9518344591927</v>
      </c>
      <c r="P42" s="101">
        <v>664.27071114188118</v>
      </c>
      <c r="Q42" s="101">
        <v>632.8482795441505</v>
      </c>
      <c r="R42" s="101">
        <v>663.46835773427733</v>
      </c>
      <c r="S42" s="101">
        <v>694.36351229179991</v>
      </c>
      <c r="T42" s="101">
        <v>687.77381064401516</v>
      </c>
      <c r="U42" s="101">
        <v>671.3314797140107</v>
      </c>
      <c r="V42" s="101">
        <v>473.10056143512787</v>
      </c>
      <c r="W42" s="101">
        <v>452.15406502636017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0.10498122415244314</v>
      </c>
      <c r="W43" s="101">
        <v>9.7115082855586135E-2</v>
      </c>
      <c r="DA43" s="175" t="s">
        <v>486</v>
      </c>
    </row>
    <row r="44" spans="1:105" ht="11.45" customHeight="1" x14ac:dyDescent="0.25">
      <c r="A44" s="111" t="s">
        <v>113</v>
      </c>
      <c r="B44" s="101">
        <v>8.831197722109966</v>
      </c>
      <c r="C44" s="101">
        <v>10.815420540544588</v>
      </c>
      <c r="D44" s="101">
        <v>14.671280268410083</v>
      </c>
      <c r="E44" s="101">
        <v>16.580370380542689</v>
      </c>
      <c r="F44" s="101">
        <v>19.763597272154811</v>
      </c>
      <c r="G44" s="101">
        <v>19.403540844675543</v>
      </c>
      <c r="H44" s="101">
        <v>17.922329734629912</v>
      </c>
      <c r="I44" s="101">
        <v>10.926218326560164</v>
      </c>
      <c r="J44" s="101">
        <v>10.852445135144995</v>
      </c>
      <c r="K44" s="101">
        <v>10.611338924143364</v>
      </c>
      <c r="L44" s="101">
        <v>10.486604972060084</v>
      </c>
      <c r="M44" s="101">
        <v>10.952319259423829</v>
      </c>
      <c r="N44" s="101">
        <v>10.960862048135231</v>
      </c>
      <c r="O44" s="101">
        <v>10.588448651878776</v>
      </c>
      <c r="P44" s="101">
        <v>12.464198186531902</v>
      </c>
      <c r="Q44" s="101">
        <v>18.527614266878111</v>
      </c>
      <c r="R44" s="101">
        <v>30.392087458511849</v>
      </c>
      <c r="S44" s="101">
        <v>41.289870089811664</v>
      </c>
      <c r="T44" s="101">
        <v>43.872740258002487</v>
      </c>
      <c r="U44" s="101">
        <v>55.688361426701903</v>
      </c>
      <c r="V44" s="101">
        <v>50.029782607222067</v>
      </c>
      <c r="W44" s="101">
        <v>46.177927763567048</v>
      </c>
      <c r="DA44" s="175" t="s">
        <v>487</v>
      </c>
    </row>
    <row r="45" spans="1:105" ht="11.45" customHeight="1" x14ac:dyDescent="0.25">
      <c r="A45" s="111" t="s">
        <v>115</v>
      </c>
      <c r="B45" s="101">
        <v>28.374063768251006</v>
      </c>
      <c r="C45" s="101">
        <v>28.859513810001875</v>
      </c>
      <c r="D45" s="101">
        <v>28.402744100415291</v>
      </c>
      <c r="E45" s="101">
        <v>28.356613217670105</v>
      </c>
      <c r="F45" s="101">
        <v>28.545960351971285</v>
      </c>
      <c r="G45" s="101">
        <v>28.295486561191847</v>
      </c>
      <c r="H45" s="101">
        <v>29.309417089869072</v>
      </c>
      <c r="I45" s="101">
        <v>29.173980432722804</v>
      </c>
      <c r="J45" s="101">
        <v>29.099400887275465</v>
      </c>
      <c r="K45" s="101">
        <v>28.928101218018586</v>
      </c>
      <c r="L45" s="101">
        <v>29.068398075097743</v>
      </c>
      <c r="M45" s="101">
        <v>28.861665100915204</v>
      </c>
      <c r="N45" s="101">
        <v>28.924115403454106</v>
      </c>
      <c r="O45" s="101">
        <v>22.25716294418266</v>
      </c>
      <c r="P45" s="101">
        <v>5.9452216523833972</v>
      </c>
      <c r="Q45" s="101">
        <v>4.9194963451351903</v>
      </c>
      <c r="R45" s="101">
        <v>4.8670798470088785</v>
      </c>
      <c r="S45" s="101">
        <v>4.7803238591533566</v>
      </c>
      <c r="T45" s="101">
        <v>4.6925431755439195</v>
      </c>
      <c r="U45" s="101">
        <v>3.9734174933819024</v>
      </c>
      <c r="V45" s="101">
        <v>3.6065214937839554</v>
      </c>
      <c r="W45" s="101">
        <v>4.2279782460232154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3731.93323967179</v>
      </c>
      <c r="C46" s="29">
        <f t="shared" ref="C46:V46" si="110">C47+C53</f>
        <v>4274.3241010761121</v>
      </c>
      <c r="D46" s="29">
        <f t="shared" si="110"/>
        <v>4872.4503337283832</v>
      </c>
      <c r="E46" s="29">
        <f t="shared" si="110"/>
        <v>5584.4587967011457</v>
      </c>
      <c r="F46" s="29">
        <f t="shared" si="110"/>
        <v>6363.490668780998</v>
      </c>
      <c r="G46" s="29">
        <f t="shared" si="110"/>
        <v>7362.1318715917951</v>
      </c>
      <c r="H46" s="29">
        <f t="shared" si="110"/>
        <v>7841.5439840869294</v>
      </c>
      <c r="I46" s="29">
        <f t="shared" si="110"/>
        <v>8383.7076220865201</v>
      </c>
      <c r="J46" s="29">
        <f t="shared" si="110"/>
        <v>9048.5648010081422</v>
      </c>
      <c r="K46" s="29">
        <f t="shared" si="110"/>
        <v>8643.979394748394</v>
      </c>
      <c r="L46" s="29">
        <f t="shared" si="110"/>
        <v>9030.4726040683236</v>
      </c>
      <c r="M46" s="29">
        <f t="shared" si="110"/>
        <v>9189.0114121594215</v>
      </c>
      <c r="N46" s="29">
        <f t="shared" si="110"/>
        <v>9174.9559712514783</v>
      </c>
      <c r="O46" s="29">
        <f t="shared" si="110"/>
        <v>9637.2792403151107</v>
      </c>
      <c r="P46" s="29">
        <f t="shared" si="110"/>
        <v>10544.592855238145</v>
      </c>
      <c r="Q46" s="29">
        <f t="shared" si="110"/>
        <v>11744.105156108113</v>
      </c>
      <c r="R46" s="29">
        <f t="shared" si="110"/>
        <v>10726.834509176504</v>
      </c>
      <c r="S46" s="29">
        <f t="shared" si="110"/>
        <v>11007.643741783073</v>
      </c>
      <c r="T46" s="29">
        <f t="shared" si="110"/>
        <v>11106.458210597408</v>
      </c>
      <c r="U46" s="29">
        <f t="shared" si="110"/>
        <v>11240.365494504516</v>
      </c>
      <c r="V46" s="29">
        <f t="shared" si="110"/>
        <v>11565.803663434297</v>
      </c>
      <c r="W46" s="29">
        <f t="shared" ref="W46" si="111">W47+W53</f>
        <v>12162.831603826649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1409.0262224376968</v>
      </c>
      <c r="C47" s="152">
        <f t="shared" ref="C47:V47" si="113">SUM(C48:C52)</f>
        <v>1651.1803624562335</v>
      </c>
      <c r="D47" s="152">
        <f t="shared" si="113"/>
        <v>1956.9253874798956</v>
      </c>
      <c r="E47" s="152">
        <f t="shared" si="113"/>
        <v>2290.7467592088638</v>
      </c>
      <c r="F47" s="152">
        <f t="shared" si="113"/>
        <v>2687.3211346286507</v>
      </c>
      <c r="G47" s="152">
        <f t="shared" si="113"/>
        <v>3234.1705345873866</v>
      </c>
      <c r="H47" s="152">
        <f t="shared" si="113"/>
        <v>3770.2314177807548</v>
      </c>
      <c r="I47" s="152">
        <f t="shared" si="113"/>
        <v>4320.6110448063737</v>
      </c>
      <c r="J47" s="152">
        <f t="shared" si="113"/>
        <v>5181.5298103971008</v>
      </c>
      <c r="K47" s="152">
        <f t="shared" si="113"/>
        <v>5299.1595110877333</v>
      </c>
      <c r="L47" s="152">
        <f t="shared" si="113"/>
        <v>5631.1405932558855</v>
      </c>
      <c r="M47" s="152">
        <f t="shared" si="113"/>
        <v>5736.8771307532606</v>
      </c>
      <c r="N47" s="152">
        <f t="shared" si="113"/>
        <v>5825.9116192454048</v>
      </c>
      <c r="O47" s="152">
        <f t="shared" si="113"/>
        <v>6066.1749271151621</v>
      </c>
      <c r="P47" s="152">
        <f t="shared" si="113"/>
        <v>6783.3037582719799</v>
      </c>
      <c r="Q47" s="152">
        <f t="shared" si="113"/>
        <v>7412.7424141873817</v>
      </c>
      <c r="R47" s="152">
        <f t="shared" si="113"/>
        <v>6336.7473431873686</v>
      </c>
      <c r="S47" s="152">
        <f t="shared" si="113"/>
        <v>6469.4868059621722</v>
      </c>
      <c r="T47" s="152">
        <f t="shared" si="113"/>
        <v>6545.2671980302848</v>
      </c>
      <c r="U47" s="152">
        <f t="shared" si="113"/>
        <v>6584.9593915758005</v>
      </c>
      <c r="V47" s="152">
        <f t="shared" si="113"/>
        <v>6402.9406169616577</v>
      </c>
      <c r="W47" s="152">
        <f t="shared" ref="W47" si="114">SUM(W48:W52)</f>
        <v>6551.802994257112</v>
      </c>
      <c r="DA47" s="174" t="s">
        <v>490</v>
      </c>
    </row>
    <row r="48" spans="1:105" ht="11.45" customHeight="1" x14ac:dyDescent="0.25">
      <c r="A48" s="111" t="s">
        <v>110</v>
      </c>
      <c r="B48" s="87">
        <v>324.28783106276609</v>
      </c>
      <c r="C48" s="87">
        <v>362.68108112101635</v>
      </c>
      <c r="D48" s="87">
        <v>413.81439610504873</v>
      </c>
      <c r="E48" s="87">
        <v>415.24972370008135</v>
      </c>
      <c r="F48" s="87">
        <v>433.28411237078001</v>
      </c>
      <c r="G48" s="87">
        <v>478.62812411071189</v>
      </c>
      <c r="H48" s="87">
        <v>561.09164672896782</v>
      </c>
      <c r="I48" s="87">
        <v>641.1693341238863</v>
      </c>
      <c r="J48" s="87">
        <v>723.24490821998813</v>
      </c>
      <c r="K48" s="87">
        <v>707.40840965699783</v>
      </c>
      <c r="L48" s="87">
        <v>700.77456071000302</v>
      </c>
      <c r="M48" s="87">
        <v>683.12886640370118</v>
      </c>
      <c r="N48" s="87">
        <v>662.46580358011181</v>
      </c>
      <c r="O48" s="87">
        <v>667.3823130766483</v>
      </c>
      <c r="P48" s="87">
        <v>696.06719644956752</v>
      </c>
      <c r="Q48" s="87">
        <v>739.05007667788186</v>
      </c>
      <c r="R48" s="87">
        <v>755.80624469275472</v>
      </c>
      <c r="S48" s="87">
        <v>756.06668680856183</v>
      </c>
      <c r="T48" s="87">
        <v>760.78225880219384</v>
      </c>
      <c r="U48" s="87">
        <v>763.27019797640196</v>
      </c>
      <c r="V48" s="87">
        <v>756.60154225565782</v>
      </c>
      <c r="W48" s="87">
        <v>762.10584092512681</v>
      </c>
      <c r="DA48" s="171" t="s">
        <v>491</v>
      </c>
    </row>
    <row r="49" spans="1:105" ht="11.45" customHeight="1" x14ac:dyDescent="0.25">
      <c r="A49" s="111" t="s">
        <v>111</v>
      </c>
      <c r="B49" s="87">
        <v>1030.8543437366509</v>
      </c>
      <c r="C49" s="87">
        <v>1234.4892935800583</v>
      </c>
      <c r="D49" s="87">
        <v>1487.584532913572</v>
      </c>
      <c r="E49" s="87">
        <v>1818.8615144533183</v>
      </c>
      <c r="F49" s="87">
        <v>2194.7311773913234</v>
      </c>
      <c r="G49" s="87">
        <v>2694.3050316227891</v>
      </c>
      <c r="H49" s="87">
        <v>3143.7155423881809</v>
      </c>
      <c r="I49" s="87">
        <v>3609.3960444287864</v>
      </c>
      <c r="J49" s="87">
        <v>4388.9537599539944</v>
      </c>
      <c r="K49" s="87">
        <v>4520.2067432794684</v>
      </c>
      <c r="L49" s="87">
        <v>4860.2546569141077</v>
      </c>
      <c r="M49" s="87">
        <v>4982.2709482315595</v>
      </c>
      <c r="N49" s="87">
        <v>5079.3604327593566</v>
      </c>
      <c r="O49" s="87">
        <v>5307.0914914968444</v>
      </c>
      <c r="P49" s="87">
        <v>5973.4099514054997</v>
      </c>
      <c r="Q49" s="87">
        <v>6526.8938214700238</v>
      </c>
      <c r="R49" s="87">
        <v>5399.2924353251192</v>
      </c>
      <c r="S49" s="87">
        <v>5500.5180230963115</v>
      </c>
      <c r="T49" s="87">
        <v>5545.0500015777607</v>
      </c>
      <c r="U49" s="87">
        <v>5563.9939803692387</v>
      </c>
      <c r="V49" s="87">
        <v>5395.7014992650629</v>
      </c>
      <c r="W49" s="87">
        <v>5511.7933387221465</v>
      </c>
      <c r="DA49" s="171" t="s">
        <v>492</v>
      </c>
    </row>
    <row r="50" spans="1:105" ht="11.45" customHeight="1" x14ac:dyDescent="0.25">
      <c r="A50" s="111" t="s">
        <v>112</v>
      </c>
      <c r="B50" s="87">
        <v>53.884047638279647</v>
      </c>
      <c r="C50" s="87">
        <v>54.009987755158889</v>
      </c>
      <c r="D50" s="87">
        <v>55.526458461274906</v>
      </c>
      <c r="E50" s="87">
        <v>56.635521055464409</v>
      </c>
      <c r="F50" s="87">
        <v>59.305844866547474</v>
      </c>
      <c r="G50" s="87">
        <v>61.237378853885922</v>
      </c>
      <c r="H50" s="87">
        <v>65.424228663606485</v>
      </c>
      <c r="I50" s="87">
        <v>70.045666253700546</v>
      </c>
      <c r="J50" s="87">
        <v>68.947933238889547</v>
      </c>
      <c r="K50" s="87">
        <v>71.141239877044072</v>
      </c>
      <c r="L50" s="87">
        <v>69.667594806478775</v>
      </c>
      <c r="M50" s="87">
        <v>70.993687262962879</v>
      </c>
      <c r="N50" s="87">
        <v>79.392400979114214</v>
      </c>
      <c r="O50" s="87">
        <v>83.471135427477975</v>
      </c>
      <c r="P50" s="87">
        <v>93.606815370863629</v>
      </c>
      <c r="Q50" s="87">
        <v>93.795682797146199</v>
      </c>
      <c r="R50" s="87">
        <v>101.05387875028086</v>
      </c>
      <c r="S50" s="87">
        <v>99.170878968551037</v>
      </c>
      <c r="T50" s="87">
        <v>97.906886834660085</v>
      </c>
      <c r="U50" s="87">
        <v>89.181198950656878</v>
      </c>
      <c r="V50" s="87">
        <v>79.584505789846389</v>
      </c>
      <c r="W50" s="87">
        <v>71.648589999973495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4.0015633861979545</v>
      </c>
      <c r="O51" s="87">
        <v>7.4182630439700405</v>
      </c>
      <c r="P51" s="87">
        <v>19.29531293810108</v>
      </c>
      <c r="Q51" s="87">
        <v>51.918257310116182</v>
      </c>
      <c r="R51" s="87">
        <v>79.322066020982675</v>
      </c>
      <c r="S51" s="87">
        <v>112.19436934169568</v>
      </c>
      <c r="T51" s="87">
        <v>139.41043272209336</v>
      </c>
      <c r="U51" s="87">
        <v>165.13574045421436</v>
      </c>
      <c r="V51" s="87">
        <v>166.8700216803316</v>
      </c>
      <c r="W51" s="87">
        <v>198.9319631550776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0.38320898422928429</v>
      </c>
      <c r="K52" s="87">
        <v>0.4031182742224978</v>
      </c>
      <c r="L52" s="87">
        <v>0.44378082529589813</v>
      </c>
      <c r="M52" s="87">
        <v>0.48362885503689235</v>
      </c>
      <c r="N52" s="87">
        <v>0.69141854062411168</v>
      </c>
      <c r="O52" s="87">
        <v>0.81172407022097781</v>
      </c>
      <c r="P52" s="87">
        <v>0.92448210794700469</v>
      </c>
      <c r="Q52" s="87">
        <v>1.0845759322137458</v>
      </c>
      <c r="R52" s="87">
        <v>1.2727183982303767</v>
      </c>
      <c r="S52" s="87">
        <v>1.5368477470520383</v>
      </c>
      <c r="T52" s="87">
        <v>2.1176180935767741</v>
      </c>
      <c r="U52" s="87">
        <v>3.3782738252897624</v>
      </c>
      <c r="V52" s="87">
        <v>4.1830479707585422</v>
      </c>
      <c r="W52" s="87">
        <v>7.3232614547874348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2322.9070172340935</v>
      </c>
      <c r="C53" s="116">
        <f t="shared" ref="C53:V53" si="116">SUM(C54:C55)</f>
        <v>2623.1437386198786</v>
      </c>
      <c r="D53" s="116">
        <f t="shared" si="116"/>
        <v>2915.5249462484876</v>
      </c>
      <c r="E53" s="116">
        <f t="shared" si="116"/>
        <v>3293.712037492282</v>
      </c>
      <c r="F53" s="116">
        <f t="shared" si="116"/>
        <v>3676.1695341523473</v>
      </c>
      <c r="G53" s="116">
        <f t="shared" si="116"/>
        <v>4127.961337004409</v>
      </c>
      <c r="H53" s="116">
        <f t="shared" si="116"/>
        <v>4071.3125663061742</v>
      </c>
      <c r="I53" s="116">
        <f t="shared" si="116"/>
        <v>4063.0965772801474</v>
      </c>
      <c r="J53" s="116">
        <f t="shared" si="116"/>
        <v>3867.0349906110405</v>
      </c>
      <c r="K53" s="116">
        <f t="shared" si="116"/>
        <v>3344.8198836606607</v>
      </c>
      <c r="L53" s="116">
        <f t="shared" si="116"/>
        <v>3399.332010812439</v>
      </c>
      <c r="M53" s="116">
        <f t="shared" si="116"/>
        <v>3452.1342814061604</v>
      </c>
      <c r="N53" s="116">
        <f t="shared" si="116"/>
        <v>3349.044352006073</v>
      </c>
      <c r="O53" s="116">
        <f t="shared" si="116"/>
        <v>3571.1043131999477</v>
      </c>
      <c r="P53" s="116">
        <f t="shared" si="116"/>
        <v>3761.2890969661648</v>
      </c>
      <c r="Q53" s="116">
        <f t="shared" si="116"/>
        <v>4331.3627419207314</v>
      </c>
      <c r="R53" s="116">
        <f t="shared" si="116"/>
        <v>4390.0871659891363</v>
      </c>
      <c r="S53" s="116">
        <f t="shared" si="116"/>
        <v>4538.1569358209008</v>
      </c>
      <c r="T53" s="116">
        <f t="shared" si="116"/>
        <v>4561.1910125671229</v>
      </c>
      <c r="U53" s="116">
        <f t="shared" si="116"/>
        <v>4655.4061029287168</v>
      </c>
      <c r="V53" s="116">
        <f t="shared" si="116"/>
        <v>5162.8630464726402</v>
      </c>
      <c r="W53" s="116">
        <f t="shared" ref="W53" si="117">SUM(W54:W55)</f>
        <v>5611.0286095695374</v>
      </c>
      <c r="DA53" s="176" t="s">
        <v>496</v>
      </c>
    </row>
    <row r="54" spans="1:105" ht="11.45" customHeight="1" x14ac:dyDescent="0.25">
      <c r="A54" s="128" t="s">
        <v>27</v>
      </c>
      <c r="B54" s="101">
        <v>1474</v>
      </c>
      <c r="C54" s="101">
        <v>1713</v>
      </c>
      <c r="D54" s="101">
        <v>1958</v>
      </c>
      <c r="E54" s="101">
        <v>2315</v>
      </c>
      <c r="F54" s="101">
        <v>2519</v>
      </c>
      <c r="G54" s="101">
        <v>2930</v>
      </c>
      <c r="H54" s="101">
        <v>2821</v>
      </c>
      <c r="I54" s="101">
        <v>2777</v>
      </c>
      <c r="J54" s="101">
        <v>2659</v>
      </c>
      <c r="K54" s="101">
        <v>2203</v>
      </c>
      <c r="L54" s="101">
        <v>2185</v>
      </c>
      <c r="M54" s="101">
        <v>2166</v>
      </c>
      <c r="N54" s="101">
        <v>2067</v>
      </c>
      <c r="O54" s="101">
        <v>2152</v>
      </c>
      <c r="P54" s="101">
        <v>2333</v>
      </c>
      <c r="Q54" s="101">
        <v>2797</v>
      </c>
      <c r="R54" s="101">
        <v>2882</v>
      </c>
      <c r="S54" s="101">
        <v>3031</v>
      </c>
      <c r="T54" s="101">
        <v>3155</v>
      </c>
      <c r="U54" s="101">
        <v>3192</v>
      </c>
      <c r="V54" s="101">
        <v>3475</v>
      </c>
      <c r="W54" s="101">
        <v>3806</v>
      </c>
      <c r="DA54" s="175" t="s">
        <v>497</v>
      </c>
    </row>
    <row r="55" spans="1:105" ht="11.45" customHeight="1" x14ac:dyDescent="0.25">
      <c r="A55" s="138" t="s">
        <v>116</v>
      </c>
      <c r="B55" s="88">
        <v>848.9070172340937</v>
      </c>
      <c r="C55" s="88">
        <v>910.14373861987872</v>
      </c>
      <c r="D55" s="88">
        <v>957.52494624848759</v>
      </c>
      <c r="E55" s="88">
        <v>978.71203749228187</v>
      </c>
      <c r="F55" s="88">
        <v>1157.1695341523473</v>
      </c>
      <c r="G55" s="88">
        <v>1197.9613370044087</v>
      </c>
      <c r="H55" s="88">
        <v>1250.3125663061742</v>
      </c>
      <c r="I55" s="88">
        <v>1286.0965772801476</v>
      </c>
      <c r="J55" s="88">
        <v>1208.0349906110405</v>
      </c>
      <c r="K55" s="88">
        <v>1141.8198836606609</v>
      </c>
      <c r="L55" s="88">
        <v>1214.3320108124387</v>
      </c>
      <c r="M55" s="88">
        <v>1286.1342814061604</v>
      </c>
      <c r="N55" s="88">
        <v>1282.044352006073</v>
      </c>
      <c r="O55" s="88">
        <v>1419.1043131999475</v>
      </c>
      <c r="P55" s="88">
        <v>1428.2890969661651</v>
      </c>
      <c r="Q55" s="88">
        <v>1534.3627419207319</v>
      </c>
      <c r="R55" s="88">
        <v>1508.0871659891368</v>
      </c>
      <c r="S55" s="88">
        <v>1507.1569358209008</v>
      </c>
      <c r="T55" s="88">
        <v>1406.1910125671229</v>
      </c>
      <c r="U55" s="88">
        <v>1463.4061029287166</v>
      </c>
      <c r="V55" s="88">
        <v>1687.8630464726402</v>
      </c>
      <c r="W55" s="88">
        <v>1805.0286095695376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5001322</v>
      </c>
      <c r="C57" s="54">
        <f t="shared" si="118"/>
        <v>5053986</v>
      </c>
      <c r="D57" s="54">
        <f t="shared" si="118"/>
        <v>5204710</v>
      </c>
      <c r="E57" s="54">
        <f t="shared" si="118"/>
        <v>5264915</v>
      </c>
      <c r="F57" s="54">
        <f t="shared" si="118"/>
        <v>5414493</v>
      </c>
      <c r="G57" s="54">
        <f t="shared" si="118"/>
        <v>5664133</v>
      </c>
      <c r="H57" s="54">
        <f t="shared" si="118"/>
        <v>5901511</v>
      </c>
      <c r="I57" s="54">
        <f t="shared" si="118"/>
        <v>6177883</v>
      </c>
      <c r="J57" s="54">
        <f t="shared" si="118"/>
        <v>6405079</v>
      </c>
      <c r="K57" s="54">
        <f t="shared" si="118"/>
        <v>6419393</v>
      </c>
      <c r="L57" s="54">
        <f t="shared" ref="L57" si="119">L58+L73</f>
        <v>6499060</v>
      </c>
      <c r="M57" s="54">
        <f t="shared" ref="M57:V57" si="120">M58+M73</f>
        <v>6606121</v>
      </c>
      <c r="N57" s="54">
        <f t="shared" si="120"/>
        <v>6771732</v>
      </c>
      <c r="O57" s="54">
        <f t="shared" si="120"/>
        <v>6790944</v>
      </c>
      <c r="P57" s="54">
        <f t="shared" si="120"/>
        <v>6933541</v>
      </c>
      <c r="Q57" s="54">
        <f t="shared" si="120"/>
        <v>7311352</v>
      </c>
      <c r="R57" s="54">
        <f t="shared" si="120"/>
        <v>7461835</v>
      </c>
      <c r="S57" s="54">
        <f t="shared" si="120"/>
        <v>7736188</v>
      </c>
      <c r="T57" s="54">
        <f t="shared" si="120"/>
        <v>7988363</v>
      </c>
      <c r="U57" s="54">
        <f t="shared" si="120"/>
        <v>8204274</v>
      </c>
      <c r="V57" s="54">
        <f t="shared" si="120"/>
        <v>8350936</v>
      </c>
      <c r="W57" s="54">
        <f t="shared" ref="W57" si="121">W58+W73</f>
        <v>8406939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4711629</v>
      </c>
      <c r="C58" s="28">
        <f t="shared" si="122"/>
        <v>4747757</v>
      </c>
      <c r="D58" s="28">
        <f t="shared" si="122"/>
        <v>4873603</v>
      </c>
      <c r="E58" s="28">
        <f t="shared" si="122"/>
        <v>4917843</v>
      </c>
      <c r="F58" s="28">
        <f t="shared" si="122"/>
        <v>5033187</v>
      </c>
      <c r="G58" s="28">
        <f t="shared" si="122"/>
        <v>5234261</v>
      </c>
      <c r="H58" s="28">
        <f t="shared" si="122"/>
        <v>5422456</v>
      </c>
      <c r="I58" s="28">
        <f t="shared" si="122"/>
        <v>5637356</v>
      </c>
      <c r="J58" s="28">
        <f t="shared" si="122"/>
        <v>5815279</v>
      </c>
      <c r="K58" s="28">
        <f t="shared" si="122"/>
        <v>5831805</v>
      </c>
      <c r="L58" s="28">
        <f t="shared" ref="L58" si="123">L59+L60+L67</f>
        <v>5918467</v>
      </c>
      <c r="M58" s="28">
        <f t="shared" ref="M58:V58" si="124">M59+M60+M67</f>
        <v>6027429</v>
      </c>
      <c r="N58" s="28">
        <f t="shared" si="124"/>
        <v>6184506</v>
      </c>
      <c r="O58" s="28">
        <f t="shared" si="124"/>
        <v>6206564</v>
      </c>
      <c r="P58" s="28">
        <f t="shared" si="124"/>
        <v>6331484</v>
      </c>
      <c r="Q58" s="28">
        <f t="shared" si="124"/>
        <v>6667676</v>
      </c>
      <c r="R58" s="28">
        <f t="shared" si="124"/>
        <v>6888609</v>
      </c>
      <c r="S58" s="28">
        <f t="shared" si="124"/>
        <v>7147013</v>
      </c>
      <c r="T58" s="28">
        <f t="shared" si="124"/>
        <v>7386716</v>
      </c>
      <c r="U58" s="28">
        <f t="shared" si="124"/>
        <v>7594352</v>
      </c>
      <c r="V58" s="28">
        <f t="shared" si="124"/>
        <v>7749533</v>
      </c>
      <c r="W58" s="28">
        <f t="shared" ref="W58" si="125">W59+W60+W67</f>
        <v>7810342</v>
      </c>
      <c r="DA58" s="173" t="s">
        <v>500</v>
      </c>
    </row>
    <row r="59" spans="1:105" ht="11.45" customHeight="1" x14ac:dyDescent="0.25">
      <c r="A59" s="136" t="s">
        <v>180</v>
      </c>
      <c r="B59" s="137">
        <v>1178600</v>
      </c>
      <c r="C59" s="137">
        <v>1193500</v>
      </c>
      <c r="D59" s="137">
        <v>1204000</v>
      </c>
      <c r="E59" s="137">
        <v>1190000</v>
      </c>
      <c r="F59" s="137">
        <v>1196000</v>
      </c>
      <c r="G59" s="137">
        <v>1254000</v>
      </c>
      <c r="H59" s="137">
        <v>1292000</v>
      </c>
      <c r="I59" s="137">
        <v>1336000</v>
      </c>
      <c r="J59" s="137">
        <v>1371000</v>
      </c>
      <c r="K59" s="137">
        <v>1376000</v>
      </c>
      <c r="L59" s="137">
        <v>1402000</v>
      </c>
      <c r="M59" s="137">
        <v>1425000</v>
      </c>
      <c r="N59" s="137">
        <v>1458000</v>
      </c>
      <c r="O59" s="137">
        <v>1457061</v>
      </c>
      <c r="P59" s="137">
        <v>1477587</v>
      </c>
      <c r="Q59" s="137">
        <v>1531693</v>
      </c>
      <c r="R59" s="137">
        <v>1559925</v>
      </c>
      <c r="S59" s="137">
        <v>1587349</v>
      </c>
      <c r="T59" s="137">
        <v>1616776</v>
      </c>
      <c r="U59" s="137">
        <v>1647151</v>
      </c>
      <c r="V59" s="137">
        <v>1680310</v>
      </c>
      <c r="W59" s="137">
        <v>1701057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3510800</v>
      </c>
      <c r="C60" s="110">
        <f t="shared" si="126"/>
        <v>3529800</v>
      </c>
      <c r="D60" s="110">
        <f t="shared" si="126"/>
        <v>3647100</v>
      </c>
      <c r="E60" s="110">
        <f t="shared" si="126"/>
        <v>3706012</v>
      </c>
      <c r="F60" s="110">
        <f t="shared" si="126"/>
        <v>3816000</v>
      </c>
      <c r="G60" s="110">
        <f t="shared" si="126"/>
        <v>3959000</v>
      </c>
      <c r="H60" s="110">
        <f t="shared" si="126"/>
        <v>4109000</v>
      </c>
      <c r="I60" s="110">
        <f t="shared" si="126"/>
        <v>4280000</v>
      </c>
      <c r="J60" s="110">
        <f t="shared" si="126"/>
        <v>4423000</v>
      </c>
      <c r="K60" s="110">
        <f t="shared" si="126"/>
        <v>4435000</v>
      </c>
      <c r="L60" s="110">
        <f t="shared" ref="L60" si="127">SUM(L61:L66)</f>
        <v>4496000</v>
      </c>
      <c r="M60" s="110">
        <f t="shared" ref="M60:V60" si="128">SUM(M61:M66)</f>
        <v>4582000</v>
      </c>
      <c r="N60" s="110">
        <f t="shared" si="128"/>
        <v>4706000</v>
      </c>
      <c r="O60" s="110">
        <f t="shared" si="128"/>
        <v>4729185</v>
      </c>
      <c r="P60" s="110">
        <f t="shared" si="128"/>
        <v>4833386</v>
      </c>
      <c r="Q60" s="110">
        <f t="shared" si="128"/>
        <v>5115316</v>
      </c>
      <c r="R60" s="110">
        <f t="shared" si="128"/>
        <v>5307808</v>
      </c>
      <c r="S60" s="110">
        <f t="shared" si="128"/>
        <v>5538222</v>
      </c>
      <c r="T60" s="110">
        <f t="shared" si="128"/>
        <v>5747913</v>
      </c>
      <c r="U60" s="110">
        <f t="shared" si="128"/>
        <v>5924995</v>
      </c>
      <c r="V60" s="110">
        <f t="shared" si="128"/>
        <v>6049255</v>
      </c>
      <c r="W60" s="110">
        <f t="shared" ref="W60" si="129">SUM(W61:W66)</f>
        <v>6088730</v>
      </c>
      <c r="DA60" s="176" t="s">
        <v>502</v>
      </c>
    </row>
    <row r="61" spans="1:105" ht="11.45" customHeight="1" x14ac:dyDescent="0.25">
      <c r="A61" s="111" t="s">
        <v>110</v>
      </c>
      <c r="B61" s="84">
        <v>3054807</v>
      </c>
      <c r="C61" s="84">
        <v>3031646</v>
      </c>
      <c r="D61" s="84">
        <v>3075011</v>
      </c>
      <c r="E61" s="84">
        <v>3058125</v>
      </c>
      <c r="F61" s="84">
        <v>3092067</v>
      </c>
      <c r="G61" s="84">
        <v>3157440</v>
      </c>
      <c r="H61" s="84">
        <v>3211897</v>
      </c>
      <c r="I61" s="84">
        <v>3277840</v>
      </c>
      <c r="J61" s="84">
        <v>3314781</v>
      </c>
      <c r="K61" s="84">
        <v>3228837</v>
      </c>
      <c r="L61" s="84">
        <v>3188322</v>
      </c>
      <c r="M61" s="84">
        <v>3160685</v>
      </c>
      <c r="N61" s="84">
        <v>3104707</v>
      </c>
      <c r="O61" s="84">
        <v>3080888</v>
      </c>
      <c r="P61" s="84">
        <v>3066862</v>
      </c>
      <c r="Q61" s="84">
        <v>3172041</v>
      </c>
      <c r="R61" s="84">
        <v>3215580</v>
      </c>
      <c r="S61" s="84">
        <v>3305082</v>
      </c>
      <c r="T61" s="84">
        <v>3358336</v>
      </c>
      <c r="U61" s="84">
        <v>3436615</v>
      </c>
      <c r="V61" s="84">
        <v>3483356</v>
      </c>
      <c r="W61" s="84">
        <v>3494209</v>
      </c>
      <c r="DA61" s="171" t="s">
        <v>503</v>
      </c>
    </row>
    <row r="62" spans="1:105" ht="11.45" customHeight="1" x14ac:dyDescent="0.25">
      <c r="A62" s="111" t="s">
        <v>111</v>
      </c>
      <c r="B62" s="84">
        <v>383993</v>
      </c>
      <c r="C62" s="84">
        <v>423718</v>
      </c>
      <c r="D62" s="84">
        <v>492602</v>
      </c>
      <c r="E62" s="84">
        <v>563796</v>
      </c>
      <c r="F62" s="84">
        <v>631313</v>
      </c>
      <c r="G62" s="84">
        <v>701003</v>
      </c>
      <c r="H62" s="84">
        <v>783983</v>
      </c>
      <c r="I62" s="84">
        <v>875321</v>
      </c>
      <c r="J62" s="84">
        <v>979853</v>
      </c>
      <c r="K62" s="84">
        <v>1069164</v>
      </c>
      <c r="L62" s="84">
        <v>1170496</v>
      </c>
      <c r="M62" s="84">
        <v>1275366</v>
      </c>
      <c r="N62" s="84">
        <v>1431250</v>
      </c>
      <c r="O62" s="84">
        <v>1470155</v>
      </c>
      <c r="P62" s="84">
        <v>1567603</v>
      </c>
      <c r="Q62" s="84">
        <v>1741073</v>
      </c>
      <c r="R62" s="84">
        <v>1881944</v>
      </c>
      <c r="S62" s="84">
        <v>2024319</v>
      </c>
      <c r="T62" s="84">
        <v>2183788</v>
      </c>
      <c r="U62" s="84">
        <v>2286735</v>
      </c>
      <c r="V62" s="84">
        <v>2365981</v>
      </c>
      <c r="W62" s="84">
        <v>2394164</v>
      </c>
      <c r="DA62" s="171" t="s">
        <v>504</v>
      </c>
    </row>
    <row r="63" spans="1:105" ht="11.45" customHeight="1" x14ac:dyDescent="0.25">
      <c r="A63" s="111" t="s">
        <v>112</v>
      </c>
      <c r="B63" s="84">
        <v>72000</v>
      </c>
      <c r="C63" s="84">
        <v>74436</v>
      </c>
      <c r="D63" s="84">
        <v>79487</v>
      </c>
      <c r="E63" s="84">
        <v>84091</v>
      </c>
      <c r="F63" s="84">
        <v>92620</v>
      </c>
      <c r="G63" s="84">
        <v>100557</v>
      </c>
      <c r="H63" s="84">
        <v>113120</v>
      </c>
      <c r="I63" s="84">
        <v>126839</v>
      </c>
      <c r="J63" s="84">
        <v>127606</v>
      </c>
      <c r="K63" s="84">
        <v>135827</v>
      </c>
      <c r="L63" s="84">
        <v>135486</v>
      </c>
      <c r="M63" s="84">
        <v>143641</v>
      </c>
      <c r="N63" s="84">
        <v>166898</v>
      </c>
      <c r="O63" s="84">
        <v>173280</v>
      </c>
      <c r="P63" s="84">
        <v>192661</v>
      </c>
      <c r="Q63" s="84">
        <v>192685</v>
      </c>
      <c r="R63" s="84">
        <v>194612</v>
      </c>
      <c r="S63" s="84">
        <v>188774</v>
      </c>
      <c r="T63" s="84">
        <v>181223</v>
      </c>
      <c r="U63" s="84">
        <v>173974</v>
      </c>
      <c r="V63" s="84">
        <v>167015</v>
      </c>
      <c r="W63" s="84">
        <v>162440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760</v>
      </c>
      <c r="K64" s="84">
        <v>1172</v>
      </c>
      <c r="L64" s="84">
        <v>1690</v>
      </c>
      <c r="M64" s="84">
        <v>2246</v>
      </c>
      <c r="N64" s="84">
        <v>3054</v>
      </c>
      <c r="O64" s="84">
        <v>4598</v>
      </c>
      <c r="P64" s="84">
        <v>5764</v>
      </c>
      <c r="Q64" s="84">
        <v>8600</v>
      </c>
      <c r="R64" s="84">
        <v>13970</v>
      </c>
      <c r="S64" s="84">
        <v>17170</v>
      </c>
      <c r="T64" s="84">
        <v>20660</v>
      </c>
      <c r="U64" s="84">
        <v>22448</v>
      </c>
      <c r="V64" s="84">
        <v>23068</v>
      </c>
      <c r="W64" s="84">
        <v>22789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16</v>
      </c>
      <c r="O65" s="84">
        <v>27</v>
      </c>
      <c r="P65" s="84">
        <v>79</v>
      </c>
      <c r="Q65" s="84">
        <v>204</v>
      </c>
      <c r="R65" s="84">
        <v>340</v>
      </c>
      <c r="S65" s="84">
        <v>568</v>
      </c>
      <c r="T65" s="84">
        <v>859</v>
      </c>
      <c r="U65" s="84">
        <v>1326</v>
      </c>
      <c r="V65" s="84">
        <v>2726</v>
      </c>
      <c r="W65" s="84">
        <v>5159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6</v>
      </c>
      <c r="M66" s="84">
        <v>62</v>
      </c>
      <c r="N66" s="84">
        <v>75</v>
      </c>
      <c r="O66" s="84">
        <v>237</v>
      </c>
      <c r="P66" s="84">
        <v>417</v>
      </c>
      <c r="Q66" s="84">
        <v>713</v>
      </c>
      <c r="R66" s="84">
        <v>1362</v>
      </c>
      <c r="S66" s="84">
        <v>2309</v>
      </c>
      <c r="T66" s="84">
        <v>3047</v>
      </c>
      <c r="U66" s="84">
        <v>3897</v>
      </c>
      <c r="V66" s="84">
        <v>7109</v>
      </c>
      <c r="W66" s="84">
        <v>9969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22229</v>
      </c>
      <c r="C67" s="110">
        <f t="shared" si="130"/>
        <v>24457</v>
      </c>
      <c r="D67" s="110">
        <f t="shared" si="130"/>
        <v>22503</v>
      </c>
      <c r="E67" s="110">
        <f t="shared" si="130"/>
        <v>21831</v>
      </c>
      <c r="F67" s="110">
        <f t="shared" si="130"/>
        <v>21187</v>
      </c>
      <c r="G67" s="110">
        <f t="shared" si="130"/>
        <v>21261</v>
      </c>
      <c r="H67" s="110">
        <f t="shared" si="130"/>
        <v>21456</v>
      </c>
      <c r="I67" s="110">
        <f t="shared" si="130"/>
        <v>21356</v>
      </c>
      <c r="J67" s="110">
        <f t="shared" si="130"/>
        <v>21279</v>
      </c>
      <c r="K67" s="110">
        <f t="shared" si="130"/>
        <v>20805</v>
      </c>
      <c r="L67" s="110">
        <f t="shared" ref="L67" si="131">SUM(L68:L72)</f>
        <v>20467</v>
      </c>
      <c r="M67" s="110">
        <f t="shared" ref="M67:V67" si="132">SUM(M68:M72)</f>
        <v>20429</v>
      </c>
      <c r="N67" s="110">
        <f t="shared" si="132"/>
        <v>20506</v>
      </c>
      <c r="O67" s="110">
        <f t="shared" si="132"/>
        <v>20318</v>
      </c>
      <c r="P67" s="110">
        <f t="shared" si="132"/>
        <v>20511</v>
      </c>
      <c r="Q67" s="110">
        <f t="shared" si="132"/>
        <v>20667</v>
      </c>
      <c r="R67" s="110">
        <f t="shared" si="132"/>
        <v>20876</v>
      </c>
      <c r="S67" s="110">
        <f t="shared" si="132"/>
        <v>21442</v>
      </c>
      <c r="T67" s="110">
        <f t="shared" si="132"/>
        <v>22027</v>
      </c>
      <c r="U67" s="110">
        <f t="shared" si="132"/>
        <v>22206</v>
      </c>
      <c r="V67" s="110">
        <f t="shared" si="132"/>
        <v>19968</v>
      </c>
      <c r="W67" s="110">
        <f t="shared" ref="W67" si="133">SUM(W68:W72)</f>
        <v>20555</v>
      </c>
      <c r="DA67" s="176" t="s">
        <v>509</v>
      </c>
    </row>
    <row r="68" spans="1:105" ht="11.45" customHeight="1" x14ac:dyDescent="0.25">
      <c r="A68" s="111" t="s">
        <v>110</v>
      </c>
      <c r="B68" s="102">
        <v>3246</v>
      </c>
      <c r="C68" s="102">
        <v>3246</v>
      </c>
      <c r="D68" s="102">
        <v>3243</v>
      </c>
      <c r="E68" s="102">
        <v>2849</v>
      </c>
      <c r="F68" s="102">
        <v>2634</v>
      </c>
      <c r="G68" s="102">
        <v>2493</v>
      </c>
      <c r="H68" s="102">
        <v>2408</v>
      </c>
      <c r="I68" s="102">
        <v>2350</v>
      </c>
      <c r="J68" s="102">
        <v>2215</v>
      </c>
      <c r="K68" s="102">
        <v>2028</v>
      </c>
      <c r="L68" s="102">
        <v>1979</v>
      </c>
      <c r="M68" s="102">
        <v>1950</v>
      </c>
      <c r="N68" s="102">
        <v>1868</v>
      </c>
      <c r="O68" s="102">
        <v>1846</v>
      </c>
      <c r="P68" s="102">
        <v>1811</v>
      </c>
      <c r="Q68" s="102">
        <v>1779</v>
      </c>
      <c r="R68" s="102">
        <v>1745</v>
      </c>
      <c r="S68" s="102">
        <v>1712</v>
      </c>
      <c r="T68" s="102">
        <v>1679</v>
      </c>
      <c r="U68" s="102">
        <v>1652</v>
      </c>
      <c r="V68" s="102">
        <v>1636</v>
      </c>
      <c r="W68" s="102">
        <v>1614</v>
      </c>
      <c r="DA68" s="175" t="s">
        <v>510</v>
      </c>
    </row>
    <row r="69" spans="1:105" ht="11.45" customHeight="1" x14ac:dyDescent="0.25">
      <c r="A69" s="111" t="s">
        <v>111</v>
      </c>
      <c r="B69" s="102">
        <v>17966</v>
      </c>
      <c r="C69" s="102">
        <v>20107</v>
      </c>
      <c r="D69" s="102">
        <v>18014</v>
      </c>
      <c r="E69" s="102">
        <v>17659</v>
      </c>
      <c r="F69" s="102">
        <v>17227</v>
      </c>
      <c r="G69" s="102">
        <v>17449</v>
      </c>
      <c r="H69" s="102">
        <v>17704</v>
      </c>
      <c r="I69" s="102">
        <v>17816</v>
      </c>
      <c r="J69" s="102">
        <v>17876</v>
      </c>
      <c r="K69" s="102">
        <v>17594</v>
      </c>
      <c r="L69" s="102">
        <v>17303</v>
      </c>
      <c r="M69" s="102">
        <v>17301</v>
      </c>
      <c r="N69" s="102">
        <v>17460</v>
      </c>
      <c r="O69" s="102">
        <v>17463</v>
      </c>
      <c r="P69" s="102">
        <v>18033</v>
      </c>
      <c r="Q69" s="102">
        <v>17945</v>
      </c>
      <c r="R69" s="102">
        <v>17989</v>
      </c>
      <c r="S69" s="102">
        <v>18490</v>
      </c>
      <c r="T69" s="102">
        <v>18996</v>
      </c>
      <c r="U69" s="102">
        <v>18860</v>
      </c>
      <c r="V69" s="102">
        <v>16415</v>
      </c>
      <c r="W69" s="102">
        <v>17020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7</v>
      </c>
      <c r="W70" s="102">
        <v>7</v>
      </c>
      <c r="DA70" s="175" t="s">
        <v>512</v>
      </c>
    </row>
    <row r="71" spans="1:105" ht="11.45" customHeight="1" x14ac:dyDescent="0.25">
      <c r="A71" s="111" t="s">
        <v>113</v>
      </c>
      <c r="B71" s="102">
        <v>290</v>
      </c>
      <c r="C71" s="102">
        <v>365</v>
      </c>
      <c r="D71" s="102">
        <v>520</v>
      </c>
      <c r="E71" s="102">
        <v>600</v>
      </c>
      <c r="F71" s="102">
        <v>600</v>
      </c>
      <c r="G71" s="102">
        <v>600</v>
      </c>
      <c r="H71" s="102">
        <v>600</v>
      </c>
      <c r="I71" s="102">
        <v>450</v>
      </c>
      <c r="J71" s="102">
        <v>450</v>
      </c>
      <c r="K71" s="102">
        <v>450</v>
      </c>
      <c r="L71" s="102">
        <v>450</v>
      </c>
      <c r="M71" s="102">
        <v>450</v>
      </c>
      <c r="N71" s="102">
        <v>450</v>
      </c>
      <c r="O71" s="102">
        <v>450</v>
      </c>
      <c r="P71" s="102">
        <v>518</v>
      </c>
      <c r="Q71" s="102">
        <v>820</v>
      </c>
      <c r="R71" s="102">
        <v>1020</v>
      </c>
      <c r="S71" s="102">
        <v>1120</v>
      </c>
      <c r="T71" s="102">
        <v>1234</v>
      </c>
      <c r="U71" s="102">
        <v>1594</v>
      </c>
      <c r="V71" s="102">
        <v>1803</v>
      </c>
      <c r="W71" s="102">
        <v>1806</v>
      </c>
      <c r="DA71" s="175" t="s">
        <v>513</v>
      </c>
    </row>
    <row r="72" spans="1:105" ht="11.45" customHeight="1" x14ac:dyDescent="0.25">
      <c r="A72" s="111" t="s">
        <v>115</v>
      </c>
      <c r="B72" s="102">
        <v>727</v>
      </c>
      <c r="C72" s="102">
        <v>739</v>
      </c>
      <c r="D72" s="102">
        <v>726</v>
      </c>
      <c r="E72" s="102">
        <v>723</v>
      </c>
      <c r="F72" s="102">
        <v>726</v>
      </c>
      <c r="G72" s="102">
        <v>719</v>
      </c>
      <c r="H72" s="102">
        <v>744</v>
      </c>
      <c r="I72" s="102">
        <v>740</v>
      </c>
      <c r="J72" s="102">
        <v>738</v>
      </c>
      <c r="K72" s="102">
        <v>733</v>
      </c>
      <c r="L72" s="102">
        <v>735</v>
      </c>
      <c r="M72" s="102">
        <v>728</v>
      </c>
      <c r="N72" s="102">
        <v>728</v>
      </c>
      <c r="O72" s="102">
        <v>559</v>
      </c>
      <c r="P72" s="102">
        <v>149</v>
      </c>
      <c r="Q72" s="102">
        <v>123</v>
      </c>
      <c r="R72" s="102">
        <v>122</v>
      </c>
      <c r="S72" s="102">
        <v>120</v>
      </c>
      <c r="T72" s="102">
        <v>118</v>
      </c>
      <c r="U72" s="102">
        <v>100</v>
      </c>
      <c r="V72" s="102">
        <v>107</v>
      </c>
      <c r="W72" s="102">
        <v>108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289693</v>
      </c>
      <c r="C73" s="28">
        <f t="shared" si="134"/>
        <v>306229</v>
      </c>
      <c r="D73" s="28">
        <f t="shared" si="134"/>
        <v>331107</v>
      </c>
      <c r="E73" s="28">
        <f t="shared" si="134"/>
        <v>347072</v>
      </c>
      <c r="F73" s="28">
        <f t="shared" si="134"/>
        <v>381306</v>
      </c>
      <c r="G73" s="28">
        <f t="shared" si="134"/>
        <v>429872</v>
      </c>
      <c r="H73" s="28">
        <f t="shared" si="134"/>
        <v>479055</v>
      </c>
      <c r="I73" s="28">
        <f t="shared" si="134"/>
        <v>540527</v>
      </c>
      <c r="J73" s="28">
        <f t="shared" si="134"/>
        <v>589800</v>
      </c>
      <c r="K73" s="28">
        <f t="shared" si="134"/>
        <v>587588</v>
      </c>
      <c r="L73" s="28">
        <f t="shared" ref="L73" si="135">L74+L80</f>
        <v>580593</v>
      </c>
      <c r="M73" s="28">
        <f t="shared" ref="M73:V73" si="136">M74+M80</f>
        <v>578692</v>
      </c>
      <c r="N73" s="28">
        <f t="shared" si="136"/>
        <v>587226</v>
      </c>
      <c r="O73" s="28">
        <f t="shared" si="136"/>
        <v>584380</v>
      </c>
      <c r="P73" s="28">
        <f t="shared" si="136"/>
        <v>602057</v>
      </c>
      <c r="Q73" s="28">
        <f t="shared" si="136"/>
        <v>643676</v>
      </c>
      <c r="R73" s="28">
        <f t="shared" si="136"/>
        <v>573226</v>
      </c>
      <c r="S73" s="28">
        <f t="shared" si="136"/>
        <v>589175</v>
      </c>
      <c r="T73" s="28">
        <f t="shared" si="136"/>
        <v>601647</v>
      </c>
      <c r="U73" s="28">
        <f t="shared" si="136"/>
        <v>609922</v>
      </c>
      <c r="V73" s="28">
        <f t="shared" si="136"/>
        <v>601403</v>
      </c>
      <c r="W73" s="28">
        <f t="shared" ref="W73" si="137">W74+W80</f>
        <v>596597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150508</v>
      </c>
      <c r="C74" s="137">
        <f t="shared" si="138"/>
        <v>165072</v>
      </c>
      <c r="D74" s="137">
        <f t="shared" si="138"/>
        <v>189826</v>
      </c>
      <c r="E74" s="137">
        <f t="shared" si="138"/>
        <v>216548</v>
      </c>
      <c r="F74" s="137">
        <f t="shared" si="138"/>
        <v>251868</v>
      </c>
      <c r="G74" s="137">
        <f t="shared" si="138"/>
        <v>300311</v>
      </c>
      <c r="H74" s="137">
        <f t="shared" si="138"/>
        <v>351066</v>
      </c>
      <c r="I74" s="137">
        <f t="shared" si="138"/>
        <v>407210</v>
      </c>
      <c r="J74" s="137">
        <f t="shared" si="138"/>
        <v>461888</v>
      </c>
      <c r="K74" s="137">
        <f t="shared" si="138"/>
        <v>466375</v>
      </c>
      <c r="L74" s="137">
        <f t="shared" ref="L74" si="139">SUM(L75:L79)</f>
        <v>466637</v>
      </c>
      <c r="M74" s="137">
        <f t="shared" ref="M74:V74" si="140">SUM(M75:M79)</f>
        <v>467582</v>
      </c>
      <c r="N74" s="137">
        <f t="shared" si="140"/>
        <v>467672</v>
      </c>
      <c r="O74" s="137">
        <f t="shared" si="140"/>
        <v>466056</v>
      </c>
      <c r="P74" s="137">
        <f t="shared" si="140"/>
        <v>479183</v>
      </c>
      <c r="Q74" s="137">
        <f t="shared" si="140"/>
        <v>510344</v>
      </c>
      <c r="R74" s="137">
        <f t="shared" si="140"/>
        <v>429780</v>
      </c>
      <c r="S74" s="137">
        <f t="shared" si="140"/>
        <v>436241</v>
      </c>
      <c r="T74" s="137">
        <f t="shared" si="140"/>
        <v>441303</v>
      </c>
      <c r="U74" s="137">
        <f t="shared" si="140"/>
        <v>444203</v>
      </c>
      <c r="V74" s="137">
        <f t="shared" si="140"/>
        <v>446122</v>
      </c>
      <c r="W74" s="137">
        <f t="shared" ref="W74" si="141">SUM(W75:W79)</f>
        <v>443860</v>
      </c>
      <c r="DA74" s="174" t="s">
        <v>516</v>
      </c>
    </row>
    <row r="75" spans="1:105" ht="11.45" customHeight="1" x14ac:dyDescent="0.25">
      <c r="A75" s="111" t="s">
        <v>110</v>
      </c>
      <c r="B75" s="84">
        <v>48601</v>
      </c>
      <c r="C75" s="84">
        <v>52981</v>
      </c>
      <c r="D75" s="84">
        <v>59840</v>
      </c>
      <c r="E75" s="84">
        <v>59929</v>
      </c>
      <c r="F75" s="84">
        <v>62683</v>
      </c>
      <c r="G75" s="84">
        <v>69268</v>
      </c>
      <c r="H75" s="84">
        <v>81299</v>
      </c>
      <c r="I75" s="84">
        <v>93383</v>
      </c>
      <c r="J75" s="84">
        <v>103323</v>
      </c>
      <c r="K75" s="84">
        <v>100721</v>
      </c>
      <c r="L75" s="84">
        <v>97721</v>
      </c>
      <c r="M75" s="84">
        <v>94802</v>
      </c>
      <c r="N75" s="84">
        <v>91508</v>
      </c>
      <c r="O75" s="84">
        <v>91040</v>
      </c>
      <c r="P75" s="84">
        <v>93201</v>
      </c>
      <c r="Q75" s="84">
        <v>98766</v>
      </c>
      <c r="R75" s="84">
        <v>99303</v>
      </c>
      <c r="S75" s="84">
        <v>100047</v>
      </c>
      <c r="T75" s="84">
        <v>100626</v>
      </c>
      <c r="U75" s="84">
        <v>100959</v>
      </c>
      <c r="V75" s="84">
        <v>101177</v>
      </c>
      <c r="W75" s="84">
        <v>100930</v>
      </c>
      <c r="DA75" s="171" t="s">
        <v>517</v>
      </c>
    </row>
    <row r="76" spans="1:105" ht="11.45" customHeight="1" x14ac:dyDescent="0.25">
      <c r="A76" s="111" t="s">
        <v>111</v>
      </c>
      <c r="B76" s="84">
        <v>94907</v>
      </c>
      <c r="C76" s="84">
        <v>105252</v>
      </c>
      <c r="D76" s="84">
        <v>123026</v>
      </c>
      <c r="E76" s="84">
        <v>149534</v>
      </c>
      <c r="F76" s="84">
        <v>181748</v>
      </c>
      <c r="G76" s="84">
        <v>223361</v>
      </c>
      <c r="H76" s="84">
        <v>261550</v>
      </c>
      <c r="I76" s="84">
        <v>304984</v>
      </c>
      <c r="J76" s="84">
        <v>349988</v>
      </c>
      <c r="K76" s="84">
        <v>356833</v>
      </c>
      <c r="L76" s="84">
        <v>360450</v>
      </c>
      <c r="M76" s="84">
        <v>364191</v>
      </c>
      <c r="N76" s="84">
        <v>366145</v>
      </c>
      <c r="O76" s="84">
        <v>364272</v>
      </c>
      <c r="P76" s="84">
        <v>372918</v>
      </c>
      <c r="Q76" s="84">
        <v>395186</v>
      </c>
      <c r="R76" s="84">
        <v>310661</v>
      </c>
      <c r="S76" s="84">
        <v>313715</v>
      </c>
      <c r="T76" s="84">
        <v>315831</v>
      </c>
      <c r="U76" s="84">
        <v>316947</v>
      </c>
      <c r="V76" s="84">
        <v>317608</v>
      </c>
      <c r="W76" s="84">
        <v>315143</v>
      </c>
      <c r="DA76" s="171" t="s">
        <v>518</v>
      </c>
    </row>
    <row r="77" spans="1:105" ht="11.45" customHeight="1" x14ac:dyDescent="0.25">
      <c r="A77" s="111" t="s">
        <v>112</v>
      </c>
      <c r="B77" s="84">
        <v>7000</v>
      </c>
      <c r="C77" s="84">
        <v>6839</v>
      </c>
      <c r="D77" s="84">
        <v>6960</v>
      </c>
      <c r="E77" s="84">
        <v>7085</v>
      </c>
      <c r="F77" s="84">
        <v>7437</v>
      </c>
      <c r="G77" s="84">
        <v>7682</v>
      </c>
      <c r="H77" s="84">
        <v>8217</v>
      </c>
      <c r="I77" s="84">
        <v>8843</v>
      </c>
      <c r="J77" s="84">
        <v>8538</v>
      </c>
      <c r="K77" s="84">
        <v>8780</v>
      </c>
      <c r="L77" s="84">
        <v>8421</v>
      </c>
      <c r="M77" s="84">
        <v>8540</v>
      </c>
      <c r="N77" s="84">
        <v>9506</v>
      </c>
      <c r="O77" s="84">
        <v>9870</v>
      </c>
      <c r="P77" s="84">
        <v>10974</v>
      </c>
      <c r="Q77" s="84">
        <v>10975</v>
      </c>
      <c r="R77" s="84">
        <v>11625</v>
      </c>
      <c r="S77" s="84">
        <v>11375</v>
      </c>
      <c r="T77" s="84">
        <v>11225</v>
      </c>
      <c r="U77" s="84">
        <v>10225</v>
      </c>
      <c r="V77" s="84">
        <v>9225</v>
      </c>
      <c r="W77" s="84">
        <v>8225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443</v>
      </c>
      <c r="O78" s="84">
        <v>792</v>
      </c>
      <c r="P78" s="84">
        <v>1997</v>
      </c>
      <c r="Q78" s="84">
        <v>5308</v>
      </c>
      <c r="R78" s="84">
        <v>8062</v>
      </c>
      <c r="S78" s="84">
        <v>10948</v>
      </c>
      <c r="T78" s="84">
        <v>13406</v>
      </c>
      <c r="U78" s="84">
        <v>15729</v>
      </c>
      <c r="V78" s="84">
        <v>17651</v>
      </c>
      <c r="W78" s="84">
        <v>18818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39</v>
      </c>
      <c r="K79" s="84">
        <v>41</v>
      </c>
      <c r="L79" s="84">
        <v>45</v>
      </c>
      <c r="M79" s="84">
        <v>49</v>
      </c>
      <c r="N79" s="84">
        <v>70</v>
      </c>
      <c r="O79" s="84">
        <v>82</v>
      </c>
      <c r="P79" s="84">
        <v>93</v>
      </c>
      <c r="Q79" s="84">
        <v>109</v>
      </c>
      <c r="R79" s="84">
        <v>129</v>
      </c>
      <c r="S79" s="84">
        <v>156</v>
      </c>
      <c r="T79" s="84">
        <v>215</v>
      </c>
      <c r="U79" s="84">
        <v>343</v>
      </c>
      <c r="V79" s="84">
        <v>461</v>
      </c>
      <c r="W79" s="84">
        <v>744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139185</v>
      </c>
      <c r="C80" s="110">
        <f t="shared" si="142"/>
        <v>141157</v>
      </c>
      <c r="D80" s="110">
        <f t="shared" si="142"/>
        <v>141281</v>
      </c>
      <c r="E80" s="110">
        <f t="shared" si="142"/>
        <v>130524</v>
      </c>
      <c r="F80" s="110">
        <f t="shared" si="142"/>
        <v>129438</v>
      </c>
      <c r="G80" s="110">
        <f t="shared" si="142"/>
        <v>129561</v>
      </c>
      <c r="H80" s="110">
        <f t="shared" si="142"/>
        <v>127989</v>
      </c>
      <c r="I80" s="110">
        <f t="shared" si="142"/>
        <v>133317</v>
      </c>
      <c r="J80" s="110">
        <f t="shared" si="142"/>
        <v>127912</v>
      </c>
      <c r="K80" s="110">
        <f t="shared" si="142"/>
        <v>121213</v>
      </c>
      <c r="L80" s="110">
        <f t="shared" ref="L80" si="143">SUM(L81:L82)</f>
        <v>113956</v>
      </c>
      <c r="M80" s="110">
        <f t="shared" ref="M80:V80" si="144">SUM(M81:M82)</f>
        <v>111110</v>
      </c>
      <c r="N80" s="110">
        <f t="shared" si="144"/>
        <v>119554</v>
      </c>
      <c r="O80" s="110">
        <f t="shared" si="144"/>
        <v>118324</v>
      </c>
      <c r="P80" s="110">
        <f t="shared" si="144"/>
        <v>122874</v>
      </c>
      <c r="Q80" s="110">
        <f t="shared" si="144"/>
        <v>133332</v>
      </c>
      <c r="R80" s="110">
        <f t="shared" si="144"/>
        <v>143446</v>
      </c>
      <c r="S80" s="110">
        <f t="shared" si="144"/>
        <v>152934</v>
      </c>
      <c r="T80" s="110">
        <f t="shared" si="144"/>
        <v>160344</v>
      </c>
      <c r="U80" s="110">
        <f t="shared" si="144"/>
        <v>165719</v>
      </c>
      <c r="V80" s="110">
        <f t="shared" si="144"/>
        <v>155281</v>
      </c>
      <c r="W80" s="110">
        <f t="shared" ref="W80" si="145">SUM(W81:W82)</f>
        <v>152737</v>
      </c>
      <c r="DA80" s="176" t="s">
        <v>522</v>
      </c>
    </row>
    <row r="81" spans="1:105" ht="11.45" customHeight="1" x14ac:dyDescent="0.25">
      <c r="A81" s="128" t="s">
        <v>27</v>
      </c>
      <c r="B81" s="102">
        <v>129198</v>
      </c>
      <c r="C81" s="102">
        <v>130449</v>
      </c>
      <c r="D81" s="102">
        <v>130016</v>
      </c>
      <c r="E81" s="102">
        <v>119010</v>
      </c>
      <c r="F81" s="102">
        <v>115824</v>
      </c>
      <c r="G81" s="102">
        <v>115467</v>
      </c>
      <c r="H81" s="102">
        <v>113279</v>
      </c>
      <c r="I81" s="102">
        <v>118186</v>
      </c>
      <c r="J81" s="102">
        <v>113700</v>
      </c>
      <c r="K81" s="102">
        <v>107780</v>
      </c>
      <c r="L81" s="102">
        <v>99670</v>
      </c>
      <c r="M81" s="102">
        <v>95979</v>
      </c>
      <c r="N81" s="102">
        <v>104471</v>
      </c>
      <c r="O81" s="102">
        <v>101629</v>
      </c>
      <c r="P81" s="102">
        <v>106071</v>
      </c>
      <c r="Q81" s="102">
        <v>115281</v>
      </c>
      <c r="R81" s="102">
        <v>125704</v>
      </c>
      <c r="S81" s="102">
        <v>135203</v>
      </c>
      <c r="T81" s="102">
        <v>143801</v>
      </c>
      <c r="U81" s="102">
        <v>148502</v>
      </c>
      <c r="V81" s="102">
        <v>135424</v>
      </c>
      <c r="W81" s="102">
        <v>131501</v>
      </c>
      <c r="DA81" s="175" t="s">
        <v>523</v>
      </c>
    </row>
    <row r="82" spans="1:105" ht="11.45" customHeight="1" x14ac:dyDescent="0.25">
      <c r="A82" s="138" t="s">
        <v>116</v>
      </c>
      <c r="B82" s="86">
        <v>9987</v>
      </c>
      <c r="C82" s="86">
        <v>10708</v>
      </c>
      <c r="D82" s="86">
        <v>11265</v>
      </c>
      <c r="E82" s="86">
        <v>11514</v>
      </c>
      <c r="F82" s="86">
        <v>13614</v>
      </c>
      <c r="G82" s="86">
        <v>14094</v>
      </c>
      <c r="H82" s="86">
        <v>14710</v>
      </c>
      <c r="I82" s="86">
        <v>15131</v>
      </c>
      <c r="J82" s="86">
        <v>14212</v>
      </c>
      <c r="K82" s="86">
        <v>13433</v>
      </c>
      <c r="L82" s="86">
        <v>14286</v>
      </c>
      <c r="M82" s="86">
        <v>15131</v>
      </c>
      <c r="N82" s="86">
        <v>15083</v>
      </c>
      <c r="O82" s="86">
        <v>16695</v>
      </c>
      <c r="P82" s="86">
        <v>16803</v>
      </c>
      <c r="Q82" s="86">
        <v>18051</v>
      </c>
      <c r="R82" s="86">
        <v>17742</v>
      </c>
      <c r="S82" s="86">
        <v>17731</v>
      </c>
      <c r="T82" s="86">
        <v>16543</v>
      </c>
      <c r="U82" s="86">
        <v>17217</v>
      </c>
      <c r="V82" s="86">
        <v>19857</v>
      </c>
      <c r="W82" s="86">
        <v>21236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5001322</v>
      </c>
      <c r="C84" s="54">
        <f t="shared" si="146"/>
        <v>5053986</v>
      </c>
      <c r="D84" s="54">
        <f t="shared" ref="D84:V84" si="147">D85+D100</f>
        <v>5204710</v>
      </c>
      <c r="E84" s="54">
        <f t="shared" si="147"/>
        <v>5264915</v>
      </c>
      <c r="F84" s="54">
        <f t="shared" si="147"/>
        <v>5414493</v>
      </c>
      <c r="G84" s="54">
        <f t="shared" si="147"/>
        <v>5664133</v>
      </c>
      <c r="H84" s="54">
        <f t="shared" si="147"/>
        <v>5901511</v>
      </c>
      <c r="I84" s="54">
        <f t="shared" si="147"/>
        <v>6177883</v>
      </c>
      <c r="J84" s="54">
        <f t="shared" si="147"/>
        <v>6405079</v>
      </c>
      <c r="K84" s="54">
        <f t="shared" si="147"/>
        <v>6419393</v>
      </c>
      <c r="L84" s="54">
        <f t="shared" si="147"/>
        <v>6499060</v>
      </c>
      <c r="M84" s="54">
        <f t="shared" si="147"/>
        <v>6606121</v>
      </c>
      <c r="N84" s="54">
        <f t="shared" si="147"/>
        <v>6771732</v>
      </c>
      <c r="O84" s="54">
        <f t="shared" si="147"/>
        <v>6790944</v>
      </c>
      <c r="P84" s="54">
        <f t="shared" si="147"/>
        <v>6933541</v>
      </c>
      <c r="Q84" s="54">
        <f t="shared" si="147"/>
        <v>7311352</v>
      </c>
      <c r="R84" s="54">
        <f t="shared" si="147"/>
        <v>7461835</v>
      </c>
      <c r="S84" s="54">
        <f t="shared" si="147"/>
        <v>7736188</v>
      </c>
      <c r="T84" s="54">
        <f t="shared" si="147"/>
        <v>7988363</v>
      </c>
      <c r="U84" s="54">
        <f t="shared" si="147"/>
        <v>8204274</v>
      </c>
      <c r="V84" s="54">
        <f t="shared" si="147"/>
        <v>8350936</v>
      </c>
      <c r="W84" s="54">
        <f t="shared" ref="W84" si="148">W85+W100</f>
        <v>8406939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4711629</v>
      </c>
      <c r="C85" s="28">
        <f t="shared" si="149"/>
        <v>4747757</v>
      </c>
      <c r="D85" s="28">
        <f t="shared" ref="D85:V85" si="150">D86+D87+D94</f>
        <v>4873603</v>
      </c>
      <c r="E85" s="28">
        <f t="shared" si="150"/>
        <v>4917843</v>
      </c>
      <c r="F85" s="28">
        <f t="shared" si="150"/>
        <v>5033187</v>
      </c>
      <c r="G85" s="28">
        <f t="shared" si="150"/>
        <v>5234261</v>
      </c>
      <c r="H85" s="28">
        <f t="shared" si="150"/>
        <v>5422456</v>
      </c>
      <c r="I85" s="28">
        <f t="shared" si="150"/>
        <v>5637356</v>
      </c>
      <c r="J85" s="28">
        <f t="shared" si="150"/>
        <v>5815279</v>
      </c>
      <c r="K85" s="28">
        <f t="shared" si="150"/>
        <v>5831805</v>
      </c>
      <c r="L85" s="28">
        <f t="shared" si="150"/>
        <v>5918467</v>
      </c>
      <c r="M85" s="28">
        <f t="shared" si="150"/>
        <v>6027429</v>
      </c>
      <c r="N85" s="28">
        <f t="shared" si="150"/>
        <v>6184506</v>
      </c>
      <c r="O85" s="28">
        <f t="shared" si="150"/>
        <v>6206564</v>
      </c>
      <c r="P85" s="28">
        <f t="shared" si="150"/>
        <v>6331484</v>
      </c>
      <c r="Q85" s="28">
        <f t="shared" si="150"/>
        <v>6667676</v>
      </c>
      <c r="R85" s="28">
        <f t="shared" si="150"/>
        <v>6888609</v>
      </c>
      <c r="S85" s="28">
        <f t="shared" si="150"/>
        <v>7147013</v>
      </c>
      <c r="T85" s="28">
        <f t="shared" si="150"/>
        <v>7386716</v>
      </c>
      <c r="U85" s="28">
        <f t="shared" si="150"/>
        <v>7594352</v>
      </c>
      <c r="V85" s="28">
        <f t="shared" si="150"/>
        <v>7749533</v>
      </c>
      <c r="W85" s="28">
        <f t="shared" ref="W85" si="151">W86+W87+W94</f>
        <v>7810342</v>
      </c>
      <c r="DA85" s="173"/>
    </row>
    <row r="86" spans="1:105" ht="11.45" hidden="1" customHeight="1" x14ac:dyDescent="0.25">
      <c r="A86" s="136" t="s">
        <v>180</v>
      </c>
      <c r="B86" s="137">
        <v>1178600</v>
      </c>
      <c r="C86" s="137">
        <v>1193500</v>
      </c>
      <c r="D86" s="137">
        <v>1204000</v>
      </c>
      <c r="E86" s="137">
        <v>1190000</v>
      </c>
      <c r="F86" s="137">
        <v>1196000</v>
      </c>
      <c r="G86" s="137">
        <v>1254000</v>
      </c>
      <c r="H86" s="137">
        <v>1292000</v>
      </c>
      <c r="I86" s="137">
        <v>1336000</v>
      </c>
      <c r="J86" s="137">
        <v>1371000</v>
      </c>
      <c r="K86" s="137">
        <v>1376000</v>
      </c>
      <c r="L86" s="137">
        <v>1402000</v>
      </c>
      <c r="M86" s="137">
        <v>1425000</v>
      </c>
      <c r="N86" s="137">
        <v>1458000</v>
      </c>
      <c r="O86" s="137">
        <v>1457061</v>
      </c>
      <c r="P86" s="137">
        <v>1477587</v>
      </c>
      <c r="Q86" s="137">
        <v>1531693</v>
      </c>
      <c r="R86" s="137">
        <v>1559925</v>
      </c>
      <c r="S86" s="137">
        <v>1587349</v>
      </c>
      <c r="T86" s="137">
        <v>1616776</v>
      </c>
      <c r="U86" s="137">
        <v>1647151</v>
      </c>
      <c r="V86" s="137">
        <v>1680310</v>
      </c>
      <c r="W86" s="137">
        <v>1701057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3510800</v>
      </c>
      <c r="C87" s="110">
        <f t="shared" si="152"/>
        <v>3529800</v>
      </c>
      <c r="D87" s="110">
        <f t="shared" ref="D87:V87" si="153">SUM(D88:D93)</f>
        <v>3647100</v>
      </c>
      <c r="E87" s="110">
        <f t="shared" si="153"/>
        <v>3706012</v>
      </c>
      <c r="F87" s="110">
        <f t="shared" si="153"/>
        <v>3816000</v>
      </c>
      <c r="G87" s="110">
        <f t="shared" si="153"/>
        <v>3959000</v>
      </c>
      <c r="H87" s="110">
        <f t="shared" si="153"/>
        <v>4109000</v>
      </c>
      <c r="I87" s="110">
        <f t="shared" si="153"/>
        <v>4280000</v>
      </c>
      <c r="J87" s="110">
        <f t="shared" si="153"/>
        <v>4423000</v>
      </c>
      <c r="K87" s="110">
        <f t="shared" si="153"/>
        <v>4435000</v>
      </c>
      <c r="L87" s="110">
        <f t="shared" si="153"/>
        <v>4496000</v>
      </c>
      <c r="M87" s="110">
        <f t="shared" si="153"/>
        <v>4582000</v>
      </c>
      <c r="N87" s="110">
        <f t="shared" si="153"/>
        <v>4706000</v>
      </c>
      <c r="O87" s="110">
        <f t="shared" si="153"/>
        <v>4729185</v>
      </c>
      <c r="P87" s="110">
        <f t="shared" si="153"/>
        <v>4833386</v>
      </c>
      <c r="Q87" s="110">
        <f t="shared" si="153"/>
        <v>5115316</v>
      </c>
      <c r="R87" s="110">
        <f t="shared" si="153"/>
        <v>5307808</v>
      </c>
      <c r="S87" s="110">
        <f t="shared" si="153"/>
        <v>5538222</v>
      </c>
      <c r="T87" s="110">
        <f t="shared" si="153"/>
        <v>5747913</v>
      </c>
      <c r="U87" s="110">
        <f t="shared" si="153"/>
        <v>5924995</v>
      </c>
      <c r="V87" s="110">
        <f t="shared" si="153"/>
        <v>6049255</v>
      </c>
      <c r="W87" s="110">
        <f t="shared" ref="W87" si="154">SUM(W88:W93)</f>
        <v>6088730</v>
      </c>
      <c r="DA87" s="176"/>
    </row>
    <row r="88" spans="1:105" ht="11.45" hidden="1" customHeight="1" x14ac:dyDescent="0.25">
      <c r="A88" s="111" t="s">
        <v>110</v>
      </c>
      <c r="B88" s="84">
        <v>3054807</v>
      </c>
      <c r="C88" s="84">
        <v>3031646</v>
      </c>
      <c r="D88" s="84">
        <v>3075011</v>
      </c>
      <c r="E88" s="84">
        <v>3058125</v>
      </c>
      <c r="F88" s="84">
        <v>3092067</v>
      </c>
      <c r="G88" s="84">
        <v>3157440</v>
      </c>
      <c r="H88" s="84">
        <v>3211897</v>
      </c>
      <c r="I88" s="84">
        <v>3277840</v>
      </c>
      <c r="J88" s="84">
        <v>3314781</v>
      </c>
      <c r="K88" s="84">
        <v>3228837</v>
      </c>
      <c r="L88" s="84">
        <v>3188322</v>
      </c>
      <c r="M88" s="84">
        <v>3160685</v>
      </c>
      <c r="N88" s="84">
        <v>3104707</v>
      </c>
      <c r="O88" s="84">
        <v>3080888</v>
      </c>
      <c r="P88" s="84">
        <v>3066862</v>
      </c>
      <c r="Q88" s="84">
        <v>3172041</v>
      </c>
      <c r="R88" s="84">
        <v>3215580</v>
      </c>
      <c r="S88" s="84">
        <v>3305082</v>
      </c>
      <c r="T88" s="84">
        <v>3358336</v>
      </c>
      <c r="U88" s="84">
        <v>3436615</v>
      </c>
      <c r="V88" s="84">
        <v>3483356</v>
      </c>
      <c r="W88" s="84">
        <v>3494209</v>
      </c>
      <c r="DA88" s="171"/>
    </row>
    <row r="89" spans="1:105" ht="11.45" hidden="1" customHeight="1" x14ac:dyDescent="0.25">
      <c r="A89" s="111" t="s">
        <v>111</v>
      </c>
      <c r="B89" s="84">
        <v>383993</v>
      </c>
      <c r="C89" s="84">
        <v>423718</v>
      </c>
      <c r="D89" s="84">
        <v>492602</v>
      </c>
      <c r="E89" s="84">
        <v>563796</v>
      </c>
      <c r="F89" s="84">
        <v>631313</v>
      </c>
      <c r="G89" s="84">
        <v>701003</v>
      </c>
      <c r="H89" s="84">
        <v>783983</v>
      </c>
      <c r="I89" s="84">
        <v>875321</v>
      </c>
      <c r="J89" s="84">
        <v>979853</v>
      </c>
      <c r="K89" s="84">
        <v>1069164</v>
      </c>
      <c r="L89" s="84">
        <v>1170496</v>
      </c>
      <c r="M89" s="84">
        <v>1275366</v>
      </c>
      <c r="N89" s="84">
        <v>1431250</v>
      </c>
      <c r="O89" s="84">
        <v>1470155</v>
      </c>
      <c r="P89" s="84">
        <v>1567603</v>
      </c>
      <c r="Q89" s="84">
        <v>1741073</v>
      </c>
      <c r="R89" s="84">
        <v>1881944</v>
      </c>
      <c r="S89" s="84">
        <v>2024319</v>
      </c>
      <c r="T89" s="84">
        <v>2183788</v>
      </c>
      <c r="U89" s="84">
        <v>2286735</v>
      </c>
      <c r="V89" s="84">
        <v>2365981</v>
      </c>
      <c r="W89" s="84">
        <v>2394164</v>
      </c>
      <c r="DA89" s="171"/>
    </row>
    <row r="90" spans="1:105" ht="11.45" hidden="1" customHeight="1" x14ac:dyDescent="0.25">
      <c r="A90" s="111" t="s">
        <v>112</v>
      </c>
      <c r="B90" s="84">
        <v>72000</v>
      </c>
      <c r="C90" s="84">
        <v>74436</v>
      </c>
      <c r="D90" s="84">
        <v>79487</v>
      </c>
      <c r="E90" s="84">
        <v>84091</v>
      </c>
      <c r="F90" s="84">
        <v>92620</v>
      </c>
      <c r="G90" s="84">
        <v>100557</v>
      </c>
      <c r="H90" s="84">
        <v>113120</v>
      </c>
      <c r="I90" s="84">
        <v>126839</v>
      </c>
      <c r="J90" s="84">
        <v>127606</v>
      </c>
      <c r="K90" s="84">
        <v>135827</v>
      </c>
      <c r="L90" s="84">
        <v>135486</v>
      </c>
      <c r="M90" s="84">
        <v>143641</v>
      </c>
      <c r="N90" s="84">
        <v>166898</v>
      </c>
      <c r="O90" s="84">
        <v>173280</v>
      </c>
      <c r="P90" s="84">
        <v>192661</v>
      </c>
      <c r="Q90" s="84">
        <v>192685</v>
      </c>
      <c r="R90" s="84">
        <v>194612</v>
      </c>
      <c r="S90" s="84">
        <v>188774</v>
      </c>
      <c r="T90" s="84">
        <v>181223</v>
      </c>
      <c r="U90" s="84">
        <v>173974</v>
      </c>
      <c r="V90" s="84">
        <v>167015</v>
      </c>
      <c r="W90" s="84">
        <v>162440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760</v>
      </c>
      <c r="K91" s="84">
        <v>1172</v>
      </c>
      <c r="L91" s="84">
        <v>1690</v>
      </c>
      <c r="M91" s="84">
        <v>2246</v>
      </c>
      <c r="N91" s="84">
        <v>3054</v>
      </c>
      <c r="O91" s="84">
        <v>4598</v>
      </c>
      <c r="P91" s="84">
        <v>5764</v>
      </c>
      <c r="Q91" s="84">
        <v>8600</v>
      </c>
      <c r="R91" s="84">
        <v>13970</v>
      </c>
      <c r="S91" s="84">
        <v>17170</v>
      </c>
      <c r="T91" s="84">
        <v>20660</v>
      </c>
      <c r="U91" s="84">
        <v>22448</v>
      </c>
      <c r="V91" s="84">
        <v>23068</v>
      </c>
      <c r="W91" s="84">
        <v>22789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16</v>
      </c>
      <c r="O92" s="84">
        <v>27</v>
      </c>
      <c r="P92" s="84">
        <v>79</v>
      </c>
      <c r="Q92" s="84">
        <v>204</v>
      </c>
      <c r="R92" s="84">
        <v>340</v>
      </c>
      <c r="S92" s="84">
        <v>568</v>
      </c>
      <c r="T92" s="84">
        <v>859</v>
      </c>
      <c r="U92" s="84">
        <v>1326</v>
      </c>
      <c r="V92" s="84">
        <v>2726</v>
      </c>
      <c r="W92" s="84">
        <v>5159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6</v>
      </c>
      <c r="M93" s="84">
        <v>62</v>
      </c>
      <c r="N93" s="84">
        <v>75</v>
      </c>
      <c r="O93" s="84">
        <v>237</v>
      </c>
      <c r="P93" s="84">
        <v>417</v>
      </c>
      <c r="Q93" s="84">
        <v>713</v>
      </c>
      <c r="R93" s="84">
        <v>1362</v>
      </c>
      <c r="S93" s="84">
        <v>2309</v>
      </c>
      <c r="T93" s="84">
        <v>3047</v>
      </c>
      <c r="U93" s="84">
        <v>3897</v>
      </c>
      <c r="V93" s="84">
        <v>7109</v>
      </c>
      <c r="W93" s="84">
        <v>9969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22229</v>
      </c>
      <c r="C94" s="110">
        <f t="shared" si="155"/>
        <v>24457</v>
      </c>
      <c r="D94" s="110">
        <f t="shared" ref="D94:V94" si="156">SUM(D95:D99)</f>
        <v>22503</v>
      </c>
      <c r="E94" s="110">
        <f t="shared" si="156"/>
        <v>21831</v>
      </c>
      <c r="F94" s="110">
        <f t="shared" si="156"/>
        <v>21187</v>
      </c>
      <c r="G94" s="110">
        <f t="shared" si="156"/>
        <v>21261</v>
      </c>
      <c r="H94" s="110">
        <f t="shared" si="156"/>
        <v>21456</v>
      </c>
      <c r="I94" s="110">
        <f t="shared" si="156"/>
        <v>21356</v>
      </c>
      <c r="J94" s="110">
        <f t="shared" si="156"/>
        <v>21279</v>
      </c>
      <c r="K94" s="110">
        <f t="shared" si="156"/>
        <v>20805</v>
      </c>
      <c r="L94" s="110">
        <f t="shared" si="156"/>
        <v>20467</v>
      </c>
      <c r="M94" s="110">
        <f t="shared" si="156"/>
        <v>20429</v>
      </c>
      <c r="N94" s="110">
        <f t="shared" si="156"/>
        <v>20506</v>
      </c>
      <c r="O94" s="110">
        <f t="shared" si="156"/>
        <v>20318</v>
      </c>
      <c r="P94" s="110">
        <f t="shared" si="156"/>
        <v>20511</v>
      </c>
      <c r="Q94" s="110">
        <f t="shared" si="156"/>
        <v>20667</v>
      </c>
      <c r="R94" s="110">
        <f t="shared" si="156"/>
        <v>20876</v>
      </c>
      <c r="S94" s="110">
        <f t="shared" si="156"/>
        <v>21442</v>
      </c>
      <c r="T94" s="110">
        <f t="shared" si="156"/>
        <v>22027</v>
      </c>
      <c r="U94" s="110">
        <f t="shared" si="156"/>
        <v>22206</v>
      </c>
      <c r="V94" s="110">
        <f t="shared" si="156"/>
        <v>19968</v>
      </c>
      <c r="W94" s="110">
        <f t="shared" ref="W94" si="157">SUM(W95:W99)</f>
        <v>20555</v>
      </c>
      <c r="DA94" s="176"/>
    </row>
    <row r="95" spans="1:105" ht="11.45" hidden="1" customHeight="1" x14ac:dyDescent="0.25">
      <c r="A95" s="111" t="s">
        <v>110</v>
      </c>
      <c r="B95" s="102">
        <v>3246</v>
      </c>
      <c r="C95" s="102">
        <v>3246</v>
      </c>
      <c r="D95" s="102">
        <v>3243</v>
      </c>
      <c r="E95" s="102">
        <v>2849</v>
      </c>
      <c r="F95" s="102">
        <v>2634</v>
      </c>
      <c r="G95" s="102">
        <v>2493</v>
      </c>
      <c r="H95" s="102">
        <v>2408</v>
      </c>
      <c r="I95" s="102">
        <v>2350</v>
      </c>
      <c r="J95" s="102">
        <v>2215</v>
      </c>
      <c r="K95" s="102">
        <v>2028</v>
      </c>
      <c r="L95" s="102">
        <v>1979</v>
      </c>
      <c r="M95" s="102">
        <v>1950</v>
      </c>
      <c r="N95" s="102">
        <v>1868</v>
      </c>
      <c r="O95" s="102">
        <v>1846</v>
      </c>
      <c r="P95" s="102">
        <v>1811</v>
      </c>
      <c r="Q95" s="102">
        <v>1779</v>
      </c>
      <c r="R95" s="102">
        <v>1745</v>
      </c>
      <c r="S95" s="102">
        <v>1712</v>
      </c>
      <c r="T95" s="102">
        <v>1679</v>
      </c>
      <c r="U95" s="102">
        <v>1652</v>
      </c>
      <c r="V95" s="102">
        <v>1636</v>
      </c>
      <c r="W95" s="102">
        <v>1614</v>
      </c>
      <c r="DA95" s="175"/>
    </row>
    <row r="96" spans="1:105" ht="11.45" hidden="1" customHeight="1" x14ac:dyDescent="0.25">
      <c r="A96" s="111" t="s">
        <v>111</v>
      </c>
      <c r="B96" s="102">
        <v>17966</v>
      </c>
      <c r="C96" s="102">
        <v>20107</v>
      </c>
      <c r="D96" s="102">
        <v>18014</v>
      </c>
      <c r="E96" s="102">
        <v>17659</v>
      </c>
      <c r="F96" s="102">
        <v>17227</v>
      </c>
      <c r="G96" s="102">
        <v>17449</v>
      </c>
      <c r="H96" s="102">
        <v>17704</v>
      </c>
      <c r="I96" s="102">
        <v>17816</v>
      </c>
      <c r="J96" s="102">
        <v>17876</v>
      </c>
      <c r="K96" s="102">
        <v>17594</v>
      </c>
      <c r="L96" s="102">
        <v>17303</v>
      </c>
      <c r="M96" s="102">
        <v>17301</v>
      </c>
      <c r="N96" s="102">
        <v>17460</v>
      </c>
      <c r="O96" s="102">
        <v>17463</v>
      </c>
      <c r="P96" s="102">
        <v>18033</v>
      </c>
      <c r="Q96" s="102">
        <v>17945</v>
      </c>
      <c r="R96" s="102">
        <v>17989</v>
      </c>
      <c r="S96" s="102">
        <v>18490</v>
      </c>
      <c r="T96" s="102">
        <v>18996</v>
      </c>
      <c r="U96" s="102">
        <v>18860</v>
      </c>
      <c r="V96" s="102">
        <v>16415</v>
      </c>
      <c r="W96" s="102">
        <v>17020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7</v>
      </c>
      <c r="W97" s="102">
        <v>7</v>
      </c>
      <c r="DA97" s="175"/>
    </row>
    <row r="98" spans="1:105" ht="11.45" hidden="1" customHeight="1" x14ac:dyDescent="0.25">
      <c r="A98" s="111" t="s">
        <v>113</v>
      </c>
      <c r="B98" s="102">
        <v>290</v>
      </c>
      <c r="C98" s="102">
        <v>365</v>
      </c>
      <c r="D98" s="102">
        <v>520</v>
      </c>
      <c r="E98" s="102">
        <v>600</v>
      </c>
      <c r="F98" s="102">
        <v>600</v>
      </c>
      <c r="G98" s="102">
        <v>600</v>
      </c>
      <c r="H98" s="102">
        <v>600</v>
      </c>
      <c r="I98" s="102">
        <v>450</v>
      </c>
      <c r="J98" s="102">
        <v>450</v>
      </c>
      <c r="K98" s="102">
        <v>450</v>
      </c>
      <c r="L98" s="102">
        <v>450</v>
      </c>
      <c r="M98" s="102">
        <v>450</v>
      </c>
      <c r="N98" s="102">
        <v>450</v>
      </c>
      <c r="O98" s="102">
        <v>450</v>
      </c>
      <c r="P98" s="102">
        <v>518</v>
      </c>
      <c r="Q98" s="102">
        <v>820</v>
      </c>
      <c r="R98" s="102">
        <v>1020</v>
      </c>
      <c r="S98" s="102">
        <v>1120</v>
      </c>
      <c r="T98" s="102">
        <v>1234</v>
      </c>
      <c r="U98" s="102">
        <v>1594</v>
      </c>
      <c r="V98" s="102">
        <v>1803</v>
      </c>
      <c r="W98" s="102">
        <v>1806</v>
      </c>
      <c r="DA98" s="175"/>
    </row>
    <row r="99" spans="1:105" ht="11.45" hidden="1" customHeight="1" x14ac:dyDescent="0.25">
      <c r="A99" s="111" t="s">
        <v>115</v>
      </c>
      <c r="B99" s="102">
        <v>727</v>
      </c>
      <c r="C99" s="102">
        <v>739</v>
      </c>
      <c r="D99" s="102">
        <v>726</v>
      </c>
      <c r="E99" s="102">
        <v>723</v>
      </c>
      <c r="F99" s="102">
        <v>726</v>
      </c>
      <c r="G99" s="102">
        <v>719</v>
      </c>
      <c r="H99" s="102">
        <v>744</v>
      </c>
      <c r="I99" s="102">
        <v>740</v>
      </c>
      <c r="J99" s="102">
        <v>738</v>
      </c>
      <c r="K99" s="102">
        <v>733</v>
      </c>
      <c r="L99" s="102">
        <v>735</v>
      </c>
      <c r="M99" s="102">
        <v>728</v>
      </c>
      <c r="N99" s="102">
        <v>728</v>
      </c>
      <c r="O99" s="102">
        <v>559</v>
      </c>
      <c r="P99" s="102">
        <v>149</v>
      </c>
      <c r="Q99" s="102">
        <v>123</v>
      </c>
      <c r="R99" s="102">
        <v>122</v>
      </c>
      <c r="S99" s="102">
        <v>120</v>
      </c>
      <c r="T99" s="102">
        <v>118</v>
      </c>
      <c r="U99" s="102">
        <v>100</v>
      </c>
      <c r="V99" s="102">
        <v>107</v>
      </c>
      <c r="W99" s="102">
        <v>108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289693</v>
      </c>
      <c r="C100" s="28">
        <f t="shared" si="158"/>
        <v>306229</v>
      </c>
      <c r="D100" s="28">
        <f t="shared" ref="D100:V100" si="159">D101+D107</f>
        <v>331107</v>
      </c>
      <c r="E100" s="28">
        <f t="shared" si="159"/>
        <v>347072</v>
      </c>
      <c r="F100" s="28">
        <f t="shared" si="159"/>
        <v>381306</v>
      </c>
      <c r="G100" s="28">
        <f t="shared" si="159"/>
        <v>429872</v>
      </c>
      <c r="H100" s="28">
        <f t="shared" si="159"/>
        <v>479055</v>
      </c>
      <c r="I100" s="28">
        <f t="shared" si="159"/>
        <v>540527</v>
      </c>
      <c r="J100" s="28">
        <f t="shared" si="159"/>
        <v>589800</v>
      </c>
      <c r="K100" s="28">
        <f t="shared" si="159"/>
        <v>587588</v>
      </c>
      <c r="L100" s="28">
        <f t="shared" si="159"/>
        <v>580593</v>
      </c>
      <c r="M100" s="28">
        <f t="shared" si="159"/>
        <v>578692</v>
      </c>
      <c r="N100" s="28">
        <f t="shared" si="159"/>
        <v>587226</v>
      </c>
      <c r="O100" s="28">
        <f t="shared" si="159"/>
        <v>584380</v>
      </c>
      <c r="P100" s="28">
        <f t="shared" si="159"/>
        <v>602057</v>
      </c>
      <c r="Q100" s="28">
        <f t="shared" si="159"/>
        <v>643676</v>
      </c>
      <c r="R100" s="28">
        <f t="shared" si="159"/>
        <v>573226</v>
      </c>
      <c r="S100" s="28">
        <f t="shared" si="159"/>
        <v>589175</v>
      </c>
      <c r="T100" s="28">
        <f t="shared" si="159"/>
        <v>601647</v>
      </c>
      <c r="U100" s="28">
        <f t="shared" si="159"/>
        <v>609922</v>
      </c>
      <c r="V100" s="28">
        <f t="shared" si="159"/>
        <v>601403</v>
      </c>
      <c r="W100" s="28">
        <f t="shared" ref="W100" si="160">W101+W107</f>
        <v>596597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150508</v>
      </c>
      <c r="C101" s="137">
        <f t="shared" si="161"/>
        <v>165072</v>
      </c>
      <c r="D101" s="137">
        <f t="shared" ref="D101:V101" si="162">SUM(D102:D106)</f>
        <v>189826</v>
      </c>
      <c r="E101" s="137">
        <f t="shared" si="162"/>
        <v>216548</v>
      </c>
      <c r="F101" s="137">
        <f t="shared" si="162"/>
        <v>251868</v>
      </c>
      <c r="G101" s="137">
        <f t="shared" si="162"/>
        <v>300311</v>
      </c>
      <c r="H101" s="137">
        <f t="shared" si="162"/>
        <v>351066</v>
      </c>
      <c r="I101" s="137">
        <f t="shared" si="162"/>
        <v>407210</v>
      </c>
      <c r="J101" s="137">
        <f t="shared" si="162"/>
        <v>461888</v>
      </c>
      <c r="K101" s="137">
        <f t="shared" si="162"/>
        <v>466375</v>
      </c>
      <c r="L101" s="137">
        <f t="shared" si="162"/>
        <v>466637</v>
      </c>
      <c r="M101" s="137">
        <f t="shared" si="162"/>
        <v>467582</v>
      </c>
      <c r="N101" s="137">
        <f t="shared" si="162"/>
        <v>467672</v>
      </c>
      <c r="O101" s="137">
        <f t="shared" si="162"/>
        <v>466056</v>
      </c>
      <c r="P101" s="137">
        <f t="shared" si="162"/>
        <v>479183</v>
      </c>
      <c r="Q101" s="137">
        <f t="shared" si="162"/>
        <v>510344</v>
      </c>
      <c r="R101" s="137">
        <f t="shared" si="162"/>
        <v>429780</v>
      </c>
      <c r="S101" s="137">
        <f t="shared" si="162"/>
        <v>436241</v>
      </c>
      <c r="T101" s="137">
        <f t="shared" si="162"/>
        <v>441303</v>
      </c>
      <c r="U101" s="137">
        <f t="shared" si="162"/>
        <v>444203</v>
      </c>
      <c r="V101" s="137">
        <f t="shared" si="162"/>
        <v>446122</v>
      </c>
      <c r="W101" s="137">
        <f t="shared" ref="W101" si="163">SUM(W102:W106)</f>
        <v>443860</v>
      </c>
      <c r="DA101" s="174"/>
    </row>
    <row r="102" spans="1:105" ht="11.45" hidden="1" customHeight="1" x14ac:dyDescent="0.25">
      <c r="A102" s="111" t="s">
        <v>110</v>
      </c>
      <c r="B102" s="84">
        <v>48601</v>
      </c>
      <c r="C102" s="84">
        <v>52981</v>
      </c>
      <c r="D102" s="84">
        <v>59840</v>
      </c>
      <c r="E102" s="84">
        <v>59929</v>
      </c>
      <c r="F102" s="84">
        <v>62683</v>
      </c>
      <c r="G102" s="84">
        <v>69268</v>
      </c>
      <c r="H102" s="84">
        <v>81299</v>
      </c>
      <c r="I102" s="84">
        <v>93383</v>
      </c>
      <c r="J102" s="84">
        <v>103323</v>
      </c>
      <c r="K102" s="84">
        <v>100721</v>
      </c>
      <c r="L102" s="84">
        <v>97721</v>
      </c>
      <c r="M102" s="84">
        <v>94802</v>
      </c>
      <c r="N102" s="84">
        <v>91508</v>
      </c>
      <c r="O102" s="84">
        <v>91040</v>
      </c>
      <c r="P102" s="84">
        <v>93201</v>
      </c>
      <c r="Q102" s="84">
        <v>98766</v>
      </c>
      <c r="R102" s="84">
        <v>99303</v>
      </c>
      <c r="S102" s="84">
        <v>100047</v>
      </c>
      <c r="T102" s="84">
        <v>100626</v>
      </c>
      <c r="U102" s="84">
        <v>100959</v>
      </c>
      <c r="V102" s="84">
        <v>101177</v>
      </c>
      <c r="W102" s="84">
        <v>100930</v>
      </c>
      <c r="DA102" s="171"/>
    </row>
    <row r="103" spans="1:105" ht="11.45" hidden="1" customHeight="1" x14ac:dyDescent="0.25">
      <c r="A103" s="111" t="s">
        <v>111</v>
      </c>
      <c r="B103" s="84">
        <v>94907</v>
      </c>
      <c r="C103" s="84">
        <v>105252</v>
      </c>
      <c r="D103" s="84">
        <v>123026</v>
      </c>
      <c r="E103" s="84">
        <v>149534</v>
      </c>
      <c r="F103" s="84">
        <v>181748</v>
      </c>
      <c r="G103" s="84">
        <v>223361</v>
      </c>
      <c r="H103" s="84">
        <v>261550</v>
      </c>
      <c r="I103" s="84">
        <v>304984</v>
      </c>
      <c r="J103" s="84">
        <v>349988</v>
      </c>
      <c r="K103" s="84">
        <v>356833</v>
      </c>
      <c r="L103" s="84">
        <v>360450</v>
      </c>
      <c r="M103" s="84">
        <v>364191</v>
      </c>
      <c r="N103" s="84">
        <v>366145</v>
      </c>
      <c r="O103" s="84">
        <v>364272</v>
      </c>
      <c r="P103" s="84">
        <v>372918</v>
      </c>
      <c r="Q103" s="84">
        <v>395186</v>
      </c>
      <c r="R103" s="84">
        <v>310661</v>
      </c>
      <c r="S103" s="84">
        <v>313715</v>
      </c>
      <c r="T103" s="84">
        <v>315831</v>
      </c>
      <c r="U103" s="84">
        <v>316947</v>
      </c>
      <c r="V103" s="84">
        <v>317608</v>
      </c>
      <c r="W103" s="84">
        <v>315143</v>
      </c>
      <c r="DA103" s="171"/>
    </row>
    <row r="104" spans="1:105" ht="11.45" hidden="1" customHeight="1" x14ac:dyDescent="0.25">
      <c r="A104" s="111" t="s">
        <v>112</v>
      </c>
      <c r="B104" s="84">
        <v>7000</v>
      </c>
      <c r="C104" s="84">
        <v>6839</v>
      </c>
      <c r="D104" s="84">
        <v>6960</v>
      </c>
      <c r="E104" s="84">
        <v>7085</v>
      </c>
      <c r="F104" s="84">
        <v>7437</v>
      </c>
      <c r="G104" s="84">
        <v>7682</v>
      </c>
      <c r="H104" s="84">
        <v>8217</v>
      </c>
      <c r="I104" s="84">
        <v>8843</v>
      </c>
      <c r="J104" s="84">
        <v>8538</v>
      </c>
      <c r="K104" s="84">
        <v>8780</v>
      </c>
      <c r="L104" s="84">
        <v>8421</v>
      </c>
      <c r="M104" s="84">
        <v>8540</v>
      </c>
      <c r="N104" s="84">
        <v>9506</v>
      </c>
      <c r="O104" s="84">
        <v>9870</v>
      </c>
      <c r="P104" s="84">
        <v>10974</v>
      </c>
      <c r="Q104" s="84">
        <v>10975</v>
      </c>
      <c r="R104" s="84">
        <v>11625</v>
      </c>
      <c r="S104" s="84">
        <v>11375</v>
      </c>
      <c r="T104" s="84">
        <v>11225</v>
      </c>
      <c r="U104" s="84">
        <v>10225</v>
      </c>
      <c r="V104" s="84">
        <v>9225</v>
      </c>
      <c r="W104" s="84">
        <v>8225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443</v>
      </c>
      <c r="O105" s="84">
        <v>792</v>
      </c>
      <c r="P105" s="84">
        <v>1997</v>
      </c>
      <c r="Q105" s="84">
        <v>5308</v>
      </c>
      <c r="R105" s="84">
        <v>8062</v>
      </c>
      <c r="S105" s="84">
        <v>10948</v>
      </c>
      <c r="T105" s="84">
        <v>13406</v>
      </c>
      <c r="U105" s="84">
        <v>15729</v>
      </c>
      <c r="V105" s="84">
        <v>17651</v>
      </c>
      <c r="W105" s="84">
        <v>18818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39</v>
      </c>
      <c r="K106" s="84">
        <v>41</v>
      </c>
      <c r="L106" s="84">
        <v>45</v>
      </c>
      <c r="M106" s="84">
        <v>49</v>
      </c>
      <c r="N106" s="84">
        <v>70</v>
      </c>
      <c r="O106" s="84">
        <v>82</v>
      </c>
      <c r="P106" s="84">
        <v>93</v>
      </c>
      <c r="Q106" s="84">
        <v>109</v>
      </c>
      <c r="R106" s="84">
        <v>129</v>
      </c>
      <c r="S106" s="84">
        <v>156</v>
      </c>
      <c r="T106" s="84">
        <v>215</v>
      </c>
      <c r="U106" s="84">
        <v>343</v>
      </c>
      <c r="V106" s="84">
        <v>461</v>
      </c>
      <c r="W106" s="84">
        <v>744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139185</v>
      </c>
      <c r="C107" s="110">
        <f t="shared" si="164"/>
        <v>141157</v>
      </c>
      <c r="D107" s="110">
        <f t="shared" ref="D107:V107" si="165">SUM(D108:D109)</f>
        <v>141281</v>
      </c>
      <c r="E107" s="110">
        <f t="shared" si="165"/>
        <v>130524</v>
      </c>
      <c r="F107" s="110">
        <f t="shared" si="165"/>
        <v>129438</v>
      </c>
      <c r="G107" s="110">
        <f t="shared" si="165"/>
        <v>129561</v>
      </c>
      <c r="H107" s="110">
        <f t="shared" si="165"/>
        <v>127989</v>
      </c>
      <c r="I107" s="110">
        <f t="shared" si="165"/>
        <v>133317</v>
      </c>
      <c r="J107" s="110">
        <f t="shared" si="165"/>
        <v>127912</v>
      </c>
      <c r="K107" s="110">
        <f t="shared" si="165"/>
        <v>121213</v>
      </c>
      <c r="L107" s="110">
        <f t="shared" si="165"/>
        <v>113956</v>
      </c>
      <c r="M107" s="110">
        <f t="shared" si="165"/>
        <v>111110</v>
      </c>
      <c r="N107" s="110">
        <f t="shared" si="165"/>
        <v>119554</v>
      </c>
      <c r="O107" s="110">
        <f t="shared" si="165"/>
        <v>118324</v>
      </c>
      <c r="P107" s="110">
        <f t="shared" si="165"/>
        <v>122874</v>
      </c>
      <c r="Q107" s="110">
        <f t="shared" si="165"/>
        <v>133332</v>
      </c>
      <c r="R107" s="110">
        <f t="shared" si="165"/>
        <v>143446</v>
      </c>
      <c r="S107" s="110">
        <f t="shared" si="165"/>
        <v>152934</v>
      </c>
      <c r="T107" s="110">
        <f t="shared" si="165"/>
        <v>160344</v>
      </c>
      <c r="U107" s="110">
        <f t="shared" si="165"/>
        <v>165719</v>
      </c>
      <c r="V107" s="110">
        <f t="shared" si="165"/>
        <v>155281</v>
      </c>
      <c r="W107" s="110">
        <f t="shared" ref="W107" si="166">SUM(W108:W109)</f>
        <v>152737</v>
      </c>
      <c r="DA107" s="176"/>
    </row>
    <row r="108" spans="1:105" ht="11.45" hidden="1" customHeight="1" x14ac:dyDescent="0.25">
      <c r="A108" s="128" t="s">
        <v>27</v>
      </c>
      <c r="B108" s="102">
        <v>129198</v>
      </c>
      <c r="C108" s="102">
        <v>130449</v>
      </c>
      <c r="D108" s="102">
        <v>130016</v>
      </c>
      <c r="E108" s="102">
        <v>119010</v>
      </c>
      <c r="F108" s="102">
        <v>115824</v>
      </c>
      <c r="G108" s="102">
        <v>115467</v>
      </c>
      <c r="H108" s="102">
        <v>113279</v>
      </c>
      <c r="I108" s="102">
        <v>118186</v>
      </c>
      <c r="J108" s="102">
        <v>113700</v>
      </c>
      <c r="K108" s="102">
        <v>107780</v>
      </c>
      <c r="L108" s="102">
        <v>99670</v>
      </c>
      <c r="M108" s="102">
        <v>95979</v>
      </c>
      <c r="N108" s="102">
        <v>104471</v>
      </c>
      <c r="O108" s="102">
        <v>101629</v>
      </c>
      <c r="P108" s="102">
        <v>106071</v>
      </c>
      <c r="Q108" s="102">
        <v>115281</v>
      </c>
      <c r="R108" s="102">
        <v>125704</v>
      </c>
      <c r="S108" s="102">
        <v>135203</v>
      </c>
      <c r="T108" s="102">
        <v>143801</v>
      </c>
      <c r="U108" s="102">
        <v>148502</v>
      </c>
      <c r="V108" s="102">
        <v>135424</v>
      </c>
      <c r="W108" s="102">
        <v>131501</v>
      </c>
      <c r="DA108" s="175"/>
    </row>
    <row r="109" spans="1:105" ht="11.45" hidden="1" customHeight="1" x14ac:dyDescent="0.25">
      <c r="A109" s="138" t="s">
        <v>116</v>
      </c>
      <c r="B109" s="86">
        <v>9987</v>
      </c>
      <c r="C109" s="86">
        <v>10708</v>
      </c>
      <c r="D109" s="86">
        <v>11265</v>
      </c>
      <c r="E109" s="86">
        <v>11514</v>
      </c>
      <c r="F109" s="86">
        <v>13614</v>
      </c>
      <c r="G109" s="86">
        <v>14094</v>
      </c>
      <c r="H109" s="86">
        <v>14710</v>
      </c>
      <c r="I109" s="86">
        <v>15131</v>
      </c>
      <c r="J109" s="86">
        <v>14212</v>
      </c>
      <c r="K109" s="86">
        <v>13433</v>
      </c>
      <c r="L109" s="86">
        <v>14286</v>
      </c>
      <c r="M109" s="86">
        <v>15131</v>
      </c>
      <c r="N109" s="86">
        <v>15083</v>
      </c>
      <c r="O109" s="86">
        <v>16695</v>
      </c>
      <c r="P109" s="86">
        <v>16803</v>
      </c>
      <c r="Q109" s="86">
        <v>18051</v>
      </c>
      <c r="R109" s="86">
        <v>17742</v>
      </c>
      <c r="S109" s="86">
        <v>17731</v>
      </c>
      <c r="T109" s="86">
        <v>16543</v>
      </c>
      <c r="U109" s="86">
        <v>17217</v>
      </c>
      <c r="V109" s="86">
        <v>19857</v>
      </c>
      <c r="W109" s="86">
        <v>21236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281327</v>
      </c>
      <c r="C111" s="54">
        <f t="shared" si="167"/>
        <v>323227</v>
      </c>
      <c r="D111" s="54">
        <f t="shared" si="167"/>
        <v>377016</v>
      </c>
      <c r="E111" s="54">
        <f t="shared" si="167"/>
        <v>314773</v>
      </c>
      <c r="F111" s="54">
        <f t="shared" si="167"/>
        <v>372489</v>
      </c>
      <c r="G111" s="54">
        <f t="shared" si="167"/>
        <v>519814</v>
      </c>
      <c r="H111" s="54">
        <f t="shared" si="167"/>
        <v>517428</v>
      </c>
      <c r="I111" s="54">
        <f t="shared" si="167"/>
        <v>576583</v>
      </c>
      <c r="J111" s="54">
        <f t="shared" si="167"/>
        <v>516925</v>
      </c>
      <c r="K111" s="54">
        <f t="shared" si="167"/>
        <v>354610</v>
      </c>
      <c r="L111" s="54">
        <f t="shared" ref="L111" si="168">L112+L127</f>
        <v>389601</v>
      </c>
      <c r="M111" s="54">
        <f t="shared" ref="M111:V111" si="169">M112+M127</f>
        <v>398034</v>
      </c>
      <c r="N111" s="54">
        <f t="shared" si="169"/>
        <v>439487</v>
      </c>
      <c r="O111" s="54">
        <f t="shared" si="169"/>
        <v>344649</v>
      </c>
      <c r="P111" s="54">
        <f t="shared" si="169"/>
        <v>428596</v>
      </c>
      <c r="Q111" s="54">
        <f t="shared" si="169"/>
        <v>777852</v>
      </c>
      <c r="R111" s="54">
        <f t="shared" si="169"/>
        <v>574618</v>
      </c>
      <c r="S111" s="54">
        <f t="shared" si="169"/>
        <v>649008</v>
      </c>
      <c r="T111" s="54">
        <f t="shared" si="169"/>
        <v>624075</v>
      </c>
      <c r="U111" s="54">
        <f t="shared" si="169"/>
        <v>572388</v>
      </c>
      <c r="V111" s="54">
        <f t="shared" si="169"/>
        <v>483470</v>
      </c>
      <c r="W111" s="54">
        <f t="shared" ref="W111" si="170">W112+W127</f>
        <v>471489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249511</v>
      </c>
      <c r="C112" s="28">
        <f t="shared" si="171"/>
        <v>294641</v>
      </c>
      <c r="D112" s="28">
        <f t="shared" si="171"/>
        <v>335571</v>
      </c>
      <c r="E112" s="28">
        <f t="shared" si="171"/>
        <v>276748</v>
      </c>
      <c r="F112" s="28">
        <f t="shared" si="171"/>
        <v>321770</v>
      </c>
      <c r="G112" s="28">
        <f t="shared" si="171"/>
        <v>451304</v>
      </c>
      <c r="H112" s="28">
        <f t="shared" si="171"/>
        <v>441862</v>
      </c>
      <c r="I112" s="28">
        <f t="shared" si="171"/>
        <v>492164</v>
      </c>
      <c r="J112" s="28">
        <f t="shared" si="171"/>
        <v>436674</v>
      </c>
      <c r="K112" s="28">
        <f t="shared" si="171"/>
        <v>328120</v>
      </c>
      <c r="L112" s="28">
        <f t="shared" ref="L112" si="172">L113+L114+L121</f>
        <v>358890</v>
      </c>
      <c r="M112" s="28">
        <f t="shared" ref="M112:V112" si="173">M113+M114+M121</f>
        <v>362580</v>
      </c>
      <c r="N112" s="28">
        <f t="shared" si="173"/>
        <v>410501</v>
      </c>
      <c r="O112" s="28">
        <f t="shared" si="173"/>
        <v>317224</v>
      </c>
      <c r="P112" s="28">
        <f t="shared" si="173"/>
        <v>393823</v>
      </c>
      <c r="Q112" s="28">
        <f t="shared" si="173"/>
        <v>721895</v>
      </c>
      <c r="R112" s="28">
        <f t="shared" si="173"/>
        <v>539590</v>
      </c>
      <c r="S112" s="28">
        <f t="shared" si="173"/>
        <v>610673</v>
      </c>
      <c r="T112" s="28">
        <f t="shared" si="173"/>
        <v>583561</v>
      </c>
      <c r="U112" s="28">
        <f t="shared" si="173"/>
        <v>533291</v>
      </c>
      <c r="V112" s="28">
        <f t="shared" si="173"/>
        <v>447123</v>
      </c>
      <c r="W112" s="28">
        <f t="shared" ref="W112" si="174">W113+W114+W121</f>
        <v>436945</v>
      </c>
      <c r="DA112" s="173" t="s">
        <v>526</v>
      </c>
    </row>
    <row r="113" spans="1:105" ht="11.45" customHeight="1" x14ac:dyDescent="0.25">
      <c r="A113" s="136" t="s">
        <v>180</v>
      </c>
      <c r="B113" s="137">
        <v>5063</v>
      </c>
      <c r="C113" s="137">
        <v>42678</v>
      </c>
      <c r="D113" s="137">
        <v>37207</v>
      </c>
      <c r="E113" s="137">
        <v>7806</v>
      </c>
      <c r="F113" s="137">
        <v>31244</v>
      </c>
      <c r="G113" s="137">
        <v>99481</v>
      </c>
      <c r="H113" s="137">
        <v>74421</v>
      </c>
      <c r="I113" s="137">
        <v>83028</v>
      </c>
      <c r="J113" s="137">
        <v>72102</v>
      </c>
      <c r="K113" s="137">
        <v>33490</v>
      </c>
      <c r="L113" s="137">
        <v>61098</v>
      </c>
      <c r="M113" s="137">
        <v>57679</v>
      </c>
      <c r="N113" s="137">
        <v>71231</v>
      </c>
      <c r="O113" s="137">
        <v>27420</v>
      </c>
      <c r="P113" s="137">
        <v>55520</v>
      </c>
      <c r="Q113" s="137">
        <v>99914</v>
      </c>
      <c r="R113" s="137">
        <v>67081</v>
      </c>
      <c r="S113" s="137">
        <v>66578</v>
      </c>
      <c r="T113" s="137">
        <v>69740</v>
      </c>
      <c r="U113" s="137">
        <v>71050</v>
      </c>
      <c r="V113" s="137">
        <v>72480</v>
      </c>
      <c r="W113" s="137">
        <v>73375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244149</v>
      </c>
      <c r="C114" s="110">
        <f t="shared" si="175"/>
        <v>249382</v>
      </c>
      <c r="D114" s="110">
        <f t="shared" si="175"/>
        <v>297890</v>
      </c>
      <c r="E114" s="110">
        <f t="shared" si="175"/>
        <v>267717</v>
      </c>
      <c r="F114" s="110">
        <f t="shared" si="175"/>
        <v>288969</v>
      </c>
      <c r="G114" s="110">
        <f t="shared" si="175"/>
        <v>350690</v>
      </c>
      <c r="H114" s="110">
        <f t="shared" si="175"/>
        <v>366245</v>
      </c>
      <c r="I114" s="110">
        <f t="shared" si="175"/>
        <v>407925</v>
      </c>
      <c r="J114" s="110">
        <f t="shared" si="175"/>
        <v>363108</v>
      </c>
      <c r="K114" s="110">
        <f t="shared" si="175"/>
        <v>293489</v>
      </c>
      <c r="L114" s="110">
        <f t="shared" ref="L114" si="176">SUM(L115:L120)</f>
        <v>296765</v>
      </c>
      <c r="M114" s="110">
        <f t="shared" ref="M114:V114" si="177">SUM(M115:M120)</f>
        <v>303791</v>
      </c>
      <c r="N114" s="110">
        <f t="shared" si="177"/>
        <v>337895</v>
      </c>
      <c r="O114" s="110">
        <f t="shared" si="177"/>
        <v>288306</v>
      </c>
      <c r="P114" s="110">
        <f t="shared" si="177"/>
        <v>336550</v>
      </c>
      <c r="Q114" s="110">
        <f t="shared" si="177"/>
        <v>620254</v>
      </c>
      <c r="R114" s="110">
        <f t="shared" si="177"/>
        <v>471139</v>
      </c>
      <c r="S114" s="110">
        <f t="shared" si="177"/>
        <v>542166</v>
      </c>
      <c r="T114" s="110">
        <f t="shared" si="177"/>
        <v>512873</v>
      </c>
      <c r="U114" s="110">
        <f t="shared" si="177"/>
        <v>460626</v>
      </c>
      <c r="V114" s="110">
        <f t="shared" si="177"/>
        <v>372986</v>
      </c>
      <c r="W114" s="110">
        <f t="shared" ref="W114" si="178">SUM(W115:W120)</f>
        <v>362033</v>
      </c>
      <c r="DA114" s="176" t="s">
        <v>528</v>
      </c>
    </row>
    <row r="115" spans="1:105" ht="11.45" customHeight="1" x14ac:dyDescent="0.25">
      <c r="A115" s="111" t="s">
        <v>110</v>
      </c>
      <c r="B115" s="84">
        <v>135901</v>
      </c>
      <c r="C115" s="84">
        <v>139875</v>
      </c>
      <c r="D115" s="84">
        <v>166721</v>
      </c>
      <c r="E115" s="84">
        <v>149337</v>
      </c>
      <c r="F115" s="84">
        <v>157664</v>
      </c>
      <c r="G115" s="84">
        <v>194260</v>
      </c>
      <c r="H115" s="84">
        <v>198589</v>
      </c>
      <c r="I115" s="84">
        <v>221748</v>
      </c>
      <c r="J115" s="84">
        <v>207374</v>
      </c>
      <c r="K115" s="84">
        <v>159029</v>
      </c>
      <c r="L115" s="84">
        <v>169155</v>
      </c>
      <c r="M115" s="84">
        <v>164478</v>
      </c>
      <c r="N115" s="84">
        <v>151397</v>
      </c>
      <c r="O115" s="84">
        <v>125517</v>
      </c>
      <c r="P115" s="84">
        <v>170894</v>
      </c>
      <c r="Q115" s="84">
        <v>356535</v>
      </c>
      <c r="R115" s="84">
        <v>265865</v>
      </c>
      <c r="S115" s="84">
        <v>316882</v>
      </c>
      <c r="T115" s="84">
        <v>299941</v>
      </c>
      <c r="U115" s="84">
        <v>270618</v>
      </c>
      <c r="V115" s="84">
        <v>214236</v>
      </c>
      <c r="W115" s="84">
        <v>204725</v>
      </c>
      <c r="DA115" s="171" t="s">
        <v>529</v>
      </c>
    </row>
    <row r="116" spans="1:105" ht="11.45" customHeight="1" x14ac:dyDescent="0.25">
      <c r="A116" s="111" t="s">
        <v>111</v>
      </c>
      <c r="B116" s="84">
        <v>101391</v>
      </c>
      <c r="C116" s="84">
        <v>103739</v>
      </c>
      <c r="D116" s="84">
        <v>123726</v>
      </c>
      <c r="E116" s="84">
        <v>111023</v>
      </c>
      <c r="F116" s="84">
        <v>119651</v>
      </c>
      <c r="G116" s="84">
        <v>144984</v>
      </c>
      <c r="H116" s="84">
        <v>151182</v>
      </c>
      <c r="I116" s="84">
        <v>168127</v>
      </c>
      <c r="J116" s="84">
        <v>149425</v>
      </c>
      <c r="K116" s="84">
        <v>120590</v>
      </c>
      <c r="L116" s="84">
        <v>121748</v>
      </c>
      <c r="M116" s="84">
        <v>124438</v>
      </c>
      <c r="N116" s="84">
        <v>155884</v>
      </c>
      <c r="O116" s="84">
        <v>147734</v>
      </c>
      <c r="P116" s="84">
        <v>137232</v>
      </c>
      <c r="Q116" s="84">
        <v>252510</v>
      </c>
      <c r="R116" s="84">
        <v>191506</v>
      </c>
      <c r="S116" s="84">
        <v>220040</v>
      </c>
      <c r="T116" s="84">
        <v>207828</v>
      </c>
      <c r="U116" s="84">
        <v>186372</v>
      </c>
      <c r="V116" s="84">
        <v>150799</v>
      </c>
      <c r="W116" s="84">
        <v>147260</v>
      </c>
      <c r="DA116" s="171" t="s">
        <v>530</v>
      </c>
    </row>
    <row r="117" spans="1:105" ht="11.45" customHeight="1" x14ac:dyDescent="0.25">
      <c r="A117" s="111" t="s">
        <v>112</v>
      </c>
      <c r="B117" s="84">
        <v>6857</v>
      </c>
      <c r="C117" s="84">
        <v>5768</v>
      </c>
      <c r="D117" s="84">
        <v>7443</v>
      </c>
      <c r="E117" s="84">
        <v>7357</v>
      </c>
      <c r="F117" s="84">
        <v>11654</v>
      </c>
      <c r="G117" s="84">
        <v>11446</v>
      </c>
      <c r="H117" s="84">
        <v>16474</v>
      </c>
      <c r="I117" s="84">
        <v>18050</v>
      </c>
      <c r="J117" s="84">
        <v>5549</v>
      </c>
      <c r="K117" s="84">
        <v>13457</v>
      </c>
      <c r="L117" s="84">
        <v>5337</v>
      </c>
      <c r="M117" s="84">
        <v>14260</v>
      </c>
      <c r="N117" s="84">
        <v>29769</v>
      </c>
      <c r="O117" s="84">
        <v>13330</v>
      </c>
      <c r="P117" s="84">
        <v>26790</v>
      </c>
      <c r="Q117" s="84">
        <v>7918</v>
      </c>
      <c r="R117" s="84">
        <v>7586</v>
      </c>
      <c r="S117" s="84">
        <v>814</v>
      </c>
      <c r="T117" s="84">
        <v>524</v>
      </c>
      <c r="U117" s="84">
        <v>406</v>
      </c>
      <c r="V117" s="84">
        <v>1279</v>
      </c>
      <c r="W117" s="84">
        <v>2257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760</v>
      </c>
      <c r="K118" s="84">
        <v>413</v>
      </c>
      <c r="L118" s="84">
        <v>519</v>
      </c>
      <c r="M118" s="84">
        <v>559</v>
      </c>
      <c r="N118" s="84">
        <v>813</v>
      </c>
      <c r="O118" s="84">
        <v>1552</v>
      </c>
      <c r="P118" s="84">
        <v>1402</v>
      </c>
      <c r="Q118" s="84">
        <v>2854</v>
      </c>
      <c r="R118" s="84">
        <v>5396</v>
      </c>
      <c r="S118" s="84">
        <v>3239</v>
      </c>
      <c r="T118" s="84">
        <v>3546</v>
      </c>
      <c r="U118" s="84">
        <v>1865</v>
      </c>
      <c r="V118" s="84">
        <v>1317</v>
      </c>
      <c r="W118" s="84">
        <v>840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16</v>
      </c>
      <c r="O119" s="84">
        <v>11</v>
      </c>
      <c r="P119" s="84">
        <v>52</v>
      </c>
      <c r="Q119" s="84">
        <v>141</v>
      </c>
      <c r="R119" s="84">
        <v>136</v>
      </c>
      <c r="S119" s="84">
        <v>241</v>
      </c>
      <c r="T119" s="84">
        <v>292</v>
      </c>
      <c r="U119" s="84">
        <v>508</v>
      </c>
      <c r="V119" s="84">
        <v>2091</v>
      </c>
      <c r="W119" s="84">
        <v>3779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6</v>
      </c>
      <c r="M120" s="84">
        <v>56</v>
      </c>
      <c r="N120" s="84">
        <v>16</v>
      </c>
      <c r="O120" s="84">
        <v>162</v>
      </c>
      <c r="P120" s="84">
        <v>180</v>
      </c>
      <c r="Q120" s="84">
        <v>296</v>
      </c>
      <c r="R120" s="84">
        <v>650</v>
      </c>
      <c r="S120" s="84">
        <v>950</v>
      </c>
      <c r="T120" s="84">
        <v>742</v>
      </c>
      <c r="U120" s="84">
        <v>857</v>
      </c>
      <c r="V120" s="84">
        <v>3264</v>
      </c>
      <c r="W120" s="84">
        <v>3172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299</v>
      </c>
      <c r="C121" s="110">
        <f t="shared" si="179"/>
        <v>2581</v>
      </c>
      <c r="D121" s="110">
        <f t="shared" si="179"/>
        <v>474</v>
      </c>
      <c r="E121" s="110">
        <f t="shared" si="179"/>
        <v>1225</v>
      </c>
      <c r="F121" s="110">
        <f t="shared" si="179"/>
        <v>1557</v>
      </c>
      <c r="G121" s="110">
        <f t="shared" si="179"/>
        <v>1133</v>
      </c>
      <c r="H121" s="110">
        <f t="shared" si="179"/>
        <v>1196</v>
      </c>
      <c r="I121" s="110">
        <f t="shared" si="179"/>
        <v>1211</v>
      </c>
      <c r="J121" s="110">
        <f t="shared" si="179"/>
        <v>1464</v>
      </c>
      <c r="K121" s="110">
        <f t="shared" si="179"/>
        <v>1141</v>
      </c>
      <c r="L121" s="110">
        <f t="shared" ref="L121" si="180">SUM(L122:L126)</f>
        <v>1027</v>
      </c>
      <c r="M121" s="110">
        <f t="shared" ref="M121:V121" si="181">SUM(M122:M126)</f>
        <v>1110</v>
      </c>
      <c r="N121" s="110">
        <f t="shared" si="181"/>
        <v>1375</v>
      </c>
      <c r="O121" s="110">
        <f t="shared" si="181"/>
        <v>1498</v>
      </c>
      <c r="P121" s="110">
        <f t="shared" si="181"/>
        <v>1753</v>
      </c>
      <c r="Q121" s="110">
        <f t="shared" si="181"/>
        <v>1727</v>
      </c>
      <c r="R121" s="110">
        <f t="shared" si="181"/>
        <v>1370</v>
      </c>
      <c r="S121" s="110">
        <f t="shared" si="181"/>
        <v>1929</v>
      </c>
      <c r="T121" s="110">
        <f t="shared" si="181"/>
        <v>948</v>
      </c>
      <c r="U121" s="110">
        <f t="shared" si="181"/>
        <v>1615</v>
      </c>
      <c r="V121" s="110">
        <f t="shared" si="181"/>
        <v>1657</v>
      </c>
      <c r="W121" s="110">
        <f t="shared" ref="W121" si="182">SUM(W122:W126)</f>
        <v>1537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299</v>
      </c>
      <c r="C123" s="102">
        <v>2476</v>
      </c>
      <c r="D123" s="102">
        <v>300</v>
      </c>
      <c r="E123" s="102">
        <v>1125</v>
      </c>
      <c r="F123" s="102">
        <v>1532</v>
      </c>
      <c r="G123" s="102">
        <v>1109</v>
      </c>
      <c r="H123" s="102">
        <v>1145</v>
      </c>
      <c r="I123" s="102">
        <v>1211</v>
      </c>
      <c r="J123" s="102">
        <v>1464</v>
      </c>
      <c r="K123" s="102">
        <v>1141</v>
      </c>
      <c r="L123" s="102">
        <v>1025</v>
      </c>
      <c r="M123" s="102">
        <v>1110</v>
      </c>
      <c r="N123" s="102">
        <v>1350</v>
      </c>
      <c r="O123" s="102">
        <v>1467</v>
      </c>
      <c r="P123" s="102">
        <v>1235</v>
      </c>
      <c r="Q123" s="102">
        <v>907</v>
      </c>
      <c r="R123" s="102">
        <v>1163</v>
      </c>
      <c r="S123" s="102">
        <v>809</v>
      </c>
      <c r="T123" s="102">
        <v>823</v>
      </c>
      <c r="U123" s="102">
        <v>1228</v>
      </c>
      <c r="V123" s="102">
        <v>1376</v>
      </c>
      <c r="W123" s="102">
        <v>1460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7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93</v>
      </c>
      <c r="D125" s="102">
        <v>174</v>
      </c>
      <c r="E125" s="102">
        <v>100</v>
      </c>
      <c r="F125" s="102">
        <v>22</v>
      </c>
      <c r="G125" s="102">
        <v>24</v>
      </c>
      <c r="H125" s="102">
        <v>26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25</v>
      </c>
      <c r="O125" s="102">
        <v>31</v>
      </c>
      <c r="P125" s="102">
        <v>518</v>
      </c>
      <c r="Q125" s="102">
        <v>820</v>
      </c>
      <c r="R125" s="102">
        <v>207</v>
      </c>
      <c r="S125" s="102">
        <v>1120</v>
      </c>
      <c r="T125" s="102">
        <v>125</v>
      </c>
      <c r="U125" s="102">
        <v>374</v>
      </c>
      <c r="V125" s="102">
        <v>262</v>
      </c>
      <c r="W125" s="102">
        <v>74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12</v>
      </c>
      <c r="D126" s="102">
        <v>0</v>
      </c>
      <c r="E126" s="102">
        <v>0</v>
      </c>
      <c r="F126" s="102">
        <v>3</v>
      </c>
      <c r="G126" s="102">
        <v>0</v>
      </c>
      <c r="H126" s="102">
        <v>25</v>
      </c>
      <c r="I126" s="102">
        <v>0</v>
      </c>
      <c r="J126" s="102">
        <v>0</v>
      </c>
      <c r="K126" s="102">
        <v>0</v>
      </c>
      <c r="L126" s="102">
        <v>2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13</v>
      </c>
      <c r="V126" s="102">
        <v>12</v>
      </c>
      <c r="W126" s="102">
        <v>3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31816</v>
      </c>
      <c r="C127" s="28">
        <f t="shared" si="183"/>
        <v>28586</v>
      </c>
      <c r="D127" s="28">
        <f t="shared" si="183"/>
        <v>41445</v>
      </c>
      <c r="E127" s="28">
        <f t="shared" si="183"/>
        <v>38025</v>
      </c>
      <c r="F127" s="28">
        <f t="shared" si="183"/>
        <v>50719</v>
      </c>
      <c r="G127" s="28">
        <f t="shared" si="183"/>
        <v>68510</v>
      </c>
      <c r="H127" s="28">
        <f t="shared" si="183"/>
        <v>75566</v>
      </c>
      <c r="I127" s="28">
        <f t="shared" si="183"/>
        <v>84419</v>
      </c>
      <c r="J127" s="28">
        <f t="shared" si="183"/>
        <v>80251</v>
      </c>
      <c r="K127" s="28">
        <f t="shared" si="183"/>
        <v>26490</v>
      </c>
      <c r="L127" s="28">
        <f t="shared" ref="L127" si="184">L128+L134</f>
        <v>30711</v>
      </c>
      <c r="M127" s="28">
        <f t="shared" ref="M127:V127" si="185">M128+M134</f>
        <v>35454</v>
      </c>
      <c r="N127" s="28">
        <f t="shared" si="185"/>
        <v>28986</v>
      </c>
      <c r="O127" s="28">
        <f t="shared" si="185"/>
        <v>27425</v>
      </c>
      <c r="P127" s="28">
        <f t="shared" si="185"/>
        <v>34773</v>
      </c>
      <c r="Q127" s="28">
        <f t="shared" si="185"/>
        <v>55957</v>
      </c>
      <c r="R127" s="28">
        <f t="shared" si="185"/>
        <v>35028</v>
      </c>
      <c r="S127" s="28">
        <f t="shared" si="185"/>
        <v>38335</v>
      </c>
      <c r="T127" s="28">
        <f t="shared" si="185"/>
        <v>40514</v>
      </c>
      <c r="U127" s="28">
        <f t="shared" si="185"/>
        <v>39097</v>
      </c>
      <c r="V127" s="28">
        <f t="shared" si="185"/>
        <v>36347</v>
      </c>
      <c r="W127" s="28">
        <f t="shared" ref="W127" si="186">W128+W134</f>
        <v>34544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30817</v>
      </c>
      <c r="C128" s="137">
        <f t="shared" si="187"/>
        <v>21638</v>
      </c>
      <c r="D128" s="137">
        <f t="shared" si="187"/>
        <v>33045</v>
      </c>
      <c r="E128" s="137">
        <f t="shared" si="187"/>
        <v>36292</v>
      </c>
      <c r="F128" s="137">
        <f t="shared" si="187"/>
        <v>46264</v>
      </c>
      <c r="G128" s="137">
        <f t="shared" si="187"/>
        <v>60871</v>
      </c>
      <c r="H128" s="137">
        <f t="shared" si="187"/>
        <v>64845</v>
      </c>
      <c r="I128" s="137">
        <f t="shared" si="187"/>
        <v>72124</v>
      </c>
      <c r="J128" s="137">
        <f t="shared" si="187"/>
        <v>72815</v>
      </c>
      <c r="K128" s="137">
        <f t="shared" si="187"/>
        <v>25063</v>
      </c>
      <c r="L128" s="137">
        <f t="shared" ref="L128" si="188">SUM(L129:L133)</f>
        <v>23387</v>
      </c>
      <c r="M128" s="137">
        <f t="shared" ref="M128:V128" si="189">SUM(M129:M133)</f>
        <v>26528</v>
      </c>
      <c r="N128" s="137">
        <f t="shared" si="189"/>
        <v>14297</v>
      </c>
      <c r="O128" s="137">
        <f t="shared" si="189"/>
        <v>17204</v>
      </c>
      <c r="P128" s="137">
        <f t="shared" si="189"/>
        <v>23098</v>
      </c>
      <c r="Q128" s="137">
        <f t="shared" si="189"/>
        <v>39086</v>
      </c>
      <c r="R128" s="137">
        <f t="shared" si="189"/>
        <v>22282</v>
      </c>
      <c r="S128" s="137">
        <f t="shared" si="189"/>
        <v>24711</v>
      </c>
      <c r="T128" s="137">
        <f t="shared" si="189"/>
        <v>28057</v>
      </c>
      <c r="U128" s="137">
        <f t="shared" si="189"/>
        <v>25982</v>
      </c>
      <c r="V128" s="137">
        <f t="shared" si="189"/>
        <v>24746</v>
      </c>
      <c r="W128" s="137">
        <f t="shared" ref="W128" si="190">SUM(W129:W133)</f>
        <v>24902</v>
      </c>
      <c r="DA128" s="174" t="s">
        <v>542</v>
      </c>
    </row>
    <row r="129" spans="1:105" ht="11.45" customHeight="1" x14ac:dyDescent="0.25">
      <c r="A129" s="111" t="s">
        <v>110</v>
      </c>
      <c r="B129" s="84">
        <v>6560</v>
      </c>
      <c r="C129" s="84">
        <v>6850</v>
      </c>
      <c r="D129" s="84">
        <v>9721</v>
      </c>
      <c r="E129" s="84">
        <v>3355</v>
      </c>
      <c r="F129" s="84">
        <v>6415</v>
      </c>
      <c r="G129" s="84">
        <v>10607</v>
      </c>
      <c r="H129" s="84">
        <v>16396</v>
      </c>
      <c r="I129" s="84">
        <v>16805</v>
      </c>
      <c r="J129" s="84">
        <v>15053</v>
      </c>
      <c r="K129" s="84">
        <v>2935</v>
      </c>
      <c r="L129" s="84">
        <v>2947</v>
      </c>
      <c r="M129" s="84">
        <v>3385</v>
      </c>
      <c r="N129" s="84">
        <v>3309</v>
      </c>
      <c r="O129" s="84">
        <v>6383</v>
      </c>
      <c r="P129" s="84">
        <v>9217</v>
      </c>
      <c r="Q129" s="84">
        <v>12803</v>
      </c>
      <c r="R129" s="84">
        <v>7958</v>
      </c>
      <c r="S129" s="84">
        <v>8343</v>
      </c>
      <c r="T129" s="84">
        <v>8334</v>
      </c>
      <c r="U129" s="84">
        <v>8217</v>
      </c>
      <c r="V129" s="84">
        <v>8044</v>
      </c>
      <c r="W129" s="84">
        <v>7712</v>
      </c>
      <c r="DA129" s="171" t="s">
        <v>543</v>
      </c>
    </row>
    <row r="130" spans="1:105" ht="11.45" customHeight="1" x14ac:dyDescent="0.25">
      <c r="A130" s="111" t="s">
        <v>111</v>
      </c>
      <c r="B130" s="84">
        <v>24257</v>
      </c>
      <c r="C130" s="84">
        <v>14542</v>
      </c>
      <c r="D130" s="84">
        <v>22741</v>
      </c>
      <c r="E130" s="84">
        <v>32303</v>
      </c>
      <c r="F130" s="84">
        <v>38945</v>
      </c>
      <c r="G130" s="84">
        <v>49431</v>
      </c>
      <c r="H130" s="84">
        <v>47296</v>
      </c>
      <c r="I130" s="84">
        <v>54054</v>
      </c>
      <c r="J130" s="84">
        <v>57370</v>
      </c>
      <c r="K130" s="84">
        <v>21214</v>
      </c>
      <c r="L130" s="84">
        <v>20121</v>
      </c>
      <c r="M130" s="84">
        <v>22347</v>
      </c>
      <c r="N130" s="84">
        <v>8889</v>
      </c>
      <c r="O130" s="84">
        <v>9403</v>
      </c>
      <c r="P130" s="84">
        <v>10888</v>
      </c>
      <c r="Q130" s="84">
        <v>22268</v>
      </c>
      <c r="R130" s="84">
        <v>10196</v>
      </c>
      <c r="S130" s="84">
        <v>12975</v>
      </c>
      <c r="T130" s="84">
        <v>16595</v>
      </c>
      <c r="U130" s="84">
        <v>15241</v>
      </c>
      <c r="V130" s="84">
        <v>14660</v>
      </c>
      <c r="W130" s="84">
        <v>15730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246</v>
      </c>
      <c r="D131" s="84">
        <v>583</v>
      </c>
      <c r="E131" s="84">
        <v>634</v>
      </c>
      <c r="F131" s="84">
        <v>904</v>
      </c>
      <c r="G131" s="84">
        <v>833</v>
      </c>
      <c r="H131" s="84">
        <v>1153</v>
      </c>
      <c r="I131" s="84">
        <v>1265</v>
      </c>
      <c r="J131" s="84">
        <v>353</v>
      </c>
      <c r="K131" s="84">
        <v>912</v>
      </c>
      <c r="L131" s="84">
        <v>315</v>
      </c>
      <c r="M131" s="84">
        <v>792</v>
      </c>
      <c r="N131" s="84">
        <v>1635</v>
      </c>
      <c r="O131" s="84">
        <v>1032</v>
      </c>
      <c r="P131" s="84">
        <v>1776</v>
      </c>
      <c r="Q131" s="84">
        <v>685</v>
      </c>
      <c r="R131" s="84">
        <v>1353</v>
      </c>
      <c r="S131" s="84">
        <v>479</v>
      </c>
      <c r="T131" s="84">
        <v>609</v>
      </c>
      <c r="U131" s="84">
        <v>71</v>
      </c>
      <c r="V131" s="84">
        <v>0</v>
      </c>
      <c r="W131" s="84">
        <v>7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443</v>
      </c>
      <c r="O132" s="84">
        <v>373</v>
      </c>
      <c r="P132" s="84">
        <v>1205</v>
      </c>
      <c r="Q132" s="84">
        <v>3311</v>
      </c>
      <c r="R132" s="84">
        <v>2754</v>
      </c>
      <c r="S132" s="84">
        <v>2886</v>
      </c>
      <c r="T132" s="84">
        <v>2458</v>
      </c>
      <c r="U132" s="84">
        <v>2323</v>
      </c>
      <c r="V132" s="84">
        <v>1922</v>
      </c>
      <c r="W132" s="84">
        <v>1167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39</v>
      </c>
      <c r="K133" s="84">
        <v>2</v>
      </c>
      <c r="L133" s="84">
        <v>4</v>
      </c>
      <c r="M133" s="84">
        <v>4</v>
      </c>
      <c r="N133" s="84">
        <v>21</v>
      </c>
      <c r="O133" s="84">
        <v>13</v>
      </c>
      <c r="P133" s="84">
        <v>12</v>
      </c>
      <c r="Q133" s="84">
        <v>19</v>
      </c>
      <c r="R133" s="84">
        <v>21</v>
      </c>
      <c r="S133" s="84">
        <v>28</v>
      </c>
      <c r="T133" s="84">
        <v>61</v>
      </c>
      <c r="U133" s="84">
        <v>130</v>
      </c>
      <c r="V133" s="84">
        <v>120</v>
      </c>
      <c r="W133" s="84">
        <v>286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999</v>
      </c>
      <c r="C134" s="110">
        <f t="shared" si="191"/>
        <v>6948</v>
      </c>
      <c r="D134" s="110">
        <f t="shared" si="191"/>
        <v>8400</v>
      </c>
      <c r="E134" s="110">
        <f t="shared" si="191"/>
        <v>1733</v>
      </c>
      <c r="F134" s="110">
        <f t="shared" si="191"/>
        <v>4455</v>
      </c>
      <c r="G134" s="110">
        <f t="shared" si="191"/>
        <v>7639</v>
      </c>
      <c r="H134" s="110">
        <f t="shared" si="191"/>
        <v>10721</v>
      </c>
      <c r="I134" s="110">
        <f t="shared" si="191"/>
        <v>12295</v>
      </c>
      <c r="J134" s="110">
        <f t="shared" si="191"/>
        <v>7436</v>
      </c>
      <c r="K134" s="110">
        <f t="shared" si="191"/>
        <v>1427</v>
      </c>
      <c r="L134" s="110">
        <f t="shared" ref="L134" si="192">SUM(L135:L136)</f>
        <v>7324</v>
      </c>
      <c r="M134" s="110">
        <f t="shared" ref="M134:V134" si="193">SUM(M135:M136)</f>
        <v>8926</v>
      </c>
      <c r="N134" s="110">
        <f t="shared" si="193"/>
        <v>14689</v>
      </c>
      <c r="O134" s="110">
        <f t="shared" si="193"/>
        <v>10221</v>
      </c>
      <c r="P134" s="110">
        <f t="shared" si="193"/>
        <v>11675</v>
      </c>
      <c r="Q134" s="110">
        <f t="shared" si="193"/>
        <v>16871</v>
      </c>
      <c r="R134" s="110">
        <f t="shared" si="193"/>
        <v>12746</v>
      </c>
      <c r="S134" s="110">
        <f t="shared" si="193"/>
        <v>13624</v>
      </c>
      <c r="T134" s="110">
        <f t="shared" si="193"/>
        <v>12457</v>
      </c>
      <c r="U134" s="110">
        <f t="shared" si="193"/>
        <v>13115</v>
      </c>
      <c r="V134" s="110">
        <f t="shared" si="193"/>
        <v>11601</v>
      </c>
      <c r="W134" s="110">
        <f t="shared" ref="W134" si="194">SUM(W135:W136)</f>
        <v>9642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6102</v>
      </c>
      <c r="D135" s="102">
        <v>7688</v>
      </c>
      <c r="E135" s="102">
        <v>1300</v>
      </c>
      <c r="F135" s="102">
        <v>2140</v>
      </c>
      <c r="G135" s="102">
        <v>6906</v>
      </c>
      <c r="H135" s="102">
        <v>9813</v>
      </c>
      <c r="I135" s="102">
        <v>11544</v>
      </c>
      <c r="J135" s="102">
        <v>7436</v>
      </c>
      <c r="K135" s="102">
        <v>1427</v>
      </c>
      <c r="L135" s="102">
        <v>6062</v>
      </c>
      <c r="M135" s="102">
        <v>7636</v>
      </c>
      <c r="N135" s="102">
        <v>14258</v>
      </c>
      <c r="O135" s="102">
        <v>8095</v>
      </c>
      <c r="P135" s="102">
        <v>11016</v>
      </c>
      <c r="Q135" s="102">
        <v>15037</v>
      </c>
      <c r="R135" s="102">
        <v>12433</v>
      </c>
      <c r="S135" s="102">
        <v>12980</v>
      </c>
      <c r="T135" s="102">
        <v>12457</v>
      </c>
      <c r="U135" s="102">
        <v>11764</v>
      </c>
      <c r="V135" s="102">
        <v>8261</v>
      </c>
      <c r="W135" s="102">
        <v>7535</v>
      </c>
      <c r="DA135" s="175" t="s">
        <v>549</v>
      </c>
    </row>
    <row r="136" spans="1:105" ht="11.45" customHeight="1" x14ac:dyDescent="0.25">
      <c r="A136" s="138" t="s">
        <v>116</v>
      </c>
      <c r="B136" s="86">
        <v>999</v>
      </c>
      <c r="C136" s="86">
        <v>846</v>
      </c>
      <c r="D136" s="86">
        <v>712</v>
      </c>
      <c r="E136" s="86">
        <v>433</v>
      </c>
      <c r="F136" s="86">
        <v>2315</v>
      </c>
      <c r="G136" s="86">
        <v>733</v>
      </c>
      <c r="H136" s="86">
        <v>908</v>
      </c>
      <c r="I136" s="86">
        <v>751</v>
      </c>
      <c r="J136" s="86">
        <v>0</v>
      </c>
      <c r="K136" s="86">
        <v>0</v>
      </c>
      <c r="L136" s="86">
        <v>1262</v>
      </c>
      <c r="M136" s="86">
        <v>1290</v>
      </c>
      <c r="N136" s="86">
        <v>431</v>
      </c>
      <c r="O136" s="86">
        <v>2126</v>
      </c>
      <c r="P136" s="86">
        <v>659</v>
      </c>
      <c r="Q136" s="86">
        <v>1834</v>
      </c>
      <c r="R136" s="86">
        <v>313</v>
      </c>
      <c r="S136" s="86">
        <v>644</v>
      </c>
      <c r="T136" s="86">
        <v>0</v>
      </c>
      <c r="U136" s="86">
        <v>1351</v>
      </c>
      <c r="V136" s="86">
        <v>3340</v>
      </c>
      <c r="W136" s="86">
        <v>2107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2.4250500922562459</v>
      </c>
      <c r="C141" s="32">
        <f t="shared" si="195"/>
        <v>2.2603760833731825</v>
      </c>
      <c r="D141" s="32">
        <f t="shared" si="195"/>
        <v>2.1731270621596068</v>
      </c>
      <c r="E141" s="32">
        <f t="shared" si="195"/>
        <v>1.9537690160379007</v>
      </c>
      <c r="F141" s="32">
        <f t="shared" si="195"/>
        <v>1.8696797000984573</v>
      </c>
      <c r="G141" s="32">
        <f t="shared" si="195"/>
        <v>1.8289076743671271</v>
      </c>
      <c r="H141" s="32">
        <f t="shared" si="195"/>
        <v>1.8325205650057357</v>
      </c>
      <c r="I141" s="32">
        <f t="shared" si="195"/>
        <v>1.7901989251113788</v>
      </c>
      <c r="J141" s="32">
        <f t="shared" si="195"/>
        <v>1.7957548175381672</v>
      </c>
      <c r="K141" s="32">
        <f t="shared" si="195"/>
        <v>1.7507484232464645</v>
      </c>
      <c r="L141" s="32">
        <f t="shared" ref="L141" si="196">IF(L4=0,0,L4/L31)</f>
        <v>1.705719736091627</v>
      </c>
      <c r="M141" s="32">
        <f t="shared" ref="M141:V141" si="197">IF(M4=0,0,M4/M31)</f>
        <v>1.6900702473018625</v>
      </c>
      <c r="N141" s="32">
        <f t="shared" si="197"/>
        <v>1.669759669367995</v>
      </c>
      <c r="O141" s="32">
        <f t="shared" si="197"/>
        <v>1.6627894652424626</v>
      </c>
      <c r="P141" s="32">
        <f t="shared" si="197"/>
        <v>1.6730697522839264</v>
      </c>
      <c r="Q141" s="32">
        <f t="shared" si="197"/>
        <v>1.6708750697084007</v>
      </c>
      <c r="R141" s="32">
        <f t="shared" si="197"/>
        <v>1.6312419653324013</v>
      </c>
      <c r="S141" s="32">
        <f t="shared" si="197"/>
        <v>1.6339537883076991</v>
      </c>
      <c r="T141" s="32">
        <f t="shared" si="197"/>
        <v>1.643737218863607</v>
      </c>
      <c r="U141" s="32">
        <f t="shared" si="197"/>
        <v>1.6335149063373833</v>
      </c>
      <c r="V141" s="32">
        <f t="shared" si="197"/>
        <v>1.3397963397324977</v>
      </c>
      <c r="W141" s="32">
        <f t="shared" ref="W141" si="198">IF(W4=0,0,W4/W31)</f>
        <v>1.5035290885066706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1.1543178727366701</v>
      </c>
      <c r="H142" s="141">
        <v>1.1546398637822315</v>
      </c>
      <c r="I142" s="141">
        <v>1.156493139331968</v>
      </c>
      <c r="J142" s="141">
        <v>1.1571017737935942</v>
      </c>
      <c r="K142" s="141">
        <v>1.1576570562583652</v>
      </c>
      <c r="L142" s="141">
        <v>1.1556682113354204</v>
      </c>
      <c r="M142" s="141">
        <v>1.1546558434345866</v>
      </c>
      <c r="N142" s="141">
        <v>1.1475295413899493</v>
      </c>
      <c r="O142" s="141">
        <v>1.1469392088128179</v>
      </c>
      <c r="P142" s="141">
        <v>1.1494295322312345</v>
      </c>
      <c r="Q142" s="141">
        <v>1.1514161199072461</v>
      </c>
      <c r="R142" s="141">
        <v>1.1526128853496449</v>
      </c>
      <c r="S142" s="141">
        <v>1.151100240112555</v>
      </c>
      <c r="T142" s="141">
        <v>1.149810546564116</v>
      </c>
      <c r="U142" s="141">
        <v>1.1508160614657963</v>
      </c>
      <c r="V142" s="141">
        <v>1.1494389085414738</v>
      </c>
      <c r="W142" s="141">
        <v>1.1494380914340094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2.0213037003125738</v>
      </c>
      <c r="C143" s="130">
        <f t="shared" si="199"/>
        <v>1.8438993304564126</v>
      </c>
      <c r="D143" s="130">
        <f t="shared" si="199"/>
        <v>1.7977215060776541</v>
      </c>
      <c r="E143" s="130">
        <f t="shared" si="199"/>
        <v>1.6159481424731523</v>
      </c>
      <c r="F143" s="130">
        <f t="shared" si="199"/>
        <v>1.5652736699958423</v>
      </c>
      <c r="G143" s="130">
        <f t="shared" si="199"/>
        <v>1.5266064006539188</v>
      </c>
      <c r="H143" s="130">
        <f t="shared" si="199"/>
        <v>1.5269691781041299</v>
      </c>
      <c r="I143" s="130">
        <f t="shared" si="199"/>
        <v>1.4957737579693033</v>
      </c>
      <c r="J143" s="130">
        <f t="shared" si="199"/>
        <v>1.5042224456000031</v>
      </c>
      <c r="K143" s="130">
        <f t="shared" si="199"/>
        <v>1.4656985817268517</v>
      </c>
      <c r="L143" s="130">
        <f t="shared" ref="L143" si="200">IF(L6=0,0,L6/L33)</f>
        <v>1.3802724410684475</v>
      </c>
      <c r="M143" s="130">
        <f t="shared" ref="M143:V143" si="201">IF(M6=0,0,M6/M33)</f>
        <v>1.3934125184124775</v>
      </c>
      <c r="N143" s="130">
        <f t="shared" si="201"/>
        <v>1.381494854938238</v>
      </c>
      <c r="O143" s="130">
        <f t="shared" si="201"/>
        <v>1.369430295709426</v>
      </c>
      <c r="P143" s="130">
        <f t="shared" si="201"/>
        <v>1.362869769969719</v>
      </c>
      <c r="Q143" s="130">
        <f t="shared" si="201"/>
        <v>1.3862093332826815</v>
      </c>
      <c r="R143" s="130">
        <f t="shared" si="201"/>
        <v>1.3457370389263534</v>
      </c>
      <c r="S143" s="130">
        <f t="shared" si="201"/>
        <v>1.3403901839440442</v>
      </c>
      <c r="T143" s="130">
        <f t="shared" si="201"/>
        <v>1.361529619461002</v>
      </c>
      <c r="U143" s="130">
        <f t="shared" si="201"/>
        <v>1.3645722424820297</v>
      </c>
      <c r="V143" s="130">
        <f t="shared" si="201"/>
        <v>1.1945827553370514</v>
      </c>
      <c r="W143" s="130">
        <f t="shared" ref="W143" si="202">IF(W6=0,0,W6/W33)</f>
        <v>1.3808430686231277</v>
      </c>
      <c r="DA143" s="176" t="s">
        <v>553</v>
      </c>
    </row>
    <row r="144" spans="1:105" ht="11.45" customHeight="1" x14ac:dyDescent="0.25">
      <c r="A144" s="111" t="s">
        <v>110</v>
      </c>
      <c r="B144" s="96">
        <v>2.0031568128352295</v>
      </c>
      <c r="C144" s="96">
        <v>1.8246267326533012</v>
      </c>
      <c r="D144" s="96">
        <v>1.7771691476161739</v>
      </c>
      <c r="E144" s="96">
        <v>1.5956661040596007</v>
      </c>
      <c r="F144" s="96">
        <v>1.5443627605308636</v>
      </c>
      <c r="G144" s="96">
        <v>1.5041368913656543</v>
      </c>
      <c r="H144" s="96">
        <v>1.5038012754514738</v>
      </c>
      <c r="I144" s="96">
        <v>1.4731123180622516</v>
      </c>
      <c r="J144" s="96">
        <v>1.4804550051570946</v>
      </c>
      <c r="K144" s="96">
        <v>1.4415341169435032</v>
      </c>
      <c r="L144" s="96">
        <v>1.3572422031717053</v>
      </c>
      <c r="M144" s="96">
        <v>1.3686358580891664</v>
      </c>
      <c r="N144" s="96">
        <v>1.3553927542879296</v>
      </c>
      <c r="O144" s="96">
        <v>1.3418729682659456</v>
      </c>
      <c r="P144" s="96">
        <v>1.3350587964478902</v>
      </c>
      <c r="Q144" s="96">
        <v>1.3577331924418241</v>
      </c>
      <c r="R144" s="96">
        <v>1.3174218207752564</v>
      </c>
      <c r="S144" s="96">
        <v>1.3117761999094355</v>
      </c>
      <c r="T144" s="96">
        <v>1.3322552214282783</v>
      </c>
      <c r="U144" s="96">
        <v>1.3348583404107746</v>
      </c>
      <c r="V144" s="96">
        <v>1.167435704519016</v>
      </c>
      <c r="W144" s="96">
        <v>1.3484450591091035</v>
      </c>
      <c r="DA144" s="171" t="s">
        <v>554</v>
      </c>
    </row>
    <row r="145" spans="1:105" ht="11.45" customHeight="1" x14ac:dyDescent="0.25">
      <c r="A145" s="111" t="s">
        <v>111</v>
      </c>
      <c r="B145" s="96">
        <v>2.0846322698772743</v>
      </c>
      <c r="C145" s="96">
        <v>1.8988407412728494</v>
      </c>
      <c r="D145" s="96">
        <v>1.8494528887667778</v>
      </c>
      <c r="E145" s="96">
        <v>1.6605674758751925</v>
      </c>
      <c r="F145" s="96">
        <v>1.6071774443073545</v>
      </c>
      <c r="G145" s="96">
        <v>1.5653154470796038</v>
      </c>
      <c r="H145" s="96">
        <v>1.5649661804817507</v>
      </c>
      <c r="I145" s="96">
        <v>1.5330289948892204</v>
      </c>
      <c r="J145" s="96">
        <v>1.5406703349817388</v>
      </c>
      <c r="K145" s="96">
        <v>1.5001663968863981</v>
      </c>
      <c r="L145" s="96">
        <v>1.412446033501719</v>
      </c>
      <c r="M145" s="96">
        <v>1.424303108574722</v>
      </c>
      <c r="N145" s="96">
        <v>1.4105213610048364</v>
      </c>
      <c r="O145" s="96">
        <v>1.3964516775718285</v>
      </c>
      <c r="P145" s="96">
        <v>1.3893603493376205</v>
      </c>
      <c r="Q145" s="96">
        <v>1.412956993038234</v>
      </c>
      <c r="R145" s="96">
        <v>1.3710060156206441</v>
      </c>
      <c r="S145" s="96">
        <v>1.3651307674299014</v>
      </c>
      <c r="T145" s="96">
        <v>1.3864427430276913</v>
      </c>
      <c r="U145" s="96">
        <v>1.3891517400460336</v>
      </c>
      <c r="V145" s="96">
        <v>1.2149194346910244</v>
      </c>
      <c r="W145" s="96">
        <v>1.4032910785435486</v>
      </c>
      <c r="DA145" s="171" t="s">
        <v>555</v>
      </c>
    </row>
    <row r="146" spans="1:105" ht="11.45" customHeight="1" x14ac:dyDescent="0.25">
      <c r="A146" s="111" t="s">
        <v>112</v>
      </c>
      <c r="B146" s="96">
        <v>1.9606645893031969</v>
      </c>
      <c r="C146" s="96">
        <v>1.7885823505427201</v>
      </c>
      <c r="D146" s="96">
        <v>1.7437898608953242</v>
      </c>
      <c r="E146" s="96">
        <v>1.5674696981989578</v>
      </c>
      <c r="F146" s="96">
        <v>1.5183154598959667</v>
      </c>
      <c r="G146" s="96">
        <v>1.4808082086343011</v>
      </c>
      <c r="H146" s="96">
        <v>1.4811601027610057</v>
      </c>
      <c r="I146" s="96">
        <v>1.4509005452302239</v>
      </c>
      <c r="J146" s="96">
        <v>1.4590957722320028</v>
      </c>
      <c r="K146" s="96">
        <v>1.4217276242750458</v>
      </c>
      <c r="L146" s="96">
        <v>1.3388642678363938</v>
      </c>
      <c r="M146" s="96">
        <v>1.3516101428601031</v>
      </c>
      <c r="N146" s="96">
        <v>1.3400500092900907</v>
      </c>
      <c r="O146" s="96">
        <v>1.3283473868381428</v>
      </c>
      <c r="P146" s="96">
        <v>1.3219836768706275</v>
      </c>
      <c r="Q146" s="96">
        <v>1.344623053284201</v>
      </c>
      <c r="R146" s="96">
        <v>1.3053649277585626</v>
      </c>
      <c r="S146" s="96">
        <v>1.3001784784257227</v>
      </c>
      <c r="T146" s="96">
        <v>1.3206837308771719</v>
      </c>
      <c r="U146" s="96">
        <v>1.3236350752075685</v>
      </c>
      <c r="V146" s="96">
        <v>1.1587452726769396</v>
      </c>
      <c r="W146" s="96">
        <v>1.3394177765644339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1.4590957722320028</v>
      </c>
      <c r="K147" s="96">
        <v>1.4217276242750461</v>
      </c>
      <c r="L147" s="96">
        <v>1.3388642678363938</v>
      </c>
      <c r="M147" s="96">
        <v>1.3516101428601031</v>
      </c>
      <c r="N147" s="96">
        <v>1.3400500092900907</v>
      </c>
      <c r="O147" s="96">
        <v>1.3283473868381428</v>
      </c>
      <c r="P147" s="96">
        <v>1.3219836768706275</v>
      </c>
      <c r="Q147" s="96">
        <v>1.344623053284201</v>
      </c>
      <c r="R147" s="96">
        <v>1.3053649277585626</v>
      </c>
      <c r="S147" s="96">
        <v>1.3001784784257227</v>
      </c>
      <c r="T147" s="96">
        <v>1.3206837308771719</v>
      </c>
      <c r="U147" s="96">
        <v>1.3236350752075685</v>
      </c>
      <c r="V147" s="96">
        <v>1.1587452726769396</v>
      </c>
      <c r="W147" s="96">
        <v>1.3394177765644339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1.3400500092900907</v>
      </c>
      <c r="O148" s="96">
        <v>1.3283473868381428</v>
      </c>
      <c r="P148" s="96">
        <v>1.3219836768706275</v>
      </c>
      <c r="Q148" s="96">
        <v>1.3446230532842012</v>
      </c>
      <c r="R148" s="96">
        <v>1.3053649277585626</v>
      </c>
      <c r="S148" s="96">
        <v>1.3001784784257227</v>
      </c>
      <c r="T148" s="96">
        <v>1.3206837308771719</v>
      </c>
      <c r="U148" s="96">
        <v>1.3236350752075685</v>
      </c>
      <c r="V148" s="96">
        <v>1.1587452726769396</v>
      </c>
      <c r="W148" s="96">
        <v>1.3394177765644339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1.2422451969616028</v>
      </c>
      <c r="M149" s="96">
        <v>1.2540712665712297</v>
      </c>
      <c r="N149" s="96">
        <v>1.2433453694444143</v>
      </c>
      <c r="O149" s="96">
        <v>1.2324872661384831</v>
      </c>
      <c r="P149" s="96">
        <v>1.2265827929727473</v>
      </c>
      <c r="Q149" s="96">
        <v>1.2475883999544133</v>
      </c>
      <c r="R149" s="96">
        <v>1.2111633350337181</v>
      </c>
      <c r="S149" s="96">
        <v>1.2063511655496397</v>
      </c>
      <c r="T149" s="96">
        <v>1.2253766575149021</v>
      </c>
      <c r="U149" s="96">
        <v>1.2281150182338267</v>
      </c>
      <c r="V149" s="96">
        <v>1.0751244798033464</v>
      </c>
      <c r="W149" s="96">
        <v>1.2427587617608151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22.560407366071434</v>
      </c>
      <c r="C150" s="130">
        <f t="shared" si="203"/>
        <v>21.952634546707607</v>
      </c>
      <c r="D150" s="130">
        <f t="shared" si="203"/>
        <v>21.718832963368623</v>
      </c>
      <c r="E150" s="130">
        <f t="shared" si="203"/>
        <v>23.391873917148448</v>
      </c>
      <c r="F150" s="130">
        <f t="shared" si="203"/>
        <v>23.483681115979966</v>
      </c>
      <c r="G150" s="130">
        <f t="shared" si="203"/>
        <v>24.425508607198751</v>
      </c>
      <c r="H150" s="130">
        <f t="shared" si="203"/>
        <v>24.330124399883296</v>
      </c>
      <c r="I150" s="130">
        <f t="shared" si="203"/>
        <v>24.234740192567831</v>
      </c>
      <c r="J150" s="130">
        <f t="shared" si="203"/>
        <v>24.139355985252372</v>
      </c>
      <c r="K150" s="130">
        <f t="shared" si="203"/>
        <v>23.884690803279049</v>
      </c>
      <c r="L150" s="130">
        <f t="shared" ref="L150" si="204">IF(L13=0,0,L13/L40)</f>
        <v>24.368341760617511</v>
      </c>
      <c r="M150" s="130">
        <f t="shared" ref="M150:V150" si="205">IF(M13=0,0,M13/M40)</f>
        <v>23.939069986495017</v>
      </c>
      <c r="N150" s="130">
        <f t="shared" si="205"/>
        <v>23.938118436142091</v>
      </c>
      <c r="O150" s="130">
        <f t="shared" si="205"/>
        <v>23.616792404739098</v>
      </c>
      <c r="P150" s="130">
        <f t="shared" si="205"/>
        <v>24.099903446255965</v>
      </c>
      <c r="Q150" s="130">
        <f t="shared" si="205"/>
        <v>23.938012816385132</v>
      </c>
      <c r="R150" s="130">
        <f t="shared" si="205"/>
        <v>23.923551010947662</v>
      </c>
      <c r="S150" s="130">
        <f t="shared" si="205"/>
        <v>23.910318034382044</v>
      </c>
      <c r="T150" s="130">
        <f t="shared" si="205"/>
        <v>23.91212023262587</v>
      </c>
      <c r="U150" s="130">
        <f t="shared" si="205"/>
        <v>23.914151762488224</v>
      </c>
      <c r="V150" s="130">
        <f t="shared" si="205"/>
        <v>17.267916650493959</v>
      </c>
      <c r="W150" s="130">
        <f t="shared" ref="W150" si="206">IF(W13=0,0,W13/W40)</f>
        <v>17.602401480606488</v>
      </c>
      <c r="DA150" s="176" t="s">
        <v>560</v>
      </c>
    </row>
    <row r="151" spans="1:105" ht="11.45" customHeight="1" x14ac:dyDescent="0.25">
      <c r="A151" s="111" t="s">
        <v>110</v>
      </c>
      <c r="B151" s="97">
        <v>8.6770797561813211</v>
      </c>
      <c r="C151" s="97">
        <v>8.4433209795029232</v>
      </c>
      <c r="D151" s="97">
        <v>8.353397293603317</v>
      </c>
      <c r="E151" s="97">
        <v>8.9968745835186343</v>
      </c>
      <c r="F151" s="97">
        <v>9.0321850446076795</v>
      </c>
      <c r="G151" s="97">
        <v>9.3944263873841347</v>
      </c>
      <c r="H151" s="97">
        <v>9.3577401538012666</v>
      </c>
      <c r="I151" s="97">
        <v>9.3210539202183984</v>
      </c>
      <c r="J151" s="97">
        <v>9.2843676866355302</v>
      </c>
      <c r="K151" s="97">
        <v>9.1864195397227135</v>
      </c>
      <c r="L151" s="97">
        <v>9.3724391386990415</v>
      </c>
      <c r="M151" s="97">
        <v>9.2073346101903919</v>
      </c>
      <c r="N151" s="97">
        <v>9.2069686292854218</v>
      </c>
      <c r="O151" s="97">
        <v>9.0833816941304253</v>
      </c>
      <c r="P151" s="97">
        <v>9.269193633175373</v>
      </c>
      <c r="Q151" s="97">
        <v>9.2069280063019754</v>
      </c>
      <c r="R151" s="97">
        <v>9.2013657734414096</v>
      </c>
      <c r="S151" s="97">
        <v>9.1962761670700157</v>
      </c>
      <c r="T151" s="97">
        <v>9.1969693202407221</v>
      </c>
      <c r="U151" s="97">
        <v>9.197750677880089</v>
      </c>
      <c r="V151" s="97">
        <v>6.6641506404036139</v>
      </c>
      <c r="W151" s="97">
        <v>6.7701544156178795</v>
      </c>
      <c r="DA151" s="175" t="s">
        <v>561</v>
      </c>
    </row>
    <row r="152" spans="1:105" ht="11.45" customHeight="1" x14ac:dyDescent="0.25">
      <c r="A152" s="111" t="s">
        <v>111</v>
      </c>
      <c r="B152" s="97">
        <v>23.609680544567532</v>
      </c>
      <c r="C152" s="97">
        <v>22.855574838647016</v>
      </c>
      <c r="D152" s="97">
        <v>22.675767332707899</v>
      </c>
      <c r="E152" s="97">
        <v>24.336536895356165</v>
      </c>
      <c r="F152" s="97">
        <v>24.372715391146411</v>
      </c>
      <c r="G152" s="97">
        <v>25.27582128083581</v>
      </c>
      <c r="H152" s="97">
        <v>25.123001954282685</v>
      </c>
      <c r="I152" s="97">
        <v>25.006206540297413</v>
      </c>
      <c r="J152" s="97">
        <v>24.866532541184736</v>
      </c>
      <c r="K152" s="97">
        <v>24.54916379119944</v>
      </c>
      <c r="L152" s="97">
        <v>25.034362004991102</v>
      </c>
      <c r="M152" s="97">
        <v>24.569957571664212</v>
      </c>
      <c r="N152" s="97">
        <v>24.525245864060317</v>
      </c>
      <c r="O152" s="97">
        <v>24.18082014298124</v>
      </c>
      <c r="P152" s="97">
        <v>24.643259399071329</v>
      </c>
      <c r="Q152" s="97">
        <v>24.45606522659709</v>
      </c>
      <c r="R152" s="97">
        <v>24.416716871538014</v>
      </c>
      <c r="S152" s="97">
        <v>24.371415441092982</v>
      </c>
      <c r="T152" s="97">
        <v>24.341914732361836</v>
      </c>
      <c r="U152" s="97">
        <v>24.324397596264117</v>
      </c>
      <c r="V152" s="97">
        <v>17.584065718932816</v>
      </c>
      <c r="W152" s="97">
        <v>17.903972006661533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17.584065718932816</v>
      </c>
      <c r="W153" s="97">
        <v>17.903972006661533</v>
      </c>
      <c r="DA153" s="175" t="s">
        <v>563</v>
      </c>
    </row>
    <row r="154" spans="1:105" ht="11.45" customHeight="1" x14ac:dyDescent="0.25">
      <c r="A154" s="111" t="s">
        <v>113</v>
      </c>
      <c r="B154" s="97">
        <v>23.609680544567532</v>
      </c>
      <c r="C154" s="97">
        <v>22.855574838647016</v>
      </c>
      <c r="D154" s="97">
        <v>22.675767332707899</v>
      </c>
      <c r="E154" s="97">
        <v>24.336536895356165</v>
      </c>
      <c r="F154" s="97">
        <v>24.372715391146411</v>
      </c>
      <c r="G154" s="97">
        <v>25.27582128083581</v>
      </c>
      <c r="H154" s="97">
        <v>25.123001954282682</v>
      </c>
      <c r="I154" s="97">
        <v>25.00620654029742</v>
      </c>
      <c r="J154" s="97">
        <v>24.866532541184736</v>
      </c>
      <c r="K154" s="97">
        <v>24.549163791199444</v>
      </c>
      <c r="L154" s="97">
        <v>25.034362004991099</v>
      </c>
      <c r="M154" s="97">
        <v>24.569957571664219</v>
      </c>
      <c r="N154" s="97">
        <v>24.525245864060317</v>
      </c>
      <c r="O154" s="97">
        <v>24.18082014298124</v>
      </c>
      <c r="P154" s="97">
        <v>24.643259399071326</v>
      </c>
      <c r="Q154" s="97">
        <v>24.45606522659709</v>
      </c>
      <c r="R154" s="97">
        <v>24.416716871538011</v>
      </c>
      <c r="S154" s="97">
        <v>24.371415441092978</v>
      </c>
      <c r="T154" s="97">
        <v>24.341914732361833</v>
      </c>
      <c r="U154" s="97">
        <v>24.32439759626412</v>
      </c>
      <c r="V154" s="97">
        <v>17.584065718932816</v>
      </c>
      <c r="W154" s="97">
        <v>17.903972006661533</v>
      </c>
      <c r="DA154" s="175" t="s">
        <v>564</v>
      </c>
    </row>
    <row r="155" spans="1:105" ht="11.45" customHeight="1" x14ac:dyDescent="0.25">
      <c r="A155" s="111" t="s">
        <v>115</v>
      </c>
      <c r="B155" s="97">
        <v>23.609680544567532</v>
      </c>
      <c r="C155" s="97">
        <v>22.855574838647016</v>
      </c>
      <c r="D155" s="97">
        <v>22.675767332707899</v>
      </c>
      <c r="E155" s="97">
        <v>24.336536895356165</v>
      </c>
      <c r="F155" s="97">
        <v>24.372715391146411</v>
      </c>
      <c r="G155" s="97">
        <v>25.27582128083581</v>
      </c>
      <c r="H155" s="97">
        <v>25.123001954282682</v>
      </c>
      <c r="I155" s="97">
        <v>25.006206540297416</v>
      </c>
      <c r="J155" s="97">
        <v>24.866532541184736</v>
      </c>
      <c r="K155" s="97">
        <v>24.54916379119944</v>
      </c>
      <c r="L155" s="97">
        <v>25.034362004991102</v>
      </c>
      <c r="M155" s="97">
        <v>24.569957571664219</v>
      </c>
      <c r="N155" s="97">
        <v>24.52524586406032</v>
      </c>
      <c r="O155" s="97">
        <v>24.18082014298124</v>
      </c>
      <c r="P155" s="97">
        <v>24.643259399071329</v>
      </c>
      <c r="Q155" s="97">
        <v>24.45606522659709</v>
      </c>
      <c r="R155" s="97">
        <v>24.416716871538011</v>
      </c>
      <c r="S155" s="97">
        <v>24.371415441092978</v>
      </c>
      <c r="T155" s="97">
        <v>24.341914732361836</v>
      </c>
      <c r="U155" s="97">
        <v>24.32439759626412</v>
      </c>
      <c r="V155" s="97">
        <v>17.584065718932816</v>
      </c>
      <c r="W155" s="97">
        <v>17.903972006661533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7.1072982839644645</v>
      </c>
      <c r="C156" s="32">
        <f t="shared" si="207"/>
        <v>6.6003926452328558</v>
      </c>
      <c r="D156" s="32">
        <f t="shared" si="207"/>
        <v>6.2251400629315992</v>
      </c>
      <c r="E156" s="32">
        <f t="shared" si="207"/>
        <v>5.6671595120791265</v>
      </c>
      <c r="F156" s="32">
        <f t="shared" si="207"/>
        <v>5.1284314786772809</v>
      </c>
      <c r="G156" s="32">
        <f t="shared" si="207"/>
        <v>4.4508689057494131</v>
      </c>
      <c r="H156" s="32">
        <f t="shared" si="207"/>
        <v>4.3685912330203962</v>
      </c>
      <c r="I156" s="32">
        <f t="shared" si="207"/>
        <v>4.1303115920566498</v>
      </c>
      <c r="J156" s="32">
        <f t="shared" si="207"/>
        <v>3.6827267234621703</v>
      </c>
      <c r="K156" s="32">
        <f t="shared" si="207"/>
        <v>3.4638472399741627</v>
      </c>
      <c r="L156" s="32">
        <f t="shared" ref="L156" si="208">IF(L19=0,0,L19/L46)</f>
        <v>3.6325250478838811</v>
      </c>
      <c r="M156" s="32">
        <f t="shared" ref="M156:V156" si="209">IF(M19=0,0,M19/M46)</f>
        <v>3.700106152656252</v>
      </c>
      <c r="N156" s="32">
        <f t="shared" si="209"/>
        <v>3.6307611254022034</v>
      </c>
      <c r="O156" s="32">
        <f t="shared" si="209"/>
        <v>3.7651765620361619</v>
      </c>
      <c r="P156" s="32">
        <f t="shared" si="209"/>
        <v>3.6010741464813325</v>
      </c>
      <c r="Q156" s="32">
        <f t="shared" si="209"/>
        <v>3.7229484720664212</v>
      </c>
      <c r="R156" s="32">
        <f t="shared" si="209"/>
        <v>4.1201298989772743</v>
      </c>
      <c r="S156" s="32">
        <f t="shared" si="209"/>
        <v>3.9948171615330148</v>
      </c>
      <c r="T156" s="32">
        <f t="shared" si="209"/>
        <v>3.9939045705730161</v>
      </c>
      <c r="U156" s="32">
        <f t="shared" si="209"/>
        <v>4.1424982011836526</v>
      </c>
      <c r="V156" s="32">
        <f t="shared" si="209"/>
        <v>4.548253849869468</v>
      </c>
      <c r="W156" s="32">
        <f t="shared" ref="W156" si="210">IF(W19=0,0,W19/W46)</f>
        <v>4.6056306881950109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0.14672342299184946</v>
      </c>
      <c r="C157" s="141">
        <f t="shared" si="211"/>
        <v>0.14545150100554735</v>
      </c>
      <c r="D157" s="141">
        <f t="shared" si="211"/>
        <v>0.14518440598018162</v>
      </c>
      <c r="E157" s="141">
        <f t="shared" si="211"/>
        <v>0.14637504467190082</v>
      </c>
      <c r="F157" s="141">
        <f t="shared" si="211"/>
        <v>0.14746767111237941</v>
      </c>
      <c r="G157" s="141">
        <f t="shared" si="211"/>
        <v>0.14814909457608322</v>
      </c>
      <c r="H157" s="141">
        <f t="shared" si="211"/>
        <v>0.14827611813751149</v>
      </c>
      <c r="I157" s="141">
        <f t="shared" si="211"/>
        <v>0.14876009859792702</v>
      </c>
      <c r="J157" s="141">
        <f t="shared" si="211"/>
        <v>0.14764815023080424</v>
      </c>
      <c r="K157" s="141">
        <f t="shared" si="211"/>
        <v>0.14760456112705744</v>
      </c>
      <c r="L157" s="141">
        <f t="shared" ref="L157" si="212">IF(L20=0,0,L20/L47)</f>
        <v>0.14628802305144181</v>
      </c>
      <c r="M157" s="141">
        <f t="shared" ref="M157:V157" si="213">IF(M20=0,0,M20/M47)</f>
        <v>0.14609340538197391</v>
      </c>
      <c r="N157" s="141">
        <f t="shared" si="213"/>
        <v>0.14583989566996552</v>
      </c>
      <c r="O157" s="141">
        <f t="shared" si="213"/>
        <v>0.14463078244373076</v>
      </c>
      <c r="P157" s="141">
        <f t="shared" si="213"/>
        <v>0.14232110372845685</v>
      </c>
      <c r="Q157" s="141">
        <f t="shared" si="213"/>
        <v>0.14152583406930067</v>
      </c>
      <c r="R157" s="141">
        <f t="shared" si="213"/>
        <v>0.13930200057489112</v>
      </c>
      <c r="S157" s="141">
        <f t="shared" si="213"/>
        <v>0.1390342203670118</v>
      </c>
      <c r="T157" s="141">
        <f t="shared" si="213"/>
        <v>0.13889947998712462</v>
      </c>
      <c r="U157" s="141">
        <f t="shared" si="213"/>
        <v>0.13883059670820333</v>
      </c>
      <c r="V157" s="141">
        <f t="shared" si="213"/>
        <v>0.13965630677264759</v>
      </c>
      <c r="W157" s="141">
        <f t="shared" ref="W157" si="214">IF(W20=0,0,W20/W47)</f>
        <v>0.13881835133464496</v>
      </c>
      <c r="DA157" s="174" t="s">
        <v>567</v>
      </c>
    </row>
    <row r="158" spans="1:105" ht="11.45" customHeight="1" x14ac:dyDescent="0.25">
      <c r="A158" s="111" t="s">
        <v>110</v>
      </c>
      <c r="B158" s="96">
        <v>0.1158082027164926</v>
      </c>
      <c r="C158" s="96">
        <v>0.11521670762954474</v>
      </c>
      <c r="D158" s="96">
        <v>0.11498299295043705</v>
      </c>
      <c r="E158" s="96">
        <v>0.1149375529748749</v>
      </c>
      <c r="F158" s="96">
        <v>0.11499310817449751</v>
      </c>
      <c r="G158" s="96">
        <v>0.11500144513311307</v>
      </c>
      <c r="H158" s="96">
        <v>0.11502882699275437</v>
      </c>
      <c r="I158" s="96">
        <v>0.11514774220463458</v>
      </c>
      <c r="J158" s="96">
        <v>0.11470404555605748</v>
      </c>
      <c r="K158" s="96">
        <v>0.11462685399964277</v>
      </c>
      <c r="L158" s="96">
        <v>0.11415063347524999</v>
      </c>
      <c r="M158" s="96">
        <v>0.11404057107530588</v>
      </c>
      <c r="N158" s="96">
        <v>0.11393457343696956</v>
      </c>
      <c r="O158" s="96">
        <v>0.11364960280296549</v>
      </c>
      <c r="P158" s="96">
        <v>0.11322707595373918</v>
      </c>
      <c r="Q158" s="96">
        <v>0.11318350291262134</v>
      </c>
      <c r="R158" s="96">
        <v>0.11279940001290789</v>
      </c>
      <c r="S158" s="96">
        <v>0.11296013545580796</v>
      </c>
      <c r="T158" s="96">
        <v>0.11295003701207515</v>
      </c>
      <c r="U158" s="96">
        <v>0.11295091616646864</v>
      </c>
      <c r="V158" s="96">
        <v>0.11319814919727235</v>
      </c>
      <c r="W158" s="96">
        <v>0.11297891707192186</v>
      </c>
      <c r="DA158" s="171" t="s">
        <v>568</v>
      </c>
    </row>
    <row r="159" spans="1:105" ht="11.45" customHeight="1" x14ac:dyDescent="0.25">
      <c r="A159" s="111" t="s">
        <v>111</v>
      </c>
      <c r="B159" s="96">
        <v>0.15807691600071555</v>
      </c>
      <c r="C159" s="96">
        <v>0.15566711342458134</v>
      </c>
      <c r="D159" s="96">
        <v>0.15472173126742175</v>
      </c>
      <c r="E159" s="96">
        <v>0.15453837092484277</v>
      </c>
      <c r="F159" s="96">
        <v>0.15476256815873909</v>
      </c>
      <c r="G159" s="96">
        <v>0.15479623128928621</v>
      </c>
      <c r="H159" s="96">
        <v>0.15490682862917146</v>
      </c>
      <c r="I159" s="96">
        <v>0.15538774707036163</v>
      </c>
      <c r="J159" s="96">
        <v>0.15359840154052773</v>
      </c>
      <c r="K159" s="96">
        <v>0.15328851214403333</v>
      </c>
      <c r="L159" s="96">
        <v>0.15138591403269422</v>
      </c>
      <c r="M159" s="96">
        <v>0.15094844373986094</v>
      </c>
      <c r="N159" s="96">
        <v>0.15052792730604314</v>
      </c>
      <c r="O159" s="96">
        <v>0.14906034068381974</v>
      </c>
      <c r="P159" s="96">
        <v>0.14626030389283001</v>
      </c>
      <c r="Q159" s="96">
        <v>0.14536748172377412</v>
      </c>
      <c r="R159" s="96">
        <v>0.14389252829273669</v>
      </c>
      <c r="S159" s="96">
        <v>0.14363973820107875</v>
      </c>
      <c r="T159" s="96">
        <v>0.14360121820099858</v>
      </c>
      <c r="U159" s="96">
        <v>0.14360457141701941</v>
      </c>
      <c r="V159" s="96">
        <v>0.14454962517877162</v>
      </c>
      <c r="W159" s="96">
        <v>0.14371139803904304</v>
      </c>
      <c r="DA159" s="171" t="s">
        <v>569</v>
      </c>
    </row>
    <row r="160" spans="1:105" ht="11.45" customHeight="1" x14ac:dyDescent="0.25">
      <c r="A160" s="111" t="s">
        <v>112</v>
      </c>
      <c r="B160" s="96">
        <v>0.11557565424743449</v>
      </c>
      <c r="C160" s="96">
        <v>0.11498534691121325</v>
      </c>
      <c r="D160" s="96">
        <v>0.11475210154247864</v>
      </c>
      <c r="E160" s="96">
        <v>0.11470675281258393</v>
      </c>
      <c r="F160" s="96">
        <v>0.11476219645468023</v>
      </c>
      <c r="G160" s="96">
        <v>0.1147705166722799</v>
      </c>
      <c r="H160" s="96">
        <v>0.11479784354782344</v>
      </c>
      <c r="I160" s="96">
        <v>0.11491651997221002</v>
      </c>
      <c r="J160" s="96">
        <v>0.1144737142879509</v>
      </c>
      <c r="K160" s="96">
        <v>0.11439667773591283</v>
      </c>
      <c r="L160" s="96">
        <v>0.11392141348535283</v>
      </c>
      <c r="M160" s="96">
        <v>0.11381157209602805</v>
      </c>
      <c r="N160" s="96">
        <v>0.11370578730607329</v>
      </c>
      <c r="O160" s="96">
        <v>0.11342138890687739</v>
      </c>
      <c r="P160" s="96">
        <v>0.11322707595373918</v>
      </c>
      <c r="Q160" s="96">
        <v>0.11318350291262136</v>
      </c>
      <c r="R160" s="96">
        <v>0.11279940001290788</v>
      </c>
      <c r="S160" s="96">
        <v>0.11273330604348079</v>
      </c>
      <c r="T160" s="96">
        <v>0.11272322787791114</v>
      </c>
      <c r="U160" s="96">
        <v>0.11272410526692016</v>
      </c>
      <c r="V160" s="96">
        <v>0.11297084184184709</v>
      </c>
      <c r="W160" s="96">
        <v>0.11275204994520169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0.11499945292795369</v>
      </c>
      <c r="O161" s="96">
        <v>0.11416830668853123</v>
      </c>
      <c r="P161" s="96">
        <v>0.11346089810155588</v>
      </c>
      <c r="Q161" s="96">
        <v>0.11318350291262136</v>
      </c>
      <c r="R161" s="96">
        <v>0.11305004109070026</v>
      </c>
      <c r="S161" s="96">
        <v>0.11213307055097628</v>
      </c>
      <c r="T161" s="96">
        <v>0.11180513676636145</v>
      </c>
      <c r="U161" s="96">
        <v>0.11159197811591993</v>
      </c>
      <c r="V161" s="96">
        <v>0.11395651723121258</v>
      </c>
      <c r="W161" s="96">
        <v>0.11143836930859843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0.14396060104040279</v>
      </c>
      <c r="K162" s="96">
        <v>0.14394220141299985</v>
      </c>
      <c r="L162" s="96">
        <v>0.14385556342533243</v>
      </c>
      <c r="M162" s="96">
        <v>0.14383170920386812</v>
      </c>
      <c r="N162" s="96">
        <v>0.14381006084902279</v>
      </c>
      <c r="O162" s="96">
        <v>0.14374705366403906</v>
      </c>
      <c r="P162" s="96">
        <v>0.14362655837200869</v>
      </c>
      <c r="Q162" s="96">
        <v>0.14359891989382201</v>
      </c>
      <c r="R162" s="96">
        <v>0.14384320260517655</v>
      </c>
      <c r="S162" s="96">
        <v>0.1438853630611106</v>
      </c>
      <c r="T162" s="96">
        <v>0.14389179504557689</v>
      </c>
      <c r="U162" s="96">
        <v>0.14389235504033646</v>
      </c>
      <c r="V162" s="96">
        <v>0.14627142161476525</v>
      </c>
      <c r="W162" s="96">
        <v>0.14391018963030172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11.329435644429747</v>
      </c>
      <c r="C163" s="130">
        <f t="shared" si="215"/>
        <v>10.663560020028171</v>
      </c>
      <c r="D163" s="130">
        <f t="shared" si="215"/>
        <v>10.306058525025312</v>
      </c>
      <c r="E163" s="130">
        <f t="shared" si="215"/>
        <v>9.5068148866371605</v>
      </c>
      <c r="F163" s="130">
        <f t="shared" si="215"/>
        <v>8.7695718522471235</v>
      </c>
      <c r="G163" s="130">
        <f t="shared" si="215"/>
        <v>7.8219590143550795</v>
      </c>
      <c r="H163" s="130">
        <f t="shared" si="215"/>
        <v>8.2768061833411259</v>
      </c>
      <c r="I163" s="130">
        <f t="shared" si="215"/>
        <v>8.3642093178199506</v>
      </c>
      <c r="J163" s="130">
        <f t="shared" si="215"/>
        <v>8.4194604364405574</v>
      </c>
      <c r="K163" s="130">
        <f t="shared" si="215"/>
        <v>8.7177322155247783</v>
      </c>
      <c r="L163" s="130">
        <f t="shared" ref="L163" si="216">IF(L26=0,0,L26/L53)</f>
        <v>9.4076275579660447</v>
      </c>
      <c r="M163" s="130">
        <f t="shared" ref="M163:V163" si="217">IF(M26=0,0,M26/M53)</f>
        <v>9.6062884706680354</v>
      </c>
      <c r="N163" s="130">
        <f t="shared" si="217"/>
        <v>9.6930406745788673</v>
      </c>
      <c r="O163" s="130">
        <f t="shared" si="217"/>
        <v>9.9153368778394384</v>
      </c>
      <c r="P163" s="130">
        <f t="shared" si="217"/>
        <v>9.8387686998631398</v>
      </c>
      <c r="Q163" s="130">
        <f t="shared" si="217"/>
        <v>9.8522350439039492</v>
      </c>
      <c r="R163" s="130">
        <f t="shared" si="217"/>
        <v>9.8661435098946946</v>
      </c>
      <c r="S163" s="130">
        <f t="shared" si="217"/>
        <v>9.4915280988808046</v>
      </c>
      <c r="T163" s="130">
        <f t="shared" si="217"/>
        <v>9.5258014584980284</v>
      </c>
      <c r="U163" s="130">
        <f t="shared" si="217"/>
        <v>9.805589241995925</v>
      </c>
      <c r="V163" s="130">
        <f t="shared" si="217"/>
        <v>10.015760544980791</v>
      </c>
      <c r="W163" s="130">
        <f t="shared" ref="W163" si="218">IF(W26=0,0,W26/W53)</f>
        <v>9.8213721288132465</v>
      </c>
      <c r="DA163" s="176" t="s">
        <v>573</v>
      </c>
    </row>
    <row r="164" spans="1:105" ht="11.45" customHeight="1" x14ac:dyDescent="0.25">
      <c r="A164" s="128" t="s">
        <v>27</v>
      </c>
      <c r="B164" s="97">
        <v>9.6431478968792401</v>
      </c>
      <c r="C164" s="97">
        <v>8.7606538237011087</v>
      </c>
      <c r="D164" s="97">
        <v>8.3340143003064355</v>
      </c>
      <c r="E164" s="97">
        <v>7.4997840172786177</v>
      </c>
      <c r="F164" s="97">
        <v>6.3699880905121082</v>
      </c>
      <c r="G164" s="97">
        <v>5.2962457337883961</v>
      </c>
      <c r="H164" s="97">
        <v>5.7008153137185396</v>
      </c>
      <c r="I164" s="97">
        <v>5.7007562117392867</v>
      </c>
      <c r="J164" s="97">
        <v>5.9225272658894319</v>
      </c>
      <c r="K164" s="97">
        <v>6.1189287335451654</v>
      </c>
      <c r="L164" s="97">
        <v>6.7560640732265442</v>
      </c>
      <c r="M164" s="97">
        <v>6.9182825484764541</v>
      </c>
      <c r="N164" s="97">
        <v>6.968069666182874</v>
      </c>
      <c r="O164" s="97">
        <v>7.1524163568773238</v>
      </c>
      <c r="P164" s="97">
        <v>7.2066009429918561</v>
      </c>
      <c r="Q164" s="97">
        <v>7.5738291026099391</v>
      </c>
      <c r="R164" s="97">
        <v>7.7390700902151286</v>
      </c>
      <c r="S164" s="97">
        <v>7.2250082481029363</v>
      </c>
      <c r="T164" s="97">
        <v>7.4621236133122029</v>
      </c>
      <c r="U164" s="97">
        <v>7.8358395989974934</v>
      </c>
      <c r="V164" s="97">
        <v>8.1355395683453242</v>
      </c>
      <c r="W164" s="97">
        <v>7.8202837624802939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14.088849058887032</v>
      </c>
      <c r="I165" s="98">
        <v>14.115262081857324</v>
      </c>
      <c r="J165" s="98">
        <v>13.915448013039784</v>
      </c>
      <c r="K165" s="98">
        <v>13.731801555818866</v>
      </c>
      <c r="L165" s="98">
        <v>14.178700182725075</v>
      </c>
      <c r="M165" s="98">
        <v>14.133203670456812</v>
      </c>
      <c r="N165" s="98">
        <v>14.086426180736332</v>
      </c>
      <c r="O165" s="98">
        <v>14.105166269382361</v>
      </c>
      <c r="P165" s="98">
        <v>14.138211571635042</v>
      </c>
      <c r="Q165" s="98">
        <v>14.005556317739057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7475.9798982040629</v>
      </c>
      <c r="C167" s="54">
        <f t="shared" si="219"/>
        <v>8061.3584956093637</v>
      </c>
      <c r="D167" s="54">
        <f t="shared" si="219"/>
        <v>8294.7481904655451</v>
      </c>
      <c r="E167" s="54">
        <f t="shared" si="219"/>
        <v>9342.4344246708388</v>
      </c>
      <c r="F167" s="54">
        <f t="shared" si="219"/>
        <v>9491.5045994543325</v>
      </c>
      <c r="G167" s="54">
        <f t="shared" si="219"/>
        <v>9572.3750625403918</v>
      </c>
      <c r="H167" s="54">
        <f t="shared" si="219"/>
        <v>9386.0203886218551</v>
      </c>
      <c r="I167" s="54">
        <f t="shared" si="219"/>
        <v>9423.2249555404487</v>
      </c>
      <c r="J167" s="54">
        <f t="shared" si="219"/>
        <v>9244.6630986449454</v>
      </c>
      <c r="K167" s="54">
        <f t="shared" si="219"/>
        <v>9351.3166249602345</v>
      </c>
      <c r="L167" s="54">
        <f t="shared" si="219"/>
        <v>8801.3173953431142</v>
      </c>
      <c r="M167" s="54">
        <f>IF(M30=0,0,M30*1000000/M57)</f>
        <v>8823.9898695014581</v>
      </c>
      <c r="N167" s="54">
        <f t="shared" ref="N167:V167" si="220">IF(N30=0,0,N30*1000000/N57)</f>
        <v>8575.7597577390188</v>
      </c>
      <c r="O167" s="54">
        <f t="shared" si="220"/>
        <v>8687.2767622709616</v>
      </c>
      <c r="P167" s="54">
        <f t="shared" si="220"/>
        <v>8852.462920229611</v>
      </c>
      <c r="Q167" s="54">
        <f t="shared" si="220"/>
        <v>8790.9916748667092</v>
      </c>
      <c r="R167" s="54">
        <f t="shared" si="220"/>
        <v>8945.1065087790266</v>
      </c>
      <c r="S167" s="54">
        <f t="shared" si="220"/>
        <v>8885.5039259789992</v>
      </c>
      <c r="T167" s="54">
        <f t="shared" si="220"/>
        <v>8835.1778856494184</v>
      </c>
      <c r="U167" s="54">
        <f t="shared" si="220"/>
        <v>8900.0372500141748</v>
      </c>
      <c r="V167" s="54">
        <f t="shared" si="220"/>
        <v>8524.9738454202252</v>
      </c>
      <c r="W167" s="54">
        <f t="shared" ref="W167:W191" si="221">IF(W30=0,0,W30*1000000/W57)</f>
        <v>9252.5579861537153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7143.5695588031131</v>
      </c>
      <c r="C168" s="28">
        <f t="shared" si="219"/>
        <v>7681.0310377541809</v>
      </c>
      <c r="D168" s="28">
        <f t="shared" si="219"/>
        <v>7858.5203843377367</v>
      </c>
      <c r="E168" s="28">
        <f t="shared" si="219"/>
        <v>8866.2172302500749</v>
      </c>
      <c r="F168" s="28">
        <f t="shared" si="219"/>
        <v>8946.2590093378767</v>
      </c>
      <c r="G168" s="28">
        <f t="shared" si="219"/>
        <v>8951.9941035650118</v>
      </c>
      <c r="H168" s="28">
        <f t="shared" si="219"/>
        <v>8769.1183820743263</v>
      </c>
      <c r="I168" s="28">
        <f t="shared" si="219"/>
        <v>8839.5825340678457</v>
      </c>
      <c r="J168" s="28">
        <f t="shared" si="219"/>
        <v>8626.2813313338083</v>
      </c>
      <c r="K168" s="28">
        <f t="shared" si="219"/>
        <v>8811.3023477816841</v>
      </c>
      <c r="L168" s="28">
        <f t="shared" si="219"/>
        <v>8138.9010409807634</v>
      </c>
      <c r="M168" s="28">
        <f t="shared" ref="M168:M192" si="222">IF(M31=0,0,M31*1000000/M58)</f>
        <v>8146.6465002808691</v>
      </c>
      <c r="N168" s="28">
        <f t="shared" si="219"/>
        <v>7906.4990485160952</v>
      </c>
      <c r="O168" s="28">
        <f t="shared" si="219"/>
        <v>7952.4726990277231</v>
      </c>
      <c r="P168" s="28">
        <f t="shared" si="219"/>
        <v>8028.8162701119663</v>
      </c>
      <c r="Q168" s="28">
        <f t="shared" si="219"/>
        <v>7878.2966370759386</v>
      </c>
      <c r="R168" s="28">
        <f t="shared" si="219"/>
        <v>8132.27667831904</v>
      </c>
      <c r="S168" s="28">
        <f t="shared" si="219"/>
        <v>8077.8200773286062</v>
      </c>
      <c r="T168" s="28">
        <f t="shared" si="219"/>
        <v>8051.2300607661973</v>
      </c>
      <c r="U168" s="28">
        <f t="shared" si="219"/>
        <v>8134.7267962846963</v>
      </c>
      <c r="V168" s="28">
        <f t="shared" si="219"/>
        <v>7694.103286139165</v>
      </c>
      <c r="W168" s="28">
        <f t="shared" si="221"/>
        <v>8402.0467963797837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1109.7912777872052</v>
      </c>
      <c r="C169" s="137">
        <f t="shared" si="219"/>
        <v>1045.6640134059489</v>
      </c>
      <c r="D169" s="137">
        <f t="shared" si="219"/>
        <v>1013.2890365448505</v>
      </c>
      <c r="E169" s="137">
        <f t="shared" si="219"/>
        <v>1021.8487394957983</v>
      </c>
      <c r="F169" s="137">
        <f t="shared" si="219"/>
        <v>1013.3779264214047</v>
      </c>
      <c r="G169" s="137">
        <f t="shared" si="219"/>
        <v>1001.2759170653908</v>
      </c>
      <c r="H169" s="137">
        <f t="shared" si="219"/>
        <v>999.83159436772758</v>
      </c>
      <c r="I169" s="137">
        <f t="shared" si="219"/>
        <v>1001.9363367398275</v>
      </c>
      <c r="J169" s="137">
        <f t="shared" si="219"/>
        <v>1005.91026255984</v>
      </c>
      <c r="K169" s="137">
        <f t="shared" si="219"/>
        <v>1011.7186873289473</v>
      </c>
      <c r="L169" s="137">
        <f t="shared" si="219"/>
        <v>1011.3322833851167</v>
      </c>
      <c r="M169" s="137">
        <f t="shared" si="222"/>
        <v>1012.0933384825258</v>
      </c>
      <c r="N169" s="137">
        <f t="shared" si="219"/>
        <v>1016.5327638258337</v>
      </c>
      <c r="O169" s="137">
        <f t="shared" si="219"/>
        <v>1017.4260924746976</v>
      </c>
      <c r="P169" s="137">
        <f t="shared" si="219"/>
        <v>1021.0105653549375</v>
      </c>
      <c r="Q169" s="137">
        <f t="shared" si="219"/>
        <v>1022.3594308672314</v>
      </c>
      <c r="R169" s="137">
        <f t="shared" si="219"/>
        <v>1029.6478187201787</v>
      </c>
      <c r="S169" s="137">
        <f t="shared" si="219"/>
        <v>955.60860433562698</v>
      </c>
      <c r="T169" s="137">
        <f t="shared" si="219"/>
        <v>895.05042319786151</v>
      </c>
      <c r="U169" s="137">
        <f t="shared" si="219"/>
        <v>932.62245189678049</v>
      </c>
      <c r="V169" s="137">
        <f t="shared" si="219"/>
        <v>818.8843380949354</v>
      </c>
      <c r="W169" s="137">
        <f t="shared" si="221"/>
        <v>838.03565191782468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9010.2112045043723</v>
      </c>
      <c r="C170" s="110">
        <f t="shared" si="219"/>
        <v>9751.7193259433043</v>
      </c>
      <c r="D170" s="110">
        <f t="shared" si="219"/>
        <v>9958.1022953255979</v>
      </c>
      <c r="E170" s="110">
        <f t="shared" si="219"/>
        <v>11247.806530272603</v>
      </c>
      <c r="F170" s="110">
        <f t="shared" si="219"/>
        <v>11312.41354161645</v>
      </c>
      <c r="G170" s="110">
        <f t="shared" si="219"/>
        <v>11357.027938499697</v>
      </c>
      <c r="H170" s="110">
        <f t="shared" si="219"/>
        <v>11097.623403798434</v>
      </c>
      <c r="I170" s="110">
        <f t="shared" si="219"/>
        <v>11174.787083924135</v>
      </c>
      <c r="J170" s="110">
        <f t="shared" si="219"/>
        <v>10879.014975603899</v>
      </c>
      <c r="K170" s="110">
        <f t="shared" si="219"/>
        <v>11120.899933753271</v>
      </c>
      <c r="L170" s="110">
        <f t="shared" si="219"/>
        <v>10243.800031608163</v>
      </c>
      <c r="M170" s="110">
        <f t="shared" si="222"/>
        <v>10257.468634810386</v>
      </c>
      <c r="N170" s="110">
        <f t="shared" si="219"/>
        <v>9939.5279437692971</v>
      </c>
      <c r="O170" s="110">
        <f t="shared" si="219"/>
        <v>9982.5683927272821</v>
      </c>
      <c r="P170" s="110">
        <f t="shared" si="219"/>
        <v>10058.786569696855</v>
      </c>
      <c r="Q170" s="110">
        <f t="shared" si="219"/>
        <v>9830.2065992004773</v>
      </c>
      <c r="R170" s="110">
        <f t="shared" si="219"/>
        <v>10115.619733009127</v>
      </c>
      <c r="S170" s="110">
        <f t="shared" si="219"/>
        <v>10012.557078715517</v>
      </c>
      <c r="T170" s="110">
        <f t="shared" si="219"/>
        <v>9963.1306287720763</v>
      </c>
      <c r="U170" s="110">
        <f t="shared" si="219"/>
        <v>10040.588678258198</v>
      </c>
      <c r="V170" s="110">
        <f t="shared" si="219"/>
        <v>9539.5512757912638</v>
      </c>
      <c r="W170" s="110">
        <f t="shared" si="221"/>
        <v>10458.775717228802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7733.6827499685505</v>
      </c>
      <c r="C171" s="84">
        <f t="shared" si="219"/>
        <v>8086.6106406968074</v>
      </c>
      <c r="D171" s="84">
        <f t="shared" si="219"/>
        <v>8134.1482703350803</v>
      </c>
      <c r="E171" s="84">
        <f t="shared" si="219"/>
        <v>9016.7980421596239</v>
      </c>
      <c r="F171" s="84">
        <f t="shared" si="219"/>
        <v>8948.4325155906263</v>
      </c>
      <c r="G171" s="84">
        <f t="shared" si="219"/>
        <v>8646.4849592096671</v>
      </c>
      <c r="H171" s="84">
        <f t="shared" si="219"/>
        <v>8439.9348914330185</v>
      </c>
      <c r="I171" s="84">
        <f t="shared" si="219"/>
        <v>8669.5413484458659</v>
      </c>
      <c r="J171" s="84">
        <f t="shared" si="219"/>
        <v>8400.5002670910835</v>
      </c>
      <c r="K171" s="84">
        <f t="shared" si="219"/>
        <v>8574.0276744097991</v>
      </c>
      <c r="L171" s="84">
        <f t="shared" si="219"/>
        <v>8021.9950863228696</v>
      </c>
      <c r="M171" s="84">
        <f t="shared" si="222"/>
        <v>7851.9005304359744</v>
      </c>
      <c r="N171" s="84">
        <f t="shared" si="219"/>
        <v>7494.040188949034</v>
      </c>
      <c r="O171" s="84">
        <f t="shared" si="219"/>
        <v>7135.4113036447861</v>
      </c>
      <c r="P171" s="84">
        <f t="shared" si="219"/>
        <v>7235.2995905311982</v>
      </c>
      <c r="Q171" s="84">
        <f t="shared" si="219"/>
        <v>7183.9011705057355</v>
      </c>
      <c r="R171" s="84">
        <f t="shared" si="219"/>
        <v>7366.7349355581919</v>
      </c>
      <c r="S171" s="84">
        <f t="shared" si="219"/>
        <v>7304.3942064076728</v>
      </c>
      <c r="T171" s="84">
        <f t="shared" si="219"/>
        <v>7371.2967512878404</v>
      </c>
      <c r="U171" s="84">
        <f t="shared" si="219"/>
        <v>7375.7597863890205</v>
      </c>
      <c r="V171" s="84">
        <f t="shared" si="219"/>
        <v>6667.0898048117515</v>
      </c>
      <c r="W171" s="84">
        <f t="shared" si="221"/>
        <v>6989.4450037873303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19207.412722081084</v>
      </c>
      <c r="C172" s="84">
        <f t="shared" si="219"/>
        <v>21842.440137702793</v>
      </c>
      <c r="D172" s="84">
        <f t="shared" si="219"/>
        <v>21590.803407006042</v>
      </c>
      <c r="E172" s="84">
        <f t="shared" si="219"/>
        <v>23687.217451452369</v>
      </c>
      <c r="F172" s="84">
        <f t="shared" si="219"/>
        <v>23286.981069402362</v>
      </c>
      <c r="G172" s="84">
        <f t="shared" si="219"/>
        <v>24009.342136240633</v>
      </c>
      <c r="H172" s="84">
        <f t="shared" si="219"/>
        <v>22451.773128397086</v>
      </c>
      <c r="I172" s="84">
        <f t="shared" si="219"/>
        <v>21074.225177683777</v>
      </c>
      <c r="J172" s="84">
        <f t="shared" si="219"/>
        <v>19724.926427138376</v>
      </c>
      <c r="K172" s="84">
        <f t="shared" si="219"/>
        <v>19321.473222729212</v>
      </c>
      <c r="L172" s="84">
        <f t="shared" si="219"/>
        <v>16685.316196131578</v>
      </c>
      <c r="M172" s="84">
        <f t="shared" si="222"/>
        <v>16634.948050124127</v>
      </c>
      <c r="N172" s="84">
        <f t="shared" si="219"/>
        <v>15681.78402073267</v>
      </c>
      <c r="O172" s="84">
        <f t="shared" si="219"/>
        <v>16403.641084802046</v>
      </c>
      <c r="P172" s="84">
        <f t="shared" si="219"/>
        <v>16077.256722676952</v>
      </c>
      <c r="Q172" s="84">
        <f t="shared" si="219"/>
        <v>15071.439439058393</v>
      </c>
      <c r="R172" s="84">
        <f t="shared" si="219"/>
        <v>15245.866147216995</v>
      </c>
      <c r="S172" s="84">
        <f t="shared" si="219"/>
        <v>14846.31381223507</v>
      </c>
      <c r="T172" s="84">
        <f t="shared" si="219"/>
        <v>14314.849339575323</v>
      </c>
      <c r="U172" s="84">
        <f t="shared" si="219"/>
        <v>14382.138547096594</v>
      </c>
      <c r="V172" s="84">
        <f t="shared" si="219"/>
        <v>14084.548644814686</v>
      </c>
      <c r="W172" s="84">
        <f t="shared" si="221"/>
        <v>15873.461585243293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8786.5175416762468</v>
      </c>
      <c r="C173" s="84">
        <f t="shared" si="219"/>
        <v>8743.6593049277653</v>
      </c>
      <c r="D173" s="84">
        <f t="shared" si="219"/>
        <v>8428.1270455880003</v>
      </c>
      <c r="E173" s="84">
        <f t="shared" si="219"/>
        <v>8981.3655674232486</v>
      </c>
      <c r="F173" s="84">
        <f t="shared" si="219"/>
        <v>8611.9986153746686</v>
      </c>
      <c r="G173" s="84">
        <f t="shared" si="219"/>
        <v>8264.9171453229574</v>
      </c>
      <c r="H173" s="84">
        <f t="shared" si="219"/>
        <v>7868.8521543369334</v>
      </c>
      <c r="I173" s="84">
        <f t="shared" si="219"/>
        <v>7600.2447894587804</v>
      </c>
      <c r="J173" s="84">
        <f t="shared" si="219"/>
        <v>7326.858853069135</v>
      </c>
      <c r="K173" s="84">
        <f t="shared" si="219"/>
        <v>7095.7515558087216</v>
      </c>
      <c r="L173" s="84">
        <f t="shared" si="219"/>
        <v>6852.5881698518815</v>
      </c>
      <c r="M173" s="84">
        <f t="shared" si="222"/>
        <v>6542.0228977844918</v>
      </c>
      <c r="N173" s="84">
        <f t="shared" si="219"/>
        <v>6171.4368297815454</v>
      </c>
      <c r="O173" s="84">
        <f t="shared" si="219"/>
        <v>6117.4496578985309</v>
      </c>
      <c r="P173" s="84">
        <f t="shared" si="219"/>
        <v>6028.9799158597243</v>
      </c>
      <c r="Q173" s="84">
        <f t="shared" si="219"/>
        <v>6031.1748058640569</v>
      </c>
      <c r="R173" s="84">
        <f t="shared" si="219"/>
        <v>5904.4148445986011</v>
      </c>
      <c r="S173" s="84">
        <f t="shared" si="219"/>
        <v>5549.202894896418</v>
      </c>
      <c r="T173" s="84">
        <f t="shared" si="219"/>
        <v>5478.9540495982646</v>
      </c>
      <c r="U173" s="84">
        <f t="shared" si="219"/>
        <v>5508.460345870094</v>
      </c>
      <c r="V173" s="84">
        <f t="shared" si="219"/>
        <v>4959.1933587442436</v>
      </c>
      <c r="W173" s="84">
        <f t="shared" si="221"/>
        <v>5189.018216989024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12611.942147410744</v>
      </c>
      <c r="K174" s="84">
        <f t="shared" si="219"/>
        <v>13169.939215501752</v>
      </c>
      <c r="L174" s="84">
        <f t="shared" si="219"/>
        <v>12328.064895667021</v>
      </c>
      <c r="M174" s="84">
        <f t="shared" si="222"/>
        <v>11732.529512162637</v>
      </c>
      <c r="N174" s="84">
        <f t="shared" si="219"/>
        <v>10860.910411482151</v>
      </c>
      <c r="O174" s="84">
        <f t="shared" si="219"/>
        <v>10312.766969264441</v>
      </c>
      <c r="P174" s="84">
        <f t="shared" si="219"/>
        <v>10242.076767874423</v>
      </c>
      <c r="Q174" s="84">
        <f t="shared" si="219"/>
        <v>9904.533720569365</v>
      </c>
      <c r="R174" s="84">
        <f t="shared" si="219"/>
        <v>10410.83464659429</v>
      </c>
      <c r="S174" s="84">
        <f t="shared" si="219"/>
        <v>10505.478926013337</v>
      </c>
      <c r="T174" s="84">
        <f t="shared" si="219"/>
        <v>10660.053596613061</v>
      </c>
      <c r="U174" s="84">
        <f t="shared" si="219"/>
        <v>10962.032347451741</v>
      </c>
      <c r="V174" s="84">
        <f t="shared" si="219"/>
        <v>10596.158845138867</v>
      </c>
      <c r="W174" s="84">
        <f t="shared" si="221"/>
        <v>11904.171642455422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7824.6496538511583</v>
      </c>
      <c r="O175" s="84">
        <f t="shared" si="219"/>
        <v>8201.9306410236586</v>
      </c>
      <c r="P175" s="84">
        <f t="shared" si="219"/>
        <v>8745.9196109381373</v>
      </c>
      <c r="Q175" s="84">
        <f t="shared" si="219"/>
        <v>9080.8824914911547</v>
      </c>
      <c r="R175" s="84">
        <f t="shared" si="219"/>
        <v>8890.0254279952678</v>
      </c>
      <c r="S175" s="84">
        <f t="shared" si="219"/>
        <v>8355.1979559606789</v>
      </c>
      <c r="T175" s="84">
        <f t="shared" si="219"/>
        <v>7896.3012702486103</v>
      </c>
      <c r="U175" s="84">
        <f t="shared" si="219"/>
        <v>7618.8419507877607</v>
      </c>
      <c r="V175" s="84">
        <f t="shared" si="219"/>
        <v>6945.8989621312357</v>
      </c>
      <c r="W175" s="84">
        <f t="shared" si="221"/>
        <v>7327.9749043674346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10244.622291387594</v>
      </c>
      <c r="M176" s="84">
        <f t="shared" si="222"/>
        <v>10256.92613820081</v>
      </c>
      <c r="N176" s="84">
        <f t="shared" si="219"/>
        <v>10282.826470484995</v>
      </c>
      <c r="O176" s="84">
        <f t="shared" si="219"/>
        <v>10309.930365406168</v>
      </c>
      <c r="P176" s="84">
        <f t="shared" si="219"/>
        <v>10315.065222546204</v>
      </c>
      <c r="Q176" s="84">
        <f t="shared" si="219"/>
        <v>10321.685036223247</v>
      </c>
      <c r="R176" s="84">
        <f t="shared" si="219"/>
        <v>10310.97561520027</v>
      </c>
      <c r="S176" s="84">
        <f t="shared" si="219"/>
        <v>10306.147313140849</v>
      </c>
      <c r="T176" s="84">
        <f t="shared" si="219"/>
        <v>10301.439410620769</v>
      </c>
      <c r="U176" s="84">
        <f t="shared" si="219"/>
        <v>10301.319005764502</v>
      </c>
      <c r="V176" s="84">
        <f t="shared" si="219"/>
        <v>9555.5070865708203</v>
      </c>
      <c r="W176" s="84">
        <f t="shared" si="221"/>
        <v>10273.472112762671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32246.164919699491</v>
      </c>
      <c r="C177" s="110">
        <f t="shared" si="219"/>
        <v>32630.739665535435</v>
      </c>
      <c r="D177" s="110">
        <f t="shared" si="219"/>
        <v>33822.763159914684</v>
      </c>
      <c r="E177" s="110">
        <f t="shared" si="219"/>
        <v>32163.362530167396</v>
      </c>
      <c r="F177" s="110">
        <f t="shared" si="219"/>
        <v>30585.947497234731</v>
      </c>
      <c r="G177" s="110">
        <f t="shared" si="219"/>
        <v>30055.030337237196</v>
      </c>
      <c r="H177" s="110">
        <f t="shared" si="219"/>
        <v>30678.672607119595</v>
      </c>
      <c r="I177" s="110">
        <f t="shared" si="219"/>
        <v>31148.060069435243</v>
      </c>
      <c r="J177" s="110">
        <f t="shared" si="219"/>
        <v>31357.04060961249</v>
      </c>
      <c r="K177" s="110">
        <f t="shared" si="219"/>
        <v>32323.04582285897</v>
      </c>
      <c r="L177" s="110">
        <f t="shared" si="219"/>
        <v>33996.405134805231</v>
      </c>
      <c r="M177" s="110">
        <f t="shared" si="222"/>
        <v>32374.520363338106</v>
      </c>
      <c r="N177" s="110">
        <f t="shared" si="219"/>
        <v>31223.423949366479</v>
      </c>
      <c r="O177" s="110">
        <f t="shared" si="219"/>
        <v>32762.387079488821</v>
      </c>
      <c r="P177" s="110">
        <f t="shared" si="219"/>
        <v>34503.029201973979</v>
      </c>
      <c r="Q177" s="110">
        <f t="shared" si="219"/>
        <v>32872.479023217275</v>
      </c>
      <c r="R177" s="110">
        <f t="shared" si="219"/>
        <v>34591.569233467002</v>
      </c>
      <c r="S177" s="110">
        <f t="shared" si="219"/>
        <v>35614.068288732044</v>
      </c>
      <c r="T177" s="110">
        <f t="shared" si="219"/>
        <v>34405.311876756008</v>
      </c>
      <c r="U177" s="110">
        <f t="shared" si="219"/>
        <v>33836.395335387133</v>
      </c>
      <c r="V177" s="110">
        <f t="shared" si="219"/>
        <v>27170.949837886987</v>
      </c>
      <c r="W177" s="110">
        <f t="shared" si="221"/>
        <v>25135.056921604402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15516.815562794171</v>
      </c>
      <c r="C178" s="102">
        <f t="shared" si="219"/>
        <v>15403.120615204563</v>
      </c>
      <c r="D178" s="102">
        <f t="shared" si="219"/>
        <v>15680.857886686546</v>
      </c>
      <c r="E178" s="102">
        <f t="shared" si="219"/>
        <v>15177.621657009455</v>
      </c>
      <c r="F178" s="102">
        <f t="shared" si="219"/>
        <v>14257.840935673112</v>
      </c>
      <c r="G178" s="102">
        <f t="shared" si="219"/>
        <v>13723.616933370116</v>
      </c>
      <c r="H178" s="102">
        <f t="shared" si="219"/>
        <v>13747.818160419214</v>
      </c>
      <c r="I178" s="102">
        <f t="shared" si="219"/>
        <v>13922.309721222862</v>
      </c>
      <c r="J178" s="102">
        <f t="shared" si="219"/>
        <v>14058.035204588754</v>
      </c>
      <c r="K178" s="102">
        <f t="shared" si="219"/>
        <v>14342.358614321955</v>
      </c>
      <c r="L178" s="102">
        <f t="shared" si="219"/>
        <v>14951.464736245611</v>
      </c>
      <c r="M178" s="102">
        <f t="shared" si="222"/>
        <v>13928.43909007384</v>
      </c>
      <c r="N178" s="102">
        <f t="shared" si="219"/>
        <v>13137.328236826264</v>
      </c>
      <c r="O178" s="102">
        <f t="shared" si="219"/>
        <v>13471.687229577268</v>
      </c>
      <c r="P178" s="102">
        <f t="shared" si="219"/>
        <v>13810.878509603363</v>
      </c>
      <c r="Q178" s="102">
        <f t="shared" si="219"/>
        <v>12973.655883455658</v>
      </c>
      <c r="R178" s="102">
        <f t="shared" si="219"/>
        <v>13413.223081982318</v>
      </c>
      <c r="S178" s="102">
        <f t="shared" si="219"/>
        <v>13553.23948961894</v>
      </c>
      <c r="T178" s="102">
        <f t="shared" si="219"/>
        <v>12809.238017714702</v>
      </c>
      <c r="U178" s="102">
        <f t="shared" si="219"/>
        <v>12335.191394377751</v>
      </c>
      <c r="V178" s="102">
        <f t="shared" si="219"/>
        <v>9601.2711507585118</v>
      </c>
      <c r="W178" s="102">
        <f t="shared" si="221"/>
        <v>8670.3896559928417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35023.219146877942</v>
      </c>
      <c r="C179" s="102">
        <f t="shared" si="219"/>
        <v>35230.344463743946</v>
      </c>
      <c r="D179" s="102">
        <f t="shared" si="219"/>
        <v>37037.115182203306</v>
      </c>
      <c r="E179" s="102">
        <f t="shared" si="219"/>
        <v>34768.692434285724</v>
      </c>
      <c r="F179" s="102">
        <f t="shared" si="219"/>
        <v>32632.481510142396</v>
      </c>
      <c r="G179" s="102">
        <f t="shared" si="219"/>
        <v>31926.643107297892</v>
      </c>
      <c r="H179" s="102">
        <f t="shared" si="219"/>
        <v>32642.629151805777</v>
      </c>
      <c r="I179" s="102">
        <f t="shared" si="219"/>
        <v>33249.907063241037</v>
      </c>
      <c r="J179" s="102">
        <f t="shared" si="219"/>
        <v>33349.52299906913</v>
      </c>
      <c r="K179" s="102">
        <f t="shared" si="219"/>
        <v>34321.656526803112</v>
      </c>
      <c r="L179" s="102">
        <f t="shared" si="219"/>
        <v>36216.868296472916</v>
      </c>
      <c r="M179" s="102">
        <f t="shared" si="222"/>
        <v>34356.663540642228</v>
      </c>
      <c r="N179" s="102">
        <f t="shared" si="219"/>
        <v>32980.642892767937</v>
      </c>
      <c r="O179" s="102">
        <f t="shared" si="219"/>
        <v>34813.71095797931</v>
      </c>
      <c r="P179" s="102">
        <f t="shared" si="219"/>
        <v>36836.395005926977</v>
      </c>
      <c r="Q179" s="102">
        <f t="shared" si="219"/>
        <v>35265.994959272801</v>
      </c>
      <c r="R179" s="102">
        <f t="shared" si="219"/>
        <v>36881.892141546356</v>
      </c>
      <c r="S179" s="102">
        <f t="shared" si="219"/>
        <v>37553.461995229845</v>
      </c>
      <c r="T179" s="102">
        <f t="shared" si="219"/>
        <v>36206.243979996587</v>
      </c>
      <c r="U179" s="102">
        <f t="shared" si="219"/>
        <v>35595.518542630474</v>
      </c>
      <c r="V179" s="102">
        <f t="shared" si="219"/>
        <v>28821.234324406207</v>
      </c>
      <c r="W179" s="102">
        <f t="shared" si="221"/>
        <v>26566.043773581678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14997.317736063307</v>
      </c>
      <c r="W180" s="102">
        <f t="shared" si="221"/>
        <v>13873.583265083735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30452.405938310229</v>
      </c>
      <c r="C181" s="102">
        <f t="shared" si="223"/>
        <v>29631.289152176952</v>
      </c>
      <c r="D181" s="102">
        <f t="shared" si="223"/>
        <v>28214.000516173237</v>
      </c>
      <c r="E181" s="102">
        <f t="shared" si="223"/>
        <v>27633.950634237815</v>
      </c>
      <c r="F181" s="102">
        <f t="shared" si="223"/>
        <v>32939.328786924685</v>
      </c>
      <c r="G181" s="102">
        <f t="shared" si="223"/>
        <v>32339.234741125907</v>
      </c>
      <c r="H181" s="102">
        <f t="shared" si="223"/>
        <v>29870.549557716517</v>
      </c>
      <c r="I181" s="102">
        <f t="shared" si="223"/>
        <v>24280.485170133699</v>
      </c>
      <c r="J181" s="102">
        <f t="shared" si="223"/>
        <v>24116.544744766656</v>
      </c>
      <c r="K181" s="102">
        <f t="shared" si="223"/>
        <v>23580.753164763031</v>
      </c>
      <c r="L181" s="102">
        <f t="shared" si="223"/>
        <v>23303.566604577965</v>
      </c>
      <c r="M181" s="102">
        <f t="shared" si="222"/>
        <v>24338.487243164065</v>
      </c>
      <c r="N181" s="102">
        <f t="shared" si="223"/>
        <v>24357.471218078295</v>
      </c>
      <c r="O181" s="102">
        <f t="shared" si="223"/>
        <v>23529.885893063947</v>
      </c>
      <c r="P181" s="102">
        <f t="shared" si="223"/>
        <v>24062.158661258502</v>
      </c>
      <c r="Q181" s="102">
        <f t="shared" si="223"/>
        <v>22594.651544973305</v>
      </c>
      <c r="R181" s="102">
        <f t="shared" si="223"/>
        <v>29796.164175011614</v>
      </c>
      <c r="S181" s="102">
        <f t="shared" si="223"/>
        <v>36865.955437331846</v>
      </c>
      <c r="T181" s="102">
        <f t="shared" si="223"/>
        <v>35553.27411507495</v>
      </c>
      <c r="U181" s="102">
        <f t="shared" si="223"/>
        <v>34936.236779612234</v>
      </c>
      <c r="V181" s="102">
        <f t="shared" si="223"/>
        <v>27748.076875885781</v>
      </c>
      <c r="W181" s="102">
        <f t="shared" si="221"/>
        <v>25569.173733979536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39028.973546425041</v>
      </c>
      <c r="C182" s="102">
        <f t="shared" si="223"/>
        <v>39052.116116376019</v>
      </c>
      <c r="D182" s="102">
        <f t="shared" si="223"/>
        <v>39122.237052913624</v>
      </c>
      <c r="E182" s="102">
        <f t="shared" si="223"/>
        <v>39220.765169668193</v>
      </c>
      <c r="F182" s="102">
        <f t="shared" si="223"/>
        <v>39319.504617040337</v>
      </c>
      <c r="G182" s="102">
        <f t="shared" si="223"/>
        <v>39353.945147693805</v>
      </c>
      <c r="H182" s="102">
        <f t="shared" si="223"/>
        <v>39394.377808963807</v>
      </c>
      <c r="I182" s="102">
        <f t="shared" si="223"/>
        <v>39424.297882057843</v>
      </c>
      <c r="J182" s="102">
        <f t="shared" si="223"/>
        <v>39430.082503083286</v>
      </c>
      <c r="K182" s="102">
        <f t="shared" si="223"/>
        <v>39465.349547092206</v>
      </c>
      <c r="L182" s="102">
        <f t="shared" si="223"/>
        <v>39548.840918500333</v>
      </c>
      <c r="M182" s="102">
        <f t="shared" si="222"/>
        <v>39645.144369389018</v>
      </c>
      <c r="N182" s="102">
        <f t="shared" si="223"/>
        <v>39730.927751997398</v>
      </c>
      <c r="O182" s="102">
        <f t="shared" si="223"/>
        <v>39816.033889414422</v>
      </c>
      <c r="P182" s="102">
        <f t="shared" si="223"/>
        <v>39900.816458948975</v>
      </c>
      <c r="Q182" s="102">
        <f t="shared" si="223"/>
        <v>39995.905245001552</v>
      </c>
      <c r="R182" s="102">
        <f t="shared" si="223"/>
        <v>39894.09710663015</v>
      </c>
      <c r="S182" s="102">
        <f t="shared" si="223"/>
        <v>39836.032159611306</v>
      </c>
      <c r="T182" s="102">
        <f t="shared" si="223"/>
        <v>39767.315046982367</v>
      </c>
      <c r="U182" s="102">
        <f t="shared" si="223"/>
        <v>39734.174933819028</v>
      </c>
      <c r="V182" s="102">
        <f t="shared" si="223"/>
        <v>33705.80835312108</v>
      </c>
      <c r="W182" s="102">
        <f t="shared" si="221"/>
        <v>39147.946722437177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12882.372855649912</v>
      </c>
      <c r="C183" s="28">
        <f t="shared" si="223"/>
        <v>13957.933772033713</v>
      </c>
      <c r="D183" s="28">
        <f t="shared" si="223"/>
        <v>14715.636738964695</v>
      </c>
      <c r="E183" s="28">
        <f t="shared" si="223"/>
        <v>16090.202599752058</v>
      </c>
      <c r="F183" s="28">
        <f t="shared" si="223"/>
        <v>16688.671746001895</v>
      </c>
      <c r="G183" s="28">
        <f t="shared" si="223"/>
        <v>17126.334982487333</v>
      </c>
      <c r="H183" s="28">
        <f t="shared" si="223"/>
        <v>16368.775994587113</v>
      </c>
      <c r="I183" s="28">
        <f t="shared" si="223"/>
        <v>15510.247632563258</v>
      </c>
      <c r="J183" s="28">
        <f t="shared" si="223"/>
        <v>15341.751103777793</v>
      </c>
      <c r="K183" s="28">
        <f t="shared" si="223"/>
        <v>14710.952903647443</v>
      </c>
      <c r="L183" s="28">
        <f t="shared" si="223"/>
        <v>15553.877852589203</v>
      </c>
      <c r="M183" s="28">
        <f t="shared" si="222"/>
        <v>15878.932855749556</v>
      </c>
      <c r="N183" s="28">
        <f t="shared" si="223"/>
        <v>15624.233210470038</v>
      </c>
      <c r="O183" s="28">
        <f t="shared" si="223"/>
        <v>16491.459735643093</v>
      </c>
      <c r="P183" s="28">
        <f t="shared" si="223"/>
        <v>17514.276646958915</v>
      </c>
      <c r="Q183" s="28">
        <f t="shared" si="223"/>
        <v>18245.367476973061</v>
      </c>
      <c r="R183" s="28">
        <f t="shared" si="223"/>
        <v>18713.098340229692</v>
      </c>
      <c r="S183" s="28">
        <f t="shared" si="223"/>
        <v>18683.148032050023</v>
      </c>
      <c r="T183" s="28">
        <f t="shared" si="223"/>
        <v>18460.090735260725</v>
      </c>
      <c r="U183" s="28">
        <f t="shared" si="223"/>
        <v>18429.185198278661</v>
      </c>
      <c r="V183" s="28">
        <f t="shared" si="223"/>
        <v>19231.370085340939</v>
      </c>
      <c r="W183" s="28">
        <f t="shared" si="221"/>
        <v>20387.014356134288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9361.8028439531226</v>
      </c>
      <c r="C184" s="137">
        <f t="shared" si="223"/>
        <v>10002.788858535872</v>
      </c>
      <c r="D184" s="137">
        <f t="shared" si="223"/>
        <v>10309.048220369683</v>
      </c>
      <c r="E184" s="137">
        <f t="shared" si="223"/>
        <v>10578.47109744197</v>
      </c>
      <c r="F184" s="137">
        <f t="shared" si="223"/>
        <v>10669.561574430458</v>
      </c>
      <c r="G184" s="137">
        <f t="shared" si="223"/>
        <v>10769.404166305552</v>
      </c>
      <c r="H184" s="137">
        <f t="shared" si="223"/>
        <v>10739.380679931279</v>
      </c>
      <c r="I184" s="137">
        <f t="shared" si="223"/>
        <v>10610.277362555864</v>
      </c>
      <c r="J184" s="137">
        <f t="shared" si="223"/>
        <v>11218.152042047208</v>
      </c>
      <c r="K184" s="137">
        <f t="shared" si="223"/>
        <v>11362.443336559063</v>
      </c>
      <c r="L184" s="137">
        <f t="shared" si="223"/>
        <v>12067.496990714164</v>
      </c>
      <c r="M184" s="137">
        <f t="shared" si="222"/>
        <v>12269.242893766785</v>
      </c>
      <c r="N184" s="137">
        <f t="shared" si="223"/>
        <v>12457.259830063389</v>
      </c>
      <c r="O184" s="137">
        <f t="shared" si="223"/>
        <v>13015.978610113725</v>
      </c>
      <c r="P184" s="137">
        <f t="shared" si="223"/>
        <v>14155.977483074275</v>
      </c>
      <c r="Q184" s="137">
        <f t="shared" si="223"/>
        <v>14524.99179805657</v>
      </c>
      <c r="R184" s="137">
        <f t="shared" si="223"/>
        <v>14744.165254752124</v>
      </c>
      <c r="S184" s="137">
        <f t="shared" si="223"/>
        <v>14830.075132695396</v>
      </c>
      <c r="T184" s="137">
        <f t="shared" si="223"/>
        <v>14831.685254870883</v>
      </c>
      <c r="U184" s="137">
        <f t="shared" si="223"/>
        <v>14824.211884151617</v>
      </c>
      <c r="V184" s="137">
        <f t="shared" si="223"/>
        <v>14352.443091714054</v>
      </c>
      <c r="W184" s="137">
        <f t="shared" si="221"/>
        <v>14760.967409221628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6672.4518232704277</v>
      </c>
      <c r="C185" s="84">
        <f t="shared" si="223"/>
        <v>6845.4933112062117</v>
      </c>
      <c r="D185" s="84">
        <f t="shared" si="223"/>
        <v>6915.3475284934611</v>
      </c>
      <c r="E185" s="84">
        <f t="shared" si="223"/>
        <v>6929.0280782272584</v>
      </c>
      <c r="F185" s="84">
        <f t="shared" si="223"/>
        <v>6912.3065643121736</v>
      </c>
      <c r="G185" s="84">
        <f t="shared" si="223"/>
        <v>6909.80141061835</v>
      </c>
      <c r="H185" s="84">
        <f t="shared" si="223"/>
        <v>6901.5811600261723</v>
      </c>
      <c r="I185" s="84">
        <f t="shared" si="223"/>
        <v>6866.0177347470772</v>
      </c>
      <c r="J185" s="84">
        <f t="shared" si="223"/>
        <v>6999.8442575224117</v>
      </c>
      <c r="K185" s="84">
        <f t="shared" si="223"/>
        <v>7023.4450577039324</v>
      </c>
      <c r="L185" s="84">
        <f t="shared" si="223"/>
        <v>7171.1767246549161</v>
      </c>
      <c r="M185" s="84">
        <f t="shared" si="222"/>
        <v>7205.8486783369672</v>
      </c>
      <c r="N185" s="84">
        <f t="shared" si="223"/>
        <v>7239.4304714354139</v>
      </c>
      <c r="O185" s="84">
        <f t="shared" si="223"/>
        <v>7330.649308838405</v>
      </c>
      <c r="P185" s="84">
        <f t="shared" si="223"/>
        <v>7468.4520171410986</v>
      </c>
      <c r="Q185" s="84">
        <f t="shared" si="223"/>
        <v>7482.8390000393038</v>
      </c>
      <c r="R185" s="84">
        <f t="shared" si="223"/>
        <v>7611.1118968485816</v>
      </c>
      <c r="S185" s="84">
        <f t="shared" si="223"/>
        <v>7557.1150240243269</v>
      </c>
      <c r="T185" s="84">
        <f t="shared" si="223"/>
        <v>7560.4938962315291</v>
      </c>
      <c r="U185" s="84">
        <f t="shared" si="223"/>
        <v>7560.1996649768907</v>
      </c>
      <c r="V185" s="84">
        <f t="shared" si="223"/>
        <v>7477.9993699720071</v>
      </c>
      <c r="W185" s="84">
        <f t="shared" si="221"/>
        <v>7550.8356378195458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10861.73141851129</v>
      </c>
      <c r="C186" s="84">
        <f t="shared" si="223"/>
        <v>11728.891551515015</v>
      </c>
      <c r="D186" s="84">
        <f t="shared" si="223"/>
        <v>12091.62724069361</v>
      </c>
      <c r="E186" s="84">
        <f t="shared" si="223"/>
        <v>12163.531467447659</v>
      </c>
      <c r="F186" s="84">
        <f t="shared" si="223"/>
        <v>12075.682689170299</v>
      </c>
      <c r="G186" s="84">
        <f t="shared" si="223"/>
        <v>12062.558063506112</v>
      </c>
      <c r="H186" s="84">
        <f t="shared" si="223"/>
        <v>12019.558563900518</v>
      </c>
      <c r="I186" s="84">
        <f t="shared" si="223"/>
        <v>11834.70622861785</v>
      </c>
      <c r="J186" s="84">
        <f t="shared" si="223"/>
        <v>12540.297838651595</v>
      </c>
      <c r="K186" s="84">
        <f t="shared" si="223"/>
        <v>12667.569264276199</v>
      </c>
      <c r="L186" s="84">
        <f t="shared" si="223"/>
        <v>13483.852564611201</v>
      </c>
      <c r="M186" s="84">
        <f t="shared" si="222"/>
        <v>13680.379109400177</v>
      </c>
      <c r="N186" s="84">
        <f t="shared" si="223"/>
        <v>13872.538018433563</v>
      </c>
      <c r="O186" s="84">
        <f t="shared" si="223"/>
        <v>14569.034928561197</v>
      </c>
      <c r="P186" s="84">
        <f t="shared" si="223"/>
        <v>16018.025280103131</v>
      </c>
      <c r="Q186" s="84">
        <f t="shared" si="223"/>
        <v>16516.004669877031</v>
      </c>
      <c r="R186" s="84">
        <f t="shared" si="223"/>
        <v>17380.013697648301</v>
      </c>
      <c r="S186" s="84">
        <f t="shared" si="223"/>
        <v>17533.487474606925</v>
      </c>
      <c r="T186" s="84">
        <f t="shared" si="223"/>
        <v>17557.016257358398</v>
      </c>
      <c r="U186" s="84">
        <f t="shared" si="223"/>
        <v>17554.966541312078</v>
      </c>
      <c r="V186" s="84">
        <f t="shared" si="223"/>
        <v>16988.556646133169</v>
      </c>
      <c r="W186" s="84">
        <f t="shared" si="221"/>
        <v>17489.81680926483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7697.721091182807</v>
      </c>
      <c r="C187" s="84">
        <f t="shared" si="223"/>
        <v>7897.3516237986378</v>
      </c>
      <c r="D187" s="84">
        <f t="shared" si="223"/>
        <v>7977.9394340912222</v>
      </c>
      <c r="E187" s="84">
        <f t="shared" si="223"/>
        <v>7993.7220967486819</v>
      </c>
      <c r="F187" s="84">
        <f t="shared" si="223"/>
        <v>7974.43120432264</v>
      </c>
      <c r="G187" s="84">
        <f t="shared" si="223"/>
        <v>7971.5411161007441</v>
      </c>
      <c r="H187" s="84">
        <f t="shared" si="223"/>
        <v>7962.0577660467916</v>
      </c>
      <c r="I187" s="84">
        <f t="shared" si="223"/>
        <v>7921.0297697275291</v>
      </c>
      <c r="J187" s="84">
        <f t="shared" si="223"/>
        <v>8075.4196812941609</v>
      </c>
      <c r="K187" s="84">
        <f t="shared" si="223"/>
        <v>8102.6469108250649</v>
      </c>
      <c r="L187" s="84">
        <f t="shared" si="223"/>
        <v>8273.078590010542</v>
      </c>
      <c r="M187" s="84">
        <f t="shared" si="222"/>
        <v>8313.0781338364031</v>
      </c>
      <c r="N187" s="84">
        <f t="shared" si="223"/>
        <v>8351.8200062186224</v>
      </c>
      <c r="O187" s="84">
        <f t="shared" si="223"/>
        <v>8457.0552611426519</v>
      </c>
      <c r="P187" s="84">
        <f t="shared" si="223"/>
        <v>8529.8720039059262</v>
      </c>
      <c r="Q187" s="84">
        <f t="shared" si="223"/>
        <v>8546.3036717217492</v>
      </c>
      <c r="R187" s="84">
        <f t="shared" si="223"/>
        <v>8692.8067742177082</v>
      </c>
      <c r="S187" s="84">
        <f t="shared" si="223"/>
        <v>8718.3190302022886</v>
      </c>
      <c r="T187" s="84">
        <f t="shared" si="223"/>
        <v>8722.2170899474459</v>
      </c>
      <c r="U187" s="84">
        <f t="shared" si="223"/>
        <v>8721.8776479860026</v>
      </c>
      <c r="V187" s="84">
        <f t="shared" si="223"/>
        <v>8627.0466980863293</v>
      </c>
      <c r="W187" s="84">
        <f t="shared" si="221"/>
        <v>8711.0747720332511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9032.8744609434634</v>
      </c>
      <c r="O188" s="84">
        <f t="shared" si="223"/>
        <v>9366.4937423864158</v>
      </c>
      <c r="P188" s="84">
        <f t="shared" si="223"/>
        <v>9662.1496935909254</v>
      </c>
      <c r="Q188" s="84">
        <f t="shared" si="223"/>
        <v>9781.1336303911412</v>
      </c>
      <c r="R188" s="84">
        <f t="shared" si="223"/>
        <v>9839.005956460267</v>
      </c>
      <c r="S188" s="84">
        <f t="shared" si="223"/>
        <v>10247.932895660913</v>
      </c>
      <c r="T188" s="84">
        <f t="shared" si="223"/>
        <v>10399.107319266997</v>
      </c>
      <c r="U188" s="84">
        <f t="shared" si="223"/>
        <v>10498.807327497894</v>
      </c>
      <c r="V188" s="84">
        <f t="shared" si="223"/>
        <v>9453.856533926215</v>
      </c>
      <c r="W188" s="84">
        <f t="shared" si="221"/>
        <v>10571.365881341142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9825.8713904944689</v>
      </c>
      <c r="K189" s="84">
        <f t="shared" si="223"/>
        <v>9832.1530298170183</v>
      </c>
      <c r="L189" s="84">
        <f t="shared" si="223"/>
        <v>9861.7961176866247</v>
      </c>
      <c r="M189" s="84">
        <f t="shared" si="222"/>
        <v>9869.9766334059659</v>
      </c>
      <c r="N189" s="84">
        <f t="shared" si="223"/>
        <v>9877.4077232015952</v>
      </c>
      <c r="O189" s="84">
        <f t="shared" si="223"/>
        <v>9899.0740270850947</v>
      </c>
      <c r="P189" s="84">
        <f t="shared" si="223"/>
        <v>9940.6678273871476</v>
      </c>
      <c r="Q189" s="84">
        <f t="shared" si="223"/>
        <v>9950.2379102178511</v>
      </c>
      <c r="R189" s="84">
        <f t="shared" si="223"/>
        <v>9866.0340948091216</v>
      </c>
      <c r="S189" s="84">
        <f t="shared" si="223"/>
        <v>9851.5881221284508</v>
      </c>
      <c r="T189" s="84">
        <f t="shared" si="223"/>
        <v>9849.3864817524372</v>
      </c>
      <c r="U189" s="84">
        <f t="shared" si="223"/>
        <v>9849.1948259176752</v>
      </c>
      <c r="V189" s="84">
        <f t="shared" si="223"/>
        <v>9073.8567695413058</v>
      </c>
      <c r="W189" s="84">
        <f t="shared" si="221"/>
        <v>9843.0933532089184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16689.34883237485</v>
      </c>
      <c r="C190" s="110">
        <f t="shared" si="223"/>
        <v>18583.16440998235</v>
      </c>
      <c r="D190" s="110">
        <f t="shared" si="223"/>
        <v>20636.355534349896</v>
      </c>
      <c r="E190" s="110">
        <f t="shared" si="223"/>
        <v>25234.53186764336</v>
      </c>
      <c r="F190" s="110">
        <f t="shared" si="223"/>
        <v>28401.006923410027</v>
      </c>
      <c r="G190" s="110">
        <f t="shared" si="223"/>
        <v>31861.141369736331</v>
      </c>
      <c r="H190" s="110">
        <f t="shared" si="223"/>
        <v>31809.8630843758</v>
      </c>
      <c r="I190" s="110">
        <f t="shared" si="223"/>
        <v>30476.957756926331</v>
      </c>
      <c r="J190" s="110">
        <f t="shared" si="223"/>
        <v>30231.995360959416</v>
      </c>
      <c r="K190" s="110">
        <f t="shared" si="223"/>
        <v>27594.563979611597</v>
      </c>
      <c r="L190" s="110">
        <f t="shared" si="223"/>
        <v>29830.21526565024</v>
      </c>
      <c r="M190" s="110">
        <f t="shared" si="222"/>
        <v>31069.519227847723</v>
      </c>
      <c r="N190" s="110">
        <f t="shared" si="223"/>
        <v>28012.817237449795</v>
      </c>
      <c r="O190" s="110">
        <f t="shared" si="223"/>
        <v>30180.726760420101</v>
      </c>
      <c r="P190" s="110">
        <f t="shared" si="223"/>
        <v>30610.943706285831</v>
      </c>
      <c r="Q190" s="110">
        <f t="shared" si="223"/>
        <v>32485.545419859685</v>
      </c>
      <c r="R190" s="110">
        <f t="shared" si="223"/>
        <v>30604.458583642183</v>
      </c>
      <c r="S190" s="110">
        <f t="shared" si="223"/>
        <v>29673.956973733119</v>
      </c>
      <c r="T190" s="110">
        <f t="shared" si="223"/>
        <v>28446.284317262402</v>
      </c>
      <c r="U190" s="110">
        <f t="shared" si="223"/>
        <v>28092.168688736456</v>
      </c>
      <c r="V190" s="110">
        <f t="shared" si="223"/>
        <v>33248.517503575065</v>
      </c>
      <c r="W190" s="110">
        <f t="shared" si="221"/>
        <v>36736.538033151999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11408.84533816313</v>
      </c>
      <c r="C191" s="102">
        <f t="shared" si="223"/>
        <v>13131.568659016168</v>
      </c>
      <c r="D191" s="102">
        <f t="shared" si="223"/>
        <v>15059.68496185085</v>
      </c>
      <c r="E191" s="102">
        <f t="shared" si="223"/>
        <v>19452.14687841358</v>
      </c>
      <c r="F191" s="102">
        <f t="shared" si="223"/>
        <v>21748.514988258048</v>
      </c>
      <c r="G191" s="102">
        <f t="shared" si="223"/>
        <v>25375.215429516658</v>
      </c>
      <c r="H191" s="102">
        <f t="shared" si="223"/>
        <v>24903.115317049054</v>
      </c>
      <c r="I191" s="102">
        <f t="shared" si="223"/>
        <v>23496.860880307311</v>
      </c>
      <c r="J191" s="102">
        <f t="shared" si="223"/>
        <v>23386.103781882146</v>
      </c>
      <c r="K191" s="102">
        <f t="shared" si="223"/>
        <v>20439.784746706253</v>
      </c>
      <c r="L191" s="102">
        <f t="shared" si="223"/>
        <v>21922.343734323265</v>
      </c>
      <c r="M191" s="102">
        <f t="shared" si="222"/>
        <v>22567.436626762104</v>
      </c>
      <c r="N191" s="102">
        <f t="shared" si="223"/>
        <v>19785.394989997225</v>
      </c>
      <c r="O191" s="102">
        <f t="shared" si="223"/>
        <v>21175.058300288303</v>
      </c>
      <c r="P191" s="102">
        <f t="shared" si="223"/>
        <v>21994.701662094256</v>
      </c>
      <c r="Q191" s="102">
        <f t="shared" si="223"/>
        <v>24262.454350673572</v>
      </c>
      <c r="R191" s="102">
        <f t="shared" si="223"/>
        <v>22926.875835295614</v>
      </c>
      <c r="S191" s="102">
        <f t="shared" si="223"/>
        <v>22418.141609283819</v>
      </c>
      <c r="T191" s="102">
        <f t="shared" si="223"/>
        <v>21940.042141570644</v>
      </c>
      <c r="U191" s="102">
        <f t="shared" si="223"/>
        <v>21494.660004579062</v>
      </c>
      <c r="V191" s="102">
        <f t="shared" si="223"/>
        <v>25660.1488657845</v>
      </c>
      <c r="W191" s="102">
        <f t="shared" si="221"/>
        <v>28942.74568254234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85001.203287683355</v>
      </c>
      <c r="C192" s="86">
        <f t="shared" si="223"/>
        <v>84996.613617844487</v>
      </c>
      <c r="D192" s="86">
        <f t="shared" si="223"/>
        <v>84999.995228449858</v>
      </c>
      <c r="E192" s="86">
        <f t="shared" si="223"/>
        <v>85001.913973621849</v>
      </c>
      <c r="F192" s="86">
        <f t="shared" si="223"/>
        <v>84998.496705769605</v>
      </c>
      <c r="G192" s="86">
        <f t="shared" si="223"/>
        <v>84997.966298028157</v>
      </c>
      <c r="H192" s="86">
        <f t="shared" si="223"/>
        <v>84997.455221357872</v>
      </c>
      <c r="I192" s="86">
        <f t="shared" si="223"/>
        <v>84997.460662226396</v>
      </c>
      <c r="J192" s="86">
        <f t="shared" si="223"/>
        <v>85001.054785465851</v>
      </c>
      <c r="K192" s="86">
        <f t="shared" si="223"/>
        <v>85001.107992307079</v>
      </c>
      <c r="L192" s="86">
        <f t="shared" si="223"/>
        <v>85001.540726056191</v>
      </c>
      <c r="M192" s="86">
        <f t="shared" si="222"/>
        <v>84999.952508503091</v>
      </c>
      <c r="N192" s="86">
        <f t="shared" si="223"/>
        <v>84999.294040049921</v>
      </c>
      <c r="O192" s="86">
        <f t="shared" si="223"/>
        <v>85001.755807124733</v>
      </c>
      <c r="P192" s="86">
        <f t="shared" si="223"/>
        <v>85002.029218958822</v>
      </c>
      <c r="Q192" s="86">
        <f t="shared" si="223"/>
        <v>85001.53686337221</v>
      </c>
      <c r="R192" s="86">
        <f t="shared" si="223"/>
        <v>85000.967534051219</v>
      </c>
      <c r="S192" s="86">
        <f t="shared" si="223"/>
        <v>85001.23714516389</v>
      </c>
      <c r="T192" s="86">
        <f t="shared" si="223"/>
        <v>85002.176906674911</v>
      </c>
      <c r="U192" s="86">
        <f t="shared" si="223"/>
        <v>84997.740775321872</v>
      </c>
      <c r="V192" s="86">
        <f t="shared" ref="V192:W192" si="224">IF(V55=0,0,V55*1000000/V82)</f>
        <v>85000.908821707228</v>
      </c>
      <c r="W192" s="86">
        <f t="shared" si="224"/>
        <v>84998.521829418794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17323.514017614398</v>
      </c>
      <c r="C195" s="28">
        <f t="shared" si="225"/>
        <v>17362.018853386649</v>
      </c>
      <c r="D195" s="28">
        <f t="shared" si="225"/>
        <v>17077.563315737247</v>
      </c>
      <c r="E195" s="28">
        <f t="shared" si="225"/>
        <v>17322.54051392397</v>
      </c>
      <c r="F195" s="28">
        <f t="shared" si="225"/>
        <v>16726.638861581963</v>
      </c>
      <c r="G195" s="28">
        <f t="shared" si="225"/>
        <v>16372.370716899322</v>
      </c>
      <c r="H195" s="28">
        <f t="shared" si="225"/>
        <v>16069.589772121028</v>
      </c>
      <c r="I195" s="28">
        <f t="shared" si="225"/>
        <v>15824.611150921573</v>
      </c>
      <c r="J195" s="28">
        <f t="shared" si="225"/>
        <v>15490.686258182241</v>
      </c>
      <c r="K195" s="28">
        <f t="shared" si="225"/>
        <v>15426.373692126657</v>
      </c>
      <c r="L195" s="28">
        <f t="shared" si="225"/>
        <v>13882.684135697578</v>
      </c>
      <c r="M195" s="28">
        <f>IF(M4=0,0,M4*1000000/M58)</f>
        <v>13768.404865410541</v>
      </c>
      <c r="N195" s="28">
        <f t="shared" ref="N195:V195" si="226">IF(N4=0,0,N4*1000000/N58)</f>
        <v>13201.953237108604</v>
      </c>
      <c r="O195" s="28">
        <f t="shared" si="226"/>
        <v>13223.28782657159</v>
      </c>
      <c r="P195" s="28">
        <f t="shared" si="226"/>
        <v>13432.769648169384</v>
      </c>
      <c r="Q195" s="28">
        <f t="shared" si="226"/>
        <v>13163.649442657717</v>
      </c>
      <c r="R195" s="28">
        <f t="shared" si="226"/>
        <v>13265.710991368003</v>
      </c>
      <c r="S195" s="28">
        <f t="shared" si="226"/>
        <v>13198.784716619068</v>
      </c>
      <c r="T195" s="28">
        <f t="shared" si="226"/>
        <v>13234.106508514898</v>
      </c>
      <c r="U195" s="28">
        <f t="shared" si="226"/>
        <v>13288.197480713199</v>
      </c>
      <c r="V195" s="28">
        <f t="shared" si="226"/>
        <v>10308.531420293033</v>
      </c>
      <c r="W195" s="28">
        <f t="shared" ref="W195" si="227">IF(W4=0,0,W4*1000000/W58)</f>
        <v>12632.721761351288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1281.7504049707461</v>
      </c>
      <c r="C196" s="137">
        <f t="shared" si="228"/>
        <v>1207.6636324243123</v>
      </c>
      <c r="D196" s="137">
        <f t="shared" si="228"/>
        <v>1170.0696081951828</v>
      </c>
      <c r="E196" s="137">
        <f t="shared" si="228"/>
        <v>1180.4492509389966</v>
      </c>
      <c r="F196" s="137">
        <f t="shared" si="228"/>
        <v>1170.8204613788819</v>
      </c>
      <c r="G196" s="137">
        <f t="shared" si="228"/>
        <v>1155.7906866093801</v>
      </c>
      <c r="H196" s="137">
        <f t="shared" si="228"/>
        <v>1154.4454159259244</v>
      </c>
      <c r="I196" s="137">
        <f t="shared" si="228"/>
        <v>1158.732499487015</v>
      </c>
      <c r="J196" s="137">
        <f t="shared" si="228"/>
        <v>1163.9405490851709</v>
      </c>
      <c r="K196" s="137">
        <f t="shared" si="228"/>
        <v>1171.2232773348064</v>
      </c>
      <c r="L196" s="137">
        <f t="shared" si="228"/>
        <v>1168.7645710054444</v>
      </c>
      <c r="M196" s="137">
        <f>IF(M5=0,0,M5*1000000/M59)</f>
        <v>1168.6194873800673</v>
      </c>
      <c r="N196" s="137">
        <f t="shared" ref="N196:V196" si="229">IF(N5=0,0,N5*1000000/N59)</f>
        <v>1166.5013762809165</v>
      </c>
      <c r="O196" s="137">
        <f t="shared" si="229"/>
        <v>1166.9258775284466</v>
      </c>
      <c r="P196" s="137">
        <f t="shared" si="229"/>
        <v>1173.5796965390741</v>
      </c>
      <c r="Q196" s="137">
        <f t="shared" si="229"/>
        <v>1177.1611290397279</v>
      </c>
      <c r="R196" s="137">
        <f t="shared" si="229"/>
        <v>1186.7853432290333</v>
      </c>
      <c r="S196" s="137">
        <f t="shared" si="229"/>
        <v>1100.0012939043638</v>
      </c>
      <c r="T196" s="137">
        <f t="shared" si="229"/>
        <v>1029.1384162995764</v>
      </c>
      <c r="U196" s="137">
        <f t="shared" si="229"/>
        <v>1073.2768969264271</v>
      </c>
      <c r="V196" s="137">
        <f t="shared" si="229"/>
        <v>941.25751980154973</v>
      </c>
      <c r="W196" s="137">
        <f t="shared" ref="W196" si="230">IF(W5=0,0,W5*1000000/W59)</f>
        <v>963.27010029408018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18212.373248262502</v>
      </c>
      <c r="C197" s="110">
        <f t="shared" si="231"/>
        <v>17981.188735905718</v>
      </c>
      <c r="D197" s="110">
        <f t="shared" si="231"/>
        <v>17901.894656028078</v>
      </c>
      <c r="E197" s="110">
        <f t="shared" si="231"/>
        <v>18175.872069491405</v>
      </c>
      <c r="F197" s="110">
        <f t="shared" si="231"/>
        <v>17707.023060796644</v>
      </c>
      <c r="G197" s="110">
        <f t="shared" si="231"/>
        <v>17337.711543319019</v>
      </c>
      <c r="H197" s="110">
        <f t="shared" si="231"/>
        <v>16945.728887807254</v>
      </c>
      <c r="I197" s="110">
        <f t="shared" si="231"/>
        <v>16714.953271028036</v>
      </c>
      <c r="J197" s="110">
        <f t="shared" si="231"/>
        <v>16364.458512321953</v>
      </c>
      <c r="K197" s="110">
        <f t="shared" si="231"/>
        <v>16299.88726042841</v>
      </c>
      <c r="L197" s="110">
        <f t="shared" si="231"/>
        <v>14139.234875444839</v>
      </c>
      <c r="M197" s="110">
        <f>IF(M6=0,0,M6*1000000/M60)</f>
        <v>14292.885202968135</v>
      </c>
      <c r="N197" s="110">
        <f t="shared" ref="N197:V197" si="232">IF(N6=0,0,N6*1000000/N60)</f>
        <v>13731.40671483213</v>
      </c>
      <c r="O197" s="110">
        <f t="shared" si="232"/>
        <v>13670.431585992092</v>
      </c>
      <c r="P197" s="110">
        <f t="shared" si="232"/>
        <v>13708.816138417251</v>
      </c>
      <c r="Q197" s="110">
        <f t="shared" si="232"/>
        <v>13626.724135908711</v>
      </c>
      <c r="R197" s="110">
        <f t="shared" si="232"/>
        <v>13612.964146404693</v>
      </c>
      <c r="S197" s="110">
        <f t="shared" si="232"/>
        <v>13420.733224489733</v>
      </c>
      <c r="T197" s="110">
        <f t="shared" si="232"/>
        <v>13565.097453632299</v>
      </c>
      <c r="U197" s="110">
        <f t="shared" si="232"/>
        <v>13701.108608530469</v>
      </c>
      <c r="V197" s="110">
        <f t="shared" si="232"/>
        <v>11395.783447713809</v>
      </c>
      <c r="W197" s="110">
        <f t="shared" ref="W197:W209" si="233">IF(W6=0,0,W6*1000000/W60)</f>
        <v>14441.927955419273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15491.779288905795</v>
      </c>
      <c r="C198" s="84">
        <f t="shared" si="231"/>
        <v>14755.045951574037</v>
      </c>
      <c r="D198" s="84">
        <f t="shared" si="231"/>
        <v>14455.757348174971</v>
      </c>
      <c r="E198" s="84">
        <f t="shared" si="231"/>
        <v>14387.79900302508</v>
      </c>
      <c r="F198" s="84">
        <f t="shared" si="231"/>
        <v>13819.625942201677</v>
      </c>
      <c r="G198" s="84">
        <f t="shared" si="231"/>
        <v>13005.497007785516</v>
      </c>
      <c r="H198" s="84">
        <f t="shared" si="231"/>
        <v>12691.98485446437</v>
      </c>
      <c r="I198" s="84">
        <f t="shared" si="231"/>
        <v>12771.208152345629</v>
      </c>
      <c r="J198" s="84">
        <f t="shared" si="231"/>
        <v>12436.562666238502</v>
      </c>
      <c r="K198" s="84">
        <f t="shared" si="231"/>
        <v>12359.753412279486</v>
      </c>
      <c r="L198" s="84">
        <f t="shared" si="231"/>
        <v>10887.790284793447</v>
      </c>
      <c r="M198" s="84">
        <f t="shared" ref="M198:M219" si="234">IF(M7=0,0,M7*1000000/M61)</f>
        <v>10746.392620104021</v>
      </c>
      <c r="N198" s="84">
        <f t="shared" si="231"/>
        <v>10157.367772444068</v>
      </c>
      <c r="O198" s="84">
        <f t="shared" si="231"/>
        <v>9574.8155458202091</v>
      </c>
      <c r="P198" s="84">
        <f t="shared" si="231"/>
        <v>9659.5503632744949</v>
      </c>
      <c r="Q198" s="84">
        <f t="shared" si="231"/>
        <v>9753.8210704173071</v>
      </c>
      <c r="R198" s="84">
        <f t="shared" si="231"/>
        <v>9705.0973519717645</v>
      </c>
      <c r="S198" s="84">
        <f t="shared" si="231"/>
        <v>9581.730474721955</v>
      </c>
      <c r="T198" s="84">
        <f t="shared" si="231"/>
        <v>9820.4485856005304</v>
      </c>
      <c r="U198" s="84">
        <f t="shared" si="231"/>
        <v>9845.5944677277785</v>
      </c>
      <c r="V198" s="84">
        <f t="shared" si="231"/>
        <v>7783.3986833719573</v>
      </c>
      <c r="W198" s="84">
        <f t="shared" si="233"/>
        <v>9424.8825812718351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40040.392381301528</v>
      </c>
      <c r="C199" s="84">
        <f t="shared" si="231"/>
        <v>41475.315222283418</v>
      </c>
      <c r="D199" s="84">
        <f t="shared" si="231"/>
        <v>39931.173731882918</v>
      </c>
      <c r="E199" s="84">
        <f t="shared" si="231"/>
        <v>39334.222893865073</v>
      </c>
      <c r="F199" s="84">
        <f t="shared" si="231"/>
        <v>37426.310720755835</v>
      </c>
      <c r="G199" s="84">
        <f t="shared" si="231"/>
        <v>37582.194120076674</v>
      </c>
      <c r="H199" s="84">
        <f t="shared" si="231"/>
        <v>35136.265637790399</v>
      </c>
      <c r="I199" s="84">
        <f t="shared" si="231"/>
        <v>32307.398242213658</v>
      </c>
      <c r="J199" s="84">
        <f t="shared" si="231"/>
        <v>30389.609005989438</v>
      </c>
      <c r="K199" s="84">
        <f t="shared" si="231"/>
        <v>28985.424867078702</v>
      </c>
      <c r="L199" s="84">
        <f t="shared" si="231"/>
        <v>23567.10867894804</v>
      </c>
      <c r="M199" s="84">
        <f t="shared" si="234"/>
        <v>23693.2082187708</v>
      </c>
      <c r="N199" s="84">
        <f t="shared" si="231"/>
        <v>22119.491339907745</v>
      </c>
      <c r="O199" s="84">
        <f t="shared" si="231"/>
        <v>22906.892111157988</v>
      </c>
      <c r="P199" s="84">
        <f t="shared" si="231"/>
        <v>22337.103016609057</v>
      </c>
      <c r="Q199" s="84">
        <f t="shared" si="231"/>
        <v>21295.295750569792</v>
      </c>
      <c r="R199" s="84">
        <f t="shared" si="231"/>
        <v>20902.174201181635</v>
      </c>
      <c r="S199" s="84">
        <f t="shared" si="231"/>
        <v>20267.159768001602</v>
      </c>
      <c r="T199" s="84">
        <f t="shared" si="231"/>
        <v>19846.718984388946</v>
      </c>
      <c r="U199" s="84">
        <f t="shared" si="231"/>
        <v>19978.972788282368</v>
      </c>
      <c r="V199" s="84">
        <f t="shared" si="231"/>
        <v>17111.591877436491</v>
      </c>
      <c r="W199" s="84">
        <f t="shared" si="233"/>
        <v>22275.087028175647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17227.413807255994</v>
      </c>
      <c r="C200" s="84">
        <f t="shared" si="231"/>
        <v>15638.754711952428</v>
      </c>
      <c r="D200" s="84">
        <f t="shared" si="231"/>
        <v>14696.882488434021</v>
      </c>
      <c r="E200" s="84">
        <f t="shared" si="231"/>
        <v>14078.018375383432</v>
      </c>
      <c r="F200" s="84">
        <f t="shared" si="231"/>
        <v>13075.73063832602</v>
      </c>
      <c r="G200" s="84">
        <f t="shared" si="231"/>
        <v>12238.75715247661</v>
      </c>
      <c r="H200" s="84">
        <f t="shared" si="231"/>
        <v>11655.029865528853</v>
      </c>
      <c r="I200" s="84">
        <f t="shared" si="231"/>
        <v>11027.199308908912</v>
      </c>
      <c r="J200" s="84">
        <f t="shared" si="231"/>
        <v>10690.588776253797</v>
      </c>
      <c r="K200" s="84">
        <f t="shared" si="231"/>
        <v>10088.226001885894</v>
      </c>
      <c r="L200" s="84">
        <f t="shared" si="231"/>
        <v>9174.6854428130719</v>
      </c>
      <c r="M200" s="84">
        <f t="shared" si="234"/>
        <v>8842.2645034685611</v>
      </c>
      <c r="N200" s="84">
        <f t="shared" si="231"/>
        <v>8270.0339810819678</v>
      </c>
      <c r="O200" s="84">
        <f t="shared" si="231"/>
        <v>8126.0982671834036</v>
      </c>
      <c r="P200" s="84">
        <f t="shared" si="231"/>
        <v>7970.2130369474053</v>
      </c>
      <c r="Q200" s="84">
        <f t="shared" si="231"/>
        <v>8109.656682351676</v>
      </c>
      <c r="R200" s="84">
        <f t="shared" si="231"/>
        <v>7707.4160570760359</v>
      </c>
      <c r="S200" s="84">
        <f t="shared" si="231"/>
        <v>7214.9541763620409</v>
      </c>
      <c r="T200" s="84">
        <f t="shared" si="231"/>
        <v>7235.9654755280253</v>
      </c>
      <c r="U200" s="84">
        <f t="shared" si="231"/>
        <v>7291.1913241836701</v>
      </c>
      <c r="V200" s="84">
        <f t="shared" si="231"/>
        <v>5746.4418607357675</v>
      </c>
      <c r="W200" s="84">
        <f t="shared" si="233"/>
        <v>6950.2632427517829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18402.031466921624</v>
      </c>
      <c r="K201" s="84">
        <f t="shared" si="231"/>
        <v>18724.066392702069</v>
      </c>
      <c r="L201" s="84">
        <f t="shared" si="231"/>
        <v>16505.605580376778</v>
      </c>
      <c r="M201" s="84">
        <f t="shared" si="234"/>
        <v>15857.805890044518</v>
      </c>
      <c r="N201" s="84">
        <f t="shared" si="231"/>
        <v>14554.1630978055</v>
      </c>
      <c r="O201" s="84">
        <f t="shared" si="231"/>
        <v>13698.937054693135</v>
      </c>
      <c r="P201" s="84">
        <f t="shared" si="231"/>
        <v>13539.858304385862</v>
      </c>
      <c r="Q201" s="84">
        <f t="shared" si="231"/>
        <v>13317.864372708305</v>
      </c>
      <c r="R201" s="84">
        <f t="shared" si="231"/>
        <v>13589.938416357896</v>
      </c>
      <c r="S201" s="84">
        <f t="shared" si="231"/>
        <v>13658.997605157514</v>
      </c>
      <c r="T201" s="84">
        <f t="shared" si="231"/>
        <v>14078.559355325555</v>
      </c>
      <c r="U201" s="84">
        <f t="shared" si="231"/>
        <v>14509.730510647085</v>
      </c>
      <c r="V201" s="84">
        <f t="shared" si="231"/>
        <v>12278.248970338602</v>
      </c>
      <c r="W201" s="84">
        <f t="shared" si="233"/>
        <v>15944.659113179026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10485.42184133495</v>
      </c>
      <c r="O202" s="84">
        <f t="shared" si="231"/>
        <v>10895.013134031471</v>
      </c>
      <c r="P202" s="84">
        <f t="shared" si="231"/>
        <v>11561.962964882925</v>
      </c>
      <c r="Q202" s="84">
        <f t="shared" si="231"/>
        <v>12210.363942223879</v>
      </c>
      <c r="R202" s="84">
        <f t="shared" si="231"/>
        <v>11604.727400586828</v>
      </c>
      <c r="S202" s="84">
        <f t="shared" si="231"/>
        <v>10863.248565326663</v>
      </c>
      <c r="T202" s="84">
        <f t="shared" si="231"/>
        <v>10428.516621722087</v>
      </c>
      <c r="U202" s="84">
        <f t="shared" si="231"/>
        <v>10084.566438525535</v>
      </c>
      <c r="V202" s="84">
        <f t="shared" si="231"/>
        <v>8048.5275868612298</v>
      </c>
      <c r="W202" s="84">
        <f t="shared" si="233"/>
        <v>9815.2198531277991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12726.33283616201</v>
      </c>
      <c r="M203" s="84">
        <f t="shared" si="234"/>
        <v>12862.916353261042</v>
      </c>
      <c r="N203" s="84">
        <f t="shared" si="231"/>
        <v>12785.104676877971</v>
      </c>
      <c r="O203" s="84">
        <f t="shared" si="231"/>
        <v>12706.857890137579</v>
      </c>
      <c r="P203" s="84">
        <f t="shared" si="231"/>
        <v>12652.281510366774</v>
      </c>
      <c r="Q203" s="84">
        <f t="shared" si="231"/>
        <v>12877.214519175172</v>
      </c>
      <c r="R203" s="84">
        <f t="shared" si="231"/>
        <v>12488.275613557304</v>
      </c>
      <c r="S203" s="84">
        <f t="shared" si="231"/>
        <v>12432.83282353375</v>
      </c>
      <c r="T203" s="84">
        <f t="shared" si="231"/>
        <v>12623.143392578761</v>
      </c>
      <c r="U203" s="84">
        <f t="shared" si="231"/>
        <v>12651.204578596939</v>
      </c>
      <c r="V203" s="84">
        <f t="shared" si="231"/>
        <v>10273.359585706643</v>
      </c>
      <c r="W203" s="84">
        <f t="shared" si="233"/>
        <v>12767.447481841204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727486.61658194265</v>
      </c>
      <c r="C204" s="110">
        <f t="shared" si="231"/>
        <v>716330.70286625542</v>
      </c>
      <c r="D204" s="110">
        <f t="shared" si="231"/>
        <v>734590.94342976494</v>
      </c>
      <c r="E204" s="110">
        <f t="shared" si="231"/>
        <v>752361.32105721242</v>
      </c>
      <c r="F204" s="110">
        <f t="shared" si="231"/>
        <v>718270.63765516586</v>
      </c>
      <c r="G204" s="110">
        <f t="shared" si="231"/>
        <v>734109.4021918067</v>
      </c>
      <c r="H204" s="110">
        <f t="shared" si="231"/>
        <v>746415.92095451162</v>
      </c>
      <c r="I204" s="110">
        <f t="shared" si="231"/>
        <v>754865.14328525937</v>
      </c>
      <c r="J204" s="110">
        <f t="shared" si="231"/>
        <v>756938.76591945102</v>
      </c>
      <c r="K204" s="110">
        <f t="shared" si="231"/>
        <v>772025.95529920701</v>
      </c>
      <c r="L204" s="110">
        <f t="shared" si="231"/>
        <v>828436.01895734586</v>
      </c>
      <c r="M204" s="110">
        <f t="shared" si="234"/>
        <v>775015.9087571589</v>
      </c>
      <c r="N204" s="110">
        <f t="shared" si="231"/>
        <v>747430.02048181032</v>
      </c>
      <c r="O204" s="110">
        <f t="shared" si="231"/>
        <v>773742.49433999404</v>
      </c>
      <c r="P204" s="110">
        <f t="shared" si="231"/>
        <v>831519.67237092287</v>
      </c>
      <c r="Q204" s="110">
        <f t="shared" si="231"/>
        <v>786901.82416412653</v>
      </c>
      <c r="R204" s="110">
        <f t="shared" si="231"/>
        <v>827553.17110557563</v>
      </c>
      <c r="S204" s="110">
        <f t="shared" si="231"/>
        <v>851543.69928178343</v>
      </c>
      <c r="T204" s="110">
        <f t="shared" si="231"/>
        <v>822703.95423798054</v>
      </c>
      <c r="U204" s="110">
        <f t="shared" si="231"/>
        <v>809168.69314599643</v>
      </c>
      <c r="V204" s="110">
        <f t="shared" si="231"/>
        <v>469185.69711538468</v>
      </c>
      <c r="W204" s="110">
        <f t="shared" si="233"/>
        <v>442437.36317197769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134640.64620032054</v>
      </c>
      <c r="C205" s="102">
        <f t="shared" si="231"/>
        <v>130053.49144017068</v>
      </c>
      <c r="D205" s="102">
        <f t="shared" si="231"/>
        <v>130988.43583202563</v>
      </c>
      <c r="E205" s="102">
        <f t="shared" si="231"/>
        <v>136551.15852421036</v>
      </c>
      <c r="F205" s="102">
        <f t="shared" si="231"/>
        <v>128779.45766758185</v>
      </c>
      <c r="G205" s="102">
        <f t="shared" si="231"/>
        <v>128925.50904920395</v>
      </c>
      <c r="H205" s="102">
        <f t="shared" si="231"/>
        <v>128648.51002691315</v>
      </c>
      <c r="I205" s="102">
        <f t="shared" si="231"/>
        <v>129770.59960549907</v>
      </c>
      <c r="J205" s="102">
        <f t="shared" si="231"/>
        <v>130519.96779106856</v>
      </c>
      <c r="K205" s="102">
        <f t="shared" si="231"/>
        <v>131754.92342031759</v>
      </c>
      <c r="L205" s="102">
        <f t="shared" si="231"/>
        <v>140131.69327486691</v>
      </c>
      <c r="M205" s="102">
        <f t="shared" si="234"/>
        <v>128243.79929996564</v>
      </c>
      <c r="N205" s="102">
        <f t="shared" si="231"/>
        <v>120954.96894908499</v>
      </c>
      <c r="O205" s="102">
        <f t="shared" si="231"/>
        <v>122368.47717019278</v>
      </c>
      <c r="P205" s="102">
        <f t="shared" si="231"/>
        <v>128015.70714977407</v>
      </c>
      <c r="Q205" s="102">
        <f t="shared" si="231"/>
        <v>119447.51569751228</v>
      </c>
      <c r="R205" s="102">
        <f t="shared" si="231"/>
        <v>123419.97177808639</v>
      </c>
      <c r="S205" s="102">
        <f t="shared" si="231"/>
        <v>124639.33330497483</v>
      </c>
      <c r="T205" s="102">
        <f t="shared" si="231"/>
        <v>117806.16906458318</v>
      </c>
      <c r="U205" s="102">
        <f t="shared" si="231"/>
        <v>113456.01500941858</v>
      </c>
      <c r="V205" s="102">
        <f t="shared" si="231"/>
        <v>63984.317288016078</v>
      </c>
      <c r="W205" s="102">
        <f t="shared" si="233"/>
        <v>58699.876814647527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826887.01570016914</v>
      </c>
      <c r="C206" s="102">
        <f t="shared" si="231"/>
        <v>805209.77448241343</v>
      </c>
      <c r="D206" s="102">
        <f t="shared" si="231"/>
        <v>839845.00654634542</v>
      </c>
      <c r="E206" s="102">
        <f t="shared" si="231"/>
        <v>846149.56623028533</v>
      </c>
      <c r="F206" s="102">
        <f t="shared" si="231"/>
        <v>795342.18435354833</v>
      </c>
      <c r="G206" s="102">
        <f t="shared" si="231"/>
        <v>806972.12527708989</v>
      </c>
      <c r="H206" s="102">
        <f t="shared" si="231"/>
        <v>820080.8359737416</v>
      </c>
      <c r="I206" s="102">
        <f t="shared" si="231"/>
        <v>831454.0434690991</v>
      </c>
      <c r="J206" s="102">
        <f t="shared" si="231"/>
        <v>829286.99888934114</v>
      </c>
      <c r="K206" s="102">
        <f t="shared" si="231"/>
        <v>842567.96766177891</v>
      </c>
      <c r="L206" s="102">
        <f t="shared" si="231"/>
        <v>906666.19162098842</v>
      </c>
      <c r="M206" s="102">
        <f t="shared" si="234"/>
        <v>844141.76549752231</v>
      </c>
      <c r="N206" s="102">
        <f t="shared" si="231"/>
        <v>808858.37569990719</v>
      </c>
      <c r="O206" s="102">
        <f t="shared" si="231"/>
        <v>841824.08318463282</v>
      </c>
      <c r="P206" s="102">
        <f t="shared" si="231"/>
        <v>907768.83745771414</v>
      </c>
      <c r="Q206" s="102">
        <f t="shared" si="231"/>
        <v>862467.47300481994</v>
      </c>
      <c r="R206" s="102">
        <f t="shared" si="231"/>
        <v>900534.71810674015</v>
      </c>
      <c r="S206" s="102">
        <f t="shared" si="231"/>
        <v>915231.02353704313</v>
      </c>
      <c r="T206" s="102">
        <f t="shared" si="231"/>
        <v>881329.30374016589</v>
      </c>
      <c r="U206" s="102">
        <f t="shared" si="231"/>
        <v>865839.54567613546</v>
      </c>
      <c r="V206" s="102">
        <f t="shared" si="231"/>
        <v>506794.47846112098</v>
      </c>
      <c r="W206" s="102">
        <f t="shared" si="233"/>
        <v>475637.70404995128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263713.82067865389</v>
      </c>
      <c r="W207" s="102">
        <f t="shared" si="233"/>
        <v>248392.24641014708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718971.57601699582</v>
      </c>
      <c r="C208" s="102">
        <f t="shared" si="231"/>
        <v>677240.14678316994</v>
      </c>
      <c r="D208" s="102">
        <f t="shared" si="231"/>
        <v>639774.11122964486</v>
      </c>
      <c r="E208" s="102">
        <f t="shared" si="231"/>
        <v>672514.65917457943</v>
      </c>
      <c r="F208" s="102">
        <f t="shared" si="231"/>
        <v>802820.88569911127</v>
      </c>
      <c r="G208" s="102">
        <f t="shared" si="231"/>
        <v>817400.71767569496</v>
      </c>
      <c r="H208" s="102">
        <f t="shared" si="231"/>
        <v>750437.87491400982</v>
      </c>
      <c r="I208" s="102">
        <f t="shared" si="231"/>
        <v>607162.82706299168</v>
      </c>
      <c r="J208" s="102">
        <f t="shared" si="231"/>
        <v>599694.84467667784</v>
      </c>
      <c r="K208" s="102">
        <f t="shared" si="231"/>
        <v>578887.77176161238</v>
      </c>
      <c r="L208" s="102">
        <f t="shared" si="231"/>
        <v>583389.92238642601</v>
      </c>
      <c r="M208" s="102">
        <f t="shared" si="234"/>
        <v>597995.59892303194</v>
      </c>
      <c r="N208" s="102">
        <f t="shared" si="231"/>
        <v>597372.97025014285</v>
      </c>
      <c r="O208" s="102">
        <f t="shared" si="231"/>
        <v>568971.93876505084</v>
      </c>
      <c r="P208" s="102">
        <f t="shared" si="231"/>
        <v>592970.01759100414</v>
      </c>
      <c r="Q208" s="102">
        <f t="shared" si="231"/>
        <v>552576.2719560999</v>
      </c>
      <c r="R208" s="102">
        <f t="shared" si="231"/>
        <v>727524.50451912265</v>
      </c>
      <c r="S208" s="102">
        <f t="shared" si="231"/>
        <v>898475.51559603494</v>
      </c>
      <c r="T208" s="102">
        <f t="shared" si="231"/>
        <v>865434.76696544152</v>
      </c>
      <c r="U208" s="102">
        <f t="shared" si="231"/>
        <v>849802.91394451412</v>
      </c>
      <c r="V208" s="102">
        <f t="shared" si="231"/>
        <v>487924.0073595756</v>
      </c>
      <c r="W208" s="102">
        <f t="shared" si="233"/>
        <v>457789.77076663502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921461.59741347213</v>
      </c>
      <c r="C209" s="102">
        <f t="shared" si="231"/>
        <v>892558.56250536523</v>
      </c>
      <c r="D209" s="102">
        <f t="shared" si="231"/>
        <v>887126.74494691333</v>
      </c>
      <c r="E209" s="102">
        <f t="shared" si="231"/>
        <v>954497.59861572995</v>
      </c>
      <c r="F209" s="102">
        <f t="shared" si="231"/>
        <v>958323.09535199136</v>
      </c>
      <c r="G209" s="102">
        <f t="shared" si="231"/>
        <v>994703.28424892423</v>
      </c>
      <c r="H209" s="102">
        <f t="shared" si="231"/>
        <v>989705.03068234795</v>
      </c>
      <c r="I209" s="102">
        <f t="shared" si="231"/>
        <v>985852.13554494828</v>
      </c>
      <c r="J209" s="102">
        <f t="shared" si="231"/>
        <v>980489.42966451938</v>
      </c>
      <c r="K209" s="102">
        <f t="shared" si="231"/>
        <v>968841.33010850532</v>
      </c>
      <c r="L209" s="102">
        <f t="shared" si="231"/>
        <v>990080.00043154205</v>
      </c>
      <c r="M209" s="102">
        <f t="shared" si="234"/>
        <v>974079.51507839072</v>
      </c>
      <c r="N209" s="102">
        <f t="shared" si="231"/>
        <v>974410.77152495354</v>
      </c>
      <c r="O209" s="102">
        <f t="shared" si="231"/>
        <v>962784.35428677581</v>
      </c>
      <c r="P209" s="102">
        <f t="shared" si="231"/>
        <v>983286.17023261439</v>
      </c>
      <c r="Q209" s="102">
        <f t="shared" si="231"/>
        <v>978142.46746855439</v>
      </c>
      <c r="R209" s="102">
        <f t="shared" si="231"/>
        <v>974082.87389823224</v>
      </c>
      <c r="S209" s="102">
        <f t="shared" si="231"/>
        <v>970860.48928662739</v>
      </c>
      <c r="T209" s="102">
        <f t="shared" si="231"/>
        <v>968012.59200861456</v>
      </c>
      <c r="U209" s="102">
        <f t="shared" si="231"/>
        <v>966509.8692497256</v>
      </c>
      <c r="V209" s="102">
        <f t="shared" si="231"/>
        <v>592685.14919103566</v>
      </c>
      <c r="W209" s="102">
        <f t="shared" si="233"/>
        <v>700903.74223679234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91558.866490351022</v>
      </c>
      <c r="C210" s="28">
        <f t="shared" si="231"/>
        <v>92127.843411578622</v>
      </c>
      <c r="D210" s="28">
        <f t="shared" si="231"/>
        <v>91606.899815277226</v>
      </c>
      <c r="E210" s="28">
        <f t="shared" si="231"/>
        <v>91185.744714465167</v>
      </c>
      <c r="F210" s="28">
        <f t="shared" ref="B210:V219" si="235">IF(F19=0,0,F19*1000000/F73)</f>
        <v>85586.709519508251</v>
      </c>
      <c r="G210" s="28">
        <f t="shared" si="235"/>
        <v>76227.071843001293</v>
      </c>
      <c r="H210" s="28">
        <f t="shared" si="235"/>
        <v>71508.491305227973</v>
      </c>
      <c r="I210" s="28">
        <f t="shared" si="235"/>
        <v>64062.15559244524</v>
      </c>
      <c r="J210" s="28">
        <f t="shared" si="235"/>
        <v>56499.476774587725</v>
      </c>
      <c r="K210" s="28">
        <f t="shared" si="235"/>
        <v>50956.49361268909</v>
      </c>
      <c r="L210" s="28">
        <f t="shared" si="235"/>
        <v>56499.850891256632</v>
      </c>
      <c r="M210" s="28">
        <f t="shared" si="234"/>
        <v>58753.737157174437</v>
      </c>
      <c r="N210" s="28">
        <f t="shared" si="235"/>
        <v>56727.85855479267</v>
      </c>
      <c r="O210" s="28">
        <f t="shared" si="235"/>
        <v>62093.257670406449</v>
      </c>
      <c r="P210" s="28">
        <f t="shared" si="235"/>
        <v>63070.208827685521</v>
      </c>
      <c r="Q210" s="28">
        <f t="shared" si="235"/>
        <v>67926.562970687242</v>
      </c>
      <c r="R210" s="28">
        <f t="shared" si="235"/>
        <v>77100.395974082363</v>
      </c>
      <c r="S210" s="28">
        <f t="shared" si="235"/>
        <v>74635.760389895222</v>
      </c>
      <c r="T210" s="28">
        <f t="shared" si="235"/>
        <v>73727.84076075039</v>
      </c>
      <c r="U210" s="28">
        <f t="shared" si="235"/>
        <v>76342.866533149747</v>
      </c>
      <c r="V210" s="28">
        <f t="shared" si="235"/>
        <v>87469.153028916451</v>
      </c>
      <c r="W210" s="28">
        <f t="shared" ref="W210" si="236">IF(W19=0,0,W19*1000000/W73)</f>
        <v>93895.058959284346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1373.5957586396335</v>
      </c>
      <c r="C211" s="137">
        <f t="shared" si="235"/>
        <v>1454.9206537156083</v>
      </c>
      <c r="D211" s="137">
        <f t="shared" si="235"/>
        <v>1496.7130420954209</v>
      </c>
      <c r="E211" s="137">
        <f t="shared" si="235"/>
        <v>1548.4241794484801</v>
      </c>
      <c r="F211" s="137">
        <f t="shared" si="235"/>
        <v>1573.4153971713918</v>
      </c>
      <c r="G211" s="137">
        <f t="shared" si="235"/>
        <v>1595.4774763620658</v>
      </c>
      <c r="H211" s="137">
        <f t="shared" si="235"/>
        <v>1592.3936784211987</v>
      </c>
      <c r="I211" s="137">
        <f t="shared" si="235"/>
        <v>1578.3859066051632</v>
      </c>
      <c r="J211" s="137">
        <f t="shared" si="235"/>
        <v>1656.3393980161898</v>
      </c>
      <c r="K211" s="137">
        <f t="shared" si="235"/>
        <v>1677.1484620238591</v>
      </c>
      <c r="L211" s="137">
        <f t="shared" si="235"/>
        <v>1765.3302779507985</v>
      </c>
      <c r="M211" s="137">
        <f t="shared" si="234"/>
        <v>1792.4554758089735</v>
      </c>
      <c r="N211" s="137">
        <f t="shared" si="235"/>
        <v>1816.765473950097</v>
      </c>
      <c r="O211" s="137">
        <f t="shared" si="235"/>
        <v>1882.5111706516113</v>
      </c>
      <c r="P211" s="137">
        <f t="shared" si="235"/>
        <v>2014.6943397463133</v>
      </c>
      <c r="Q211" s="137">
        <f t="shared" si="235"/>
        <v>2055.6615790697069</v>
      </c>
      <c r="R211" s="137">
        <f t="shared" si="235"/>
        <v>2053.8917167937702</v>
      </c>
      <c r="S211" s="137">
        <f t="shared" si="235"/>
        <v>2061.8879340585136</v>
      </c>
      <c r="T211" s="137">
        <f t="shared" si="235"/>
        <v>2060.1133692342696</v>
      </c>
      <c r="U211" s="137">
        <f t="shared" si="235"/>
        <v>2058.0541816056079</v>
      </c>
      <c r="V211" s="137">
        <f t="shared" si="235"/>
        <v>2004.4091953533846</v>
      </c>
      <c r="W211" s="137">
        <f t="shared" ref="W211" si="237">IF(W20=0,0,W20*1000000/W74)</f>
        <v>2049.0931598525722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772.72465336533241</v>
      </c>
      <c r="C212" s="84">
        <f t="shared" si="235"/>
        <v>788.71520141725034</v>
      </c>
      <c r="D212" s="84">
        <f t="shared" si="235"/>
        <v>795.147356118586</v>
      </c>
      <c r="E212" s="84">
        <f t="shared" si="235"/>
        <v>796.40553180564098</v>
      </c>
      <c r="F212" s="84">
        <f t="shared" si="235"/>
        <v>794.86761648523907</v>
      </c>
      <c r="G212" s="84">
        <f t="shared" si="235"/>
        <v>794.63714780393354</v>
      </c>
      <c r="H212" s="84">
        <f t="shared" si="235"/>
        <v>793.88078523310367</v>
      </c>
      <c r="I212" s="84">
        <f t="shared" si="235"/>
        <v>790.60644009310556</v>
      </c>
      <c r="J212" s="84">
        <f t="shared" si="235"/>
        <v>802.91045460015812</v>
      </c>
      <c r="K212" s="84">
        <f t="shared" si="235"/>
        <v>805.07541120394137</v>
      </c>
      <c r="L212" s="84">
        <f t="shared" si="235"/>
        <v>818.594365882327</v>
      </c>
      <c r="M212" s="84">
        <f t="shared" si="234"/>
        <v>821.75909835978587</v>
      </c>
      <c r="N212" s="84">
        <f t="shared" si="235"/>
        <v>824.82142268959331</v>
      </c>
      <c r="O212" s="84">
        <f t="shared" si="235"/>
        <v>833.12538223731804</v>
      </c>
      <c r="P212" s="84">
        <f t="shared" si="235"/>
        <v>845.63098380169174</v>
      </c>
      <c r="Q212" s="84">
        <f t="shared" si="235"/>
        <v>846.93392975562517</v>
      </c>
      <c r="R212" s="84">
        <f t="shared" si="235"/>
        <v>858.52885539562544</v>
      </c>
      <c r="S212" s="84">
        <f t="shared" si="235"/>
        <v>853.65273676890934</v>
      </c>
      <c r="T212" s="84">
        <f t="shared" si="235"/>
        <v>853.95806540891942</v>
      </c>
      <c r="U212" s="84">
        <f t="shared" si="235"/>
        <v>853.93147856056919</v>
      </c>
      <c r="V212" s="84">
        <f t="shared" si="235"/>
        <v>846.49568837919981</v>
      </c>
      <c r="W212" s="84">
        <f t="shared" ref="W212" si="238">IF(W21=0,0,W21*1000000/W75)</f>
        <v>853.08523334892664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1716.9890050663421</v>
      </c>
      <c r="C213" s="84">
        <f t="shared" si="235"/>
        <v>1825.8026914943014</v>
      </c>
      <c r="D213" s="84">
        <f t="shared" si="235"/>
        <v>1870.8375005204332</v>
      </c>
      <c r="E213" s="84">
        <f t="shared" si="235"/>
        <v>1879.7323376724235</v>
      </c>
      <c r="F213" s="84">
        <f t="shared" si="235"/>
        <v>1868.8636652460241</v>
      </c>
      <c r="G213" s="84">
        <f t="shared" si="235"/>
        <v>1867.2385279389368</v>
      </c>
      <c r="H213" s="84">
        <f t="shared" si="235"/>
        <v>1861.9116986564281</v>
      </c>
      <c r="I213" s="84">
        <f t="shared" si="235"/>
        <v>1838.9683381045038</v>
      </c>
      <c r="J213" s="84">
        <f t="shared" si="235"/>
        <v>1926.1697028590197</v>
      </c>
      <c r="K213" s="84">
        <f t="shared" si="235"/>
        <v>1941.7928450023851</v>
      </c>
      <c r="L213" s="84">
        <f t="shared" si="235"/>
        <v>2041.2653451757546</v>
      </c>
      <c r="M213" s="84">
        <f t="shared" si="234"/>
        <v>2065.0319363352614</v>
      </c>
      <c r="N213" s="84">
        <f t="shared" si="235"/>
        <v>2088.2043943890872</v>
      </c>
      <c r="O213" s="84">
        <f t="shared" si="235"/>
        <v>2171.6653098858014</v>
      </c>
      <c r="P213" s="84">
        <f t="shared" si="235"/>
        <v>2342.8012452309176</v>
      </c>
      <c r="Q213" s="84">
        <f t="shared" si="235"/>
        <v>2400.8900069981169</v>
      </c>
      <c r="R213" s="84">
        <f t="shared" si="235"/>
        <v>2500.8541127170097</v>
      </c>
      <c r="S213" s="84">
        <f t="shared" si="235"/>
        <v>2518.5055506044323</v>
      </c>
      <c r="T213" s="84">
        <f t="shared" si="235"/>
        <v>2521.208922531403</v>
      </c>
      <c r="U213" s="84">
        <f t="shared" si="235"/>
        <v>2520.9734464052362</v>
      </c>
      <c r="V213" s="84">
        <f t="shared" si="235"/>
        <v>2455.689495526879</v>
      </c>
      <c r="W213" s="84">
        <f t="shared" ref="W213" si="239">IF(W22=0,0,W22*1000000/W76)</f>
        <v>2513.4860251062037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889.66915132772829</v>
      </c>
      <c r="C214" s="84">
        <f t="shared" si="235"/>
        <v>908.07971614231974</v>
      </c>
      <c r="D214" s="84">
        <f t="shared" si="235"/>
        <v>915.48531604058041</v>
      </c>
      <c r="E214" s="84">
        <f t="shared" si="235"/>
        <v>916.93390460424109</v>
      </c>
      <c r="F214" s="84">
        <f t="shared" si="235"/>
        <v>915.16324048480715</v>
      </c>
      <c r="G214" s="84">
        <f t="shared" si="235"/>
        <v>914.89789256920517</v>
      </c>
      <c r="H214" s="84">
        <f t="shared" si="235"/>
        <v>914.02706174537218</v>
      </c>
      <c r="I214" s="84">
        <f t="shared" si="235"/>
        <v>910.25717573336374</v>
      </c>
      <c r="J214" s="84">
        <f t="shared" si="235"/>
        <v>924.4232853517633</v>
      </c>
      <c r="K214" s="84">
        <f t="shared" si="235"/>
        <v>926.91588746554453</v>
      </c>
      <c r="L214" s="84">
        <f t="shared" si="235"/>
        <v>942.48080684941078</v>
      </c>
      <c r="M214" s="84">
        <f t="shared" si="234"/>
        <v>946.12449136903604</v>
      </c>
      <c r="N214" s="84">
        <f t="shared" si="235"/>
        <v>949.65026924570225</v>
      </c>
      <c r="O214" s="84">
        <f t="shared" si="235"/>
        <v>959.21095378101415</v>
      </c>
      <c r="P214" s="84">
        <f t="shared" si="235"/>
        <v>965.81246526192967</v>
      </c>
      <c r="Q214" s="84">
        <f t="shared" si="235"/>
        <v>967.30058652046534</v>
      </c>
      <c r="R214" s="84">
        <f t="shared" si="235"/>
        <v>980.54338855989874</v>
      </c>
      <c r="S214" s="84">
        <f t="shared" si="235"/>
        <v>982.8449274164974</v>
      </c>
      <c r="T214" s="84">
        <f t="shared" si="235"/>
        <v>983.19646463075696</v>
      </c>
      <c r="U214" s="84">
        <f t="shared" si="235"/>
        <v>983.16585411677227</v>
      </c>
      <c r="V214" s="84">
        <f t="shared" si="235"/>
        <v>974.60472809173996</v>
      </c>
      <c r="W214" s="84">
        <f t="shared" ref="W214" si="240">IF(W23=0,0,W23*1000000/W77)</f>
        <v>982.19153777267957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1038.775621375383</v>
      </c>
      <c r="O215" s="84">
        <f t="shared" si="235"/>
        <v>1069.356730176981</v>
      </c>
      <c r="P215" s="84">
        <f t="shared" si="235"/>
        <v>1096.2761818264994</v>
      </c>
      <c r="Q215" s="84">
        <f t="shared" si="235"/>
        <v>1107.0629667441146</v>
      </c>
      <c r="R215" s="84">
        <f t="shared" si="235"/>
        <v>1112.3000276694777</v>
      </c>
      <c r="S215" s="84">
        <f t="shared" si="235"/>
        <v>1149.1321823908158</v>
      </c>
      <c r="T215" s="84">
        <f t="shared" si="235"/>
        <v>1162.6736160787168</v>
      </c>
      <c r="U215" s="84">
        <f t="shared" si="235"/>
        <v>1171.5826775334046</v>
      </c>
      <c r="V215" s="84">
        <f t="shared" si="235"/>
        <v>1077.3285650097744</v>
      </c>
      <c r="W215" s="84">
        <f t="shared" ref="W215" si="241">IF(W24=0,0,W24*1000000/W78)</f>
        <v>1178.0557751812112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1414.5383511212822</v>
      </c>
      <c r="K216" s="84">
        <f t="shared" si="235"/>
        <v>1415.261751741358</v>
      </c>
      <c r="L216" s="84">
        <f t="shared" si="235"/>
        <v>1418.6742368955654</v>
      </c>
      <c r="M216" s="84">
        <f t="shared" si="234"/>
        <v>1419.6156089850203</v>
      </c>
      <c r="N216" s="84">
        <f t="shared" si="235"/>
        <v>1420.470605704229</v>
      </c>
      <c r="O216" s="84">
        <f t="shared" si="235"/>
        <v>1422.9627253956965</v>
      </c>
      <c r="P216" s="84">
        <f t="shared" si="235"/>
        <v>1427.7439079669687</v>
      </c>
      <c r="Q216" s="84">
        <f t="shared" si="235"/>
        <v>1428.8434165938443</v>
      </c>
      <c r="R216" s="84">
        <f t="shared" si="235"/>
        <v>1419.1619412092082</v>
      </c>
      <c r="S216" s="84">
        <f t="shared" si="235"/>
        <v>1417.4993336809769</v>
      </c>
      <c r="T216" s="84">
        <f t="shared" si="235"/>
        <v>1417.2459009569975</v>
      </c>
      <c r="U216" s="84">
        <f t="shared" si="235"/>
        <v>1417.223838752391</v>
      </c>
      <c r="V216" s="84">
        <f t="shared" si="235"/>
        <v>1327.2459292095682</v>
      </c>
      <c r="W216" s="84">
        <f t="shared" ref="W216" si="242">IF(W25=0,0,W25*1000000/W79)</f>
        <v>1416.521431009058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189080.90354382963</v>
      </c>
      <c r="C217" s="110">
        <f t="shared" si="235"/>
        <v>198162.68904789819</v>
      </c>
      <c r="D217" s="110">
        <f t="shared" si="235"/>
        <v>212679.48788024002</v>
      </c>
      <c r="E217" s="110">
        <f t="shared" si="235"/>
        <v>239900.02321663173</v>
      </c>
      <c r="F217" s="110">
        <f t="shared" si="235"/>
        <v>249064.67089101227</v>
      </c>
      <c r="G217" s="110">
        <f t="shared" si="235"/>
        <v>249216.54194465067</v>
      </c>
      <c r="H217" s="110">
        <f t="shared" si="235"/>
        <v>263284.07146799628</v>
      </c>
      <c r="I217" s="110">
        <f t="shared" si="235"/>
        <v>254915.65404928819</v>
      </c>
      <c r="J217" s="110">
        <f t="shared" si="235"/>
        <v>254537.08885625226</v>
      </c>
      <c r="K217" s="110">
        <f t="shared" si="235"/>
        <v>240562.01937841965</v>
      </c>
      <c r="L217" s="110">
        <f t="shared" si="235"/>
        <v>280631.55519319064</v>
      </c>
      <c r="M217" s="110">
        <f t="shared" si="234"/>
        <v>298462.7643476724</v>
      </c>
      <c r="N217" s="110">
        <f t="shared" si="235"/>
        <v>271529.37689214491</v>
      </c>
      <c r="O217" s="110">
        <f t="shared" si="235"/>
        <v>299252.07304758899</v>
      </c>
      <c r="P217" s="110">
        <f t="shared" si="235"/>
        <v>301173.9948106776</v>
      </c>
      <c r="Q217" s="110">
        <f t="shared" si="235"/>
        <v>320055.22900587507</v>
      </c>
      <c r="R217" s="110">
        <f t="shared" si="235"/>
        <v>301947.9804288423</v>
      </c>
      <c r="S217" s="110">
        <f t="shared" si="235"/>
        <v>281651.19642116787</v>
      </c>
      <c r="T217" s="110">
        <f t="shared" si="235"/>
        <v>270973.65663822781</v>
      </c>
      <c r="U217" s="110">
        <f t="shared" si="235"/>
        <v>275460.26707860897</v>
      </c>
      <c r="V217" s="110">
        <f t="shared" si="235"/>
        <v>333009.1897914104</v>
      </c>
      <c r="W217" s="110">
        <f t="shared" ref="W217" si="243">IF(W26=0,0,W26*1000000/W80)</f>
        <v>360803.21074788691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110017.1829285283</v>
      </c>
      <c r="C218" s="163">
        <f t="shared" si="235"/>
        <v>115041.12718380363</v>
      </c>
      <c r="D218" s="163">
        <f t="shared" si="235"/>
        <v>125507.62983017474</v>
      </c>
      <c r="E218" s="163">
        <f t="shared" si="235"/>
        <v>145886.9002604823</v>
      </c>
      <c r="F218" s="163">
        <f t="shared" si="235"/>
        <v>138537.78146152783</v>
      </c>
      <c r="G218" s="163">
        <f t="shared" si="235"/>
        <v>134393.37646253908</v>
      </c>
      <c r="H218" s="163">
        <f t="shared" si="235"/>
        <v>141968.06115873199</v>
      </c>
      <c r="I218" s="163">
        <f t="shared" si="235"/>
        <v>133949.87561978577</v>
      </c>
      <c r="J218" s="163">
        <f t="shared" si="235"/>
        <v>138504.83729111697</v>
      </c>
      <c r="K218" s="163">
        <f t="shared" si="235"/>
        <v>125069.58619409909</v>
      </c>
      <c r="L218" s="163">
        <f t="shared" si="235"/>
        <v>148108.75890438448</v>
      </c>
      <c r="M218" s="163">
        <f t="shared" si="234"/>
        <v>156127.9029787766</v>
      </c>
      <c r="N218" s="163">
        <f t="shared" si="235"/>
        <v>137866.01066324627</v>
      </c>
      <c r="O218" s="163">
        <f t="shared" si="235"/>
        <v>151452.833344813</v>
      </c>
      <c r="P218" s="163">
        <f t="shared" si="235"/>
        <v>158507.03773887301</v>
      </c>
      <c r="Q218" s="163">
        <f t="shared" si="235"/>
        <v>183759.68286187664</v>
      </c>
      <c r="R218" s="163">
        <f t="shared" si="235"/>
        <v>177432.69903901228</v>
      </c>
      <c r="S218" s="163">
        <f t="shared" si="235"/>
        <v>161971.25803421522</v>
      </c>
      <c r="T218" s="163">
        <f t="shared" si="235"/>
        <v>163719.30654167914</v>
      </c>
      <c r="U218" s="163">
        <f t="shared" si="235"/>
        <v>168428.70803086826</v>
      </c>
      <c r="V218" s="163">
        <f t="shared" si="235"/>
        <v>208759.15642722117</v>
      </c>
      <c r="W218" s="163">
        <f t="shared" ref="W218" si="244">IF(W27=0,0,W27*1000000/W81)</f>
        <v>226340.4841027825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1211898.023405219</v>
      </c>
      <c r="C219" s="86">
        <f t="shared" si="235"/>
        <v>1210781.7237517899</v>
      </c>
      <c r="D219" s="86">
        <f t="shared" si="235"/>
        <v>1218781.2452026801</v>
      </c>
      <c r="E219" s="86">
        <f t="shared" si="235"/>
        <v>1211630.2440791768</v>
      </c>
      <c r="F219" s="86">
        <f t="shared" si="235"/>
        <v>1189395.6861165599</v>
      </c>
      <c r="G219" s="86">
        <f t="shared" si="235"/>
        <v>1189920.8451036527</v>
      </c>
      <c r="H219" s="86">
        <f t="shared" si="235"/>
        <v>1197516.3170032206</v>
      </c>
      <c r="I219" s="86">
        <f t="shared" si="235"/>
        <v>1199761.4335396837</v>
      </c>
      <c r="J219" s="86">
        <f t="shared" si="235"/>
        <v>1182827.7589206963</v>
      </c>
      <c r="K219" s="86">
        <f t="shared" si="235"/>
        <v>1167218.3469750897</v>
      </c>
      <c r="L219" s="86">
        <f t="shared" si="235"/>
        <v>1205211.3610244459</v>
      </c>
      <c r="M219" s="86">
        <f t="shared" si="234"/>
        <v>1201321.6407818308</v>
      </c>
      <c r="N219" s="86">
        <f t="shared" si="235"/>
        <v>1197336.2809098649</v>
      </c>
      <c r="O219" s="86">
        <f t="shared" si="235"/>
        <v>1198963.898848932</v>
      </c>
      <c r="P219" s="86">
        <f t="shared" si="235"/>
        <v>1201776.6731159436</v>
      </c>
      <c r="Q219" s="86">
        <f t="shared" si="235"/>
        <v>1190493.8116343322</v>
      </c>
      <c r="R219" s="86">
        <f t="shared" si="235"/>
        <v>1184152.2940252344</v>
      </c>
      <c r="S219" s="86">
        <f t="shared" si="235"/>
        <v>1194238.5693686139</v>
      </c>
      <c r="T219" s="86">
        <f t="shared" si="235"/>
        <v>1203288.3999274618</v>
      </c>
      <c r="U219" s="86">
        <f t="shared" si="235"/>
        <v>1198640.8782017773</v>
      </c>
      <c r="V219" s="86">
        <f t="shared" si="235"/>
        <v>1180389.7869768848</v>
      </c>
      <c r="W219" s="86">
        <f t="shared" ref="W219" si="245">IF(W28=0,0,W28*1000000/W82)</f>
        <v>1193445.0932378978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1.8508141965761601E-2</v>
      </c>
      <c r="C223" s="154">
        <f t="shared" si="250"/>
        <v>1.7485566421056132E-2</v>
      </c>
      <c r="D223" s="154">
        <f t="shared" si="250"/>
        <v>1.6926303848035125E-2</v>
      </c>
      <c r="E223" s="154">
        <f t="shared" si="250"/>
        <v>1.6489520867452999E-2</v>
      </c>
      <c r="F223" s="154">
        <f t="shared" si="250"/>
        <v>1.6632967415367485E-2</v>
      </c>
      <c r="G223" s="154">
        <f t="shared" si="250"/>
        <v>1.6912576846494221E-2</v>
      </c>
      <c r="H223" s="154">
        <f t="shared" si="250"/>
        <v>1.7117293228807357E-2</v>
      </c>
      <c r="I223" s="154">
        <f t="shared" si="250"/>
        <v>1.7353262547259236E-2</v>
      </c>
      <c r="J223" s="154">
        <f t="shared" si="250"/>
        <v>1.7714424159292454E-2</v>
      </c>
      <c r="K223" s="154">
        <f t="shared" si="250"/>
        <v>1.7913947104802194E-2</v>
      </c>
      <c r="L223" s="154">
        <f t="shared" ref="L223" si="251">IF(L5=0,0,L5/L$4)</f>
        <v>1.9943086775382462E-2</v>
      </c>
      <c r="M223" s="154">
        <f t="shared" ref="M223:V223" si="252">IF(M5=0,0,M5/M$4)</f>
        <v>2.0066528999610679E-2</v>
      </c>
      <c r="N223" s="154">
        <f t="shared" si="252"/>
        <v>2.083049422799926E-2</v>
      </c>
      <c r="O223" s="154">
        <f t="shared" si="252"/>
        <v>2.0717164548492879E-2</v>
      </c>
      <c r="P223" s="154">
        <f t="shared" si="252"/>
        <v>2.0388936244023163E-2</v>
      </c>
      <c r="Q223" s="154">
        <f t="shared" si="252"/>
        <v>2.0542667845000882E-2</v>
      </c>
      <c r="R223" s="154">
        <f t="shared" si="252"/>
        <v>2.0258805096920202E-2</v>
      </c>
      <c r="S223" s="154">
        <f t="shared" si="252"/>
        <v>1.8510029098024409E-2</v>
      </c>
      <c r="T223" s="154">
        <f t="shared" si="252"/>
        <v>1.7020707813778856E-2</v>
      </c>
      <c r="U223" s="154">
        <f t="shared" si="252"/>
        <v>1.7518156369522794E-2</v>
      </c>
      <c r="V223" s="154">
        <f t="shared" si="252"/>
        <v>1.9798192375018019E-2</v>
      </c>
      <c r="W223" s="154">
        <f t="shared" ref="W223" si="253">IF(W5=0,0,W5/W$4)</f>
        <v>1.6607335697561065E-2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0.78336750748907091</v>
      </c>
      <c r="C224" s="156">
        <f t="shared" si="254"/>
        <v>0.76998061594871869</v>
      </c>
      <c r="D224" s="156">
        <f t="shared" si="254"/>
        <v>0.78445966013116264</v>
      </c>
      <c r="E224" s="156">
        <f t="shared" si="254"/>
        <v>0.79070745379076346</v>
      </c>
      <c r="F224" s="156">
        <f t="shared" si="254"/>
        <v>0.8026055755875684</v>
      </c>
      <c r="G224" s="156">
        <f t="shared" si="254"/>
        <v>0.80095908295941665</v>
      </c>
      <c r="H224" s="156">
        <f t="shared" si="254"/>
        <v>0.79908976546793842</v>
      </c>
      <c r="I224" s="156">
        <f t="shared" si="254"/>
        <v>0.80193732436432985</v>
      </c>
      <c r="J224" s="156">
        <f t="shared" si="254"/>
        <v>0.80348424432713117</v>
      </c>
      <c r="K224" s="156">
        <f t="shared" si="254"/>
        <v>0.80354718358151311</v>
      </c>
      <c r="L224" s="156">
        <f t="shared" ref="L224" si="255">IF(L6=0,0,L6/L$4)</f>
        <v>0.77369455146796717</v>
      </c>
      <c r="M224" s="156">
        <f t="shared" ref="M224:V224" si="256">IF(M6=0,0,M6/M$4)</f>
        <v>0.78914945151686233</v>
      </c>
      <c r="N224" s="156">
        <f t="shared" si="256"/>
        <v>0.79145048285843445</v>
      </c>
      <c r="O224" s="156">
        <f t="shared" si="256"/>
        <v>0.78773082436478803</v>
      </c>
      <c r="P224" s="156">
        <f t="shared" si="256"/>
        <v>0.77907694126374172</v>
      </c>
      <c r="Q224" s="156">
        <f t="shared" si="256"/>
        <v>0.79416937412527477</v>
      </c>
      <c r="R224" s="156">
        <f t="shared" si="256"/>
        <v>0.79068925889046293</v>
      </c>
      <c r="S224" s="156">
        <f t="shared" si="256"/>
        <v>0.78793081733085557</v>
      </c>
      <c r="T224" s="156">
        <f t="shared" si="256"/>
        <v>0.7976035473147477</v>
      </c>
      <c r="U224" s="156">
        <f t="shared" si="256"/>
        <v>0.80442748457426538</v>
      </c>
      <c r="V224" s="156">
        <f t="shared" si="256"/>
        <v>0.86292638641659769</v>
      </c>
      <c r="W224" s="156">
        <f t="shared" ref="W224" si="257">IF(W6=0,0,W6/W$4)</f>
        <v>0.8912199674741681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0.57979971836721234</v>
      </c>
      <c r="C225" s="103">
        <f t="shared" si="258"/>
        <v>0.5426631709642582</v>
      </c>
      <c r="D225" s="103">
        <f t="shared" si="258"/>
        <v>0.53408633964816565</v>
      </c>
      <c r="E225" s="103">
        <f t="shared" si="258"/>
        <v>0.51649170321532978</v>
      </c>
      <c r="F225" s="103">
        <f t="shared" si="258"/>
        <v>0.50756706909032823</v>
      </c>
      <c r="G225" s="103">
        <f t="shared" si="258"/>
        <v>0.47917606401221691</v>
      </c>
      <c r="H225" s="103">
        <f t="shared" si="258"/>
        <v>0.46783243479746434</v>
      </c>
      <c r="I225" s="103">
        <f t="shared" si="258"/>
        <v>0.46925750310194775</v>
      </c>
      <c r="J225" s="103">
        <f t="shared" si="258"/>
        <v>0.45762947597883891</v>
      </c>
      <c r="K225" s="103">
        <f t="shared" si="258"/>
        <v>0.4435974960516938</v>
      </c>
      <c r="L225" s="103">
        <f t="shared" ref="L225" si="259">IF(L7=0,0,L7/L$4)</f>
        <v>0.42249273949771987</v>
      </c>
      <c r="M225" s="103">
        <f t="shared" ref="M225:V225" si="260">IF(M7=0,0,M7/M$4)</f>
        <v>0.40928722323670724</v>
      </c>
      <c r="N225" s="103">
        <f t="shared" si="260"/>
        <v>0.38624119579772764</v>
      </c>
      <c r="O225" s="103">
        <f t="shared" si="260"/>
        <v>0.35943108813107233</v>
      </c>
      <c r="P225" s="103">
        <f t="shared" si="260"/>
        <v>0.34832132564411161</v>
      </c>
      <c r="Q225" s="103">
        <f t="shared" si="260"/>
        <v>0.3525029697405388</v>
      </c>
      <c r="R225" s="103">
        <f t="shared" si="260"/>
        <v>0.34150506461164526</v>
      </c>
      <c r="S225" s="103">
        <f t="shared" si="260"/>
        <v>0.33571262358031084</v>
      </c>
      <c r="T225" s="103">
        <f t="shared" si="260"/>
        <v>0.33737231701818671</v>
      </c>
      <c r="U225" s="103">
        <f t="shared" si="260"/>
        <v>0.33528646987207189</v>
      </c>
      <c r="V225" s="103">
        <f t="shared" si="260"/>
        <v>0.33938669087159251</v>
      </c>
      <c r="W225" s="103">
        <f t="shared" ref="W225" si="261">IF(W7=0,0,W7/W$4)</f>
        <v>0.3337781046998004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0.18837122159829811</v>
      </c>
      <c r="C226" s="103">
        <f t="shared" si="262"/>
        <v>0.21319543582250161</v>
      </c>
      <c r="D226" s="103">
        <f t="shared" si="262"/>
        <v>0.2363372585871556</v>
      </c>
      <c r="E226" s="103">
        <f t="shared" si="262"/>
        <v>0.26031927081834627</v>
      </c>
      <c r="F226" s="103">
        <f t="shared" si="262"/>
        <v>0.28065320410455152</v>
      </c>
      <c r="G226" s="103">
        <f t="shared" si="262"/>
        <v>0.30742208510709224</v>
      </c>
      <c r="H226" s="103">
        <f t="shared" si="262"/>
        <v>0.31612687664132699</v>
      </c>
      <c r="I226" s="103">
        <f t="shared" si="262"/>
        <v>0.31700114022674869</v>
      </c>
      <c r="J226" s="103">
        <f t="shared" si="262"/>
        <v>0.33055583315743103</v>
      </c>
      <c r="K226" s="103">
        <f t="shared" si="262"/>
        <v>0.3444745617123583</v>
      </c>
      <c r="L226" s="103">
        <f t="shared" ref="L226" si="263">IF(L8=0,0,L8/L$4)</f>
        <v>0.33573263998677116</v>
      </c>
      <c r="M226" s="103">
        <f t="shared" ref="M226:V226" si="264">IF(M8=0,0,M8/M$4)</f>
        <v>0.36411869252437318</v>
      </c>
      <c r="N226" s="103">
        <f t="shared" si="264"/>
        <v>0.38774609266245197</v>
      </c>
      <c r="O226" s="103">
        <f t="shared" si="264"/>
        <v>0.41033504178533431</v>
      </c>
      <c r="P226" s="103">
        <f t="shared" si="264"/>
        <v>0.4117104136638759</v>
      </c>
      <c r="Q226" s="103">
        <f t="shared" si="264"/>
        <v>0.42242524076502674</v>
      </c>
      <c r="R226" s="103">
        <f t="shared" si="264"/>
        <v>0.43046326249451239</v>
      </c>
      <c r="S226" s="103">
        <f t="shared" si="264"/>
        <v>0.4349239515306722</v>
      </c>
      <c r="T226" s="103">
        <f t="shared" si="264"/>
        <v>0.4433565900915733</v>
      </c>
      <c r="U226" s="103">
        <f t="shared" si="264"/>
        <v>0.45272262358863335</v>
      </c>
      <c r="V226" s="103">
        <f t="shared" si="264"/>
        <v>0.50679151519322663</v>
      </c>
      <c r="W226" s="103">
        <f t="shared" ref="W226" si="265">IF(W8=0,0,W8/W$4)</f>
        <v>0.54051322396059198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1.5196567523560389E-2</v>
      </c>
      <c r="C227" s="103">
        <f t="shared" si="266"/>
        <v>1.4122009161958788E-2</v>
      </c>
      <c r="D227" s="103">
        <f t="shared" si="266"/>
        <v>1.4036061895841482E-2</v>
      </c>
      <c r="E227" s="103">
        <f t="shared" si="266"/>
        <v>1.3896479757087635E-2</v>
      </c>
      <c r="F227" s="103">
        <f t="shared" si="266"/>
        <v>1.4385302392688731E-2</v>
      </c>
      <c r="G227" s="103">
        <f t="shared" si="266"/>
        <v>1.4360933840107525E-2</v>
      </c>
      <c r="H227" s="103">
        <f t="shared" si="266"/>
        <v>1.5130454029147113E-2</v>
      </c>
      <c r="I227" s="103">
        <f t="shared" si="266"/>
        <v>1.5678681035633357E-2</v>
      </c>
      <c r="J227" s="103">
        <f t="shared" si="266"/>
        <v>1.5143682853420777E-2</v>
      </c>
      <c r="K227" s="103">
        <f t="shared" si="266"/>
        <v>1.523119821758227E-2</v>
      </c>
      <c r="L227" s="103">
        <f t="shared" ref="L227" si="267">IF(L9=0,0,L9/L$4)</f>
        <v>1.5128745998329666E-2</v>
      </c>
      <c r="M227" s="103">
        <f t="shared" ref="M227:V227" si="268">IF(M9=0,0,M9/M$4)</f>
        <v>1.5304748262111541E-2</v>
      </c>
      <c r="N227" s="103">
        <f t="shared" si="268"/>
        <v>1.6905001792677576E-2</v>
      </c>
      <c r="O227" s="103">
        <f t="shared" si="268"/>
        <v>1.7156939503389954E-2</v>
      </c>
      <c r="P227" s="103">
        <f t="shared" si="268"/>
        <v>1.8054799045185289E-2</v>
      </c>
      <c r="Q227" s="103">
        <f t="shared" si="268"/>
        <v>1.7803261870025722E-2</v>
      </c>
      <c r="R227" s="103">
        <f t="shared" si="268"/>
        <v>1.6414072717353276E-2</v>
      </c>
      <c r="S227" s="103">
        <f t="shared" si="268"/>
        <v>1.4438339124847944E-2</v>
      </c>
      <c r="T227" s="103">
        <f t="shared" si="268"/>
        <v>1.3414169020311844E-2</v>
      </c>
      <c r="U227" s="103">
        <f t="shared" si="268"/>
        <v>1.2569732826006916E-2</v>
      </c>
      <c r="V227" s="103">
        <f t="shared" si="268"/>
        <v>1.201384886059758E-2</v>
      </c>
      <c r="W227" s="103">
        <f t="shared" ref="W227" si="269">IF(W9=0,0,W9/W$4)</f>
        <v>1.1442666821702103E-2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1.5525233744039158E-4</v>
      </c>
      <c r="K228" s="103">
        <f t="shared" si="270"/>
        <v>2.4392759987878603E-4</v>
      </c>
      <c r="L228" s="103">
        <f t="shared" ref="L228" si="271">IF(L10=0,0,L10/L$4)</f>
        <v>3.3949665108551781E-4</v>
      </c>
      <c r="M228" s="103">
        <f t="shared" ref="M228:V228" si="272">IF(M10=0,0,M10/M$4)</f>
        <v>4.2917767034043088E-4</v>
      </c>
      <c r="N228" s="103">
        <f t="shared" si="272"/>
        <v>5.4439366763059534E-4</v>
      </c>
      <c r="O228" s="103">
        <f t="shared" si="272"/>
        <v>7.6747660871631684E-4</v>
      </c>
      <c r="P228" s="103">
        <f t="shared" si="272"/>
        <v>9.1762874719019099E-4</v>
      </c>
      <c r="Q228" s="103">
        <f t="shared" si="272"/>
        <v>1.3049150579816059E-3</v>
      </c>
      <c r="R228" s="103">
        <f t="shared" si="272"/>
        <v>2.0775516453825325E-3</v>
      </c>
      <c r="S228" s="103">
        <f t="shared" si="272"/>
        <v>2.486168770072318E-3</v>
      </c>
      <c r="T228" s="103">
        <f t="shared" si="272"/>
        <v>2.975380455816707E-3</v>
      </c>
      <c r="U228" s="103">
        <f t="shared" si="272"/>
        <v>3.227603690844582E-3</v>
      </c>
      <c r="V228" s="103">
        <f t="shared" si="272"/>
        <v>3.5454718965054347E-3</v>
      </c>
      <c r="W228" s="103">
        <f t="shared" ref="W228" si="273">IF(W10=0,0,W10/W$4)</f>
        <v>3.6827609128973105E-3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2.0547674848155792E-6</v>
      </c>
      <c r="O229" s="103">
        <f t="shared" si="276"/>
        <v>3.5842709558154161E-6</v>
      </c>
      <c r="P229" s="103">
        <f t="shared" si="276"/>
        <v>1.0739587090147396E-5</v>
      </c>
      <c r="Q229" s="103">
        <f t="shared" si="276"/>
        <v>2.8379711732686371E-5</v>
      </c>
      <c r="R229" s="103">
        <f t="shared" si="276"/>
        <v>4.3176933426317734E-5</v>
      </c>
      <c r="S229" s="103">
        <f t="shared" si="276"/>
        <v>6.5410811230069501E-5</v>
      </c>
      <c r="T229" s="103">
        <f t="shared" si="276"/>
        <v>9.1636749172966124E-5</v>
      </c>
      <c r="U229" s="103">
        <f t="shared" si="276"/>
        <v>1.3250856748490367E-4</v>
      </c>
      <c r="V229" s="103">
        <f t="shared" si="276"/>
        <v>2.7464389998043347E-4</v>
      </c>
      <c r="W229" s="103">
        <f t="shared" ref="W229" si="277">IF(W11=0,0,W11/W$4)</f>
        <v>5.1321409775948281E-4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9.2933406092557146E-7</v>
      </c>
      <c r="M230" s="103">
        <f t="shared" ref="M230:V230" si="280">IF(M12=0,0,M12/M$4)</f>
        <v>9.6098233299001429E-6</v>
      </c>
      <c r="N230" s="103">
        <f t="shared" si="280"/>
        <v>1.1744170461827643E-5</v>
      </c>
      <c r="O230" s="103">
        <f t="shared" si="280"/>
        <v>3.6694065319250976E-5</v>
      </c>
      <c r="P230" s="103">
        <f t="shared" si="280"/>
        <v>6.2034576288658473E-5</v>
      </c>
      <c r="Q230" s="103">
        <f t="shared" si="280"/>
        <v>1.0460697996924736E-4</v>
      </c>
      <c r="R230" s="103">
        <f t="shared" si="280"/>
        <v>1.8613048814305057E-4</v>
      </c>
      <c r="S230" s="103">
        <f t="shared" si="280"/>
        <v>3.0432351372234305E-4</v>
      </c>
      <c r="T230" s="103">
        <f t="shared" si="280"/>
        <v>3.9345397968623263E-4</v>
      </c>
      <c r="U230" s="103">
        <f t="shared" si="280"/>
        <v>4.8854602922372974E-4</v>
      </c>
      <c r="V230" s="103">
        <f t="shared" si="280"/>
        <v>9.142156946951249E-4</v>
      </c>
      <c r="W230" s="103">
        <f t="shared" ref="W230" si="281">IF(W12=0,0,W12/W$4)</f>
        <v>1.2899969814169009E-3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0.19812435054516758</v>
      </c>
      <c r="C231" s="156">
        <f t="shared" si="282"/>
        <v>0.21253381763022516</v>
      </c>
      <c r="D231" s="156">
        <f t="shared" si="282"/>
        <v>0.1986140360208023</v>
      </c>
      <c r="E231" s="156">
        <f t="shared" si="282"/>
        <v>0.19280302534178351</v>
      </c>
      <c r="F231" s="156">
        <f t="shared" si="282"/>
        <v>0.18076145699706403</v>
      </c>
      <c r="G231" s="156">
        <f t="shared" si="282"/>
        <v>0.18212834019408916</v>
      </c>
      <c r="H231" s="156">
        <f t="shared" si="282"/>
        <v>0.1837929413032541</v>
      </c>
      <c r="I231" s="156">
        <f t="shared" si="282"/>
        <v>0.18070941308841104</v>
      </c>
      <c r="J231" s="156">
        <f t="shared" si="282"/>
        <v>0.17880133151357649</v>
      </c>
      <c r="K231" s="156">
        <f t="shared" si="282"/>
        <v>0.17853886931368468</v>
      </c>
      <c r="L231" s="156">
        <f t="shared" ref="L231" si="283">IF(L13=0,0,L13/L$4)</f>
        <v>0.20636236175665038</v>
      </c>
      <c r="M231" s="156">
        <f t="shared" ref="M231:V231" si="284">IF(M13=0,0,M13/M$4)</f>
        <v>0.19078401948352694</v>
      </c>
      <c r="N231" s="156">
        <f t="shared" si="284"/>
        <v>0.18771902291356629</v>
      </c>
      <c r="O231" s="156">
        <f t="shared" si="284"/>
        <v>0.19155201108671915</v>
      </c>
      <c r="P231" s="156">
        <f t="shared" si="284"/>
        <v>0.20053412249223504</v>
      </c>
      <c r="Q231" s="156">
        <f t="shared" si="284"/>
        <v>0.18528795802972431</v>
      </c>
      <c r="R231" s="156">
        <f t="shared" si="284"/>
        <v>0.18905193601261691</v>
      </c>
      <c r="S231" s="156">
        <f t="shared" si="284"/>
        <v>0.19355915357111989</v>
      </c>
      <c r="T231" s="156">
        <f t="shared" si="284"/>
        <v>0.18537574487147354</v>
      </c>
      <c r="U231" s="156">
        <f t="shared" si="284"/>
        <v>0.17805435905621195</v>
      </c>
      <c r="V231" s="156">
        <f t="shared" si="284"/>
        <v>0.11727542120838431</v>
      </c>
      <c r="W231" s="156">
        <f t="shared" ref="W231" si="285">IF(W13=0,0,W13/W$4)</f>
        <v>9.2172696828270728E-2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5.3544839957377537E-3</v>
      </c>
      <c r="C232" s="103">
        <f t="shared" si="286"/>
        <v>5.121318962150883E-3</v>
      </c>
      <c r="D232" s="103">
        <f t="shared" si="286"/>
        <v>5.1039199191026006E-3</v>
      </c>
      <c r="E232" s="103">
        <f t="shared" si="286"/>
        <v>4.5666906436664855E-3</v>
      </c>
      <c r="F232" s="103">
        <f t="shared" si="286"/>
        <v>4.0291238375419628E-3</v>
      </c>
      <c r="G232" s="103">
        <f t="shared" si="286"/>
        <v>3.7505433470691879E-3</v>
      </c>
      <c r="H232" s="103">
        <f t="shared" si="286"/>
        <v>3.5551703598181166E-3</v>
      </c>
      <c r="I232" s="103">
        <f t="shared" si="286"/>
        <v>3.4185006354158992E-3</v>
      </c>
      <c r="J232" s="103">
        <f t="shared" si="286"/>
        <v>3.2092937825892675E-3</v>
      </c>
      <c r="K232" s="103">
        <f t="shared" si="286"/>
        <v>2.9700787330009036E-3</v>
      </c>
      <c r="L232" s="103">
        <f t="shared" ref="L232" si="287">IF(L14=0,0,L14/L$4)</f>
        <v>3.3751998343624382E-3</v>
      </c>
      <c r="M232" s="103">
        <f t="shared" ref="M232:V232" si="288">IF(M14=0,0,M14/M$4)</f>
        <v>3.0133893962759595E-3</v>
      </c>
      <c r="N232" s="103">
        <f t="shared" si="288"/>
        <v>2.767307250160141E-3</v>
      </c>
      <c r="O232" s="103">
        <f t="shared" si="288"/>
        <v>2.7523937494177615E-3</v>
      </c>
      <c r="P232" s="103">
        <f t="shared" si="288"/>
        <v>2.7259044513898156E-3</v>
      </c>
      <c r="Q232" s="103">
        <f t="shared" si="288"/>
        <v>2.4210417197293383E-3</v>
      </c>
      <c r="R232" s="103">
        <f t="shared" si="288"/>
        <v>2.3567787184351563E-3</v>
      </c>
      <c r="S232" s="103">
        <f t="shared" si="288"/>
        <v>2.2620404167732555E-3</v>
      </c>
      <c r="T232" s="103">
        <f t="shared" si="288"/>
        <v>2.0233578663263556E-3</v>
      </c>
      <c r="U232" s="103">
        <f t="shared" si="288"/>
        <v>1.8572944965308115E-3</v>
      </c>
      <c r="V232" s="103">
        <f t="shared" si="288"/>
        <v>1.3103415390051311E-3</v>
      </c>
      <c r="W232" s="103">
        <f t="shared" ref="W232" si="289">IF(W14=0,0,W14/W$4)</f>
        <v>9.6022661254656838E-4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0.18200800516200094</v>
      </c>
      <c r="C233" s="103">
        <f t="shared" si="290"/>
        <v>0.19641181543590999</v>
      </c>
      <c r="D233" s="103">
        <f t="shared" si="290"/>
        <v>0.18177462175777573</v>
      </c>
      <c r="E233" s="103">
        <f t="shared" si="290"/>
        <v>0.17539895315438342</v>
      </c>
      <c r="F233" s="103">
        <f t="shared" si="290"/>
        <v>0.16274660021494627</v>
      </c>
      <c r="G233" s="103">
        <f t="shared" si="290"/>
        <v>0.16430929488345561</v>
      </c>
      <c r="H233" s="103">
        <f t="shared" si="290"/>
        <v>0.16662004112940937</v>
      </c>
      <c r="I233" s="103">
        <f t="shared" si="290"/>
        <v>0.16605040726072332</v>
      </c>
      <c r="J233" s="103">
        <f t="shared" si="290"/>
        <v>0.16456367942423347</v>
      </c>
      <c r="K233" s="103">
        <f t="shared" si="290"/>
        <v>0.16477931397663026</v>
      </c>
      <c r="L233" s="103">
        <f t="shared" ref="L233" si="291">IF(L15=0,0,L15/L$4)</f>
        <v>0.19093526864228227</v>
      </c>
      <c r="M233" s="103">
        <f t="shared" ref="M233:V233" si="292">IF(M15=0,0,M15/M$4)</f>
        <v>0.17598305922350088</v>
      </c>
      <c r="N233" s="103">
        <f t="shared" si="292"/>
        <v>0.17297108954078746</v>
      </c>
      <c r="O233" s="103">
        <f t="shared" si="292"/>
        <v>0.17912223965934587</v>
      </c>
      <c r="P233" s="103">
        <f t="shared" si="292"/>
        <v>0.19247404414556885</v>
      </c>
      <c r="Q233" s="103">
        <f t="shared" si="292"/>
        <v>0.17633372884851062</v>
      </c>
      <c r="R233" s="103">
        <f t="shared" si="292"/>
        <v>0.17727415189470058</v>
      </c>
      <c r="S233" s="103">
        <f t="shared" si="292"/>
        <v>0.17939450117083422</v>
      </c>
      <c r="T233" s="103">
        <f t="shared" si="292"/>
        <v>0.17125937073758457</v>
      </c>
      <c r="U233" s="103">
        <f t="shared" si="292"/>
        <v>0.1618163159167044</v>
      </c>
      <c r="V233" s="103">
        <f t="shared" si="292"/>
        <v>0.10413588942454569</v>
      </c>
      <c r="W233" s="103">
        <f t="shared" ref="W233" si="293">IF(W15=0,0,W15/W$4)</f>
        <v>8.2048160322537769E-2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2.3107799992520861E-5</v>
      </c>
      <c r="W234" s="103">
        <f t="shared" ref="W234" si="297">IF(W16=0,0,W16/W$4)</f>
        <v>1.7622563865277066E-5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2.5544807901685595E-3</v>
      </c>
      <c r="C235" s="103">
        <f t="shared" si="298"/>
        <v>2.9987955200620232E-3</v>
      </c>
      <c r="D235" s="103">
        <f t="shared" si="298"/>
        <v>3.9971822724012918E-3</v>
      </c>
      <c r="E235" s="103">
        <f t="shared" si="298"/>
        <v>4.7366005385352881E-3</v>
      </c>
      <c r="F235" s="103">
        <f t="shared" si="298"/>
        <v>5.7216088713357115E-3</v>
      </c>
      <c r="G235" s="103">
        <f t="shared" si="298"/>
        <v>5.7229416891599102E-3</v>
      </c>
      <c r="H235" s="103">
        <f t="shared" si="298"/>
        <v>5.1673177549616048E-3</v>
      </c>
      <c r="I235" s="103">
        <f t="shared" si="298"/>
        <v>3.0627332938883154E-3</v>
      </c>
      <c r="J235" s="103">
        <f t="shared" si="298"/>
        <v>2.9957227355051465E-3</v>
      </c>
      <c r="K235" s="103">
        <f t="shared" si="298"/>
        <v>2.8956098682247837E-3</v>
      </c>
      <c r="L235" s="103">
        <f t="shared" ref="L235" si="299">IF(L17=0,0,L17/L$4)</f>
        <v>3.1951316965434032E-3</v>
      </c>
      <c r="M235" s="103">
        <f t="shared" ref="M235:V235" si="300">IF(M17=0,0,M17/M$4)</f>
        <v>3.2426103909730295E-3</v>
      </c>
      <c r="N235" s="103">
        <f t="shared" si="300"/>
        <v>3.2924173102441001E-3</v>
      </c>
      <c r="O235" s="103">
        <f t="shared" si="300"/>
        <v>3.1196988470799892E-3</v>
      </c>
      <c r="P235" s="103">
        <f t="shared" si="300"/>
        <v>3.6115315514509447E-3</v>
      </c>
      <c r="Q235" s="103">
        <f t="shared" si="300"/>
        <v>5.1624432205121563E-3</v>
      </c>
      <c r="R235" s="103">
        <f t="shared" si="300"/>
        <v>8.120555359891134E-3</v>
      </c>
      <c r="S235" s="103">
        <f t="shared" si="300"/>
        <v>1.0667576157223987E-2</v>
      </c>
      <c r="T235" s="103">
        <f t="shared" si="300"/>
        <v>1.0924547827843904E-2</v>
      </c>
      <c r="U235" s="103">
        <f t="shared" si="300"/>
        <v>1.3423004518342633E-2</v>
      </c>
      <c r="V235" s="103">
        <f t="shared" si="300"/>
        <v>1.1012237850058277E-2</v>
      </c>
      <c r="W235" s="103">
        <f t="shared" ref="W235" si="301">IF(W17=0,0,W17/W$4)</f>
        <v>8.3794757441511287E-3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8.2073805972603248E-3</v>
      </c>
      <c r="C236" s="103">
        <f t="shared" si="302"/>
        <v>8.0018877121022219E-3</v>
      </c>
      <c r="D236" s="103">
        <f t="shared" si="302"/>
        <v>7.7383120715226903E-3</v>
      </c>
      <c r="E236" s="103">
        <f t="shared" si="302"/>
        <v>8.1007810051983205E-3</v>
      </c>
      <c r="F236" s="103">
        <f t="shared" si="302"/>
        <v>8.2641240732400714E-3</v>
      </c>
      <c r="G236" s="103">
        <f t="shared" si="302"/>
        <v>8.3455602744044715E-3</v>
      </c>
      <c r="H236" s="103">
        <f t="shared" si="302"/>
        <v>8.4504120590649847E-3</v>
      </c>
      <c r="I236" s="103">
        <f t="shared" si="302"/>
        <v>8.177771898383486E-3</v>
      </c>
      <c r="J236" s="103">
        <f t="shared" si="302"/>
        <v>8.0326355712486228E-3</v>
      </c>
      <c r="K236" s="103">
        <f t="shared" si="302"/>
        <v>7.8938667358287359E-3</v>
      </c>
      <c r="L236" s="103">
        <f t="shared" ref="L236" si="303">IF(L18=0,0,L18/L$4)</f>
        <v>8.8567615834622589E-3</v>
      </c>
      <c r="M236" s="103">
        <f t="shared" ref="M236:V236" si="304">IF(M18=0,0,M18/M$4)</f>
        <v>8.544960472777037E-3</v>
      </c>
      <c r="N236" s="103">
        <f t="shared" si="304"/>
        <v>8.6882088123745524E-3</v>
      </c>
      <c r="O236" s="103">
        <f t="shared" si="304"/>
        <v>6.5576788308755402E-3</v>
      </c>
      <c r="P236" s="103">
        <f t="shared" si="304"/>
        <v>1.7226423438254277E-3</v>
      </c>
      <c r="Q236" s="103">
        <f t="shared" si="304"/>
        <v>1.3707442409721974E-3</v>
      </c>
      <c r="R236" s="103">
        <f t="shared" si="304"/>
        <v>1.3004500395900522E-3</v>
      </c>
      <c r="S236" s="103">
        <f t="shared" si="304"/>
        <v>1.23503582628845E-3</v>
      </c>
      <c r="T236" s="103">
        <f t="shared" si="304"/>
        <v>1.1684684397187022E-3</v>
      </c>
      <c r="U236" s="103">
        <f t="shared" si="304"/>
        <v>9.5774412463415289E-4</v>
      </c>
      <c r="V236" s="103">
        <f t="shared" si="304"/>
        <v>7.9384459478269221E-4</v>
      </c>
      <c r="W236" s="103">
        <f t="shared" ref="W236" si="305">IF(W18=0,0,W18/W$4)</f>
        <v>7.6721158516995975E-4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7.7943538339358036E-3</v>
      </c>
      <c r="C238" s="154">
        <f t="shared" si="310"/>
        <v>8.5128601940356371E-3</v>
      </c>
      <c r="D238" s="154">
        <f t="shared" si="310"/>
        <v>9.36693898309344E-3</v>
      </c>
      <c r="E238" s="154">
        <f t="shared" si="310"/>
        <v>1.0594917850656879E-2</v>
      </c>
      <c r="F238" s="154">
        <f t="shared" si="310"/>
        <v>1.2143291503482243E-2</v>
      </c>
      <c r="G238" s="154">
        <f t="shared" si="310"/>
        <v>1.4622227023542477E-2</v>
      </c>
      <c r="H238" s="154">
        <f t="shared" si="310"/>
        <v>1.6319100730563838E-2</v>
      </c>
      <c r="I238" s="154">
        <f t="shared" si="310"/>
        <v>1.8561483718074947E-2</v>
      </c>
      <c r="J238" s="154">
        <f t="shared" si="310"/>
        <v>2.2958146205760397E-2</v>
      </c>
      <c r="K238" s="154">
        <f t="shared" si="310"/>
        <v>2.6123677670249659E-2</v>
      </c>
      <c r="L238" s="154">
        <f t="shared" ref="L238" si="311">IF(L20=0,0,L20/L$19)</f>
        <v>2.5112274175437131E-2</v>
      </c>
      <c r="M238" s="154">
        <f t="shared" ref="M238:V238" si="312">IF(M20=0,0,M20/M$19)</f>
        <v>2.465035546425999E-2</v>
      </c>
      <c r="N238" s="154">
        <f t="shared" si="312"/>
        <v>2.5505777764242475E-2</v>
      </c>
      <c r="O238" s="154">
        <f t="shared" si="312"/>
        <v>2.4178863081396294E-2</v>
      </c>
      <c r="P238" s="154">
        <f t="shared" si="312"/>
        <v>2.5424281549404043E-2</v>
      </c>
      <c r="Q238" s="154">
        <f t="shared" si="312"/>
        <v>2.3994277402310644E-2</v>
      </c>
      <c r="R238" s="154">
        <f t="shared" si="312"/>
        <v>1.9972905898249051E-2</v>
      </c>
      <c r="S238" s="154">
        <f t="shared" si="312"/>
        <v>2.0455036799624567E-2</v>
      </c>
      <c r="T238" s="154">
        <f t="shared" si="312"/>
        <v>2.0495321238612491E-2</v>
      </c>
      <c r="U238" s="154">
        <f t="shared" si="312"/>
        <v>1.9633400679967595E-2</v>
      </c>
      <c r="V238" s="154">
        <f t="shared" si="312"/>
        <v>1.6998848977806114E-2</v>
      </c>
      <c r="W238" s="154">
        <f t="shared" ref="W238" si="313">IF(W20=0,0,W20/W$19)</f>
        <v>1.6236181900579568E-2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1.4158966851428117E-3</v>
      </c>
      <c r="C239" s="103">
        <f t="shared" si="314"/>
        <v>1.4811639777527385E-3</v>
      </c>
      <c r="D239" s="103">
        <f t="shared" si="314"/>
        <v>1.5687099668559011E-3</v>
      </c>
      <c r="E239" s="103">
        <f t="shared" si="314"/>
        <v>1.508081356781693E-3</v>
      </c>
      <c r="F239" s="103">
        <f t="shared" si="314"/>
        <v>1.5267383283015146E-3</v>
      </c>
      <c r="G239" s="103">
        <f t="shared" si="314"/>
        <v>1.6797827483822371E-3</v>
      </c>
      <c r="H239" s="103">
        <f t="shared" si="314"/>
        <v>1.8840720268927227E-3</v>
      </c>
      <c r="I239" s="103">
        <f t="shared" si="314"/>
        <v>2.1321081450265734E-3</v>
      </c>
      <c r="J239" s="103">
        <f t="shared" si="314"/>
        <v>2.4895160249667702E-3</v>
      </c>
      <c r="K239" s="103">
        <f t="shared" si="314"/>
        <v>2.7082212267016169E-3</v>
      </c>
      <c r="L239" s="103">
        <f t="shared" ref="L239" si="315">IF(L21=0,0,L21/L$19)</f>
        <v>2.4385830831021209E-3</v>
      </c>
      <c r="M239" s="103">
        <f t="shared" ref="M239:V239" si="316">IF(M21=0,0,M21/M$19)</f>
        <v>2.2912846525423658E-3</v>
      </c>
      <c r="N239" s="103">
        <f t="shared" si="316"/>
        <v>2.2657778664144533E-3</v>
      </c>
      <c r="O239" s="103">
        <f t="shared" si="316"/>
        <v>2.0902721086835823E-3</v>
      </c>
      <c r="P239" s="103">
        <f t="shared" si="316"/>
        <v>2.075580491312074E-3</v>
      </c>
      <c r="Q239" s="103">
        <f t="shared" si="316"/>
        <v>1.9131544865533001E-3</v>
      </c>
      <c r="R239" s="103">
        <f t="shared" si="316"/>
        <v>1.9290113205943666E-3</v>
      </c>
      <c r="S239" s="103">
        <f t="shared" si="316"/>
        <v>1.9422003819268162E-3</v>
      </c>
      <c r="T239" s="103">
        <f t="shared" si="316"/>
        <v>1.9371956422394136E-3</v>
      </c>
      <c r="U239" s="103">
        <f t="shared" si="316"/>
        <v>1.8515067595495356E-3</v>
      </c>
      <c r="V239" s="103">
        <f t="shared" si="316"/>
        <v>1.6281185968090119E-3</v>
      </c>
      <c r="W239" s="103">
        <f t="shared" ref="W239" si="317">IF(W21=0,0,W21/W$19)</f>
        <v>1.5370531794229229E-3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6.1436625169598797E-3</v>
      </c>
      <c r="C240" s="103">
        <f t="shared" si="318"/>
        <v>6.8115661535008091E-3</v>
      </c>
      <c r="D240" s="103">
        <f t="shared" si="318"/>
        <v>7.588158997496766E-3</v>
      </c>
      <c r="E240" s="103">
        <f t="shared" si="318"/>
        <v>8.8815637165388546E-3</v>
      </c>
      <c r="F240" s="103">
        <f t="shared" si="318"/>
        <v>1.0408000204683186E-2</v>
      </c>
      <c r="G240" s="103">
        <f t="shared" si="318"/>
        <v>1.2727958480234957E-2</v>
      </c>
      <c r="H240" s="103">
        <f t="shared" si="318"/>
        <v>1.4215783880058072E-2</v>
      </c>
      <c r="I240" s="103">
        <f t="shared" si="318"/>
        <v>1.6196917412994144E-2</v>
      </c>
      <c r="J240" s="103">
        <f t="shared" si="318"/>
        <v>2.0230122253727324E-2</v>
      </c>
      <c r="K240" s="103">
        <f t="shared" si="318"/>
        <v>2.314171037263521E-2</v>
      </c>
      <c r="L240" s="103">
        <f t="shared" ref="L240" si="319">IF(L22=0,0,L22/L$19)</f>
        <v>2.2429799701731274E-2</v>
      </c>
      <c r="M240" s="103">
        <f t="shared" ref="M240:V240" si="320">IF(M22=0,0,M22/M$19)</f>
        <v>2.2119382924036212E-2</v>
      </c>
      <c r="N240" s="103">
        <f t="shared" si="320"/>
        <v>2.2952206764464082E-2</v>
      </c>
      <c r="O240" s="103">
        <f t="shared" si="320"/>
        <v>2.1801124485960784E-2</v>
      </c>
      <c r="P240" s="103">
        <f t="shared" si="320"/>
        <v>2.3008426194847498E-2</v>
      </c>
      <c r="Q240" s="103">
        <f t="shared" si="320"/>
        <v>2.1700355974867077E-2</v>
      </c>
      <c r="R240" s="103">
        <f t="shared" si="320"/>
        <v>1.7578936796010993E-2</v>
      </c>
      <c r="S240" s="103">
        <f t="shared" si="320"/>
        <v>1.7967469846472319E-2</v>
      </c>
      <c r="T240" s="103">
        <f t="shared" si="320"/>
        <v>1.7951069164428839E-2</v>
      </c>
      <c r="U240" s="103">
        <f t="shared" si="320"/>
        <v>1.7159797363457657E-2</v>
      </c>
      <c r="V240" s="103">
        <f t="shared" si="320"/>
        <v>1.482669569393079E-2</v>
      </c>
      <c r="W240" s="103">
        <f t="shared" ref="W240" si="321">IF(W22=0,0,W22/W$19)</f>
        <v>1.4140355747376656E-2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2.3479463183311271E-4</v>
      </c>
      <c r="C241" s="103">
        <f t="shared" si="322"/>
        <v>2.2013006278208988E-4</v>
      </c>
      <c r="D241" s="103">
        <f t="shared" si="322"/>
        <v>2.100700187407741E-4</v>
      </c>
      <c r="E241" s="103">
        <f t="shared" si="322"/>
        <v>2.0527277733633161E-4</v>
      </c>
      <c r="F241" s="103">
        <f t="shared" si="322"/>
        <v>2.0855297049754344E-4</v>
      </c>
      <c r="G241" s="103">
        <f t="shared" si="322"/>
        <v>2.1448579492528349E-4</v>
      </c>
      <c r="H241" s="103">
        <f t="shared" si="322"/>
        <v>2.1924482361304393E-4</v>
      </c>
      <c r="I241" s="103">
        <f t="shared" si="322"/>
        <v>2.3245816005423197E-4</v>
      </c>
      <c r="J241" s="103">
        <f t="shared" si="322"/>
        <v>2.3685242342837029E-4</v>
      </c>
      <c r="K241" s="103">
        <f t="shared" si="322"/>
        <v>2.7180809590222102E-4</v>
      </c>
      <c r="L241" s="103">
        <f t="shared" ref="L241" si="323">IF(L23=0,0,L23/L$19)</f>
        <v>2.4194524155306594E-4</v>
      </c>
      <c r="M241" s="103">
        <f t="shared" ref="M241:V241" si="324">IF(M23=0,0,M23/M$19)</f>
        <v>2.3764199018334243E-4</v>
      </c>
      <c r="N241" s="103">
        <f t="shared" si="324"/>
        <v>2.709941027298602E-4</v>
      </c>
      <c r="O241" s="103">
        <f t="shared" si="324"/>
        <v>2.6091046140535391E-4</v>
      </c>
      <c r="P241" s="103">
        <f t="shared" si="324"/>
        <v>2.7912316631012593E-4</v>
      </c>
      <c r="Q241" s="103">
        <f t="shared" si="324"/>
        <v>2.4280578140160671E-4</v>
      </c>
      <c r="R241" s="103">
        <f t="shared" si="324"/>
        <v>2.5791540817250795E-4</v>
      </c>
      <c r="S241" s="103">
        <f t="shared" si="324"/>
        <v>2.5424073396737356E-4</v>
      </c>
      <c r="T241" s="103">
        <f t="shared" si="324"/>
        <v>2.4880172513988769E-4</v>
      </c>
      <c r="U241" s="103">
        <f t="shared" si="324"/>
        <v>2.1589736504191019E-4</v>
      </c>
      <c r="V241" s="103">
        <f t="shared" si="324"/>
        <v>1.7091271666392363E-4</v>
      </c>
      <c r="W241" s="103">
        <f t="shared" ref="W241" si="325">IF(W23=0,0,W23/W$19)</f>
        <v>1.4421428813106958E-4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1.381413861000088E-5</v>
      </c>
      <c r="O242" s="103">
        <f t="shared" si="328"/>
        <v>2.3340384128453269E-5</v>
      </c>
      <c r="P242" s="103">
        <f t="shared" si="328"/>
        <v>5.7654892170592213E-5</v>
      </c>
      <c r="Q242" s="103">
        <f t="shared" si="328"/>
        <v>1.3439907530132068E-4</v>
      </c>
      <c r="R242" s="103">
        <f t="shared" si="328"/>
        <v>2.0290009609372933E-4</v>
      </c>
      <c r="S242" s="103">
        <f t="shared" si="328"/>
        <v>2.8609713190772072E-4</v>
      </c>
      <c r="T242" s="103">
        <f t="shared" si="328"/>
        <v>3.5138543977742542E-4</v>
      </c>
      <c r="U242" s="103">
        <f t="shared" si="328"/>
        <v>3.9575944892437259E-4</v>
      </c>
      <c r="V242" s="103">
        <f t="shared" si="328"/>
        <v>3.6149057509619371E-4</v>
      </c>
      <c r="W242" s="103">
        <f t="shared" ref="W242" si="329">IF(W24=0,0,W24/W$19)</f>
        <v>3.9574506941618425E-4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1.655503637933904E-6</v>
      </c>
      <c r="K243" s="103">
        <f t="shared" si="330"/>
        <v>1.9379750106102416E-6</v>
      </c>
      <c r="L243" s="103">
        <f t="shared" ref="L243" si="331">IF(L25=0,0,L25/L$19)</f>
        <v>1.94614905067014E-6</v>
      </c>
      <c r="M243" s="103">
        <f t="shared" ref="M243:V243" si="332">IF(M25=0,0,M25/M$19)</f>
        <v>2.0458974980709333E-6</v>
      </c>
      <c r="N243" s="103">
        <f t="shared" si="332"/>
        <v>2.9848920240800369E-6</v>
      </c>
      <c r="O243" s="103">
        <f t="shared" si="332"/>
        <v>3.2156412181217305E-6</v>
      </c>
      <c r="P243" s="103">
        <f t="shared" si="332"/>
        <v>3.4968047637545782E-6</v>
      </c>
      <c r="Q243" s="103">
        <f t="shared" si="332"/>
        <v>3.5620841873409304E-6</v>
      </c>
      <c r="R243" s="103">
        <f t="shared" si="332"/>
        <v>4.1422773774578151E-6</v>
      </c>
      <c r="S243" s="103">
        <f t="shared" si="332"/>
        <v>5.0287053503372554E-6</v>
      </c>
      <c r="T243" s="103">
        <f t="shared" si="332"/>
        <v>6.8692670269211501E-6</v>
      </c>
      <c r="U243" s="103">
        <f t="shared" si="332"/>
        <v>1.0439742994120933E-5</v>
      </c>
      <c r="V243" s="103">
        <f t="shared" si="332"/>
        <v>1.1631395306193481E-5</v>
      </c>
      <c r="W243" s="103">
        <f t="shared" ref="W243" si="333">IF(W25=0,0,W25/W$19)</f>
        <v>1.8813616232734075E-5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0.9922056461660641</v>
      </c>
      <c r="C244" s="156">
        <f t="shared" si="334"/>
        <v>0.99148713980596437</v>
      </c>
      <c r="D244" s="156">
        <f t="shared" si="334"/>
        <v>0.99063306101690662</v>
      </c>
      <c r="E244" s="156">
        <f t="shared" si="334"/>
        <v>0.98940508214934308</v>
      </c>
      <c r="F244" s="156">
        <f t="shared" si="334"/>
        <v>0.98785670849651774</v>
      </c>
      <c r="G244" s="156">
        <f t="shared" si="334"/>
        <v>0.98537777297645746</v>
      </c>
      <c r="H244" s="156">
        <f t="shared" si="334"/>
        <v>0.98368089926943614</v>
      </c>
      <c r="I244" s="156">
        <f t="shared" si="334"/>
        <v>0.98143851628192502</v>
      </c>
      <c r="J244" s="156">
        <f t="shared" si="334"/>
        <v>0.97704185379423958</v>
      </c>
      <c r="K244" s="156">
        <f t="shared" si="334"/>
        <v>0.9738763223297503</v>
      </c>
      <c r="L244" s="156">
        <f t="shared" ref="L244" si="335">IF(L26=0,0,L26/L$19)</f>
        <v>0.97488772582456273</v>
      </c>
      <c r="M244" s="156">
        <f t="shared" ref="M244:V244" si="336">IF(M26=0,0,M26/M$19)</f>
        <v>0.97534964453574002</v>
      </c>
      <c r="N244" s="156">
        <f t="shared" si="336"/>
        <v>0.97449422223575755</v>
      </c>
      <c r="O244" s="156">
        <f t="shared" si="336"/>
        <v>0.97582113691860373</v>
      </c>
      <c r="P244" s="156">
        <f t="shared" si="336"/>
        <v>0.97457571845059587</v>
      </c>
      <c r="Q244" s="156">
        <f t="shared" si="336"/>
        <v>0.97600572259768947</v>
      </c>
      <c r="R244" s="156">
        <f t="shared" si="336"/>
        <v>0.98002709410175104</v>
      </c>
      <c r="S244" s="156">
        <f t="shared" si="336"/>
        <v>0.97954496320037543</v>
      </c>
      <c r="T244" s="156">
        <f t="shared" si="336"/>
        <v>0.97950467876138747</v>
      </c>
      <c r="U244" s="156">
        <f t="shared" si="336"/>
        <v>0.98036659932003234</v>
      </c>
      <c r="V244" s="156">
        <f t="shared" si="336"/>
        <v>0.98300115102219388</v>
      </c>
      <c r="W244" s="156">
        <f t="shared" ref="W244" si="337">IF(W26=0,0,W26/W$19)</f>
        <v>0.98376381809942048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0.53589277572538774</v>
      </c>
      <c r="C245" s="103">
        <f t="shared" si="338"/>
        <v>0.53193266620838031</v>
      </c>
      <c r="D245" s="103">
        <f t="shared" si="338"/>
        <v>0.53798526464691121</v>
      </c>
      <c r="E245" s="103">
        <f t="shared" si="338"/>
        <v>0.54859674204120956</v>
      </c>
      <c r="F245" s="103">
        <f t="shared" si="338"/>
        <v>0.49168484113558825</v>
      </c>
      <c r="G245" s="103">
        <f t="shared" si="338"/>
        <v>0.47357345630827635</v>
      </c>
      <c r="H245" s="103">
        <f t="shared" si="338"/>
        <v>0.46945834682811977</v>
      </c>
      <c r="I245" s="103">
        <f t="shared" si="338"/>
        <v>0.45718230046492148</v>
      </c>
      <c r="J245" s="103">
        <f t="shared" si="338"/>
        <v>0.47258095102587222</v>
      </c>
      <c r="K245" s="103">
        <f t="shared" si="338"/>
        <v>0.45021238548849207</v>
      </c>
      <c r="L245" s="103">
        <f t="shared" ref="L245" si="339">IF(L27=0,0,L27/L$19)</f>
        <v>0.45001408183051822</v>
      </c>
      <c r="M245" s="103">
        <f t="shared" ref="M245:V245" si="340">IF(M27=0,0,M27/M$19)</f>
        <v>0.44073117635382753</v>
      </c>
      <c r="N245" s="103">
        <f t="shared" si="340"/>
        <v>0.43236576113963149</v>
      </c>
      <c r="O245" s="103">
        <f t="shared" si="340"/>
        <v>0.42418495927620603</v>
      </c>
      <c r="P245" s="103">
        <f t="shared" si="340"/>
        <v>0.44277524679849006</v>
      </c>
      <c r="Q245" s="103">
        <f t="shared" si="340"/>
        <v>0.48450806562786508</v>
      </c>
      <c r="R245" s="103">
        <f t="shared" si="340"/>
        <v>0.50466160816325223</v>
      </c>
      <c r="S245" s="103">
        <f t="shared" si="340"/>
        <v>0.49800420672213214</v>
      </c>
      <c r="T245" s="103">
        <f t="shared" si="340"/>
        <v>0.53074820253813315</v>
      </c>
      <c r="U245" s="103">
        <f t="shared" si="340"/>
        <v>0.53716246538133694</v>
      </c>
      <c r="V245" s="103">
        <f t="shared" si="340"/>
        <v>0.53742845756233693</v>
      </c>
      <c r="W245" s="103">
        <f t="shared" ref="W245" si="341">IF(W27=0,0,W27/W$19)</f>
        <v>0.53133385863960136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0.45631287044067642</v>
      </c>
      <c r="C246" s="105">
        <f t="shared" si="342"/>
        <v>0.459554473597584</v>
      </c>
      <c r="D246" s="105">
        <f t="shared" si="342"/>
        <v>0.4526477963699953</v>
      </c>
      <c r="E246" s="105">
        <f t="shared" si="342"/>
        <v>0.44080834010813347</v>
      </c>
      <c r="F246" s="105">
        <f t="shared" si="342"/>
        <v>0.4961718673609295</v>
      </c>
      <c r="G246" s="105">
        <f t="shared" si="342"/>
        <v>0.51180431666818116</v>
      </c>
      <c r="H246" s="105">
        <f t="shared" si="342"/>
        <v>0.51422255244131632</v>
      </c>
      <c r="I246" s="105">
        <f t="shared" si="342"/>
        <v>0.52425621581700355</v>
      </c>
      <c r="J246" s="105">
        <f t="shared" si="342"/>
        <v>0.50446090276836741</v>
      </c>
      <c r="K246" s="105">
        <f t="shared" si="342"/>
        <v>0.52366393684125823</v>
      </c>
      <c r="L246" s="105">
        <f t="shared" ref="L246" si="343">IF(L28=0,0,L28/L$19)</f>
        <v>0.52487364399404457</v>
      </c>
      <c r="M246" s="105">
        <f t="shared" ref="M246:V246" si="344">IF(M28=0,0,M28/M$19)</f>
        <v>0.5346184681819125</v>
      </c>
      <c r="N246" s="105">
        <f t="shared" si="344"/>
        <v>0.54212846109612611</v>
      </c>
      <c r="O246" s="105">
        <f t="shared" si="344"/>
        <v>0.5516361776423977</v>
      </c>
      <c r="P246" s="105">
        <f t="shared" si="344"/>
        <v>0.53180047165210576</v>
      </c>
      <c r="Q246" s="105">
        <f t="shared" si="344"/>
        <v>0.49149765696982434</v>
      </c>
      <c r="R246" s="105">
        <f t="shared" si="344"/>
        <v>0.4753654859384987</v>
      </c>
      <c r="S246" s="105">
        <f t="shared" si="344"/>
        <v>0.48154075647824329</v>
      </c>
      <c r="T246" s="105">
        <f t="shared" si="344"/>
        <v>0.44875647622325437</v>
      </c>
      <c r="U246" s="105">
        <f t="shared" si="344"/>
        <v>0.44320413393869545</v>
      </c>
      <c r="V246" s="105">
        <f t="shared" si="344"/>
        <v>0.44557269345985695</v>
      </c>
      <c r="W246" s="105">
        <f t="shared" ref="W246" si="345">IF(W28=0,0,W28/W$19)</f>
        <v>0.45242995945981912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3.8861662867836211E-2</v>
      </c>
      <c r="C250" s="154">
        <f t="shared" si="350"/>
        <v>3.4222094212248165E-2</v>
      </c>
      <c r="D250" s="154">
        <f t="shared" si="350"/>
        <v>3.1854361008674212E-2</v>
      </c>
      <c r="E250" s="154">
        <f t="shared" si="350"/>
        <v>2.7888204043102771E-2</v>
      </c>
      <c r="F250" s="154">
        <f t="shared" si="350"/>
        <v>2.6916468942676346E-2</v>
      </c>
      <c r="G250" s="154">
        <f t="shared" si="350"/>
        <v>2.6796381064900447E-2</v>
      </c>
      <c r="H250" s="154">
        <f t="shared" si="350"/>
        <v>2.7166732106643228E-2</v>
      </c>
      <c r="I250" s="154">
        <f t="shared" si="350"/>
        <v>2.6862063338502593E-2</v>
      </c>
      <c r="J250" s="154">
        <f t="shared" si="350"/>
        <v>2.749175849905695E-2</v>
      </c>
      <c r="K250" s="154">
        <f t="shared" si="350"/>
        <v>2.7091628283439993E-2</v>
      </c>
      <c r="L250" s="154">
        <f t="shared" ref="L250" si="351">IF(L32=0,0,L32/L$31)</f>
        <v>2.9435192884685678E-2</v>
      </c>
      <c r="M250" s="154">
        <f t="shared" ref="M250:V250" si="352">IF(M32=0,0,M32/M$31)</f>
        <v>2.9371386999595864E-2</v>
      </c>
      <c r="N250" s="154">
        <f t="shared" si="352"/>
        <v>3.0310260346575694E-2</v>
      </c>
      <c r="O250" s="154">
        <f t="shared" si="352"/>
        <v>3.0034968458865011E-2</v>
      </c>
      <c r="P250" s="154">
        <f t="shared" si="352"/>
        <v>2.967742828471033E-2</v>
      </c>
      <c r="Q250" s="154">
        <f t="shared" si="352"/>
        <v>2.981044904102733E-2</v>
      </c>
      <c r="R250" s="154">
        <f t="shared" si="352"/>
        <v>2.8671389554665073E-2</v>
      </c>
      <c r="S250" s="154">
        <f t="shared" si="352"/>
        <v>2.6274455614261189E-2</v>
      </c>
      <c r="T250" s="154">
        <f t="shared" si="352"/>
        <v>2.4332331103166512E-2</v>
      </c>
      <c r="U250" s="154">
        <f t="shared" si="352"/>
        <v>2.4865980341564054E-2</v>
      </c>
      <c r="V250" s="154">
        <f t="shared" si="352"/>
        <v>2.3076951267490438E-2</v>
      </c>
      <c r="W250" s="154">
        <f t="shared" ref="W250" si="353">IF(W32=0,0,W32/W$31)</f>
        <v>2.1723320716409211E-2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0.9398416705085666</v>
      </c>
      <c r="C251" s="156">
        <f t="shared" si="354"/>
        <v>0.94389413793031218</v>
      </c>
      <c r="D251" s="156">
        <f t="shared" si="354"/>
        <v>0.94827286141945932</v>
      </c>
      <c r="E251" s="156">
        <f t="shared" si="354"/>
        <v>0.95600823031502724</v>
      </c>
      <c r="F251" s="156">
        <f t="shared" si="354"/>
        <v>0.95869200423329204</v>
      </c>
      <c r="G251" s="156">
        <f t="shared" si="354"/>
        <v>0.95956640365915868</v>
      </c>
      <c r="H251" s="156">
        <f t="shared" si="354"/>
        <v>0.95899016791139691</v>
      </c>
      <c r="I251" s="156">
        <f t="shared" si="354"/>
        <v>0.95978909138823165</v>
      </c>
      <c r="J251" s="156">
        <f t="shared" si="354"/>
        <v>0.95920700212057564</v>
      </c>
      <c r="K251" s="156">
        <f t="shared" si="354"/>
        <v>0.95982146820528547</v>
      </c>
      <c r="L251" s="156">
        <f t="shared" ref="L251" si="355">IF(L33=0,0,L33/L$31)</f>
        <v>0.95611998535876497</v>
      </c>
      <c r="M251" s="156">
        <f t="shared" ref="M251:V251" si="356">IF(M33=0,0,M33/M$31)</f>
        <v>0.9571594851198445</v>
      </c>
      <c r="N251" s="156">
        <f t="shared" si="356"/>
        <v>0.95659574254289981</v>
      </c>
      <c r="O251" s="156">
        <f t="shared" si="356"/>
        <v>0.95647841317982485</v>
      </c>
      <c r="P251" s="156">
        <f t="shared" si="356"/>
        <v>0.95640103981410363</v>
      </c>
      <c r="Q251" s="156">
        <f t="shared" si="356"/>
        <v>0.95725643774845859</v>
      </c>
      <c r="R251" s="156">
        <f t="shared" si="356"/>
        <v>0.95843798850087558</v>
      </c>
      <c r="S251" s="156">
        <f t="shared" si="356"/>
        <v>0.96049833796446149</v>
      </c>
      <c r="T251" s="156">
        <f t="shared" si="356"/>
        <v>0.96292480007736103</v>
      </c>
      <c r="U251" s="156">
        <f t="shared" si="356"/>
        <v>0.9629715790857829</v>
      </c>
      <c r="V251" s="156">
        <f t="shared" si="356"/>
        <v>0.96782379354985937</v>
      </c>
      <c r="W251" s="156">
        <f t="shared" ref="W251" si="357">IF(W33=0,0,W33/W$31)</f>
        <v>0.97040364383441668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0.70191377505112396</v>
      </c>
      <c r="C252" s="103">
        <f t="shared" si="358"/>
        <v>0.67225960851256106</v>
      </c>
      <c r="D252" s="103">
        <f t="shared" si="358"/>
        <v>0.65308216709480371</v>
      </c>
      <c r="E252" s="103">
        <f t="shared" si="358"/>
        <v>0.63240391220659942</v>
      </c>
      <c r="F252" s="103">
        <f t="shared" si="358"/>
        <v>0.61448506126271141</v>
      </c>
      <c r="G252" s="103">
        <f t="shared" si="358"/>
        <v>0.58263897779230311</v>
      </c>
      <c r="H252" s="103">
        <f t="shared" si="358"/>
        <v>0.57009697473868315</v>
      </c>
      <c r="I252" s="103">
        <f t="shared" si="358"/>
        <v>0.57026491962173409</v>
      </c>
      <c r="J252" s="103">
        <f t="shared" si="358"/>
        <v>0.55509308508114019</v>
      </c>
      <c r="K252" s="103">
        <f t="shared" si="358"/>
        <v>0.53875077089071799</v>
      </c>
      <c r="L252" s="103">
        <f t="shared" ref="L252" si="359">IF(L34=0,0,L34/L$31)</f>
        <v>0.53096949272031213</v>
      </c>
      <c r="M252" s="103">
        <f t="shared" ref="M252:V252" si="360">IF(M34=0,0,M34/M$31)</f>
        <v>0.50541139522598177</v>
      </c>
      <c r="N252" s="103">
        <f t="shared" si="360"/>
        <v>0.47582515794865216</v>
      </c>
      <c r="O252" s="103">
        <f t="shared" si="360"/>
        <v>0.44539106231293607</v>
      </c>
      <c r="P252" s="103">
        <f t="shared" si="360"/>
        <v>0.43650951970140373</v>
      </c>
      <c r="Q252" s="103">
        <f t="shared" si="360"/>
        <v>0.43380277319314187</v>
      </c>
      <c r="R252" s="103">
        <f t="shared" si="360"/>
        <v>0.42285423239782721</v>
      </c>
      <c r="S252" s="103">
        <f t="shared" si="360"/>
        <v>0.41816501406233503</v>
      </c>
      <c r="T252" s="103">
        <f t="shared" si="360"/>
        <v>0.41625014875342309</v>
      </c>
      <c r="U252" s="103">
        <f t="shared" si="360"/>
        <v>0.41030229938910795</v>
      </c>
      <c r="V252" s="103">
        <f t="shared" si="360"/>
        <v>0.38949386627765048</v>
      </c>
      <c r="W252" s="103">
        <f t="shared" ref="W252" si="361">IF(W34=0,0,W34/W$31)</f>
        <v>0.37216576688288372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0.2191320046783444</v>
      </c>
      <c r="C253" s="103">
        <f t="shared" si="362"/>
        <v>0.25378740499030567</v>
      </c>
      <c r="D253" s="103">
        <f t="shared" si="362"/>
        <v>0.27769882409647378</v>
      </c>
      <c r="E253" s="103">
        <f t="shared" si="362"/>
        <v>0.30628308273616373</v>
      </c>
      <c r="F253" s="103">
        <f t="shared" si="362"/>
        <v>0.32649263486149327</v>
      </c>
      <c r="G253" s="103">
        <f t="shared" si="362"/>
        <v>0.35919061028323968</v>
      </c>
      <c r="H253" s="103">
        <f t="shared" si="362"/>
        <v>0.37017349628471313</v>
      </c>
      <c r="I253" s="103">
        <f t="shared" si="362"/>
        <v>0.37017897403435296</v>
      </c>
      <c r="J253" s="103">
        <f t="shared" si="362"/>
        <v>0.38528503884306647</v>
      </c>
      <c r="K253" s="103">
        <f t="shared" si="362"/>
        <v>0.40201426789597511</v>
      </c>
      <c r="L253" s="103">
        <f t="shared" ref="L253" si="363">IF(L35=0,0,L35/L$31)</f>
        <v>0.40544259850823078</v>
      </c>
      <c r="M253" s="103">
        <f t="shared" ref="M253:V253" si="364">IF(M35=0,0,M35/M$31)</f>
        <v>0.43206124104981108</v>
      </c>
      <c r="N253" s="103">
        <f t="shared" si="364"/>
        <v>0.45900955872200211</v>
      </c>
      <c r="O253" s="103">
        <f t="shared" si="364"/>
        <v>0.48859605789358534</v>
      </c>
      <c r="P253" s="103">
        <f t="shared" si="364"/>
        <v>0.49578227860736751</v>
      </c>
      <c r="Q253" s="103">
        <f t="shared" si="364"/>
        <v>0.49953381956244219</v>
      </c>
      <c r="R253" s="103">
        <f t="shared" si="364"/>
        <v>0.51217115775897581</v>
      </c>
      <c r="S253" s="103">
        <f t="shared" si="364"/>
        <v>0.52056964445040765</v>
      </c>
      <c r="T253" s="103">
        <f t="shared" si="364"/>
        <v>0.5256342045330461</v>
      </c>
      <c r="U253" s="103">
        <f t="shared" si="364"/>
        <v>0.53236024024538486</v>
      </c>
      <c r="V253" s="103">
        <f t="shared" si="364"/>
        <v>0.55888266964471811</v>
      </c>
      <c r="W253" s="103">
        <f t="shared" ref="W253" si="365">IF(W35=0,0,W35/W$31)</f>
        <v>0.57912244107668276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1.8795890779098236E-2</v>
      </c>
      <c r="C254" s="103">
        <f t="shared" si="366"/>
        <v>1.7847124427445352E-2</v>
      </c>
      <c r="D254" s="103">
        <f t="shared" si="366"/>
        <v>1.7491870228181911E-2</v>
      </c>
      <c r="E254" s="103">
        <f t="shared" si="366"/>
        <v>1.7321235372263967E-2</v>
      </c>
      <c r="F254" s="103">
        <f t="shared" si="366"/>
        <v>1.77143081090874E-2</v>
      </c>
      <c r="G254" s="103">
        <f t="shared" si="366"/>
        <v>1.7736815583615909E-2</v>
      </c>
      <c r="H254" s="103">
        <f t="shared" si="366"/>
        <v>1.8719696888000688E-2</v>
      </c>
      <c r="I254" s="103">
        <f t="shared" si="366"/>
        <v>1.9345197732144534E-2</v>
      </c>
      <c r="J254" s="103">
        <f t="shared" si="366"/>
        <v>1.8637804287309302E-2</v>
      </c>
      <c r="K254" s="103">
        <f t="shared" si="366"/>
        <v>1.875605130566679E-2</v>
      </c>
      <c r="L254" s="103">
        <f t="shared" ref="L254" si="367">IF(L36=0,0,L36/L$31)</f>
        <v>1.9274097644991075E-2</v>
      </c>
      <c r="M254" s="103">
        <f t="shared" ref="M254:V254" si="368">IF(M36=0,0,M36/M$31)</f>
        <v>1.9137248870820914E-2</v>
      </c>
      <c r="N254" s="103">
        <f t="shared" si="368"/>
        <v>2.1064355813825528E-2</v>
      </c>
      <c r="O254" s="103">
        <f t="shared" si="368"/>
        <v>2.1476594560060822E-2</v>
      </c>
      <c r="P254" s="103">
        <f t="shared" si="368"/>
        <v>2.2849705858372975E-2</v>
      </c>
      <c r="Q254" s="103">
        <f t="shared" si="368"/>
        <v>2.2122948394689448E-2</v>
      </c>
      <c r="R254" s="103">
        <f t="shared" si="368"/>
        <v>2.0511753969474363E-2</v>
      </c>
      <c r="S254" s="103">
        <f t="shared" si="368"/>
        <v>1.8144877262144529E-2</v>
      </c>
      <c r="T254" s="103">
        <f t="shared" si="368"/>
        <v>1.6695419473494229E-2</v>
      </c>
      <c r="U254" s="103">
        <f t="shared" si="368"/>
        <v>1.551246738965475E-2</v>
      </c>
      <c r="V254" s="103">
        <f t="shared" si="368"/>
        <v>1.3890982866616363E-2</v>
      </c>
      <c r="W254" s="103">
        <f t="shared" ref="W254" si="369">IF(W36=0,0,W36/W$31)</f>
        <v>1.2844672302803091E-2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1.9107390905955877E-4</v>
      </c>
      <c r="K255" s="103">
        <f t="shared" si="370"/>
        <v>3.0037811292570152E-4</v>
      </c>
      <c r="L255" s="103">
        <f t="shared" ref="L255" si="371">IF(L37=0,0,L37/L$31)</f>
        <v>4.3252042197629525E-4</v>
      </c>
      <c r="M255" s="103">
        <f t="shared" ref="M255:V255" si="372">IF(M37=0,0,M37/M$31)</f>
        <v>5.3664913309530023E-4</v>
      </c>
      <c r="N255" s="103">
        <f t="shared" si="372"/>
        <v>6.7833781140037559E-4</v>
      </c>
      <c r="O255" s="103">
        <f t="shared" si="372"/>
        <v>9.607065383936352E-4</v>
      </c>
      <c r="P255" s="103">
        <f t="shared" si="372"/>
        <v>1.1613281824964217E-3</v>
      </c>
      <c r="Q255" s="103">
        <f t="shared" si="372"/>
        <v>1.6215325426282992E-3</v>
      </c>
      <c r="R255" s="103">
        <f t="shared" si="372"/>
        <v>2.5962007688628405E-3</v>
      </c>
      <c r="S255" s="103">
        <f t="shared" si="372"/>
        <v>3.1244055701880546E-3</v>
      </c>
      <c r="T255" s="103">
        <f t="shared" si="372"/>
        <v>3.7031906134385034E-3</v>
      </c>
      <c r="U255" s="103">
        <f t="shared" si="372"/>
        <v>3.9832268270145283E-3</v>
      </c>
      <c r="V255" s="103">
        <f t="shared" si="372"/>
        <v>4.0994430627435971E-3</v>
      </c>
      <c r="W255" s="103">
        <f t="shared" ref="W255" si="373">IF(W37=0,0,W37/W$31)</f>
        <v>4.1339888535443211E-3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2.5603282357285825E-6</v>
      </c>
      <c r="O256" s="103">
        <f t="shared" si="376"/>
        <v>4.4866938008518171E-6</v>
      </c>
      <c r="P256" s="103">
        <f t="shared" si="376"/>
        <v>1.3591755047292431E-5</v>
      </c>
      <c r="Q256" s="103">
        <f t="shared" si="376"/>
        <v>3.5265610465206071E-5</v>
      </c>
      <c r="R256" s="103">
        <f t="shared" si="376"/>
        <v>5.3955812847148708E-5</v>
      </c>
      <c r="S256" s="103">
        <f t="shared" si="376"/>
        <v>8.2202747222105815E-5</v>
      </c>
      <c r="T256" s="103">
        <f t="shared" si="376"/>
        <v>1.1405208658944408E-4</v>
      </c>
      <c r="U256" s="103">
        <f t="shared" si="376"/>
        <v>1.6353051098321757E-4</v>
      </c>
      <c r="V256" s="103">
        <f t="shared" si="376"/>
        <v>3.1755632631282613E-4</v>
      </c>
      <c r="W256" s="103">
        <f t="shared" ref="W256" si="377">IF(W38=0,0,W38/W$31)</f>
        <v>5.7609532896621852E-4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1.2760632546779915E-6</v>
      </c>
      <c r="M257" s="103">
        <f t="shared" ref="M257:V257" si="380">IF(M39=0,0,M39/M$31)</f>
        <v>1.2950840135343343E-5</v>
      </c>
      <c r="N257" s="103">
        <f t="shared" si="380"/>
        <v>1.5771918784002349E-5</v>
      </c>
      <c r="O257" s="103">
        <f t="shared" si="380"/>
        <v>4.9505181048185932E-5</v>
      </c>
      <c r="P257" s="103">
        <f t="shared" si="380"/>
        <v>8.46157094155569E-5</v>
      </c>
      <c r="Q257" s="103">
        <f t="shared" si="380"/>
        <v>1.4009844509173705E-4</v>
      </c>
      <c r="R257" s="103">
        <f t="shared" si="380"/>
        <v>2.5068779288822869E-4</v>
      </c>
      <c r="S257" s="103">
        <f t="shared" si="380"/>
        <v>4.1219387216422543E-4</v>
      </c>
      <c r="T257" s="103">
        <f t="shared" si="380"/>
        <v>5.2778461736970137E-4</v>
      </c>
      <c r="U257" s="103">
        <f t="shared" si="380"/>
        <v>6.4981472363768251E-4</v>
      </c>
      <c r="V257" s="103">
        <f t="shared" si="380"/>
        <v>1.1392753718179438E-3</v>
      </c>
      <c r="W257" s="103">
        <f t="shared" ref="W257" si="381">IF(W39=0,0,W39/W$31)</f>
        <v>1.5606793895365837E-3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2.1296666623597089E-2</v>
      </c>
      <c r="C258" s="156">
        <f t="shared" si="382"/>
        <v>2.1883767857439625E-2</v>
      </c>
      <c r="D258" s="156">
        <f t="shared" si="382"/>
        <v>1.9872777571866576E-2</v>
      </c>
      <c r="E258" s="156">
        <f t="shared" si="382"/>
        <v>1.6103565641870002E-2</v>
      </c>
      <c r="F258" s="156">
        <f t="shared" si="382"/>
        <v>1.4391526824031636E-2</v>
      </c>
      <c r="G258" s="156">
        <f t="shared" si="382"/>
        <v>1.3637215275940895E-2</v>
      </c>
      <c r="H258" s="156">
        <f t="shared" si="382"/>
        <v>1.3843099981959844E-2</v>
      </c>
      <c r="I258" s="156">
        <f t="shared" si="382"/>
        <v>1.3348845273265707E-2</v>
      </c>
      <c r="J258" s="156">
        <f t="shared" si="382"/>
        <v>1.3301239380367298E-2</v>
      </c>
      <c r="K258" s="156">
        <f t="shared" si="382"/>
        <v>1.308690351127457E-2</v>
      </c>
      <c r="L258" s="156">
        <f t="shared" ref="L258" si="383">IF(L40=0,0,L40/L$31)</f>
        <v>1.4444821756549375E-2</v>
      </c>
      <c r="M258" s="156">
        <f t="shared" ref="M258:V258" si="384">IF(M40=0,0,M40/M$31)</f>
        <v>1.3469127880559607E-2</v>
      </c>
      <c r="N258" s="156">
        <f t="shared" si="384"/>
        <v>1.3093997110524572E-2</v>
      </c>
      <c r="O258" s="156">
        <f t="shared" si="384"/>
        <v>1.3486618361310132E-2</v>
      </c>
      <c r="P258" s="156">
        <f t="shared" si="384"/>
        <v>1.3921531901186139E-2</v>
      </c>
      <c r="Q258" s="156">
        <f t="shared" si="384"/>
        <v>1.2933113210513951E-2</v>
      </c>
      <c r="R258" s="156">
        <f t="shared" si="384"/>
        <v>1.2890621944459432E-2</v>
      </c>
      <c r="S258" s="156">
        <f t="shared" si="384"/>
        <v>1.3227206421277404E-2</v>
      </c>
      <c r="T258" s="156">
        <f t="shared" si="384"/>
        <v>1.2742868819472491E-2</v>
      </c>
      <c r="U258" s="156">
        <f t="shared" si="384"/>
        <v>1.2162440572653119E-2</v>
      </c>
      <c r="V258" s="156">
        <f t="shared" si="384"/>
        <v>9.0992551826502809E-3</v>
      </c>
      <c r="W258" s="156">
        <f t="shared" ref="W258" si="385">IF(W40=0,0,W40/W$31)</f>
        <v>7.8730354491742156E-3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1.4964587479558823E-3</v>
      </c>
      <c r="C259" s="103">
        <f t="shared" si="386"/>
        <v>1.3710371695537429E-3</v>
      </c>
      <c r="D259" s="103">
        <f t="shared" si="386"/>
        <v>1.327779119016728E-3</v>
      </c>
      <c r="E259" s="103">
        <f t="shared" si="386"/>
        <v>9.9170646457275653E-4</v>
      </c>
      <c r="F259" s="103">
        <f t="shared" si="386"/>
        <v>8.3403639440850403E-4</v>
      </c>
      <c r="G259" s="103">
        <f t="shared" si="386"/>
        <v>7.3015607634255991E-4</v>
      </c>
      <c r="H259" s="103">
        <f t="shared" si="386"/>
        <v>6.9620685009286903E-4</v>
      </c>
      <c r="I259" s="103">
        <f t="shared" si="386"/>
        <v>6.5655624518377604E-4</v>
      </c>
      <c r="J259" s="103">
        <f t="shared" si="386"/>
        <v>6.2073206980758845E-4</v>
      </c>
      <c r="K259" s="103">
        <f t="shared" si="386"/>
        <v>5.6603779483776367E-4</v>
      </c>
      <c r="L259" s="103">
        <f t="shared" ref="L259" si="387">IF(L41=0,0,L41/L$31)</f>
        <v>6.1426325479712121E-4</v>
      </c>
      <c r="M259" s="103">
        <f t="shared" ref="M259:V259" si="388">IF(M41=0,0,M41/M$31)</f>
        <v>5.5312856302021699E-4</v>
      </c>
      <c r="N259" s="103">
        <f t="shared" si="388"/>
        <v>5.0187398536033468E-4</v>
      </c>
      <c r="O259" s="103">
        <f t="shared" si="388"/>
        <v>5.0384884009536165E-4</v>
      </c>
      <c r="P259" s="103">
        <f t="shared" si="388"/>
        <v>4.9201996049726105E-4</v>
      </c>
      <c r="Q259" s="103">
        <f t="shared" si="388"/>
        <v>4.3937111808094935E-4</v>
      </c>
      <c r="R259" s="103">
        <f t="shared" si="388"/>
        <v>4.1781583768904637E-4</v>
      </c>
      <c r="S259" s="103">
        <f t="shared" si="388"/>
        <v>4.0190936430624564E-4</v>
      </c>
      <c r="T259" s="103">
        <f t="shared" si="388"/>
        <v>3.6162658764572612E-4</v>
      </c>
      <c r="U259" s="103">
        <f t="shared" si="388"/>
        <v>3.2985436894237798E-4</v>
      </c>
      <c r="V259" s="103">
        <f t="shared" si="388"/>
        <v>2.6343804221871475E-4</v>
      </c>
      <c r="W259" s="103">
        <f t="shared" ref="W259" si="389">IF(W41=0,0,W41/W$31)</f>
        <v>2.1324899771731832E-4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1.8694811599687004E-2</v>
      </c>
      <c r="C260" s="103">
        <f t="shared" si="390"/>
        <v>1.9424782497814441E-2</v>
      </c>
      <c r="D260" s="103">
        <f t="shared" si="390"/>
        <v>1.7420329991914608E-2</v>
      </c>
      <c r="E260" s="103">
        <f t="shared" si="390"/>
        <v>1.4081257394675105E-2</v>
      </c>
      <c r="F260" s="103">
        <f t="shared" si="390"/>
        <v>1.2484616908646049E-2</v>
      </c>
      <c r="G260" s="103">
        <f t="shared" si="390"/>
        <v>1.1889090646880309E-2</v>
      </c>
      <c r="H260" s="103">
        <f t="shared" si="390"/>
        <v>1.2153589466233919E-2</v>
      </c>
      <c r="I260" s="103">
        <f t="shared" si="390"/>
        <v>1.1887579194125862E-2</v>
      </c>
      <c r="J260" s="103">
        <f t="shared" si="390"/>
        <v>1.1884086356971198E-2</v>
      </c>
      <c r="K260" s="103">
        <f t="shared" si="390"/>
        <v>1.1751403289412182E-2</v>
      </c>
      <c r="L260" s="103">
        <f t="shared" ref="L260" si="391">IF(L42=0,0,L42/L$31)</f>
        <v>1.3009401077373825E-2</v>
      </c>
      <c r="M260" s="103">
        <f t="shared" ref="M260:V260" si="392">IF(M42=0,0,M42/M$31)</f>
        <v>1.2105178918412552E-2</v>
      </c>
      <c r="N260" s="103">
        <f t="shared" si="392"/>
        <v>1.177644256382721E-2</v>
      </c>
      <c r="O260" s="103">
        <f t="shared" si="392"/>
        <v>1.2317306498913279E-2</v>
      </c>
      <c r="P260" s="103">
        <f t="shared" si="392"/>
        <v>1.3067366460941756E-2</v>
      </c>
      <c r="Q260" s="103">
        <f t="shared" si="392"/>
        <v>1.2047384922790933E-2</v>
      </c>
      <c r="R260" s="103">
        <f t="shared" si="392"/>
        <v>1.1843403741001429E-2</v>
      </c>
      <c r="S260" s="103">
        <f t="shared" si="392"/>
        <v>1.202729999405028E-2</v>
      </c>
      <c r="T260" s="103">
        <f t="shared" si="392"/>
        <v>1.1564636753339533E-2</v>
      </c>
      <c r="U260" s="103">
        <f t="shared" si="392"/>
        <v>1.0866841124942517E-2</v>
      </c>
      <c r="V260" s="103">
        <f t="shared" si="392"/>
        <v>7.9345064853557652E-3</v>
      </c>
      <c r="W260" s="103">
        <f t="shared" ref="W260" si="393">IF(W42=0,0,W42/W$31)</f>
        <v>6.890191498148855E-3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1.7606705038593909E-6</v>
      </c>
      <c r="W261" s="103">
        <f t="shared" ref="W261" si="397">IF(W43=0,0,W43/W$31)</f>
        <v>1.479897163358624E-6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2.6238152033321148E-4</v>
      </c>
      <c r="C262" s="103">
        <f t="shared" si="398"/>
        <v>2.965755934964751E-4</v>
      </c>
      <c r="D262" s="103">
        <f t="shared" si="398"/>
        <v>3.8306906404047007E-4</v>
      </c>
      <c r="E262" s="103">
        <f t="shared" si="398"/>
        <v>3.8026048707466456E-4</v>
      </c>
      <c r="F262" s="103">
        <f t="shared" si="398"/>
        <v>4.3891604964646692E-4</v>
      </c>
      <c r="G262" s="103">
        <f t="shared" si="398"/>
        <v>4.1410056903654524E-4</v>
      </c>
      <c r="H262" s="103">
        <f t="shared" si="398"/>
        <v>3.7691419477329645E-4</v>
      </c>
      <c r="I262" s="103">
        <f t="shared" si="398"/>
        <v>2.1926163977674967E-4</v>
      </c>
      <c r="J262" s="103">
        <f t="shared" si="398"/>
        <v>2.1633830633129681E-4</v>
      </c>
      <c r="K262" s="103">
        <f t="shared" si="398"/>
        <v>2.0650334383074943E-4</v>
      </c>
      <c r="L262" s="103">
        <f t="shared" ref="L262" si="399">IF(L44=0,0,L44/L$31)</f>
        <v>2.1770074240835217E-4</v>
      </c>
      <c r="M262" s="103">
        <f t="shared" ref="M262:V262" si="400">IF(M44=0,0,M44/M$31)</f>
        <v>2.230463495669838E-4</v>
      </c>
      <c r="N262" s="103">
        <f t="shared" si="400"/>
        <v>2.2415863514056925E-4</v>
      </c>
      <c r="O262" s="103">
        <f t="shared" si="400"/>
        <v>2.1452549363423331E-4</v>
      </c>
      <c r="P262" s="103">
        <f t="shared" si="400"/>
        <v>2.4519257377046965E-4</v>
      </c>
      <c r="Q262" s="103">
        <f t="shared" si="400"/>
        <v>3.5270586645957914E-4</v>
      </c>
      <c r="R262" s="103">
        <f t="shared" si="400"/>
        <v>5.4252136986937072E-4</v>
      </c>
      <c r="S262" s="103">
        <f t="shared" si="400"/>
        <v>7.1519549269869278E-4</v>
      </c>
      <c r="T262" s="103">
        <f t="shared" si="400"/>
        <v>7.3770227450551372E-4</v>
      </c>
      <c r="U262" s="103">
        <f t="shared" si="400"/>
        <v>9.0142737890102427E-4</v>
      </c>
      <c r="V262" s="103">
        <f t="shared" si="400"/>
        <v>8.3906396845900681E-4</v>
      </c>
      <c r="W262" s="103">
        <f t="shared" ref="W262" si="401">IF(W44=0,0,W44/W$31)</f>
        <v>7.0368661898486382E-4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8.4301475562099145E-4</v>
      </c>
      <c r="C263" s="103">
        <f t="shared" si="402"/>
        <v>7.9137259657496893E-4</v>
      </c>
      <c r="D263" s="103">
        <f t="shared" si="402"/>
        <v>7.4159939689477075E-4</v>
      </c>
      <c r="E263" s="103">
        <f t="shared" si="402"/>
        <v>6.5034129554747443E-4</v>
      </c>
      <c r="F263" s="103">
        <f t="shared" si="402"/>
        <v>6.3395747133061504E-4</v>
      </c>
      <c r="G263" s="103">
        <f t="shared" si="402"/>
        <v>6.0386798368148003E-4</v>
      </c>
      <c r="H263" s="103">
        <f t="shared" si="402"/>
        <v>6.1638947085976119E-4</v>
      </c>
      <c r="I263" s="103">
        <f t="shared" si="402"/>
        <v>5.854481941793174E-4</v>
      </c>
      <c r="J263" s="103">
        <f t="shared" si="402"/>
        <v>5.8008264725721657E-4</v>
      </c>
      <c r="K263" s="103">
        <f t="shared" si="402"/>
        <v>5.6295908319387359E-4</v>
      </c>
      <c r="L263" s="103">
        <f t="shared" ref="L263" si="403">IF(L45=0,0,L45/L$31)</f>
        <v>6.0345668197007735E-4</v>
      </c>
      <c r="M263" s="103">
        <f t="shared" ref="M263:V263" si="404">IF(M45=0,0,M45/M$31)</f>
        <v>5.8777404955985622E-4</v>
      </c>
      <c r="N263" s="103">
        <f t="shared" si="404"/>
        <v>5.9152192619645635E-4</v>
      </c>
      <c r="O263" s="103">
        <f t="shared" si="404"/>
        <v>4.5093752866725569E-4</v>
      </c>
      <c r="P263" s="103">
        <f t="shared" si="404"/>
        <v>1.1695290597665101E-4</v>
      </c>
      <c r="Q263" s="103">
        <f t="shared" si="404"/>
        <v>9.3651303182490589E-5</v>
      </c>
      <c r="R263" s="103">
        <f t="shared" si="404"/>
        <v>8.6880995899587212E-5</v>
      </c>
      <c r="S263" s="103">
        <f t="shared" si="404"/>
        <v>8.2801570222186576E-5</v>
      </c>
      <c r="T263" s="103">
        <f t="shared" si="404"/>
        <v>7.8903203981717408E-5</v>
      </c>
      <c r="U263" s="103">
        <f t="shared" si="404"/>
        <v>6.4317699867199202E-5</v>
      </c>
      <c r="V263" s="103">
        <f t="shared" si="404"/>
        <v>6.0486016112935032E-5</v>
      </c>
      <c r="W263" s="103">
        <f t="shared" ref="W263" si="405">IF(W45=0,0,W45/W$31)</f>
        <v>6.4428437159818789E-5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0.37755933237477085</v>
      </c>
      <c r="C265" s="154">
        <f t="shared" si="410"/>
        <v>0.38630209675502358</v>
      </c>
      <c r="D265" s="154">
        <f t="shared" si="410"/>
        <v>0.40163064853294517</v>
      </c>
      <c r="E265" s="154">
        <f t="shared" si="410"/>
        <v>0.41020031530397444</v>
      </c>
      <c r="F265" s="154">
        <f t="shared" si="410"/>
        <v>0.42230298974311831</v>
      </c>
      <c r="G265" s="154">
        <f t="shared" si="410"/>
        <v>0.43929809883833471</v>
      </c>
      <c r="H265" s="154">
        <f t="shared" si="410"/>
        <v>0.48080217689676852</v>
      </c>
      <c r="I265" s="154">
        <f t="shared" si="410"/>
        <v>0.51535803007059888</v>
      </c>
      <c r="J265" s="154">
        <f t="shared" si="410"/>
        <v>0.57263554213810819</v>
      </c>
      <c r="K265" s="154">
        <f t="shared" si="410"/>
        <v>0.61304629142304656</v>
      </c>
      <c r="L265" s="154">
        <f t="shared" ref="L265" si="411">IF(L47=0,0,L47/L$46)</f>
        <v>0.62357097354118507</v>
      </c>
      <c r="M265" s="154">
        <f t="shared" ref="M265:V265" si="412">IF(M47=0,0,M47/M$46)</f>
        <v>0.62431929545346943</v>
      </c>
      <c r="N265" s="154">
        <f t="shared" si="412"/>
        <v>0.6349797903663118</v>
      </c>
      <c r="O265" s="154">
        <f t="shared" si="412"/>
        <v>0.62944891144575943</v>
      </c>
      <c r="P265" s="154">
        <f t="shared" si="412"/>
        <v>0.64329688698244025</v>
      </c>
      <c r="Q265" s="154">
        <f t="shared" si="412"/>
        <v>0.63118835497926484</v>
      </c>
      <c r="R265" s="154">
        <f t="shared" si="412"/>
        <v>0.59073786751967328</v>
      </c>
      <c r="S265" s="154">
        <f t="shared" si="412"/>
        <v>0.587726761305432</v>
      </c>
      <c r="T265" s="154">
        <f t="shared" si="412"/>
        <v>0.58932083243108158</v>
      </c>
      <c r="U265" s="154">
        <f t="shared" si="412"/>
        <v>0.58583143001846583</v>
      </c>
      <c r="V265" s="154">
        <f t="shared" si="412"/>
        <v>0.55360965854926136</v>
      </c>
      <c r="W265" s="154">
        <f t="shared" ref="W265" si="413">IF(W47=0,0,W47/W$46)</f>
        <v>0.53867415151877918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8.6895399846779159E-2</v>
      </c>
      <c r="C266" s="103">
        <f t="shared" si="414"/>
        <v>8.4851095177763208E-2</v>
      </c>
      <c r="D266" s="103">
        <f t="shared" si="414"/>
        <v>8.4929423136551357E-2</v>
      </c>
      <c r="E266" s="103">
        <f t="shared" si="414"/>
        <v>7.4358096069287477E-2</v>
      </c>
      <c r="F266" s="103">
        <f t="shared" si="414"/>
        <v>6.8089062265220657E-2</v>
      </c>
      <c r="G266" s="103">
        <f t="shared" si="414"/>
        <v>6.5012163930069061E-2</v>
      </c>
      <c r="H266" s="103">
        <f t="shared" si="414"/>
        <v>7.1553720525907555E-2</v>
      </c>
      <c r="I266" s="103">
        <f t="shared" si="414"/>
        <v>7.6478017009413951E-2</v>
      </c>
      <c r="J266" s="103">
        <f t="shared" si="414"/>
        <v>7.9929240064613133E-2</v>
      </c>
      <c r="K266" s="103">
        <f t="shared" si="414"/>
        <v>8.1838280420564194E-2</v>
      </c>
      <c r="L266" s="103">
        <f t="shared" ref="L266" si="415">IF(L48=0,0,L48/L$46)</f>
        <v>7.7601094808072021E-2</v>
      </c>
      <c r="M266" s="103">
        <f t="shared" ref="M266:V266" si="416">IF(M48=0,0,M48/M$46)</f>
        <v>7.4341932528209323E-2</v>
      </c>
      <c r="N266" s="103">
        <f t="shared" si="416"/>
        <v>7.2203703827665389E-2</v>
      </c>
      <c r="O266" s="103">
        <f t="shared" si="416"/>
        <v>6.9250075299761349E-2</v>
      </c>
      <c r="P266" s="103">
        <f t="shared" si="416"/>
        <v>6.601176603075655E-2</v>
      </c>
      <c r="Q266" s="103">
        <f t="shared" si="416"/>
        <v>6.2929449869026557E-2</v>
      </c>
      <c r="R266" s="103">
        <f t="shared" si="416"/>
        <v>7.0459392661104611E-2</v>
      </c>
      <c r="S266" s="103">
        <f t="shared" si="416"/>
        <v>6.8685606524370529E-2</v>
      </c>
      <c r="T266" s="103">
        <f t="shared" si="416"/>
        <v>6.8499088041971926E-2</v>
      </c>
      <c r="U266" s="103">
        <f t="shared" si="416"/>
        <v>6.7904393175610658E-2</v>
      </c>
      <c r="V266" s="103">
        <f t="shared" si="416"/>
        <v>6.5417117934284216E-2</v>
      </c>
      <c r="W266" s="103">
        <f t="shared" ref="W266" si="417">IF(W48=0,0,W48/W$46)</f>
        <v>6.2658586893972482E-2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0.27622529062907641</v>
      </c>
      <c r="C267" s="103">
        <f t="shared" si="418"/>
        <v>0.288815088511716</v>
      </c>
      <c r="D267" s="103">
        <f t="shared" si="418"/>
        <v>0.30530522242907648</v>
      </c>
      <c r="E267" s="103">
        <f t="shared" si="418"/>
        <v>0.32570058812641917</v>
      </c>
      <c r="F267" s="103">
        <f t="shared" si="418"/>
        <v>0.34489422419656823</v>
      </c>
      <c r="G267" s="103">
        <f t="shared" si="418"/>
        <v>0.36596804819800693</v>
      </c>
      <c r="H267" s="103">
        <f t="shared" si="418"/>
        <v>0.40090517234460626</v>
      </c>
      <c r="I267" s="103">
        <f t="shared" si="418"/>
        <v>0.43052503822055843</v>
      </c>
      <c r="J267" s="103">
        <f t="shared" si="418"/>
        <v>0.48504418727984366</v>
      </c>
      <c r="K267" s="103">
        <f t="shared" si="418"/>
        <v>0.52293122610006415</v>
      </c>
      <c r="L267" s="103">
        <f t="shared" ref="L267" si="419">IF(L49=0,0,L49/L$46)</f>
        <v>0.53820601312986782</v>
      </c>
      <c r="M267" s="103">
        <f t="shared" ref="M267:V267" si="420">IF(M49=0,0,M49/M$46)</f>
        <v>0.54219879862579512</v>
      </c>
      <c r="N267" s="103">
        <f t="shared" si="420"/>
        <v>0.55361142316920831</v>
      </c>
      <c r="O267" s="103">
        <f t="shared" si="420"/>
        <v>0.55068358601626632</v>
      </c>
      <c r="P267" s="103">
        <f t="shared" si="420"/>
        <v>0.56649033617624611</v>
      </c>
      <c r="Q267" s="103">
        <f t="shared" si="420"/>
        <v>0.55575914339249455</v>
      </c>
      <c r="R267" s="103">
        <f t="shared" si="420"/>
        <v>0.50334443313226995</v>
      </c>
      <c r="S267" s="103">
        <f t="shared" si="420"/>
        <v>0.49969985876426176</v>
      </c>
      <c r="T267" s="103">
        <f t="shared" si="420"/>
        <v>0.49926357227787171</v>
      </c>
      <c r="U267" s="103">
        <f t="shared" si="420"/>
        <v>0.49500116193637206</v>
      </c>
      <c r="V267" s="103">
        <f t="shared" si="420"/>
        <v>0.46652196909789906</v>
      </c>
      <c r="W267" s="103">
        <f t="shared" ref="W267" si="421">IF(W49=0,0,W49/W$46)</f>
        <v>0.45316695307925131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1.4438641898915253E-2</v>
      </c>
      <c r="C268" s="103">
        <f t="shared" si="422"/>
        <v>1.2635913065544381E-2</v>
      </c>
      <c r="D268" s="103">
        <f t="shared" si="422"/>
        <v>1.1396002967317317E-2</v>
      </c>
      <c r="E268" s="103">
        <f t="shared" si="422"/>
        <v>1.0141631108267855E-2</v>
      </c>
      <c r="F268" s="103">
        <f t="shared" si="422"/>
        <v>9.3197032813294289E-3</v>
      </c>
      <c r="G268" s="103">
        <f t="shared" si="422"/>
        <v>8.3178867102587702E-3</v>
      </c>
      <c r="H268" s="103">
        <f t="shared" si="422"/>
        <v>8.3432840262547461E-3</v>
      </c>
      <c r="I268" s="103">
        <f t="shared" si="422"/>
        <v>8.3549748406263873E-3</v>
      </c>
      <c r="J268" s="103">
        <f t="shared" si="422"/>
        <v>7.6197645433458954E-3</v>
      </c>
      <c r="K268" s="103">
        <f t="shared" si="422"/>
        <v>8.2301491741483754E-3</v>
      </c>
      <c r="L268" s="103">
        <f t="shared" ref="L268" si="423">IF(L50=0,0,L50/L$46)</f>
        <v>7.7147230118491013E-3</v>
      </c>
      <c r="M268" s="103">
        <f t="shared" ref="M268:V268" si="424">IF(M50=0,0,M50/M$46)</f>
        <v>7.7259330823139473E-3</v>
      </c>
      <c r="N268" s="103">
        <f t="shared" si="424"/>
        <v>8.6531642470961054E-3</v>
      </c>
      <c r="O268" s="103">
        <f t="shared" si="424"/>
        <v>8.6612760039470136E-3</v>
      </c>
      <c r="P268" s="103">
        <f t="shared" si="424"/>
        <v>8.8772337306853334E-3</v>
      </c>
      <c r="Q268" s="103">
        <f t="shared" si="424"/>
        <v>7.986618099069304E-3</v>
      </c>
      <c r="R268" s="103">
        <f t="shared" si="424"/>
        <v>9.4206616745911506E-3</v>
      </c>
      <c r="S268" s="103">
        <f t="shared" si="424"/>
        <v>9.0092740367419301E-3</v>
      </c>
      <c r="T268" s="103">
        <f t="shared" si="424"/>
        <v>8.8153113241123647E-3</v>
      </c>
      <c r="U268" s="103">
        <f t="shared" si="424"/>
        <v>7.9340123765778009E-3</v>
      </c>
      <c r="V268" s="103">
        <f t="shared" si="424"/>
        <v>6.8810182245662406E-3</v>
      </c>
      <c r="W268" s="103">
        <f t="shared" ref="W268" si="425">IF(W50=0,0,W50/W$46)</f>
        <v>5.8907820426808786E-3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4.3613979170432302E-4</v>
      </c>
      <c r="O269" s="103">
        <f t="shared" si="428"/>
        <v>7.6974661198335112E-4</v>
      </c>
      <c r="P269" s="103">
        <f t="shared" si="428"/>
        <v>1.8298774739809814E-3</v>
      </c>
      <c r="Q269" s="103">
        <f t="shared" si="428"/>
        <v>4.4207929527192184E-3</v>
      </c>
      <c r="R269" s="103">
        <f t="shared" si="428"/>
        <v>7.3947319643204047E-3</v>
      </c>
      <c r="S269" s="103">
        <f t="shared" si="428"/>
        <v>1.0192405565945566E-2</v>
      </c>
      <c r="T269" s="103">
        <f t="shared" si="428"/>
        <v>1.2552195315431218E-2</v>
      </c>
      <c r="U269" s="103">
        <f t="shared" si="428"/>
        <v>1.4691314133419437E-2</v>
      </c>
      <c r="V269" s="103">
        <f t="shared" si="428"/>
        <v>1.4427879508961159E-2</v>
      </c>
      <c r="W269" s="103">
        <f t="shared" ref="W269" si="429">IF(W51=0,0,W51/W$46)</f>
        <v>1.6355727813619485E-2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4.2350250305616335E-5</v>
      </c>
      <c r="K270" s="103">
        <f t="shared" si="430"/>
        <v>4.6635728269714557E-5</v>
      </c>
      <c r="L270" s="103">
        <f t="shared" ref="L270" si="431">IF(L52=0,0,L52/L$46)</f>
        <v>4.9142591396154634E-5</v>
      </c>
      <c r="M270" s="103">
        <f t="shared" ref="M270:V270" si="432">IF(M52=0,0,M52/M$46)</f>
        <v>5.2631217151055788E-5</v>
      </c>
      <c r="N270" s="103">
        <f t="shared" si="432"/>
        <v>7.5359330637725242E-5</v>
      </c>
      <c r="O270" s="103">
        <f t="shared" si="432"/>
        <v>8.4227513801336823E-5</v>
      </c>
      <c r="P270" s="103">
        <f t="shared" si="432"/>
        <v>8.76735707711804E-5</v>
      </c>
      <c r="Q270" s="103">
        <f t="shared" si="432"/>
        <v>9.235066595513729E-5</v>
      </c>
      <c r="R270" s="103">
        <f t="shared" si="432"/>
        <v>1.1864808738697349E-4</v>
      </c>
      <c r="S270" s="103">
        <f t="shared" si="432"/>
        <v>1.3961641411217149E-4</v>
      </c>
      <c r="T270" s="103">
        <f t="shared" si="432"/>
        <v>1.9066547169431695E-4</v>
      </c>
      <c r="U270" s="103">
        <f t="shared" si="432"/>
        <v>3.0054839648598801E-4</v>
      </c>
      <c r="V270" s="103">
        <f t="shared" si="432"/>
        <v>3.6167378355067521E-4</v>
      </c>
      <c r="W270" s="103">
        <f t="shared" ref="W270" si="433">IF(W52=0,0,W52/W$46)</f>
        <v>6.0210168925494312E-4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0.6224406676252292</v>
      </c>
      <c r="C271" s="156">
        <f t="shared" si="434"/>
        <v>0.61369790324497642</v>
      </c>
      <c r="D271" s="156">
        <f t="shared" si="434"/>
        <v>0.59836935146705483</v>
      </c>
      <c r="E271" s="156">
        <f t="shared" si="434"/>
        <v>0.58979968469602551</v>
      </c>
      <c r="F271" s="156">
        <f t="shared" si="434"/>
        <v>0.57769701025688169</v>
      </c>
      <c r="G271" s="156">
        <f t="shared" si="434"/>
        <v>0.56070190116166529</v>
      </c>
      <c r="H271" s="156">
        <f t="shared" si="434"/>
        <v>0.51919782310323148</v>
      </c>
      <c r="I271" s="156">
        <f t="shared" si="434"/>
        <v>0.48464196992940123</v>
      </c>
      <c r="J271" s="156">
        <f t="shared" si="434"/>
        <v>0.4273644578618917</v>
      </c>
      <c r="K271" s="156">
        <f t="shared" si="434"/>
        <v>0.38695370857695349</v>
      </c>
      <c r="L271" s="156">
        <f t="shared" ref="L271" si="435">IF(L53=0,0,L53/L$46)</f>
        <v>0.37642902645881499</v>
      </c>
      <c r="M271" s="156">
        <f t="shared" ref="M271:V271" si="436">IF(M53=0,0,M53/M$46)</f>
        <v>0.37568070454653046</v>
      </c>
      <c r="N271" s="156">
        <f t="shared" si="436"/>
        <v>0.36502020963368809</v>
      </c>
      <c r="O271" s="156">
        <f t="shared" si="436"/>
        <v>0.37055108855424046</v>
      </c>
      <c r="P271" s="156">
        <f t="shared" si="436"/>
        <v>0.35670311301755975</v>
      </c>
      <c r="Q271" s="156">
        <f t="shared" si="436"/>
        <v>0.36881164502073521</v>
      </c>
      <c r="R271" s="156">
        <f t="shared" si="436"/>
        <v>0.40926213248032683</v>
      </c>
      <c r="S271" s="156">
        <f t="shared" si="436"/>
        <v>0.412273238694568</v>
      </c>
      <c r="T271" s="156">
        <f t="shared" si="436"/>
        <v>0.41067916756891842</v>
      </c>
      <c r="U271" s="156">
        <f t="shared" si="436"/>
        <v>0.41416856998153428</v>
      </c>
      <c r="V271" s="156">
        <f t="shared" si="436"/>
        <v>0.44639034145073869</v>
      </c>
      <c r="W271" s="156">
        <f t="shared" ref="W271" si="437">IF(W53=0,0,W53/W$46)</f>
        <v>0.46132584848122088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0.39496955206241391</v>
      </c>
      <c r="C272" s="104">
        <f t="shared" si="438"/>
        <v>0.4007651173594281</v>
      </c>
      <c r="D272" s="104">
        <f t="shared" si="438"/>
        <v>0.40185119721923257</v>
      </c>
      <c r="E272" s="104">
        <f t="shared" si="438"/>
        <v>0.41454330388604854</v>
      </c>
      <c r="F272" s="104">
        <f t="shared" si="438"/>
        <v>0.39585192013529646</v>
      </c>
      <c r="G272" s="104">
        <f t="shared" si="438"/>
        <v>0.39798254786850124</v>
      </c>
      <c r="H272" s="104">
        <f t="shared" si="438"/>
        <v>0.3597505804628191</v>
      </c>
      <c r="I272" s="104">
        <f t="shared" si="438"/>
        <v>0.33123769639629513</v>
      </c>
      <c r="J272" s="104">
        <f t="shared" si="438"/>
        <v>0.29385875644099368</v>
      </c>
      <c r="K272" s="104">
        <f t="shared" si="438"/>
        <v>0.25485946916282815</v>
      </c>
      <c r="L272" s="104">
        <f t="shared" ref="L272" si="439">IF(L54=0,0,L54/L$46)</f>
        <v>0.24195854367750746</v>
      </c>
      <c r="M272" s="104">
        <f t="shared" ref="M272:V272" si="440">IF(M54=0,0,M54/M$46)</f>
        <v>0.23571632495023631</v>
      </c>
      <c r="N272" s="104">
        <f t="shared" si="440"/>
        <v>0.22528718464444664</v>
      </c>
      <c r="O272" s="104">
        <f t="shared" si="440"/>
        <v>0.22329953779876527</v>
      </c>
      <c r="P272" s="104">
        <f t="shared" si="440"/>
        <v>0.22125083746984656</v>
      </c>
      <c r="Q272" s="104">
        <f t="shared" si="440"/>
        <v>0.23816203642772046</v>
      </c>
      <c r="R272" s="104">
        <f t="shared" si="440"/>
        <v>0.26867199242558748</v>
      </c>
      <c r="S272" s="104">
        <f t="shared" si="440"/>
        <v>0.27535411493150519</v>
      </c>
      <c r="T272" s="104">
        <f t="shared" si="440"/>
        <v>0.28406895701364143</v>
      </c>
      <c r="U272" s="104">
        <f t="shared" si="440"/>
        <v>0.28397653097317771</v>
      </c>
      <c r="V272" s="104">
        <f t="shared" si="440"/>
        <v>0.300454693951475</v>
      </c>
      <c r="W272" s="104">
        <f t="shared" ref="W272" si="441">IF(W54=0,0,W54/W$46)</f>
        <v>0.31292055369759147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0.22747111556281538</v>
      </c>
      <c r="C273" s="105">
        <f t="shared" si="442"/>
        <v>0.21293278588554834</v>
      </c>
      <c r="D273" s="105">
        <f t="shared" si="442"/>
        <v>0.19651815424782229</v>
      </c>
      <c r="E273" s="105">
        <f t="shared" si="442"/>
        <v>0.17525638080997699</v>
      </c>
      <c r="F273" s="105">
        <f t="shared" si="442"/>
        <v>0.18184509012158523</v>
      </c>
      <c r="G273" s="105">
        <f t="shared" si="442"/>
        <v>0.16271935329316409</v>
      </c>
      <c r="H273" s="105">
        <f t="shared" si="442"/>
        <v>0.15944724264041232</v>
      </c>
      <c r="I273" s="105">
        <f t="shared" si="442"/>
        <v>0.15340427353310618</v>
      </c>
      <c r="J273" s="105">
        <f t="shared" si="442"/>
        <v>0.13350570142089802</v>
      </c>
      <c r="K273" s="105">
        <f t="shared" si="442"/>
        <v>0.13209423941412538</v>
      </c>
      <c r="L273" s="105">
        <f t="shared" ref="L273" si="443">IF(L55=0,0,L55/L$46)</f>
        <v>0.13447048278130752</v>
      </c>
      <c r="M273" s="105">
        <f t="shared" ref="M273:V273" si="444">IF(M55=0,0,M55/M$46)</f>
        <v>0.13996437959629418</v>
      </c>
      <c r="N273" s="105">
        <f t="shared" si="444"/>
        <v>0.13973302498924148</v>
      </c>
      <c r="O273" s="105">
        <f t="shared" si="444"/>
        <v>0.14725155075547514</v>
      </c>
      <c r="P273" s="105">
        <f t="shared" si="444"/>
        <v>0.13545227554771319</v>
      </c>
      <c r="Q273" s="105">
        <f t="shared" si="444"/>
        <v>0.1306496085930148</v>
      </c>
      <c r="R273" s="105">
        <f t="shared" si="444"/>
        <v>0.14059014005473944</v>
      </c>
      <c r="S273" s="105">
        <f t="shared" si="444"/>
        <v>0.13691912376306284</v>
      </c>
      <c r="T273" s="105">
        <f t="shared" si="444"/>
        <v>0.12661021055527702</v>
      </c>
      <c r="U273" s="105">
        <f t="shared" si="444"/>
        <v>0.13019203900835652</v>
      </c>
      <c r="V273" s="105">
        <f t="shared" si="444"/>
        <v>0.14593564749926369</v>
      </c>
      <c r="W273" s="105">
        <f t="shared" ref="W273" si="445">IF(W55=0,0,W55/W$46)</f>
        <v>0.14840529478362938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3840.3605429720192</v>
      </c>
      <c r="C4" s="145">
        <f t="shared" si="0"/>
        <v>4063.6664177957341</v>
      </c>
      <c r="D4" s="145">
        <f t="shared" si="0"/>
        <v>4276.8713451302074</v>
      </c>
      <c r="E4" s="145">
        <f t="shared" si="0"/>
        <v>4848.0427717753055</v>
      </c>
      <c r="F4" s="145">
        <f t="shared" si="0"/>
        <v>5059.819030276306</v>
      </c>
      <c r="G4" s="145">
        <f t="shared" si="0"/>
        <v>5445.4953515507823</v>
      </c>
      <c r="H4" s="145">
        <f t="shared" si="0"/>
        <v>5665.480973914322</v>
      </c>
      <c r="I4" s="145">
        <f t="shared" si="0"/>
        <v>5956.3056234482419</v>
      </c>
      <c r="J4" s="145">
        <f t="shared" si="0"/>
        <v>5963.8360271815336</v>
      </c>
      <c r="K4" s="145">
        <f t="shared" si="0"/>
        <v>5887.8329576260921</v>
      </c>
      <c r="L4" s="145">
        <f t="shared" ref="L4" si="1">L5+L9+L10+L15</f>
        <v>5591.1793971540174</v>
      </c>
      <c r="M4" s="145">
        <f t="shared" ref="M4:V4" si="2">M5+M9+M10+M15</f>
        <v>5603.9188835740633</v>
      </c>
      <c r="N4" s="145">
        <f t="shared" si="2"/>
        <v>5504.5837995701568</v>
      </c>
      <c r="O4" s="145">
        <f t="shared" si="2"/>
        <v>5460.0328277265789</v>
      </c>
      <c r="P4" s="145">
        <f t="shared" si="2"/>
        <v>5669.5249769110542</v>
      </c>
      <c r="Q4" s="145">
        <f t="shared" si="2"/>
        <v>5899.4065960461194</v>
      </c>
      <c r="R4" s="145">
        <f t="shared" si="2"/>
        <v>6139.0741053408883</v>
      </c>
      <c r="S4" s="145">
        <f t="shared" si="2"/>
        <v>6312.8692339624404</v>
      </c>
      <c r="T4" s="145">
        <f t="shared" si="2"/>
        <v>6371.8607553494367</v>
      </c>
      <c r="U4" s="145">
        <f t="shared" si="2"/>
        <v>6470.602628941293</v>
      </c>
      <c r="V4" s="145">
        <f t="shared" si="2"/>
        <v>6080.9317195410913</v>
      </c>
      <c r="W4" s="145">
        <f t="shared" ref="W4" si="3">W5+W9+W10+W15</f>
        <v>6519.2432600838829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3764.8903697334481</v>
      </c>
      <c r="C5" s="97">
        <f t="shared" si="4"/>
        <v>4003.1548581255383</v>
      </c>
      <c r="D5" s="97">
        <f t="shared" si="4"/>
        <v>4196.3213241616495</v>
      </c>
      <c r="E5" s="97">
        <f t="shared" si="4"/>
        <v>4769.3858125537408</v>
      </c>
      <c r="F5" s="97">
        <f t="shared" si="4"/>
        <v>5007.8932072226999</v>
      </c>
      <c r="G5" s="97">
        <f t="shared" si="4"/>
        <v>5424.4076526225272</v>
      </c>
      <c r="H5" s="97">
        <f t="shared" si="4"/>
        <v>5625.6619948409279</v>
      </c>
      <c r="I5" s="97">
        <f t="shared" si="4"/>
        <v>5911.9177987962175</v>
      </c>
      <c r="J5" s="97">
        <f t="shared" si="4"/>
        <v>5838.777128116938</v>
      </c>
      <c r="K5" s="97">
        <f t="shared" si="4"/>
        <v>5676.8755803955282</v>
      </c>
      <c r="L5" s="97">
        <f t="shared" ref="L5" si="5">SUM(L6:L8)</f>
        <v>5341.7147033533965</v>
      </c>
      <c r="M5" s="97">
        <f t="shared" ref="M5:V5" si="6">SUM(M6:M8)</f>
        <v>5284.0450558899392</v>
      </c>
      <c r="N5" s="97">
        <f t="shared" si="6"/>
        <v>5207.3089423903693</v>
      </c>
      <c r="O5" s="97">
        <f t="shared" si="6"/>
        <v>5162.0134135855551</v>
      </c>
      <c r="P5" s="97">
        <f t="shared" si="6"/>
        <v>5326.2136715391225</v>
      </c>
      <c r="Q5" s="97">
        <f t="shared" si="6"/>
        <v>5565.4373172828891</v>
      </c>
      <c r="R5" s="97">
        <f t="shared" si="6"/>
        <v>5794.269733447979</v>
      </c>
      <c r="S5" s="97">
        <f t="shared" si="6"/>
        <v>5947.579535683577</v>
      </c>
      <c r="T5" s="97">
        <f t="shared" si="6"/>
        <v>6005.7184866723983</v>
      </c>
      <c r="U5" s="97">
        <f t="shared" si="6"/>
        <v>6057.3066208082546</v>
      </c>
      <c r="V5" s="97">
        <f t="shared" si="6"/>
        <v>5632.7147893379188</v>
      </c>
      <c r="W5" s="97">
        <f t="shared" ref="W5" si="7">SUM(W6:W8)</f>
        <v>6077.6096302665519</v>
      </c>
      <c r="DA5" s="175"/>
    </row>
    <row r="6" spans="1:105" ht="11.45" customHeight="1" x14ac:dyDescent="0.25">
      <c r="A6" s="128" t="s">
        <v>52</v>
      </c>
      <c r="B6" s="97">
        <v>68.118830610490107</v>
      </c>
      <c r="C6" s="97">
        <v>66.691143594153047</v>
      </c>
      <c r="D6" s="97">
        <v>67.778761822871886</v>
      </c>
      <c r="E6" s="97">
        <v>68.881255374032676</v>
      </c>
      <c r="F6" s="97">
        <v>72.010060189165941</v>
      </c>
      <c r="G6" s="97">
        <v>74.127944969905414</v>
      </c>
      <c r="H6" s="97">
        <v>78.766981943250201</v>
      </c>
      <c r="I6" s="97">
        <v>84.236887360275148</v>
      </c>
      <c r="J6" s="97">
        <v>81.647721410146161</v>
      </c>
      <c r="K6" s="97">
        <v>83.724075666380045</v>
      </c>
      <c r="L6" s="97">
        <v>80.593637145313835</v>
      </c>
      <c r="M6" s="97">
        <v>81.625365434221834</v>
      </c>
      <c r="N6" s="97">
        <v>89.968443680137582</v>
      </c>
      <c r="O6" s="97">
        <v>93.10687876182287</v>
      </c>
      <c r="P6" s="97">
        <v>102.5221840068788</v>
      </c>
      <c r="Q6" s="97">
        <v>103.56835769561479</v>
      </c>
      <c r="R6" s="97">
        <v>103.56835769561479</v>
      </c>
      <c r="S6" s="97">
        <v>100.42992261392951</v>
      </c>
      <c r="T6" s="97">
        <v>96.245313843508171</v>
      </c>
      <c r="U6" s="97">
        <v>92.06079105760962</v>
      </c>
      <c r="V6" s="97">
        <v>77.414703353396376</v>
      </c>
      <c r="W6" s="97">
        <v>78.46087704213241</v>
      </c>
      <c r="DA6" s="175" t="s">
        <v>629</v>
      </c>
    </row>
    <row r="7" spans="1:105" ht="11.45" customHeight="1" x14ac:dyDescent="0.25">
      <c r="A7" s="128" t="s">
        <v>53</v>
      </c>
      <c r="B7" s="97">
        <v>1921.548667239897</v>
      </c>
      <c r="C7" s="97">
        <v>1966.01943250215</v>
      </c>
      <c r="D7" s="97">
        <v>1991.874462596732</v>
      </c>
      <c r="E7" s="97">
        <v>2171.8257093723132</v>
      </c>
      <c r="F7" s="97">
        <v>2163.552106620808</v>
      </c>
      <c r="G7" s="97">
        <v>2125.2865864144451</v>
      </c>
      <c r="H7" s="97">
        <v>2103.567669819432</v>
      </c>
      <c r="I7" s="97">
        <v>2194.812295786759</v>
      </c>
      <c r="J7" s="97">
        <v>2110.9062768701629</v>
      </c>
      <c r="K7" s="97">
        <v>2056.9826311263969</v>
      </c>
      <c r="L7" s="97">
        <v>1867.953568357696</v>
      </c>
      <c r="M7" s="97">
        <v>1795.89845227859</v>
      </c>
      <c r="N7" s="97">
        <v>1673.969733447979</v>
      </c>
      <c r="O7" s="97">
        <v>1573.908598452279</v>
      </c>
      <c r="P7" s="97">
        <v>1557.93551160791</v>
      </c>
      <c r="Q7" s="97">
        <v>1570.4544282029231</v>
      </c>
      <c r="R7" s="97">
        <v>1617.4404127257089</v>
      </c>
      <c r="S7" s="97">
        <v>1600.2579535683581</v>
      </c>
      <c r="T7" s="97">
        <v>1601.4112639724849</v>
      </c>
      <c r="U7" s="97">
        <v>1601.6239036973341</v>
      </c>
      <c r="V7" s="97">
        <v>1455.950816852966</v>
      </c>
      <c r="W7" s="97">
        <v>1514.9761822871881</v>
      </c>
      <c r="DA7" s="175" t="s">
        <v>630</v>
      </c>
    </row>
    <row r="8" spans="1:105" ht="11.45" customHeight="1" x14ac:dyDescent="0.25">
      <c r="A8" s="128" t="s">
        <v>54</v>
      </c>
      <c r="B8" s="97">
        <v>1775.2228718830611</v>
      </c>
      <c r="C8" s="97">
        <v>1970.444282029235</v>
      </c>
      <c r="D8" s="97">
        <v>2136.6680997420458</v>
      </c>
      <c r="E8" s="97">
        <v>2528.678847807395</v>
      </c>
      <c r="F8" s="97">
        <v>2772.331040412726</v>
      </c>
      <c r="G8" s="97">
        <v>3224.9931212381771</v>
      </c>
      <c r="H8" s="97">
        <v>3443.327343078246</v>
      </c>
      <c r="I8" s="97">
        <v>3632.8686156491831</v>
      </c>
      <c r="J8" s="97">
        <v>3646.2231298366291</v>
      </c>
      <c r="K8" s="97">
        <v>3536.1688736027509</v>
      </c>
      <c r="L8" s="97">
        <v>3393.167497850387</v>
      </c>
      <c r="M8" s="97">
        <v>3406.521238177128</v>
      </c>
      <c r="N8" s="97">
        <v>3443.3707652622529</v>
      </c>
      <c r="O8" s="97">
        <v>3494.9979363714529</v>
      </c>
      <c r="P8" s="97">
        <v>3665.7559759243331</v>
      </c>
      <c r="Q8" s="97">
        <v>3891.414531384351</v>
      </c>
      <c r="R8" s="97">
        <v>4073.2609630266552</v>
      </c>
      <c r="S8" s="97">
        <v>4246.8916595012897</v>
      </c>
      <c r="T8" s="97">
        <v>4308.0619088564054</v>
      </c>
      <c r="U8" s="97">
        <v>4363.6219260533107</v>
      </c>
      <c r="V8" s="97">
        <v>4099.349269131556</v>
      </c>
      <c r="W8" s="97">
        <v>4484.1725709372313</v>
      </c>
      <c r="DA8" s="175" t="s">
        <v>631</v>
      </c>
    </row>
    <row r="9" spans="1:105" ht="11.45" customHeight="1" x14ac:dyDescent="0.25">
      <c r="A9" s="92" t="s">
        <v>55</v>
      </c>
      <c r="B9" s="97">
        <v>4.062768701633706</v>
      </c>
      <c r="C9" s="97">
        <v>4.901117798796216</v>
      </c>
      <c r="D9" s="97">
        <v>6.5348237317282889</v>
      </c>
      <c r="E9" s="97">
        <v>7.308684436801375</v>
      </c>
      <c r="F9" s="97">
        <v>10.576096302665521</v>
      </c>
      <c r="G9" s="97">
        <v>8.9853826311263969</v>
      </c>
      <c r="H9" s="97">
        <v>12.08082545141874</v>
      </c>
      <c r="I9" s="97">
        <v>4.7291487532244192</v>
      </c>
      <c r="J9" s="97">
        <v>5.5245055889939811</v>
      </c>
      <c r="K9" s="97">
        <v>6.6423043852106618</v>
      </c>
      <c r="L9" s="97">
        <v>8.6414445399828033</v>
      </c>
      <c r="M9" s="97">
        <v>10.2536543422184</v>
      </c>
      <c r="N9" s="97">
        <v>12.46775580395529</v>
      </c>
      <c r="O9" s="97">
        <v>13.585554600171969</v>
      </c>
      <c r="P9" s="97">
        <v>24.634565778159931</v>
      </c>
      <c r="Q9" s="97">
        <v>35.834049871023211</v>
      </c>
      <c r="R9" s="97">
        <v>49.032846087704208</v>
      </c>
      <c r="S9" s="97">
        <v>55.782459157351667</v>
      </c>
      <c r="T9" s="97">
        <v>60.770851246775578</v>
      </c>
      <c r="U9" s="97">
        <v>75.39054170249355</v>
      </c>
      <c r="V9" s="97">
        <v>76.657953568357698</v>
      </c>
      <c r="W9" s="97">
        <v>81.807308684436791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61.861049011177982</v>
      </c>
      <c r="C10" s="97">
        <f t="shared" ref="C10:W10" si="8">SUM(C11:C13)</f>
        <v>45.953912295786751</v>
      </c>
      <c r="D10" s="97">
        <f t="shared" si="8"/>
        <v>64.512295786758386</v>
      </c>
      <c r="E10" s="97">
        <f t="shared" si="8"/>
        <v>61.861049011177982</v>
      </c>
      <c r="F10" s="97">
        <f t="shared" si="8"/>
        <v>31.81427343078246</v>
      </c>
      <c r="G10" s="97">
        <f t="shared" si="8"/>
        <v>2.6511607910576092</v>
      </c>
      <c r="H10" s="97">
        <f t="shared" si="8"/>
        <v>18.080653482373169</v>
      </c>
      <c r="I10" s="97">
        <f t="shared" si="8"/>
        <v>30.046775580395529</v>
      </c>
      <c r="J10" s="97">
        <f t="shared" si="8"/>
        <v>109.94075666380053</v>
      </c>
      <c r="K10" s="97">
        <f t="shared" si="8"/>
        <v>194.77884780739464</v>
      </c>
      <c r="L10" s="97">
        <f t="shared" si="8"/>
        <v>231.25055889939813</v>
      </c>
      <c r="M10" s="97">
        <f t="shared" si="8"/>
        <v>300.10988822012041</v>
      </c>
      <c r="N10" s="97">
        <f t="shared" si="8"/>
        <v>275.26990541702492</v>
      </c>
      <c r="O10" s="97">
        <f t="shared" si="8"/>
        <v>277.10902837489243</v>
      </c>
      <c r="P10" s="97">
        <f t="shared" si="8"/>
        <v>316.75743766122093</v>
      </c>
      <c r="Q10" s="97">
        <f t="shared" si="8"/>
        <v>296.50326741186586</v>
      </c>
      <c r="R10" s="97">
        <f t="shared" si="8"/>
        <v>294.04316423043855</v>
      </c>
      <c r="S10" s="97">
        <f t="shared" si="8"/>
        <v>307.65743766122102</v>
      </c>
      <c r="T10" s="97">
        <f t="shared" si="8"/>
        <v>303.40593293207218</v>
      </c>
      <c r="U10" s="97">
        <f t="shared" si="8"/>
        <v>335.98452278589843</v>
      </c>
      <c r="V10" s="97">
        <f t="shared" si="8"/>
        <v>369.19122957867586</v>
      </c>
      <c r="W10" s="97">
        <f t="shared" si="8"/>
        <v>356.31057609630267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1.177472055030095</v>
      </c>
      <c r="W11" s="97">
        <v>18.94075666380051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1.2897678417884779</v>
      </c>
      <c r="I12" s="97">
        <v>0</v>
      </c>
      <c r="J12" s="97">
        <v>34.823731728288912</v>
      </c>
      <c r="K12" s="97">
        <v>58.684436801375753</v>
      </c>
      <c r="L12" s="97">
        <v>58.039552880481509</v>
      </c>
      <c r="M12" s="97">
        <v>60.619088564058472</v>
      </c>
      <c r="N12" s="97">
        <v>56.104901117798789</v>
      </c>
      <c r="O12" s="97">
        <v>53.52536543422184</v>
      </c>
      <c r="P12" s="97">
        <v>65.778159931212372</v>
      </c>
      <c r="Q12" s="97">
        <v>63.198624247635422</v>
      </c>
      <c r="R12" s="97">
        <v>48.366294067067933</v>
      </c>
      <c r="S12" s="97">
        <v>59.329320722269991</v>
      </c>
      <c r="T12" s="97">
        <v>61.263972484952703</v>
      </c>
      <c r="U12" s="97">
        <v>73.516766981943249</v>
      </c>
      <c r="V12" s="97">
        <v>65.778159931212372</v>
      </c>
      <c r="W12" s="97">
        <v>55.460017196904552</v>
      </c>
      <c r="DA12" s="175" t="s">
        <v>634</v>
      </c>
    </row>
    <row r="13" spans="1:105" ht="11.45" customHeight="1" x14ac:dyDescent="0.25">
      <c r="A13" s="128" t="s">
        <v>184</v>
      </c>
      <c r="B13" s="97">
        <v>61.861049011177982</v>
      </c>
      <c r="C13" s="97">
        <v>45.953912295786751</v>
      </c>
      <c r="D13" s="97">
        <v>64.512295786758386</v>
      </c>
      <c r="E13" s="97">
        <v>61.861049011177982</v>
      </c>
      <c r="F13" s="97">
        <v>31.81427343078246</v>
      </c>
      <c r="G13" s="97">
        <v>2.6511607910576092</v>
      </c>
      <c r="H13" s="97">
        <v>16.79088564058469</v>
      </c>
      <c r="I13" s="97">
        <v>30.046775580395529</v>
      </c>
      <c r="J13" s="97">
        <v>75.117024935511608</v>
      </c>
      <c r="K13" s="97">
        <v>136.0944110060189</v>
      </c>
      <c r="L13" s="97">
        <v>173.21100601891661</v>
      </c>
      <c r="M13" s="97">
        <v>239.49079965606191</v>
      </c>
      <c r="N13" s="97">
        <v>219.1650042992261</v>
      </c>
      <c r="O13" s="97">
        <v>223.58366294067059</v>
      </c>
      <c r="P13" s="97">
        <v>250.97927773000859</v>
      </c>
      <c r="Q13" s="97">
        <v>233.30464316423041</v>
      </c>
      <c r="R13" s="97">
        <v>245.67687016337061</v>
      </c>
      <c r="S13" s="97">
        <v>248.32811693895101</v>
      </c>
      <c r="T13" s="97">
        <v>242.14196044711949</v>
      </c>
      <c r="U13" s="97">
        <v>262.46775580395519</v>
      </c>
      <c r="V13" s="97">
        <v>302.23559759243341</v>
      </c>
      <c r="W13" s="97">
        <v>281.90980223559762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9.5463555257597505</v>
      </c>
      <c r="C15" s="98">
        <v>9.6565295756124865</v>
      </c>
      <c r="D15" s="98">
        <v>9.5029014500716862</v>
      </c>
      <c r="E15" s="98">
        <v>9.4872257735849352</v>
      </c>
      <c r="F15" s="98">
        <v>9.5354533201580587</v>
      </c>
      <c r="G15" s="98">
        <v>9.4511555060704033</v>
      </c>
      <c r="H15" s="98">
        <v>9.6575001396026785</v>
      </c>
      <c r="I15" s="98">
        <v>9.6119003184040928</v>
      </c>
      <c r="J15" s="98">
        <v>9.5936368118018756</v>
      </c>
      <c r="K15" s="98">
        <v>9.5362250379586069</v>
      </c>
      <c r="L15" s="98">
        <v>9.5726903612390863</v>
      </c>
      <c r="M15" s="98">
        <v>9.5102851217849906</v>
      </c>
      <c r="N15" s="98">
        <v>9.537195958806441</v>
      </c>
      <c r="O15" s="98">
        <v>7.3248311659587833</v>
      </c>
      <c r="P15" s="98">
        <v>1.9193019325504415</v>
      </c>
      <c r="Q15" s="98">
        <v>1.6319614803410678</v>
      </c>
      <c r="R15" s="98">
        <v>1.7283615747660455</v>
      </c>
      <c r="S15" s="98">
        <v>1.8498014602913637</v>
      </c>
      <c r="T15" s="98">
        <v>1.9654844981909401</v>
      </c>
      <c r="U15" s="98">
        <v>1.9209436446464423</v>
      </c>
      <c r="V15" s="98">
        <v>2.3677470561387199</v>
      </c>
      <c r="W15" s="98">
        <v>3.5157450365915648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3840.3605429720201</v>
      </c>
      <c r="C17" s="79">
        <f t="shared" si="9"/>
        <v>4063.6664177957332</v>
      </c>
      <c r="D17" s="79">
        <f t="shared" si="9"/>
        <v>4276.8713451302074</v>
      </c>
      <c r="E17" s="79">
        <f t="shared" si="9"/>
        <v>4848.0427717753055</v>
      </c>
      <c r="F17" s="79">
        <f t="shared" si="9"/>
        <v>5059.819030276306</v>
      </c>
      <c r="G17" s="79">
        <f t="shared" si="9"/>
        <v>5445.4953515507814</v>
      </c>
      <c r="H17" s="79">
        <f t="shared" si="9"/>
        <v>5665.480973914322</v>
      </c>
      <c r="I17" s="79">
        <f t="shared" si="9"/>
        <v>5956.305623448241</v>
      </c>
      <c r="J17" s="79">
        <f t="shared" si="9"/>
        <v>5963.8360271815345</v>
      </c>
      <c r="K17" s="79">
        <f t="shared" si="9"/>
        <v>5887.8329576260921</v>
      </c>
      <c r="L17" s="79">
        <f t="shared" ref="L17" si="10">L18+L42</f>
        <v>5591.1793971540164</v>
      </c>
      <c r="M17" s="79">
        <f t="shared" ref="M17:V17" si="11">M18+M42</f>
        <v>5603.9188835740642</v>
      </c>
      <c r="N17" s="79">
        <f t="shared" si="11"/>
        <v>5504.5837995701568</v>
      </c>
      <c r="O17" s="79">
        <f t="shared" si="11"/>
        <v>5460.032827726578</v>
      </c>
      <c r="P17" s="79">
        <f t="shared" si="11"/>
        <v>5669.5249769110542</v>
      </c>
      <c r="Q17" s="79">
        <f t="shared" si="11"/>
        <v>5899.4065960461194</v>
      </c>
      <c r="R17" s="79">
        <f t="shared" si="11"/>
        <v>6139.0741053408874</v>
      </c>
      <c r="S17" s="79">
        <f t="shared" si="11"/>
        <v>6312.8692339624413</v>
      </c>
      <c r="T17" s="79">
        <f t="shared" si="11"/>
        <v>6371.8607553494367</v>
      </c>
      <c r="U17" s="79">
        <f t="shared" si="11"/>
        <v>6470.602628941293</v>
      </c>
      <c r="V17" s="79">
        <f t="shared" si="11"/>
        <v>6080.9317195410913</v>
      </c>
      <c r="W17" s="79">
        <f t="shared" ref="W17" si="12">W18+W42</f>
        <v>6519.2432600838838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2856.9988615707975</v>
      </c>
      <c r="C18" s="32">
        <f t="shared" si="13"/>
        <v>3027.9551747622395</v>
      </c>
      <c r="D18" s="32">
        <f t="shared" si="13"/>
        <v>3108.5579838074109</v>
      </c>
      <c r="E18" s="32">
        <f t="shared" si="13"/>
        <v>3433.2924011011819</v>
      </c>
      <c r="F18" s="32">
        <f t="shared" si="13"/>
        <v>3479.2209904009751</v>
      </c>
      <c r="G18" s="32">
        <f t="shared" si="13"/>
        <v>3566.0504650167959</v>
      </c>
      <c r="H18" s="32">
        <f t="shared" si="13"/>
        <v>3614.2056950845104</v>
      </c>
      <c r="I18" s="32">
        <f t="shared" si="13"/>
        <v>3765.2535968299658</v>
      </c>
      <c r="J18" s="32">
        <f t="shared" si="13"/>
        <v>3774.7703711351542</v>
      </c>
      <c r="K18" s="32">
        <f t="shared" si="13"/>
        <v>3842.6334723734449</v>
      </c>
      <c r="L18" s="32">
        <f t="shared" ref="L18" si="14">L19+L21+L33</f>
        <v>3573.9211788711641</v>
      </c>
      <c r="M18" s="32">
        <f t="shared" ref="M18:V18" si="15">M19+M21+M33</f>
        <v>3601.5882495420997</v>
      </c>
      <c r="N18" s="32">
        <f t="shared" si="15"/>
        <v>3554.6160280703257</v>
      </c>
      <c r="O18" s="32">
        <f t="shared" si="15"/>
        <v>3578.3894323733484</v>
      </c>
      <c r="P18" s="32">
        <f t="shared" si="15"/>
        <v>3676.1186516541165</v>
      </c>
      <c r="Q18" s="32">
        <f t="shared" si="15"/>
        <v>3723.019567779766</v>
      </c>
      <c r="R18" s="32">
        <f t="shared" si="15"/>
        <v>3913.593357484016</v>
      </c>
      <c r="S18" s="32">
        <f t="shared" si="15"/>
        <v>3992.0323961314311</v>
      </c>
      <c r="T18" s="32">
        <f t="shared" si="15"/>
        <v>4050.4539927764354</v>
      </c>
      <c r="U18" s="32">
        <f t="shared" si="15"/>
        <v>4148.1012624229306</v>
      </c>
      <c r="V18" s="32">
        <f t="shared" si="15"/>
        <v>3889.7500958903661</v>
      </c>
      <c r="W18" s="32">
        <f t="shared" ref="W18" si="16">W19+W21+W33</f>
        <v>4203.3337932351369</v>
      </c>
      <c r="DA18" s="173" t="s">
        <v>390</v>
      </c>
    </row>
    <row r="19" spans="1:105" ht="11.45" customHeight="1" x14ac:dyDescent="0.25">
      <c r="A19" s="107" t="s">
        <v>181</v>
      </c>
      <c r="B19" s="129">
        <v>54.063568341064006</v>
      </c>
      <c r="C19" s="129">
        <v>51.379898738447864</v>
      </c>
      <c r="D19" s="129">
        <v>50.055025287910212</v>
      </c>
      <c r="E19" s="129">
        <v>49.84836492713324</v>
      </c>
      <c r="F19" s="129">
        <v>49.540540706435621</v>
      </c>
      <c r="G19" s="129">
        <v>50.978006042802477</v>
      </c>
      <c r="H19" s="129">
        <v>52.197148469018181</v>
      </c>
      <c r="I19" s="129">
        <v>53.815996242943271</v>
      </c>
      <c r="J19" s="129">
        <v>55.212560291984119</v>
      </c>
      <c r="K19" s="129">
        <v>55.560121217192098</v>
      </c>
      <c r="L19" s="129">
        <v>56.242677644562491</v>
      </c>
      <c r="M19" s="129">
        <v>56.86140470598351</v>
      </c>
      <c r="N19" s="129">
        <v>57.979091643600682</v>
      </c>
      <c r="O19" s="129">
        <v>57.774174278127347</v>
      </c>
      <c r="P19" s="129">
        <v>58.395855722712092</v>
      </c>
      <c r="Q19" s="129">
        <v>59.911611075853607</v>
      </c>
      <c r="R19" s="129">
        <v>60.949751966024664</v>
      </c>
      <c r="S19" s="129">
        <v>57.104624381121354</v>
      </c>
      <c r="T19" s="129">
        <v>54.048928203353462</v>
      </c>
      <c r="U19" s="129">
        <v>56.950958980011102</v>
      </c>
      <c r="V19" s="129">
        <v>50.669175749903232</v>
      </c>
      <c r="W19" s="129">
        <v>50.103999812327196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3.1984210580647376E-2</v>
      </c>
      <c r="I20" s="97">
        <v>0</v>
      </c>
      <c r="J20" s="97">
        <v>0.8960621233497621</v>
      </c>
      <c r="K20" s="97">
        <v>1.5411283144094379</v>
      </c>
      <c r="L20" s="97">
        <v>1.6948657953632333</v>
      </c>
      <c r="M20" s="97">
        <v>1.8566409699443454</v>
      </c>
      <c r="N20" s="97">
        <v>1.8802143783701224</v>
      </c>
      <c r="O20" s="97">
        <v>1.9001593057036952</v>
      </c>
      <c r="P20" s="97">
        <v>2.3656707487148902</v>
      </c>
      <c r="Q20" s="97">
        <v>2.3177083963903256</v>
      </c>
      <c r="R20" s="97">
        <v>1.7696612787562247</v>
      </c>
      <c r="S20" s="97">
        <v>2.0414585162931314</v>
      </c>
      <c r="T20" s="97">
        <v>1.9915206395606859</v>
      </c>
      <c r="U20" s="97">
        <v>2.4994022615628437</v>
      </c>
      <c r="V20" s="97">
        <v>2.1902225671638371</v>
      </c>
      <c r="W20" s="97">
        <v>1.7694247573624629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2426.3454635487315</v>
      </c>
      <c r="C21" s="130">
        <f t="shared" si="17"/>
        <v>2561.7351119295195</v>
      </c>
      <c r="D21" s="130">
        <f t="shared" si="17"/>
        <v>2665.9856768457903</v>
      </c>
      <c r="E21" s="130">
        <f t="shared" si="17"/>
        <v>3023.3169980544126</v>
      </c>
      <c r="F21" s="130">
        <f t="shared" si="17"/>
        <v>3098.2312548614905</v>
      </c>
      <c r="G21" s="130">
        <f t="shared" si="17"/>
        <v>3189.9126057029189</v>
      </c>
      <c r="H21" s="130">
        <f t="shared" si="17"/>
        <v>3223.4780543301481</v>
      </c>
      <c r="I21" s="130">
        <f t="shared" si="17"/>
        <v>3373.2867298132737</v>
      </c>
      <c r="J21" s="130">
        <f t="shared" si="17"/>
        <v>3380.1852592834284</v>
      </c>
      <c r="K21" s="130">
        <f t="shared" si="17"/>
        <v>3443.9771010574186</v>
      </c>
      <c r="L21" s="130">
        <f t="shared" ref="L21" si="18">L22+L24+L26+L27+L29+L32</f>
        <v>3160.6791473202088</v>
      </c>
      <c r="M21" s="130">
        <f t="shared" ref="M21:V21" si="19">M22+M24+M26+M27+M29+M32</f>
        <v>3204.4131039410145</v>
      </c>
      <c r="N21" s="130">
        <f t="shared" si="19"/>
        <v>3165.1333603401677</v>
      </c>
      <c r="O21" s="130">
        <f t="shared" si="19"/>
        <v>3173.6880535639766</v>
      </c>
      <c r="P21" s="130">
        <f t="shared" si="19"/>
        <v>3235.819085687725</v>
      </c>
      <c r="Q21" s="130">
        <f t="shared" si="19"/>
        <v>3291.0412501354231</v>
      </c>
      <c r="R21" s="130">
        <f t="shared" si="19"/>
        <v>3456.2416717553224</v>
      </c>
      <c r="S21" s="130">
        <f t="shared" si="19"/>
        <v>3519.1805985043447</v>
      </c>
      <c r="T21" s="130">
        <f t="shared" si="19"/>
        <v>3583.2762097078867</v>
      </c>
      <c r="U21" s="130">
        <f t="shared" si="19"/>
        <v>3674.4127863240133</v>
      </c>
      <c r="V21" s="130">
        <f t="shared" si="19"/>
        <v>3526.05550514576</v>
      </c>
      <c r="W21" s="130">
        <f t="shared" ref="W21" si="20">W22+W24+W26+W27+W29+W32</f>
        <v>3832.7094242895819</v>
      </c>
      <c r="DA21" s="176" t="s">
        <v>392</v>
      </c>
    </row>
    <row r="22" spans="1:105" ht="11.45" customHeight="1" x14ac:dyDescent="0.25">
      <c r="A22" s="111" t="s">
        <v>110</v>
      </c>
      <c r="B22" s="96">
        <v>1826.7866032797911</v>
      </c>
      <c r="C22" s="96">
        <v>1871.4280116057096</v>
      </c>
      <c r="D22" s="96">
        <v>1894.3550197166251</v>
      </c>
      <c r="E22" s="96">
        <v>2076.1607322891341</v>
      </c>
      <c r="F22" s="96">
        <v>2068.1114805755842</v>
      </c>
      <c r="G22" s="96">
        <v>2025.5898909323682</v>
      </c>
      <c r="H22" s="96">
        <v>1997.5853172962925</v>
      </c>
      <c r="I22" s="96">
        <v>2079.6052903858031</v>
      </c>
      <c r="J22" s="96">
        <v>2022.9077489708297</v>
      </c>
      <c r="K22" s="96">
        <v>1994.4977447810422</v>
      </c>
      <c r="L22" s="96">
        <v>1804.8081093383735</v>
      </c>
      <c r="M22" s="96">
        <v>1736.7742376776973</v>
      </c>
      <c r="N22" s="96">
        <v>1611.4929651590357</v>
      </c>
      <c r="O22" s="96">
        <v>1508.4687570248823</v>
      </c>
      <c r="P22" s="96">
        <v>1501.8228909582033</v>
      </c>
      <c r="Q22" s="96">
        <v>1507.3621133116733</v>
      </c>
      <c r="R22" s="96">
        <v>1537.3090966925181</v>
      </c>
      <c r="S22" s="96">
        <v>1535.2938408751106</v>
      </c>
      <c r="T22" s="96">
        <v>1541.6566907809765</v>
      </c>
      <c r="U22" s="96">
        <v>1551.4990835252281</v>
      </c>
      <c r="V22" s="96">
        <v>1405.8928625721992</v>
      </c>
      <c r="W22" s="96">
        <v>1455.4130470180894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1.224036011835719</v>
      </c>
      <c r="I23" s="96">
        <v>0</v>
      </c>
      <c r="J23" s="96">
        <v>32.830410386649902</v>
      </c>
      <c r="K23" s="96">
        <v>55.323438469329801</v>
      </c>
      <c r="L23" s="96">
        <v>54.387658266258398</v>
      </c>
      <c r="M23" s="96">
        <v>56.709225209783654</v>
      </c>
      <c r="N23" s="96">
        <v>52.25939485840059</v>
      </c>
      <c r="O23" s="96">
        <v>49.612668321756985</v>
      </c>
      <c r="P23" s="96">
        <v>60.840250372569578</v>
      </c>
      <c r="Q23" s="96">
        <v>58.313000830504784</v>
      </c>
      <c r="R23" s="96">
        <v>44.635397095839878</v>
      </c>
      <c r="S23" s="96">
        <v>54.885899704876749</v>
      </c>
      <c r="T23" s="96">
        <v>56.804847401518835</v>
      </c>
      <c r="U23" s="96">
        <v>68.090518362240189</v>
      </c>
      <c r="V23" s="96">
        <v>60.771035428301367</v>
      </c>
      <c r="W23" s="96">
        <v>51.3979699670315</v>
      </c>
      <c r="DA23" s="171" t="s">
        <v>641</v>
      </c>
    </row>
    <row r="24" spans="1:105" ht="11.45" customHeight="1" x14ac:dyDescent="0.25">
      <c r="A24" s="111" t="s">
        <v>111</v>
      </c>
      <c r="B24" s="96">
        <v>542.825945663026</v>
      </c>
      <c r="C24" s="96">
        <v>634.88202887907744</v>
      </c>
      <c r="D24" s="96">
        <v>715.07640578792166</v>
      </c>
      <c r="E24" s="96">
        <v>889.33984353209848</v>
      </c>
      <c r="F24" s="96">
        <v>969.18049641272648</v>
      </c>
      <c r="G24" s="96">
        <v>1101.1667873379508</v>
      </c>
      <c r="H24" s="96">
        <v>1158.2529995037933</v>
      </c>
      <c r="I24" s="96">
        <v>1220.8112590892715</v>
      </c>
      <c r="J24" s="96">
        <v>1285.8041739010503</v>
      </c>
      <c r="K24" s="96">
        <v>1375.4386819909598</v>
      </c>
      <c r="L24" s="96">
        <v>1284.1083046907397</v>
      </c>
      <c r="M24" s="96">
        <v>1394.3432080222046</v>
      </c>
      <c r="N24" s="96">
        <v>1472.6344548942968</v>
      </c>
      <c r="O24" s="96">
        <v>1580.8016442531214</v>
      </c>
      <c r="P24" s="96">
        <v>1641.0745124511641</v>
      </c>
      <c r="Q24" s="96">
        <v>1688.2908355803027</v>
      </c>
      <c r="R24" s="96">
        <v>1821.2315847987156</v>
      </c>
      <c r="S24" s="96">
        <v>1886.8717920791578</v>
      </c>
      <c r="T24" s="96">
        <v>1945.9812264392924</v>
      </c>
      <c r="U24" s="96">
        <v>2028.5478337654279</v>
      </c>
      <c r="V24" s="96">
        <v>2038.7107140823202</v>
      </c>
      <c r="W24" s="96">
        <v>2291.2982204810837</v>
      </c>
      <c r="DA24" s="171" t="s">
        <v>642</v>
      </c>
    </row>
    <row r="25" spans="1:105" ht="11.45" customHeight="1" x14ac:dyDescent="0.25">
      <c r="A25" s="160" t="s">
        <v>131</v>
      </c>
      <c r="B25" s="96">
        <v>18.278850545299981</v>
      </c>
      <c r="C25" s="96">
        <v>14.469023606245868</v>
      </c>
      <c r="D25" s="96">
        <v>20.957492032014969</v>
      </c>
      <c r="E25" s="96">
        <v>21.237077149785151</v>
      </c>
      <c r="F25" s="96">
        <v>10.995782980445323</v>
      </c>
      <c r="G25" s="96">
        <v>0.90448945296097716</v>
      </c>
      <c r="H25" s="96">
        <v>5.6206442589487429</v>
      </c>
      <c r="I25" s="96">
        <v>10.014274972254302</v>
      </c>
      <c r="J25" s="96">
        <v>25.954570175277105</v>
      </c>
      <c r="K25" s="96">
        <v>50.973882533152072</v>
      </c>
      <c r="L25" s="96">
        <v>62.366260634258119</v>
      </c>
      <c r="M25" s="96">
        <v>91.58838929195943</v>
      </c>
      <c r="N25" s="96">
        <v>88.12198895650387</v>
      </c>
      <c r="O25" s="96">
        <v>95.047375609594965</v>
      </c>
      <c r="P25" s="96">
        <v>105.15791064811853</v>
      </c>
      <c r="Q25" s="96">
        <v>95.494038329436265</v>
      </c>
      <c r="R25" s="96">
        <v>103.59826718449028</v>
      </c>
      <c r="S25" s="96">
        <v>104.23590888436958</v>
      </c>
      <c r="T25" s="96">
        <v>103.55661475788443</v>
      </c>
      <c r="U25" s="96">
        <v>115.09253691243381</v>
      </c>
      <c r="V25" s="96">
        <v>139.98842908767321</v>
      </c>
      <c r="W25" s="96">
        <v>135.52838109438522</v>
      </c>
      <c r="DA25" s="171" t="s">
        <v>643</v>
      </c>
    </row>
    <row r="26" spans="1:105" ht="11.45" customHeight="1" x14ac:dyDescent="0.25">
      <c r="A26" s="111" t="s">
        <v>112</v>
      </c>
      <c r="B26" s="96">
        <v>56.732914605914686</v>
      </c>
      <c r="C26" s="96">
        <v>55.425071444732716</v>
      </c>
      <c r="D26" s="96">
        <v>56.554251341243983</v>
      </c>
      <c r="E26" s="96">
        <v>57.816422233179971</v>
      </c>
      <c r="F26" s="96">
        <v>60.939277873179932</v>
      </c>
      <c r="G26" s="96">
        <v>63.155927432600173</v>
      </c>
      <c r="H26" s="96">
        <v>67.639737530062561</v>
      </c>
      <c r="I26" s="96">
        <v>72.870180338199333</v>
      </c>
      <c r="J26" s="96">
        <v>70.724920182303265</v>
      </c>
      <c r="K26" s="96">
        <v>72.820205972324146</v>
      </c>
      <c r="L26" s="96">
        <v>70.158684379796455</v>
      </c>
      <c r="M26" s="96">
        <v>71.251985667847805</v>
      </c>
      <c r="N26" s="96">
        <v>78.527645766935422</v>
      </c>
      <c r="O26" s="96">
        <v>81.100393227398882</v>
      </c>
      <c r="P26" s="96">
        <v>89.024519180457744</v>
      </c>
      <c r="Q26" s="96">
        <v>90.097276578189678</v>
      </c>
      <c r="R26" s="96">
        <v>89.008937155878542</v>
      </c>
      <c r="S26" s="96">
        <v>86.246030596490243</v>
      </c>
      <c r="T26" s="96">
        <v>82.403744965758008</v>
      </c>
      <c r="U26" s="96">
        <v>79.47673200030161</v>
      </c>
      <c r="V26" s="96">
        <v>66.124045011989907</v>
      </c>
      <c r="W26" s="96">
        <v>68.294070919320262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0.7484162292450115</v>
      </c>
      <c r="K27" s="96">
        <v>1.2204683130925689</v>
      </c>
      <c r="L27" s="96">
        <v>1.6033263304429222</v>
      </c>
      <c r="M27" s="96">
        <v>2.0361660294374149</v>
      </c>
      <c r="N27" s="96">
        <v>2.4660925397134861</v>
      </c>
      <c r="O27" s="96">
        <v>3.2831630345839788</v>
      </c>
      <c r="P27" s="96">
        <v>3.8319796020635088</v>
      </c>
      <c r="Q27" s="96">
        <v>5.1431910595482835</v>
      </c>
      <c r="R27" s="96">
        <v>8.4204805696109108</v>
      </c>
      <c r="S27" s="96">
        <v>10.311513223117419</v>
      </c>
      <c r="T27" s="96">
        <v>12.61061698240788</v>
      </c>
      <c r="U27" s="96">
        <v>14.013852005435368</v>
      </c>
      <c r="V27" s="96">
        <v>13.778078532077215</v>
      </c>
      <c r="W27" s="96">
        <v>15.072367934828392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0.20843083099498408</v>
      </c>
      <c r="W28" s="96">
        <v>2.8336231808926629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3.2427459208648956E-3</v>
      </c>
      <c r="O29" s="96">
        <v>5.9775925643109707E-3</v>
      </c>
      <c r="P29" s="96">
        <v>1.581928525618154E-2</v>
      </c>
      <c r="Q29" s="96">
        <v>6.1383277027737243E-2</v>
      </c>
      <c r="R29" s="96">
        <v>8.8698314142090978E-2</v>
      </c>
      <c r="S29" s="96">
        <v>0.15102907637386709</v>
      </c>
      <c r="T29" s="96">
        <v>0.21398675065829192</v>
      </c>
      <c r="U29" s="96">
        <v>0.31908453939370496</v>
      </c>
      <c r="V29" s="96">
        <v>0.58413162003046626</v>
      </c>
      <c r="W29" s="96">
        <v>1.095544872798544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6.8038670996897207E-5</v>
      </c>
      <c r="O30" s="96">
        <v>1.2793628505450004E-4</v>
      </c>
      <c r="P30" s="96">
        <v>3.5311157383449254E-4</v>
      </c>
      <c r="Q30" s="96">
        <v>1.520587665213201E-3</v>
      </c>
      <c r="R30" s="96">
        <v>1.543024491405162E-3</v>
      </c>
      <c r="S30" s="96">
        <v>3.358454455978481E-3</v>
      </c>
      <c r="T30" s="96">
        <v>4.780928738104288E-3</v>
      </c>
      <c r="U30" s="96">
        <v>8.2036531198591851E-3</v>
      </c>
      <c r="V30" s="96">
        <v>1.3574182092412009E-2</v>
      </c>
      <c r="W30" s="96">
        <v>1.8219377817267814E-2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1.1446764738811453E-3</v>
      </c>
      <c r="O31" s="96">
        <v>2.0877012235964798E-3</v>
      </c>
      <c r="P31" s="96">
        <v>7.1028345282599077E-3</v>
      </c>
      <c r="Q31" s="96">
        <v>2.2076841003741732E-2</v>
      </c>
      <c r="R31" s="96">
        <v>3.5554268353427246E-2</v>
      </c>
      <c r="S31" s="96">
        <v>5.7084830787141452E-2</v>
      </c>
      <c r="T31" s="96">
        <v>8.4234606001558771E-2</v>
      </c>
      <c r="U31" s="96">
        <v>0.13215748107248751</v>
      </c>
      <c r="V31" s="96">
        <v>0.27010297818688889</v>
      </c>
      <c r="W31" s="96">
        <v>0.57963499929940943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7.2258085627582781E-4</v>
      </c>
      <c r="M32" s="96">
        <v>7.506543827215357E-3</v>
      </c>
      <c r="N32" s="96">
        <v>8.9592342651509289E-3</v>
      </c>
      <c r="O32" s="96">
        <v>2.811843142573987E-2</v>
      </c>
      <c r="P32" s="96">
        <v>4.9364210579918522E-2</v>
      </c>
      <c r="Q32" s="96">
        <v>8.6450328681283897E-2</v>
      </c>
      <c r="R32" s="96">
        <v>0.18287422445711424</v>
      </c>
      <c r="S32" s="96">
        <v>0.30639265409480915</v>
      </c>
      <c r="T32" s="96">
        <v>0.40994378879352189</v>
      </c>
      <c r="U32" s="96">
        <v>0.5562004882269761</v>
      </c>
      <c r="V32" s="96">
        <v>0.9656733271432455</v>
      </c>
      <c r="W32" s="96">
        <v>1.5361730634614941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376.58982968100173</v>
      </c>
      <c r="C33" s="130">
        <f t="shared" si="21"/>
        <v>414.84016409427215</v>
      </c>
      <c r="D33" s="130">
        <f t="shared" si="21"/>
        <v>392.51728167371056</v>
      </c>
      <c r="E33" s="130">
        <f t="shared" si="21"/>
        <v>360.12703811963581</v>
      </c>
      <c r="F33" s="130">
        <f t="shared" si="21"/>
        <v>331.44919483304926</v>
      </c>
      <c r="G33" s="130">
        <f t="shared" si="21"/>
        <v>325.15985327107467</v>
      </c>
      <c r="H33" s="130">
        <f t="shared" si="21"/>
        <v>338.53049228534417</v>
      </c>
      <c r="I33" s="130">
        <f t="shared" si="21"/>
        <v>338.15087077374903</v>
      </c>
      <c r="J33" s="130">
        <f t="shared" si="21"/>
        <v>339.37255155974168</v>
      </c>
      <c r="K33" s="130">
        <f t="shared" si="21"/>
        <v>343.09625009883399</v>
      </c>
      <c r="L33" s="130">
        <f t="shared" ref="L33" si="22">L34+L36+L38+L39+L41</f>
        <v>356.9993539063932</v>
      </c>
      <c r="M33" s="130">
        <f t="shared" ref="M33:V33" si="23">M34+M36+M38+M39+M41</f>
        <v>340.31374089510155</v>
      </c>
      <c r="N33" s="130">
        <f t="shared" si="23"/>
        <v>331.50357608655696</v>
      </c>
      <c r="O33" s="130">
        <f t="shared" si="23"/>
        <v>346.92720453124474</v>
      </c>
      <c r="P33" s="130">
        <f t="shared" si="23"/>
        <v>381.90371024367948</v>
      </c>
      <c r="Q33" s="130">
        <f t="shared" si="23"/>
        <v>372.06670656848917</v>
      </c>
      <c r="R33" s="130">
        <f t="shared" si="23"/>
        <v>396.40193376266905</v>
      </c>
      <c r="S33" s="130">
        <f t="shared" si="23"/>
        <v>415.74717324596486</v>
      </c>
      <c r="T33" s="130">
        <f t="shared" si="23"/>
        <v>413.12885486519525</v>
      </c>
      <c r="U33" s="130">
        <f t="shared" si="23"/>
        <v>416.73751711890628</v>
      </c>
      <c r="V33" s="130">
        <f t="shared" si="23"/>
        <v>313.02541499470271</v>
      </c>
      <c r="W33" s="130">
        <f t="shared" ref="W33" si="24">W34+W36+W38+W39+W41</f>
        <v>320.52036913322752</v>
      </c>
      <c r="DA33" s="176" t="s">
        <v>393</v>
      </c>
    </row>
    <row r="34" spans="1:105" ht="11.45" customHeight="1" x14ac:dyDescent="0.25">
      <c r="A34" s="111" t="s">
        <v>110</v>
      </c>
      <c r="B34" s="97">
        <v>10.295483018359121</v>
      </c>
      <c r="C34" s="97">
        <v>10.220045864553629</v>
      </c>
      <c r="D34" s="97">
        <v>10.394710074583463</v>
      </c>
      <c r="E34" s="97">
        <v>8.838769024031258</v>
      </c>
      <c r="F34" s="97">
        <v>7.6765334914742933</v>
      </c>
      <c r="G34" s="97">
        <v>6.9933695577296211</v>
      </c>
      <c r="H34" s="97">
        <v>6.7668394861740389</v>
      </c>
      <c r="I34" s="97">
        <v>6.6876689449726827</v>
      </c>
      <c r="J34" s="97">
        <v>6.3649349604277754</v>
      </c>
      <c r="K34" s="97">
        <v>5.9454419223935808</v>
      </c>
      <c r="L34" s="97">
        <v>6.048186133725217</v>
      </c>
      <c r="M34" s="97">
        <v>5.5517854426930215</v>
      </c>
      <c r="N34" s="97">
        <v>5.0162541946656694</v>
      </c>
      <c r="O34" s="97">
        <v>5.0833416687365185</v>
      </c>
      <c r="P34" s="97">
        <v>5.1125241009210738</v>
      </c>
      <c r="Q34" s="97">
        <v>4.7177392704398144</v>
      </c>
      <c r="R34" s="97">
        <v>4.7843637591341404</v>
      </c>
      <c r="S34" s="97">
        <v>4.7428838143163734</v>
      </c>
      <c r="T34" s="97">
        <v>4.3961206694601778</v>
      </c>
      <c r="U34" s="97">
        <v>4.165350469770269</v>
      </c>
      <c r="V34" s="97">
        <v>3.2107585466142252</v>
      </c>
      <c r="W34" s="97">
        <v>2.8604723822377567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4.1464337696472866E-3</v>
      </c>
      <c r="I35" s="97">
        <v>0</v>
      </c>
      <c r="J35" s="97">
        <v>0.10329854485034769</v>
      </c>
      <c r="K35" s="97">
        <v>0.16491484697197517</v>
      </c>
      <c r="L35" s="97">
        <v>0.18226130460614931</v>
      </c>
      <c r="M35" s="97">
        <v>0.18127713099145076</v>
      </c>
      <c r="N35" s="97">
        <v>0.16267300840700263</v>
      </c>
      <c r="O35" s="97">
        <v>0.16718817874265832</v>
      </c>
      <c r="P35" s="97">
        <v>0.20711313445047957</v>
      </c>
      <c r="Q35" s="97">
        <v>0.18250792663937618</v>
      </c>
      <c r="R35" s="97">
        <v>0.13891284238111209</v>
      </c>
      <c r="S35" s="97">
        <v>0.16955545473697201</v>
      </c>
      <c r="T35" s="97">
        <v>0.16198221386166323</v>
      </c>
      <c r="U35" s="97">
        <v>0.18280440875455184</v>
      </c>
      <c r="V35" s="97">
        <v>0.1387880446530072</v>
      </c>
      <c r="W35" s="97">
        <v>0.10101769658792398</v>
      </c>
      <c r="DA35" s="175" t="s">
        <v>652</v>
      </c>
    </row>
    <row r="36" spans="1:105" ht="11.45" customHeight="1" x14ac:dyDescent="0.25">
      <c r="A36" s="111" t="s">
        <v>111</v>
      </c>
      <c r="B36" s="97">
        <v>352.68522243524916</v>
      </c>
      <c r="C36" s="97">
        <v>390.06247085530981</v>
      </c>
      <c r="D36" s="97">
        <v>366.08484641732707</v>
      </c>
      <c r="E36" s="97">
        <v>334.49235888521821</v>
      </c>
      <c r="F36" s="97">
        <v>303.66111171875139</v>
      </c>
      <c r="G36" s="97">
        <v>299.72994557614822</v>
      </c>
      <c r="H36" s="97">
        <v>310.02532720814872</v>
      </c>
      <c r="I36" s="97">
        <v>317.12215275714783</v>
      </c>
      <c r="J36" s="97">
        <v>318.64464878282848</v>
      </c>
      <c r="K36" s="97">
        <v>322.19986022836417</v>
      </c>
      <c r="L36" s="97">
        <v>334.34891916199854</v>
      </c>
      <c r="M36" s="97">
        <v>317.05025101392619</v>
      </c>
      <c r="N36" s="97">
        <v>307.47045595482689</v>
      </c>
      <c r="O36" s="97">
        <v>325.15372633915297</v>
      </c>
      <c r="P36" s="97">
        <v>356.35696253078532</v>
      </c>
      <c r="Q36" s="97">
        <v>340.29038305681104</v>
      </c>
      <c r="R36" s="97">
        <v>358.26158209787872</v>
      </c>
      <c r="S36" s="97">
        <v>376.01491035774023</v>
      </c>
      <c r="T36" s="97">
        <v>373.48860774676052</v>
      </c>
      <c r="U36" s="97">
        <v>366.70196256610222</v>
      </c>
      <c r="V36" s="97">
        <v>261.35758576358165</v>
      </c>
      <c r="W36" s="97">
        <v>250.71914629654398</v>
      </c>
      <c r="DA36" s="175" t="s">
        <v>653</v>
      </c>
    </row>
    <row r="37" spans="1:105" ht="11.45" customHeight="1" x14ac:dyDescent="0.25">
      <c r="A37" s="160" t="s">
        <v>131</v>
      </c>
      <c r="B37" s="97">
        <v>11.87614652898657</v>
      </c>
      <c r="C37" s="97">
        <v>8.8895619059820898</v>
      </c>
      <c r="D37" s="97">
        <v>10.7292314355957</v>
      </c>
      <c r="E37" s="97">
        <v>7.9875427636821215</v>
      </c>
      <c r="F37" s="97">
        <v>3.4451701168347069</v>
      </c>
      <c r="G37" s="97">
        <v>0.24619574221410992</v>
      </c>
      <c r="H37" s="97">
        <v>1.5044572094764339</v>
      </c>
      <c r="I37" s="97">
        <v>2.6013426841037064</v>
      </c>
      <c r="J37" s="97">
        <v>6.4319941291829181</v>
      </c>
      <c r="K37" s="97">
        <v>11.940756096596822</v>
      </c>
      <c r="L37" s="97">
        <v>16.238577197163792</v>
      </c>
      <c r="M37" s="97">
        <v>20.825663041860274</v>
      </c>
      <c r="N37" s="97">
        <v>18.398936704253121</v>
      </c>
      <c r="O37" s="97">
        <v>19.550212685171243</v>
      </c>
      <c r="P37" s="97">
        <v>22.834888568633723</v>
      </c>
      <c r="Q37" s="97">
        <v>19.247692517146294</v>
      </c>
      <c r="R37" s="97">
        <v>20.379219981634705</v>
      </c>
      <c r="S37" s="97">
        <v>20.772082183721331</v>
      </c>
      <c r="T37" s="97">
        <v>19.875431141574001</v>
      </c>
      <c r="U37" s="97">
        <v>20.80535566379028</v>
      </c>
      <c r="V37" s="97">
        <v>17.946164509004138</v>
      </c>
      <c r="W37" s="97">
        <v>14.829828654867347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4.9044990072042723E-2</v>
      </c>
      <c r="W38" s="97">
        <v>4.5370096538229238E-2</v>
      </c>
      <c r="DA38" s="175" t="s">
        <v>655</v>
      </c>
    </row>
    <row r="39" spans="1:105" ht="11.45" customHeight="1" x14ac:dyDescent="0.25">
      <c r="A39" s="111" t="s">
        <v>113</v>
      </c>
      <c r="B39" s="97">
        <v>4.062768701633706</v>
      </c>
      <c r="C39" s="97">
        <v>4.901117798796216</v>
      </c>
      <c r="D39" s="97">
        <v>6.5348237317282889</v>
      </c>
      <c r="E39" s="97">
        <v>7.308684436801375</v>
      </c>
      <c r="F39" s="97">
        <v>10.576096302665521</v>
      </c>
      <c r="G39" s="97">
        <v>8.9853826311263969</v>
      </c>
      <c r="H39" s="97">
        <v>12.08082545141874</v>
      </c>
      <c r="I39" s="97">
        <v>4.7291487532244192</v>
      </c>
      <c r="J39" s="97">
        <v>4.77608935974897</v>
      </c>
      <c r="K39" s="97">
        <v>5.4218360721180927</v>
      </c>
      <c r="L39" s="97">
        <v>7.0381182095398813</v>
      </c>
      <c r="M39" s="97">
        <v>8.2174883127809863</v>
      </c>
      <c r="N39" s="97">
        <v>9.5021064134909512</v>
      </c>
      <c r="O39" s="97">
        <v>9.4100711709057396</v>
      </c>
      <c r="P39" s="97">
        <v>18.588098625979825</v>
      </c>
      <c r="Q39" s="97">
        <v>25.555233484485125</v>
      </c>
      <c r="R39" s="97">
        <v>31.869762147104048</v>
      </c>
      <c r="S39" s="97">
        <v>33.531868761826559</v>
      </c>
      <c r="T39" s="97">
        <v>33.815629140257158</v>
      </c>
      <c r="U39" s="97">
        <v>44.713732157553864</v>
      </c>
      <c r="V39" s="97">
        <v>47.373352921493691</v>
      </c>
      <c r="W39" s="97">
        <v>65.682314908439153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0.71665053247137722</v>
      </c>
      <c r="W40" s="97">
        <v>12.34835368297848</v>
      </c>
      <c r="DA40" s="175" t="s">
        <v>657</v>
      </c>
    </row>
    <row r="41" spans="1:105" ht="11.45" customHeight="1" x14ac:dyDescent="0.25">
      <c r="A41" s="111" t="s">
        <v>115</v>
      </c>
      <c r="B41" s="97">
        <v>9.5463555257597505</v>
      </c>
      <c r="C41" s="97">
        <v>9.6565295756124865</v>
      </c>
      <c r="D41" s="97">
        <v>9.5029014500716862</v>
      </c>
      <c r="E41" s="97">
        <v>9.4872257735849352</v>
      </c>
      <c r="F41" s="97">
        <v>9.5354533201580587</v>
      </c>
      <c r="G41" s="97">
        <v>9.4511555060704033</v>
      </c>
      <c r="H41" s="97">
        <v>9.6575001396026785</v>
      </c>
      <c r="I41" s="97">
        <v>9.6119003184040928</v>
      </c>
      <c r="J41" s="97">
        <v>9.5868784567364056</v>
      </c>
      <c r="K41" s="97">
        <v>9.5291118759581597</v>
      </c>
      <c r="L41" s="97">
        <v>9.5641304011295638</v>
      </c>
      <c r="M41" s="97">
        <v>9.4942161257013495</v>
      </c>
      <c r="N41" s="97">
        <v>9.514759523573467</v>
      </c>
      <c r="O41" s="97">
        <v>7.2800653524495287</v>
      </c>
      <c r="P41" s="97">
        <v>1.8461249859932567</v>
      </c>
      <c r="Q41" s="97">
        <v>1.5033507567531217</v>
      </c>
      <c r="R41" s="97">
        <v>1.4862257585521541</v>
      </c>
      <c r="S41" s="97">
        <v>1.4575103120816797</v>
      </c>
      <c r="T41" s="97">
        <v>1.4284973087173691</v>
      </c>
      <c r="U41" s="97">
        <v>1.1564719254799625</v>
      </c>
      <c r="V41" s="97">
        <v>1.0346727729411274</v>
      </c>
      <c r="W41" s="97">
        <v>1.2130654494683715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983.36168140122231</v>
      </c>
      <c r="C42" s="32">
        <f t="shared" si="25"/>
        <v>1035.7112430334937</v>
      </c>
      <c r="D42" s="32">
        <f t="shared" si="25"/>
        <v>1168.3133613227967</v>
      </c>
      <c r="E42" s="32">
        <f t="shared" si="25"/>
        <v>1414.7503706741236</v>
      </c>
      <c r="F42" s="32">
        <f t="shared" si="25"/>
        <v>1580.5980398753306</v>
      </c>
      <c r="G42" s="32">
        <f t="shared" si="25"/>
        <v>1879.4448865339855</v>
      </c>
      <c r="H42" s="32">
        <f t="shared" si="25"/>
        <v>2051.2752788298121</v>
      </c>
      <c r="I42" s="32">
        <f t="shared" si="25"/>
        <v>2191.0520266182752</v>
      </c>
      <c r="J42" s="32">
        <f t="shared" si="25"/>
        <v>2189.0656560463804</v>
      </c>
      <c r="K42" s="32">
        <f t="shared" si="25"/>
        <v>2045.199485252647</v>
      </c>
      <c r="L42" s="32">
        <f t="shared" ref="L42" si="26">L43+L52</f>
        <v>2017.2582182828523</v>
      </c>
      <c r="M42" s="32">
        <f t="shared" ref="M42:V42" si="27">M43+M52</f>
        <v>2002.3306340319641</v>
      </c>
      <c r="N42" s="32">
        <f t="shared" si="27"/>
        <v>1949.9677714998311</v>
      </c>
      <c r="O42" s="32">
        <f t="shared" si="27"/>
        <v>1881.6433953532296</v>
      </c>
      <c r="P42" s="32">
        <f t="shared" si="27"/>
        <v>1993.4063252569372</v>
      </c>
      <c r="Q42" s="32">
        <f t="shared" si="27"/>
        <v>2176.3870282663534</v>
      </c>
      <c r="R42" s="32">
        <f t="shared" si="27"/>
        <v>2225.4807478568719</v>
      </c>
      <c r="S42" s="32">
        <f t="shared" si="27"/>
        <v>2320.8368378310101</v>
      </c>
      <c r="T42" s="32">
        <f t="shared" si="27"/>
        <v>2321.4067625730017</v>
      </c>
      <c r="U42" s="32">
        <f t="shared" si="27"/>
        <v>2322.5013665183624</v>
      </c>
      <c r="V42" s="32">
        <f t="shared" si="27"/>
        <v>2191.1816236507248</v>
      </c>
      <c r="W42" s="32">
        <f t="shared" ref="W42" si="28">W43+W52</f>
        <v>2315.9094668487464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163.18292864622816</v>
      </c>
      <c r="C43" s="141">
        <f t="shared" si="29"/>
        <v>176.46365907232371</v>
      </c>
      <c r="D43" s="141">
        <f t="shared" si="29"/>
        <v>202.93862856354477</v>
      </c>
      <c r="E43" s="141">
        <f t="shared" si="29"/>
        <v>232.26538899729704</v>
      </c>
      <c r="F43" s="141">
        <f t="shared" si="29"/>
        <v>267.28312962020414</v>
      </c>
      <c r="G43" s="141">
        <f t="shared" si="29"/>
        <v>316.98627836042499</v>
      </c>
      <c r="H43" s="141">
        <f t="shared" si="29"/>
        <v>365.97227196696065</v>
      </c>
      <c r="I43" s="141">
        <f t="shared" si="29"/>
        <v>416.88457511997268</v>
      </c>
      <c r="J43" s="141">
        <f t="shared" si="29"/>
        <v>499.07721062436065</v>
      </c>
      <c r="K43" s="141">
        <f t="shared" si="29"/>
        <v>508.83415421335184</v>
      </c>
      <c r="L43" s="141">
        <f t="shared" ref="L43" si="30">L44+L46+L48+L49+L51</f>
        <v>540.96137516958049</v>
      </c>
      <c r="M43" s="141">
        <f t="shared" ref="M43:V43" si="31">M44+M46+M48+M49+M51</f>
        <v>552.95470443607837</v>
      </c>
      <c r="N43" s="141">
        <f t="shared" si="31"/>
        <v>562.19553070756956</v>
      </c>
      <c r="O43" s="141">
        <f t="shared" si="31"/>
        <v>585.46717144804677</v>
      </c>
      <c r="P43" s="141">
        <f t="shared" si="31"/>
        <v>655.52634670279053</v>
      </c>
      <c r="Q43" s="141">
        <f t="shared" si="31"/>
        <v>715.55138022131894</v>
      </c>
      <c r="R43" s="141">
        <f t="shared" si="31"/>
        <v>613.69156928684538</v>
      </c>
      <c r="S43" s="141">
        <f t="shared" si="31"/>
        <v>624.96423817545144</v>
      </c>
      <c r="T43" s="141">
        <f t="shared" si="31"/>
        <v>629.78419457711925</v>
      </c>
      <c r="U43" s="141">
        <f t="shared" si="31"/>
        <v>631.05756123063145</v>
      </c>
      <c r="V43" s="141">
        <f t="shared" si="31"/>
        <v>613.68016966231539</v>
      </c>
      <c r="W43" s="141">
        <f t="shared" ref="W43" si="32">W44+W46+W48+W49+W51</f>
        <v>626.25127035440892</v>
      </c>
      <c r="DA43" s="174" t="s">
        <v>399</v>
      </c>
    </row>
    <row r="44" spans="1:105" ht="11.45" customHeight="1" x14ac:dyDescent="0.25">
      <c r="A44" s="111" t="s">
        <v>110</v>
      </c>
      <c r="B44" s="96">
        <v>30.403012600682906</v>
      </c>
      <c r="C44" s="96">
        <v>32.991476293439078</v>
      </c>
      <c r="D44" s="96">
        <v>37.069707517613395</v>
      </c>
      <c r="E44" s="96">
        <v>36.977843132014421</v>
      </c>
      <c r="F44" s="96">
        <v>38.223551847314056</v>
      </c>
      <c r="G44" s="96">
        <v>41.72531988154465</v>
      </c>
      <c r="H44" s="96">
        <v>48.308132409735919</v>
      </c>
      <c r="I44" s="96">
        <v>54.703340213040043</v>
      </c>
      <c r="J44" s="96">
        <v>61.244764375209861</v>
      </c>
      <c r="K44" s="96">
        <v>59.663760007144859</v>
      </c>
      <c r="L44" s="96">
        <v>58.894148121516274</v>
      </c>
      <c r="M44" s="96">
        <v>57.330113016274538</v>
      </c>
      <c r="N44" s="96">
        <v>55.58422549902852</v>
      </c>
      <c r="O44" s="96">
        <v>56.103801023414277</v>
      </c>
      <c r="P44" s="96">
        <v>58.373684306558083</v>
      </c>
      <c r="Q44" s="96">
        <v>61.62228235656783</v>
      </c>
      <c r="R44" s="96">
        <v>62.710350329311275</v>
      </c>
      <c r="S44" s="96">
        <v>62.351980974492918</v>
      </c>
      <c r="T44" s="96">
        <v>62.443744658990724</v>
      </c>
      <c r="U44" s="96">
        <v>62.338350645946733</v>
      </c>
      <c r="V44" s="96">
        <v>61.64215127361819</v>
      </c>
      <c r="W44" s="96">
        <v>61.542770397939151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2.9601185602464251E-2</v>
      </c>
      <c r="I45" s="96">
        <v>0</v>
      </c>
      <c r="J45" s="96">
        <v>0.99396067343890027</v>
      </c>
      <c r="K45" s="96">
        <v>1.6549551706645345</v>
      </c>
      <c r="L45" s="96">
        <v>1.7747675142537254</v>
      </c>
      <c r="M45" s="96">
        <v>1.8719452533390208</v>
      </c>
      <c r="N45" s="96">
        <v>1.8025508339500815</v>
      </c>
      <c r="O45" s="96">
        <v>1.845221691733447</v>
      </c>
      <c r="P45" s="96">
        <v>2.3647725639035881</v>
      </c>
      <c r="Q45" s="96">
        <v>2.3838865064357275</v>
      </c>
      <c r="R45" s="96">
        <v>1.820779825599314</v>
      </c>
      <c r="S45" s="96">
        <v>2.2290485919071603</v>
      </c>
      <c r="T45" s="96">
        <v>2.3008413012734183</v>
      </c>
      <c r="U45" s="96">
        <v>2.7358382962657961</v>
      </c>
      <c r="V45" s="96">
        <v>2.6645397090017489</v>
      </c>
      <c r="W45" s="96">
        <v>2.1733853981053923</v>
      </c>
      <c r="DA45" s="171" t="s">
        <v>660</v>
      </c>
    </row>
    <row r="46" spans="1:105" ht="11.45" customHeight="1" x14ac:dyDescent="0.25">
      <c r="A46" s="111" t="s">
        <v>111</v>
      </c>
      <c r="B46" s="96">
        <v>121.39400004096983</v>
      </c>
      <c r="C46" s="96">
        <v>132.20611062946432</v>
      </c>
      <c r="D46" s="96">
        <v>154.64441056430346</v>
      </c>
      <c r="E46" s="96">
        <v>184.22271272442993</v>
      </c>
      <c r="F46" s="96">
        <v>217.98879545690411</v>
      </c>
      <c r="G46" s="96">
        <v>264.28894094157511</v>
      </c>
      <c r="H46" s="96">
        <v>306.53689514403709</v>
      </c>
      <c r="I46" s="96">
        <v>350.81452788485677</v>
      </c>
      <c r="J46" s="96">
        <v>426.90288666624241</v>
      </c>
      <c r="K46" s="96">
        <v>438.25941135015063</v>
      </c>
      <c r="L46" s="96">
        <v>471.62443690329366</v>
      </c>
      <c r="M46" s="96">
        <v>485.24264920117344</v>
      </c>
      <c r="N46" s="96">
        <v>494.65861792009412</v>
      </c>
      <c r="O46" s="96">
        <v>516.4500048146665</v>
      </c>
      <c r="P46" s="96">
        <v>581.42380011824582</v>
      </c>
      <c r="Q46" s="96">
        <v>635.30230786643324</v>
      </c>
      <c r="R46" s="96">
        <v>527.65548772340526</v>
      </c>
      <c r="S46" s="96">
        <v>536.46047434778393</v>
      </c>
      <c r="T46" s="96">
        <v>539.11146712158927</v>
      </c>
      <c r="U46" s="96">
        <v>539.39608023800542</v>
      </c>
      <c r="V46" s="96">
        <v>524.01511288967845</v>
      </c>
      <c r="W46" s="96">
        <v>534.40680990086366</v>
      </c>
      <c r="DA46" s="171" t="s">
        <v>661</v>
      </c>
    </row>
    <row r="47" spans="1:105" ht="11.45" customHeight="1" x14ac:dyDescent="0.25">
      <c r="A47" s="160" t="s">
        <v>131</v>
      </c>
      <c r="B47" s="96">
        <v>4.0877610983291071</v>
      </c>
      <c r="C47" s="96">
        <v>3.0129902069601817</v>
      </c>
      <c r="D47" s="96">
        <v>4.5323254633550993</v>
      </c>
      <c r="E47" s="96">
        <v>4.399164156789765</v>
      </c>
      <c r="F47" s="96">
        <v>2.4731796563021802</v>
      </c>
      <c r="G47" s="96">
        <v>0.21708478893898683</v>
      </c>
      <c r="H47" s="96">
        <v>1.4875289255330457</v>
      </c>
      <c r="I47" s="96">
        <v>2.8777201392468745</v>
      </c>
      <c r="J47" s="96">
        <v>8.6172382660658808</v>
      </c>
      <c r="K47" s="96">
        <v>16.241933606864912</v>
      </c>
      <c r="L47" s="96">
        <v>22.905741241569082</v>
      </c>
      <c r="M47" s="96">
        <v>31.873495994675537</v>
      </c>
      <c r="N47" s="96">
        <v>29.600218248813714</v>
      </c>
      <c r="O47" s="96">
        <v>31.052104335575184</v>
      </c>
      <c r="P47" s="96">
        <v>37.256877465119672</v>
      </c>
      <c r="Q47" s="96">
        <v>35.93431988116177</v>
      </c>
      <c r="R47" s="96">
        <v>30.014960565585294</v>
      </c>
      <c r="S47" s="96">
        <v>29.635529747659405</v>
      </c>
      <c r="T47" s="96">
        <v>28.689155760470509</v>
      </c>
      <c r="U47" s="96">
        <v>30.603401232092146</v>
      </c>
      <c r="V47" s="96">
        <v>35.981589719876169</v>
      </c>
      <c r="W47" s="96">
        <v>31.609717645777248</v>
      </c>
      <c r="DA47" s="171" t="s">
        <v>662</v>
      </c>
    </row>
    <row r="48" spans="1:105" ht="11.45" customHeight="1" x14ac:dyDescent="0.25">
      <c r="A48" s="111" t="s">
        <v>112</v>
      </c>
      <c r="B48" s="96">
        <v>11.385916004575424</v>
      </c>
      <c r="C48" s="96">
        <v>11.266072149420332</v>
      </c>
      <c r="D48" s="96">
        <v>11.224510481627899</v>
      </c>
      <c r="E48" s="96">
        <v>11.064833140852706</v>
      </c>
      <c r="F48" s="96">
        <v>11.070782315986007</v>
      </c>
      <c r="G48" s="96">
        <v>10.972017537305241</v>
      </c>
      <c r="H48" s="96">
        <v>11.127244413187643</v>
      </c>
      <c r="I48" s="96">
        <v>11.36670702207582</v>
      </c>
      <c r="J48" s="96">
        <v>10.922801227842896</v>
      </c>
      <c r="K48" s="96">
        <v>10.903869694055905</v>
      </c>
      <c r="L48" s="96">
        <v>10.434952765517378</v>
      </c>
      <c r="M48" s="96">
        <v>10.373379766374034</v>
      </c>
      <c r="N48" s="96">
        <v>11.440797913202166</v>
      </c>
      <c r="O48" s="96">
        <v>12.006485534423994</v>
      </c>
      <c r="P48" s="96">
        <v>13.497664826421055</v>
      </c>
      <c r="Q48" s="96">
        <v>13.471081117425122</v>
      </c>
      <c r="R48" s="96">
        <v>14.559420539736257</v>
      </c>
      <c r="S48" s="96">
        <v>14.183892017439268</v>
      </c>
      <c r="T48" s="96">
        <v>13.841568877750159</v>
      </c>
      <c r="U48" s="96">
        <v>12.584059057308016</v>
      </c>
      <c r="V48" s="96">
        <v>11.24161335133442</v>
      </c>
      <c r="W48" s="96">
        <v>10.121436026273908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0.49955685075085232</v>
      </c>
      <c r="O49" s="96">
        <v>0.89232039468225155</v>
      </c>
      <c r="P49" s="96">
        <v>2.2144875501165977</v>
      </c>
      <c r="Q49" s="96">
        <v>5.1356253269898051</v>
      </c>
      <c r="R49" s="96">
        <v>8.7426033709892543</v>
      </c>
      <c r="S49" s="96">
        <v>11.939077172407686</v>
      </c>
      <c r="T49" s="96">
        <v>14.344605124110542</v>
      </c>
      <c r="U49" s="96">
        <v>16.662957539504315</v>
      </c>
      <c r="V49" s="96">
        <v>16.683994169816881</v>
      </c>
      <c r="W49" s="96">
        <v>19.993382504969752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0.25239069156373373</v>
      </c>
      <c r="W50" s="96">
        <v>3.7587797999293686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6.7583550654699894E-3</v>
      </c>
      <c r="K51" s="96">
        <v>7.1131620004472439E-3</v>
      </c>
      <c r="L51" s="96">
        <v>7.8373792532461031E-3</v>
      </c>
      <c r="M51" s="96">
        <v>8.5624522564258926E-3</v>
      </c>
      <c r="N51" s="96">
        <v>1.2332524493942667E-2</v>
      </c>
      <c r="O51" s="96">
        <v>1.4559680859917623E-2</v>
      </c>
      <c r="P51" s="96">
        <v>1.6709901449006269E-2</v>
      </c>
      <c r="Q51" s="96">
        <v>2.0083553902920551E-2</v>
      </c>
      <c r="R51" s="96">
        <v>2.3707323403349901E-2</v>
      </c>
      <c r="S51" s="96">
        <v>2.8813663327733316E-2</v>
      </c>
      <c r="T51" s="96">
        <v>4.2808794678490407E-2</v>
      </c>
      <c r="U51" s="96">
        <v>7.6113749867016245E-2</v>
      </c>
      <c r="V51" s="96">
        <v>9.7297977867458377E-2</v>
      </c>
      <c r="W51" s="96">
        <v>0.18687152436228993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820.17875275499409</v>
      </c>
      <c r="C52" s="130">
        <f t="shared" si="33"/>
        <v>859.24758396116999</v>
      </c>
      <c r="D52" s="130">
        <f t="shared" si="33"/>
        <v>965.37473275925197</v>
      </c>
      <c r="E52" s="130">
        <f t="shared" si="33"/>
        <v>1182.4849816768265</v>
      </c>
      <c r="F52" s="130">
        <f t="shared" si="33"/>
        <v>1313.3149102551265</v>
      </c>
      <c r="G52" s="130">
        <f t="shared" si="33"/>
        <v>1562.4586081735604</v>
      </c>
      <c r="H52" s="130">
        <f t="shared" si="33"/>
        <v>1685.3030068628514</v>
      </c>
      <c r="I52" s="130">
        <f t="shared" si="33"/>
        <v>1774.1674514983026</v>
      </c>
      <c r="J52" s="130">
        <f t="shared" si="33"/>
        <v>1689.9884454220196</v>
      </c>
      <c r="K52" s="130">
        <f t="shared" si="33"/>
        <v>1536.3653310392951</v>
      </c>
      <c r="L52" s="130">
        <f t="shared" ref="L52" si="34">L53+L55</f>
        <v>1476.2968431132717</v>
      </c>
      <c r="M52" s="130">
        <f t="shared" ref="M52:V52" si="35">M53+M55</f>
        <v>1449.3759295958857</v>
      </c>
      <c r="N52" s="130">
        <f t="shared" si="35"/>
        <v>1387.7722407922615</v>
      </c>
      <c r="O52" s="130">
        <f t="shared" si="35"/>
        <v>1296.1762239051827</v>
      </c>
      <c r="P52" s="130">
        <f t="shared" si="35"/>
        <v>1337.8799785541466</v>
      </c>
      <c r="Q52" s="130">
        <f t="shared" si="35"/>
        <v>1460.8356480450343</v>
      </c>
      <c r="R52" s="130">
        <f t="shared" si="35"/>
        <v>1611.7891785700263</v>
      </c>
      <c r="S52" s="130">
        <f t="shared" si="35"/>
        <v>1695.8725996555586</v>
      </c>
      <c r="T52" s="130">
        <f t="shared" si="35"/>
        <v>1691.6225679958825</v>
      </c>
      <c r="U52" s="130">
        <f t="shared" si="35"/>
        <v>1691.4438052877308</v>
      </c>
      <c r="V52" s="130">
        <f t="shared" si="35"/>
        <v>1577.5014539884091</v>
      </c>
      <c r="W52" s="130">
        <f t="shared" ref="W52" si="36">W53+W55</f>
        <v>1689.6581964943375</v>
      </c>
      <c r="DA52" s="176" t="s">
        <v>400</v>
      </c>
    </row>
    <row r="53" spans="1:105" ht="11.45" customHeight="1" x14ac:dyDescent="0.25">
      <c r="A53" s="128" t="s">
        <v>27</v>
      </c>
      <c r="B53" s="97">
        <v>465.36429567782005</v>
      </c>
      <c r="C53" s="97">
        <v>536.16245576873962</v>
      </c>
      <c r="D53" s="97">
        <v>612.30404840673305</v>
      </c>
      <c r="E53" s="97">
        <v>729.90307974288794</v>
      </c>
      <c r="F53" s="97">
        <v>793.0729091546383</v>
      </c>
      <c r="G53" s="97">
        <v>926.4763350474268</v>
      </c>
      <c r="H53" s="97">
        <v>897.36464099873433</v>
      </c>
      <c r="I53" s="97">
        <v>885.56209261632091</v>
      </c>
      <c r="J53" s="97">
        <v>844.97565900222207</v>
      </c>
      <c r="K53" s="97">
        <v>702.75850083181365</v>
      </c>
      <c r="L53" s="97">
        <v>688.40238637908737</v>
      </c>
      <c r="M53" s="97">
        <v>675.74856385645012</v>
      </c>
      <c r="N53" s="97">
        <v>640.33602970524373</v>
      </c>
      <c r="O53" s="97">
        <v>652.64303645788186</v>
      </c>
      <c r="P53" s="97">
        <v>704.80536152263267</v>
      </c>
      <c r="Q53" s="97">
        <v>836.29492544052152</v>
      </c>
      <c r="R53" s="97">
        <v>867.38545440534904</v>
      </c>
      <c r="S53" s="97">
        <v>912.10500828212605</v>
      </c>
      <c r="T53" s="97">
        <v>947.48976840926275</v>
      </c>
      <c r="U53" s="97">
        <v>952.79079019161168</v>
      </c>
      <c r="V53" s="97">
        <v>1015.5040135739404</v>
      </c>
      <c r="W53" s="97">
        <v>1109.9197794620727</v>
      </c>
      <c r="DA53" s="175" t="s">
        <v>667</v>
      </c>
    </row>
    <row r="54" spans="1:105" ht="11.45" customHeight="1" x14ac:dyDescent="0.25">
      <c r="A54" s="160" t="s">
        <v>131</v>
      </c>
      <c r="B54" s="97">
        <v>15.670445522687295</v>
      </c>
      <c r="C54" s="97">
        <v>12.219194868371716</v>
      </c>
      <c r="D54" s="97">
        <v>17.945435077689375</v>
      </c>
      <c r="E54" s="97">
        <v>17.429791467344756</v>
      </c>
      <c r="F54" s="97">
        <v>8.9977642234983826</v>
      </c>
      <c r="G54" s="97">
        <v>0.7610001346791051</v>
      </c>
      <c r="H54" s="97">
        <v>4.3546335902207334</v>
      </c>
      <c r="I54" s="97">
        <v>7.2642369853965105</v>
      </c>
      <c r="J54" s="97">
        <v>17.056236465181904</v>
      </c>
      <c r="K54" s="97">
        <v>26.044293896636511</v>
      </c>
      <c r="L54" s="97">
        <v>33.434160104200316</v>
      </c>
      <c r="M54" s="97">
        <v>44.387007570220419</v>
      </c>
      <c r="N54" s="97">
        <v>38.317509379601802</v>
      </c>
      <c r="O54" s="97">
        <v>39.240854822432198</v>
      </c>
      <c r="P54" s="97">
        <v>45.163006718451747</v>
      </c>
      <c r="Q54" s="97">
        <v>47.302975282265372</v>
      </c>
      <c r="R54" s="97">
        <v>49.340034956266834</v>
      </c>
      <c r="S54" s="97">
        <v>50.387151334490014</v>
      </c>
      <c r="T54" s="97">
        <v>50.421263885330774</v>
      </c>
      <c r="U54" s="97">
        <v>54.057936108119129</v>
      </c>
      <c r="V54" s="97">
        <v>69.729761368538561</v>
      </c>
      <c r="W54" s="97">
        <v>65.650830394110926</v>
      </c>
      <c r="DA54" s="175" t="s">
        <v>668</v>
      </c>
    </row>
    <row r="55" spans="1:105" ht="11.45" customHeight="1" x14ac:dyDescent="0.25">
      <c r="A55" s="128" t="s">
        <v>116</v>
      </c>
      <c r="B55" s="97">
        <v>354.81445707717398</v>
      </c>
      <c r="C55" s="97">
        <v>323.08512819243037</v>
      </c>
      <c r="D55" s="97">
        <v>353.07068435251892</v>
      </c>
      <c r="E55" s="97">
        <v>452.58190193393841</v>
      </c>
      <c r="F55" s="97">
        <v>520.2420011004881</v>
      </c>
      <c r="G55" s="97">
        <v>635.98227312613358</v>
      </c>
      <c r="H55" s="97">
        <v>787.93836586411715</v>
      </c>
      <c r="I55" s="97">
        <v>888.60535888198172</v>
      </c>
      <c r="J55" s="97">
        <v>845.01278641979752</v>
      </c>
      <c r="K55" s="97">
        <v>833.60683020748149</v>
      </c>
      <c r="L55" s="97">
        <v>787.89445673418425</v>
      </c>
      <c r="M55" s="97">
        <v>773.62736573943573</v>
      </c>
      <c r="N55" s="97">
        <v>747.43621108701768</v>
      </c>
      <c r="O55" s="97">
        <v>643.53318744730086</v>
      </c>
      <c r="P55" s="97">
        <v>633.07461703151398</v>
      </c>
      <c r="Q55" s="97">
        <v>624.54072260451278</v>
      </c>
      <c r="R55" s="97">
        <v>744.4037241646771</v>
      </c>
      <c r="S55" s="97">
        <v>783.76759137343254</v>
      </c>
      <c r="T55" s="97">
        <v>744.13279958661974</v>
      </c>
      <c r="U55" s="97">
        <v>738.65301509611902</v>
      </c>
      <c r="V55" s="97">
        <v>561.99744041446877</v>
      </c>
      <c r="W55" s="97">
        <v>579.73841703226469</v>
      </c>
      <c r="DA55" s="175" t="s">
        <v>669</v>
      </c>
    </row>
    <row r="56" spans="1:105" ht="11.45" customHeight="1" x14ac:dyDescent="0.25">
      <c r="A56" s="161" t="s">
        <v>131</v>
      </c>
      <c r="B56" s="98">
        <v>11.947845315875028</v>
      </c>
      <c r="C56" s="98">
        <v>7.363141708226892</v>
      </c>
      <c r="D56" s="98">
        <v>10.347811778103241</v>
      </c>
      <c r="E56" s="98">
        <v>10.807473473576188</v>
      </c>
      <c r="F56" s="98">
        <v>5.9023764537018684</v>
      </c>
      <c r="G56" s="98">
        <v>0.52239067226443026</v>
      </c>
      <c r="H56" s="98">
        <v>3.8236216564057335</v>
      </c>
      <c r="I56" s="98">
        <v>7.289200799394135</v>
      </c>
      <c r="J56" s="98">
        <v>17.056985899803799</v>
      </c>
      <c r="K56" s="98">
        <v>30.893544872768587</v>
      </c>
      <c r="L56" s="98">
        <v>38.266266841725297</v>
      </c>
      <c r="M56" s="98">
        <v>50.816243757346228</v>
      </c>
      <c r="N56" s="98">
        <v>44.726351010053591</v>
      </c>
      <c r="O56" s="98">
        <v>38.693115487897003</v>
      </c>
      <c r="P56" s="98">
        <v>40.566594329684911</v>
      </c>
      <c r="Q56" s="98">
        <v>35.325617154220701</v>
      </c>
      <c r="R56" s="98">
        <v>42.344387475393489</v>
      </c>
      <c r="S56" s="98">
        <v>43.297444788710692</v>
      </c>
      <c r="T56" s="98">
        <v>39.599494901859771</v>
      </c>
      <c r="U56" s="98">
        <v>41.908525887519794</v>
      </c>
      <c r="V56" s="98">
        <v>38.589652907341296</v>
      </c>
      <c r="W56" s="98">
        <v>34.29104444645688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10.271149661505317</v>
      </c>
      <c r="C60" s="79">
        <f>IF(C17=0,0,C17/TrRoad_act!C30*100)</f>
        <v>9.9741473619390995</v>
      </c>
      <c r="D60" s="79">
        <f>IF(D17=0,0,D17/TrRoad_act!D30*100)</f>
        <v>9.9066414216629042</v>
      </c>
      <c r="E60" s="79">
        <f>IF(E17=0,0,E17/TrRoad_act!E30*100)</f>
        <v>9.8563251159828518</v>
      </c>
      <c r="F60" s="79">
        <f>IF(F17=0,0,F17/TrRoad_act!F30*100)</f>
        <v>9.8455985813350573</v>
      </c>
      <c r="G60" s="79">
        <f>IF(G17=0,0,G17/TrRoad_act!G30*100)</f>
        <v>10.043480540393052</v>
      </c>
      <c r="H60" s="79">
        <f>IF(H17=0,0,H17/TrRoad_act!H30*100)</f>
        <v>10.228031837056864</v>
      </c>
      <c r="I60" s="79">
        <f>IF(I17=0,0,I17/TrRoad_act!I30*100)</f>
        <v>10.231462942970776</v>
      </c>
      <c r="J60" s="79">
        <f>IF(J17=0,0,J17/TrRoad_act!J30*100)</f>
        <v>10.071870071125733</v>
      </c>
      <c r="K60" s="79">
        <f>IF(K17=0,0,K17/TrRoad_act!K30*100)</f>
        <v>9.8081873739580736</v>
      </c>
      <c r="L60" s="79">
        <f>IF(L17=0,0,L17/TrRoad_act!L30*100)</f>
        <v>9.7747396274325133</v>
      </c>
      <c r="M60" s="79">
        <f>IF(M17=0,0,M17/TrRoad_act!M30*100)</f>
        <v>9.6134730978078338</v>
      </c>
      <c r="N60" s="79">
        <f>IF(N17=0,0,N17/TrRoad_act!N30*100)</f>
        <v>9.4787729273805059</v>
      </c>
      <c r="O60" s="79">
        <f>IF(O17=0,0,O17/TrRoad_act!O30*100)</f>
        <v>9.2551070632418391</v>
      </c>
      <c r="P60" s="79">
        <f>IF(P17=0,0,P17/TrRoad_act!P30*100)</f>
        <v>9.236926089494446</v>
      </c>
      <c r="Q60" s="79">
        <f>IF(Q17=0,0,Q17/TrRoad_act!Q30*100)</f>
        <v>9.1785223007434258</v>
      </c>
      <c r="R60" s="79">
        <f>IF(R17=0,0,R17/TrRoad_act!R30*100)</f>
        <v>9.1975407001252645</v>
      </c>
      <c r="S60" s="79">
        <f>IF(S17=0,0,S17/TrRoad_act!S30*100)</f>
        <v>9.1837005652058341</v>
      </c>
      <c r="T60" s="79">
        <f>IF(T17=0,0,T17/TrRoad_act!T30*100)</f>
        <v>9.0280340248466686</v>
      </c>
      <c r="U60" s="79">
        <f>IF(U17=0,0,U17/TrRoad_act!U30*100)</f>
        <v>8.8616123783797658</v>
      </c>
      <c r="V60" s="79">
        <f>IF(V17=0,0,V17/TrRoad_act!V30*100)</f>
        <v>8.5416528395376865</v>
      </c>
      <c r="W60" s="79">
        <f>IF(W17=0,0,W17/TrRoad_act!W30*100)</f>
        <v>8.3810315382890828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8.4883583006235614</v>
      </c>
      <c r="C61" s="32">
        <f>IF(C18=0,0,C18/TrRoad_act!C31*100)</f>
        <v>8.3031223766969333</v>
      </c>
      <c r="D61" s="32">
        <f>IF(D18=0,0,D18/TrRoad_act!D31*100)</f>
        <v>8.1164859207047293</v>
      </c>
      <c r="E61" s="32">
        <f>IF(E18=0,0,E18/TrRoad_act!E31*100)</f>
        <v>7.8740426826927639</v>
      </c>
      <c r="F61" s="32">
        <f>IF(F18=0,0,F18/TrRoad_act!F31*100)</f>
        <v>7.7267610340623332</v>
      </c>
      <c r="G61" s="32">
        <f>IF(G18=0,0,G18/TrRoad_act!G31*100)</f>
        <v>7.610484800673424</v>
      </c>
      <c r="H61" s="32">
        <f>IF(H18=0,0,H18/TrRoad_act!H31*100)</f>
        <v>7.6008278470386603</v>
      </c>
      <c r="I61" s="32">
        <f>IF(I18=0,0,I18/TrRoad_act!I31*100)</f>
        <v>7.5559141611638845</v>
      </c>
      <c r="J61" s="32">
        <f>IF(J18=0,0,J18/TrRoad_act!J31*100)</f>
        <v>7.5248243019109191</v>
      </c>
      <c r="K61" s="32">
        <f>IF(K18=0,0,K18/TrRoad_act!K31*100)</f>
        <v>7.4780069398748319</v>
      </c>
      <c r="L61" s="32">
        <f>IF(L18=0,0,L18/TrRoad_act!L31*100)</f>
        <v>7.4194202606293018</v>
      </c>
      <c r="M61" s="32">
        <f>IF(M18=0,0,M18/TrRoad_act!M31*100)</f>
        <v>7.3347123351293622</v>
      </c>
      <c r="N61" s="32">
        <f>IF(N18=0,0,N18/TrRoad_act!N31*100)</f>
        <v>7.2694818509881216</v>
      </c>
      <c r="O61" s="32">
        <f>IF(O18=0,0,O18/TrRoad_act!O31*100)</f>
        <v>7.2499360825554593</v>
      </c>
      <c r="P61" s="32">
        <f>IF(P18=0,0,P18/TrRoad_act!P31*100)</f>
        <v>7.2315682099684198</v>
      </c>
      <c r="Q61" s="32">
        <f>IF(Q18=0,0,Q18/TrRoad_act!Q31*100)</f>
        <v>7.0874254158411505</v>
      </c>
      <c r="R61" s="32">
        <f>IF(R18=0,0,R18/TrRoad_act!R31*100)</f>
        <v>6.9860552761052794</v>
      </c>
      <c r="S61" s="32">
        <f>IF(S18=0,0,S18/TrRoad_act!S31*100)</f>
        <v>6.9147313135404076</v>
      </c>
      <c r="T61" s="32">
        <f>IF(T18=0,0,T18/TrRoad_act!T31*100)</f>
        <v>6.8106735655885835</v>
      </c>
      <c r="U61" s="32">
        <f>IF(U18=0,0,U18/TrRoad_act!U31*100)</f>
        <v>6.7145305636682364</v>
      </c>
      <c r="V61" s="32">
        <f>IF(V18=0,0,V18/TrRoad_act!V31*100)</f>
        <v>6.5236124997681539</v>
      </c>
      <c r="W61" s="32">
        <f>IF(W18=0,0,W18/TrRoad_act!W31*100)</f>
        <v>6.4052890388903325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4.1333003318856276</v>
      </c>
      <c r="C62" s="141">
        <f>IF(C19=0,0,C19/TrRoad_act!C32*100)</f>
        <v>4.1169790655807583</v>
      </c>
      <c r="D62" s="141">
        <f>IF(D19=0,0,D19/TrRoad_act!D32*100)</f>
        <v>4.102870925238542</v>
      </c>
      <c r="E62" s="141">
        <f>IF(E19=0,0,E19/TrRoad_act!E32*100)</f>
        <v>4.0993721157181939</v>
      </c>
      <c r="F62" s="141">
        <f>IF(F19=0,0,F19/TrRoad_act!F32*100)</f>
        <v>4.0875033586168001</v>
      </c>
      <c r="G62" s="141">
        <f>IF(G19=0,0,G19/TrRoad_act!G32*100)</f>
        <v>4.0600514529151388</v>
      </c>
      <c r="H62" s="141">
        <f>IF(H19=0,0,H19/TrRoad_act!H32*100)</f>
        <v>4.0407074491790436</v>
      </c>
      <c r="I62" s="141">
        <f>IF(I19=0,0,I19/TrRoad_act!I32*100)</f>
        <v>4.0203586631712467</v>
      </c>
      <c r="J62" s="141">
        <f>IF(J19=0,0,J19/TrRoad_act!J32*100)</f>
        <v>4.003512536355684</v>
      </c>
      <c r="K62" s="141">
        <f>IF(K19=0,0,K19/TrRoad_act!K32*100)</f>
        <v>3.9910298758280631</v>
      </c>
      <c r="L62" s="141">
        <f>IF(L19=0,0,L19/TrRoad_act!L32*100)</f>
        <v>3.9666520307720701</v>
      </c>
      <c r="M62" s="141">
        <f>IF(M19=0,0,M19/TrRoad_act!M32*100)</f>
        <v>3.9425948800708133</v>
      </c>
      <c r="N62" s="141">
        <f>IF(N19=0,0,N19/TrRoad_act!N32*100)</f>
        <v>3.9119428552258797</v>
      </c>
      <c r="O62" s="141">
        <f>IF(O19=0,0,O19/TrRoad_act!O32*100)</f>
        <v>3.8972040218098671</v>
      </c>
      <c r="P62" s="141">
        <f>IF(P19=0,0,P19/TrRoad_act!P32*100)</f>
        <v>3.8707821465838865</v>
      </c>
      <c r="Q62" s="141">
        <f>IF(Q19=0,0,Q19/TrRoad_act!Q32*100)</f>
        <v>3.8259180486146591</v>
      </c>
      <c r="R62" s="141">
        <f>IF(R19=0,0,R19/TrRoad_act!R32*100)</f>
        <v>3.7947181149421541</v>
      </c>
      <c r="S62" s="141">
        <f>IF(S19=0,0,S19/TrRoad_act!S32*100)</f>
        <v>3.7645997146167107</v>
      </c>
      <c r="T62" s="141">
        <f>IF(T19=0,0,T19/TrRoad_act!T32*100)</f>
        <v>3.734992467445398</v>
      </c>
      <c r="U62" s="141">
        <f>IF(U19=0,0,U19/TrRoad_act!U32*100)</f>
        <v>3.7073343980107474</v>
      </c>
      <c r="V62" s="141">
        <f>IF(V19=0,0,V19/TrRoad_act!V32*100)</f>
        <v>3.6824076374668571</v>
      </c>
      <c r="W62" s="141">
        <f>IF(W19=0,0,W19/TrRoad_act!W32*100)</f>
        <v>3.5147224525638321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7.6702863054546127</v>
      </c>
      <c r="C63" s="130">
        <f>IF(C21=0,0,C21/TrRoad_act!C33*100)</f>
        <v>7.4422272848487845</v>
      </c>
      <c r="D63" s="130">
        <f>IF(D21=0,0,D21/TrRoad_act!D33*100)</f>
        <v>7.3406337665196313</v>
      </c>
      <c r="E63" s="130">
        <f>IF(E21=0,0,E21/TrRoad_act!E33*100)</f>
        <v>7.2528555331257962</v>
      </c>
      <c r="F63" s="130">
        <f>IF(F21=0,0,F21/TrRoad_act!F33*100)</f>
        <v>7.1771197377428875</v>
      </c>
      <c r="G63" s="130">
        <f>IF(G21=0,0,G21/TrRoad_act!G33*100)</f>
        <v>7.0946110160150013</v>
      </c>
      <c r="H63" s="130">
        <f>IF(H21=0,0,H21/TrRoad_act!H33*100)</f>
        <v>7.0690099601568388</v>
      </c>
      <c r="I63" s="130">
        <f>IF(I21=0,0,I21/TrRoad_act!I33*100)</f>
        <v>7.0529406885110184</v>
      </c>
      <c r="J63" s="130">
        <f>IF(J21=0,0,J21/TrRoad_act!J33*100)</f>
        <v>7.0248004107493767</v>
      </c>
      <c r="K63" s="130">
        <f>IF(K21=0,0,K21/TrRoad_act!K33*100)</f>
        <v>6.9827532888637602</v>
      </c>
      <c r="L63" s="130">
        <f>IF(L21=0,0,L21/TrRoad_act!L33*100)</f>
        <v>6.8626684318165863</v>
      </c>
      <c r="M63" s="130">
        <f>IF(M21=0,0,M21/TrRoad_act!M33*100)</f>
        <v>6.817940652307823</v>
      </c>
      <c r="N63" s="130">
        <f>IF(N21=0,0,N21/TrRoad_act!N33*100)</f>
        <v>6.7666596293768464</v>
      </c>
      <c r="O63" s="130">
        <f>IF(O21=0,0,O21/TrRoad_act!O33*100)</f>
        <v>6.7225747404200895</v>
      </c>
      <c r="P63" s="130">
        <f>IF(P21=0,0,P21/TrRoad_act!P33*100)</f>
        <v>6.6555991744262837</v>
      </c>
      <c r="Q63" s="130">
        <f>IF(Q21=0,0,Q21/TrRoad_act!Q33*100)</f>
        <v>6.5448276266494911</v>
      </c>
      <c r="R63" s="130">
        <f>IF(R21=0,0,R21/TrRoad_act!R33*100)</f>
        <v>6.4371911053378694</v>
      </c>
      <c r="S63" s="130">
        <f>IF(S21=0,0,S21/TrRoad_act!S33*100)</f>
        <v>6.3463817048468947</v>
      </c>
      <c r="T63" s="130">
        <f>IF(T21=0,0,T21/TrRoad_act!T33*100)</f>
        <v>6.2571169976366106</v>
      </c>
      <c r="U63" s="130">
        <f>IF(U21=0,0,U21/TrRoad_act!U33*100)</f>
        <v>6.1764763000761311</v>
      </c>
      <c r="V63" s="130">
        <f>IF(V21=0,0,V21/TrRoad_act!V33*100)</f>
        <v>6.1102545851346175</v>
      </c>
      <c r="W63" s="130">
        <f>IF(W21=0,0,W21/TrRoad_act!W33*100)</f>
        <v>6.0186394670678913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7.7324601127980754</v>
      </c>
      <c r="C64" s="96">
        <f>IF(C22=0,0,C22/TrRoad_act!C34*100)</f>
        <v>7.6335772460953955</v>
      </c>
      <c r="D64" s="96">
        <f>IF(D22=0,0,D22/TrRoad_act!D34*100)</f>
        <v>7.5736043737116026</v>
      </c>
      <c r="E64" s="96">
        <f>IF(E22=0,0,E22/TrRoad_act!E34*100)</f>
        <v>7.5292791171264293</v>
      </c>
      <c r="F64" s="96">
        <f>IF(F22=0,0,F22/TrRoad_act!F34*100)</f>
        <v>7.4744300604606781</v>
      </c>
      <c r="G64" s="96">
        <f>IF(G22=0,0,G22/TrRoad_act!G34*100)</f>
        <v>7.4195373267111373</v>
      </c>
      <c r="H64" s="96">
        <f>IF(H22=0,0,H22/TrRoad_act!H34*100)</f>
        <v>7.3689333946522373</v>
      </c>
      <c r="I64" s="96">
        <f>IF(I22=0,0,I22/TrRoad_act!I34*100)</f>
        <v>7.3180781096201368</v>
      </c>
      <c r="J64" s="96">
        <f>IF(J22=0,0,J22/TrRoad_act!J34*100)</f>
        <v>7.2646732801049279</v>
      </c>
      <c r="K64" s="96">
        <f>IF(K22=0,0,K22/TrRoad_act!K34*100)</f>
        <v>7.2044784620379438</v>
      </c>
      <c r="L64" s="96">
        <f>IF(L22=0,0,L22/TrRoad_act!L34*100)</f>
        <v>7.0564532100543182</v>
      </c>
      <c r="M64" s="96">
        <f>IF(M22=0,0,M22/TrRoad_act!M34*100)</f>
        <v>6.9982163378657996</v>
      </c>
      <c r="N64" s="96">
        <f>IF(N22=0,0,N22/TrRoad_act!N34*100)</f>
        <v>6.9261481258317659</v>
      </c>
      <c r="O64" s="96">
        <f>IF(O22=0,0,O22/TrRoad_act!O34*100)</f>
        <v>6.8618527935641298</v>
      </c>
      <c r="P64" s="96">
        <f>IF(P22=0,0,P22/TrRoad_act!P34*100)</f>
        <v>6.7681186972655727</v>
      </c>
      <c r="Q64" s="96">
        <f>IF(Q22=0,0,Q22/TrRoad_act!Q34*100)</f>
        <v>6.6148264473656386</v>
      </c>
      <c r="R64" s="96">
        <f>IF(R22=0,0,R22/TrRoad_act!R34*100)</f>
        <v>6.4897330760236596</v>
      </c>
      <c r="S64" s="96">
        <f>IF(S22=0,0,S22/TrRoad_act!S34*100)</f>
        <v>6.3595306595351593</v>
      </c>
      <c r="T64" s="96">
        <f>IF(T22=0,0,T22/TrRoad_act!T34*100)</f>
        <v>6.2275845411307245</v>
      </c>
      <c r="U64" s="96">
        <f>IF(U22=0,0,U22/TrRoad_act!U34*100)</f>
        <v>6.1208801778234792</v>
      </c>
      <c r="V64" s="96">
        <f>IF(V22=0,0,V22/TrRoad_act!V34*100)</f>
        <v>6.053660472260729</v>
      </c>
      <c r="W64" s="96">
        <f>IF(W22=0,0,W22/TrRoad_act!W34*100)</f>
        <v>5.9592923820916823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7.3598408246853806</v>
      </c>
      <c r="C65" s="96">
        <f>IF(C24=0,0,C24/TrRoad_act!C35*100)</f>
        <v>6.8598554779190284</v>
      </c>
      <c r="D65" s="96">
        <f>IF(D24=0,0,D24/TrRoad_act!D35*100)</f>
        <v>6.7233771650257239</v>
      </c>
      <c r="E65" s="96">
        <f>IF(E24=0,0,E24/TrRoad_act!E35*100)</f>
        <v>6.6593480282292044</v>
      </c>
      <c r="F65" s="96">
        <f>IF(F24=0,0,F24/TrRoad_act!F35*100)</f>
        <v>6.592448463200733</v>
      </c>
      <c r="G65" s="96">
        <f>IF(G24=0,0,G24/TrRoad_act!G35*100)</f>
        <v>6.5426391345617398</v>
      </c>
      <c r="H65" s="96">
        <f>IF(H24=0,0,H24/TrRoad_act!H35*100)</f>
        <v>6.5803068055655434</v>
      </c>
      <c r="I65" s="96">
        <f>IF(I24=0,0,I24/TrRoad_act!I35*100)</f>
        <v>6.6180426548062554</v>
      </c>
      <c r="J65" s="96">
        <f>IF(J24=0,0,J24/TrRoad_act!J35*100)</f>
        <v>6.6527087771062714</v>
      </c>
      <c r="K65" s="96">
        <f>IF(K24=0,0,K24/TrRoad_act!K35*100)</f>
        <v>6.658197440558439</v>
      </c>
      <c r="L65" s="96">
        <f>IF(L24=0,0,L24/TrRoad_act!L35*100)</f>
        <v>6.5750230489449226</v>
      </c>
      <c r="M65" s="96">
        <f>IF(M24=0,0,M24/TrRoad_act!M35*100)</f>
        <v>6.5722398088644649</v>
      </c>
      <c r="N65" s="96">
        <f>IF(N24=0,0,N24/TrRoad_act!N35*100)</f>
        <v>6.5612107756528246</v>
      </c>
      <c r="O65" s="96">
        <f>IF(O24=0,0,O24/TrRoad_act!O35*100)</f>
        <v>6.5550196123299571</v>
      </c>
      <c r="P65" s="96">
        <f>IF(P24=0,0,P24/TrRoad_act!P35*100)</f>
        <v>6.5114883503239298</v>
      </c>
      <c r="Q65" s="96">
        <f>IF(Q24=0,0,Q24/TrRoad_act!Q35*100)</f>
        <v>6.4339184154401208</v>
      </c>
      <c r="R65" s="96">
        <f>IF(R24=0,0,R24/TrRoad_act!R35*100)</f>
        <v>6.3475535695416809</v>
      </c>
      <c r="S65" s="96">
        <f>IF(S24=0,0,S24/TrRoad_act!S35*100)</f>
        <v>6.2783396170782062</v>
      </c>
      <c r="T65" s="96">
        <f>IF(T24=0,0,T24/TrRoad_act!T35*100)</f>
        <v>6.225029149774822</v>
      </c>
      <c r="U65" s="96">
        <f>IF(U24=0,0,U24/TrRoad_act!U35*100)</f>
        <v>6.1680224513268076</v>
      </c>
      <c r="V65" s="96">
        <f>IF(V24=0,0,V24/TrRoad_act!V35*100)</f>
        <v>6.1178865403286276</v>
      </c>
      <c r="W65" s="96">
        <f>IF(W24=0,0,W24/TrRoad_act!W35*100)</f>
        <v>6.0291498253518956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8.9677980333724836</v>
      </c>
      <c r="C66" s="96">
        <f>IF(C26=0,0,C26/TrRoad_act!C36*100)</f>
        <v>8.5158893003504037</v>
      </c>
      <c r="D66" s="96">
        <f>IF(D26=0,0,D26/TrRoad_act!D36*100)</f>
        <v>8.4418586861560634</v>
      </c>
      <c r="E66" s="96">
        <f>IF(E26=0,0,E26/TrRoad_act!E36*100)</f>
        <v>7.6552490188565319</v>
      </c>
      <c r="F66" s="96">
        <f>IF(F26=0,0,F26/TrRoad_act!F36*100)</f>
        <v>7.6399158590100713</v>
      </c>
      <c r="G66" s="96">
        <f>IF(G26=0,0,G26/TrRoad_act!G36*100)</f>
        <v>7.5991200353696691</v>
      </c>
      <c r="H66" s="96">
        <f>IF(H26=0,0,H26/TrRoad_act!H36*100)</f>
        <v>7.5989070402598946</v>
      </c>
      <c r="I66" s="96">
        <f>IF(I26=0,0,I26/TrRoad_act!I36*100)</f>
        <v>7.559088928733547</v>
      </c>
      <c r="J66" s="96">
        <f>IF(J26=0,0,J26/TrRoad_act!J36*100)</f>
        <v>7.5645577976376872</v>
      </c>
      <c r="K66" s="96">
        <f>IF(K26=0,0,K26/TrRoad_act!K36*100)</f>
        <v>7.5555727800955816</v>
      </c>
      <c r="L66" s="96">
        <f>IF(L26=0,0,L26/TrRoad_act!L36*100)</f>
        <v>7.5567035163556646</v>
      </c>
      <c r="M66" s="96">
        <f>IF(M26=0,0,M26/TrRoad_act!M36*100)</f>
        <v>7.5823965206425967</v>
      </c>
      <c r="N66" s="96">
        <f>IF(N26=0,0,N26/TrRoad_act!N36*100)</f>
        <v>7.6240398436993759</v>
      </c>
      <c r="O66" s="96">
        <f>IF(O26=0,0,O26/TrRoad_act!O36*100)</f>
        <v>7.6507518603871576</v>
      </c>
      <c r="P66" s="96">
        <f>IF(P26=0,0,P26/TrRoad_act!P36*100)</f>
        <v>7.6642910648266351</v>
      </c>
      <c r="Q66" s="96">
        <f>IF(Q26=0,0,Q26/TrRoad_act!Q36*100)</f>
        <v>7.7528581869798945</v>
      </c>
      <c r="R66" s="96">
        <f>IF(R26=0,0,R26/TrRoad_act!R36*100)</f>
        <v>7.7461719974031329</v>
      </c>
      <c r="S66" s="96">
        <f>IF(S26=0,0,S26/TrRoad_act!S36*100)</f>
        <v>8.2331557960829258</v>
      </c>
      <c r="T66" s="96">
        <f>IF(T26=0,0,T26/TrRoad_act!T36*100)</f>
        <v>8.2991951272701883</v>
      </c>
      <c r="U66" s="96">
        <f>IF(U26=0,0,U26/TrRoad_act!U36*100)</f>
        <v>8.2932627453204173</v>
      </c>
      <c r="V66" s="96">
        <f>IF(V26=0,0,V26/TrRoad_act!V36*100)</f>
        <v>7.9834919776536726</v>
      </c>
      <c r="W66" s="96">
        <f>IF(W26=0,0,W26/TrRoad_act!W36*100)</f>
        <v>8.1022348053958257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7.8081407674169183</v>
      </c>
      <c r="K67" s="96">
        <f>IF(K27=0,0,K27/TrRoad_act!K37*100)</f>
        <v>7.9070616721112703</v>
      </c>
      <c r="L67" s="96">
        <f>IF(L27=0,0,L27/TrRoad_act!L37*100)</f>
        <v>7.6955614123126406</v>
      </c>
      <c r="M67" s="96">
        <f>IF(M27=0,0,M27/TrRoad_act!M37*100)</f>
        <v>7.727015445174235</v>
      </c>
      <c r="N67" s="96">
        <f>IF(N27=0,0,N27/TrRoad_act!N37*100)</f>
        <v>7.4348824308253221</v>
      </c>
      <c r="O67" s="96">
        <f>IF(O27=0,0,O27/TrRoad_act!O37*100)</f>
        <v>6.9238600023594676</v>
      </c>
      <c r="P67" s="96">
        <f>IF(P27=0,0,P27/TrRoad_act!P37*100)</f>
        <v>6.4909937324917317</v>
      </c>
      <c r="Q67" s="96">
        <f>IF(Q27=0,0,Q27/TrRoad_act!Q37*100)</f>
        <v>6.0380981973790417</v>
      </c>
      <c r="R67" s="96">
        <f>IF(R27=0,0,R27/TrRoad_act!R37*100)</f>
        <v>5.789684834189833</v>
      </c>
      <c r="S67" s="96">
        <f>IF(S27=0,0,S27/TrRoad_act!S37*100)</f>
        <v>5.7165795579795216</v>
      </c>
      <c r="T67" s="96">
        <f>IF(T27=0,0,T27/TrRoad_act!T37*100)</f>
        <v>5.7259378496269608</v>
      </c>
      <c r="U67" s="96">
        <f>IF(U27=0,0,U27/TrRoad_act!U37*100)</f>
        <v>5.6949352917880631</v>
      </c>
      <c r="V67" s="96">
        <f>IF(V27=0,0,V27/TrRoad_act!V37*100)</f>
        <v>5.6367692020566356</v>
      </c>
      <c r="W67" s="96">
        <f>IF(W27=0,0,W27/TrRoad_act!W37*100)</f>
        <v>5.5559334960081905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2.590168621214938</v>
      </c>
      <c r="O68" s="96">
        <f>IF(O29=0,0,O29/TrRoad_act!O38*100)</f>
        <v>2.699270780093689</v>
      </c>
      <c r="P68" s="96">
        <f>IF(P29=0,0,P29/TrRoad_act!P38*100)</f>
        <v>2.2895718926620185</v>
      </c>
      <c r="Q68" s="96">
        <f>IF(Q29=0,0,Q29/TrRoad_act!Q38*100)</f>
        <v>3.3135371709145809</v>
      </c>
      <c r="R68" s="96">
        <f>IF(R29=0,0,R29/TrRoad_act!R38*100)</f>
        <v>2.9344954820268772</v>
      </c>
      <c r="S68" s="96">
        <f>IF(S29=0,0,S29/TrRoad_act!S38*100)</f>
        <v>3.1824052837898837</v>
      </c>
      <c r="T68" s="96">
        <f>IF(T29=0,0,T29/TrRoad_act!T38*100)</f>
        <v>3.1547867674049579</v>
      </c>
      <c r="U68" s="96">
        <f>IF(U29=0,0,U29/TrRoad_act!U38*100)</f>
        <v>3.1584446703458622</v>
      </c>
      <c r="V68" s="96">
        <f>IF(V29=0,0,V29/TrRoad_act!V38*100)</f>
        <v>3.0850087692857775</v>
      </c>
      <c r="W68" s="96">
        <f>IF(W29=0,0,W29/TrRoad_act!W38*100)</f>
        <v>2.897881814200475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1.1755449765471655</v>
      </c>
      <c r="M69" s="96">
        <f>IF(M32=0,0,M32/TrRoad_act!M39*100)</f>
        <v>1.1804051808933986</v>
      </c>
      <c r="N69" s="96">
        <f>IF(N32=0,0,N32/TrRoad_act!N39*100)</f>
        <v>1.1617083805854094</v>
      </c>
      <c r="O69" s="96">
        <f>IF(O32=0,0,O32/TrRoad_act!O39*100)</f>
        <v>1.1507659738501834</v>
      </c>
      <c r="P69" s="96">
        <f>IF(P32=0,0,P32/TrRoad_act!P39*100)</f>
        <v>1.1476359995432683</v>
      </c>
      <c r="Q69" s="96">
        <f>IF(Q32=0,0,Q32/TrRoad_act!Q39*100)</f>
        <v>1.1746987764340184</v>
      </c>
      <c r="R69" s="96">
        <f>IF(R32=0,0,R32/TrRoad_act!R39*100)</f>
        <v>1.3021938202304224</v>
      </c>
      <c r="S69" s="96">
        <f>IF(S32=0,0,S32/TrRoad_act!S39*100)</f>
        <v>1.2875321132853248</v>
      </c>
      <c r="T69" s="96">
        <f>IF(T32=0,0,T32/TrRoad_act!T39*100)</f>
        <v>1.3060323785811474</v>
      </c>
      <c r="U69" s="96">
        <f>IF(U32=0,0,U32/TrRoad_act!U39*100)</f>
        <v>1.3855050835050315</v>
      </c>
      <c r="V69" s="96">
        <f>IF(V32=0,0,V32/TrRoad_act!V39*100)</f>
        <v>1.421569126015447</v>
      </c>
      <c r="W69" s="96">
        <f>IF(W32=0,0,W32/TrRoad_act!W39*100)</f>
        <v>1.4999310764405478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52.537643649693322</v>
      </c>
      <c r="C70" s="130">
        <f>IF(C33=0,0,C33/TrRoad_act!C40*100)</f>
        <v>51.981725968833047</v>
      </c>
      <c r="D70" s="130">
        <f>IF(D33=0,0,D33/TrRoad_act!D40*100)</f>
        <v>51.571442339353503</v>
      </c>
      <c r="E70" s="130">
        <f>IF(E33=0,0,E33/TrRoad_act!E40*100)</f>
        <v>51.288577455132675</v>
      </c>
      <c r="F70" s="130">
        <f>IF(F33=0,0,F33/TrRoad_act!F40*100)</f>
        <v>51.147635678851643</v>
      </c>
      <c r="G70" s="130">
        <f>IF(G33=0,0,G33/TrRoad_act!G40*100)</f>
        <v>50.885736036161923</v>
      </c>
      <c r="H70" s="130">
        <f>IF(H33=0,0,H33/TrRoad_act!H40*100)</f>
        <v>51.429519581246161</v>
      </c>
      <c r="I70" s="130">
        <f>IF(I33=0,0,I33/TrRoad_act!I40*100)</f>
        <v>50.834621510538412</v>
      </c>
      <c r="J70" s="130">
        <f>IF(J33=0,0,J33/TrRoad_act!J40*100)</f>
        <v>50.861648322917638</v>
      </c>
      <c r="K70" s="130">
        <f>IF(K33=0,0,K33/TrRoad_act!K40*100)</f>
        <v>51.019473598400879</v>
      </c>
      <c r="L70" s="130">
        <f>IF(L33=0,0,L33/TrRoad_act!L40*100)</f>
        <v>51.307428013816271</v>
      </c>
      <c r="M70" s="130">
        <f>IF(M33=0,0,M33/TrRoad_act!M40*100)</f>
        <v>51.455171925709706</v>
      </c>
      <c r="N70" s="130">
        <f>IF(N33=0,0,N33/TrRoad_act!N40*100)</f>
        <v>51.77579055226559</v>
      </c>
      <c r="O70" s="130">
        <f>IF(O33=0,0,O33/TrRoad_act!O40*100)</f>
        <v>52.117294613990737</v>
      </c>
      <c r="P70" s="130">
        <f>IF(P33=0,0,P33/TrRoad_act!P40*100)</f>
        <v>53.964706235830448</v>
      </c>
      <c r="Q70" s="130">
        <f>IF(Q33=0,0,Q33/TrRoad_act!Q40*100)</f>
        <v>54.765986327080029</v>
      </c>
      <c r="R70" s="130">
        <f>IF(R33=0,0,R33/TrRoad_act!R40*100)</f>
        <v>54.893157462430608</v>
      </c>
      <c r="S70" s="130">
        <f>IF(S33=0,0,S33/TrRoad_act!S40*100)</f>
        <v>54.443047375546861</v>
      </c>
      <c r="T70" s="130">
        <f>IF(T33=0,0,T33/TrRoad_act!T40*100)</f>
        <v>54.513576811797968</v>
      </c>
      <c r="U70" s="130">
        <f>IF(U33=0,0,U33/TrRoad_act!U40*100)</f>
        <v>55.463615177222572</v>
      </c>
      <c r="V70" s="130">
        <f>IF(V33=0,0,V33/TrRoad_act!V40*100)</f>
        <v>57.695270161439758</v>
      </c>
      <c r="W70" s="130">
        <f>IF(W33=0,0,W33/TrRoad_act!W40*100)</f>
        <v>62.038070221955088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20.440692882953904</v>
      </c>
      <c r="C71" s="97">
        <f>IF(C34=0,0,C34/TrRoad_act!C41*100)</f>
        <v>20.440692882953908</v>
      </c>
      <c r="D71" s="97">
        <f>IF(D34=0,0,D34/TrRoad_act!D41*100)</f>
        <v>20.440692882953908</v>
      </c>
      <c r="E71" s="97">
        <f>IF(E34=0,0,E34/TrRoad_act!E41*100)</f>
        <v>20.440692882953897</v>
      </c>
      <c r="F71" s="97">
        <f>IF(F34=0,0,F34/TrRoad_act!F41*100)</f>
        <v>20.440692882953908</v>
      </c>
      <c r="G71" s="97">
        <f>IF(G34=0,0,G34/TrRoad_act!G41*100)</f>
        <v>20.440692882953901</v>
      </c>
      <c r="H71" s="97">
        <f>IF(H34=0,0,H34/TrRoad_act!H41*100)</f>
        <v>20.440692882953908</v>
      </c>
      <c r="I71" s="97">
        <f>IF(I34=0,0,I34/TrRoad_act!I41*100)</f>
        <v>20.440692882953904</v>
      </c>
      <c r="J71" s="97">
        <f>IF(J34=0,0,J34/TrRoad_act!J41*100)</f>
        <v>20.440692882953908</v>
      </c>
      <c r="K71" s="97">
        <f>IF(K34=0,0,K34/TrRoad_act!K41*100)</f>
        <v>20.440692882953908</v>
      </c>
      <c r="L71" s="97">
        <f>IF(L34=0,0,L34/TrRoad_act!L41*100)</f>
        <v>20.440692882953904</v>
      </c>
      <c r="M71" s="97">
        <f>IF(M34=0,0,M34/TrRoad_act!M41*100)</f>
        <v>20.440692882953908</v>
      </c>
      <c r="N71" s="97">
        <f>IF(N34=0,0,N34/TrRoad_act!N41*100)</f>
        <v>20.440692882953908</v>
      </c>
      <c r="O71" s="97">
        <f>IF(O34=0,0,O34/TrRoad_act!O41*100)</f>
        <v>20.440692882953901</v>
      </c>
      <c r="P71" s="97">
        <f>IF(P34=0,0,P34/TrRoad_act!P41*100)</f>
        <v>20.440692882953908</v>
      </c>
      <c r="Q71" s="97">
        <f>IF(Q34=0,0,Q34/TrRoad_act!Q41*100)</f>
        <v>20.440692882953904</v>
      </c>
      <c r="R71" s="97">
        <f>IF(R34=0,0,R34/TrRoad_act!R41*100)</f>
        <v>20.440692882953908</v>
      </c>
      <c r="S71" s="97">
        <f>IF(S34=0,0,S34/TrRoad_act!S41*100)</f>
        <v>20.440692882953908</v>
      </c>
      <c r="T71" s="97">
        <f>IF(T34=0,0,T34/TrRoad_act!T41*100)</f>
        <v>20.440692882953901</v>
      </c>
      <c r="U71" s="97">
        <f>IF(U34=0,0,U34/TrRoad_act!U41*100)</f>
        <v>20.440692882953908</v>
      </c>
      <c r="V71" s="97">
        <f>IF(V34=0,0,V34/TrRoad_act!V41*100)</f>
        <v>20.440692882953901</v>
      </c>
      <c r="W71" s="97">
        <f>IF(W34=0,0,W34/TrRoad_act!W41*100)</f>
        <v>20.440692882953901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56.050540655254878</v>
      </c>
      <c r="C72" s="97">
        <f>IF(C36=0,0,C36/TrRoad_act!C42*100)</f>
        <v>55.064284453141433</v>
      </c>
      <c r="D72" s="97">
        <f>IF(D36=0,0,D36/TrRoad_act!D42*100)</f>
        <v>54.869934485699588</v>
      </c>
      <c r="E72" s="97">
        <f>IF(E36=0,0,E36/TrRoad_act!E42*100)</f>
        <v>54.479327310425361</v>
      </c>
      <c r="F72" s="97">
        <f>IF(F36=0,0,F36/TrRoad_act!F42*100)</f>
        <v>54.01687098206812</v>
      </c>
      <c r="G72" s="97">
        <f>IF(G36=0,0,G36/TrRoad_act!G42*100)</f>
        <v>53.802980490451844</v>
      </c>
      <c r="H72" s="97">
        <f>IF(H36=0,0,H36/TrRoad_act!H42*100)</f>
        <v>53.64640729407256</v>
      </c>
      <c r="I72" s="97">
        <f>IF(I36=0,0,I36/TrRoad_act!I42*100)</f>
        <v>53.533537336505901</v>
      </c>
      <c r="J72" s="97">
        <f>IF(J36=0,0,J36/TrRoad_act!J42*100)</f>
        <v>53.449870452400297</v>
      </c>
      <c r="K72" s="97">
        <f>IF(K36=0,0,K36/TrRoad_act!K42*100)</f>
        <v>53.357137095955544</v>
      </c>
      <c r="L72" s="97">
        <f>IF(L36=0,0,L36/TrRoad_act!L42*100)</f>
        <v>53.354078329448704</v>
      </c>
      <c r="M72" s="97">
        <f>IF(M36=0,0,M36/TrRoad_act!M42*100)</f>
        <v>53.339128239636359</v>
      </c>
      <c r="N72" s="97">
        <f>IF(N36=0,0,N36/TrRoad_act!N42*100)</f>
        <v>53.394931709629113</v>
      </c>
      <c r="O72" s="97">
        <f>IF(O36=0,0,O36/TrRoad_act!O42*100)</f>
        <v>53.483468246854706</v>
      </c>
      <c r="P72" s="97">
        <f>IF(P36=0,0,P36/TrRoad_act!P42*100)</f>
        <v>53.646345767406757</v>
      </c>
      <c r="Q72" s="97">
        <f>IF(Q36=0,0,Q36/TrRoad_act!Q42*100)</f>
        <v>53.771242500955672</v>
      </c>
      <c r="R72" s="97">
        <f>IF(R36=0,0,R36/TrRoad_act!R42*100)</f>
        <v>53.998292144832696</v>
      </c>
      <c r="S72" s="97">
        <f>IF(S36=0,0,S36/TrRoad_act!S42*100)</f>
        <v>54.152458143526907</v>
      </c>
      <c r="T72" s="97">
        <f>IF(T36=0,0,T36/TrRoad_act!T42*100)</f>
        <v>54.303988021444816</v>
      </c>
      <c r="U72" s="97">
        <f>IF(U36=0,0,U36/TrRoad_act!U42*100)</f>
        <v>54.623084667848197</v>
      </c>
      <c r="V72" s="97">
        <f>IF(V36=0,0,V36/TrRoad_act!V42*100)</f>
        <v>55.243558572571963</v>
      </c>
      <c r="W72" s="97">
        <f>IF(W36=0,0,W36/TrRoad_act!W42*100)</f>
        <v>55.449937463666785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46.717868331221339</v>
      </c>
      <c r="W73" s="97">
        <f>IF(W38=0,0,W38/TrRoad_act!W43*100)</f>
        <v>46.717868331221332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46.004730382857076</v>
      </c>
      <c r="C74" s="97">
        <f>IF(C39=0,0,C39/TrRoad_act!C44*100)</f>
        <v>45.316016889246455</v>
      </c>
      <c r="D74" s="97">
        <f>IF(D39=0,0,D39/TrRoad_act!D44*100)</f>
        <v>44.541605178103957</v>
      </c>
      <c r="E74" s="97">
        <f>IF(E39=0,0,E39/TrRoad_act!E44*100)</f>
        <v>44.080344823769586</v>
      </c>
      <c r="F74" s="97">
        <f>IF(F39=0,0,F39/TrRoad_act!F44*100)</f>
        <v>53.513012621271741</v>
      </c>
      <c r="G74" s="97">
        <f>IF(G39=0,0,G39/TrRoad_act!G44*100)</f>
        <v>46.307953290865697</v>
      </c>
      <c r="H74" s="97">
        <f>IF(H39=0,0,H39/TrRoad_act!H44*100)</f>
        <v>67.406557240579659</v>
      </c>
      <c r="I74" s="97">
        <f>IF(I39=0,0,I39/TrRoad_act!I44*100)</f>
        <v>43.282576019266386</v>
      </c>
      <c r="J74" s="97">
        <f>IF(J39=0,0,J39/TrRoad_act!J44*100)</f>
        <v>44.009338911853973</v>
      </c>
      <c r="K74" s="97">
        <f>IF(K39=0,0,K39/TrRoad_act!K44*100)</f>
        <v>51.094740361012349</v>
      </c>
      <c r="L74" s="97">
        <f>IF(L39=0,0,L39/TrRoad_act!L44*100)</f>
        <v>67.115317381477084</v>
      </c>
      <c r="M74" s="97">
        <f>IF(M39=0,0,M39/TrRoad_act!M44*100)</f>
        <v>75.029663746428128</v>
      </c>
      <c r="N74" s="97">
        <f>IF(N39=0,0,N39/TrRoad_act!N44*100)</f>
        <v>86.691232603438735</v>
      </c>
      <c r="O74" s="97">
        <f>IF(O39=0,0,O39/TrRoad_act!O44*100)</f>
        <v>88.871103598694319</v>
      </c>
      <c r="P74" s="97">
        <f>IF(P39=0,0,P39/TrRoad_act!P44*100)</f>
        <v>149.13192447521459</v>
      </c>
      <c r="Q74" s="97">
        <f>IF(Q39=0,0,Q39/TrRoad_act!Q44*100)</f>
        <v>137.93051342919156</v>
      </c>
      <c r="R74" s="97">
        <f>IF(R39=0,0,R39/TrRoad_act!R44*100)</f>
        <v>104.86203749778416</v>
      </c>
      <c r="S74" s="97">
        <f>IF(S39=0,0,S39/TrRoad_act!S44*100)</f>
        <v>81.210884628335506</v>
      </c>
      <c r="T74" s="97">
        <f>IF(T39=0,0,T39/TrRoad_act!T44*100)</f>
        <v>77.076628770843897</v>
      </c>
      <c r="U74" s="97">
        <f>IF(U39=0,0,U39/TrRoad_act!U44*100)</f>
        <v>80.29277754276707</v>
      </c>
      <c r="V74" s="97">
        <f>IF(V39=0,0,V39/TrRoad_act!V44*100)</f>
        <v>94.69030336073277</v>
      </c>
      <c r="W74" s="97">
        <f>IF(W39=0,0,W39/TrRoad_act!W44*100)</f>
        <v>142.23746731281531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33.644653806838868</v>
      </c>
      <c r="C75" s="97">
        <f>IF(C41=0,0,C41/TrRoad_act!C45*100)</f>
        <v>33.460472131258882</v>
      </c>
      <c r="D75" s="97">
        <f>IF(D41=0,0,D41/TrRoad_act!D45*100)</f>
        <v>33.457687808174633</v>
      </c>
      <c r="E75" s="97">
        <f>IF(E41=0,0,E41/TrRoad_act!E45*100)</f>
        <v>33.456836684830463</v>
      </c>
      <c r="F75" s="97">
        <f>IF(F41=0,0,F41/TrRoad_act!F45*100)</f>
        <v>33.403862412005253</v>
      </c>
      <c r="G75" s="97">
        <f>IF(G41=0,0,G41/TrRoad_act!G45*100)</f>
        <v>33.401636284399373</v>
      </c>
      <c r="H75" s="97">
        <f>IF(H41=0,0,H41/TrRoad_act!H45*100)</f>
        <v>32.950161069361002</v>
      </c>
      <c r="I75" s="97">
        <f>IF(I41=0,0,I41/TrRoad_act!I45*100)</f>
        <v>32.946825136082452</v>
      </c>
      <c r="J75" s="97">
        <f>IF(J41=0,0,J41/TrRoad_act!J45*100)</f>
        <v>32.945277787243171</v>
      </c>
      <c r="K75" s="97">
        <f>IF(K41=0,0,K41/TrRoad_act!K45*100)</f>
        <v>32.940675242185321</v>
      </c>
      <c r="L75" s="97">
        <f>IF(L41=0,0,L41/TrRoad_act!L45*100)</f>
        <v>32.902158476090719</v>
      </c>
      <c r="M75" s="97">
        <f>IF(M41=0,0,M41/TrRoad_act!M45*100)</f>
        <v>32.895593835299152</v>
      </c>
      <c r="N75" s="97">
        <f>IF(N41=0,0,N41/TrRoad_act!N45*100)</f>
        <v>32.895593835299167</v>
      </c>
      <c r="O75" s="97">
        <f>IF(O41=0,0,O41/TrRoad_act!O45*100)</f>
        <v>32.708864875126928</v>
      </c>
      <c r="P75" s="97">
        <f>IF(P41=0,0,P41/TrRoad_act!P45*100)</f>
        <v>31.052248241294055</v>
      </c>
      <c r="Q75" s="97">
        <f>IF(Q41=0,0,Q41/TrRoad_act!Q45*100)</f>
        <v>30.559037984442465</v>
      </c>
      <c r="R75" s="97">
        <f>IF(R41=0,0,R41/TrRoad_act!R45*100)</f>
        <v>30.536292916285966</v>
      </c>
      <c r="S75" s="97">
        <f>IF(S41=0,0,S41/TrRoad_act!S45*100)</f>
        <v>30.48978176009647</v>
      </c>
      <c r="T75" s="97">
        <f>IF(T41=0,0,T41/TrRoad_act!T45*100)</f>
        <v>30.441857544588068</v>
      </c>
      <c r="U75" s="97">
        <f>IF(U41=0,0,U41/TrRoad_act!U45*100)</f>
        <v>29.105220566582151</v>
      </c>
      <c r="V75" s="97">
        <f>IF(V41=0,0,V41/TrRoad_act!V45*100)</f>
        <v>28.688939598015555</v>
      </c>
      <c r="W75" s="97">
        <f>IF(W41=0,0,W41/TrRoad_act!W45*100)</f>
        <v>28.691383419708131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26.349926921192875</v>
      </c>
      <c r="C76" s="32">
        <f>IF(C42=0,0,C42/TrRoad_act!C46*100)</f>
        <v>24.230994621412567</v>
      </c>
      <c r="D76" s="32">
        <f>IF(D42=0,0,D42/TrRoad_act!D46*100)</f>
        <v>23.977942950704374</v>
      </c>
      <c r="E76" s="32">
        <f>IF(E42=0,0,E42/TrRoad_act!E46*100)</f>
        <v>25.333705953920649</v>
      </c>
      <c r="F76" s="32">
        <f>IF(F42=0,0,F42/TrRoad_act!F46*100)</f>
        <v>24.838537874026816</v>
      </c>
      <c r="G76" s="32">
        <f>IF(G42=0,0,G42/TrRoad_act!G46*100)</f>
        <v>25.528541451236237</v>
      </c>
      <c r="H76" s="32">
        <f>IF(H42=0,0,H42/TrRoad_act!H46*100)</f>
        <v>26.159073812408934</v>
      </c>
      <c r="I76" s="32">
        <f>IF(I42=0,0,I42/TrRoad_act!I46*100)</f>
        <v>26.134642635270843</v>
      </c>
      <c r="J76" s="32">
        <f>IF(J42=0,0,J42/TrRoad_act!J46*100)</f>
        <v>24.192407350638483</v>
      </c>
      <c r="K76" s="32">
        <f>IF(K42=0,0,K42/TrRoad_act!K46*100)</f>
        <v>23.660392879871946</v>
      </c>
      <c r="L76" s="32">
        <f>IF(L42=0,0,L42/TrRoad_act!L46*100)</f>
        <v>22.338346028247251</v>
      </c>
      <c r="M76" s="32">
        <f>IF(M42=0,0,M42/TrRoad_act!M46*100)</f>
        <v>21.790490230345853</v>
      </c>
      <c r="N76" s="32">
        <f>IF(N42=0,0,N42/TrRoad_act!N46*100)</f>
        <v>21.253156719332488</v>
      </c>
      <c r="O76" s="32">
        <f>IF(O42=0,0,O42/TrRoad_act!O46*100)</f>
        <v>19.524632922141056</v>
      </c>
      <c r="P76" s="32">
        <f>IF(P42=0,0,P42/TrRoad_act!P46*100)</f>
        <v>18.904535742854122</v>
      </c>
      <c r="Q76" s="32">
        <f>IF(Q42=0,0,Q42/TrRoad_act!Q46*100)</f>
        <v>18.531739960914891</v>
      </c>
      <c r="R76" s="32">
        <f>IF(R42=0,0,R42/TrRoad_act!R46*100)</f>
        <v>20.746854497969888</v>
      </c>
      <c r="S76" s="32">
        <f>IF(S42=0,0,S42/TrRoad_act!S46*100)</f>
        <v>21.083865832444442</v>
      </c>
      <c r="T76" s="32">
        <f>IF(T42=0,0,T42/TrRoad_act!T46*100)</f>
        <v>20.901413560967562</v>
      </c>
      <c r="U76" s="32">
        <f>IF(U42=0,0,U42/TrRoad_act!U46*100)</f>
        <v>20.662151668056055</v>
      </c>
      <c r="V76" s="32">
        <f>IF(V42=0,0,V42/TrRoad_act!V46*100)</f>
        <v>18.945346881325886</v>
      </c>
      <c r="W76" s="32">
        <f>IF(W42=0,0,W42/TrRoad_act!W46*100)</f>
        <v>19.040874216495105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11.581255625172984</v>
      </c>
      <c r="C77" s="141">
        <f>IF(C43=0,0,C43/TrRoad_act!C47*100)</f>
        <v>10.687121957399192</v>
      </c>
      <c r="D77" s="141">
        <f>IF(D43=0,0,D43/TrRoad_act!D47*100)</f>
        <v>10.370279309671925</v>
      </c>
      <c r="E77" s="141">
        <f>IF(E43=0,0,E43/TrRoad_act!E47*100)</f>
        <v>10.139287027847313</v>
      </c>
      <c r="F77" s="141">
        <f>IF(F43=0,0,F43/TrRoad_act!F47*100)</f>
        <v>9.9460807335606667</v>
      </c>
      <c r="G77" s="141">
        <f>IF(G43=0,0,G43/TrRoad_act!G47*100)</f>
        <v>9.8011615333965665</v>
      </c>
      <c r="H77" s="141">
        <f>IF(H43=0,0,H43/TrRoad_act!H47*100)</f>
        <v>9.7068914719929946</v>
      </c>
      <c r="I77" s="141">
        <f>IF(I43=0,0,I43/TrRoad_act!I47*100)</f>
        <v>9.648741133990578</v>
      </c>
      <c r="J77" s="141">
        <f>IF(J43=0,0,J43/TrRoad_act!J47*100)</f>
        <v>9.6318506095039247</v>
      </c>
      <c r="K77" s="141">
        <f>IF(K43=0,0,K43/TrRoad_act!K47*100)</f>
        <v>9.6021671578047272</v>
      </c>
      <c r="L77" s="141">
        <f>IF(L43=0,0,L43/TrRoad_act!L47*100)</f>
        <v>9.6066039590178391</v>
      </c>
      <c r="M77" s="141">
        <f>IF(M43=0,0,M43/TrRoad_act!M47*100)</f>
        <v>9.6386011384468091</v>
      </c>
      <c r="N77" s="141">
        <f>IF(N43=0,0,N43/TrRoad_act!N47*100)</f>
        <v>9.6499151969694204</v>
      </c>
      <c r="O77" s="141">
        <f>IF(O43=0,0,O43/TrRoad_act!O47*100)</f>
        <v>9.6513400698530845</v>
      </c>
      <c r="P77" s="141">
        <f>IF(P43=0,0,P43/TrRoad_act!P47*100)</f>
        <v>9.6638212007445663</v>
      </c>
      <c r="Q77" s="141">
        <f>IF(Q43=0,0,Q43/TrRoad_act!Q47*100)</f>
        <v>9.6529912984944986</v>
      </c>
      <c r="R77" s="141">
        <f>IF(R43=0,0,R43/TrRoad_act!R47*100)</f>
        <v>9.6846463343157367</v>
      </c>
      <c r="S77" s="141">
        <f>IF(S43=0,0,S43/TrRoad_act!S47*100)</f>
        <v>9.6601825912913935</v>
      </c>
      <c r="T77" s="141">
        <f>IF(T43=0,0,T43/TrRoad_act!T47*100)</f>
        <v>9.6219783780048704</v>
      </c>
      <c r="U77" s="141">
        <f>IF(U43=0,0,U43/TrRoad_act!U47*100)</f>
        <v>9.5833174315083749</v>
      </c>
      <c r="V77" s="141">
        <f>IF(V43=0,0,V43/TrRoad_act!V47*100)</f>
        <v>9.5843489167563245</v>
      </c>
      <c r="W77" s="141">
        <f>IF(W43=0,0,W43/TrRoad_act!W47*100)</f>
        <v>9.5584569759399116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9.3753171375704163</v>
      </c>
      <c r="C78" s="96">
        <f>IF(C44=0,0,C44/TrRoad_act!C48*100)</f>
        <v>9.0965528699388543</v>
      </c>
      <c r="D78" s="96">
        <f>IF(D44=0,0,D44/TrRoad_act!D48*100)</f>
        <v>8.9580516933497591</v>
      </c>
      <c r="E78" s="96">
        <f>IF(E44=0,0,E44/TrRoad_act!E48*100)</f>
        <v>8.9049651382121251</v>
      </c>
      <c r="F78" s="96">
        <f>IF(F44=0,0,F44/TrRoad_act!F48*100)</f>
        <v>8.8218216998929559</v>
      </c>
      <c r="G78" s="96">
        <f>IF(G44=0,0,G44/TrRoad_act!G48*100)</f>
        <v>8.7176907874082907</v>
      </c>
      <c r="H78" s="96">
        <f>IF(H44=0,0,H44/TrRoad_act!H48*100)</f>
        <v>8.609668793210691</v>
      </c>
      <c r="I78" s="96">
        <f>IF(I44=0,0,I44/TrRoad_act!I48*100)</f>
        <v>8.5318085725026727</v>
      </c>
      <c r="J78" s="96">
        <f>IF(J44=0,0,J44/TrRoad_act!J48*100)</f>
        <v>8.4680533079648228</v>
      </c>
      <c r="K78" s="96">
        <f>IF(K44=0,0,K44/TrRoad_act!K48*100)</f>
        <v>8.4341321353635195</v>
      </c>
      <c r="L78" s="96">
        <f>IF(L44=0,0,L44/TrRoad_act!L48*100)</f>
        <v>8.4041504106322797</v>
      </c>
      <c r="M78" s="96">
        <f>IF(M44=0,0,M44/TrRoad_act!M48*100)</f>
        <v>8.3922837748148673</v>
      </c>
      <c r="N78" s="96">
        <f>IF(N44=0,0,N44/TrRoad_act!N48*100)</f>
        <v>8.3905048681213525</v>
      </c>
      <c r="O78" s="96">
        <f>IF(O44=0,0,O44/TrRoad_act!O48*100)</f>
        <v>8.4065459818337747</v>
      </c>
      <c r="P78" s="96">
        <f>IF(P44=0,0,P44/TrRoad_act!P48*100)</f>
        <v>8.3862139466282777</v>
      </c>
      <c r="Q78" s="96">
        <f>IF(Q44=0,0,Q44/TrRoad_act!Q48*100)</f>
        <v>8.3380388286497897</v>
      </c>
      <c r="R78" s="96">
        <f>IF(R44=0,0,R44/TrRoad_act!R48*100)</f>
        <v>8.297146361208469</v>
      </c>
      <c r="S78" s="96">
        <f>IF(S44=0,0,S44/TrRoad_act!S48*100)</f>
        <v>8.2468890724027641</v>
      </c>
      <c r="T78" s="96">
        <f>IF(T44=0,0,T44/TrRoad_act!T48*100)</f>
        <v>8.2078339678036993</v>
      </c>
      <c r="U78" s="96">
        <f>IF(U44=0,0,U44/TrRoad_act!U48*100)</f>
        <v>8.1672716701398116</v>
      </c>
      <c r="V78" s="96">
        <f>IF(V44=0,0,V44/TrRoad_act!V48*100)</f>
        <v>8.1472410285927133</v>
      </c>
      <c r="W78" s="96">
        <f>IF(W44=0,0,W44/TrRoad_act!W48*100)</f>
        <v>8.0753573969767576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11.776057478784022</v>
      </c>
      <c r="C79" s="96">
        <f>IF(C46=0,0,C46/TrRoad_act!C49*100)</f>
        <v>10.709376850572951</v>
      </c>
      <c r="D79" s="96">
        <f>IF(D46=0,0,D46/TrRoad_act!D49*100)</f>
        <v>10.395672120993222</v>
      </c>
      <c r="E79" s="96">
        <f>IF(E46=0,0,E46/TrRoad_act!E49*100)</f>
        <v>10.128462846705533</v>
      </c>
      <c r="F79" s="96">
        <f>IF(F46=0,0,F46/TrRoad_act!F49*100)</f>
        <v>9.9323688341643503</v>
      </c>
      <c r="G79" s="96">
        <f>IF(G46=0,0,G46/TrRoad_act!G49*100)</f>
        <v>9.8091692603340075</v>
      </c>
      <c r="H79" s="96">
        <f>IF(H46=0,0,H46/TrRoad_act!H49*100)</f>
        <v>9.7507834602354233</v>
      </c>
      <c r="I79" s="96">
        <f>IF(I46=0,0,I46/TrRoad_act!I49*100)</f>
        <v>9.7194800339616307</v>
      </c>
      <c r="J79" s="96">
        <f>IF(J46=0,0,J46/TrRoad_act!J49*100)</f>
        <v>9.7267574464196969</v>
      </c>
      <c r="K79" s="96">
        <f>IF(K46=0,0,K46/TrRoad_act!K49*100)</f>
        <v>9.6955612041804038</v>
      </c>
      <c r="L79" s="96">
        <f>IF(L46=0,0,L46/TrRoad_act!L49*100)</f>
        <v>9.7036980610135224</v>
      </c>
      <c r="M79" s="96">
        <f>IF(M46=0,0,M46/TrRoad_act!M49*100)</f>
        <v>9.7393870032983383</v>
      </c>
      <c r="N79" s="96">
        <f>IF(N46=0,0,N46/TrRoad_act!N49*100)</f>
        <v>9.7386004491784295</v>
      </c>
      <c r="O79" s="96">
        <f>IF(O46=0,0,O46/TrRoad_act!O49*100)</f>
        <v>9.731319040610769</v>
      </c>
      <c r="P79" s="96">
        <f>IF(P46=0,0,P46/TrRoad_act!P49*100)</f>
        <v>9.7335325190838624</v>
      </c>
      <c r="Q79" s="96">
        <f>IF(Q46=0,0,Q46/TrRoad_act!Q49*100)</f>
        <v>9.7336087462710843</v>
      </c>
      <c r="R79" s="96">
        <f>IF(R46=0,0,R46/TrRoad_act!R49*100)</f>
        <v>9.7726784397006341</v>
      </c>
      <c r="S79" s="96">
        <f>IF(S46=0,0,S46/TrRoad_act!S49*100)</f>
        <v>9.7529082187390692</v>
      </c>
      <c r="T79" s="96">
        <f>IF(T46=0,0,T46/TrRoad_act!T49*100)</f>
        <v>9.722391447654994</v>
      </c>
      <c r="U79" s="96">
        <f>IF(U46=0,0,U46/TrRoad_act!U49*100)</f>
        <v>9.6944044537267811</v>
      </c>
      <c r="V79" s="96">
        <f>IF(V46=0,0,V46/TrRoad_act!V49*100)</f>
        <v>9.7117142777645018</v>
      </c>
      <c r="W79" s="96">
        <f>IF(W46=0,0,W46/TrRoad_act!W49*100)</f>
        <v>9.6956975172940805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21.130402231488603</v>
      </c>
      <c r="C80" s="96">
        <f>IF(C48=0,0,C48/TrRoad_act!C50*100)</f>
        <v>20.859238481023773</v>
      </c>
      <c r="D80" s="96">
        <f>IF(D48=0,0,D48/TrRoad_act!D50*100)</f>
        <v>20.214706272787168</v>
      </c>
      <c r="E80" s="96">
        <f>IF(E48=0,0,E48/TrRoad_act!E50*100)</f>
        <v>19.53691417443952</v>
      </c>
      <c r="F80" s="96">
        <f>IF(F48=0,0,F48/TrRoad_act!F50*100)</f>
        <v>18.667270217459933</v>
      </c>
      <c r="G80" s="96">
        <f>IF(G48=0,0,G48/TrRoad_act!G50*100)</f>
        <v>17.917190027817451</v>
      </c>
      <c r="H80" s="96">
        <f>IF(H48=0,0,H48/TrRoad_act!H50*100)</f>
        <v>17.007834315328189</v>
      </c>
      <c r="I80" s="96">
        <f>IF(I48=0,0,I48/TrRoad_act!I50*100)</f>
        <v>16.227566429172644</v>
      </c>
      <c r="J80" s="96">
        <f>IF(J48=0,0,J48/TrRoad_act!J50*100)</f>
        <v>15.84210100975438</v>
      </c>
      <c r="K80" s="96">
        <f>IF(K48=0,0,K48/TrRoad_act!K50*100)</f>
        <v>15.327072894570644</v>
      </c>
      <c r="L80" s="96">
        <f>IF(L48=0,0,L48/TrRoad_act!L50*100)</f>
        <v>14.978201550524856</v>
      </c>
      <c r="M80" s="96">
        <f>IF(M48=0,0,M48/TrRoad_act!M50*100)</f>
        <v>14.611693188932003</v>
      </c>
      <c r="N80" s="96">
        <f>IF(N48=0,0,N48/TrRoad_act!N50*100)</f>
        <v>14.410444541426454</v>
      </c>
      <c r="O80" s="96">
        <f>IF(O48=0,0,O48/TrRoad_act!O50*100)</f>
        <v>14.383996902564672</v>
      </c>
      <c r="P80" s="96">
        <f>IF(P48=0,0,P48/TrRoad_act!P50*100)</f>
        <v>14.419532138706199</v>
      </c>
      <c r="Q80" s="96">
        <f>IF(Q48=0,0,Q48/TrRoad_act!Q50*100)</f>
        <v>14.362154755629103</v>
      </c>
      <c r="R80" s="96">
        <f>IF(R48=0,0,R48/TrRoad_act!R50*100)</f>
        <v>14.407582093622301</v>
      </c>
      <c r="S80" s="96">
        <f>IF(S48=0,0,S48/TrRoad_act!S50*100)</f>
        <v>14.302476861112876</v>
      </c>
      <c r="T80" s="96">
        <f>IF(T48=0,0,T48/TrRoad_act!T50*100)</f>
        <v>14.137482382751134</v>
      </c>
      <c r="U80" s="96">
        <f>IF(U48=0,0,U48/TrRoad_act!U50*100)</f>
        <v>14.110663688509792</v>
      </c>
      <c r="V80" s="96">
        <f>IF(V48=0,0,V48/TrRoad_act!V50*100)</f>
        <v>14.125379355900524</v>
      </c>
      <c r="W80" s="96">
        <f>IF(W48=0,0,W48/TrRoad_act!W50*100)</f>
        <v>14.126497152669232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12.484041924061618</v>
      </c>
      <c r="O81" s="96">
        <f>IF(O49=0,0,O49/TrRoad_act!O51*100)</f>
        <v>12.028697141004956</v>
      </c>
      <c r="P81" s="96">
        <f>IF(P49=0,0,P49/TrRoad_act!P51*100)</f>
        <v>11.476815935665945</v>
      </c>
      <c r="Q81" s="96">
        <f>IF(Q49=0,0,Q49/TrRoad_act!Q51*100)</f>
        <v>9.8917521370447421</v>
      </c>
      <c r="R81" s="96">
        <f>IF(R49=0,0,R49/TrRoad_act!R51*100)</f>
        <v>11.021653632517106</v>
      </c>
      <c r="S81" s="96">
        <f>IF(S49=0,0,S49/TrRoad_act!S51*100)</f>
        <v>10.641422775902777</v>
      </c>
      <c r="T81" s="96">
        <f>IF(T49=0,0,T49/TrRoad_act!T51*100)</f>
        <v>10.289477511848546</v>
      </c>
      <c r="U81" s="96">
        <f>IF(U49=0,0,U49/TrRoad_act!U51*100)</f>
        <v>10.090461031435105</v>
      </c>
      <c r="V81" s="96">
        <f>IF(V49=0,0,V49/TrRoad_act!V51*100)</f>
        <v>9.9981974004761369</v>
      </c>
      <c r="W81" s="96">
        <f>IF(W49=0,0,W49/TrRoad_act!W51*100)</f>
        <v>10.050362037288041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1.7636212467884844</v>
      </c>
      <c r="K82" s="96">
        <f>IF(K51=0,0,K51/TrRoad_act!K52*100)</f>
        <v>1.7645347421092583</v>
      </c>
      <c r="L82" s="96">
        <f>IF(L51=0,0,L51/TrRoad_act!L52*100)</f>
        <v>1.76604729328276</v>
      </c>
      <c r="M82" s="96">
        <f>IF(M51=0,0,M51/TrRoad_act!M52*100)</f>
        <v>1.7704593444435253</v>
      </c>
      <c r="N82" s="96">
        <f>IF(N51=0,0,N51/TrRoad_act!N52*100)</f>
        <v>1.7836554517052243</v>
      </c>
      <c r="O82" s="96">
        <f>IF(O51=0,0,O51/TrRoad_act!O52*100)</f>
        <v>1.7936736625235226</v>
      </c>
      <c r="P82" s="96">
        <f>IF(P51=0,0,P51/TrRoad_act!P52*100)</f>
        <v>1.8074878145683002</v>
      </c>
      <c r="Q82" s="96">
        <f>IF(Q51=0,0,Q51/TrRoad_act!Q52*100)</f>
        <v>1.8517425388490483</v>
      </c>
      <c r="R82" s="96">
        <f>IF(R51=0,0,R51/TrRoad_act!R52*100)</f>
        <v>1.8627312558939373</v>
      </c>
      <c r="S82" s="96">
        <f>IF(S51=0,0,S51/TrRoad_act!S52*100)</f>
        <v>1.8748547722442457</v>
      </c>
      <c r="T82" s="96">
        <f>IF(T51=0,0,T51/TrRoad_act!T52*100)</f>
        <v>2.0215540662567717</v>
      </c>
      <c r="U82" s="96">
        <f>IF(U51=0,0,U51/TrRoad_act!U52*100)</f>
        <v>2.2530367224003163</v>
      </c>
      <c r="V82" s="96">
        <f>IF(V51=0,0,V51/TrRoad_act!V52*100)</f>
        <v>2.3260067431121199</v>
      </c>
      <c r="W82" s="96">
        <f>IF(W51=0,0,W51/TrRoad_act!W52*100)</f>
        <v>2.5517527336146988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35.30829028755479</v>
      </c>
      <c r="C83" s="130">
        <f>IF(C52=0,0,C52/TrRoad_act!C53*100)</f>
        <v>32.756404893513313</v>
      </c>
      <c r="D83" s="130">
        <f>IF(D52=0,0,D52/TrRoad_act!D53*100)</f>
        <v>33.111523672655757</v>
      </c>
      <c r="E83" s="130">
        <f>IF(E52=0,0,E52/TrRoad_act!E53*100)</f>
        <v>35.901286093520476</v>
      </c>
      <c r="F83" s="130">
        <f>IF(F52=0,0,F52/TrRoad_act!F53*100)</f>
        <v>35.725090969123414</v>
      </c>
      <c r="G83" s="130">
        <f>IF(G52=0,0,G52/TrRoad_act!G53*100)</f>
        <v>37.850611491129179</v>
      </c>
      <c r="H83" s="130">
        <f>IF(H52=0,0,H52/TrRoad_act!H53*100)</f>
        <v>41.394586620793291</v>
      </c>
      <c r="I83" s="130">
        <f>IF(I52=0,0,I52/TrRoad_act!I53*100)</f>
        <v>43.665401935534035</v>
      </c>
      <c r="J83" s="130">
        <f>IF(J52=0,0,J52/TrRoad_act!J53*100)</f>
        <v>43.702434798889165</v>
      </c>
      <c r="K83" s="130">
        <f>IF(K52=0,0,K52/TrRoad_act!K53*100)</f>
        <v>45.932677527552116</v>
      </c>
      <c r="L83" s="130">
        <f>IF(L52=0,0,L52/TrRoad_act!L53*100)</f>
        <v>43.429027774207832</v>
      </c>
      <c r="M83" s="130">
        <f>IF(M52=0,0,M52/TrRoad_act!M53*100)</f>
        <v>41.984923280722164</v>
      </c>
      <c r="N83" s="130">
        <f>IF(N52=0,0,N52/TrRoad_act!N53*100)</f>
        <v>41.437857935831389</v>
      </c>
      <c r="O83" s="130">
        <f>IF(O52=0,0,O52/TrRoad_act!O53*100)</f>
        <v>36.296229687665502</v>
      </c>
      <c r="P83" s="130">
        <f>IF(P52=0,0,P52/TrRoad_act!P53*100)</f>
        <v>35.569719425004401</v>
      </c>
      <c r="Q83" s="130">
        <f>IF(Q52=0,0,Q52/TrRoad_act!Q53*100)</f>
        <v>33.726929261926244</v>
      </c>
      <c r="R83" s="130">
        <f>IF(R52=0,0,R52/TrRoad_act!R53*100)</f>
        <v>36.714286473782849</v>
      </c>
      <c r="S83" s="130">
        <f>IF(S52=0,0,S52/TrRoad_act!S53*100)</f>
        <v>37.369192463785843</v>
      </c>
      <c r="T83" s="130">
        <f>IF(T52=0,0,T52/TrRoad_act!T53*100)</f>
        <v>37.087299421030082</v>
      </c>
      <c r="U83" s="130">
        <f>IF(U52=0,0,U52/TrRoad_act!U53*100)</f>
        <v>36.33289487298741</v>
      </c>
      <c r="V83" s="130">
        <f>IF(V52=0,0,V52/TrRoad_act!V53*100)</f>
        <v>30.554780163424756</v>
      </c>
      <c r="W83" s="130">
        <f>IF(W52=0,0,W52/TrRoad_act!W53*100)</f>
        <v>30.113163094778152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31.571526165388065</v>
      </c>
      <c r="C84" s="97">
        <f>IF(C53=0,0,C53/TrRoad_act!C54*100)</f>
        <v>31.299617966651468</v>
      </c>
      <c r="D84" s="97">
        <f>IF(D53=0,0,D53/TrRoad_act!D54*100)</f>
        <v>31.271912584613538</v>
      </c>
      <c r="E84" s="97">
        <f>IF(E53=0,0,E53/TrRoad_act!E54*100)</f>
        <v>31.529290701636629</v>
      </c>
      <c r="F84" s="97">
        <f>IF(F53=0,0,F53/TrRoad_act!F54*100)</f>
        <v>31.483640696889175</v>
      </c>
      <c r="G84" s="97">
        <f>IF(G53=0,0,G53/TrRoad_act!G54*100)</f>
        <v>31.620352731994089</v>
      </c>
      <c r="H84" s="97">
        <f>IF(H53=0,0,H53/TrRoad_act!H54*100)</f>
        <v>31.810160971241913</v>
      </c>
      <c r="I84" s="97">
        <f>IF(I53=0,0,I53/TrRoad_act!I54*100)</f>
        <v>31.889164300191609</v>
      </c>
      <c r="J84" s="97">
        <f>IF(J53=0,0,J53/TrRoad_act!J54*100)</f>
        <v>31.777948815427681</v>
      </c>
      <c r="K84" s="97">
        <f>IF(K53=0,0,K53/TrRoad_act!K54*100)</f>
        <v>31.90006812672781</v>
      </c>
      <c r="L84" s="97">
        <f>IF(L53=0,0,L53/TrRoad_act!L54*100)</f>
        <v>31.50583004023283</v>
      </c>
      <c r="M84" s="97">
        <f>IF(M53=0,0,M53/TrRoad_act!M54*100)</f>
        <v>31.197994637878583</v>
      </c>
      <c r="N84" s="97">
        <f>IF(N53=0,0,N53/TrRoad_act!N54*100)</f>
        <v>30.979004823669264</v>
      </c>
      <c r="O84" s="97">
        <f>IF(O53=0,0,O53/TrRoad_act!O54*100)</f>
        <v>30.327278645812356</v>
      </c>
      <c r="P84" s="97">
        <f>IF(P53=0,0,P53/TrRoad_act!P54*100)</f>
        <v>30.210259816658063</v>
      </c>
      <c r="Q84" s="97">
        <f>IF(Q53=0,0,Q53/TrRoad_act!Q54*100)</f>
        <v>29.899711313568879</v>
      </c>
      <c r="R84" s="97">
        <f>IF(R53=0,0,R53/TrRoad_act!R54*100)</f>
        <v>30.096650048762978</v>
      </c>
      <c r="S84" s="97">
        <f>IF(S53=0,0,S53/TrRoad_act!S54*100)</f>
        <v>30.092543988192876</v>
      </c>
      <c r="T84" s="97">
        <f>IF(T53=0,0,T53/TrRoad_act!T54*100)</f>
        <v>30.031371423431462</v>
      </c>
      <c r="U84" s="97">
        <f>IF(U53=0,0,U53/TrRoad_act!U54*100)</f>
        <v>29.849335532318662</v>
      </c>
      <c r="V84" s="97">
        <f>IF(V53=0,0,V53/TrRoad_act!V54*100)</f>
        <v>29.223137081264472</v>
      </c>
      <c r="W84" s="97">
        <f>IF(W53=0,0,W53/TrRoad_act!W54*100)</f>
        <v>29.162369402576793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41.796621994388666</v>
      </c>
      <c r="C85" s="98">
        <f>IF(C55=0,0,C55/TrRoad_act!C55*100)</f>
        <v>35.498253131131719</v>
      </c>
      <c r="D85" s="98">
        <f>IF(D55=0,0,D55/TrRoad_act!D55*100)</f>
        <v>36.873262230485373</v>
      </c>
      <c r="E85" s="98">
        <f>IF(E55=0,0,E55/TrRoad_act!E55*100)</f>
        <v>46.242600948648032</v>
      </c>
      <c r="F85" s="98">
        <f>IF(F55=0,0,F55/TrRoad_act!F55*100)</f>
        <v>44.958148805877187</v>
      </c>
      <c r="G85" s="98">
        <f>IF(G55=0,0,G55/TrRoad_act!G55*100)</f>
        <v>53.088714425162877</v>
      </c>
      <c r="H85" s="98">
        <f>IF(H55=0,0,H55/TrRoad_act!H55*100)</f>
        <v>63.019311098499209</v>
      </c>
      <c r="I85" s="98">
        <f>IF(I55=0,0,I55/TrRoad_act!I55*100)</f>
        <v>69.093206107523812</v>
      </c>
      <c r="J85" s="98">
        <f>IF(J55=0,0,J55/TrRoad_act!J55*100)</f>
        <v>69.949363469379193</v>
      </c>
      <c r="K85" s="98">
        <f>IF(K55=0,0,K55/TrRoad_act!K55*100)</f>
        <v>73.006858799388567</v>
      </c>
      <c r="L85" s="98">
        <f>IF(L55=0,0,L55/TrRoad_act!L55*100)</f>
        <v>64.88295208548854</v>
      </c>
      <c r="M85" s="98">
        <f>IF(M55=0,0,M55/TrRoad_act!M55*100)</f>
        <v>60.151368089933108</v>
      </c>
      <c r="N85" s="98">
        <f>IF(N55=0,0,N55/TrRoad_act!N55*100)</f>
        <v>58.300339603498919</v>
      </c>
      <c r="O85" s="98">
        <f>IF(O55=0,0,O55/TrRoad_act!O55*100)</f>
        <v>45.347842400407743</v>
      </c>
      <c r="P85" s="98">
        <f>IF(P55=0,0,P55/TrRoad_act!P55*100)</f>
        <v>44.32398303510336</v>
      </c>
      <c r="Q85" s="98">
        <f>IF(Q55=0,0,Q55/TrRoad_act!Q55*100)</f>
        <v>40.703590196846541</v>
      </c>
      <c r="R85" s="98">
        <f>IF(R55=0,0,R55/TrRoad_act!R55*100)</f>
        <v>49.360789014899638</v>
      </c>
      <c r="S85" s="98">
        <f>IF(S55=0,0,S55/TrRoad_act!S55*100)</f>
        <v>52.003051092123933</v>
      </c>
      <c r="T85" s="98">
        <f>IF(T55=0,0,T55/TrRoad_act!T55*100)</f>
        <v>52.918329937846863</v>
      </c>
      <c r="U85" s="98">
        <f>IF(U55=0,0,U55/TrRoad_act!U55*100)</f>
        <v>50.474916950110547</v>
      </c>
      <c r="V85" s="98">
        <f>IF(V55=0,0,V55/TrRoad_act!V55*100)</f>
        <v>33.296388684434568</v>
      </c>
      <c r="W85" s="98">
        <f>IF(W55=0,0,W55/TrRoad_act!W55*100)</f>
        <v>32.117962782347284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35.002816344820594</v>
      </c>
      <c r="C88" s="29">
        <f>IF(TrRoad_act!C4=0,0,C18/TrRoad_act!C4*1000)</f>
        <v>36.733366795786033</v>
      </c>
      <c r="D88" s="29">
        <f>IF(TrRoad_act!D4=0,0,D18/TrRoad_act!D4*1000)</f>
        <v>37.349338941270844</v>
      </c>
      <c r="E88" s="29">
        <f>IF(TrRoad_act!E4=0,0,E18/TrRoad_act!E4*1000)</f>
        <v>40.301809569386769</v>
      </c>
      <c r="F88" s="29">
        <f>IF(TrRoad_act!F4=0,0,F18/TrRoad_act!F4*1000)</f>
        <v>41.326656291210959</v>
      </c>
      <c r="G88" s="29">
        <f>IF(TrRoad_act!G4=0,0,G18/TrRoad_act!G4*1000)</f>
        <v>41.61218692084578</v>
      </c>
      <c r="H88" s="29">
        <f>IF(TrRoad_act!H4=0,0,H18/TrRoad_act!H4*1000)</f>
        <v>41.477449105816007</v>
      </c>
      <c r="I88" s="29">
        <f>IF(TrRoad_act!I4=0,0,I18/TrRoad_act!I4*1000)</f>
        <v>42.207120422071455</v>
      </c>
      <c r="J88" s="29">
        <f>IF(TrRoad_act!J4=0,0,J18/TrRoad_act!J4*1000)</f>
        <v>41.903405901629924</v>
      </c>
      <c r="K88" s="29">
        <f>IF(TrRoad_act!K4=0,0,K18/TrRoad_act!K4*1000)</f>
        <v>42.713201054941649</v>
      </c>
      <c r="L88" s="29">
        <f>IF(TrRoad_act!L4=0,0,L18/TrRoad_act!L4*1000)</f>
        <v>43.497299724218877</v>
      </c>
      <c r="M88" s="29">
        <f>IF(TrRoad_act!M4=0,0,M18/TrRoad_act!M4*1000)</f>
        <v>43.398860768296302</v>
      </c>
      <c r="N88" s="29">
        <f>IF(TrRoad_act!N4=0,0,N18/TrRoad_act!N4*1000)</f>
        <v>43.536096747022434</v>
      </c>
      <c r="O88" s="29">
        <f>IF(TrRoad_act!O4=0,0,O18/TrRoad_act!O4*1000)</f>
        <v>43.601046519129213</v>
      </c>
      <c r="P88" s="29">
        <f>IF(TrRoad_act!P4=0,0,P18/TrRoad_act!P4*1000)</f>
        <v>43.223351567360091</v>
      </c>
      <c r="Q88" s="29">
        <f>IF(TrRoad_act!Q4=0,0,Q18/TrRoad_act!Q4*1000)</f>
        <v>42.417446668098535</v>
      </c>
      <c r="R88" s="29">
        <f>IF(TrRoad_act!R4=0,0,R18/TrRoad_act!R4*1000)</f>
        <v>42.826603438207393</v>
      </c>
      <c r="S88" s="29">
        <f>IF(TrRoad_act!S4=0,0,S18/TrRoad_act!S4*1000)</f>
        <v>42.319013934305076</v>
      </c>
      <c r="T88" s="29">
        <f>IF(TrRoad_act!T4=0,0,T18/TrRoad_act!T4*1000)</f>
        <v>41.434077706758522</v>
      </c>
      <c r="U88" s="29">
        <f>IF(TrRoad_act!U4=0,0,U18/TrRoad_act!U4*1000)</f>
        <v>41.104801294549247</v>
      </c>
      <c r="V88" s="29">
        <f>IF(TrRoad_act!V4=0,0,V18/TrRoad_act!V4*1000)</f>
        <v>48.69107569789788</v>
      </c>
      <c r="W88" s="29">
        <f>IF(TrRoad_act!W4=0,0,W18/TrRoad_act!W4*1000)</f>
        <v>42.601696820193688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35.787783947736088</v>
      </c>
      <c r="C89" s="152">
        <f>IF(TrRoad_act!C5=0,0,C19/TrRoad_act!C5*1000)</f>
        <v>35.647151551475197</v>
      </c>
      <c r="D89" s="152">
        <f>IF(TrRoad_act!D5=0,0,D19/TrRoad_act!D5*1000)</f>
        <v>35.531169238004289</v>
      </c>
      <c r="E89" s="152">
        <f>IF(TrRoad_act!E5=0,0,E19/TrRoad_act!E5*1000)</f>
        <v>35.48596626105477</v>
      </c>
      <c r="F89" s="152">
        <f>IF(TrRoad_act!F5=0,0,F19/TrRoad_act!F5*1000)</f>
        <v>35.378487261124093</v>
      </c>
      <c r="G89" s="152">
        <f>IF(TrRoad_act!G5=0,0,G19/TrRoad_act!G5*1000)</f>
        <v>35.172733168286847</v>
      </c>
      <c r="H89" s="152">
        <f>IF(TrRoad_act!H5=0,0,H19/TrRoad_act!H5*1000)</f>
        <v>34.995391861346064</v>
      </c>
      <c r="I89" s="152">
        <f>IF(TrRoad_act!I5=0,0,I19/TrRoad_act!I5*1000)</f>
        <v>34.763359387445654</v>
      </c>
      <c r="J89" s="152">
        <f>IF(TrRoad_act!J5=0,0,J19/TrRoad_act!J5*1000)</f>
        <v>34.599484911599809</v>
      </c>
      <c r="K89" s="152">
        <f>IF(TrRoad_act!K5=0,0,K19/TrRoad_act!K5*1000)</f>
        <v>34.475061973252878</v>
      </c>
      <c r="L89" s="152">
        <f>IF(TrRoad_act!L5=0,0,L19/TrRoad_act!L5*1000)</f>
        <v>34.323450207118235</v>
      </c>
      <c r="M89" s="152">
        <f>IF(TrRoad_act!M5=0,0,M19/TrRoad_act!M5*1000)</f>
        <v>34.145194886325179</v>
      </c>
      <c r="N89" s="152">
        <f>IF(TrRoad_act!N5=0,0,N19/TrRoad_act!N5*1000)</f>
        <v>34.090127653598579</v>
      </c>
      <c r="O89" s="152">
        <f>IF(TrRoad_act!O5=0,0,O19/TrRoad_act!O5*1000)</f>
        <v>33.979168136067237</v>
      </c>
      <c r="P89" s="152">
        <f>IF(TrRoad_act!P5=0,0,P19/TrRoad_act!P5*1000)</f>
        <v>33.675680309605859</v>
      </c>
      <c r="Q89" s="152">
        <f>IF(TrRoad_act!Q5=0,0,Q19/TrRoad_act!Q5*1000)</f>
        <v>33.227935430701294</v>
      </c>
      <c r="R89" s="152">
        <f>IF(TrRoad_act!R5=0,0,R19/TrRoad_act!R5*1000)</f>
        <v>32.922745903461134</v>
      </c>
      <c r="S89" s="152">
        <f>IF(TrRoad_act!S5=0,0,S19/TrRoad_act!S5*1000)</f>
        <v>32.704360432142792</v>
      </c>
      <c r="T89" s="152">
        <f>IF(TrRoad_act!T5=0,0,T19/TrRoad_act!T5*1000)</f>
        <v>32.483546777391872</v>
      </c>
      <c r="U89" s="152">
        <f>IF(TrRoad_act!U5=0,0,U19/TrRoad_act!U5*1000)</f>
        <v>32.214830172675107</v>
      </c>
      <c r="V89" s="152">
        <f>IF(TrRoad_act!V5=0,0,V19/TrRoad_act!V5*1000)</f>
        <v>32.036566798834706</v>
      </c>
      <c r="W89" s="152">
        <f>IF(TrRoad_act!W5=0,0,W19/TrRoad_act!W5*1000)</f>
        <v>30.577744715062952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37.947223389876946</v>
      </c>
      <c r="C90" s="116">
        <f>IF(TrRoad_act!C6=0,0,C21/TrRoad_act!C6*1000)</f>
        <v>40.361353583260119</v>
      </c>
      <c r="D90" s="116">
        <f>IF(TrRoad_act!D6=0,0,D21/TrRoad_act!D6*1000)</f>
        <v>40.832986320198962</v>
      </c>
      <c r="E90" s="116">
        <f>IF(TrRoad_act!E6=0,0,E21/TrRoad_act!E6*1000)</f>
        <v>44.88297206137787</v>
      </c>
      <c r="F90" s="116">
        <f>IF(TrRoad_act!F6=0,0,F21/TrRoad_act!F6*1000)</f>
        <v>45.852171893761884</v>
      </c>
      <c r="G90" s="116">
        <f>IF(TrRoad_act!G6=0,0,G21/TrRoad_act!G6*1000)</f>
        <v>46.473085747420143</v>
      </c>
      <c r="H90" s="116">
        <f>IF(TrRoad_act!H6=0,0,H21/TrRoad_act!H6*1000)</f>
        <v>46.294385384606464</v>
      </c>
      <c r="I90" s="116">
        <f>IF(TrRoad_act!I6=0,0,I21/TrRoad_act!I6*1000)</f>
        <v>47.152456385424571</v>
      </c>
      <c r="J90" s="116">
        <f>IF(TrRoad_act!J6=0,0,J21/TrRoad_act!J6*1000)</f>
        <v>46.700542405131642</v>
      </c>
      <c r="K90" s="116">
        <f>IF(TrRoad_act!K6=0,0,K21/TrRoad_act!K6*1000)</f>
        <v>47.641127418141082</v>
      </c>
      <c r="L90" s="116">
        <f>IF(TrRoad_act!L6=0,0,L21/TrRoad_act!L6*1000)</f>
        <v>49.719665680670268</v>
      </c>
      <c r="M90" s="116">
        <f>IF(TrRoad_act!M6=0,0,M21/TrRoad_act!M6*1000)</f>
        <v>48.929807664391738</v>
      </c>
      <c r="N90" s="116">
        <f>IF(TrRoad_act!N6=0,0,N21/TrRoad_act!N6*1000)</f>
        <v>48.980708145158893</v>
      </c>
      <c r="O90" s="116">
        <f>IF(TrRoad_act!O6=0,0,O21/TrRoad_act!O6*1000)</f>
        <v>49.090302452652374</v>
      </c>
      <c r="P90" s="116">
        <f>IF(TrRoad_act!P6=0,0,P21/TrRoad_act!P6*1000)</f>
        <v>48.83518088873717</v>
      </c>
      <c r="Q90" s="116">
        <f>IF(TrRoad_act!Q6=0,0,Q21/TrRoad_act!Q6*1000)</f>
        <v>47.213847645583861</v>
      </c>
      <c r="R90" s="116">
        <f>IF(TrRoad_act!R6=0,0,R21/TrRoad_act!R6*1000)</f>
        <v>47.833944664802743</v>
      </c>
      <c r="S90" s="116">
        <f>IF(TrRoad_act!S6=0,0,S21/TrRoad_act!S6*1000)</f>
        <v>47.347270823581546</v>
      </c>
      <c r="T90" s="116">
        <f>IF(TrRoad_act!T6=0,0,T21/TrRoad_act!T6*1000)</f>
        <v>45.95652498631398</v>
      </c>
      <c r="U90" s="116">
        <f>IF(TrRoad_act!U6=0,0,U21/TrRoad_act!U6*1000)</f>
        <v>45.263094966974386</v>
      </c>
      <c r="V90" s="116">
        <f>IF(TrRoad_act!V6=0,0,V21/TrRoad_act!V6*1000)</f>
        <v>51.149696894884528</v>
      </c>
      <c r="W90" s="116">
        <f>IF(TrRoad_act!W6=0,0,W21/TrRoad_act!W6*1000)</f>
        <v>43.586701514671198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38.601371910837578</v>
      </c>
      <c r="C91" s="87">
        <f>IF(TrRoad_act!C7=0,0,C22/TrRoad_act!C7*1000)</f>
        <v>41.836377323020713</v>
      </c>
      <c r="D91" s="87">
        <f>IF(TrRoad_act!D7=0,0,D22/TrRoad_act!D7*1000)</f>
        <v>42.616114419218583</v>
      </c>
      <c r="E91" s="87">
        <f>IF(TrRoad_act!E7=0,0,E22/TrRoad_act!E7*1000)</f>
        <v>47.185805965113097</v>
      </c>
      <c r="F91" s="87">
        <f>IF(TrRoad_act!F7=0,0,F22/TrRoad_act!F7*1000)</f>
        <v>48.398150042749009</v>
      </c>
      <c r="G91" s="87">
        <f>IF(TrRoad_act!G7=0,0,G22/TrRoad_act!G7*1000)</f>
        <v>49.32754039411067</v>
      </c>
      <c r="H91" s="87">
        <f>IF(TrRoad_act!H7=0,0,H22/TrRoad_act!H7*1000)</f>
        <v>49.002042456972404</v>
      </c>
      <c r="I91" s="87">
        <f>IF(TrRoad_act!I7=0,0,I22/TrRoad_act!I7*1000)</f>
        <v>49.677665578456484</v>
      </c>
      <c r="J91" s="87">
        <f>IF(TrRoad_act!J7=0,0,J22/TrRoad_act!J7*1000)</f>
        <v>49.070544223220459</v>
      </c>
      <c r="K91" s="87">
        <f>IF(TrRoad_act!K7=0,0,K22/TrRoad_act!K7*1000)</f>
        <v>49.977856072623943</v>
      </c>
      <c r="L91" s="87">
        <f>IF(TrRoad_act!L7=0,0,L22/TrRoad_act!L7*1000)</f>
        <v>51.991112518931921</v>
      </c>
      <c r="M91" s="87">
        <f>IF(TrRoad_act!M7=0,0,M22/TrRoad_act!M7*1000)</f>
        <v>51.132785221895503</v>
      </c>
      <c r="N91" s="87">
        <f>IF(TrRoad_act!N7=0,0,N22/TrRoad_act!N7*1000)</f>
        <v>51.100672509279384</v>
      </c>
      <c r="O91" s="87">
        <f>IF(TrRoad_act!O7=0,0,O22/TrRoad_act!O7*1000)</f>
        <v>51.136381429841727</v>
      </c>
      <c r="P91" s="87">
        <f>IF(TrRoad_act!P7=0,0,P22/TrRoad_act!P7*1000)</f>
        <v>50.695285595459126</v>
      </c>
      <c r="Q91" s="87">
        <f>IF(TrRoad_act!Q7=0,0,Q22/TrRoad_act!Q7*1000)</f>
        <v>48.71963419756397</v>
      </c>
      <c r="R91" s="87">
        <f>IF(TrRoad_act!R7=0,0,R22/TrRoad_act!R7*1000)</f>
        <v>49.260859154470971</v>
      </c>
      <c r="S91" s="87">
        <f>IF(TrRoad_act!S7=0,0,S22/TrRoad_act!S7*1000)</f>
        <v>48.48030220379222</v>
      </c>
      <c r="T91" s="87">
        <f>IF(TrRoad_act!T7=0,0,T22/TrRoad_act!T7*1000)</f>
        <v>46.744681056339061</v>
      </c>
      <c r="U91" s="87">
        <f>IF(TrRoad_act!U7=0,0,U22/TrRoad_act!U7*1000)</f>
        <v>45.85415540003973</v>
      </c>
      <c r="V91" s="87">
        <f>IF(TrRoad_act!V7=0,0,V22/TrRoad_act!V7*1000)</f>
        <v>51.85433723525562</v>
      </c>
      <c r="W91" s="87">
        <f>IF(TrRoad_act!W7=0,0,W22/TrRoad_act!W7*1000)</f>
        <v>44.193809320113445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35.305223520878656</v>
      </c>
      <c r="C92" s="87">
        <f>IF(TrRoad_act!C8=0,0,C24/TrRoad_act!C8*1000)</f>
        <v>36.126544627016287</v>
      </c>
      <c r="D92" s="87">
        <f>IF(TrRoad_act!D8=0,0,D24/TrRoad_act!D8*1000)</f>
        <v>36.353330251677278</v>
      </c>
      <c r="E92" s="87">
        <f>IF(TrRoad_act!E8=0,0,E24/TrRoad_act!E8*1000)</f>
        <v>40.10284511154498</v>
      </c>
      <c r="F92" s="87">
        <f>IF(TrRoad_act!F8=0,0,F24/TrRoad_act!F8*1000)</f>
        <v>41.018796565066786</v>
      </c>
      <c r="G92" s="87">
        <f>IF(TrRoad_act!G8=0,0,G24/TrRoad_act!G8*1000)</f>
        <v>41.797575988713888</v>
      </c>
      <c r="H92" s="87">
        <f>IF(TrRoad_act!H8=0,0,H24/TrRoad_act!H8*1000)</f>
        <v>42.047597498496074</v>
      </c>
      <c r="I92" s="87">
        <f>IF(TrRoad_act!I8=0,0,I24/TrRoad_act!I8*1000)</f>
        <v>43.169716142808426</v>
      </c>
      <c r="J92" s="87">
        <f>IF(TrRoad_act!J8=0,0,J24/TrRoad_act!J8*1000)</f>
        <v>43.180611880770229</v>
      </c>
      <c r="K92" s="87">
        <f>IF(TrRoad_act!K8=0,0,K24/TrRoad_act!K8*1000)</f>
        <v>44.383059468453347</v>
      </c>
      <c r="L92" s="87">
        <f>IF(TrRoad_act!L8=0,0,L24/TrRoad_act!L8*1000)</f>
        <v>46.550614274757137</v>
      </c>
      <c r="M92" s="87">
        <f>IF(TrRoad_act!M8=0,0,M24/TrRoad_act!M8*1000)</f>
        <v>46.143547460492478</v>
      </c>
      <c r="N92" s="87">
        <f>IF(TrRoad_act!N8=0,0,N24/TrRoad_act!N8*1000)</f>
        <v>46.516209942249347</v>
      </c>
      <c r="O92" s="87">
        <f>IF(TrRoad_act!O8=0,0,O24/TrRoad_act!O8*1000)</f>
        <v>46.940540210656806</v>
      </c>
      <c r="P92" s="87">
        <f>IF(TrRoad_act!P8=0,0,P24/TrRoad_act!P8*1000)</f>
        <v>46.866807113275485</v>
      </c>
      <c r="Q92" s="87">
        <f>IF(TrRoad_act!Q8=0,0,Q24/TrRoad_act!Q8*1000)</f>
        <v>45.535132683730744</v>
      </c>
      <c r="R92" s="87">
        <f>IF(TrRoad_act!R8=0,0,R24/TrRoad_act!R8*1000)</f>
        <v>46.298509978952872</v>
      </c>
      <c r="S92" s="87">
        <f>IF(TrRoad_act!S8=0,0,S24/TrRoad_act!S8*1000)</f>
        <v>45.990756100957896</v>
      </c>
      <c r="T92" s="87">
        <f>IF(TrRoad_act!T8=0,0,T24/TrRoad_act!T8*1000)</f>
        <v>44.899287627130597</v>
      </c>
      <c r="U92" s="87">
        <f>IF(TrRoad_act!U8=0,0,U24/TrRoad_act!U8*1000)</f>
        <v>44.401358566648824</v>
      </c>
      <c r="V92" s="87">
        <f>IF(TrRoad_act!V8=0,0,V24/TrRoad_act!V8*1000)</f>
        <v>50.356314712213944</v>
      </c>
      <c r="W92" s="87">
        <f>IF(TrRoad_act!W8=0,0,W24/TrRoad_act!W8*1000)</f>
        <v>42.964356558223436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45.738562741930068</v>
      </c>
      <c r="C93" s="87">
        <f>IF(TrRoad_act!C9=0,0,C26/TrRoad_act!C9*1000)</f>
        <v>47.612508855219211</v>
      </c>
      <c r="D93" s="87">
        <f>IF(TrRoad_act!D9=0,0,D26/TrRoad_act!D9*1000)</f>
        <v>48.410986182828871</v>
      </c>
      <c r="E93" s="87">
        <f>IF(TrRoad_act!E9=0,0,E26/TrRoad_act!E9*1000)</f>
        <v>48.838258421534455</v>
      </c>
      <c r="F93" s="87">
        <f>IF(TrRoad_act!F9=0,0,F26/TrRoad_act!F9*1000)</f>
        <v>50.318369672225764</v>
      </c>
      <c r="G93" s="87">
        <f>IF(TrRoad_act!G9=0,0,G26/TrRoad_act!G9*1000)</f>
        <v>51.317381893621992</v>
      </c>
      <c r="H93" s="87">
        <f>IF(TrRoad_act!H9=0,0,H26/TrRoad_act!H9*1000)</f>
        <v>51.303751877294694</v>
      </c>
      <c r="I93" s="87">
        <f>IF(TrRoad_act!I9=0,0,I26/TrRoad_act!I9*1000)</f>
        <v>52.099290703168755</v>
      </c>
      <c r="J93" s="87">
        <f>IF(TrRoad_act!J9=0,0,J26/TrRoad_act!J9*1000)</f>
        <v>51.844148558295522</v>
      </c>
      <c r="K93" s="87">
        <f>IF(TrRoad_act!K9=0,0,K26/TrRoad_act!K9*1000)</f>
        <v>53.143602551496102</v>
      </c>
      <c r="L93" s="87">
        <f>IF(TrRoad_act!L9=0,0,L26/TrRoad_act!L9*1000)</f>
        <v>56.441147156517268</v>
      </c>
      <c r="M93" s="87">
        <f>IF(TrRoad_act!M9=0,0,M26/TrRoad_act!M9*1000)</f>
        <v>56.098990975294896</v>
      </c>
      <c r="N93" s="87">
        <f>IF(TrRoad_act!N9=0,0,N26/TrRoad_act!N9*1000)</f>
        <v>56.893696435540591</v>
      </c>
      <c r="O93" s="87">
        <f>IF(TrRoad_act!O9=0,0,O26/TrRoad_act!O9*1000)</f>
        <v>57.596016947029163</v>
      </c>
      <c r="P93" s="87">
        <f>IF(TrRoad_act!P9=0,0,P26/TrRoad_act!P9*1000)</f>
        <v>57.97568607631667</v>
      </c>
      <c r="Q93" s="87">
        <f>IF(TrRoad_act!Q9=0,0,Q26/TrRoad_act!Q9*1000)</f>
        <v>57.658227471585981</v>
      </c>
      <c r="R93" s="87">
        <f>IF(TrRoad_act!R9=0,0,R26/TrRoad_act!R9*1000)</f>
        <v>59.341045807811433</v>
      </c>
      <c r="S93" s="87">
        <f>IF(TrRoad_act!S9=0,0,S26/TrRoad_act!S9*1000)</f>
        <v>63.323273940449816</v>
      </c>
      <c r="T93" s="87">
        <f>IF(TrRoad_act!T9=0,0,T26/TrRoad_act!T9*1000)</f>
        <v>62.840140551727913</v>
      </c>
      <c r="U93" s="87">
        <f>IF(TrRoad_act!U9=0,0,U26/TrRoad_act!U9*1000)</f>
        <v>62.655205355750283</v>
      </c>
      <c r="V93" s="87">
        <f>IF(TrRoad_act!V9=0,0,V26/TrRoad_act!V9*1000)</f>
        <v>68.897730725668168</v>
      </c>
      <c r="W93" s="87">
        <f>IF(TrRoad_act!W9=0,0,W26/TrRoad_act!W9*1000)</f>
        <v>60.490721768512074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53.513558986417166</v>
      </c>
      <c r="K94" s="87">
        <f>IF(TrRoad_act!K10=0,0,K27/TrRoad_act!K10*1000)</f>
        <v>55.615868589056674</v>
      </c>
      <c r="L94" s="87">
        <f>IF(TrRoad_act!L10=0,0,L27/TrRoad_act!L10*1000)</f>
        <v>57.478279144372692</v>
      </c>
      <c r="M94" s="87">
        <f>IF(TrRoad_act!M10=0,0,M27/TrRoad_act!M10*1000)</f>
        <v>57.168966110474145</v>
      </c>
      <c r="N94" s="87">
        <f>IF(TrRoad_act!N10=0,0,N27/TrRoad_act!N10*1000)</f>
        <v>55.482126631707203</v>
      </c>
      <c r="O94" s="87">
        <f>IF(TrRoad_act!O10=0,0,O27/TrRoad_act!O10*1000)</f>
        <v>52.123865119652855</v>
      </c>
      <c r="P94" s="87">
        <f>IF(TrRoad_act!P10=0,0,P27/TrRoad_act!P10*1000)</f>
        <v>49.100407562195308</v>
      </c>
      <c r="Q94" s="87">
        <f>IF(TrRoad_act!Q10=0,0,Q27/TrRoad_act!Q10*1000)</f>
        <v>44.905508518771633</v>
      </c>
      <c r="R94" s="87">
        <f>IF(TrRoad_act!R10=0,0,R27/TrRoad_act!R10*1000)</f>
        <v>44.352998238824142</v>
      </c>
      <c r="S94" s="87">
        <f>IF(TrRoad_act!S10=0,0,S27/TrRoad_act!S10*1000)</f>
        <v>43.96765254029777</v>
      </c>
      <c r="T94" s="87">
        <f>IF(TrRoad_act!T10=0,0,T27/TrRoad_act!T10*1000)</f>
        <v>43.355859663872032</v>
      </c>
      <c r="U94" s="87">
        <f>IF(TrRoad_act!U10=0,0,U27/TrRoad_act!U10*1000)</f>
        <v>43.024965101464993</v>
      </c>
      <c r="V94" s="87">
        <f>IF(TrRoad_act!V10=0,0,V27/TrRoad_act!V10*1000)</f>
        <v>48.645455864812639</v>
      </c>
      <c r="W94" s="87">
        <f>IF(TrRoad_act!W10=0,0,W27/TrRoad_act!W10*1000)</f>
        <v>41.480213218156564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19.328895214792126</v>
      </c>
      <c r="O95" s="87">
        <f>IF(TrRoad_act!O11=0,0,O29/TrRoad_act!O11*1000)</f>
        <v>20.320518614627961</v>
      </c>
      <c r="P95" s="87">
        <f>IF(TrRoad_act!P11=0,0,P29/TrRoad_act!P11*1000)</f>
        <v>17.319214546444673</v>
      </c>
      <c r="Q95" s="87">
        <f>IF(TrRoad_act!Q11=0,0,Q29/TrRoad_act!Q11*1000)</f>
        <v>24.64287045221608</v>
      </c>
      <c r="R95" s="87">
        <f>IF(TrRoad_act!R11=0,0,R29/TrRoad_act!R11*1000)</f>
        <v>22.480269077442493</v>
      </c>
      <c r="S95" s="87">
        <f>IF(TrRoad_act!S11=0,0,S29/TrRoad_act!S11*1000)</f>
        <v>24.476680214267137</v>
      </c>
      <c r="T95" s="87">
        <f>IF(TrRoad_act!T11=0,0,T29/TrRoad_act!T11*1000)</f>
        <v>23.887526541343938</v>
      </c>
      <c r="U95" s="87">
        <f>IF(TrRoad_act!U11=0,0,U29/TrRoad_act!U11*1000)</f>
        <v>23.861899170740582</v>
      </c>
      <c r="V95" s="87">
        <f>IF(TrRoad_act!V11=0,0,V29/TrRoad_act!V11*1000)</f>
        <v>26.62370101548526</v>
      </c>
      <c r="W95" s="87">
        <f>IF(TrRoad_act!W11=0,0,W29/TrRoad_act!W11*1000)</f>
        <v>21.635384156491142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9.463067190136222</v>
      </c>
      <c r="M96" s="87">
        <f>IF(TrRoad_act!M12=0,0,M32/TrRoad_act!M12*1000)</f>
        <v>9.4125845345357266</v>
      </c>
      <c r="N96" s="87">
        <f>IF(TrRoad_act!N12=0,0,N32/TrRoad_act!N12*1000)</f>
        <v>9.3434085905231274</v>
      </c>
      <c r="O96" s="87">
        <f>IF(TrRoad_act!O12=0,0,O32/TrRoad_act!O12*1000)</f>
        <v>9.3369400679948491</v>
      </c>
      <c r="P96" s="87">
        <f>IF(TrRoad_act!P12=0,0,P32/TrRoad_act!P12*1000)</f>
        <v>9.3563680015586783</v>
      </c>
      <c r="Q96" s="87">
        <f>IF(TrRoad_act!Q12=0,0,Q32/TrRoad_act!Q12*1000)</f>
        <v>9.4157558412449287</v>
      </c>
      <c r="R96" s="87">
        <f>IF(TrRoad_act!R12=0,0,R32/TrRoad_act!R12*1000)</f>
        <v>10.751595450122919</v>
      </c>
      <c r="S96" s="87">
        <f>IF(TrRoad_act!S12=0,0,S32/TrRoad_act!S12*1000)</f>
        <v>10.672946236999715</v>
      </c>
      <c r="T96" s="87">
        <f>IF(TrRoad_act!T12=0,0,T32/TrRoad_act!T12*1000)</f>
        <v>10.658211665544677</v>
      </c>
      <c r="U96" s="87">
        <f>IF(TrRoad_act!U12=0,0,U32/TrRoad_act!U12*1000)</f>
        <v>11.281558021312614</v>
      </c>
      <c r="V96" s="87">
        <f>IF(TrRoad_act!V12=0,0,V32/TrRoad_act!V12*1000)</f>
        <v>13.222367760386868</v>
      </c>
      <c r="W96" s="87">
        <f>IF(TrRoad_act!W12=0,0,W32/TrRoad_act!W12*1000)</f>
        <v>12.069366337159074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23.287542107375515</v>
      </c>
      <c r="C97" s="116">
        <f>IF(TrRoad_act!C13=0,0,C33/TrRoad_act!C13*1000)</f>
        <v>23.67903763816317</v>
      </c>
      <c r="D97" s="116">
        <f>IF(TrRoad_act!D13=0,0,D33/TrRoad_act!D13*1000)</f>
        <v>23.745033826787488</v>
      </c>
      <c r="E97" s="116">
        <f>IF(TrRoad_act!E13=0,0,E33/TrRoad_act!E13*1000)</f>
        <v>21.925809636624845</v>
      </c>
      <c r="F97" s="116">
        <f>IF(TrRoad_act!F13=0,0,F33/TrRoad_act!F13*1000)</f>
        <v>21.780075885993512</v>
      </c>
      <c r="G97" s="116">
        <f>IF(TrRoad_act!G13=0,0,G33/TrRoad_act!G13*1000)</f>
        <v>20.833030277684678</v>
      </c>
      <c r="H97" s="116">
        <f>IF(TrRoad_act!H13=0,0,H33/TrRoad_act!H13*1000)</f>
        <v>21.138206585369065</v>
      </c>
      <c r="I97" s="116">
        <f>IF(TrRoad_act!I13=0,0,I33/TrRoad_act!I13*1000)</f>
        <v>20.975930051904609</v>
      </c>
      <c r="J97" s="116">
        <f>IF(TrRoad_act!J13=0,0,J33/TrRoad_act!J13*1000)</f>
        <v>21.070010465064147</v>
      </c>
      <c r="K97" s="116">
        <f>IF(TrRoad_act!K13=0,0,K33/TrRoad_act!K13*1000)</f>
        <v>21.360742753009212</v>
      </c>
      <c r="L97" s="116">
        <f>IF(TrRoad_act!L13=0,0,L33/TrRoad_act!L13*1000)</f>
        <v>21.054952576517092</v>
      </c>
      <c r="M97" s="116">
        <f>IF(TrRoad_act!M13=0,0,M33/TrRoad_act!M13*1000)</f>
        <v>21.494223440901266</v>
      </c>
      <c r="N97" s="116">
        <f>IF(TrRoad_act!N13=0,0,N33/TrRoad_act!N13*1000)</f>
        <v>21.629014281295309</v>
      </c>
      <c r="O97" s="116">
        <f>IF(TrRoad_act!O13=0,0,O33/TrRoad_act!O13*1000)</f>
        <v>22.067897164363668</v>
      </c>
      <c r="P97" s="116">
        <f>IF(TrRoad_act!P13=0,0,P33/TrRoad_act!P13*1000)</f>
        <v>22.392083999910849</v>
      </c>
      <c r="Q97" s="116">
        <f>IF(TrRoad_act!Q13=0,0,Q33/TrRoad_act!Q13*1000)</f>
        <v>22.878250900422994</v>
      </c>
      <c r="R97" s="116">
        <f>IF(TrRoad_act!R13=0,0,R33/TrRoad_act!R13*1000)</f>
        <v>22.94523812008967</v>
      </c>
      <c r="S97" s="116">
        <f>IF(TrRoad_act!S13=0,0,S33/TrRoad_act!S13*1000)</f>
        <v>22.769687670929354</v>
      </c>
      <c r="T97" s="116">
        <f>IF(TrRoad_act!T13=0,0,T33/TrRoad_act!T13*1000)</f>
        <v>22.797466841697819</v>
      </c>
      <c r="U97" s="116">
        <f>IF(TrRoad_act!U13=0,0,U33/TrRoad_act!U13*1000)</f>
        <v>23.192800534210413</v>
      </c>
      <c r="V97" s="116">
        <f>IF(TrRoad_act!V13=0,0,V33/TrRoad_act!V13*1000)</f>
        <v>33.411830349429763</v>
      </c>
      <c r="W97" s="116">
        <f>IF(TrRoad_act!W13=0,0,W33/TrRoad_act!W13*1000)</f>
        <v>35.244094557385118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23.557110753064702</v>
      </c>
      <c r="C98" s="101">
        <f>IF(TrRoad_act!C14=0,0,C34/TrRoad_act!C14*1000)</f>
        <v>24.209304529077961</v>
      </c>
      <c r="D98" s="101">
        <f>IF(TrRoad_act!D14=0,0,D34/TrRoad_act!D14*1000)</f>
        <v>24.469915849215667</v>
      </c>
      <c r="E98" s="101">
        <f>IF(TrRoad_act!E14=0,0,E34/TrRoad_act!E14*1000)</f>
        <v>22.719770841753405</v>
      </c>
      <c r="F98" s="101">
        <f>IF(TrRoad_act!F14=0,0,F34/TrRoad_act!F14*1000)</f>
        <v>22.630950076866771</v>
      </c>
      <c r="G98" s="101">
        <f>IF(TrRoad_act!G14=0,0,G34/TrRoad_act!G14*1000)</f>
        <v>21.758319284298082</v>
      </c>
      <c r="H98" s="101">
        <f>IF(TrRoad_act!H14=0,0,H34/TrRoad_act!H14*1000)</f>
        <v>21.8436209458654</v>
      </c>
      <c r="I98" s="101">
        <f>IF(TrRoad_act!I14=0,0,I34/TrRoad_act!I14*1000)</f>
        <v>21.929594075854208</v>
      </c>
      <c r="J98" s="101">
        <f>IF(TrRoad_act!J14=0,0,J34/TrRoad_act!J14*1000)</f>
        <v>22.016246633981822</v>
      </c>
      <c r="K98" s="101">
        <f>IF(TrRoad_act!K14=0,0,K34/TrRoad_act!K14*1000)</f>
        <v>22.250989947244339</v>
      </c>
      <c r="L98" s="101">
        <f>IF(TrRoad_act!L14=0,0,L34/TrRoad_act!L14*1000)</f>
        <v>21.809363155588557</v>
      </c>
      <c r="M98" s="101">
        <f>IF(TrRoad_act!M14=0,0,M34/TrRoad_act!M14*1000)</f>
        <v>22.200445349657198</v>
      </c>
      <c r="N98" s="101">
        <f>IF(TrRoad_act!N14=0,0,N34/TrRoad_act!N14*1000)</f>
        <v>22.201327826768502</v>
      </c>
      <c r="O98" s="101">
        <f>IF(TrRoad_act!O14=0,0,O34/TrRoad_act!O14*1000)</f>
        <v>22.503395289622627</v>
      </c>
      <c r="P98" s="101">
        <f>IF(TrRoad_act!P14=0,0,P34/TrRoad_act!P14*1000)</f>
        <v>22.052288140572031</v>
      </c>
      <c r="Q98" s="101">
        <f>IF(TrRoad_act!Q14=0,0,Q34/TrRoad_act!Q14*1000)</f>
        <v>22.201425783890805</v>
      </c>
      <c r="R98" s="101">
        <f>IF(TrRoad_act!R14=0,0,R34/TrRoad_act!R14*1000)</f>
        <v>22.214846563271518</v>
      </c>
      <c r="S98" s="101">
        <f>IF(TrRoad_act!S14=0,0,S34/TrRoad_act!S14*1000)</f>
        <v>22.227141194549866</v>
      </c>
      <c r="T98" s="101">
        <f>IF(TrRoad_act!T14=0,0,T34/TrRoad_act!T14*1000)</f>
        <v>22.225465989070933</v>
      </c>
      <c r="U98" s="101">
        <f>IF(TrRoad_act!U14=0,0,U34/TrRoad_act!U14*1000)</f>
        <v>22.223577914665878</v>
      </c>
      <c r="V98" s="101">
        <f>IF(TrRoad_act!V14=0,0,V34/TrRoad_act!V14*1000)</f>
        <v>30.672615290274877</v>
      </c>
      <c r="W98" s="101">
        <f>IF(TrRoad_act!W14=0,0,W34/TrRoad_act!W14*1000)</f>
        <v>30.192358442814598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23.740490918311821</v>
      </c>
      <c r="C99" s="101">
        <f>IF(TrRoad_act!C15=0,0,C36/TrRoad_act!C15*1000)</f>
        <v>24.092277197960463</v>
      </c>
      <c r="D99" s="101">
        <f>IF(TrRoad_act!D15=0,0,D36/TrRoad_act!D15*1000)</f>
        <v>24.197608698583842</v>
      </c>
      <c r="E99" s="101">
        <f>IF(TrRoad_act!E15=0,0,E36/TrRoad_act!E15*1000)</f>
        <v>22.385817482856798</v>
      </c>
      <c r="F99" s="101">
        <f>IF(TrRoad_act!F15=0,0,F36/TrRoad_act!F15*1000)</f>
        <v>22.162844851374334</v>
      </c>
      <c r="G99" s="101">
        <f>IF(TrRoad_act!G15=0,0,G36/TrRoad_act!G15*1000)</f>
        <v>21.28634313902409</v>
      </c>
      <c r="H99" s="101">
        <f>IF(TrRoad_act!H15=0,0,H36/TrRoad_act!H15*1000)</f>
        <v>21.353502018466994</v>
      </c>
      <c r="I99" s="101">
        <f>IF(TrRoad_act!I15=0,0,I36/TrRoad_act!I15*1000)</f>
        <v>21.408100125157649</v>
      </c>
      <c r="J99" s="101">
        <f>IF(TrRoad_act!J15=0,0,J36/TrRoad_act!J15*1000)</f>
        <v>21.494701910640309</v>
      </c>
      <c r="K99" s="101">
        <f>IF(TrRoad_act!K15=0,0,K36/TrRoad_act!K15*1000)</f>
        <v>21.734808382794444</v>
      </c>
      <c r="L99" s="101">
        <f>IF(TrRoad_act!L15=0,0,L36/TrRoad_act!L15*1000)</f>
        <v>21.312337945265593</v>
      </c>
      <c r="M99" s="101">
        <f>IF(TrRoad_act!M15=0,0,M36/TrRoad_act!M15*1000)</f>
        <v>21.709084390585502</v>
      </c>
      <c r="N99" s="101">
        <f>IF(TrRoad_act!N15=0,0,N36/TrRoad_act!N15*1000)</f>
        <v>21.771415465349069</v>
      </c>
      <c r="O99" s="101">
        <f>IF(TrRoad_act!O15=0,0,O36/TrRoad_act!O15*1000)</f>
        <v>22.118136577091615</v>
      </c>
      <c r="P99" s="101">
        <f>IF(TrRoad_act!P15=0,0,P36/TrRoad_act!P15*1000)</f>
        <v>21.769176267904072</v>
      </c>
      <c r="Q99" s="101">
        <f>IF(TrRoad_act!Q15=0,0,Q36/TrRoad_act!Q15*1000)</f>
        <v>21.986874013762847</v>
      </c>
      <c r="R99" s="101">
        <f>IF(TrRoad_act!R15=0,0,R36/TrRoad_act!R15*1000)</f>
        <v>22.115296019907252</v>
      </c>
      <c r="S99" s="101">
        <f>IF(TrRoad_act!S15=0,0,S36/TrRoad_act!S15*1000)</f>
        <v>22.219660681759049</v>
      </c>
      <c r="T99" s="101">
        <f>IF(TrRoad_act!T15=0,0,T36/TrRoad_act!T15*1000)</f>
        <v>22.308839965349691</v>
      </c>
      <c r="U99" s="101">
        <f>IF(TrRoad_act!U15=0,0,U36/TrRoad_act!U15*1000)</f>
        <v>22.456089385842603</v>
      </c>
      <c r="V99" s="101">
        <f>IF(TrRoad_act!V15=0,0,V36/TrRoad_act!V15*1000)</f>
        <v>31.416828994838809</v>
      </c>
      <c r="W99" s="101">
        <f>IF(TrRoad_act!W15=0,0,W36/TrRoad_act!W15*1000)</f>
        <v>30.970746291959976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26.568297160604939</v>
      </c>
      <c r="W100" s="101">
        <f>IF(TrRoad_act!W16=0,0,W38/TrRoad_act!W16*1000)</f>
        <v>26.093577622797337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19.485537000814073</v>
      </c>
      <c r="C101" s="101">
        <f>IF(TrRoad_act!C17=0,0,C39/TrRoad_act!C17*1000)</f>
        <v>19.827117545352898</v>
      </c>
      <c r="D101" s="101">
        <f>IF(TrRoad_act!D17=0,0,D39/TrRoad_act!D17*1000)</f>
        <v>19.642821574490409</v>
      </c>
      <c r="E101" s="101">
        <f>IF(TrRoad_act!E17=0,0,E39/TrRoad_act!E17*1000)</f>
        <v>18.112825589486761</v>
      </c>
      <c r="F101" s="101">
        <f>IF(TrRoad_act!F17=0,0,F39/TrRoad_act!F17*1000)</f>
        <v>21.956114352654684</v>
      </c>
      <c r="G101" s="101">
        <f>IF(TrRoad_act!G17=0,0,G39/TrRoad_act!G17*1000)</f>
        <v>18.321047920202098</v>
      </c>
      <c r="H101" s="101">
        <f>IF(TrRoad_act!H17=0,0,H39/TrRoad_act!H17*1000)</f>
        <v>26.830614177096365</v>
      </c>
      <c r="I101" s="101">
        <f>IF(TrRoad_act!I17=0,0,I39/TrRoad_act!I17*1000)</f>
        <v>17.30873331367421</v>
      </c>
      <c r="J101" s="101">
        <f>IF(TrRoad_act!J17=0,0,J39/TrRoad_act!J17*1000)</f>
        <v>17.698221028188922</v>
      </c>
      <c r="K101" s="101">
        <f>IF(TrRoad_act!K17=0,0,K39/TrRoad_act!K17*1000)</f>
        <v>20.813230460961421</v>
      </c>
      <c r="L101" s="101">
        <f>IF(TrRoad_act!L17=0,0,L39/TrRoad_act!L17*1000)</f>
        <v>26.809278130633526</v>
      </c>
      <c r="M101" s="101">
        <f>IF(TrRoad_act!M17=0,0,M39/TrRoad_act!M17*1000)</f>
        <v>30.537156414530219</v>
      </c>
      <c r="N101" s="101">
        <f>IF(TrRoad_act!N17=0,0,N39/TrRoad_act!N17*1000)</f>
        <v>35.347752713246969</v>
      </c>
      <c r="O101" s="101">
        <f>IF(TrRoad_act!O17=0,0,O39/TrRoad_act!O17*1000)</f>
        <v>36.752725123961589</v>
      </c>
      <c r="P101" s="101">
        <f>IF(TrRoad_act!P17=0,0,P39/TrRoad_act!P17*1000)</f>
        <v>60.516314851125003</v>
      </c>
      <c r="Q101" s="101">
        <f>IF(TrRoad_act!Q17=0,0,Q39/TrRoad_act!Q17*1000)</f>
        <v>56.399307145773321</v>
      </c>
      <c r="R101" s="101">
        <f>IF(TrRoad_act!R17=0,0,R39/TrRoad_act!R17*1000)</f>
        <v>42.946821249346314</v>
      </c>
      <c r="S101" s="101">
        <f>IF(TrRoad_act!S17=0,0,S39/TrRoad_act!S17*1000)</f>
        <v>33.322186323000636</v>
      </c>
      <c r="T101" s="101">
        <f>IF(TrRoad_act!T17=0,0,T39/TrRoad_act!T17*1000)</f>
        <v>31.664160201979868</v>
      </c>
      <c r="U101" s="101">
        <f>IF(TrRoad_act!U17=0,0,U39/TrRoad_act!U17*1000)</f>
        <v>33.009153556632739</v>
      </c>
      <c r="V101" s="101">
        <f>IF(TrRoad_act!V17=0,0,V39/TrRoad_act!V17*1000)</f>
        <v>53.850062251973625</v>
      </c>
      <c r="W101" s="101">
        <f>IF(TrRoad_act!W17=0,0,W39/TrRoad_act!W17*1000)</f>
        <v>79.444643490222731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14.250363846867186</v>
      </c>
      <c r="C102" s="101">
        <f>IF(TrRoad_act!C18=0,0,C41/TrRoad_act!C18*1000)</f>
        <v>14.639960870588038</v>
      </c>
      <c r="D102" s="101">
        <f>IF(TrRoad_act!D18=0,0,D41/TrRoad_act!D18*1000)</f>
        <v>14.754820561205316</v>
      </c>
      <c r="E102" s="101">
        <f>IF(TrRoad_act!E18=0,0,E41/TrRoad_act!E18*1000)</f>
        <v>13.747575026262101</v>
      </c>
      <c r="F102" s="101">
        <f>IF(TrRoad_act!F18=0,0,F41/TrRoad_act!F18*1000)</f>
        <v>13.705433258429416</v>
      </c>
      <c r="G102" s="101">
        <f>IF(TrRoad_act!G18=0,0,G41/TrRoad_act!G18*1000)</f>
        <v>13.21485696281789</v>
      </c>
      <c r="H102" s="101">
        <f>IF(TrRoad_act!H18=0,0,H41/TrRoad_act!H18*1000)</f>
        <v>13.115534970431364</v>
      </c>
      <c r="I102" s="101">
        <f>IF(TrRoad_act!I18=0,0,I41/TrRoad_act!I18*1000)</f>
        <v>13.175459093720896</v>
      </c>
      <c r="J102" s="101">
        <f>IF(TrRoad_act!J18=0,0,J41/TrRoad_act!J18*1000)</f>
        <v>13.2488426895379</v>
      </c>
      <c r="K102" s="101">
        <f>IF(TrRoad_act!K18=0,0,K41/TrRoad_act!K18*1000)</f>
        <v>13.418247367755203</v>
      </c>
      <c r="L102" s="101">
        <f>IF(TrRoad_act!L18=0,0,L41/TrRoad_act!L18*1000)</f>
        <v>13.142798873616599</v>
      </c>
      <c r="M102" s="101">
        <f>IF(TrRoad_act!M18=0,0,M41/TrRoad_act!M18*1000)</f>
        <v>13.388543199291741</v>
      </c>
      <c r="N102" s="101">
        <f>IF(TrRoad_act!N18=0,0,N41/TrRoad_act!N18*1000)</f>
        <v>13.412951706023421</v>
      </c>
      <c r="O102" s="101">
        <f>IF(TrRoad_act!O18=0,0,O41/TrRoad_act!O18*1000)</f>
        <v>13.526780597895085</v>
      </c>
      <c r="P102" s="101">
        <f>IF(TrRoad_act!P18=0,0,P41/TrRoad_act!P18*1000)</f>
        <v>12.600706642914387</v>
      </c>
      <c r="Q102" s="101">
        <f>IF(TrRoad_act!Q18=0,0,Q41/TrRoad_act!Q18*1000)</f>
        <v>12.495484331309402</v>
      </c>
      <c r="R102" s="101">
        <f>IF(TrRoad_act!R18=0,0,R41/TrRoad_act!R18*1000)</f>
        <v>12.506305854691464</v>
      </c>
      <c r="S102" s="101">
        <f>IF(TrRoad_act!S18=0,0,S41/TrRoad_act!S18*1000)</f>
        <v>12.510468189175107</v>
      </c>
      <c r="T102" s="101">
        <f>IF(TrRoad_act!T18=0,0,T41/TrRoad_act!T18*1000)</f>
        <v>12.505942067127753</v>
      </c>
      <c r="U102" s="101">
        <f>IF(TrRoad_act!U18=0,0,U41/TrRoad_act!U18*1000)</f>
        <v>11.965443522865412</v>
      </c>
      <c r="V102" s="101">
        <f>IF(TrRoad_act!V18=0,0,V41/TrRoad_act!V18*1000)</f>
        <v>16.315305036153323</v>
      </c>
      <c r="W102" s="101">
        <f>IF(TrRoad_act!W18=0,0,W41/TrRoad_act!W18*1000)</f>
        <v>16.025149843304561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37.07446327480551</v>
      </c>
      <c r="C103" s="29">
        <f>IF(TrRoad_act!C19=0,0,C42/TrRoad_act!C19*1000)</f>
        <v>36.711444187965753</v>
      </c>
      <c r="D103" s="29">
        <f>IF(TrRoad_act!D19=0,0,D42/TrRoad_act!D19*1000)</f>
        <v>38.517917200745629</v>
      </c>
      <c r="E103" s="29">
        <f>IF(TrRoad_act!E19=0,0,E42/TrRoad_act!E19*1000)</f>
        <v>44.702652007454091</v>
      </c>
      <c r="F103" s="29">
        <f>IF(TrRoad_act!F19=0,0,F42/TrRoad_act!F19*1000)</f>
        <v>48.433011101540828</v>
      </c>
      <c r="G103" s="29">
        <f>IF(TrRoad_act!G19=0,0,G42/TrRoad_act!G19*1000)</f>
        <v>57.356309502308015</v>
      </c>
      <c r="H103" s="29">
        <f>IF(TrRoad_act!H19=0,0,H42/TrRoad_act!H19*1000)</f>
        <v>59.879884422884849</v>
      </c>
      <c r="I103" s="29">
        <f>IF(TrRoad_act!I19=0,0,I42/TrRoad_act!I19*1000)</f>
        <v>63.275232516434301</v>
      </c>
      <c r="J103" s="29">
        <f>IF(TrRoad_act!J19=0,0,J42/TrRoad_act!J19*1000)</f>
        <v>65.691562712247475</v>
      </c>
      <c r="K103" s="29">
        <f>IF(TrRoad_act!K19=0,0,K42/TrRoad_act!K19*1000)</f>
        <v>68.306686873548244</v>
      </c>
      <c r="L103" s="29">
        <f>IF(TrRoad_act!L19=0,0,L42/TrRoad_act!L19*1000)</f>
        <v>61.495366814498368</v>
      </c>
      <c r="M103" s="29">
        <f>IF(TrRoad_act!M19=0,0,M42/TrRoad_act!M19*1000)</f>
        <v>58.891527246327179</v>
      </c>
      <c r="N103" s="29">
        <f>IF(TrRoad_act!N19=0,0,N42/TrRoad_act!N19*1000)</f>
        <v>58.536367404171045</v>
      </c>
      <c r="O103" s="29">
        <f>IF(TrRoad_act!O19=0,0,O42/TrRoad_act!O19*1000)</f>
        <v>51.855822961944632</v>
      </c>
      <c r="P103" s="29">
        <f>IF(TrRoad_act!P19=0,0,P42/TrRoad_act!P19*1000)</f>
        <v>52.496935563867936</v>
      </c>
      <c r="Q103" s="29">
        <f>IF(TrRoad_act!Q19=0,0,Q42/TrRoad_act!Q19*1000)</f>
        <v>49.77705197898927</v>
      </c>
      <c r="R103" s="29">
        <f>IF(TrRoad_act!R19=0,0,R42/TrRoad_act!R19*1000)</f>
        <v>50.354855324148417</v>
      </c>
      <c r="S103" s="29">
        <f>IF(TrRoad_act!S19=0,0,S42/TrRoad_act!S19*1000)</f>
        <v>52.778049607540709</v>
      </c>
      <c r="T103" s="29">
        <f>IF(TrRoad_act!T19=0,0,T42/TrRoad_act!T19*1000)</f>
        <v>52.333282359745468</v>
      </c>
      <c r="U103" s="29">
        <f>IF(TrRoad_act!U19=0,0,U42/TrRoad_act!U19*1000)</f>
        <v>49.878480724873164</v>
      </c>
      <c r="V103" s="29">
        <f>IF(TrRoad_act!V19=0,0,V42/TrRoad_act!V19*1000)</f>
        <v>41.654110581074107</v>
      </c>
      <c r="W103" s="29">
        <f>IF(TrRoad_act!W19=0,0,W42/TrRoad_act!W19*1000)</f>
        <v>41.342598887270746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789.32561611627114</v>
      </c>
      <c r="C104" s="152">
        <f>IF(TrRoad_act!C20=0,0,C43/TrRoad_act!C20*1000)</f>
        <v>734.75501342482528</v>
      </c>
      <c r="D104" s="152">
        <f>IF(TrRoad_act!D20=0,0,D43/TrRoad_act!D20*1000)</f>
        <v>714.28327578703727</v>
      </c>
      <c r="E104" s="152">
        <f>IF(TrRoad_act!E20=0,0,E43/TrRoad_act!E20*1000)</f>
        <v>692.69232679480922</v>
      </c>
      <c r="F104" s="152">
        <f>IF(TrRoad_act!F20=0,0,F43/TrRoad_act!F20*1000)</f>
        <v>674.45838525388695</v>
      </c>
      <c r="G104" s="152">
        <f>IF(TrRoad_act!G20=0,0,G43/TrRoad_act!G20*1000)</f>
        <v>661.57417711136236</v>
      </c>
      <c r="H104" s="152">
        <f>IF(TrRoad_act!H20=0,0,H43/TrRoad_act!H20*1000)</f>
        <v>654.64968964124148</v>
      </c>
      <c r="I104" s="152">
        <f>IF(TrRoad_act!I20=0,0,I43/TrRoad_act!I20*1000)</f>
        <v>648.61083213378799</v>
      </c>
      <c r="J104" s="152">
        <f>IF(TrRoad_act!J20=0,0,J43/TrRoad_act!J20*1000)</f>
        <v>652.35159359919987</v>
      </c>
      <c r="K104" s="152">
        <f>IF(TrRoad_act!K20=0,0,K43/TrRoad_act!K20*1000)</f>
        <v>650.53322773265904</v>
      </c>
      <c r="L104" s="152">
        <f>IF(TrRoad_act!L20=0,0,L43/TrRoad_act!L20*1000)</f>
        <v>656.69107823267939</v>
      </c>
      <c r="M104" s="152">
        <f>IF(TrRoad_act!M20=0,0,M43/TrRoad_act!M20*1000)</f>
        <v>659.75607271566071</v>
      </c>
      <c r="N104" s="152">
        <f>IF(TrRoad_act!N20=0,0,N43/TrRoad_act!N20*1000)</f>
        <v>661.67869584925506</v>
      </c>
      <c r="O104" s="152">
        <f>IF(TrRoad_act!O20=0,0,O43/TrRoad_act!O20*1000)</f>
        <v>667.30884717490767</v>
      </c>
      <c r="P104" s="152">
        <f>IF(TrRoad_act!P20=0,0,P43/TrRoad_act!P20*1000)</f>
        <v>679.01533557403843</v>
      </c>
      <c r="Q104" s="152">
        <f>IF(TrRoad_act!Q20=0,0,Q43/TrRoad_act!Q20*1000)</f>
        <v>682.0656710468661</v>
      </c>
      <c r="R104" s="152">
        <f>IF(TrRoad_act!R20=0,0,R43/TrRoad_act!R20*1000)</f>
        <v>695.22665104217981</v>
      </c>
      <c r="S104" s="152">
        <f>IF(TrRoad_act!S20=0,0,S43/TrRoad_act!S20*1000)</f>
        <v>694.80611073958551</v>
      </c>
      <c r="T104" s="152">
        <f>IF(TrRoad_act!T20=0,0,T43/TrRoad_act!T20*1000)</f>
        <v>692.72961849078092</v>
      </c>
      <c r="U104" s="152">
        <f>IF(TrRoad_act!U20=0,0,U43/TrRoad_act!U20*1000)</f>
        <v>690.2885717368747</v>
      </c>
      <c r="V104" s="152">
        <f>IF(TrRoad_act!V20=0,0,V43/TrRoad_act!V20*1000)</f>
        <v>686.28113819156715</v>
      </c>
      <c r="W104" s="152">
        <f>IF(TrRoad_act!W20=0,0,W43/TrRoad_act!W20*1000)</f>
        <v>688.55860079317927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809.55553386161375</v>
      </c>
      <c r="C105" s="87">
        <f>IF(TrRoad_act!C21=0,0,C44/TrRoad_act!C21*1000)</f>
        <v>789.51682070163997</v>
      </c>
      <c r="D105" s="87">
        <f>IF(TrRoad_act!D21=0,0,D44/TrRoad_act!D21*1000)</f>
        <v>779.07623236169275</v>
      </c>
      <c r="E105" s="87">
        <f>IF(TrRoad_act!E21=0,0,E44/TrRoad_act!E21*1000)</f>
        <v>774.76550594031983</v>
      </c>
      <c r="F105" s="87">
        <f>IF(TrRoad_act!F21=0,0,F44/TrRoad_act!F21*1000)</f>
        <v>767.16090554802554</v>
      </c>
      <c r="G105" s="87">
        <f>IF(TrRoad_act!G21=0,0,G44/TrRoad_act!G21*1000)</f>
        <v>758.05054252297839</v>
      </c>
      <c r="H105" s="87">
        <f>IF(TrRoad_act!H21=0,0,H44/TrRoad_act!H21*1000)</f>
        <v>748.47923066737098</v>
      </c>
      <c r="I105" s="87">
        <f>IF(TrRoad_act!I21=0,0,I44/TrRoad_act!I21*1000)</f>
        <v>740.94449523294929</v>
      </c>
      <c r="J105" s="87">
        <f>IF(TrRoad_act!J21=0,0,J44/TrRoad_act!J21*1000)</f>
        <v>738.2523665066692</v>
      </c>
      <c r="K105" s="87">
        <f>IF(TrRoad_act!K21=0,0,K44/TrRoad_act!K21*1000)</f>
        <v>735.79024818999244</v>
      </c>
      <c r="L105" s="87">
        <f>IF(TrRoad_act!L21=0,0,L44/TrRoad_act!L21*1000)</f>
        <v>736.23335716787392</v>
      </c>
      <c r="M105" s="87">
        <f>IF(TrRoad_act!M21=0,0,M44/TrRoad_act!M21*1000)</f>
        <v>735.90334524658613</v>
      </c>
      <c r="N105" s="87">
        <f>IF(TrRoad_act!N21=0,0,N44/TrRoad_act!N21*1000)</f>
        <v>736.4318498776945</v>
      </c>
      <c r="O105" s="87">
        <f>IF(TrRoad_act!O21=0,0,O44/TrRoad_act!O21*1000)</f>
        <v>739.68986908016007</v>
      </c>
      <c r="P105" s="87">
        <f>IF(TrRoad_act!P21=0,0,P44/TrRoad_act!P21*1000)</f>
        <v>740.65446590306772</v>
      </c>
      <c r="Q105" s="87">
        <f>IF(TrRoad_act!Q21=0,0,Q44/TrRoad_act!Q21*1000)</f>
        <v>736.68322803958699</v>
      </c>
      <c r="R105" s="87">
        <f>IF(TrRoad_act!R21=0,0,R44/TrRoad_act!R21*1000)</f>
        <v>735.56653317828</v>
      </c>
      <c r="S105" s="87">
        <f>IF(TrRoad_act!S21=0,0,S44/TrRoad_act!S21*1000)</f>
        <v>730.07074921834669</v>
      </c>
      <c r="T105" s="87">
        <f>IF(TrRoad_act!T21=0,0,T44/TrRoad_act!T21*1000)</f>
        <v>726.67828935073533</v>
      </c>
      <c r="U105" s="87">
        <f>IF(TrRoad_act!U21=0,0,U44/TrRoad_act!U21*1000)</f>
        <v>723.08148949431916</v>
      </c>
      <c r="V105" s="87">
        <f>IF(TrRoad_act!V21=0,0,V44/TrRoad_act!V21*1000)</f>
        <v>719.73270644154957</v>
      </c>
      <c r="W105" s="87">
        <f>IF(TrRoad_act!W21=0,0,W44/TrRoad_act!W21*1000)</f>
        <v>714.76675527311193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744.95744076451467</v>
      </c>
      <c r="C106" s="87">
        <f>IF(TrRoad_act!C22=0,0,C46/TrRoad_act!C22*1000)</f>
        <v>687.96655985796917</v>
      </c>
      <c r="D106" s="87">
        <f>IF(TrRoad_act!D22=0,0,D46/TrRoad_act!D22*1000)</f>
        <v>671.89476460971696</v>
      </c>
      <c r="E106" s="87">
        <f>IF(TrRoad_act!E22=0,0,E46/TrRoad_act!E22*1000)</f>
        <v>655.40116581346297</v>
      </c>
      <c r="F106" s="87">
        <f>IF(TrRoad_act!F22=0,0,F46/TrRoad_act!F22*1000)</f>
        <v>641.78108132560681</v>
      </c>
      <c r="G106" s="87">
        <f>IF(TrRoad_act!G22=0,0,G46/TrRoad_act!G22*1000)</f>
        <v>633.68269231325428</v>
      </c>
      <c r="H106" s="87">
        <f>IF(TrRoad_act!H22=0,0,H46/TrRoad_act!H22*1000)</f>
        <v>629.46117653584145</v>
      </c>
      <c r="I106" s="87">
        <f>IF(TrRoad_act!I22=0,0,I46/TrRoad_act!I22*1000)</f>
        <v>625.49848473963152</v>
      </c>
      <c r="J106" s="87">
        <f>IF(TrRoad_act!J22=0,0,J46/TrRoad_act!J22*1000)</f>
        <v>633.25902801490042</v>
      </c>
      <c r="K106" s="87">
        <f>IF(TrRoad_act!K22=0,0,K46/TrRoad_act!K22*1000)</f>
        <v>632.5040975719196</v>
      </c>
      <c r="L106" s="87">
        <f>IF(TrRoad_act!L22=0,0,L46/TrRoad_act!L22*1000)</f>
        <v>640.99081628676845</v>
      </c>
      <c r="M106" s="87">
        <f>IF(TrRoad_act!M22=0,0,M46/TrRoad_act!M22*1000)</f>
        <v>645.21281319619595</v>
      </c>
      <c r="N106" s="87">
        <f>IF(TrRoad_act!N22=0,0,N46/TrRoad_act!N22*1000)</f>
        <v>646.96303360230092</v>
      </c>
      <c r="O106" s="87">
        <f>IF(TrRoad_act!O22=0,0,O46/TrRoad_act!O22*1000)</f>
        <v>652.84427742268588</v>
      </c>
      <c r="P106" s="87">
        <f>IF(TrRoad_act!P22=0,0,P46/TrRoad_act!P22*1000)</f>
        <v>665.4937983867419</v>
      </c>
      <c r="Q106" s="87">
        <f>IF(TrRoad_act!Q22=0,0,Q46/TrRoad_act!Q22*1000)</f>
        <v>669.58639104492386</v>
      </c>
      <c r="R106" s="87">
        <f>IF(TrRoad_act!R22=0,0,R46/TrRoad_act!R22*1000)</f>
        <v>679.16510715684831</v>
      </c>
      <c r="S106" s="87">
        <f>IF(TrRoad_act!S22=0,0,S46/TrRoad_act!S22*1000)</f>
        <v>678.98398736191962</v>
      </c>
      <c r="T106" s="87">
        <f>IF(TrRoad_act!T22=0,0,T46/TrRoad_act!T22*1000)</f>
        <v>677.04101465536075</v>
      </c>
      <c r="U106" s="87">
        <f>IF(TrRoad_act!U22=0,0,U46/TrRoad_act!U22*1000)</f>
        <v>675.07631254821183</v>
      </c>
      <c r="V106" s="87">
        <f>IF(TrRoad_act!V22=0,0,V46/TrRoad_act!V22*1000)</f>
        <v>671.86021864488055</v>
      </c>
      <c r="W106" s="87">
        <f>IF(TrRoad_act!W22=0,0,W46/TrRoad_act!W22*1000)</f>
        <v>674.66447683293609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1828.2745072115954</v>
      </c>
      <c r="C107" s="87">
        <f>IF(TrRoad_act!C23=0,0,C48/TrRoad_act!C23*1000)</f>
        <v>1814.077970920102</v>
      </c>
      <c r="D107" s="87">
        <f>IF(TrRoad_act!D23=0,0,D48/TrRoad_act!D23*1000)</f>
        <v>1761.5979142050082</v>
      </c>
      <c r="E107" s="87">
        <f>IF(TrRoad_act!E23=0,0,E48/TrRoad_act!E23*1000)</f>
        <v>1703.2052338156871</v>
      </c>
      <c r="F107" s="87">
        <f>IF(TrRoad_act!F23=0,0,F48/TrRoad_act!F23*1000)</f>
        <v>1626.6044737852037</v>
      </c>
      <c r="G107" s="87">
        <f>IF(TrRoad_act!G23=0,0,G48/TrRoad_act!G23*1000)</f>
        <v>1561.1317738491043</v>
      </c>
      <c r="H107" s="87">
        <f>IF(TrRoad_act!H23=0,0,H48/TrRoad_act!H23*1000)</f>
        <v>1481.546498584089</v>
      </c>
      <c r="I107" s="87">
        <f>IF(TrRoad_act!I23=0,0,I48/TrRoad_act!I23*1000)</f>
        <v>1412.1178080485656</v>
      </c>
      <c r="J107" s="87">
        <f>IF(TrRoad_act!J23=0,0,J48/TrRoad_act!J23*1000)</f>
        <v>1383.9073108001583</v>
      </c>
      <c r="K107" s="87">
        <f>IF(TrRoad_act!K23=0,0,K48/TrRoad_act!K23*1000)</f>
        <v>1339.8180085223735</v>
      </c>
      <c r="L107" s="87">
        <f>IF(TrRoad_act!L23=0,0,L48/TrRoad_act!L23*1000)</f>
        <v>1314.7836822135853</v>
      </c>
      <c r="M107" s="87">
        <f>IF(TrRoad_act!M23=0,0,M48/TrRoad_act!M23*1000)</f>
        <v>1283.8495172181126</v>
      </c>
      <c r="N107" s="87">
        <f>IF(TrRoad_act!N23=0,0,N48/TrRoad_act!N23*1000)</f>
        <v>1267.3448628112844</v>
      </c>
      <c r="O107" s="87">
        <f>IF(TrRoad_act!O23=0,0,O48/TrRoad_act!O23*1000)</f>
        <v>1268.1908625166279</v>
      </c>
      <c r="P107" s="87">
        <f>IF(TrRoad_act!P23=0,0,P48/TrRoad_act!P23*1000)</f>
        <v>1273.5056537711475</v>
      </c>
      <c r="Q107" s="87">
        <f>IF(TrRoad_act!Q23=0,0,Q48/TrRoad_act!Q23*1000)</f>
        <v>1268.9265119066699</v>
      </c>
      <c r="R107" s="87">
        <f>IF(TrRoad_act!R23=0,0,R48/TrRoad_act!R23*1000)</f>
        <v>1277.2747099695221</v>
      </c>
      <c r="S107" s="87">
        <f>IF(TrRoad_act!S23=0,0,S48/TrRoad_act!S23*1000)</f>
        <v>1268.7002060949467</v>
      </c>
      <c r="T107" s="87">
        <f>IF(TrRoad_act!T23=0,0,T48/TrRoad_act!T23*1000)</f>
        <v>1254.1765037160958</v>
      </c>
      <c r="U107" s="87">
        <f>IF(TrRoad_act!U23=0,0,U48/TrRoad_act!U23*1000)</f>
        <v>1251.7875972576635</v>
      </c>
      <c r="V107" s="87">
        <f>IF(TrRoad_act!V23=0,0,V48/TrRoad_act!V23*1000)</f>
        <v>1250.3562092309865</v>
      </c>
      <c r="W107" s="87">
        <f>IF(TrRoad_act!W23=0,0,W48/TrRoad_act!W23*1000)</f>
        <v>1252.8816247274274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1085.5740271984407</v>
      </c>
      <c r="O108" s="87">
        <f>IF(TrRoad_act!O24=0,0,O49/TrRoad_act!O24*1000)</f>
        <v>1053.5933736690254</v>
      </c>
      <c r="P108" s="87">
        <f>IF(TrRoad_act!P24=0,0,P49/TrRoad_act!P24*1000)</f>
        <v>1011.5216896479479</v>
      </c>
      <c r="Q108" s="87">
        <f>IF(TrRoad_act!Q24=0,0,Q49/TrRoad_act!Q24*1000)</f>
        <v>873.95705933233569</v>
      </c>
      <c r="R108" s="87">
        <f>IF(TrRoad_act!R24=0,0,R49/TrRoad_act!R24*1000)</f>
        <v>974.93583604046751</v>
      </c>
      <c r="S108" s="87">
        <f>IF(TrRoad_act!S24=0,0,S49/TrRoad_act!S24*1000)</f>
        <v>948.99949886462173</v>
      </c>
      <c r="T108" s="87">
        <f>IF(TrRoad_act!T24=0,0,T49/TrRoad_act!T24*1000)</f>
        <v>920.30454140496306</v>
      </c>
      <c r="U108" s="87">
        <f>IF(TrRoad_act!U24=0,0,U49/TrRoad_act!U24*1000)</f>
        <v>904.22817139716767</v>
      </c>
      <c r="V108" s="87">
        <f>IF(TrRoad_act!V24=0,0,V49/TrRoad_act!V24*1000)</f>
        <v>877.36951281077233</v>
      </c>
      <c r="W108" s="87">
        <f>IF(TrRoad_act!W24=0,0,W49/TrRoad_act!W24*1000)</f>
        <v>901.87626574616149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122.50721614405603</v>
      </c>
      <c r="K109" s="87">
        <f>IF(TrRoad_act!K25=0,0,K51/TrRoad_act!K25*1000)</f>
        <v>122.5863384600076</v>
      </c>
      <c r="L109" s="87">
        <f>IF(TrRoad_act!L25=0,0,L51/TrRoad_act!L25*1000)</f>
        <v>122.76531065129217</v>
      </c>
      <c r="M109" s="87">
        <f>IF(TrRoad_act!M25=0,0,M51/TrRoad_act!M25*1000)</f>
        <v>123.09242198700868</v>
      </c>
      <c r="N109" s="87">
        <f>IF(TrRoad_act!N25=0,0,N51/TrRoad_act!N25*1000)</f>
        <v>124.02855830634637</v>
      </c>
      <c r="O109" s="87">
        <f>IF(TrRoad_act!O25=0,0,O51/TrRoad_act!O25*1000)</f>
        <v>124.77985578164534</v>
      </c>
      <c r="P109" s="87">
        <f>IF(TrRoad_act!P25=0,0,P51/TrRoad_act!P25*1000)</f>
        <v>125.84635008009498</v>
      </c>
      <c r="Q109" s="87">
        <f>IF(TrRoad_act!Q25=0,0,Q51/TrRoad_act!Q25*1000)</f>
        <v>128.95240021430794</v>
      </c>
      <c r="R109" s="87">
        <f>IF(TrRoad_act!R25=0,0,R51/TrRoad_act!R25*1000)</f>
        <v>129.49734309008653</v>
      </c>
      <c r="S109" s="87">
        <f>IF(TrRoad_act!S25=0,0,S51/TrRoad_act!S25*1000)</f>
        <v>130.30198015679764</v>
      </c>
      <c r="T109" s="87">
        <f>IF(TrRoad_act!T25=0,0,T51/TrRoad_act!T25*1000)</f>
        <v>140.49126745666464</v>
      </c>
      <c r="U109" s="87">
        <f>IF(TrRoad_act!U25=0,0,U51/TrRoad_act!U25*1000)</f>
        <v>156.5779308962409</v>
      </c>
      <c r="V109" s="87">
        <f>IF(TrRoad_act!V25=0,0,V51/TrRoad_act!V25*1000)</f>
        <v>159.01990405467711</v>
      </c>
      <c r="W109" s="87">
        <f>IF(TrRoad_act!W25=0,0,W51/TrRoad_act!W25*1000)</f>
        <v>177.31563971738396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31.165091886032762</v>
      </c>
      <c r="C110" s="116">
        <f>IF(TrRoad_act!C26=0,0,C52/TrRoad_act!C26*1000)</f>
        <v>30.718076169675626</v>
      </c>
      <c r="D110" s="116">
        <f>IF(TrRoad_act!D26=0,0,D52/TrRoad_act!D26*1000)</f>
        <v>32.128212344470882</v>
      </c>
      <c r="E110" s="116">
        <f>IF(TrRoad_act!E26=0,0,E52/TrRoad_act!E26*1000)</f>
        <v>37.763737404820567</v>
      </c>
      <c r="F110" s="116">
        <f>IF(TrRoad_act!F26=0,0,F52/TrRoad_act!F26*1000)</f>
        <v>40.737554319677741</v>
      </c>
      <c r="G110" s="116">
        <f>IF(TrRoad_act!G26=0,0,G52/TrRoad_act!G26*1000)</f>
        <v>48.390194095449317</v>
      </c>
      <c r="H110" s="116">
        <f>IF(TrRoad_act!H26=0,0,H52/TrRoad_act!H26*1000)</f>
        <v>50.012753354197052</v>
      </c>
      <c r="I110" s="116">
        <f>IF(TrRoad_act!I26=0,0,I52/TrRoad_act!I26*1000)</f>
        <v>52.205056421178845</v>
      </c>
      <c r="J110" s="116">
        <f>IF(TrRoad_act!J26=0,0,J52/TrRoad_act!J26*1000)</f>
        <v>51.906455441894046</v>
      </c>
      <c r="K110" s="116">
        <f>IF(TrRoad_act!K26=0,0,K52/TrRoad_act!K26*1000)</f>
        <v>52.688791525110098</v>
      </c>
      <c r="L110" s="116">
        <f>IF(TrRoad_act!L26=0,0,L52/TrRoad_act!L26*1000)</f>
        <v>46.163634249565575</v>
      </c>
      <c r="M110" s="116">
        <f>IF(TrRoad_act!M26=0,0,M52/TrRoad_act!M26*1000)</f>
        <v>43.705665730234387</v>
      </c>
      <c r="N110" s="116">
        <f>IF(TrRoad_act!N26=0,0,N52/TrRoad_act!N26*1000)</f>
        <v>42.750112505466952</v>
      </c>
      <c r="O110" s="116">
        <f>IF(TrRoad_act!O26=0,0,O52/TrRoad_act!O26*1000)</f>
        <v>36.606148772198338</v>
      </c>
      <c r="P110" s="116">
        <f>IF(TrRoad_act!P26=0,0,P52/TrRoad_act!P26*1000)</f>
        <v>36.152612699899315</v>
      </c>
      <c r="Q110" s="116">
        <f>IF(TrRoad_act!Q26=0,0,Q52/TrRoad_act!Q26*1000)</f>
        <v>34.23276963209959</v>
      </c>
      <c r="R110" s="116">
        <f>IF(TrRoad_act!R26=0,0,R52/TrRoad_act!R26*1000)</f>
        <v>37.212398580014899</v>
      </c>
      <c r="S110" s="116">
        <f>IF(TrRoad_act!S26=0,0,S52/TrRoad_act!S26*1000)</f>
        <v>39.371102392029201</v>
      </c>
      <c r="T110" s="116">
        <f>IF(TrRoad_act!T26=0,0,T52/TrRoad_act!T26*1000)</f>
        <v>38.933521323756189</v>
      </c>
      <c r="U110" s="116">
        <f>IF(TrRoad_act!U26=0,0,U52/TrRoad_act!U26*1000)</f>
        <v>37.053249913201398</v>
      </c>
      <c r="V110" s="116">
        <f>IF(TrRoad_act!V26=0,0,V52/TrRoad_act!V26*1000)</f>
        <v>30.50669994175999</v>
      </c>
      <c r="W110" s="116">
        <f>IF(TrRoad_act!W26=0,0,W52/TrRoad_act!W26*1000)</f>
        <v>30.660851355417318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32.739854768384696</v>
      </c>
      <c r="C111" s="101">
        <f>IF(TrRoad_act!C27=0,0,C53/TrRoad_act!C27*1000)</f>
        <v>35.727490888834524</v>
      </c>
      <c r="D111" s="101">
        <f>IF(TrRoad_act!D27=0,0,D53/TrRoad_act!D27*1000)</f>
        <v>37.523228851987561</v>
      </c>
      <c r="E111" s="101">
        <f>IF(TrRoad_act!E27=0,0,E53/TrRoad_act!E27*1000)</f>
        <v>42.040264931625849</v>
      </c>
      <c r="F111" s="101">
        <f>IF(TrRoad_act!F27=0,0,F53/TrRoad_act!F27*1000)</f>
        <v>49.424960061986681</v>
      </c>
      <c r="G111" s="101">
        <f>IF(TrRoad_act!G27=0,0,G53/TrRoad_act!G27*1000)</f>
        <v>59.703333873400361</v>
      </c>
      <c r="H111" s="101">
        <f>IF(TrRoad_act!H27=0,0,H53/TrRoad_act!H27*1000)</f>
        <v>55.799318554827408</v>
      </c>
      <c r="I111" s="101">
        <f>IF(TrRoad_act!I27=0,0,I53/TrRoad_act!I27*1000)</f>
        <v>55.938480994019386</v>
      </c>
      <c r="J111" s="101">
        <f>IF(TrRoad_act!J27=0,0,J53/TrRoad_act!J27*1000)</f>
        <v>53.656061658764415</v>
      </c>
      <c r="K111" s="101">
        <f>IF(TrRoad_act!K27=0,0,K53/TrRoad_act!K27*1000)</f>
        <v>52.133419943012882</v>
      </c>
      <c r="L111" s="101">
        <f>IF(TrRoad_act!L27=0,0,L53/TrRoad_act!L27*1000)</f>
        <v>46.633409184330539</v>
      </c>
      <c r="M111" s="101">
        <f>IF(TrRoad_act!M27=0,0,M53/TrRoad_act!M27*1000)</f>
        <v>45.094999256353027</v>
      </c>
      <c r="N111" s="101">
        <f>IF(TrRoad_act!N27=0,0,N53/TrRoad_act!N27*1000)</f>
        <v>44.458517649464959</v>
      </c>
      <c r="O111" s="101">
        <f>IF(TrRoad_act!O27=0,0,O53/TrRoad_act!O27*1000)</f>
        <v>42.401444676317688</v>
      </c>
      <c r="P111" s="101">
        <f>IF(TrRoad_act!P27=0,0,P53/TrRoad_act!P27*1000)</f>
        <v>41.92026179281703</v>
      </c>
      <c r="Q111" s="101">
        <f>IF(TrRoad_act!Q27=0,0,Q53/TrRoad_act!Q27*1000)</f>
        <v>39.47766830818172</v>
      </c>
      <c r="R111" s="101">
        <f>IF(TrRoad_act!R27=0,0,R53/TrRoad_act!R27*1000)</f>
        <v>38.889233070541117</v>
      </c>
      <c r="S111" s="101">
        <f>IF(TrRoad_act!S27=0,0,S53/TrRoad_act!S27*1000)</f>
        <v>41.65053236595854</v>
      </c>
      <c r="T111" s="101">
        <f>IF(TrRoad_act!T27=0,0,T53/TrRoad_act!T27*1000)</f>
        <v>40.245073627373863</v>
      </c>
      <c r="U111" s="101">
        <f>IF(TrRoad_act!U27=0,0,U53/TrRoad_act!U27*1000)</f>
        <v>38.093346801199893</v>
      </c>
      <c r="V111" s="101">
        <f>IF(TrRoad_act!V27=0,0,V53/TrRoad_act!V27*1000)</f>
        <v>35.920342880476113</v>
      </c>
      <c r="W111" s="101">
        <f>IF(TrRoad_act!W27=0,0,W53/TrRoad_act!W27*1000)</f>
        <v>37.290679326101085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29.315694012775531</v>
      </c>
      <c r="C112" s="88">
        <f>IF(TrRoad_act!C28=0,0,C55/TrRoad_act!C28*1000)</f>
        <v>24.919696476305358</v>
      </c>
      <c r="D112" s="88">
        <f>IF(TrRoad_act!D28=0,0,D55/TrRoad_act!D28*1000)</f>
        <v>25.716076006136959</v>
      </c>
      <c r="E112" s="88">
        <f>IF(TrRoad_act!E28=0,0,E55/TrRoad_act!E28*1000)</f>
        <v>32.441494482013297</v>
      </c>
      <c r="F112" s="88">
        <f>IF(TrRoad_act!F28=0,0,F55/TrRoad_act!F28*1000)</f>
        <v>32.128711309277101</v>
      </c>
      <c r="G112" s="88">
        <f>IF(TrRoad_act!G28=0,0,G55/TrRoad_act!G28*1000)</f>
        <v>37.922125476527484</v>
      </c>
      <c r="H112" s="88">
        <f>IF(TrRoad_act!H28=0,0,H55/TrRoad_act!H28*1000)</f>
        <v>44.729921397481071</v>
      </c>
      <c r="I112" s="88">
        <f>IF(TrRoad_act!I28=0,0,I55/TrRoad_act!I28*1000)</f>
        <v>48.949290283692946</v>
      </c>
      <c r="J112" s="88">
        <f>IF(TrRoad_act!J28=0,0,J55/TrRoad_act!J28*1000)</f>
        <v>50.267417480077945</v>
      </c>
      <c r="K112" s="88">
        <f>IF(TrRoad_act!K28=0,0,K55/TrRoad_act!K28*1000)</f>
        <v>53.166264093331456</v>
      </c>
      <c r="L112" s="88">
        <f>IF(TrRoad_act!L28=0,0,L55/TrRoad_act!L28*1000)</f>
        <v>45.760860480384579</v>
      </c>
      <c r="M112" s="88">
        <f>IF(TrRoad_act!M28=0,0,M55/TrRoad_act!M28*1000)</f>
        <v>42.560320711764646</v>
      </c>
      <c r="N112" s="88">
        <f>IF(TrRoad_act!N28=0,0,N55/TrRoad_act!N28*1000)</f>
        <v>41.387601692206793</v>
      </c>
      <c r="O112" s="88">
        <f>IF(TrRoad_act!O28=0,0,O55/TrRoad_act!O28*1000)</f>
        <v>32.1498105973007</v>
      </c>
      <c r="P112" s="88">
        <f>IF(TrRoad_act!P28=0,0,P55/TrRoad_act!P28*1000)</f>
        <v>31.350487867948509</v>
      </c>
      <c r="Q112" s="88">
        <f>IF(TrRoad_act!Q28=0,0,Q55/TrRoad_act!Q28*1000)</f>
        <v>29.062458693834586</v>
      </c>
      <c r="R112" s="88">
        <f>IF(TrRoad_act!R28=0,0,R55/TrRoad_act!R28*1000)</f>
        <v>35.432223082120089</v>
      </c>
      <c r="S112" s="88">
        <f>IF(TrRoad_act!S28=0,0,S55/TrRoad_act!S28*1000)</f>
        <v>37.013740734321587</v>
      </c>
      <c r="T112" s="88">
        <f>IF(TrRoad_act!T28=0,0,T55/TrRoad_act!T28*1000)</f>
        <v>37.382336963057355</v>
      </c>
      <c r="U112" s="88">
        <f>IF(TrRoad_act!U28=0,0,U55/TrRoad_act!U28*1000)</f>
        <v>35.792654702530363</v>
      </c>
      <c r="V112" s="88">
        <f>IF(TrRoad_act!V28=0,0,V55/TrRoad_act!V28*1000)</f>
        <v>23.977022928216595</v>
      </c>
      <c r="W112" s="88">
        <f>IF(TrRoad_act!W28=0,0,W55/TrRoad_act!W28*1000)</f>
        <v>22.874779712447314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45.871006568016298</v>
      </c>
      <c r="C116" s="152">
        <f>IF(C19=0,0,1000000*C19/TrRoad_act!C59)</f>
        <v>43.049768528234488</v>
      </c>
      <c r="D116" s="152">
        <f>IF(D19=0,0,1000000*D19/TrRoad_act!D59)</f>
        <v>41.57394126902841</v>
      </c>
      <c r="E116" s="152">
        <f>IF(E19=0,0,1000000*E19/TrRoad_act!E59)</f>
        <v>41.889382291708607</v>
      </c>
      <c r="F116" s="152">
        <f>IF(F19=0,0,1000000*F19/TrRoad_act!F59)</f>
        <v>41.421856777956208</v>
      </c>
      <c r="G116" s="152">
        <f>IF(G19=0,0,1000000*G19/TrRoad_act!G59)</f>
        <v>40.652317418502768</v>
      </c>
      <c r="H116" s="152">
        <f>IF(H19=0,0,1000000*H19/TrRoad_act!H59)</f>
        <v>40.400269712862368</v>
      </c>
      <c r="I116" s="152">
        <f>IF(I19=0,0,1000000*I19/TrRoad_act!I59)</f>
        <v>40.281434313580291</v>
      </c>
      <c r="J116" s="152">
        <f>IF(J19=0,0,1000000*J19/TrRoad_act!J59)</f>
        <v>40.27174346607157</v>
      </c>
      <c r="K116" s="152">
        <f>IF(K19=0,0,1000000*K19/TrRoad_act!K59)</f>
        <v>40.377995070633794</v>
      </c>
      <c r="L116" s="152">
        <f>IF(L19=0,0,1000000*L19/TrRoad_act!L59)</f>
        <v>40.116032556749282</v>
      </c>
      <c r="M116" s="152">
        <f>IF(M19=0,0,1000000*M19/TrRoad_act!M59)</f>
        <v>39.902740144549831</v>
      </c>
      <c r="N116" s="152">
        <f>IF(N19=0,0,1000000*N19/TrRoad_act!N59)</f>
        <v>39.766180825514873</v>
      </c>
      <c r="O116" s="152">
        <f>IF(O19=0,0,1000000*O19/TrRoad_act!O59)</f>
        <v>39.65117059486689</v>
      </c>
      <c r="P116" s="152">
        <f>IF(P19=0,0,1000000*P19/TrRoad_act!P59)</f>
        <v>39.521094678494123</v>
      </c>
      <c r="Q116" s="152">
        <f>IF(Q19=0,0,1000000*Q19/TrRoad_act!Q59)</f>
        <v>39.11463398726351</v>
      </c>
      <c r="R116" s="152">
        <f>IF(R19=0,0,1000000*R19/TrRoad_act!R59)</f>
        <v>39.072232297081378</v>
      </c>
      <c r="S116" s="152">
        <f>IF(S19=0,0,1000000*S19/TrRoad_act!S59)</f>
        <v>35.974838791671743</v>
      </c>
      <c r="T116" s="152">
        <f>IF(T19=0,0,1000000*T19/TrRoad_act!T59)</f>
        <v>33.430065886278285</v>
      </c>
      <c r="U116" s="152">
        <f>IF(U19=0,0,1000000*U19/TrRoad_act!U59)</f>
        <v>34.575432962740571</v>
      </c>
      <c r="V116" s="152">
        <f>IF(V19=0,0,1000000*V19/TrRoad_act!V59)</f>
        <v>30.154659408027822</v>
      </c>
      <c r="W116" s="152">
        <f>IF(W19=0,0,1000000*W19/TrRoad_act!W59)</f>
        <v>29.45462721844547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691.10899611163586</v>
      </c>
      <c r="C117" s="116">
        <f>IF(C21=0,0,1000000*C21/TrRoad_act!C60)</f>
        <v>725.74511641722472</v>
      </c>
      <c r="D117" s="116">
        <f>IF(D21=0,0,1000000*D21/TrRoad_act!D60)</f>
        <v>730.9878195952374</v>
      </c>
      <c r="E117" s="116">
        <f>IF(E21=0,0,1000000*E21/TrRoad_act!E60)</f>
        <v>815.78715828616112</v>
      </c>
      <c r="F117" s="116">
        <f>IF(F21=0,0,1000000*F21/TrRoad_act!F60)</f>
        <v>811.90546511045341</v>
      </c>
      <c r="G117" s="116">
        <f>IF(G21=0,0,1000000*G21/TrRoad_act!G60)</f>
        <v>805.73695521670095</v>
      </c>
      <c r="H117" s="116">
        <f>IF(H21=0,0,1000000*H21/TrRoad_act!H60)</f>
        <v>784.49210375520761</v>
      </c>
      <c r="I117" s="116">
        <f>IF(I21=0,0,1000000*I21/TrRoad_act!I60)</f>
        <v>788.15110509655938</v>
      </c>
      <c r="J117" s="116">
        <f>IF(J21=0,0,1000000*J21/TrRoad_act!J60)</f>
        <v>764.22908869170885</v>
      </c>
      <c r="K117" s="116">
        <f>IF(K21=0,0,1000000*K21/TrRoad_act!K60)</f>
        <v>776.54500587540451</v>
      </c>
      <c r="L117" s="116">
        <f>IF(L21=0,0,1000000*L21/TrRoad_act!L60)</f>
        <v>702.99803098759094</v>
      </c>
      <c r="M117" s="116">
        <f>IF(M21=0,0,1000000*M21/TrRoad_act!M60)</f>
        <v>699.3481239504614</v>
      </c>
      <c r="N117" s="116">
        <f>IF(N21=0,0,1000000*N21/TrRoad_act!N60)</f>
        <v>672.57402472166757</v>
      </c>
      <c r="O117" s="116">
        <f>IF(O21=0,0,1000000*O21/TrRoad_act!O60)</f>
        <v>671.08562121464411</v>
      </c>
      <c r="P117" s="116">
        <f>IF(P21=0,0,1000000*P21/TrRoad_act!P60)</f>
        <v>669.47251589004588</v>
      </c>
      <c r="Q117" s="116">
        <f>IF(Q21=0,0,1000000*Q21/TrRoad_act!Q60)</f>
        <v>643.3700772611943</v>
      </c>
      <c r="R117" s="116">
        <f>IF(R21=0,0,1000000*R21/TrRoad_act!R60)</f>
        <v>651.16177370306582</v>
      </c>
      <c r="S117" s="116">
        <f>IF(S21=0,0,1000000*S21/TrRoad_act!S60)</f>
        <v>635.43509063095428</v>
      </c>
      <c r="T117" s="116">
        <f>IF(T21=0,0,1000000*T21/TrRoad_act!T60)</f>
        <v>623.40474006963689</v>
      </c>
      <c r="U117" s="116">
        <f>IF(U21=0,0,1000000*U21/TrRoad_act!U60)</f>
        <v>620.15458010074497</v>
      </c>
      <c r="V117" s="116">
        <f>IF(V21=0,0,1000000*V21/TrRoad_act!V60)</f>
        <v>582.89086923030357</v>
      </c>
      <c r="W117" s="116">
        <f>IF(W21=0,0,1000000*W21/TrRoad_act!W60)</f>
        <v>629.47600308924552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598.00393389166356</v>
      </c>
      <c r="C118" s="87">
        <f>IF(C22=0,0,1000000*C22/TrRoad_act!C61)</f>
        <v>617.29766984856064</v>
      </c>
      <c r="D118" s="87">
        <f>IF(D22=0,0,1000000*D22/TrRoad_act!D61)</f>
        <v>616.04820916628432</v>
      </c>
      <c r="E118" s="87">
        <f>IF(E22=0,0,1000000*E22/TrRoad_act!E61)</f>
        <v>678.89989202178913</v>
      </c>
      <c r="F118" s="87">
        <f>IF(F22=0,0,1000000*F22/TrRoad_act!F61)</f>
        <v>668.84432988534343</v>
      </c>
      <c r="G118" s="87">
        <f>IF(G22=0,0,1000000*G22/TrRoad_act!G61)</f>
        <v>641.5291789970255</v>
      </c>
      <c r="H118" s="87">
        <f>IF(H22=0,0,1000000*H22/TrRoad_act!H61)</f>
        <v>621.93318070171381</v>
      </c>
      <c r="I118" s="87">
        <f>IF(I22=0,0,1000000*I22/TrRoad_act!I61)</f>
        <v>634.44380762508331</v>
      </c>
      <c r="J118" s="87">
        <f>IF(J22=0,0,1000000*J22/TrRoad_act!J61)</f>
        <v>610.26889829850893</v>
      </c>
      <c r="K118" s="87">
        <f>IF(K22=0,0,1000000*K22/TrRoad_act!K61)</f>
        <v>617.71397713202691</v>
      </c>
      <c r="L118" s="87">
        <f>IF(L22=0,0,1000000*L22/TrRoad_act!L61)</f>
        <v>566.06832977922977</v>
      </c>
      <c r="M118" s="87">
        <f>IF(M22=0,0,1000000*M22/TrRoad_act!M61)</f>
        <v>549.49298575394175</v>
      </c>
      <c r="N118" s="87">
        <f>IF(N22=0,0,1000000*N22/TrRoad_act!N61)</f>
        <v>519.04832409597293</v>
      </c>
      <c r="O118" s="87">
        <f>IF(O22=0,0,1000000*O22/TrRoad_act!O61)</f>
        <v>489.62141987144042</v>
      </c>
      <c r="P118" s="87">
        <f>IF(P22=0,0,1000000*P22/TrRoad_act!P61)</f>
        <v>489.69366438992148</v>
      </c>
      <c r="Q118" s="87">
        <f>IF(Q22=0,0,1000000*Q22/TrRoad_act!Q61)</f>
        <v>475.20259457922305</v>
      </c>
      <c r="R118" s="87">
        <f>IF(R22=0,0,1000000*R22/TrRoad_act!R61)</f>
        <v>478.08143373591014</v>
      </c>
      <c r="S118" s="87">
        <f>IF(S22=0,0,1000000*S22/TrRoad_act!S61)</f>
        <v>464.52518904980593</v>
      </c>
      <c r="T118" s="87">
        <f>IF(T22=0,0,1000000*T22/TrRoad_act!T61)</f>
        <v>459.05373696407287</v>
      </c>
      <c r="U118" s="87">
        <f>IF(U22=0,0,1000000*U22/TrRoad_act!U61)</f>
        <v>451.46141872896089</v>
      </c>
      <c r="V118" s="87">
        <f>IF(V22=0,0,1000000*V22/TrRoad_act!V61)</f>
        <v>403.60298016401401</v>
      </c>
      <c r="W118" s="87">
        <f>IF(W22=0,0,1000000*W22/TrRoad_act!W61)</f>
        <v>416.52146366118609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1413.635002885537</v>
      </c>
      <c r="C119" s="87">
        <f>IF(C24=0,0,1000000*C24/TrRoad_act!C62)</f>
        <v>1498.3598262973899</v>
      </c>
      <c r="D119" s="87">
        <f>IF(D24=0,0,1000000*D24/TrRoad_act!D62)</f>
        <v>1451.6311460122404</v>
      </c>
      <c r="E119" s="87">
        <f>IF(E24=0,0,1000000*E24/TrRoad_act!E62)</f>
        <v>1577.4142482956574</v>
      </c>
      <c r="F119" s="87">
        <f>IF(F24=0,0,1000000*F24/TrRoad_act!F62)</f>
        <v>1535.1822256356618</v>
      </c>
      <c r="G119" s="87">
        <f>IF(G24=0,0,1000000*G24/TrRoad_act!G62)</f>
        <v>1570.844614556501</v>
      </c>
      <c r="H119" s="87">
        <f>IF(H24=0,0,1000000*H24/TrRoad_act!H62)</f>
        <v>1477.3955551380493</v>
      </c>
      <c r="I119" s="87">
        <f>IF(I24=0,0,1000000*I24/TrRoad_act!I62)</f>
        <v>1394.7012114290319</v>
      </c>
      <c r="J119" s="87">
        <f>IF(J24=0,0,1000000*J24/TrRoad_act!J62)</f>
        <v>1312.2419116959895</v>
      </c>
      <c r="K119" s="87">
        <f>IF(K24=0,0,1000000*K24/TrRoad_act!K62)</f>
        <v>1286.4618355939406</v>
      </c>
      <c r="L119" s="87">
        <f>IF(L24=0,0,1000000*L24/TrRoad_act!L62)</f>
        <v>1097.0633856849913</v>
      </c>
      <c r="M119" s="87">
        <f>IF(M24=0,0,1000000*M24/TrRoad_act!M62)</f>
        <v>1093.2886779341809</v>
      </c>
      <c r="N119" s="87">
        <f>IF(N24=0,0,1000000*N24/TrRoad_act!N62)</f>
        <v>1028.9149029829148</v>
      </c>
      <c r="O119" s="87">
        <f>IF(O24=0,0,1000000*O24/TrRoad_act!O62)</f>
        <v>1075.2618902449888</v>
      </c>
      <c r="P119" s="87">
        <f>IF(P24=0,0,1000000*P24/TrRoad_act!P62)</f>
        <v>1046.8686985487805</v>
      </c>
      <c r="Q119" s="87">
        <f>IF(Q24=0,0,1000000*Q24/TrRoad_act!Q62)</f>
        <v>969.68411754148315</v>
      </c>
      <c r="R119" s="87">
        <f>IF(R24=0,0,1000000*R24/TrRoad_act!R62)</f>
        <v>967.73952083521908</v>
      </c>
      <c r="S119" s="87">
        <f>IF(S24=0,0,1000000*S24/TrRoad_act!S62)</f>
        <v>932.10200174930822</v>
      </c>
      <c r="T119" s="87">
        <f>IF(T24=0,0,1000000*T24/TrRoad_act!T62)</f>
        <v>891.10354413491257</v>
      </c>
      <c r="U119" s="87">
        <f>IF(U24=0,0,1000000*U24/TrRoad_act!U62)</f>
        <v>887.09353456584506</v>
      </c>
      <c r="V119" s="87">
        <f>IF(V24=0,0,1000000*V24/TrRoad_act!V62)</f>
        <v>861.67670580715571</v>
      </c>
      <c r="W119" s="87">
        <f>IF(W24=0,0,1000000*W24/TrRoad_act!W62)</f>
        <v>957.03478144399628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787.95714730437066</v>
      </c>
      <c r="C120" s="87">
        <f>IF(C26=0,0,1000000*C26/TrRoad_act!C63)</f>
        <v>744.60034720743613</v>
      </c>
      <c r="D120" s="87">
        <f>IF(D26=0,0,1000000*D26/TrRoad_act!D63)</f>
        <v>711.49057507823898</v>
      </c>
      <c r="E120" s="87">
        <f>IF(E26=0,0,1000000*E26/TrRoad_act!E63)</f>
        <v>687.54589948008675</v>
      </c>
      <c r="F120" s="87">
        <f>IF(F26=0,0,1000000*F26/TrRoad_act!F63)</f>
        <v>657.94944799373718</v>
      </c>
      <c r="G120" s="87">
        <f>IF(G26=0,0,1000000*G26/TrRoad_act!G63)</f>
        <v>628.06097469693975</v>
      </c>
      <c r="H120" s="87">
        <f>IF(H26=0,0,1000000*H26/TrRoad_act!H63)</f>
        <v>597.94676034355155</v>
      </c>
      <c r="I120" s="87">
        <f>IF(I26=0,0,1000000*I26/TrRoad_act!I63)</f>
        <v>574.50926243662695</v>
      </c>
      <c r="J120" s="87">
        <f>IF(J26=0,0,1000000*J26/TrRoad_act!J63)</f>
        <v>554.24447269174857</v>
      </c>
      <c r="K120" s="87">
        <f>IF(K26=0,0,1000000*K26/TrRoad_act!K63)</f>
        <v>536.12467309389262</v>
      </c>
      <c r="L120" s="87">
        <f>IF(L26=0,0,1000000*L26/TrRoad_act!L63)</f>
        <v>517.82977119256941</v>
      </c>
      <c r="M120" s="87">
        <f>IF(M26=0,0,1000000*M26/TrRoad_act!M63)</f>
        <v>496.04211658125337</v>
      </c>
      <c r="N120" s="87">
        <f>IF(N26=0,0,1000000*N26/TrRoad_act!N63)</f>
        <v>470.51280283128273</v>
      </c>
      <c r="O120" s="87">
        <f>IF(O26=0,0,1000000*O26/TrRoad_act!O63)</f>
        <v>468.03089350991974</v>
      </c>
      <c r="P120" s="87">
        <f>IF(P26=0,0,1000000*P26/TrRoad_act!P63)</f>
        <v>462.07856899142922</v>
      </c>
      <c r="Q120" s="87">
        <f>IF(Q26=0,0,1000000*Q26/TrRoad_act!Q63)</f>
        <v>467.58842970750015</v>
      </c>
      <c r="R120" s="87">
        <f>IF(R26=0,0,1000000*R26/TrRoad_act!R63)</f>
        <v>457.36612930281041</v>
      </c>
      <c r="S120" s="87">
        <f>IF(S26=0,0,1000000*S26/TrRoad_act!S63)</f>
        <v>456.87451977756604</v>
      </c>
      <c r="T120" s="87">
        <f>IF(T26=0,0,1000000*T26/TrRoad_act!T63)</f>
        <v>454.70908750963184</v>
      </c>
      <c r="U120" s="87">
        <f>IF(U26=0,0,1000000*U26/TrRoad_act!U63)</f>
        <v>456.83108970479276</v>
      </c>
      <c r="V120" s="87">
        <f>IF(V26=0,0,1000000*V26/TrRoad_act!V63)</f>
        <v>395.91680395168044</v>
      </c>
      <c r="W120" s="87">
        <f>IF(W26=0,0,1000000*W26/TrRoad_act!W63)</f>
        <v>420.42644003521457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984.75819637501513</v>
      </c>
      <c r="K121" s="87">
        <f>IF(K27=0,0,1000000*K27/TrRoad_act!K64)</f>
        <v>1041.3552159492908</v>
      </c>
      <c r="L121" s="87">
        <f>IF(L27=0,0,1000000*L27/TrRoad_act!L64)</f>
        <v>948.71380499581198</v>
      </c>
      <c r="M121" s="87">
        <f>IF(M27=0,0,1000000*M27/TrRoad_act!M64)</f>
        <v>906.5743675144322</v>
      </c>
      <c r="N121" s="87">
        <f>IF(N27=0,0,1000000*N27/TrRoad_act!N64)</f>
        <v>807.49592001096471</v>
      </c>
      <c r="O121" s="87">
        <f>IF(O27=0,0,1000000*O27/TrRoad_act!O64)</f>
        <v>714.04154732143945</v>
      </c>
      <c r="P121" s="87">
        <f>IF(P27=0,0,1000000*P27/TrRoad_act!P64)</f>
        <v>664.81256107972047</v>
      </c>
      <c r="Q121" s="87">
        <f>IF(Q27=0,0,1000000*Q27/TrRoad_act!Q64)</f>
        <v>598.04547204049811</v>
      </c>
      <c r="R121" s="87">
        <f>IF(R27=0,0,1000000*R27/TrRoad_act!R64)</f>
        <v>602.75451464645027</v>
      </c>
      <c r="S121" s="87">
        <f>IF(S27=0,0,1000000*S27/TrRoad_act!S64)</f>
        <v>600.55406075232486</v>
      </c>
      <c r="T121" s="87">
        <f>IF(T27=0,0,1000000*T27/TrRoad_act!T64)</f>
        <v>610.3880436789874</v>
      </c>
      <c r="U121" s="87">
        <f>IF(U27=0,0,1000000*U27/TrRoad_act!U64)</f>
        <v>624.28064885225263</v>
      </c>
      <c r="V121" s="87">
        <f>IF(V27=0,0,1000000*V27/TrRoad_act!V64)</f>
        <v>597.2810183837878</v>
      </c>
      <c r="W121" s="87">
        <f>IF(W27=0,0,1000000*W27/TrRoad_act!W64)</f>
        <v>661.38785970548918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202.67162005405598</v>
      </c>
      <c r="O122" s="87">
        <f>IF(O29=0,0,1000000*O29/TrRoad_act!O65)</f>
        <v>221.39231719670261</v>
      </c>
      <c r="P122" s="87">
        <f>IF(P29=0,0,1000000*P29/TrRoad_act!P65)</f>
        <v>200.24411716685492</v>
      </c>
      <c r="Q122" s="87">
        <f>IF(Q29=0,0,1000000*Q29/TrRoad_act!Q65)</f>
        <v>300.89841680263351</v>
      </c>
      <c r="R122" s="87">
        <f>IF(R29=0,0,1000000*R29/TrRoad_act!R65)</f>
        <v>260.87739453556173</v>
      </c>
      <c r="S122" s="87">
        <f>IF(S29=0,0,1000000*S29/TrRoad_act!S65)</f>
        <v>265.89626122159694</v>
      </c>
      <c r="T122" s="87">
        <f>IF(T29=0,0,1000000*T29/TrRoad_act!T65)</f>
        <v>249.11146758823273</v>
      </c>
      <c r="U122" s="87">
        <f>IF(U29=0,0,1000000*U29/TrRoad_act!U65)</f>
        <v>240.63690753673075</v>
      </c>
      <c r="V122" s="87">
        <f>IF(V29=0,0,1000000*V29/TrRoad_act!V65)</f>
        <v>214.28159208747843</v>
      </c>
      <c r="W122" s="87">
        <f>IF(W29=0,0,1000000*W29/TrRoad_act!W65)</f>
        <v>212.3560521028385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120.43014271263797</v>
      </c>
      <c r="M123" s="87">
        <f>IF(M32=0,0,1000000*M32/TrRoad_act!M66)</f>
        <v>121.07328753573157</v>
      </c>
      <c r="N123" s="87">
        <f>IF(N32=0,0,1000000*N32/TrRoad_act!N66)</f>
        <v>119.45645686867907</v>
      </c>
      <c r="O123" s="87">
        <f>IF(O32=0,0,1000000*O32/TrRoad_act!O66)</f>
        <v>118.64317057274206</v>
      </c>
      <c r="P123" s="87">
        <f>IF(P32=0,0,1000000*P32/TrRoad_act!P66)</f>
        <v>118.37940187030821</v>
      </c>
      <c r="Q123" s="87">
        <f>IF(Q32=0,0,1000000*Q32/TrRoad_act!Q66)</f>
        <v>121.24870782788764</v>
      </c>
      <c r="R123" s="87">
        <f>IF(R32=0,0,1000000*R32/TrRoad_act!R66)</f>
        <v>134.26888726660368</v>
      </c>
      <c r="S123" s="87">
        <f>IF(S32=0,0,1000000*S32/TrRoad_act!S66)</f>
        <v>132.69495629918109</v>
      </c>
      <c r="T123" s="87">
        <f>IF(T32=0,0,1000000*T32/TrRoad_act!T66)</f>
        <v>134.54013416262615</v>
      </c>
      <c r="U123" s="87">
        <f>IF(U32=0,0,1000000*U32/TrRoad_act!U66)</f>
        <v>142.72529849293716</v>
      </c>
      <c r="V123" s="87">
        <f>IF(V32=0,0,1000000*V32/TrRoad_act!V66)</f>
        <v>135.8381385769089</v>
      </c>
      <c r="W123" s="87">
        <f>IF(W32=0,0,1000000*W32/TrRoad_act!W66)</f>
        <v>154.09500084878064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16941.375216204135</v>
      </c>
      <c r="C124" s="116">
        <f>IF(C33=0,0,1000000*C33/TrRoad_act!C67)</f>
        <v>16962.021674541935</v>
      </c>
      <c r="D124" s="116">
        <f>IF(D33=0,0,1000000*D33/TrRoad_act!D67)</f>
        <v>17442.886800591503</v>
      </c>
      <c r="E124" s="116">
        <f>IF(E33=0,0,1000000*E33/TrRoad_act!E67)</f>
        <v>16496.131103460026</v>
      </c>
      <c r="F124" s="116">
        <f>IF(F33=0,0,1000000*F33/TrRoad_act!F67)</f>
        <v>15643.988994810461</v>
      </c>
      <c r="G124" s="116">
        <f>IF(G33=0,0,1000000*G33/TrRoad_act!G67)</f>
        <v>15293.723402994903</v>
      </c>
      <c r="H124" s="116">
        <f>IF(H33=0,0,1000000*H33/TrRoad_act!H67)</f>
        <v>15777.893935744974</v>
      </c>
      <c r="I124" s="116">
        <f>IF(I33=0,0,1000000*I33/TrRoad_act!I67)</f>
        <v>15833.998444172554</v>
      </c>
      <c r="J124" s="116">
        <f>IF(J33=0,0,1000000*J33/TrRoad_act!J67)</f>
        <v>15948.707719335574</v>
      </c>
      <c r="K124" s="116">
        <f>IF(K33=0,0,1000000*K33/TrRoad_act!K67)</f>
        <v>16491.047829792547</v>
      </c>
      <c r="L124" s="116">
        <f>IF(L33=0,0,1000000*L33/TrRoad_act!L67)</f>
        <v>17442.681091825532</v>
      </c>
      <c r="M124" s="116">
        <f>IF(M33=0,0,1000000*M33/TrRoad_act!M67)</f>
        <v>16658.365113079522</v>
      </c>
      <c r="N124" s="116">
        <f>IF(N33=0,0,1000000*N33/TrRoad_act!N67)</f>
        <v>16166.174587269919</v>
      </c>
      <c r="O124" s="116">
        <f>IF(O33=0,0,1000000*O33/TrRoad_act!O67)</f>
        <v>17074.869796793224</v>
      </c>
      <c r="P124" s="116">
        <f>IF(P33=0,0,1000000*P33/TrRoad_act!P67)</f>
        <v>18619.458351308054</v>
      </c>
      <c r="Q124" s="116">
        <f>IF(Q33=0,0,1000000*Q33/TrRoad_act!Q67)</f>
        <v>18002.937367227427</v>
      </c>
      <c r="R124" s="116">
        <f>IF(R33=0,0,1000000*R33/TrRoad_act!R67)</f>
        <v>18988.404568052742</v>
      </c>
      <c r="S124" s="116">
        <f>IF(S33=0,0,1000000*S33/TrRoad_act!S67)</f>
        <v>19389.384070793996</v>
      </c>
      <c r="T124" s="116">
        <f>IF(T33=0,0,1000000*T33/TrRoad_act!T67)</f>
        <v>18755.56611727404</v>
      </c>
      <c r="U124" s="116">
        <f>IF(U33=0,0,1000000*U33/TrRoad_act!U67)</f>
        <v>18766.888098662806</v>
      </c>
      <c r="V124" s="116">
        <f>IF(V33=0,0,1000000*V33/TrRoad_act!V67)</f>
        <v>15676.352914398172</v>
      </c>
      <c r="W124" s="116">
        <f>IF(W33=0,0,1000000*W33/TrRoad_act!W67)</f>
        <v>15593.304263353322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3171.7446144051514</v>
      </c>
      <c r="C125" s="101">
        <f>IF(C34=0,0,1000000*C34/TrRoad_act!C68)</f>
        <v>3148.5045793449258</v>
      </c>
      <c r="D125" s="101">
        <f>IF(D34=0,0,1000000*D34/TrRoad_act!D68)</f>
        <v>3205.2760020300534</v>
      </c>
      <c r="E125" s="101">
        <f>IF(E34=0,0,1000000*E34/TrRoad_act!E68)</f>
        <v>3102.4110298460009</v>
      </c>
      <c r="F125" s="101">
        <f>IF(F34=0,0,1000000*F34/TrRoad_act!F68)</f>
        <v>2914.4014774010225</v>
      </c>
      <c r="G125" s="101">
        <f>IF(G34=0,0,1000000*G34/TrRoad_act!G68)</f>
        <v>2805.2023897832419</v>
      </c>
      <c r="H125" s="101">
        <f>IF(H34=0,0,1000000*H34/TrRoad_act!H68)</f>
        <v>2810.1492882782554</v>
      </c>
      <c r="I125" s="101">
        <f>IF(I34=0,0,1000000*I34/TrRoad_act!I68)</f>
        <v>2845.8165723288012</v>
      </c>
      <c r="J125" s="101">
        <f>IF(J34=0,0,1000000*J34/TrRoad_act!J68)</f>
        <v>2873.5598015475284</v>
      </c>
      <c r="K125" s="101">
        <f>IF(K34=0,0,1000000*K34/TrRoad_act!K68)</f>
        <v>2931.6774765254345</v>
      </c>
      <c r="L125" s="101">
        <f>IF(L34=0,0,1000000*L34/TrRoad_act!L68)</f>
        <v>3056.1829882391189</v>
      </c>
      <c r="M125" s="101">
        <f>IF(M34=0,0,1000000*M34/TrRoad_act!M68)</f>
        <v>2847.0694577912927</v>
      </c>
      <c r="N125" s="101">
        <f>IF(N34=0,0,1000000*N34/TrRoad_act!N68)</f>
        <v>2685.3609179152404</v>
      </c>
      <c r="O125" s="101">
        <f>IF(O34=0,0,1000000*O34/TrRoad_act!O68)</f>
        <v>2753.7062127500099</v>
      </c>
      <c r="P125" s="101">
        <f>IF(P34=0,0,1000000*P34/TrRoad_act!P68)</f>
        <v>2823.0392605859051</v>
      </c>
      <c r="Q125" s="101">
        <f>IF(Q34=0,0,1000000*Q34/TrRoad_act!Q68)</f>
        <v>2651.905154828451</v>
      </c>
      <c r="R125" s="101">
        <f>IF(R34=0,0,1000000*R34/TrRoad_act!R68)</f>
        <v>2741.7557358934905</v>
      </c>
      <c r="S125" s="101">
        <f>IF(S34=0,0,1000000*S34/TrRoad_act!S68)</f>
        <v>2770.3760597642367</v>
      </c>
      <c r="T125" s="101">
        <f>IF(T34=0,0,1000000*T34/TrRoad_act!T68)</f>
        <v>2618.2970038476342</v>
      </c>
      <c r="U125" s="101">
        <f>IF(U34=0,0,1000000*U34/TrRoad_act!U68)</f>
        <v>2521.3985894493153</v>
      </c>
      <c r="V125" s="101">
        <f>IF(V34=0,0,1000000*V34/TrRoad_act!V68)</f>
        <v>1962.5663487862012</v>
      </c>
      <c r="W125" s="101">
        <f>IF(W34=0,0,1000000*W34/TrRoad_act!W68)</f>
        <v>1772.2877213368999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19630.703686699831</v>
      </c>
      <c r="C126" s="101">
        <f>IF(C36=0,0,1000000*C36/TrRoad_act!C69)</f>
        <v>19399.337089337532</v>
      </c>
      <c r="D126" s="101">
        <f>IF(D36=0,0,1000000*D36/TrRoad_act!D69)</f>
        <v>20322.240835868051</v>
      </c>
      <c r="E126" s="101">
        <f>IF(E36=0,0,1000000*E36/TrRoad_act!E69)</f>
        <v>18941.749752829615</v>
      </c>
      <c r="F126" s="101">
        <f>IF(F36=0,0,1000000*F36/TrRoad_act!F69)</f>
        <v>17627.045435580854</v>
      </c>
      <c r="G126" s="101">
        <f>IF(G36=0,0,1000000*G36/TrRoad_act!G69)</f>
        <v>17177.485562275673</v>
      </c>
      <c r="H126" s="101">
        <f>IF(H36=0,0,1000000*H36/TrRoad_act!H69)</f>
        <v>17511.597786271392</v>
      </c>
      <c r="I126" s="101">
        <f>IF(I36=0,0,1000000*I36/TrRoad_act!I69)</f>
        <v>17799.851412053653</v>
      </c>
      <c r="J126" s="101">
        <f>IF(J36=0,0,1000000*J36/TrRoad_act!J69)</f>
        <v>17825.276839495888</v>
      </c>
      <c r="K126" s="101">
        <f>IF(K36=0,0,1000000*K36/TrRoad_act!K69)</f>
        <v>18313.053326609308</v>
      </c>
      <c r="L126" s="101">
        <f>IF(L36=0,0,1000000*L36/TrRoad_act!L69)</f>
        <v>19323.176279373434</v>
      </c>
      <c r="M126" s="101">
        <f>IF(M36=0,0,1000000*M36/TrRoad_act!M69)</f>
        <v>18325.54482480355</v>
      </c>
      <c r="N126" s="101">
        <f>IF(N36=0,0,1000000*N36/TrRoad_act!N69)</f>
        <v>17609.991749990084</v>
      </c>
      <c r="O126" s="101">
        <f>IF(O36=0,0,1000000*O36/TrRoad_act!O69)</f>
        <v>18619.580045762639</v>
      </c>
      <c r="P126" s="101">
        <f>IF(P36=0,0,1000000*P36/TrRoad_act!P69)</f>
        <v>19761.379833127339</v>
      </c>
      <c r="Q126" s="101">
        <f>IF(Q36=0,0,1000000*Q36/TrRoad_act!Q69)</f>
        <v>18962.963669925386</v>
      </c>
      <c r="R126" s="101">
        <f>IF(R36=0,0,1000000*R36/TrRoad_act!R69)</f>
        <v>19915.591867134288</v>
      </c>
      <c r="S126" s="101">
        <f>IF(S36=0,0,1000000*S36/TrRoad_act!S69)</f>
        <v>20336.122788412125</v>
      </c>
      <c r="T126" s="101">
        <f>IF(T36=0,0,1000000*T36/TrRoad_act!T69)</f>
        <v>19661.43439391243</v>
      </c>
      <c r="U126" s="101">
        <f>IF(U36=0,0,1000000*U36/TrRoad_act!U69)</f>
        <v>19443.370231500649</v>
      </c>
      <c r="V126" s="101">
        <f>IF(V36=0,0,1000000*V36/TrRoad_act!V69)</f>
        <v>15921.875465341558</v>
      </c>
      <c r="W126" s="101">
        <f>IF(W36=0,0,1000000*W36/TrRoad_act!W69)</f>
        <v>14730.854659021386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7006.4271531489603</v>
      </c>
      <c r="W127" s="101">
        <f>IF(W38=0,0,1000000*W38/TrRoad_act!W70)</f>
        <v>6481.4423626041762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14009.547247012779</v>
      </c>
      <c r="C128" s="101">
        <f>IF(C39=0,0,1000000*C39/TrRoad_act!C71)</f>
        <v>13427.719996701962</v>
      </c>
      <c r="D128" s="101">
        <f>IF(D39=0,0,1000000*D39/TrRoad_act!D71)</f>
        <v>12566.968714862094</v>
      </c>
      <c r="E128" s="101">
        <f>IF(E39=0,0,1000000*E39/TrRoad_act!E71)</f>
        <v>12181.140728002292</v>
      </c>
      <c r="F128" s="101">
        <f>IF(F39=0,0,1000000*F39/TrRoad_act!F71)</f>
        <v>17626.827171109202</v>
      </c>
      <c r="G128" s="101">
        <f>IF(G39=0,0,1000000*G39/TrRoad_act!G71)</f>
        <v>14975.637718543994</v>
      </c>
      <c r="H128" s="101">
        <f>IF(H39=0,0,1000000*H39/TrRoad_act!H71)</f>
        <v>20134.709085697898</v>
      </c>
      <c r="I128" s="101">
        <f>IF(I39=0,0,1000000*I39/TrRoad_act!I71)</f>
        <v>10509.219451609821</v>
      </c>
      <c r="J128" s="101">
        <f>IF(J39=0,0,1000000*J39/TrRoad_act!J71)</f>
        <v>10613.531910553265</v>
      </c>
      <c r="K128" s="101">
        <f>IF(K39=0,0,1000000*K39/TrRoad_act!K71)</f>
        <v>12048.524604706872</v>
      </c>
      <c r="L128" s="101">
        <f>IF(L39=0,0,1000000*L39/TrRoad_act!L71)</f>
        <v>15640.262687866401</v>
      </c>
      <c r="M128" s="101">
        <f>IF(M39=0,0,1000000*M39/TrRoad_act!M71)</f>
        <v>18261.085139513303</v>
      </c>
      <c r="N128" s="101">
        <f>IF(N39=0,0,1000000*N39/TrRoad_act!N71)</f>
        <v>21115.79202997989</v>
      </c>
      <c r="O128" s="101">
        <f>IF(O39=0,0,1000000*O39/TrRoad_act!O71)</f>
        <v>20911.269268679422</v>
      </c>
      <c r="P128" s="101">
        <f>IF(P39=0,0,1000000*P39/TrRoad_act!P71)</f>
        <v>35884.360281814334</v>
      </c>
      <c r="Q128" s="101">
        <f>IF(Q39=0,0,1000000*Q39/TrRoad_act!Q71)</f>
        <v>31164.918883518447</v>
      </c>
      <c r="R128" s="101">
        <f>IF(R39=0,0,1000000*R39/TrRoad_act!R71)</f>
        <v>31244.864850102007</v>
      </c>
      <c r="S128" s="101">
        <f>IF(S39=0,0,1000000*S39/TrRoad_act!S71)</f>
        <v>29939.168537345144</v>
      </c>
      <c r="T128" s="101">
        <f>IF(T39=0,0,1000000*T39/TrRoad_act!T71)</f>
        <v>27403.265105556853</v>
      </c>
      <c r="U128" s="101">
        <f>IF(U39=0,0,1000000*U39/TrRoad_act!U71)</f>
        <v>28051.274879268422</v>
      </c>
      <c r="V128" s="101">
        <f>IF(V39=0,0,1000000*V39/TrRoad_act!V71)</f>
        <v>26274.738170545588</v>
      </c>
      <c r="W128" s="101">
        <f>IF(W39=0,0,1000000*W39/TrRoad_act!W71)</f>
        <v>36368.945132026107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13131.163034057428</v>
      </c>
      <c r="C129" s="101">
        <f>IF(C41=0,0,1000000*C41/TrRoad_act!C72)</f>
        <v>13067.022429786857</v>
      </c>
      <c r="D129" s="101">
        <f>IF(D41=0,0,1000000*D41/TrRoad_act!D72)</f>
        <v>13089.395936737861</v>
      </c>
      <c r="E129" s="101">
        <f>IF(E41=0,0,1000000*E41/TrRoad_act!E72)</f>
        <v>13122.027349356758</v>
      </c>
      <c r="F129" s="101">
        <f>IF(F41=0,0,1000000*F41/TrRoad_act!F72)</f>
        <v>13134.233223358207</v>
      </c>
      <c r="G129" s="101">
        <f>IF(G41=0,0,1000000*G41/TrRoad_act!G72)</f>
        <v>13144.86162179472</v>
      </c>
      <c r="H129" s="101">
        <f>IF(H41=0,0,1000000*H41/TrRoad_act!H72)</f>
        <v>12980.510940326179</v>
      </c>
      <c r="I129" s="101">
        <f>IF(I41=0,0,1000000*I41/TrRoad_act!I72)</f>
        <v>12989.054484329856</v>
      </c>
      <c r="J129" s="101">
        <f>IF(J41=0,0,1000000*J41/TrRoad_act!J72)</f>
        <v>12990.350212379954</v>
      </c>
      <c r="K129" s="101">
        <f>IF(K41=0,0,1000000*K41/TrRoad_act!K72)</f>
        <v>13000.1526275009</v>
      </c>
      <c r="L129" s="101">
        <f>IF(L41=0,0,1000000*L41/TrRoad_act!L72)</f>
        <v>13012.422314461992</v>
      </c>
      <c r="M129" s="101">
        <f>IF(M41=0,0,1000000*M41/TrRoad_act!M72)</f>
        <v>13041.505667172183</v>
      </c>
      <c r="N129" s="101">
        <f>IF(N41=0,0,1000000*N41/TrRoad_act!N72)</f>
        <v>13069.724620293224</v>
      </c>
      <c r="O129" s="101">
        <f>IF(O41=0,0,1000000*O41/TrRoad_act!O72)</f>
        <v>13023.372723523307</v>
      </c>
      <c r="P129" s="101">
        <f>IF(P41=0,0,1000000*P41/TrRoad_act!P72)</f>
        <v>12390.100577135952</v>
      </c>
      <c r="Q129" s="101">
        <f>IF(Q41=0,0,1000000*Q41/TrRoad_act!Q72)</f>
        <v>12222.36387604164</v>
      </c>
      <c r="R129" s="101">
        <f>IF(R41=0,0,1000000*R41/TrRoad_act!R72)</f>
        <v>12182.178348788148</v>
      </c>
      <c r="S129" s="101">
        <f>IF(S41=0,0,1000000*S41/TrRoad_act!S72)</f>
        <v>12145.919267347332</v>
      </c>
      <c r="T129" s="101">
        <f>IF(T41=0,0,1000000*T41/TrRoad_act!T72)</f>
        <v>12105.909395909908</v>
      </c>
      <c r="U129" s="101">
        <f>IF(U41=0,0,1000000*U41/TrRoad_act!U72)</f>
        <v>11564.719254799626</v>
      </c>
      <c r="V129" s="101">
        <f>IF(V41=0,0,1000000*V41/TrRoad_act!V72)</f>
        <v>9669.8389994497884</v>
      </c>
      <c r="W129" s="101">
        <f>IF(W41=0,0,1000000*W41/TrRoad_act!W72)</f>
        <v>11232.087495077514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1084.2143184829256</v>
      </c>
      <c r="C131" s="152">
        <f>IF(C43=0,0,1000000*C43/TrRoad_act!C74)</f>
        <v>1069.0102444528673</v>
      </c>
      <c r="D131" s="152">
        <f>IF(D43=0,0,1000000*D43/TrRoad_act!D74)</f>
        <v>1069.0770946210991</v>
      </c>
      <c r="E131" s="152">
        <f>IF(E43=0,0,1000000*E43/TrRoad_act!E74)</f>
        <v>1072.581547727511</v>
      </c>
      <c r="F131" s="152">
        <f>IF(F43=0,0,1000000*F43/TrRoad_act!F74)</f>
        <v>1061.20320810982</v>
      </c>
      <c r="G131" s="152">
        <f>IF(G43=0,0,1000000*G43/TrRoad_act!G74)</f>
        <v>1055.5266985239468</v>
      </c>
      <c r="H131" s="152">
        <f>IF(H43=0,0,1000000*H43/TrRoad_act!H74)</f>
        <v>1042.4600273651126</v>
      </c>
      <c r="I131" s="152">
        <f>IF(I43=0,0,1000000*I43/TrRoad_act!I74)</f>
        <v>1023.7581963114185</v>
      </c>
      <c r="J131" s="152">
        <f>IF(J43=0,0,1000000*J43/TrRoad_act!J74)</f>
        <v>1080.5156458370009</v>
      </c>
      <c r="K131" s="152">
        <f>IF(K43=0,0,1000000*K43/TrRoad_act!K74)</f>
        <v>1091.040802387246</v>
      </c>
      <c r="L131" s="152">
        <f>IF(L43=0,0,1000000*L43/TrRoad_act!L74)</f>
        <v>1159.2766436643053</v>
      </c>
      <c r="M131" s="152">
        <f>IF(M43=0,0,1000000*M43/TrRoad_act!M74)</f>
        <v>1182.5833852374096</v>
      </c>
      <c r="N131" s="152">
        <f>IF(N43=0,0,1000000*N43/TrRoad_act!N74)</f>
        <v>1202.1150094672539</v>
      </c>
      <c r="O131" s="152">
        <f>IF(O43=0,0,1000000*O43/TrRoad_act!O74)</f>
        <v>1256.2163590814125</v>
      </c>
      <c r="P131" s="152">
        <f>IF(P43=0,0,1000000*P43/TrRoad_act!P74)</f>
        <v>1368.0083531819587</v>
      </c>
      <c r="Q131" s="152">
        <f>IF(Q43=0,0,1000000*Q43/TrRoad_act!Q74)</f>
        <v>1402.0961943734401</v>
      </c>
      <c r="R131" s="152">
        <f>IF(R43=0,0,1000000*R43/TrRoad_act!R74)</f>
        <v>1427.9202598698062</v>
      </c>
      <c r="S131" s="152">
        <f>IF(S43=0,0,1000000*S43/TrRoad_act!S74)</f>
        <v>1432.6123362440746</v>
      </c>
      <c r="T131" s="152">
        <f>IF(T43=0,0,1000000*T43/TrRoad_act!T74)</f>
        <v>1427.1015483174128</v>
      </c>
      <c r="U131" s="152">
        <f>IF(U43=0,0,1000000*U43/TrRoad_act!U74)</f>
        <v>1420.651281577638</v>
      </c>
      <c r="V131" s="152">
        <f>IF(V43=0,0,1000000*V43/TrRoad_act!V74)</f>
        <v>1375.588223988764</v>
      </c>
      <c r="W131" s="152">
        <f>IF(W43=0,0,1000000*W43/TrRoad_act!W74)</f>
        <v>1410.9207190429615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625.56351928320214</v>
      </c>
      <c r="C132" s="87">
        <f>IF(C44=0,0,1000000*C44/TrRoad_act!C75)</f>
        <v>622.70391826200103</v>
      </c>
      <c r="D132" s="87">
        <f>IF(D44=0,0,1000000*D44/TrRoad_act!D75)</f>
        <v>619.4804063772292</v>
      </c>
      <c r="E132" s="87">
        <f>IF(E44=0,0,1000000*E44/TrRoad_act!E75)</f>
        <v>617.02753478306704</v>
      </c>
      <c r="F132" s="87">
        <f>IF(F44=0,0,1000000*F44/TrRoad_act!F75)</f>
        <v>609.79136045361668</v>
      </c>
      <c r="G132" s="87">
        <f>IF(G44=0,0,1000000*G44/TrRoad_act!G75)</f>
        <v>602.37512100168408</v>
      </c>
      <c r="H132" s="87">
        <f>IF(H44=0,0,1000000*H44/TrRoad_act!H75)</f>
        <v>594.20327937288175</v>
      </c>
      <c r="I132" s="87">
        <f>IF(I44=0,0,1000000*I44/TrRoad_act!I75)</f>
        <v>585.79548968270501</v>
      </c>
      <c r="J132" s="87">
        <f>IF(J44=0,0,1000000*J44/TrRoad_act!J75)</f>
        <v>592.7505432015123</v>
      </c>
      <c r="K132" s="87">
        <f>IF(K44=0,0,1000000*K44/TrRoad_act!K75)</f>
        <v>592.36663662140825</v>
      </c>
      <c r="L132" s="87">
        <f>IF(L44=0,0,1000000*L44/TrRoad_act!L75)</f>
        <v>602.67647815225257</v>
      </c>
      <c r="M132" s="87">
        <f>IF(M44=0,0,1000000*M44/TrRoad_act!M75)</f>
        <v>604.73526946978484</v>
      </c>
      <c r="N132" s="87">
        <f>IF(N44=0,0,1000000*N44/TrRoad_act!N75)</f>
        <v>607.42476613004897</v>
      </c>
      <c r="O132" s="87">
        <f>IF(O44=0,0,1000000*O44/TrRoad_act!O75)</f>
        <v>616.25440491448023</v>
      </c>
      <c r="P132" s="87">
        <f>IF(P44=0,0,1000000*P44/TrRoad_act!P75)</f>
        <v>626.32036465872773</v>
      </c>
      <c r="Q132" s="87">
        <f>IF(Q44=0,0,1000000*Q44/TrRoad_act!Q75)</f>
        <v>623.92202130862677</v>
      </c>
      <c r="R132" s="87">
        <f>IF(R44=0,0,1000000*R44/TrRoad_act!R75)</f>
        <v>631.50509379687696</v>
      </c>
      <c r="S132" s="87">
        <f>IF(S44=0,0,1000000*S44/TrRoad_act!S75)</f>
        <v>623.22689310516967</v>
      </c>
      <c r="T132" s="87">
        <f>IF(T44=0,0,1000000*T44/TrRoad_act!T75)</f>
        <v>620.55278614861686</v>
      </c>
      <c r="U132" s="87">
        <f>IF(U44=0,0,1000000*U44/TrRoad_act!U75)</f>
        <v>617.46204544366265</v>
      </c>
      <c r="V132" s="87">
        <f>IF(V44=0,0,1000000*V44/TrRoad_act!V75)</f>
        <v>609.25063278826406</v>
      </c>
      <c r="W132" s="87">
        <f>IF(W44=0,0,1000000*W44/TrRoad_act!W75)</f>
        <v>609.75696421221789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1279.0837350350325</v>
      </c>
      <c r="C133" s="87">
        <f>IF(C46=0,0,1000000*C46/TrRoad_act!C76)</f>
        <v>1256.0911966467556</v>
      </c>
      <c r="D133" s="87">
        <f>IF(D46=0,0,1000000*D46/TrRoad_act!D76)</f>
        <v>1257.0059220352077</v>
      </c>
      <c r="E133" s="87">
        <f>IF(E46=0,0,1000000*E46/TrRoad_act!E76)</f>
        <v>1231.9787655277726</v>
      </c>
      <c r="F133" s="87">
        <f>IF(F46=0,0,1000000*F46/TrRoad_act!F76)</f>
        <v>1199.4013439317303</v>
      </c>
      <c r="G133" s="87">
        <f>IF(G46=0,0,1000000*G46/TrRoad_act!G76)</f>
        <v>1183.2367375753829</v>
      </c>
      <c r="H133" s="87">
        <f>IF(H46=0,0,1000000*H46/TrRoad_act!H76)</f>
        <v>1172.0011284421223</v>
      </c>
      <c r="I133" s="87">
        <f>IF(I46=0,0,1000000*I46/TrRoad_act!I76)</f>
        <v>1150.2719089685254</v>
      </c>
      <c r="J133" s="87">
        <f>IF(J46=0,0,1000000*J46/TrRoad_act!J76)</f>
        <v>1219.7643538242523</v>
      </c>
      <c r="K133" s="87">
        <f>IF(K46=0,0,1000000*K46/TrRoad_act!K76)</f>
        <v>1228.1919310998439</v>
      </c>
      <c r="L133" s="87">
        <f>IF(L46=0,0,1000000*L46/TrRoad_act!L76)</f>
        <v>1308.4323398620993</v>
      </c>
      <c r="M133" s="87">
        <f>IF(M46=0,0,1000000*M46/TrRoad_act!M76)</f>
        <v>1332.3850649828619</v>
      </c>
      <c r="N133" s="87">
        <f>IF(N46=0,0,1000000*N46/TrRoad_act!N76)</f>
        <v>1350.9910497756193</v>
      </c>
      <c r="O133" s="87">
        <f>IF(O46=0,0,1000000*O46/TrRoad_act!O76)</f>
        <v>1417.7592700363095</v>
      </c>
      <c r="P133" s="87">
        <f>IF(P46=0,0,1000000*P46/TrRoad_act!P76)</f>
        <v>1559.1196995539121</v>
      </c>
      <c r="Q133" s="87">
        <f>IF(Q46=0,0,1000000*Q46/TrRoad_act!Q76)</f>
        <v>1607.6032750816912</v>
      </c>
      <c r="R133" s="87">
        <f>IF(R46=0,0,1000000*R46/TrRoad_act!R76)</f>
        <v>1698.4928514470926</v>
      </c>
      <c r="S133" s="87">
        <f>IF(S46=0,0,1000000*S46/TrRoad_act!S76)</f>
        <v>1710.0249409425239</v>
      </c>
      <c r="T133" s="87">
        <f>IF(T46=0,0,1000000*T46/TrRoad_act!T76)</f>
        <v>1706.9618470688099</v>
      </c>
      <c r="U133" s="87">
        <f>IF(U46=0,0,1000000*U46/TrRoad_act!U76)</f>
        <v>1701.8494582312039</v>
      </c>
      <c r="V133" s="87">
        <f>IF(V46=0,0,1000000*V46/TrRoad_act!V76)</f>
        <v>1649.8800813886253</v>
      </c>
      <c r="W133" s="87">
        <f>IF(W46=0,0,1000000*W46/TrRoad_act!W76)</f>
        <v>1695.759734155173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1626.5594292250605</v>
      </c>
      <c r="C134" s="87">
        <f>IF(C48=0,0,1000000*C48/TrRoad_act!C77)</f>
        <v>1647.3274088931616</v>
      </c>
      <c r="D134" s="87">
        <f>IF(D48=0,0,1000000*D48/TrRoad_act!D77)</f>
        <v>1612.7170232223991</v>
      </c>
      <c r="E134" s="87">
        <f>IF(E48=0,0,1000000*E48/TrRoad_act!E77)</f>
        <v>1561.7266253849973</v>
      </c>
      <c r="F134" s="87">
        <f>IF(F48=0,0,1000000*F48/TrRoad_act!F77)</f>
        <v>1488.6086212163516</v>
      </c>
      <c r="G134" s="87">
        <f>IF(G48=0,0,1000000*G48/TrRoad_act!G77)</f>
        <v>1428.2761699173707</v>
      </c>
      <c r="H134" s="87">
        <f>IF(H48=0,0,1000000*H48/TrRoad_act!H77)</f>
        <v>1354.173592939959</v>
      </c>
      <c r="I134" s="87">
        <f>IF(I48=0,0,1000000*I48/TrRoad_act!I77)</f>
        <v>1285.3903677570756</v>
      </c>
      <c r="J134" s="87">
        <f>IF(J48=0,0,1000000*J48/TrRoad_act!J77)</f>
        <v>1279.3161428722062</v>
      </c>
      <c r="K134" s="87">
        <f>IF(K48=0,0,1000000*K48/TrRoad_act!K77)</f>
        <v>1241.8985984118342</v>
      </c>
      <c r="L134" s="87">
        <f>IF(L48=0,0,1000000*L48/TrRoad_act!L77)</f>
        <v>1239.1583856450989</v>
      </c>
      <c r="M134" s="87">
        <f>IF(M48=0,0,1000000*M48/TrRoad_act!M77)</f>
        <v>1214.6814714723694</v>
      </c>
      <c r="N134" s="87">
        <f>IF(N48=0,0,1000000*N48/TrRoad_act!N77)</f>
        <v>1203.5343901958938</v>
      </c>
      <c r="O134" s="87">
        <f>IF(O48=0,0,1000000*O48/TrRoad_act!O77)</f>
        <v>1216.4625668109416</v>
      </c>
      <c r="P134" s="87">
        <f>IF(P48=0,0,1000000*P48/TrRoad_act!P77)</f>
        <v>1229.9676349937174</v>
      </c>
      <c r="Q134" s="87">
        <f>IF(Q48=0,0,1000000*Q48/TrRoad_act!Q77)</f>
        <v>1227.4333592186899</v>
      </c>
      <c r="R134" s="87">
        <f>IF(R48=0,0,1000000*R48/TrRoad_act!R77)</f>
        <v>1252.4232722353768</v>
      </c>
      <c r="S134" s="87">
        <f>IF(S48=0,0,1000000*S48/TrRoad_act!S77)</f>
        <v>1246.935561972683</v>
      </c>
      <c r="T134" s="87">
        <f>IF(T48=0,0,1000000*T48/TrRoad_act!T77)</f>
        <v>1233.101904476629</v>
      </c>
      <c r="U134" s="87">
        <f>IF(U48=0,0,1000000*U48/TrRoad_act!U77)</f>
        <v>1230.7148222306128</v>
      </c>
      <c r="V134" s="87">
        <f>IF(V48=0,0,1000000*V48/TrRoad_act!V77)</f>
        <v>1218.6030733153843</v>
      </c>
      <c r="W134" s="87">
        <f>IF(W48=0,0,1000000*W48/TrRoad_act!W77)</f>
        <v>1230.5697296381652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1127.6678346520368</v>
      </c>
      <c r="O135" s="87">
        <f>IF(O49=0,0,1000000*O49/TrRoad_act!O78)</f>
        <v>1126.6671650028427</v>
      </c>
      <c r="P135" s="87">
        <f>IF(P49=0,0,1000000*P49/TrRoad_act!P78)</f>
        <v>1108.9071357619418</v>
      </c>
      <c r="Q135" s="87">
        <f>IF(Q49=0,0,1000000*Q49/TrRoad_act!Q78)</f>
        <v>967.5254949114177</v>
      </c>
      <c r="R135" s="87">
        <f>IF(R49=0,0,1000000*R49/TrRoad_act!R78)</f>
        <v>1084.4211574037774</v>
      </c>
      <c r="S135" s="87">
        <f>IF(S49=0,0,1000000*S49/TrRoad_act!S78)</f>
        <v>1090.5258652180933</v>
      </c>
      <c r="T135" s="87">
        <f>IF(T49=0,0,1000000*T49/TrRoad_act!T78)</f>
        <v>1070.0138090489738</v>
      </c>
      <c r="U135" s="87">
        <f>IF(U49=0,0,1000000*U49/TrRoad_act!U78)</f>
        <v>1059.3780621466283</v>
      </c>
      <c r="V135" s="87">
        <f>IF(V49=0,0,1000000*V49/TrRoad_act!V78)</f>
        <v>945.21523821975416</v>
      </c>
      <c r="W135" s="87">
        <f>IF(W49=0,0,1000000*W49/TrRoad_act!W78)</f>
        <v>1062.4605433611305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173.29115552487153</v>
      </c>
      <c r="K136" s="87">
        <f>IF(K51=0,0,1000000*K51/TrRoad_act!K79)</f>
        <v>173.49175610846936</v>
      </c>
      <c r="L136" s="87">
        <f>IF(L51=0,0,1000000*L51/TrRoad_act!L79)</f>
        <v>174.16398340546897</v>
      </c>
      <c r="M136" s="87">
        <f>IF(M51=0,0,1000000*M51/TrRoad_act!M79)</f>
        <v>174.74392360052843</v>
      </c>
      <c r="N136" s="87">
        <f>IF(N51=0,0,1000000*N51/TrRoad_act!N79)</f>
        <v>176.17892134203808</v>
      </c>
      <c r="O136" s="87">
        <f>IF(O51=0,0,1000000*O51/TrRoad_act!O79)</f>
        <v>177.55708365753199</v>
      </c>
      <c r="P136" s="87">
        <f>IF(P51=0,0,1000000*P51/TrRoad_act!P79)</f>
        <v>179.67635966673407</v>
      </c>
      <c r="Q136" s="87">
        <f>IF(Q51=0,0,1000000*Q51/TrRoad_act!Q79)</f>
        <v>184.25278810018852</v>
      </c>
      <c r="R136" s="87">
        <f>IF(R51=0,0,1000000*R51/TrRoad_act!R79)</f>
        <v>183.77770080116201</v>
      </c>
      <c r="S136" s="87">
        <f>IF(S51=0,0,1000000*S51/TrRoad_act!S79)</f>
        <v>184.70297004957254</v>
      </c>
      <c r="T136" s="87">
        <f>IF(T51=0,0,1000000*T51/TrRoad_act!T79)</f>
        <v>199.11067292321118</v>
      </c>
      <c r="U136" s="87">
        <f>IF(U51=0,0,1000000*U51/TrRoad_act!U79)</f>
        <v>221.9059762886771</v>
      </c>
      <c r="V136" s="87">
        <f>IF(V51=0,0,1000000*V51/TrRoad_act!V79)</f>
        <v>211.05852031986635</v>
      </c>
      <c r="W136" s="87">
        <f>IF(W51=0,0,1000000*W51/TrRoad_act!W79)</f>
        <v>251.17140371275528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5892.7237328375477</v>
      </c>
      <c r="C137" s="116">
        <f>IF(C52=0,0,1000000*C52/TrRoad_act!C80)</f>
        <v>6087.1765761610832</v>
      </c>
      <c r="D137" s="116">
        <f>IF(D52=0,0,1000000*D52/TrRoad_act!D80)</f>
        <v>6833.0117479296714</v>
      </c>
      <c r="E137" s="116">
        <f>IF(E52=0,0,1000000*E52/TrRoad_act!E80)</f>
        <v>9059.5214801632374</v>
      </c>
      <c r="F137" s="116">
        <f>IF(F52=0,0,1000000*F52/TrRoad_act!F80)</f>
        <v>10146.285559535272</v>
      </c>
      <c r="G137" s="116">
        <f>IF(G52=0,0,1000000*G52/TrRoad_act!G80)</f>
        <v>12059.636836498332</v>
      </c>
      <c r="H137" s="116">
        <f>IF(H52=0,0,1000000*H52/TrRoad_act!H80)</f>
        <v>13167.561328417687</v>
      </c>
      <c r="I137" s="116">
        <f>IF(I52=0,0,1000000*I52/TrRoad_act!I80)</f>
        <v>13307.8861022848</v>
      </c>
      <c r="J137" s="116">
        <f>IF(J52=0,0,1000000*J52/TrRoad_act!J80)</f>
        <v>13212.118061026484</v>
      </c>
      <c r="K137" s="116">
        <f>IF(K52=0,0,1000000*K52/TrRoad_act!K80)</f>
        <v>12674.922087889048</v>
      </c>
      <c r="L137" s="116">
        <f>IF(L52=0,0,1000000*L52/TrRoad_act!L80)</f>
        <v>12954.972472825228</v>
      </c>
      <c r="M137" s="116">
        <f>IF(M52=0,0,1000000*M52/TrRoad_act!M80)</f>
        <v>13044.513811501087</v>
      </c>
      <c r="N137" s="116">
        <f>IF(N52=0,0,1000000*N52/TrRoad_act!N80)</f>
        <v>11607.911410678535</v>
      </c>
      <c r="O137" s="116">
        <f>IF(O52=0,0,1000000*O52/TrRoad_act!O80)</f>
        <v>10954.465906368809</v>
      </c>
      <c r="P137" s="116">
        <f>IF(P52=0,0,1000000*P52/TrRoad_act!P80)</f>
        <v>10888.226789671911</v>
      </c>
      <c r="Q137" s="116">
        <f>IF(Q52=0,0,1000000*Q52/TrRoad_act!Q80)</f>
        <v>10956.376924106999</v>
      </c>
      <c r="R137" s="116">
        <f>IF(R52=0,0,1000000*R52/TrRoad_act!R80)</f>
        <v>11236.208598148614</v>
      </c>
      <c r="S137" s="116">
        <f>IF(S52=0,0,1000000*S52/TrRoad_act!S80)</f>
        <v>11088.918093135329</v>
      </c>
      <c r="T137" s="116">
        <f>IF(T52=0,0,1000000*T52/TrRoad_act!T80)</f>
        <v>10549.958638900629</v>
      </c>
      <c r="U137" s="116">
        <f>IF(U52=0,0,1000000*U52/TrRoad_act!U80)</f>
        <v>10206.698117220902</v>
      </c>
      <c r="V137" s="116">
        <f>IF(V52=0,0,1000000*V52/TrRoad_act!V80)</f>
        <v>10159.011430815161</v>
      </c>
      <c r="W137" s="116">
        <f>IF(W52=0,0,1000000*W52/TrRoad_act!W80)</f>
        <v>11062.533613298268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3601.9465911068287</v>
      </c>
      <c r="C138" s="101">
        <f>IF(C53=0,0,1000000*C53/TrRoad_act!C81)</f>
        <v>4110.1308233005975</v>
      </c>
      <c r="D138" s="101">
        <f>IF(D53=0,0,1000000*D53/TrRoad_act!D81)</f>
        <v>4709.4515167881882</v>
      </c>
      <c r="E138" s="101">
        <f>IF(E53=0,0,1000000*E53/TrRoad_act!E81)</f>
        <v>6133.1239370043522</v>
      </c>
      <c r="F138" s="101">
        <f>IF(F53=0,0,1000000*F53/TrRoad_act!F81)</f>
        <v>6847.2243158122519</v>
      </c>
      <c r="G138" s="101">
        <f>IF(G53=0,0,1000000*G53/TrRoad_act!G81)</f>
        <v>8023.7326253165566</v>
      </c>
      <c r="H138" s="101">
        <f>IF(H53=0,0,1000000*H53/TrRoad_act!H81)</f>
        <v>7921.7210692073058</v>
      </c>
      <c r="I138" s="101">
        <f>IF(I53=0,0,1000000*I53/TrRoad_act!I81)</f>
        <v>7492.9525715086475</v>
      </c>
      <c r="J138" s="101">
        <f>IF(J53=0,0,1000000*J53/TrRoad_act!J81)</f>
        <v>7431.6240897293055</v>
      </c>
      <c r="K138" s="101">
        <f>IF(K53=0,0,1000000*K53/TrRoad_act!K81)</f>
        <v>6520.3052591558144</v>
      </c>
      <c r="L138" s="101">
        <f>IF(L53=0,0,1000000*L53/TrRoad_act!L81)</f>
        <v>6906.8163577715195</v>
      </c>
      <c r="M138" s="101">
        <f>IF(M53=0,0,1000000*M53/TrRoad_act!M81)</f>
        <v>7040.5876687238888</v>
      </c>
      <c r="N138" s="101">
        <f>IF(N53=0,0,1000000*N53/TrRoad_act!N81)</f>
        <v>6129.3184683332574</v>
      </c>
      <c r="O138" s="101">
        <f>IF(O53=0,0,1000000*O53/TrRoad_act!O81)</f>
        <v>6421.818934141651</v>
      </c>
      <c r="P138" s="101">
        <f>IF(P53=0,0,1000000*P53/TrRoad_act!P81)</f>
        <v>6644.6565180174857</v>
      </c>
      <c r="Q138" s="101">
        <f>IF(Q53=0,0,1000000*Q53/TrRoad_act!Q81)</f>
        <v>7254.4038084378299</v>
      </c>
      <c r="R138" s="101">
        <f>IF(R53=0,0,1000000*R53/TrRoad_act!R81)</f>
        <v>6900.2215872633251</v>
      </c>
      <c r="S138" s="101">
        <f>IF(S53=0,0,1000000*S53/TrRoad_act!S81)</f>
        <v>6746.1891251091029</v>
      </c>
      <c r="T138" s="101">
        <f>IF(T53=0,0,1000000*T53/TrRoad_act!T81)</f>
        <v>6588.8955459924673</v>
      </c>
      <c r="U138" s="101">
        <f>IF(U53=0,0,1000000*U53/TrRoad_act!U81)</f>
        <v>6416.013186297906</v>
      </c>
      <c r="V138" s="101">
        <f>IF(V53=0,0,1000000*V53/TrRoad_act!V81)</f>
        <v>7498.700478304735</v>
      </c>
      <c r="W138" s="101">
        <f>IF(W53=0,0,1000000*W53/TrRoad_act!W81)</f>
        <v>8440.3904111913416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35527.631628834883</v>
      </c>
      <c r="C139" s="88">
        <f>IF(C55=0,0,1000000*C55/TrRoad_act!C82)</f>
        <v>30172.313054952407</v>
      </c>
      <c r="D139" s="88">
        <f>IF(D55=0,0,1000000*D55/TrRoad_act!D82)</f>
        <v>31342.271136486368</v>
      </c>
      <c r="E139" s="88">
        <f>IF(E55=0,0,1000000*E55/TrRoad_act!E82)</f>
        <v>39307.095877535037</v>
      </c>
      <c r="F139" s="88">
        <f>IF(F55=0,0,1000000*F55/TrRoad_act!F82)</f>
        <v>38213.750631738512</v>
      </c>
      <c r="G139" s="88">
        <f>IF(G55=0,0,1000000*G55/TrRoad_act!G82)</f>
        <v>45124.327595156348</v>
      </c>
      <c r="H139" s="88">
        <f>IF(H55=0,0,1000000*H55/TrRoad_act!H82)</f>
        <v>53564.810731755075</v>
      </c>
      <c r="I139" s="88">
        <f>IF(I55=0,0,1000000*I55/TrRoad_act!I82)</f>
        <v>58727.470681513565</v>
      </c>
      <c r="J139" s="88">
        <f>IF(J55=0,0,1000000*J55/TrRoad_act!J82)</f>
        <v>59457.696764691638</v>
      </c>
      <c r="K139" s="88">
        <f>IF(K55=0,0,1000000*K55/TrRoad_act!K82)</f>
        <v>62056.638889859416</v>
      </c>
      <c r="L139" s="88">
        <f>IF(L55=0,0,1000000*L55/TrRoad_act!L82)</f>
        <v>55151.508941214073</v>
      </c>
      <c r="M139" s="88">
        <f>IF(M55=0,0,1000000*M55/TrRoad_act!M82)</f>
        <v>51128.634309658031</v>
      </c>
      <c r="N139" s="88">
        <f>IF(N55=0,0,1000000*N55/TrRoad_act!N82)</f>
        <v>49554.87708592572</v>
      </c>
      <c r="O139" s="88">
        <f>IF(O55=0,0,1000000*O55/TrRoad_act!O82)</f>
        <v>38546.462260994362</v>
      </c>
      <c r="P139" s="88">
        <f>IF(P55=0,0,1000000*P55/TrRoad_act!P82)</f>
        <v>37676.285010504907</v>
      </c>
      <c r="Q139" s="88">
        <f>IF(Q55=0,0,1000000*Q55/TrRoad_act!Q82)</f>
        <v>34598.677225888474</v>
      </c>
      <c r="R139" s="88">
        <f>IF(R55=0,0,1000000*R55/TrRoad_act!R82)</f>
        <v>41957.148245106364</v>
      </c>
      <c r="S139" s="88">
        <f>IF(S55=0,0,1000000*S55/TrRoad_act!S82)</f>
        <v>44203.236781537002</v>
      </c>
      <c r="T139" s="88">
        <f>IF(T55=0,0,1000000*T55/TrRoad_act!T82)</f>
        <v>44981.732429826494</v>
      </c>
      <c r="U139" s="88">
        <f>IF(U55=0,0,1000000*U55/TrRoad_act!U82)</f>
        <v>42902.539065813966</v>
      </c>
      <c r="V139" s="88">
        <f>IF(V55=0,0,1000000*V55/TrRoad_act!V82)</f>
        <v>28302.232986577466</v>
      </c>
      <c r="W139" s="88">
        <f>IF(W55=0,0,1000000*W55/TrRoad_act!W82)</f>
        <v>27299.79360671806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0.74394027060797585</v>
      </c>
      <c r="C142" s="46">
        <f t="shared" si="41"/>
        <v>0.74512887216876977</v>
      </c>
      <c r="D142" s="46">
        <f t="shared" si="41"/>
        <v>0.72682990273881443</v>
      </c>
      <c r="E142" s="46">
        <f t="shared" si="41"/>
        <v>0.7081811284936218</v>
      </c>
      <c r="F142" s="46">
        <f t="shared" si="41"/>
        <v>0.68761767359315662</v>
      </c>
      <c r="G142" s="46">
        <f t="shared" si="41"/>
        <v>0.65486245691151812</v>
      </c>
      <c r="H142" s="46">
        <f t="shared" si="41"/>
        <v>0.63793448636143413</v>
      </c>
      <c r="I142" s="46">
        <f t="shared" si="41"/>
        <v>0.63214580225824191</v>
      </c>
      <c r="J142" s="46">
        <f t="shared" si="41"/>
        <v>0.63294335289078751</v>
      </c>
      <c r="K142" s="46">
        <f t="shared" si="41"/>
        <v>0.65263968934382799</v>
      </c>
      <c r="L142" s="46">
        <f t="shared" ref="L142" si="42">IF(L18=0,0,L18/L$17)</f>
        <v>0.63920703039690285</v>
      </c>
      <c r="M142" s="46">
        <f t="shared" ref="M142:V142" si="43">IF(M18=0,0,M18/M$17)</f>
        <v>0.64269100327253148</v>
      </c>
      <c r="N142" s="46">
        <f t="shared" si="43"/>
        <v>0.6457556388455562</v>
      </c>
      <c r="O142" s="46">
        <f t="shared" si="43"/>
        <v>0.65537873952001513</v>
      </c>
      <c r="P142" s="46">
        <f t="shared" si="43"/>
        <v>0.64839976305333935</v>
      </c>
      <c r="Q142" s="46">
        <f t="shared" si="43"/>
        <v>0.63108373819749863</v>
      </c>
      <c r="R142" s="46">
        <f t="shared" si="43"/>
        <v>0.63748918653372466</v>
      </c>
      <c r="S142" s="46">
        <f t="shared" si="43"/>
        <v>0.63236418309677633</v>
      </c>
      <c r="T142" s="46">
        <f t="shared" si="43"/>
        <v>0.63567835963394437</v>
      </c>
      <c r="U142" s="46">
        <f t="shared" si="43"/>
        <v>0.64106876906172106</v>
      </c>
      <c r="V142" s="46">
        <f t="shared" si="43"/>
        <v>0.63966350475382627</v>
      </c>
      <c r="W142" s="46">
        <f t="shared" ref="W142" si="44">IF(W18=0,0,W18/W$17)</f>
        <v>0.64475793056709041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1.4077732477488872E-2</v>
      </c>
      <c r="C143" s="154">
        <f t="shared" si="45"/>
        <v>1.2643729444287904E-2</v>
      </c>
      <c r="D143" s="154">
        <f t="shared" si="45"/>
        <v>1.170365466917881E-2</v>
      </c>
      <c r="E143" s="154">
        <f t="shared" si="45"/>
        <v>1.0282162776562976E-2</v>
      </c>
      <c r="F143" s="154">
        <f t="shared" si="45"/>
        <v>9.7909708647683225E-3</v>
      </c>
      <c r="G143" s="154">
        <f t="shared" si="45"/>
        <v>9.3615002404298878E-3</v>
      </c>
      <c r="H143" s="154">
        <f t="shared" si="45"/>
        <v>9.2131892613090526E-3</v>
      </c>
      <c r="I143" s="154">
        <f t="shared" si="45"/>
        <v>9.0351301033119186E-3</v>
      </c>
      <c r="J143" s="154">
        <f t="shared" si="45"/>
        <v>9.2578937516625808E-3</v>
      </c>
      <c r="K143" s="154">
        <f t="shared" si="45"/>
        <v>9.4364296027163973E-3</v>
      </c>
      <c r="L143" s="154">
        <f t="shared" ref="L143" si="46">IF(L19=0,0,L19/L$17)</f>
        <v>1.0059179584398732E-2</v>
      </c>
      <c r="M143" s="154">
        <f t="shared" ref="M143:V143" si="47">IF(M19=0,0,M19/M$17)</f>
        <v>1.0146721586683366E-2</v>
      </c>
      <c r="N143" s="154">
        <f t="shared" si="47"/>
        <v>1.0532874737619248E-2</v>
      </c>
      <c r="O143" s="154">
        <f t="shared" si="47"/>
        <v>1.0581286981416022E-2</v>
      </c>
      <c r="P143" s="154">
        <f t="shared" si="47"/>
        <v>1.0299955633060479E-2</v>
      </c>
      <c r="Q143" s="154">
        <f t="shared" si="47"/>
        <v>1.0155531764162071E-2</v>
      </c>
      <c r="R143" s="154">
        <f t="shared" si="47"/>
        <v>9.9281668408269328E-3</v>
      </c>
      <c r="S143" s="154">
        <f t="shared" si="47"/>
        <v>9.0457480211859394E-3</v>
      </c>
      <c r="T143" s="154">
        <f t="shared" si="47"/>
        <v>8.4824402601668888E-3</v>
      </c>
      <c r="U143" s="154">
        <f t="shared" si="47"/>
        <v>8.8014922636856941E-3</v>
      </c>
      <c r="V143" s="154">
        <f t="shared" si="47"/>
        <v>8.3324691160530043E-3</v>
      </c>
      <c r="W143" s="154">
        <f t="shared" ref="W143" si="48">IF(W19=0,0,W19/W$17)</f>
        <v>7.6855545672155981E-3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0.63180147707459899</v>
      </c>
      <c r="C144" s="156">
        <f t="shared" si="49"/>
        <v>0.63039995131270865</v>
      </c>
      <c r="D144" s="156">
        <f t="shared" si="49"/>
        <v>0.62334951456544818</v>
      </c>
      <c r="E144" s="156">
        <f t="shared" si="49"/>
        <v>0.62361599110795463</v>
      </c>
      <c r="F144" s="156">
        <f t="shared" si="49"/>
        <v>0.61232056647138677</v>
      </c>
      <c r="G144" s="156">
        <f t="shared" si="49"/>
        <v>0.58578924409410937</v>
      </c>
      <c r="H144" s="156">
        <f t="shared" si="49"/>
        <v>0.56896811924213797</v>
      </c>
      <c r="I144" s="156">
        <f t="shared" si="49"/>
        <v>0.56633875812779422</v>
      </c>
      <c r="J144" s="156">
        <f t="shared" si="49"/>
        <v>0.56678038159960598</v>
      </c>
      <c r="K144" s="156">
        <f t="shared" si="49"/>
        <v>0.58493118365334729</v>
      </c>
      <c r="L144" s="156">
        <f t="shared" ref="L144" si="50">IF(L21=0,0,L21/L$17)</f>
        <v>0.56529739484464336</v>
      </c>
      <c r="M144" s="156">
        <f t="shared" ref="M144:V144" si="51">IF(M21=0,0,M21/M$17)</f>
        <v>0.57181646817437615</v>
      </c>
      <c r="N144" s="156">
        <f t="shared" si="51"/>
        <v>0.57499957773144039</v>
      </c>
      <c r="O144" s="156">
        <f t="shared" si="51"/>
        <v>0.58125805351346604</v>
      </c>
      <c r="P144" s="156">
        <f t="shared" si="51"/>
        <v>0.57073901232739732</v>
      </c>
      <c r="Q144" s="156">
        <f t="shared" si="51"/>
        <v>0.55785970954114839</v>
      </c>
      <c r="R144" s="156">
        <f t="shared" si="51"/>
        <v>0.56299070714074817</v>
      </c>
      <c r="S144" s="156">
        <f t="shared" si="51"/>
        <v>0.55746134888579613</v>
      </c>
      <c r="T144" s="156">
        <f t="shared" si="51"/>
        <v>0.56235946567093142</v>
      </c>
      <c r="U144" s="156">
        <f t="shared" si="51"/>
        <v>0.56786253105535134</v>
      </c>
      <c r="V144" s="156">
        <f t="shared" si="51"/>
        <v>0.57985448082154423</v>
      </c>
      <c r="W144" s="156">
        <f t="shared" ref="W144" si="52">IF(W21=0,0,W21/W$17)</f>
        <v>0.58790710384386946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0.47568101558143222</v>
      </c>
      <c r="C145" s="103">
        <f t="shared" si="53"/>
        <v>0.46052697716778485</v>
      </c>
      <c r="D145" s="103">
        <f t="shared" si="53"/>
        <v>0.44293009231470165</v>
      </c>
      <c r="E145" s="103">
        <f t="shared" si="53"/>
        <v>0.42824719789525795</v>
      </c>
      <c r="F145" s="103">
        <f t="shared" si="53"/>
        <v>0.40873230212398504</v>
      </c>
      <c r="G145" s="103">
        <f t="shared" si="53"/>
        <v>0.37197532275103601</v>
      </c>
      <c r="H145" s="103">
        <f t="shared" si="53"/>
        <v>0.35258883164444665</v>
      </c>
      <c r="I145" s="103">
        <f t="shared" si="53"/>
        <v>0.34914348286612468</v>
      </c>
      <c r="J145" s="103">
        <f t="shared" si="53"/>
        <v>0.33919573572294226</v>
      </c>
      <c r="K145" s="103">
        <f t="shared" si="53"/>
        <v>0.33874903706255982</v>
      </c>
      <c r="L145" s="103">
        <f t="shared" ref="L145" si="54">IF(L22=0,0,L22/L$17)</f>
        <v>0.32279560020146097</v>
      </c>
      <c r="M145" s="103">
        <f t="shared" ref="M145:V145" si="55">IF(M22=0,0,M22/M$17)</f>
        <v>0.30992137355314792</v>
      </c>
      <c r="N145" s="103">
        <f t="shared" si="55"/>
        <v>0.29275473384288825</v>
      </c>
      <c r="O145" s="103">
        <f t="shared" si="55"/>
        <v>0.27627466805047968</v>
      </c>
      <c r="P145" s="103">
        <f t="shared" si="55"/>
        <v>0.26489395444491831</v>
      </c>
      <c r="Q145" s="103">
        <f t="shared" si="55"/>
        <v>0.25551080244611934</v>
      </c>
      <c r="R145" s="103">
        <f t="shared" si="55"/>
        <v>0.2504138360791387</v>
      </c>
      <c r="S145" s="103">
        <f t="shared" si="55"/>
        <v>0.24320064046557835</v>
      </c>
      <c r="T145" s="103">
        <f t="shared" si="55"/>
        <v>0.24194764292152696</v>
      </c>
      <c r="U145" s="103">
        <f t="shared" si="55"/>
        <v>0.23977659771375595</v>
      </c>
      <c r="V145" s="103">
        <f t="shared" si="55"/>
        <v>0.23119694931853263</v>
      </c>
      <c r="W145" s="103">
        <f t="shared" ref="W145" si="56">IF(W22=0,0,W22/W$17)</f>
        <v>0.22324877120774328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0.14134765202095789</v>
      </c>
      <c r="C146" s="103">
        <f t="shared" si="57"/>
        <v>0.15623379569218146</v>
      </c>
      <c r="D146" s="103">
        <f t="shared" si="57"/>
        <v>0.16719614598697999</v>
      </c>
      <c r="E146" s="103">
        <f t="shared" si="57"/>
        <v>0.18344306875956687</v>
      </c>
      <c r="F146" s="103">
        <f t="shared" si="57"/>
        <v>0.1915444980568409</v>
      </c>
      <c r="G146" s="103">
        <f t="shared" si="57"/>
        <v>0.20221609169574589</v>
      </c>
      <c r="H146" s="103">
        <f t="shared" si="57"/>
        <v>0.20444036522878795</v>
      </c>
      <c r="I146" s="103">
        <f t="shared" si="57"/>
        <v>0.20496115147001406</v>
      </c>
      <c r="J146" s="103">
        <f t="shared" si="57"/>
        <v>0.2156001888785517</v>
      </c>
      <c r="K146" s="103">
        <f t="shared" si="57"/>
        <v>0.2336069470533215</v>
      </c>
      <c r="L146" s="103">
        <f t="shared" ref="L146" si="58">IF(L24=0,0,L24/L$17)</f>
        <v>0.22966680434978848</v>
      </c>
      <c r="M146" s="103">
        <f t="shared" ref="M146:V146" si="59">IF(M24=0,0,M24/M$17)</f>
        <v>0.2488157371637259</v>
      </c>
      <c r="N146" s="103">
        <f t="shared" si="59"/>
        <v>0.26752875576338619</v>
      </c>
      <c r="O146" s="103">
        <f t="shared" si="59"/>
        <v>0.28952236994357555</v>
      </c>
      <c r="P146" s="103">
        <f t="shared" si="59"/>
        <v>0.28945538103004814</v>
      </c>
      <c r="Q146" s="103">
        <f t="shared" si="59"/>
        <v>0.28617977216756402</v>
      </c>
      <c r="R146" s="103">
        <f t="shared" si="59"/>
        <v>0.29666225778481414</v>
      </c>
      <c r="S146" s="103">
        <f t="shared" si="59"/>
        <v>0.29889289990802048</v>
      </c>
      <c r="T146" s="103">
        <f t="shared" si="59"/>
        <v>0.30540234652892595</v>
      </c>
      <c r="U146" s="103">
        <f t="shared" si="59"/>
        <v>0.31350214965948769</v>
      </c>
      <c r="V146" s="103">
        <f t="shared" si="59"/>
        <v>0.33526288537838989</v>
      </c>
      <c r="W146" s="103">
        <f t="shared" ref="W146" si="60">IF(W24=0,0,W24/W$17)</f>
        <v>0.35146690023215998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1.4772809472208982E-2</v>
      </c>
      <c r="C147" s="103">
        <f t="shared" si="61"/>
        <v>1.3639178452742463E-2</v>
      </c>
      <c r="D147" s="103">
        <f t="shared" si="61"/>
        <v>1.3223276263766643E-2</v>
      </c>
      <c r="E147" s="103">
        <f t="shared" si="61"/>
        <v>1.1925724453129807E-2</v>
      </c>
      <c r="F147" s="103">
        <f t="shared" si="61"/>
        <v>1.2043766290560825E-2</v>
      </c>
      <c r="G147" s="103">
        <f t="shared" si="61"/>
        <v>1.1597829647327579E-2</v>
      </c>
      <c r="H147" s="103">
        <f t="shared" si="61"/>
        <v>1.1938922368903442E-2</v>
      </c>
      <c r="I147" s="103">
        <f t="shared" si="61"/>
        <v>1.2234123791655459E-2</v>
      </c>
      <c r="J147" s="103">
        <f t="shared" si="61"/>
        <v>1.1858964575813018E-2</v>
      </c>
      <c r="K147" s="103">
        <f t="shared" si="61"/>
        <v>1.2367913032927556E-2</v>
      </c>
      <c r="L147" s="103">
        <f t="shared" ref="L147" si="62">IF(L26=0,0,L26/L$17)</f>
        <v>1.2548101106451376E-2</v>
      </c>
      <c r="M147" s="103">
        <f t="shared" ref="M147:V147" si="63">IF(M26=0,0,M26/M$17)</f>
        <v>1.2714671134283933E-2</v>
      </c>
      <c r="N147" s="103">
        <f t="shared" si="63"/>
        <v>1.4265864346195893E-2</v>
      </c>
      <c r="O147" s="103">
        <f t="shared" si="63"/>
        <v>1.4853462568130213E-2</v>
      </c>
      <c r="P147" s="103">
        <f t="shared" si="63"/>
        <v>1.5702288911858937E-2</v>
      </c>
      <c r="Q147" s="103">
        <f t="shared" si="63"/>
        <v>1.5272260881047659E-2</v>
      </c>
      <c r="R147" s="103">
        <f t="shared" si="63"/>
        <v>1.4498755940809106E-2</v>
      </c>
      <c r="S147" s="103">
        <f t="shared" si="63"/>
        <v>1.3661938399182651E-2</v>
      </c>
      <c r="T147" s="103">
        <f t="shared" si="63"/>
        <v>1.293244597295644E-2</v>
      </c>
      <c r="U147" s="103">
        <f t="shared" si="63"/>
        <v>1.2282740350152739E-2</v>
      </c>
      <c r="V147" s="103">
        <f t="shared" si="63"/>
        <v>1.0873998930048845E-2</v>
      </c>
      <c r="W147" s="103">
        <f t="shared" ref="W147" si="64">IF(W26=0,0,W26/W$17)</f>
        <v>1.0475766618109218E-2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1.2549242229899262E-4</v>
      </c>
      <c r="K148" s="103">
        <f t="shared" si="65"/>
        <v>2.072865045384453E-4</v>
      </c>
      <c r="L148" s="103">
        <f t="shared" ref="L148" si="66">IF(L27=0,0,L27/L$17)</f>
        <v>2.8675995108635511E-4</v>
      </c>
      <c r="M148" s="103">
        <f t="shared" ref="M148:V148" si="67">IF(M27=0,0,M27/M$17)</f>
        <v>3.6334680635826587E-4</v>
      </c>
      <c r="N148" s="103">
        <f t="shared" si="67"/>
        <v>4.4800708455125326E-4</v>
      </c>
      <c r="O148" s="103">
        <f t="shared" si="67"/>
        <v>6.0130829578748267E-4</v>
      </c>
      <c r="P148" s="103">
        <f t="shared" si="67"/>
        <v>6.7589076997969216E-4</v>
      </c>
      <c r="Q148" s="103">
        <f t="shared" si="67"/>
        <v>8.7181498271289451E-4</v>
      </c>
      <c r="R148" s="103">
        <f t="shared" si="67"/>
        <v>1.3716206100664659E-3</v>
      </c>
      <c r="S148" s="103">
        <f t="shared" si="67"/>
        <v>1.63341150290945E-3</v>
      </c>
      <c r="T148" s="103">
        <f t="shared" si="67"/>
        <v>1.9791105717149819E-3</v>
      </c>
      <c r="U148" s="103">
        <f t="shared" si="67"/>
        <v>2.1657723104112616E-3</v>
      </c>
      <c r="V148" s="103">
        <f t="shared" si="67"/>
        <v>2.2657841211736222E-3</v>
      </c>
      <c r="W148" s="103">
        <f t="shared" ref="W148" si="68">IF(W27=0,0,W27/W$17)</f>
        <v>2.3119812121621085E-3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5.890992014906042E-7</v>
      </c>
      <c r="O149" s="103">
        <f t="shared" si="71"/>
        <v>1.0947905906272529E-6</v>
      </c>
      <c r="P149" s="103">
        <f t="shared" si="71"/>
        <v>2.7902311605654859E-6</v>
      </c>
      <c r="Q149" s="103">
        <f t="shared" si="71"/>
        <v>1.0404991761184479E-5</v>
      </c>
      <c r="R149" s="103">
        <f t="shared" si="71"/>
        <v>1.444815824342713E-5</v>
      </c>
      <c r="S149" s="103">
        <f t="shared" si="71"/>
        <v>2.3923998862727852E-5</v>
      </c>
      <c r="T149" s="103">
        <f t="shared" si="71"/>
        <v>3.358308646004879E-5</v>
      </c>
      <c r="U149" s="103">
        <f t="shared" si="71"/>
        <v>4.9312955483701665E-5</v>
      </c>
      <c r="V149" s="103">
        <f t="shared" si="71"/>
        <v>9.6059559122059805E-5</v>
      </c>
      <c r="W149" s="103">
        <f t="shared" ref="W149" si="72">IF(W29=0,0,W29/W$17)</f>
        <v>1.6804785909836528E-4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1.2923585614935392E-7</v>
      </c>
      <c r="M150" s="103">
        <f t="shared" ref="M150:V150" si="75">IF(M32=0,0,M32/M$17)</f>
        <v>1.3395168601062686E-6</v>
      </c>
      <c r="N150" s="103">
        <f t="shared" si="75"/>
        <v>1.6275952172533988E-6</v>
      </c>
      <c r="O150" s="103">
        <f t="shared" si="75"/>
        <v>5.1498649024510878E-6</v>
      </c>
      <c r="P150" s="103">
        <f t="shared" si="75"/>
        <v>8.7069394316018669E-6</v>
      </c>
      <c r="Q150" s="103">
        <f t="shared" si="75"/>
        <v>1.4654071943307713E-5</v>
      </c>
      <c r="R150" s="103">
        <f t="shared" si="75"/>
        <v>2.9788567676356416E-5</v>
      </c>
      <c r="S150" s="103">
        <f t="shared" si="75"/>
        <v>4.8534611242453001E-5</v>
      </c>
      <c r="T150" s="103">
        <f t="shared" si="75"/>
        <v>6.4336589347053352E-5</v>
      </c>
      <c r="U150" s="103">
        <f t="shared" si="75"/>
        <v>8.5958066060066576E-5</v>
      </c>
      <c r="V150" s="103">
        <f t="shared" si="75"/>
        <v>1.5880351427726965E-4</v>
      </c>
      <c r="W150" s="103">
        <f t="shared" ref="W150" si="76">IF(W32=0,0,W32/W$17)</f>
        <v>2.3563671459649261E-4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9.8061061055887813E-2</v>
      </c>
      <c r="C151" s="156">
        <f t="shared" si="77"/>
        <v>0.1020851914117732</v>
      </c>
      <c r="D151" s="156">
        <f t="shared" si="77"/>
        <v>9.1776733504187399E-2</v>
      </c>
      <c r="E151" s="156">
        <f t="shared" si="77"/>
        <v>7.428297460910413E-2</v>
      </c>
      <c r="F151" s="156">
        <f t="shared" si="77"/>
        <v>6.5506136257001565E-2</v>
      </c>
      <c r="G151" s="156">
        <f t="shared" si="77"/>
        <v>5.9711712576978854E-2</v>
      </c>
      <c r="H151" s="156">
        <f t="shared" si="77"/>
        <v>5.9753177857987047E-2</v>
      </c>
      <c r="I151" s="156">
        <f t="shared" si="77"/>
        <v>5.67719140271358E-2</v>
      </c>
      <c r="J151" s="156">
        <f t="shared" si="77"/>
        <v>5.6905077539518921E-2</v>
      </c>
      <c r="K151" s="156">
        <f t="shared" si="77"/>
        <v>5.8272076087764309E-2</v>
      </c>
      <c r="L151" s="156">
        <f t="shared" ref="L151" si="78">IF(L33=0,0,L33/L$17)</f>
        <v>6.3850455967860834E-2</v>
      </c>
      <c r="M151" s="156">
        <f t="shared" ref="M151:V151" si="79">IF(M33=0,0,M33/M$17)</f>
        <v>6.0727813511471891E-2</v>
      </c>
      <c r="N151" s="156">
        <f t="shared" si="79"/>
        <v>6.0223186376496526E-2</v>
      </c>
      <c r="O151" s="156">
        <f t="shared" si="79"/>
        <v>6.3539399025133073E-2</v>
      </c>
      <c r="P151" s="156">
        <f t="shared" si="79"/>
        <v>6.7360795092881537E-2</v>
      </c>
      <c r="Q151" s="156">
        <f t="shared" si="79"/>
        <v>6.3068496892188186E-2</v>
      </c>
      <c r="R151" s="156">
        <f t="shared" si="79"/>
        <v>6.4570312552149567E-2</v>
      </c>
      <c r="S151" s="156">
        <f t="shared" si="79"/>
        <v>6.5857086189794245E-2</v>
      </c>
      <c r="T151" s="156">
        <f t="shared" si="79"/>
        <v>6.483645370284602E-2</v>
      </c>
      <c r="U151" s="156">
        <f t="shared" si="79"/>
        <v>6.4404745742683941E-2</v>
      </c>
      <c r="V151" s="156">
        <f t="shared" si="79"/>
        <v>5.1476554816229009E-2</v>
      </c>
      <c r="W151" s="156">
        <f t="shared" ref="W151" si="80">IF(W33=0,0,W33/W$17)</f>
        <v>4.9165272156005323E-2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2.68086365932495E-3</v>
      </c>
      <c r="C152" s="103">
        <f t="shared" si="81"/>
        <v>2.5149815004001535E-3</v>
      </c>
      <c r="D152" s="103">
        <f t="shared" si="81"/>
        <v>2.4304472208216497E-3</v>
      </c>
      <c r="E152" s="103">
        <f t="shared" si="81"/>
        <v>1.8231623440885171E-3</v>
      </c>
      <c r="F152" s="103">
        <f t="shared" si="81"/>
        <v>1.5171557412509069E-3</v>
      </c>
      <c r="G152" s="103">
        <f t="shared" si="81"/>
        <v>1.2842485589007128E-3</v>
      </c>
      <c r="H152" s="103">
        <f t="shared" si="81"/>
        <v>1.1943980603466365E-3</v>
      </c>
      <c r="I152" s="103">
        <f t="shared" si="81"/>
        <v>1.1227880783426017E-3</v>
      </c>
      <c r="J152" s="103">
        <f t="shared" si="81"/>
        <v>1.067255191359746E-3</v>
      </c>
      <c r="K152" s="103">
        <f t="shared" si="81"/>
        <v>1.0097844088278476E-3</v>
      </c>
      <c r="L152" s="103">
        <f t="shared" ref="L152" si="82">IF(L34=0,0,L34/L$17)</f>
        <v>1.0817370905329604E-3</v>
      </c>
      <c r="M152" s="103">
        <f t="shared" ref="M152:V152" si="83">IF(M34=0,0,M34/M$17)</f>
        <v>9.906969672537813E-4</v>
      </c>
      <c r="N152" s="103">
        <f t="shared" si="83"/>
        <v>9.1128673434990302E-4</v>
      </c>
      <c r="O152" s="103">
        <f t="shared" si="83"/>
        <v>9.3100936003952478E-4</v>
      </c>
      <c r="P152" s="103">
        <f t="shared" si="83"/>
        <v>9.0175528315716976E-4</v>
      </c>
      <c r="Q152" s="103">
        <f t="shared" si="83"/>
        <v>7.9969725660233729E-4</v>
      </c>
      <c r="R152" s="103">
        <f t="shared" si="83"/>
        <v>7.7932985936296603E-4</v>
      </c>
      <c r="S152" s="103">
        <f t="shared" si="83"/>
        <v>7.5130398532576221E-4</v>
      </c>
      <c r="T152" s="103">
        <f t="shared" si="83"/>
        <v>6.8992729726076571E-4</v>
      </c>
      <c r="U152" s="103">
        <f t="shared" si="83"/>
        <v>6.4373454972180776E-4</v>
      </c>
      <c r="V152" s="103">
        <f t="shared" si="83"/>
        <v>5.2800437411530926E-4</v>
      </c>
      <c r="W152" s="103">
        <f t="shared" ref="W152" si="84">IF(W34=0,0,W34/W$17)</f>
        <v>4.3877368401818936E-4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9.1836487352906004E-2</v>
      </c>
      <c r="C153" s="103">
        <f t="shared" si="85"/>
        <v>9.5987817589341537E-2</v>
      </c>
      <c r="D153" s="103">
        <f t="shared" si="85"/>
        <v>8.5596413096261093E-2</v>
      </c>
      <c r="E153" s="103">
        <f t="shared" si="85"/>
        <v>6.8995339899348779E-2</v>
      </c>
      <c r="F153" s="103">
        <f t="shared" si="85"/>
        <v>6.0014223809535951E-2</v>
      </c>
      <c r="G153" s="103">
        <f t="shared" si="85"/>
        <v>5.5041814605679612E-2</v>
      </c>
      <c r="H153" s="103">
        <f t="shared" si="85"/>
        <v>5.4721801844468988E-2</v>
      </c>
      <c r="I153" s="103">
        <f t="shared" si="85"/>
        <v>5.3241417214847112E-2</v>
      </c>
      <c r="J153" s="103">
        <f t="shared" si="85"/>
        <v>5.3429478498492125E-2</v>
      </c>
      <c r="K153" s="103">
        <f t="shared" si="85"/>
        <v>5.472299614258614E-2</v>
      </c>
      <c r="L153" s="103">
        <f t="shared" ref="L153" si="86">IF(L36=0,0,L36/L$17)</f>
        <v>5.9799354556962794E-2</v>
      </c>
      <c r="M153" s="103">
        <f t="shared" ref="M153:V153" si="87">IF(M36=0,0,M36/M$17)</f>
        <v>5.6576523964907581E-2</v>
      </c>
      <c r="N153" s="103">
        <f t="shared" si="87"/>
        <v>5.5857166890408087E-2</v>
      </c>
      <c r="O153" s="103">
        <f t="shared" si="87"/>
        <v>5.9551606482655325E-2</v>
      </c>
      <c r="P153" s="103">
        <f t="shared" si="87"/>
        <v>6.2854818345811483E-2</v>
      </c>
      <c r="Q153" s="103">
        <f t="shared" si="87"/>
        <v>5.7682137604293852E-2</v>
      </c>
      <c r="R153" s="103">
        <f t="shared" si="87"/>
        <v>5.8357592032680858E-2</v>
      </c>
      <c r="S153" s="103">
        <f t="shared" si="87"/>
        <v>5.956323446949089E-2</v>
      </c>
      <c r="T153" s="103">
        <f t="shared" si="87"/>
        <v>5.8615312243476388E-2</v>
      </c>
      <c r="U153" s="103">
        <f t="shared" si="87"/>
        <v>5.6671995422179287E-2</v>
      </c>
      <c r="V153" s="103">
        <f t="shared" si="87"/>
        <v>4.2979858649573106E-2</v>
      </c>
      <c r="W153" s="103">
        <f t="shared" ref="W153" si="88">IF(W36=0,0,W36/W$17)</f>
        <v>3.8458320436000719E-2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8.0653742442850504E-6</v>
      </c>
      <c r="W154" s="103">
        <f t="shared" ref="W154" si="92">IF(W38=0,0,W38/W$17)</f>
        <v>6.9594115034826077E-6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1.0579133537523449E-3</v>
      </c>
      <c r="C155" s="103">
        <f t="shared" si="93"/>
        <v>1.2060827082983707E-3</v>
      </c>
      <c r="D155" s="103">
        <f t="shared" si="93"/>
        <v>1.5279448934485869E-3</v>
      </c>
      <c r="E155" s="103">
        <f t="shared" si="93"/>
        <v>1.5075536212988086E-3</v>
      </c>
      <c r="F155" s="103">
        <f t="shared" si="93"/>
        <v>2.0902123651817608E-3</v>
      </c>
      <c r="G155" s="103">
        <f t="shared" si="93"/>
        <v>1.6500579012646696E-3</v>
      </c>
      <c r="H155" s="103">
        <f t="shared" si="93"/>
        <v>2.1323565478452238E-3</v>
      </c>
      <c r="I155" s="103">
        <f t="shared" si="93"/>
        <v>7.939734882990452E-4</v>
      </c>
      <c r="J155" s="103">
        <f t="shared" si="93"/>
        <v>8.0084183032210474E-4</v>
      </c>
      <c r="K155" s="103">
        <f t="shared" si="93"/>
        <v>9.2085426185462233E-4</v>
      </c>
      <c r="L155" s="103">
        <f t="shared" ref="L155" si="94">IF(L39=0,0,L39/L$17)</f>
        <v>1.2587895521868563E-3</v>
      </c>
      <c r="M155" s="103">
        <f t="shared" ref="M155:V155" si="95">IF(M39=0,0,M39/M$17)</f>
        <v>1.4663824519065918E-3</v>
      </c>
      <c r="N155" s="103">
        <f t="shared" si="95"/>
        <v>1.7262170510026487E-3</v>
      </c>
      <c r="O155" s="103">
        <f t="shared" si="95"/>
        <v>1.7234458963544107E-3</v>
      </c>
      <c r="P155" s="103">
        <f t="shared" si="95"/>
        <v>3.2785989481798243E-3</v>
      </c>
      <c r="Q155" s="103">
        <f t="shared" si="95"/>
        <v>4.3318311881762259E-3</v>
      </c>
      <c r="R155" s="103">
        <f t="shared" si="95"/>
        <v>5.1912978407245335E-3</v>
      </c>
      <c r="S155" s="103">
        <f t="shared" si="95"/>
        <v>5.3116685169762945E-3</v>
      </c>
      <c r="T155" s="103">
        <f t="shared" si="95"/>
        <v>5.3070257556817385E-3</v>
      </c>
      <c r="U155" s="103">
        <f t="shared" si="95"/>
        <v>6.9102886889640192E-3</v>
      </c>
      <c r="V155" s="103">
        <f t="shared" si="95"/>
        <v>7.790476049790082E-3</v>
      </c>
      <c r="W155" s="103">
        <f t="shared" ref="W155" si="96">IF(W39=0,0,W39/W$17)</f>
        <v>1.007514404480038E-2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2.4857966899045143E-3</v>
      </c>
      <c r="C156" s="103">
        <f t="shared" si="97"/>
        <v>2.3763096137331338E-3</v>
      </c>
      <c r="D156" s="103">
        <f t="shared" si="97"/>
        <v>2.2219282936560662E-3</v>
      </c>
      <c r="E156" s="103">
        <f t="shared" si="97"/>
        <v>1.9569187443680097E-3</v>
      </c>
      <c r="F156" s="103">
        <f t="shared" si="97"/>
        <v>1.8845443410329535E-3</v>
      </c>
      <c r="G156" s="103">
        <f t="shared" si="97"/>
        <v>1.7355915111338549E-3</v>
      </c>
      <c r="H156" s="103">
        <f t="shared" si="97"/>
        <v>1.7046214053261998E-3</v>
      </c>
      <c r="I156" s="103">
        <f t="shared" si="97"/>
        <v>1.6137352456470399E-3</v>
      </c>
      <c r="J156" s="103">
        <f t="shared" si="97"/>
        <v>1.6075020193449373E-3</v>
      </c>
      <c r="K156" s="103">
        <f t="shared" si="97"/>
        <v>1.6184412744957E-3</v>
      </c>
      <c r="L156" s="103">
        <f t="shared" ref="L156" si="98">IF(L41=0,0,L41/L$17)</f>
        <v>1.7105747681782186E-3</v>
      </c>
      <c r="M156" s="103">
        <f t="shared" ref="M156:V156" si="99">IF(M41=0,0,M41/M$17)</f>
        <v>1.6942101274039381E-3</v>
      </c>
      <c r="N156" s="103">
        <f t="shared" si="99"/>
        <v>1.7285157007358954E-3</v>
      </c>
      <c r="O156" s="103">
        <f t="shared" si="99"/>
        <v>1.3333372860838213E-3</v>
      </c>
      <c r="P156" s="103">
        <f t="shared" si="99"/>
        <v>3.2562251573307064E-4</v>
      </c>
      <c r="Q156" s="103">
        <f t="shared" si="99"/>
        <v>2.5483084311576226E-4</v>
      </c>
      <c r="R156" s="103">
        <f t="shared" si="99"/>
        <v>2.4209281938120989E-4</v>
      </c>
      <c r="S156" s="103">
        <f t="shared" si="99"/>
        <v>2.3087921800129453E-4</v>
      </c>
      <c r="T156" s="103">
        <f t="shared" si="99"/>
        <v>2.2418840642713159E-4</v>
      </c>
      <c r="U156" s="103">
        <f t="shared" si="99"/>
        <v>1.7872708181883548E-4</v>
      </c>
      <c r="V156" s="103">
        <f t="shared" si="99"/>
        <v>1.7015036850622799E-4</v>
      </c>
      <c r="W156" s="103">
        <f t="shared" ref="W156" si="100">IF(W41=0,0,W41/W$17)</f>
        <v>1.8607457968254474E-4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0.25605972939202415</v>
      </c>
      <c r="C157" s="46">
        <f t="shared" si="101"/>
        <v>0.25487112783123023</v>
      </c>
      <c r="D157" s="46">
        <f t="shared" si="101"/>
        <v>0.27317009726118568</v>
      </c>
      <c r="E157" s="46">
        <f t="shared" si="101"/>
        <v>0.2918188715063782</v>
      </c>
      <c r="F157" s="46">
        <f t="shared" si="101"/>
        <v>0.31238232640684338</v>
      </c>
      <c r="G157" s="46">
        <f t="shared" si="101"/>
        <v>0.34513754308848188</v>
      </c>
      <c r="H157" s="46">
        <f t="shared" si="101"/>
        <v>0.36206551363856598</v>
      </c>
      <c r="I157" s="46">
        <f t="shared" si="101"/>
        <v>0.36785419774175815</v>
      </c>
      <c r="J157" s="46">
        <f t="shared" si="101"/>
        <v>0.36705664710921249</v>
      </c>
      <c r="K157" s="46">
        <f t="shared" si="101"/>
        <v>0.34736031065617196</v>
      </c>
      <c r="L157" s="46">
        <f t="shared" ref="L157" si="102">IF(L42=0,0,L42/L$17)</f>
        <v>0.3607929696030972</v>
      </c>
      <c r="M157" s="46">
        <f t="shared" ref="M157:V157" si="103">IF(M42=0,0,M42/M$17)</f>
        <v>0.35730899672746846</v>
      </c>
      <c r="N157" s="46">
        <f t="shared" si="103"/>
        <v>0.3542443611544438</v>
      </c>
      <c r="O157" s="46">
        <f t="shared" si="103"/>
        <v>0.34462126047998493</v>
      </c>
      <c r="P157" s="46">
        <f t="shared" si="103"/>
        <v>0.35160023694666059</v>
      </c>
      <c r="Q157" s="46">
        <f t="shared" si="103"/>
        <v>0.36891626180250131</v>
      </c>
      <c r="R157" s="46">
        <f t="shared" si="103"/>
        <v>0.36251081346627539</v>
      </c>
      <c r="S157" s="46">
        <f t="shared" si="103"/>
        <v>0.36763581690322372</v>
      </c>
      <c r="T157" s="46">
        <f t="shared" si="103"/>
        <v>0.36432164036605574</v>
      </c>
      <c r="U157" s="46">
        <f t="shared" si="103"/>
        <v>0.358931230938279</v>
      </c>
      <c r="V157" s="46">
        <f t="shared" si="103"/>
        <v>0.36033649524617362</v>
      </c>
      <c r="W157" s="46">
        <f t="shared" ref="W157" si="104">IF(W42=0,0,W42/W$17)</f>
        <v>0.35524206943290954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4.2491564742497427E-2</v>
      </c>
      <c r="C158" s="154">
        <f t="shared" si="105"/>
        <v>4.3424740352591105E-2</v>
      </c>
      <c r="D158" s="154">
        <f t="shared" si="105"/>
        <v>4.7450253277928893E-2</v>
      </c>
      <c r="E158" s="154">
        <f t="shared" si="105"/>
        <v>4.7909104752440902E-2</v>
      </c>
      <c r="F158" s="154">
        <f t="shared" si="105"/>
        <v>5.2824642150414693E-2</v>
      </c>
      <c r="G158" s="154">
        <f t="shared" si="105"/>
        <v>5.8210733440467059E-2</v>
      </c>
      <c r="H158" s="154">
        <f t="shared" si="105"/>
        <v>6.4596858351835179E-2</v>
      </c>
      <c r="I158" s="154">
        <f t="shared" si="105"/>
        <v>6.9990460778039915E-2</v>
      </c>
      <c r="J158" s="154">
        <f t="shared" si="105"/>
        <v>8.3683925639421189E-2</v>
      </c>
      <c r="K158" s="154">
        <f t="shared" si="105"/>
        <v>8.6421295895342115E-2</v>
      </c>
      <c r="L158" s="154">
        <f t="shared" ref="L158" si="106">IF(L43=0,0,L43/L$17)</f>
        <v>9.675264139171369E-2</v>
      </c>
      <c r="M158" s="154">
        <f t="shared" ref="M158:V158" si="107">IF(M43=0,0,M43/M$17)</f>
        <v>9.8672860175915894E-2</v>
      </c>
      <c r="N158" s="154">
        <f t="shared" si="107"/>
        <v>0.10213225035314576</v>
      </c>
      <c r="O158" s="154">
        <f t="shared" si="107"/>
        <v>0.10722777498241173</v>
      </c>
      <c r="P158" s="154">
        <f t="shared" si="107"/>
        <v>0.11562279897740976</v>
      </c>
      <c r="Q158" s="154">
        <f t="shared" si="107"/>
        <v>0.12129209414060278</v>
      </c>
      <c r="R158" s="154">
        <f t="shared" si="107"/>
        <v>9.9964841400585869E-2</v>
      </c>
      <c r="S158" s="154">
        <f t="shared" si="107"/>
        <v>9.8998445083136294E-2</v>
      </c>
      <c r="T158" s="154">
        <f t="shared" si="107"/>
        <v>9.8838348601448925E-2</v>
      </c>
      <c r="U158" s="154">
        <f t="shared" si="107"/>
        <v>9.7526860698890397E-2</v>
      </c>
      <c r="V158" s="154">
        <f t="shared" si="107"/>
        <v>0.10091877330085</v>
      </c>
      <c r="W158" s="154">
        <f t="shared" ref="W158" si="108">IF(W43=0,0,W43/W$17)</f>
        <v>9.6061957710464524E-2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7.9167078873157801E-3</v>
      </c>
      <c r="C159" s="103">
        <f t="shared" si="109"/>
        <v>8.1186477681735366E-3</v>
      </c>
      <c r="D159" s="103">
        <f t="shared" si="109"/>
        <v>8.6674824950772108E-3</v>
      </c>
      <c r="E159" s="103">
        <f t="shared" si="109"/>
        <v>7.6273755972811885E-3</v>
      </c>
      <c r="F159" s="103">
        <f t="shared" si="109"/>
        <v>7.5543318088249394E-3</v>
      </c>
      <c r="G159" s="103">
        <f t="shared" si="109"/>
        <v>7.6623552473811243E-3</v>
      </c>
      <c r="H159" s="103">
        <f t="shared" si="109"/>
        <v>8.526748678913924E-3</v>
      </c>
      <c r="I159" s="103">
        <f t="shared" si="109"/>
        <v>9.1841056640359284E-3</v>
      </c>
      <c r="J159" s="103">
        <f t="shared" si="109"/>
        <v>1.0269357523592695E-2</v>
      </c>
      <c r="K159" s="103">
        <f t="shared" si="109"/>
        <v>1.013339889846342E-2</v>
      </c>
      <c r="L159" s="103">
        <f t="shared" ref="L159" si="110">IF(L44=0,0,L44/L$17)</f>
        <v>1.0533403408857559E-2</v>
      </c>
      <c r="M159" s="103">
        <f t="shared" ref="M159:V159" si="111">IF(M44=0,0,M44/M$17)</f>
        <v>1.0230360968342671E-2</v>
      </c>
      <c r="N159" s="103">
        <f t="shared" si="111"/>
        <v>1.0097807122741777E-2</v>
      </c>
      <c r="O159" s="103">
        <f t="shared" si="111"/>
        <v>1.0275359653244888E-2</v>
      </c>
      <c r="P159" s="103">
        <f t="shared" si="111"/>
        <v>1.0296045002761767E-2</v>
      </c>
      <c r="Q159" s="103">
        <f t="shared" si="111"/>
        <v>1.0445505213671508E-2</v>
      </c>
      <c r="R159" s="103">
        <f t="shared" si="111"/>
        <v>1.0214952491737209E-2</v>
      </c>
      <c r="S159" s="103">
        <f t="shared" si="111"/>
        <v>9.8769638121200282E-3</v>
      </c>
      <c r="T159" s="103">
        <f t="shared" si="111"/>
        <v>9.7999229827121781E-3</v>
      </c>
      <c r="U159" s="103">
        <f t="shared" si="111"/>
        <v>9.634087305427131E-3</v>
      </c>
      <c r="V159" s="103">
        <f t="shared" si="111"/>
        <v>1.0136958301230544E-2</v>
      </c>
      <c r="W159" s="103">
        <f t="shared" ref="W159" si="112">IF(W44=0,0,W44/W$17)</f>
        <v>9.4401708822178954E-3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3.1610052931911471E-2</v>
      </c>
      <c r="C160" s="103">
        <f t="shared" si="113"/>
        <v>3.2533701597774668E-2</v>
      </c>
      <c r="D160" s="103">
        <f t="shared" si="113"/>
        <v>3.6158303134459932E-2</v>
      </c>
      <c r="E160" s="103">
        <f t="shared" si="113"/>
        <v>3.7999399220846677E-2</v>
      </c>
      <c r="F160" s="103">
        <f t="shared" si="113"/>
        <v>4.3082330445521927E-2</v>
      </c>
      <c r="G160" s="103">
        <f t="shared" si="113"/>
        <v>4.8533498585451966E-2</v>
      </c>
      <c r="H160" s="103">
        <f t="shared" si="113"/>
        <v>5.4106067349873832E-2</v>
      </c>
      <c r="I160" s="103">
        <f t="shared" si="113"/>
        <v>5.8898006593852761E-2</v>
      </c>
      <c r="J160" s="103">
        <f t="shared" si="113"/>
        <v>7.1581928933078603E-2</v>
      </c>
      <c r="K160" s="103">
        <f t="shared" si="113"/>
        <v>7.4434756302402288E-2</v>
      </c>
      <c r="L160" s="103">
        <f t="shared" ref="L160" si="114">IF(L46=0,0,L46/L$17)</f>
        <v>8.4351512159197881E-2</v>
      </c>
      <c r="M160" s="103">
        <f t="shared" ref="M160:V160" si="115">IF(M46=0,0,M46/M$17)</f>
        <v>8.65898774201556E-2</v>
      </c>
      <c r="N160" s="103">
        <f t="shared" si="115"/>
        <v>8.9863037048999256E-2</v>
      </c>
      <c r="O160" s="103">
        <f t="shared" si="115"/>
        <v>9.4587344272379303E-2</v>
      </c>
      <c r="P160" s="103">
        <f t="shared" si="115"/>
        <v>0.10255247176546083</v>
      </c>
      <c r="Q160" s="103">
        <f t="shared" si="115"/>
        <v>0.10768918831467278</v>
      </c>
      <c r="R160" s="103">
        <f t="shared" si="115"/>
        <v>8.5950336918779693E-2</v>
      </c>
      <c r="S160" s="103">
        <f t="shared" si="115"/>
        <v>8.4978866893312813E-2</v>
      </c>
      <c r="T160" s="103">
        <f t="shared" si="115"/>
        <v>8.4608168291967656E-2</v>
      </c>
      <c r="U160" s="103">
        <f t="shared" si="115"/>
        <v>8.3361026966086521E-2</v>
      </c>
      <c r="V160" s="103">
        <f t="shared" si="115"/>
        <v>8.6173490684947895E-2</v>
      </c>
      <c r="W160" s="103">
        <f t="shared" ref="W160" si="116">IF(W46=0,0,W46/W$17)</f>
        <v>8.197374888170493E-2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2.964803923270175E-3</v>
      </c>
      <c r="C161" s="103">
        <f t="shared" si="117"/>
        <v>2.7723909866428998E-3</v>
      </c>
      <c r="D161" s="103">
        <f t="shared" si="117"/>
        <v>2.6244676483917415E-3</v>
      </c>
      <c r="E161" s="103">
        <f t="shared" si="117"/>
        <v>2.2823299343130328E-3</v>
      </c>
      <c r="F161" s="103">
        <f t="shared" si="117"/>
        <v>2.187979896067835E-3</v>
      </c>
      <c r="G161" s="103">
        <f t="shared" si="117"/>
        <v>2.014879607633969E-3</v>
      </c>
      <c r="H161" s="103">
        <f t="shared" si="117"/>
        <v>1.9640423230474196E-3</v>
      </c>
      <c r="I161" s="103">
        <f t="shared" si="117"/>
        <v>1.9083485201512166E-3</v>
      </c>
      <c r="J161" s="103">
        <f t="shared" si="117"/>
        <v>1.8315059599324586E-3</v>
      </c>
      <c r="K161" s="103">
        <f t="shared" si="117"/>
        <v>1.8519325824169139E-3</v>
      </c>
      <c r="L161" s="103">
        <f t="shared" ref="L161" si="118">IF(L48=0,0,L48/L$17)</f>
        <v>1.8663240837575173E-3</v>
      </c>
      <c r="M161" s="103">
        <f t="shared" ref="M161:V161" si="119">IF(M48=0,0,M48/M$17)</f>
        <v>1.8510938473395792E-3</v>
      </c>
      <c r="N161" s="103">
        <f t="shared" si="119"/>
        <v>2.0784128881997507E-3</v>
      </c>
      <c r="O161" s="103">
        <f t="shared" si="119"/>
        <v>2.1989768034825527E-3</v>
      </c>
      <c r="P161" s="103">
        <f t="shared" si="119"/>
        <v>2.3807399881629995E-3</v>
      </c>
      <c r="Q161" s="103">
        <f t="shared" si="119"/>
        <v>2.2834637514989498E-3</v>
      </c>
      <c r="R161" s="103">
        <f t="shared" si="119"/>
        <v>2.3715987606453253E-3</v>
      </c>
      <c r="S161" s="103">
        <f t="shared" si="119"/>
        <v>2.2468217686391657E-3</v>
      </c>
      <c r="T161" s="103">
        <f t="shared" si="119"/>
        <v>2.1722961956018262E-3</v>
      </c>
      <c r="U161" s="103">
        <f t="shared" si="119"/>
        <v>1.9448048008732371E-3</v>
      </c>
      <c r="V161" s="103">
        <f t="shared" si="119"/>
        <v>1.8486662685603694E-3</v>
      </c>
      <c r="W161" s="103">
        <f t="shared" ref="W161" si="120">IF(W48=0,0,W48/W$17)</f>
        <v>1.5525476842144521E-3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9.075288322249937E-5</v>
      </c>
      <c r="O162" s="103">
        <f t="shared" si="123"/>
        <v>1.6342766112155256E-4</v>
      </c>
      <c r="P162" s="103">
        <f t="shared" si="123"/>
        <v>3.9059490153672876E-4</v>
      </c>
      <c r="Q162" s="103">
        <f t="shared" si="123"/>
        <v>8.7053252617505408E-4</v>
      </c>
      <c r="R162" s="103">
        <f t="shared" si="123"/>
        <v>1.4240915194985743E-3</v>
      </c>
      <c r="S162" s="103">
        <f t="shared" si="123"/>
        <v>1.8912283353149397E-3</v>
      </c>
      <c r="T162" s="103">
        <f t="shared" si="123"/>
        <v>2.2512427177677511E-3</v>
      </c>
      <c r="U162" s="103">
        <f t="shared" si="123"/>
        <v>2.575178618599652E-3</v>
      </c>
      <c r="V162" s="103">
        <f t="shared" si="123"/>
        <v>2.7436575411960008E-3</v>
      </c>
      <c r="W162" s="103">
        <f t="shared" ref="W162" si="124">IF(W49=0,0,W49/W$17)</f>
        <v>3.066825658644389E-3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1.1332228174395229E-6</v>
      </c>
      <c r="K163" s="103">
        <f t="shared" si="125"/>
        <v>1.2081120595029908E-6</v>
      </c>
      <c r="L163" s="103">
        <f t="shared" ref="L163" si="126">IF(L51=0,0,L51/L$17)</f>
        <v>1.4017399007507132E-6</v>
      </c>
      <c r="M163" s="103">
        <f t="shared" ref="M163:V163" si="127">IF(M51=0,0,M51/M$17)</f>
        <v>1.5279400780628246E-6</v>
      </c>
      <c r="N163" s="103">
        <f t="shared" si="127"/>
        <v>2.2404099824778199E-6</v>
      </c>
      <c r="O163" s="103">
        <f t="shared" si="127"/>
        <v>2.6665921834722583E-6</v>
      </c>
      <c r="P163" s="103">
        <f t="shared" si="127"/>
        <v>2.9473194874450275E-6</v>
      </c>
      <c r="Q163" s="103">
        <f t="shared" si="127"/>
        <v>3.4043345844954785E-6</v>
      </c>
      <c r="R163" s="103">
        <f t="shared" si="127"/>
        <v>3.8617099250724053E-6</v>
      </c>
      <c r="S163" s="103">
        <f t="shared" si="127"/>
        <v>4.5642737493625623E-6</v>
      </c>
      <c r="T163" s="103">
        <f t="shared" si="127"/>
        <v>6.7184133995004016E-6</v>
      </c>
      <c r="U163" s="103">
        <f t="shared" si="127"/>
        <v>1.1763007903866571E-5</v>
      </c>
      <c r="V163" s="103">
        <f t="shared" si="127"/>
        <v>1.6000504915191047E-5</v>
      </c>
      <c r="W163" s="103">
        <f t="shared" ref="W163" si="128">IF(W51=0,0,W51/W$17)</f>
        <v>2.8664603682833803E-5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0.21356816464952669</v>
      </c>
      <c r="C164" s="156">
        <f t="shared" si="129"/>
        <v>0.21144638747863911</v>
      </c>
      <c r="D164" s="156">
        <f t="shared" si="129"/>
        <v>0.22571984398325678</v>
      </c>
      <c r="E164" s="156">
        <f t="shared" si="129"/>
        <v>0.2439097667539373</v>
      </c>
      <c r="F164" s="156">
        <f t="shared" si="129"/>
        <v>0.25955768425642867</v>
      </c>
      <c r="G164" s="156">
        <f t="shared" si="129"/>
        <v>0.28692680964801476</v>
      </c>
      <c r="H164" s="156">
        <f t="shared" si="129"/>
        <v>0.29746865528673078</v>
      </c>
      <c r="I164" s="156">
        <f t="shared" si="129"/>
        <v>0.29786373696371826</v>
      </c>
      <c r="J164" s="156">
        <f t="shared" si="129"/>
        <v>0.28337272146979131</v>
      </c>
      <c r="K164" s="156">
        <f t="shared" si="129"/>
        <v>0.26093901476082981</v>
      </c>
      <c r="L164" s="156">
        <f t="shared" ref="L164" si="130">IF(L52=0,0,L52/L$17)</f>
        <v>0.26404032821138346</v>
      </c>
      <c r="M164" s="156">
        <f t="shared" ref="M164:V164" si="131">IF(M52=0,0,M52/M$17)</f>
        <v>0.2586361365515526</v>
      </c>
      <c r="N164" s="156">
        <f t="shared" si="131"/>
        <v>0.25211211080129803</v>
      </c>
      <c r="O164" s="156">
        <f t="shared" si="131"/>
        <v>0.23739348549757316</v>
      </c>
      <c r="P164" s="156">
        <f t="shared" si="131"/>
        <v>0.23597743796925086</v>
      </c>
      <c r="Q164" s="156">
        <f t="shared" si="131"/>
        <v>0.24762416766189851</v>
      </c>
      <c r="R164" s="156">
        <f t="shared" si="131"/>
        <v>0.26254597206568947</v>
      </c>
      <c r="S164" s="156">
        <f t="shared" si="131"/>
        <v>0.2686373718200874</v>
      </c>
      <c r="T164" s="156">
        <f t="shared" si="131"/>
        <v>0.26548329176460683</v>
      </c>
      <c r="U164" s="156">
        <f t="shared" si="131"/>
        <v>0.26140437023938856</v>
      </c>
      <c r="V164" s="156">
        <f t="shared" si="131"/>
        <v>0.25941772194532359</v>
      </c>
      <c r="W164" s="156">
        <f t="shared" ref="W164" si="132">IF(W52=0,0,W52/W$17)</f>
        <v>0.25918011172244498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0.1211772411654034</v>
      </c>
      <c r="C165" s="104">
        <f t="shared" si="133"/>
        <v>0.13194056810882912</v>
      </c>
      <c r="D165" s="104">
        <f t="shared" si="133"/>
        <v>0.14316634731225278</v>
      </c>
      <c r="E165" s="104">
        <f t="shared" si="133"/>
        <v>0.15055623766198842</v>
      </c>
      <c r="F165" s="104">
        <f t="shared" si="133"/>
        <v>0.15673938226034345</v>
      </c>
      <c r="G165" s="104">
        <f t="shared" si="133"/>
        <v>0.17013628241985049</v>
      </c>
      <c r="H165" s="104">
        <f t="shared" si="133"/>
        <v>0.1583916079023982</v>
      </c>
      <c r="I165" s="104">
        <f t="shared" si="133"/>
        <v>0.14867640255565812</v>
      </c>
      <c r="J165" s="104">
        <f t="shared" si="133"/>
        <v>0.14168324802208745</v>
      </c>
      <c r="K165" s="104">
        <f t="shared" si="133"/>
        <v>0.11935775112668243</v>
      </c>
      <c r="L165" s="104">
        <f t="shared" ref="L165" si="134">IF(L53=0,0,L53/L$17)</f>
        <v>0.12312292943587058</v>
      </c>
      <c r="M165" s="104">
        <f t="shared" ref="M165:V165" si="135">IF(M53=0,0,M53/M$17)</f>
        <v>0.12058500094231764</v>
      </c>
      <c r="N165" s="104">
        <f t="shared" si="135"/>
        <v>0.1163277829933748</v>
      </c>
      <c r="O165" s="104">
        <f t="shared" si="135"/>
        <v>0.11953097299043643</v>
      </c>
      <c r="P165" s="104">
        <f t="shared" si="135"/>
        <v>0.1243147114428331</v>
      </c>
      <c r="Q165" s="104">
        <f t="shared" si="135"/>
        <v>0.14175916031978883</v>
      </c>
      <c r="R165" s="104">
        <f t="shared" si="135"/>
        <v>0.14128929534353377</v>
      </c>
      <c r="S165" s="104">
        <f t="shared" si="135"/>
        <v>0.14448343130174723</v>
      </c>
      <c r="T165" s="104">
        <f t="shared" si="135"/>
        <v>0.14869906998733556</v>
      </c>
      <c r="U165" s="104">
        <f t="shared" si="135"/>
        <v>0.14724915820514625</v>
      </c>
      <c r="V165" s="104">
        <f t="shared" si="135"/>
        <v>0.16699809509628522</v>
      </c>
      <c r="W165" s="104">
        <f t="shared" ref="W165" si="136">IF(W53=0,0,W53/W$17)</f>
        <v>0.17025285530575388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9.2390923484123269E-2</v>
      </c>
      <c r="C166" s="105">
        <f t="shared" si="137"/>
        <v>7.9505819369809994E-2</v>
      </c>
      <c r="D166" s="105">
        <f t="shared" si="137"/>
        <v>8.2553496671003992E-2</v>
      </c>
      <c r="E166" s="105">
        <f t="shared" si="137"/>
        <v>9.335352909194887E-2</v>
      </c>
      <c r="F166" s="105">
        <f t="shared" si="137"/>
        <v>0.10281830199608519</v>
      </c>
      <c r="G166" s="105">
        <f t="shared" si="137"/>
        <v>0.11679052722816428</v>
      </c>
      <c r="H166" s="105">
        <f t="shared" si="137"/>
        <v>0.13907704738433263</v>
      </c>
      <c r="I166" s="105">
        <f t="shared" si="137"/>
        <v>0.14918733440806012</v>
      </c>
      <c r="J166" s="105">
        <f t="shared" si="137"/>
        <v>0.14168947344770383</v>
      </c>
      <c r="K166" s="105">
        <f t="shared" si="137"/>
        <v>0.14158126363414739</v>
      </c>
      <c r="L166" s="105">
        <f t="shared" ref="L166" si="138">IF(L55=0,0,L55/L$17)</f>
        <v>0.14091739877551288</v>
      </c>
      <c r="M166" s="105">
        <f t="shared" ref="M166:V166" si="139">IF(M55=0,0,M55/M$17)</f>
        <v>0.13805113560923496</v>
      </c>
      <c r="N166" s="105">
        <f t="shared" si="139"/>
        <v>0.13578432780792321</v>
      </c>
      <c r="O166" s="105">
        <f t="shared" si="139"/>
        <v>0.11786251250713672</v>
      </c>
      <c r="P166" s="105">
        <f t="shared" si="139"/>
        <v>0.11166272652641776</v>
      </c>
      <c r="Q166" s="105">
        <f t="shared" si="139"/>
        <v>0.1058650073421097</v>
      </c>
      <c r="R166" s="105">
        <f t="shared" si="139"/>
        <v>0.12125667672215568</v>
      </c>
      <c r="S166" s="105">
        <f t="shared" si="139"/>
        <v>0.12415394051834015</v>
      </c>
      <c r="T166" s="105">
        <f t="shared" si="139"/>
        <v>0.11678422177727125</v>
      </c>
      <c r="U166" s="105">
        <f t="shared" si="139"/>
        <v>0.11415521203424231</v>
      </c>
      <c r="V166" s="105">
        <f t="shared" si="139"/>
        <v>9.2419626849038344E-2</v>
      </c>
      <c r="W166" s="105">
        <f t="shared" ref="W166" si="140">IF(W55=0,0,W55/W$17)</f>
        <v>8.8927256416691094E-2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11272.270563720002</v>
      </c>
      <c r="C4" s="146">
        <f t="shared" si="0"/>
        <v>12005.156290680003</v>
      </c>
      <c r="D4" s="146">
        <f t="shared" si="0"/>
        <v>12602.579913719996</v>
      </c>
      <c r="E4" s="146">
        <f t="shared" si="0"/>
        <v>14345.611690680003</v>
      </c>
      <c r="F4" s="146">
        <f t="shared" si="0"/>
        <v>15093.4577472</v>
      </c>
      <c r="G4" s="146">
        <f t="shared" si="0"/>
        <v>16388.638429319999</v>
      </c>
      <c r="H4" s="146">
        <f t="shared" si="0"/>
        <v>17022.512517480001</v>
      </c>
      <c r="I4" s="146">
        <f t="shared" si="0"/>
        <v>17872.474067280004</v>
      </c>
      <c r="J4" s="146">
        <f t="shared" si="0"/>
        <v>17665.48393128</v>
      </c>
      <c r="K4" s="146">
        <f t="shared" si="0"/>
        <v>17175.703586039996</v>
      </c>
      <c r="L4" s="146">
        <f t="shared" ref="L4" si="1">L5+L9+L10+L15</f>
        <v>16180.019957520002</v>
      </c>
      <c r="M4" s="146">
        <f t="shared" ref="M4:V4" si="2">M5+M9+M10+M15</f>
        <v>16018.896805920003</v>
      </c>
      <c r="N4" s="146">
        <f t="shared" si="2"/>
        <v>15806.690902439999</v>
      </c>
      <c r="O4" s="146">
        <f t="shared" si="2"/>
        <v>15687.454208400002</v>
      </c>
      <c r="P4" s="146">
        <f t="shared" si="2"/>
        <v>16221.697889399999</v>
      </c>
      <c r="Q4" s="146">
        <f t="shared" si="2"/>
        <v>16987.177420559998</v>
      </c>
      <c r="R4" s="146">
        <f t="shared" si="2"/>
        <v>17718.670070280001</v>
      </c>
      <c r="S4" s="146">
        <f t="shared" si="2"/>
        <v>18215.053236000003</v>
      </c>
      <c r="T4" s="146">
        <f t="shared" si="2"/>
        <v>18408.836756520002</v>
      </c>
      <c r="U4" s="146">
        <f t="shared" si="2"/>
        <v>18605.107846800001</v>
      </c>
      <c r="V4" s="146">
        <f t="shared" si="2"/>
        <v>17326.843679159996</v>
      </c>
      <c r="W4" s="146">
        <f t="shared" ref="W4" si="3">W5+W9+W10+W15</f>
        <v>18706.844647799997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11262.727953720001</v>
      </c>
      <c r="C5" s="101">
        <f t="shared" si="4"/>
        <v>11993.644570680002</v>
      </c>
      <c r="D5" s="101">
        <f t="shared" si="4"/>
        <v>12587.230953719996</v>
      </c>
      <c r="E5" s="101">
        <f t="shared" si="4"/>
        <v>14328.445090680003</v>
      </c>
      <c r="F5" s="101">
        <f t="shared" si="4"/>
        <v>15068.6166672</v>
      </c>
      <c r="G5" s="101">
        <f t="shared" si="4"/>
        <v>16367.533609319999</v>
      </c>
      <c r="H5" s="101">
        <f t="shared" si="4"/>
        <v>16994.13713748</v>
      </c>
      <c r="I5" s="101">
        <f t="shared" si="4"/>
        <v>17861.366267280002</v>
      </c>
      <c r="J5" s="101">
        <f t="shared" si="4"/>
        <v>17652.508001279999</v>
      </c>
      <c r="K5" s="101">
        <f t="shared" si="4"/>
        <v>17160.102176039996</v>
      </c>
      <c r="L5" s="101">
        <f t="shared" ref="L5" si="5">SUM(L6:L8)</f>
        <v>16159.722977520003</v>
      </c>
      <c r="M5" s="101">
        <f t="shared" ref="M5:V5" si="6">SUM(M6:M8)</f>
        <v>15994.813075920003</v>
      </c>
      <c r="N5" s="101">
        <f t="shared" si="6"/>
        <v>15777.406702439999</v>
      </c>
      <c r="O5" s="101">
        <f t="shared" si="6"/>
        <v>15655.544528400002</v>
      </c>
      <c r="P5" s="101">
        <f t="shared" si="6"/>
        <v>16163.836349399999</v>
      </c>
      <c r="Q5" s="101">
        <f t="shared" si="6"/>
        <v>16903.010590559999</v>
      </c>
      <c r="R5" s="101">
        <f t="shared" si="6"/>
        <v>17603.501976359999</v>
      </c>
      <c r="S5" s="101">
        <f t="shared" si="6"/>
        <v>18084.031686000002</v>
      </c>
      <c r="T5" s="101">
        <f t="shared" si="6"/>
        <v>18266.098497120001</v>
      </c>
      <c r="U5" s="101">
        <f t="shared" si="6"/>
        <v>18428.030934480001</v>
      </c>
      <c r="V5" s="101">
        <f t="shared" si="6"/>
        <v>17146.789876439998</v>
      </c>
      <c r="W5" s="101">
        <f t="shared" ref="W5" si="7">SUM(W6:W8)</f>
        <v>18514.696066559998</v>
      </c>
      <c r="DA5" s="175"/>
    </row>
    <row r="6" spans="1:105" ht="11.45" customHeight="1" x14ac:dyDescent="0.25">
      <c r="A6" s="128" t="s">
        <v>52</v>
      </c>
      <c r="B6" s="101">
        <v>179.96114952000002</v>
      </c>
      <c r="C6" s="101">
        <v>176.18938488000001</v>
      </c>
      <c r="D6" s="101">
        <v>179.06273172000004</v>
      </c>
      <c r="E6" s="101">
        <v>181.97537724000003</v>
      </c>
      <c r="F6" s="101">
        <v>190.24127532</v>
      </c>
      <c r="G6" s="101">
        <v>195.83645328000003</v>
      </c>
      <c r="H6" s="101">
        <v>208.09218959999998</v>
      </c>
      <c r="I6" s="101">
        <v>222.54297300000002</v>
      </c>
      <c r="J6" s="101">
        <v>215.70273108000001</v>
      </c>
      <c r="K6" s="101">
        <v>221.18819076000003</v>
      </c>
      <c r="L6" s="101">
        <v>212.91797664000001</v>
      </c>
      <c r="M6" s="101">
        <v>215.64366948000003</v>
      </c>
      <c r="N6" s="101">
        <v>237.68500428000004</v>
      </c>
      <c r="O6" s="101">
        <v>245.97634428000003</v>
      </c>
      <c r="P6" s="101">
        <v>270.85036428000012</v>
      </c>
      <c r="Q6" s="101">
        <v>273.61422000000005</v>
      </c>
      <c r="R6" s="101">
        <v>273.61422000000005</v>
      </c>
      <c r="S6" s="101">
        <v>265.32288000000005</v>
      </c>
      <c r="T6" s="101">
        <v>254.26768428000005</v>
      </c>
      <c r="U6" s="101">
        <v>243.21271572000001</v>
      </c>
      <c r="V6" s="101">
        <v>204.51964427999999</v>
      </c>
      <c r="W6" s="101">
        <v>207.2835</v>
      </c>
      <c r="DA6" s="175" t="s">
        <v>740</v>
      </c>
    </row>
    <row r="7" spans="1:105" ht="11.45" customHeight="1" x14ac:dyDescent="0.25">
      <c r="A7" s="128" t="s">
        <v>53</v>
      </c>
      <c r="B7" s="101">
        <v>5575.2819922800008</v>
      </c>
      <c r="C7" s="101">
        <v>5704.3118008800011</v>
      </c>
      <c r="D7" s="101">
        <v>5779.3289399999985</v>
      </c>
      <c r="E7" s="101">
        <v>6301.4489168400014</v>
      </c>
      <c r="F7" s="101">
        <v>6277.4434522799993</v>
      </c>
      <c r="G7" s="101">
        <v>6166.4178668399991</v>
      </c>
      <c r="H7" s="101">
        <v>6103.4014641599988</v>
      </c>
      <c r="I7" s="101">
        <v>6368.143403160002</v>
      </c>
      <c r="J7" s="101">
        <v>6124.6940831999991</v>
      </c>
      <c r="K7" s="101">
        <v>5968.2371918399995</v>
      </c>
      <c r="L7" s="101">
        <v>5419.7783640000016</v>
      </c>
      <c r="M7" s="101">
        <v>5210.7138745200009</v>
      </c>
      <c r="N7" s="101">
        <v>4856.943500639999</v>
      </c>
      <c r="O7" s="101">
        <v>4566.6208803600011</v>
      </c>
      <c r="P7" s="101">
        <v>4520.2757291999988</v>
      </c>
      <c r="Q7" s="101">
        <v>4556.598769799999</v>
      </c>
      <c r="R7" s="101">
        <v>4692.9263673599989</v>
      </c>
      <c r="S7" s="101">
        <v>4643.0722800000012</v>
      </c>
      <c r="T7" s="101">
        <v>4646.4185552400004</v>
      </c>
      <c r="U7" s="101">
        <v>4647.0355192799989</v>
      </c>
      <c r="V7" s="101">
        <v>4224.3719918399993</v>
      </c>
      <c r="W7" s="101">
        <v>4395.6312800399992</v>
      </c>
      <c r="DA7" s="175" t="s">
        <v>741</v>
      </c>
    </row>
    <row r="8" spans="1:105" ht="11.45" customHeight="1" x14ac:dyDescent="0.25">
      <c r="A8" s="128" t="s">
        <v>54</v>
      </c>
      <c r="B8" s="101">
        <v>5507.4848119200005</v>
      </c>
      <c r="C8" s="101">
        <v>6113.1433849200012</v>
      </c>
      <c r="D8" s="101">
        <v>6628.8392819999981</v>
      </c>
      <c r="E8" s="101">
        <v>7845.0207966000016</v>
      </c>
      <c r="F8" s="101">
        <v>8600.931939600001</v>
      </c>
      <c r="G8" s="101">
        <v>10005.2792892</v>
      </c>
      <c r="H8" s="101">
        <v>10682.643483720001</v>
      </c>
      <c r="I8" s="101">
        <v>11270.67989112</v>
      </c>
      <c r="J8" s="101">
        <v>11312.111187</v>
      </c>
      <c r="K8" s="101">
        <v>10970.676793439998</v>
      </c>
      <c r="L8" s="101">
        <v>10527.02663688</v>
      </c>
      <c r="M8" s="101">
        <v>10568.455531920001</v>
      </c>
      <c r="N8" s="101">
        <v>10682.778197520001</v>
      </c>
      <c r="O8" s="101">
        <v>10842.94730376</v>
      </c>
      <c r="P8" s="101">
        <v>11372.710255919999</v>
      </c>
      <c r="Q8" s="101">
        <v>12072.797600760001</v>
      </c>
      <c r="R8" s="101">
        <v>12636.961389</v>
      </c>
      <c r="S8" s="101">
        <v>13175.636526</v>
      </c>
      <c r="T8" s="101">
        <v>13365.412257599999</v>
      </c>
      <c r="U8" s="101">
        <v>13537.782699480002</v>
      </c>
      <c r="V8" s="101">
        <v>12717.898240319999</v>
      </c>
      <c r="W8" s="101">
        <v>13911.781286520001</v>
      </c>
      <c r="DA8" s="175" t="s">
        <v>742</v>
      </c>
    </row>
    <row r="9" spans="1:105" ht="11.45" customHeight="1" x14ac:dyDescent="0.25">
      <c r="A9" s="92" t="s">
        <v>55</v>
      </c>
      <c r="B9" s="101">
        <v>9.5426100000000016</v>
      </c>
      <c r="C9" s="101">
        <v>11.51172</v>
      </c>
      <c r="D9" s="101">
        <v>15.348960000000002</v>
      </c>
      <c r="E9" s="101">
        <v>17.166599999999999</v>
      </c>
      <c r="F9" s="101">
        <v>24.841080000000005</v>
      </c>
      <c r="G9" s="101">
        <v>21.10482</v>
      </c>
      <c r="H9" s="101">
        <v>28.375379999999993</v>
      </c>
      <c r="I9" s="101">
        <v>11.107800000000001</v>
      </c>
      <c r="J9" s="101">
        <v>12.975930000000002</v>
      </c>
      <c r="K9" s="101">
        <v>15.601410000000001</v>
      </c>
      <c r="L9" s="101">
        <v>20.296980000000001</v>
      </c>
      <c r="M9" s="101">
        <v>24.083730000000003</v>
      </c>
      <c r="N9" s="101">
        <v>29.284200000000009</v>
      </c>
      <c r="O9" s="101">
        <v>31.909680000000005</v>
      </c>
      <c r="P9" s="101">
        <v>57.861540000000005</v>
      </c>
      <c r="Q9" s="101">
        <v>84.166830000000004</v>
      </c>
      <c r="R9" s="101">
        <v>115.16809392</v>
      </c>
      <c r="S9" s="101">
        <v>131.02154999999999</v>
      </c>
      <c r="T9" s="101">
        <v>142.7382594</v>
      </c>
      <c r="U9" s="101">
        <v>177.07691232000002</v>
      </c>
      <c r="V9" s="101">
        <v>180.05380272000002</v>
      </c>
      <c r="W9" s="101">
        <v>192.14858124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11272.270563720002</v>
      </c>
      <c r="C17" s="79">
        <f t="shared" si="12"/>
        <v>12005.156290680001</v>
      </c>
      <c r="D17" s="79">
        <f t="shared" si="12"/>
        <v>12602.579913719996</v>
      </c>
      <c r="E17" s="79">
        <f t="shared" si="12"/>
        <v>14345.611690680002</v>
      </c>
      <c r="F17" s="79">
        <f t="shared" si="12"/>
        <v>15093.457747200002</v>
      </c>
      <c r="G17" s="79">
        <f t="shared" si="12"/>
        <v>16388.638429319999</v>
      </c>
      <c r="H17" s="79">
        <f t="shared" si="12"/>
        <v>17022.512517479998</v>
      </c>
      <c r="I17" s="79">
        <f t="shared" si="12"/>
        <v>17872.474067280004</v>
      </c>
      <c r="J17" s="79">
        <f t="shared" si="12"/>
        <v>17665.483931279996</v>
      </c>
      <c r="K17" s="79">
        <f t="shared" si="12"/>
        <v>17175.703586039999</v>
      </c>
      <c r="L17" s="79">
        <f t="shared" ref="L17" si="13">SUM(L18,L33)</f>
        <v>16180.019957520002</v>
      </c>
      <c r="M17" s="79">
        <f t="shared" ref="M17:V17" si="14">SUM(M18,M33)</f>
        <v>16018.896805920003</v>
      </c>
      <c r="N17" s="79">
        <f t="shared" si="14"/>
        <v>15806.690902439997</v>
      </c>
      <c r="O17" s="79">
        <f t="shared" si="14"/>
        <v>15687.454208400002</v>
      </c>
      <c r="P17" s="79">
        <f t="shared" si="14"/>
        <v>16221.697889399999</v>
      </c>
      <c r="Q17" s="79">
        <f t="shared" si="14"/>
        <v>16987.177420560001</v>
      </c>
      <c r="R17" s="79">
        <f t="shared" si="14"/>
        <v>17718.670070279994</v>
      </c>
      <c r="S17" s="79">
        <f t="shared" si="14"/>
        <v>18215.053236</v>
      </c>
      <c r="T17" s="79">
        <f t="shared" si="14"/>
        <v>18408.836756519999</v>
      </c>
      <c r="U17" s="79">
        <f t="shared" si="14"/>
        <v>18605.107846800005</v>
      </c>
      <c r="V17" s="79">
        <f t="shared" si="14"/>
        <v>17326.84367916</v>
      </c>
      <c r="W17" s="79">
        <f t="shared" ref="W17" si="15">SUM(W18,W33)</f>
        <v>18706.844647799997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8331.189992579617</v>
      </c>
      <c r="C18" s="32">
        <f t="shared" si="16"/>
        <v>8873.8651707446261</v>
      </c>
      <c r="D18" s="32">
        <f t="shared" si="16"/>
        <v>9092.4404414668024</v>
      </c>
      <c r="E18" s="32">
        <f t="shared" si="16"/>
        <v>10070.242605378597</v>
      </c>
      <c r="F18" s="32">
        <f t="shared" si="16"/>
        <v>10256.460264932737</v>
      </c>
      <c r="G18" s="32">
        <f t="shared" si="16"/>
        <v>10575.906911528917</v>
      </c>
      <c r="H18" s="32">
        <f t="shared" si="16"/>
        <v>10703.50366704772</v>
      </c>
      <c r="I18" s="32">
        <f t="shared" si="16"/>
        <v>11145.22026770686</v>
      </c>
      <c r="J18" s="32">
        <f t="shared" si="16"/>
        <v>11026.89678082629</v>
      </c>
      <c r="K18" s="32">
        <f t="shared" si="16"/>
        <v>11079.508562940016</v>
      </c>
      <c r="L18" s="32">
        <f t="shared" ref="L18" si="17">SUM(L19,L20,L27)</f>
        <v>10236.963351297336</v>
      </c>
      <c r="M18" s="32">
        <f t="shared" ref="M18:V18" si="18">SUM(M19,M20,M27)</f>
        <v>10222.830683108632</v>
      </c>
      <c r="N18" s="32">
        <f t="shared" si="18"/>
        <v>10128.627688445358</v>
      </c>
      <c r="O18" s="32">
        <f t="shared" si="18"/>
        <v>10210.804819696623</v>
      </c>
      <c r="P18" s="32">
        <f t="shared" si="18"/>
        <v>10445.401671808451</v>
      </c>
      <c r="Q18" s="32">
        <f t="shared" si="18"/>
        <v>10632.38265518086</v>
      </c>
      <c r="R18" s="32">
        <f t="shared" si="18"/>
        <v>11223.112289972527</v>
      </c>
      <c r="S18" s="32">
        <f t="shared" si="18"/>
        <v>11432.053537283296</v>
      </c>
      <c r="T18" s="32">
        <f t="shared" si="18"/>
        <v>11611.691476952652</v>
      </c>
      <c r="U18" s="32">
        <f t="shared" si="18"/>
        <v>11831.463790652855</v>
      </c>
      <c r="V18" s="32">
        <f t="shared" si="18"/>
        <v>11015.327233737684</v>
      </c>
      <c r="W18" s="32">
        <f t="shared" ref="W18" si="19">SUM(W19,W20,W27)</f>
        <v>11977.862971937144</v>
      </c>
      <c r="DA18" s="173" t="s">
        <v>402</v>
      </c>
    </row>
    <row r="19" spans="1:105" ht="11.45" customHeight="1" x14ac:dyDescent="0.25">
      <c r="A19" s="136" t="s">
        <v>180</v>
      </c>
      <c r="B19" s="141">
        <v>156.86287011574419</v>
      </c>
      <c r="C19" s="141">
        <v>149.0763305064265</v>
      </c>
      <c r="D19" s="141">
        <v>145.23227325366778</v>
      </c>
      <c r="E19" s="141">
        <v>144.63265805390657</v>
      </c>
      <c r="F19" s="141">
        <v>143.73952072998534</v>
      </c>
      <c r="G19" s="141">
        <v>147.91025798010375</v>
      </c>
      <c r="H19" s="141">
        <v>151.3547410340378</v>
      </c>
      <c r="I19" s="141">
        <v>156.14455145747874</v>
      </c>
      <c r="J19" s="141">
        <v>157.59673397097976</v>
      </c>
      <c r="K19" s="141">
        <v>156.73353660336173</v>
      </c>
      <c r="L19" s="141">
        <v>158.26787960460763</v>
      </c>
      <c r="M19" s="141">
        <v>159.59370375336383</v>
      </c>
      <c r="N19" s="141">
        <v>162.76822207850867</v>
      </c>
      <c r="O19" s="141">
        <v>162.11579483937456</v>
      </c>
      <c r="P19" s="141">
        <v>162.56891466524812</v>
      </c>
      <c r="Q19" s="141">
        <v>167.10596715469518</v>
      </c>
      <c r="R19" s="141">
        <v>171.70821615679267</v>
      </c>
      <c r="S19" s="141">
        <v>159.76315475010392</v>
      </c>
      <c r="T19" s="141">
        <v>151.04209011374471</v>
      </c>
      <c r="U19" s="141">
        <v>157.98859992447782</v>
      </c>
      <c r="V19" s="141">
        <v>140.65937506154688</v>
      </c>
      <c r="W19" s="141">
        <v>140.24046879620752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7077.5801742488793</v>
      </c>
      <c r="C20" s="130">
        <f t="shared" si="20"/>
        <v>7501.0661448612982</v>
      </c>
      <c r="D20" s="130">
        <f t="shared" si="20"/>
        <v>7799.2375111150459</v>
      </c>
      <c r="E20" s="130">
        <f t="shared" si="20"/>
        <v>8869.8433999008721</v>
      </c>
      <c r="F20" s="130">
        <f t="shared" si="20"/>
        <v>9134.2109863947444</v>
      </c>
      <c r="G20" s="130">
        <f t="shared" si="20"/>
        <v>9457.4768888821563</v>
      </c>
      <c r="H20" s="130">
        <f t="shared" si="20"/>
        <v>9546.9909667500833</v>
      </c>
      <c r="I20" s="130">
        <f t="shared" si="20"/>
        <v>9982.7886889767433</v>
      </c>
      <c r="J20" s="130">
        <f t="shared" si="20"/>
        <v>9871.2997436015139</v>
      </c>
      <c r="K20" s="130">
        <f t="shared" si="20"/>
        <v>9930.7146442782105</v>
      </c>
      <c r="L20" s="130">
        <f t="shared" ref="L20" si="21">SUM(L21:L26)</f>
        <v>9058.2331691805757</v>
      </c>
      <c r="M20" s="130">
        <f t="shared" ref="M20:V20" si="22">SUM(M21:M26)</f>
        <v>9109.3407805601491</v>
      </c>
      <c r="N20" s="130">
        <f t="shared" si="22"/>
        <v>9032.637617584789</v>
      </c>
      <c r="O20" s="130">
        <f t="shared" si="22"/>
        <v>9064.2126271749148</v>
      </c>
      <c r="P20" s="130">
        <f t="shared" si="22"/>
        <v>9190.2151588517936</v>
      </c>
      <c r="Q20" s="130">
        <f t="shared" si="22"/>
        <v>9396.0850519051564</v>
      </c>
      <c r="R20" s="130">
        <f t="shared" si="22"/>
        <v>9914.817395078042</v>
      </c>
      <c r="S20" s="130">
        <f t="shared" si="22"/>
        <v>10078.149580313995</v>
      </c>
      <c r="T20" s="130">
        <f t="shared" si="22"/>
        <v>10271.882094743964</v>
      </c>
      <c r="U20" s="130">
        <f t="shared" si="22"/>
        <v>10483.780505211334</v>
      </c>
      <c r="V20" s="130">
        <f t="shared" si="22"/>
        <v>10000.873922571931</v>
      </c>
      <c r="W20" s="130">
        <f t="shared" ref="W20" si="23">SUM(W21:W26)</f>
        <v>10972.398230226856</v>
      </c>
      <c r="DA20" s="176" t="s">
        <v>404</v>
      </c>
    </row>
    <row r="21" spans="1:105" ht="11.45" customHeight="1" x14ac:dyDescent="0.25">
      <c r="A21" s="111" t="s">
        <v>110</v>
      </c>
      <c r="B21" s="96">
        <v>5300.3343743739979</v>
      </c>
      <c r="C21" s="96">
        <v>5429.8592957006131</v>
      </c>
      <c r="D21" s="96">
        <v>5496.3809184088495</v>
      </c>
      <c r="E21" s="96">
        <v>6023.8815394860658</v>
      </c>
      <c r="F21" s="96">
        <v>6000.5270187835822</v>
      </c>
      <c r="G21" s="96">
        <v>5877.1526504614585</v>
      </c>
      <c r="H21" s="96">
        <v>5792.3472308498622</v>
      </c>
      <c r="I21" s="96">
        <v>6033.8757608425858</v>
      </c>
      <c r="J21" s="96">
        <v>5774.1146702206815</v>
      </c>
      <c r="K21" s="96">
        <v>5626.4219450664532</v>
      </c>
      <c r="L21" s="96">
        <v>5078.7616187722715</v>
      </c>
      <c r="M21" s="96">
        <v>4874.6286625810581</v>
      </c>
      <c r="N21" s="96">
        <v>4524.0419847093472</v>
      </c>
      <c r="O21" s="96">
        <v>4232.8014998222961</v>
      </c>
      <c r="P21" s="96">
        <v>4180.942540885525</v>
      </c>
      <c r="Q21" s="96">
        <v>4204.347025126357</v>
      </c>
      <c r="R21" s="96">
        <v>4330.9216881116618</v>
      </c>
      <c r="S21" s="96">
        <v>4295.333173887434</v>
      </c>
      <c r="T21" s="96">
        <v>4308.2269446177515</v>
      </c>
      <c r="U21" s="96">
        <v>4304.0393415727085</v>
      </c>
      <c r="V21" s="96">
        <v>3902.8069536590488</v>
      </c>
      <c r="W21" s="96">
        <v>4073.6829149459763</v>
      </c>
      <c r="DA21" s="171" t="s">
        <v>750</v>
      </c>
    </row>
    <row r="22" spans="1:105" ht="11.45" customHeight="1" x14ac:dyDescent="0.25">
      <c r="A22" s="111" t="s">
        <v>111</v>
      </c>
      <c r="B22" s="96">
        <v>1627.3647693786215</v>
      </c>
      <c r="C22" s="96">
        <v>1924.7809713229319</v>
      </c>
      <c r="D22" s="96">
        <v>2153.4475674719033</v>
      </c>
      <c r="E22" s="96">
        <v>2693.2183427564969</v>
      </c>
      <c r="F22" s="96">
        <v>2972.6902688249215</v>
      </c>
      <c r="G22" s="96">
        <v>3413.474437889593</v>
      </c>
      <c r="H22" s="96">
        <v>3575.9482883998844</v>
      </c>
      <c r="I22" s="96">
        <v>3756.3993265079357</v>
      </c>
      <c r="J22" s="96">
        <v>3908.5810957713893</v>
      </c>
      <c r="K22" s="96">
        <v>4109.0444937761322</v>
      </c>
      <c r="L22" s="96">
        <v>3790.3554862312567</v>
      </c>
      <c r="M22" s="96">
        <v>4041.6910414193053</v>
      </c>
      <c r="N22" s="96">
        <v>4295.3375031597689</v>
      </c>
      <c r="O22" s="96">
        <v>4609.4319752199272</v>
      </c>
      <c r="P22" s="96">
        <v>4765.0565406658825</v>
      </c>
      <c r="Q22" s="96">
        <v>4941.5227283708764</v>
      </c>
      <c r="R22" s="96">
        <v>5328.8178960727437</v>
      </c>
      <c r="S22" s="96">
        <v>5530.4830775781156</v>
      </c>
      <c r="T22" s="96">
        <v>5715.9727528631001</v>
      </c>
      <c r="U22" s="96">
        <v>5936.3396859163095</v>
      </c>
      <c r="V22" s="96">
        <v>5890.6317129463514</v>
      </c>
      <c r="W22" s="96">
        <v>6688.1008781862747</v>
      </c>
      <c r="DA22" s="171" t="s">
        <v>751</v>
      </c>
    </row>
    <row r="23" spans="1:105" ht="11.45" customHeight="1" x14ac:dyDescent="0.25">
      <c r="A23" s="111" t="s">
        <v>112</v>
      </c>
      <c r="B23" s="96">
        <v>149.88103049625954</v>
      </c>
      <c r="C23" s="96">
        <v>146.42587783775321</v>
      </c>
      <c r="D23" s="96">
        <v>149.40902523429332</v>
      </c>
      <c r="E23" s="96">
        <v>152.74351765830897</v>
      </c>
      <c r="F23" s="96">
        <v>160.9936987862402</v>
      </c>
      <c r="G23" s="96">
        <v>166.84980053110539</v>
      </c>
      <c r="H23" s="96">
        <v>178.69544750033643</v>
      </c>
      <c r="I23" s="96">
        <v>192.51360162622296</v>
      </c>
      <c r="J23" s="96">
        <v>186.84610146195769</v>
      </c>
      <c r="K23" s="96">
        <v>192.38157580826879</v>
      </c>
      <c r="L23" s="96">
        <v>185.3501796294004</v>
      </c>
      <c r="M23" s="96">
        <v>188.23854037790565</v>
      </c>
      <c r="N23" s="96">
        <v>207.45989434441032</v>
      </c>
      <c r="O23" s="96">
        <v>214.25676073598291</v>
      </c>
      <c r="P23" s="96">
        <v>235.19127770689124</v>
      </c>
      <c r="Q23" s="96">
        <v>238.02536415144326</v>
      </c>
      <c r="R23" s="96">
        <v>235.15011201115061</v>
      </c>
      <c r="S23" s="96">
        <v>227.85086984877418</v>
      </c>
      <c r="T23" s="96">
        <v>217.70004763568312</v>
      </c>
      <c r="U23" s="96">
        <v>209.96725755102244</v>
      </c>
      <c r="V23" s="96">
        <v>174.69118369506182</v>
      </c>
      <c r="W23" s="96">
        <v>180.4241117748814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1.7578761474862912</v>
      </c>
      <c r="K24" s="96">
        <v>2.8666296273565979</v>
      </c>
      <c r="L24" s="96">
        <v>3.7658845476474179</v>
      </c>
      <c r="M24" s="96">
        <v>4.782536181879248</v>
      </c>
      <c r="N24" s="96">
        <v>5.7923453335978303</v>
      </c>
      <c r="O24" s="96">
        <v>7.7114762631830702</v>
      </c>
      <c r="P24" s="96">
        <v>9.0005337630328395</v>
      </c>
      <c r="Q24" s="96">
        <v>12.0803004160735</v>
      </c>
      <c r="R24" s="96">
        <v>19.777980975403146</v>
      </c>
      <c r="S24" s="96">
        <v>24.219628638589437</v>
      </c>
      <c r="T24" s="96">
        <v>29.619751593071324</v>
      </c>
      <c r="U24" s="96">
        <v>32.915662718336165</v>
      </c>
      <c r="V24" s="96">
        <v>31.872317958133902</v>
      </c>
      <c r="W24" s="96">
        <v>28.746300036571526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5.8900376670609185E-3</v>
      </c>
      <c r="O25" s="96">
        <v>1.0915133524936813E-2</v>
      </c>
      <c r="P25" s="96">
        <v>2.4265830460640101E-2</v>
      </c>
      <c r="Q25" s="96">
        <v>0.10963384040662499</v>
      </c>
      <c r="R25" s="96">
        <v>0.14971790708538202</v>
      </c>
      <c r="S25" s="96">
        <v>0.26283036108220503</v>
      </c>
      <c r="T25" s="96">
        <v>0.36259803435802396</v>
      </c>
      <c r="U25" s="96">
        <v>0.51855745295765332</v>
      </c>
      <c r="V25" s="96">
        <v>0.87175431333572229</v>
      </c>
      <c r="W25" s="96">
        <v>1.4440252831533413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1096.7469482149936</v>
      </c>
      <c r="C27" s="130">
        <f t="shared" si="24"/>
        <v>1223.7226953769018</v>
      </c>
      <c r="D27" s="130">
        <f t="shared" si="24"/>
        <v>1147.9706570980895</v>
      </c>
      <c r="E27" s="130">
        <f t="shared" si="24"/>
        <v>1055.7665474238179</v>
      </c>
      <c r="F27" s="130">
        <f t="shared" si="24"/>
        <v>978.50975780800684</v>
      </c>
      <c r="G27" s="130">
        <f t="shared" si="24"/>
        <v>970.51976466665565</v>
      </c>
      <c r="H27" s="130">
        <f t="shared" si="24"/>
        <v>1005.1579592635991</v>
      </c>
      <c r="I27" s="130">
        <f t="shared" si="24"/>
        <v>1006.2870272726379</v>
      </c>
      <c r="J27" s="130">
        <f t="shared" si="24"/>
        <v>998.00030325379578</v>
      </c>
      <c r="K27" s="130">
        <f t="shared" si="24"/>
        <v>992.060382058443</v>
      </c>
      <c r="L27" s="130">
        <f t="shared" ref="L27" si="25">SUM(L28:L32)</f>
        <v>1020.462302512152</v>
      </c>
      <c r="M27" s="130">
        <f t="shared" ref="M27:V27" si="26">SUM(M28:M32)</f>
        <v>953.89619879511849</v>
      </c>
      <c r="N27" s="130">
        <f t="shared" si="26"/>
        <v>933.22184878206122</v>
      </c>
      <c r="O27" s="130">
        <f t="shared" si="26"/>
        <v>984.4763976823341</v>
      </c>
      <c r="P27" s="130">
        <f t="shared" si="26"/>
        <v>1092.6175982914106</v>
      </c>
      <c r="Q27" s="130">
        <f t="shared" si="26"/>
        <v>1069.1916361210076</v>
      </c>
      <c r="R27" s="130">
        <f t="shared" si="26"/>
        <v>1136.5866787376933</v>
      </c>
      <c r="S27" s="130">
        <f t="shared" si="26"/>
        <v>1194.1408022191965</v>
      </c>
      <c r="T27" s="130">
        <f t="shared" si="26"/>
        <v>1188.767292094944</v>
      </c>
      <c r="U27" s="130">
        <f t="shared" si="26"/>
        <v>1189.6946855170422</v>
      </c>
      <c r="V27" s="130">
        <f t="shared" si="26"/>
        <v>873.7939361042063</v>
      </c>
      <c r="W27" s="130">
        <f t="shared" ref="W27" si="27">SUM(W28:W32)</f>
        <v>865.22427291408042</v>
      </c>
      <c r="DA27" s="176" t="s">
        <v>405</v>
      </c>
    </row>
    <row r="28" spans="1:105" ht="11.45" customHeight="1" x14ac:dyDescent="0.25">
      <c r="A28" s="111" t="s">
        <v>110</v>
      </c>
      <c r="B28" s="97">
        <v>29.871853912777318</v>
      </c>
      <c r="C28" s="97">
        <v>29.652976601819201</v>
      </c>
      <c r="D28" s="97">
        <v>30.15975649320437</v>
      </c>
      <c r="E28" s="97">
        <v>25.645267597821153</v>
      </c>
      <c r="F28" s="97">
        <v>22.273096522518468</v>
      </c>
      <c r="G28" s="97">
        <v>20.290928887361549</v>
      </c>
      <c r="H28" s="97">
        <v>19.621631987362047</v>
      </c>
      <c r="I28" s="97">
        <v>19.403953110796458</v>
      </c>
      <c r="J28" s="97">
        <v>18.167840005904527</v>
      </c>
      <c r="K28" s="97">
        <v>16.771924156247</v>
      </c>
      <c r="L28" s="97">
        <v>17.019701673667107</v>
      </c>
      <c r="M28" s="97">
        <v>15.582274230206471</v>
      </c>
      <c r="N28" s="97">
        <v>14.082434781465055</v>
      </c>
      <c r="O28" s="97">
        <v>14.263985342311063</v>
      </c>
      <c r="P28" s="97">
        <v>14.232816421652425</v>
      </c>
      <c r="Q28" s="97">
        <v>13.158757867025008</v>
      </c>
      <c r="R28" s="97">
        <v>13.478554711495276</v>
      </c>
      <c r="S28" s="97">
        <v>13.269294544889716</v>
      </c>
      <c r="T28" s="97">
        <v>12.285151183928603</v>
      </c>
      <c r="U28" s="97">
        <v>11.555167826844599</v>
      </c>
      <c r="V28" s="97">
        <v>8.9131761856445824</v>
      </c>
      <c r="W28" s="97">
        <v>8.0064264203699516</v>
      </c>
      <c r="DA28" s="175" t="s">
        <v>756</v>
      </c>
    </row>
    <row r="29" spans="1:105" ht="11.45" customHeight="1" x14ac:dyDescent="0.25">
      <c r="A29" s="111" t="s">
        <v>111</v>
      </c>
      <c r="B29" s="97">
        <v>1057.3324843022162</v>
      </c>
      <c r="C29" s="97">
        <v>1182.5579987750828</v>
      </c>
      <c r="D29" s="97">
        <v>1102.4619406048851</v>
      </c>
      <c r="E29" s="97">
        <v>1012.9546798259967</v>
      </c>
      <c r="F29" s="97">
        <v>931.39558128548833</v>
      </c>
      <c r="G29" s="97">
        <v>929.12401577929404</v>
      </c>
      <c r="H29" s="97">
        <v>957.16094727623704</v>
      </c>
      <c r="I29" s="97">
        <v>975.77527416184148</v>
      </c>
      <c r="J29" s="97">
        <v>968.61440939537761</v>
      </c>
      <c r="K29" s="97">
        <v>962.5536775295526</v>
      </c>
      <c r="L29" s="97">
        <v>986.91150538613226</v>
      </c>
      <c r="M29" s="97">
        <v>919.01273074679125</v>
      </c>
      <c r="N29" s="97">
        <v>896.820915867542</v>
      </c>
      <c r="O29" s="97">
        <v>948.11008610616966</v>
      </c>
      <c r="P29" s="97">
        <v>1034.7251524751696</v>
      </c>
      <c r="Q29" s="97">
        <v>996.00887873283818</v>
      </c>
      <c r="R29" s="97">
        <v>1048.2525924178433</v>
      </c>
      <c r="S29" s="97">
        <v>1102.112028692246</v>
      </c>
      <c r="T29" s="97">
        <v>1097.0561670276509</v>
      </c>
      <c r="U29" s="97">
        <v>1073.1161361099423</v>
      </c>
      <c r="V29" s="97">
        <v>755.16416943492084</v>
      </c>
      <c r="W29" s="97">
        <v>731.82745377070921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0.12957052715761957</v>
      </c>
      <c r="W30" s="97">
        <v>0.11986193323752893</v>
      </c>
      <c r="DA30" s="175" t="s">
        <v>758</v>
      </c>
    </row>
    <row r="31" spans="1:105" ht="11.45" customHeight="1" x14ac:dyDescent="0.25">
      <c r="A31" s="111" t="s">
        <v>113</v>
      </c>
      <c r="B31" s="97">
        <v>9.5426100000000016</v>
      </c>
      <c r="C31" s="97">
        <v>11.51172</v>
      </c>
      <c r="D31" s="97">
        <v>15.348960000000002</v>
      </c>
      <c r="E31" s="97">
        <v>17.166599999999999</v>
      </c>
      <c r="F31" s="97">
        <v>24.841080000000005</v>
      </c>
      <c r="G31" s="97">
        <v>21.10482</v>
      </c>
      <c r="H31" s="97">
        <v>28.375379999999993</v>
      </c>
      <c r="I31" s="97">
        <v>11.107800000000001</v>
      </c>
      <c r="J31" s="97">
        <v>11.218053852513711</v>
      </c>
      <c r="K31" s="97">
        <v>12.734780372643403</v>
      </c>
      <c r="L31" s="97">
        <v>16.531095452352584</v>
      </c>
      <c r="M31" s="97">
        <v>19.301193818120758</v>
      </c>
      <c r="N31" s="97">
        <v>22.318498133054199</v>
      </c>
      <c r="O31" s="97">
        <v>22.102326233853315</v>
      </c>
      <c r="P31" s="97">
        <v>43.659629394588563</v>
      </c>
      <c r="Q31" s="97">
        <v>60.023999521144553</v>
      </c>
      <c r="R31" s="97">
        <v>74.855531608354838</v>
      </c>
      <c r="S31" s="97">
        <v>78.759478982060671</v>
      </c>
      <c r="T31" s="97">
        <v>79.425973883364492</v>
      </c>
      <c r="U31" s="97">
        <v>105.0233815802553</v>
      </c>
      <c r="V31" s="97">
        <v>109.5870199564832</v>
      </c>
      <c r="W31" s="97">
        <v>125.27053078976367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2941.0805711403846</v>
      </c>
      <c r="C33" s="32">
        <f t="shared" si="28"/>
        <v>3131.2911199353748</v>
      </c>
      <c r="D33" s="32">
        <f t="shared" si="28"/>
        <v>3510.1394722531936</v>
      </c>
      <c r="E33" s="32">
        <f t="shared" si="28"/>
        <v>4275.3690853014059</v>
      </c>
      <c r="F33" s="32">
        <f t="shared" si="28"/>
        <v>4836.9974822672648</v>
      </c>
      <c r="G33" s="32">
        <f t="shared" si="28"/>
        <v>5812.7315177910832</v>
      </c>
      <c r="H33" s="32">
        <f t="shared" si="28"/>
        <v>6319.0088504322794</v>
      </c>
      <c r="I33" s="32">
        <f t="shared" si="28"/>
        <v>6727.2537995731418</v>
      </c>
      <c r="J33" s="32">
        <f t="shared" si="28"/>
        <v>6638.5871504537081</v>
      </c>
      <c r="K33" s="32">
        <f t="shared" si="28"/>
        <v>6096.195023099981</v>
      </c>
      <c r="L33" s="32">
        <f t="shared" ref="L33" si="29">L34+L40</f>
        <v>5943.0566062226662</v>
      </c>
      <c r="M33" s="32">
        <f t="shared" ref="M33:V33" si="30">M34+M40</f>
        <v>5796.0661228113713</v>
      </c>
      <c r="N33" s="32">
        <f t="shared" si="30"/>
        <v>5678.0632139946392</v>
      </c>
      <c r="O33" s="32">
        <f t="shared" si="30"/>
        <v>5476.6493887033794</v>
      </c>
      <c r="P33" s="32">
        <f t="shared" si="30"/>
        <v>5776.2962175915472</v>
      </c>
      <c r="Q33" s="32">
        <f t="shared" si="30"/>
        <v>6354.7947653791407</v>
      </c>
      <c r="R33" s="32">
        <f t="shared" si="30"/>
        <v>6495.5577803074684</v>
      </c>
      <c r="S33" s="32">
        <f t="shared" si="30"/>
        <v>6782.9996987167051</v>
      </c>
      <c r="T33" s="32">
        <f t="shared" si="30"/>
        <v>6797.1452795673458</v>
      </c>
      <c r="U33" s="32">
        <f t="shared" si="30"/>
        <v>6773.6440561471481</v>
      </c>
      <c r="V33" s="32">
        <f t="shared" si="30"/>
        <v>6311.5164454223159</v>
      </c>
      <c r="W33" s="32">
        <f t="shared" ref="W33" si="31">W34+W40</f>
        <v>6728.981675862854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482.22609395416282</v>
      </c>
      <c r="C34" s="141">
        <f t="shared" si="32"/>
        <v>526.29787074282945</v>
      </c>
      <c r="D34" s="141">
        <f t="shared" si="32"/>
        <v>602.92025325436623</v>
      </c>
      <c r="E34" s="141">
        <f t="shared" si="32"/>
        <v>694.40926904285777</v>
      </c>
      <c r="F34" s="141">
        <f t="shared" si="32"/>
        <v>808.7710909310382</v>
      </c>
      <c r="G34" s="141">
        <f t="shared" si="32"/>
        <v>969.31217333880409</v>
      </c>
      <c r="H34" s="141">
        <f t="shared" si="32"/>
        <v>1115.8654910727723</v>
      </c>
      <c r="I34" s="141">
        <f t="shared" si="32"/>
        <v>1268.1942026848844</v>
      </c>
      <c r="J34" s="141">
        <f t="shared" si="32"/>
        <v>1501.3687279873723</v>
      </c>
      <c r="K34" s="141">
        <f t="shared" si="32"/>
        <v>1506.3913578450197</v>
      </c>
      <c r="L34" s="141">
        <f t="shared" ref="L34" si="33">SUM(L35:L39)</f>
        <v>1585.4102782924679</v>
      </c>
      <c r="M34" s="141">
        <f t="shared" ref="M34:V34" si="34">SUM(M35:M39)</f>
        <v>1594.8553473053857</v>
      </c>
      <c r="N34" s="141">
        <f t="shared" si="34"/>
        <v>1630.249357740043</v>
      </c>
      <c r="O34" s="141">
        <f t="shared" si="34"/>
        <v>1697.1517181963384</v>
      </c>
      <c r="P34" s="141">
        <f t="shared" si="34"/>
        <v>1891.6013459898049</v>
      </c>
      <c r="Q34" s="141">
        <f t="shared" si="34"/>
        <v>2079.0192857665352</v>
      </c>
      <c r="R34" s="141">
        <f t="shared" si="34"/>
        <v>1779.5562068943873</v>
      </c>
      <c r="S34" s="141">
        <f t="shared" si="34"/>
        <v>1812.3415154234519</v>
      </c>
      <c r="T34" s="141">
        <f t="shared" si="34"/>
        <v>1828.3057165642867</v>
      </c>
      <c r="U34" s="141">
        <f t="shared" si="34"/>
        <v>1823.8051513437083</v>
      </c>
      <c r="V34" s="141">
        <f t="shared" si="34"/>
        <v>1753.4984647958177</v>
      </c>
      <c r="W34" s="141">
        <f t="shared" ref="W34" si="35">SUM(W35:W39)</f>
        <v>1797.015872897352</v>
      </c>
      <c r="DA34" s="174" t="s">
        <v>411</v>
      </c>
    </row>
    <row r="35" spans="1:105" ht="11.45" customHeight="1" x14ac:dyDescent="0.25">
      <c r="A35" s="111" t="s">
        <v>110</v>
      </c>
      <c r="B35" s="96">
        <v>88.212893877481662</v>
      </c>
      <c r="C35" s="96">
        <v>95.723198071141908</v>
      </c>
      <c r="D35" s="96">
        <v>107.55599184427743</v>
      </c>
      <c r="E35" s="96">
        <v>107.28945170220676</v>
      </c>
      <c r="F35" s="96">
        <v>110.90381624391381</v>
      </c>
      <c r="G35" s="96">
        <v>121.06402951107545</v>
      </c>
      <c r="H35" s="96">
        <v>140.07786028873696</v>
      </c>
      <c r="I35" s="96">
        <v>158.71913774914157</v>
      </c>
      <c r="J35" s="96">
        <v>174.81483900243225</v>
      </c>
      <c r="K35" s="96">
        <v>168.30978601393744</v>
      </c>
      <c r="L35" s="96">
        <v>165.7291639494554</v>
      </c>
      <c r="M35" s="96">
        <v>160.90923395537189</v>
      </c>
      <c r="N35" s="96">
        <v>156.04496903301106</v>
      </c>
      <c r="O35" s="96">
        <v>157.42868522249574</v>
      </c>
      <c r="P35" s="96">
        <v>162.50719139711308</v>
      </c>
      <c r="Q35" s="96">
        <v>171.87738581151584</v>
      </c>
      <c r="R35" s="96">
        <v>176.66819047296428</v>
      </c>
      <c r="S35" s="96">
        <v>174.44382645649117</v>
      </c>
      <c r="T35" s="96">
        <v>174.50177129021696</v>
      </c>
      <c r="U35" s="96">
        <v>172.93385250301139</v>
      </c>
      <c r="V35" s="96">
        <v>171.12073262042415</v>
      </c>
      <c r="W35" s="96">
        <v>172.25744459429163</v>
      </c>
      <c r="DA35" s="171" t="s">
        <v>761</v>
      </c>
    </row>
    <row r="36" spans="1:105" ht="11.45" customHeight="1" x14ac:dyDescent="0.25">
      <c r="A36" s="111" t="s">
        <v>111</v>
      </c>
      <c r="B36" s="96">
        <v>363.93308105294068</v>
      </c>
      <c r="C36" s="96">
        <v>400.81116562944078</v>
      </c>
      <c r="D36" s="96">
        <v>465.71055492438205</v>
      </c>
      <c r="E36" s="96">
        <v>557.88795775895994</v>
      </c>
      <c r="F36" s="96">
        <v>668.61969815336454</v>
      </c>
      <c r="G36" s="96">
        <v>819.26149107883407</v>
      </c>
      <c r="H36" s="96">
        <v>946.39088868437182</v>
      </c>
      <c r="I36" s="96">
        <v>1079.4456935619658</v>
      </c>
      <c r="J36" s="96">
        <v>1297.6972593668977</v>
      </c>
      <c r="K36" s="96">
        <v>1309.2749568793511</v>
      </c>
      <c r="L36" s="96">
        <v>1392.1133173324129</v>
      </c>
      <c r="M36" s="96">
        <v>1406.5409842479194</v>
      </c>
      <c r="N36" s="96">
        <v>1442.8059222380944</v>
      </c>
      <c r="O36" s="96">
        <v>1505.9075719268619</v>
      </c>
      <c r="P36" s="96">
        <v>1688.2336911772045</v>
      </c>
      <c r="Q36" s="96">
        <v>1859.4905140436806</v>
      </c>
      <c r="R36" s="96">
        <v>1543.8893270963313</v>
      </c>
      <c r="S36" s="96">
        <v>1572.3832364363848</v>
      </c>
      <c r="T36" s="96">
        <v>1583.5437747061885</v>
      </c>
      <c r="U36" s="96">
        <v>1578.4879726503107</v>
      </c>
      <c r="V36" s="96">
        <v>1514.0843773122301</v>
      </c>
      <c r="W36" s="96">
        <v>1559.8871515975145</v>
      </c>
      <c r="DA36" s="171" t="s">
        <v>762</v>
      </c>
    </row>
    <row r="37" spans="1:105" ht="11.45" customHeight="1" x14ac:dyDescent="0.25">
      <c r="A37" s="111" t="s">
        <v>112</v>
      </c>
      <c r="B37" s="96">
        <v>30.080119023740483</v>
      </c>
      <c r="C37" s="96">
        <v>29.763507042246815</v>
      </c>
      <c r="D37" s="96">
        <v>29.653706485706689</v>
      </c>
      <c r="E37" s="96">
        <v>29.231859581691054</v>
      </c>
      <c r="F37" s="96">
        <v>29.247576533759808</v>
      </c>
      <c r="G37" s="96">
        <v>28.986652748894631</v>
      </c>
      <c r="H37" s="96">
        <v>29.396742099663573</v>
      </c>
      <c r="I37" s="96">
        <v>30.029371373777071</v>
      </c>
      <c r="J37" s="96">
        <v>28.856629618042298</v>
      </c>
      <c r="K37" s="96">
        <v>28.806614951731234</v>
      </c>
      <c r="L37" s="96">
        <v>27.567797010599612</v>
      </c>
      <c r="M37" s="96">
        <v>27.405129102094389</v>
      </c>
      <c r="N37" s="96">
        <v>30.225109935589742</v>
      </c>
      <c r="O37" s="96">
        <v>31.719583544017151</v>
      </c>
      <c r="P37" s="96">
        <v>35.659086573108851</v>
      </c>
      <c r="Q37" s="96">
        <v>35.588855848556804</v>
      </c>
      <c r="R37" s="96">
        <v>38.464107988849463</v>
      </c>
      <c r="S37" s="96">
        <v>37.472010151225902</v>
      </c>
      <c r="T37" s="96">
        <v>36.56763664431692</v>
      </c>
      <c r="U37" s="96">
        <v>33.245458168977578</v>
      </c>
      <c r="V37" s="96">
        <v>29.698890057780552</v>
      </c>
      <c r="W37" s="96">
        <v>26.739526291881077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1.1733565333479781</v>
      </c>
      <c r="O38" s="96">
        <v>2.0958775029636203</v>
      </c>
      <c r="P38" s="96">
        <v>5.2013768423786049</v>
      </c>
      <c r="Q38" s="96">
        <v>12.062530062781956</v>
      </c>
      <c r="R38" s="96">
        <v>20.534581336242034</v>
      </c>
      <c r="S38" s="96">
        <v>28.042442379349879</v>
      </c>
      <c r="T38" s="96">
        <v>33.692533923564199</v>
      </c>
      <c r="U38" s="96">
        <v>39.137868021408536</v>
      </c>
      <c r="V38" s="96">
        <v>38.594464805382913</v>
      </c>
      <c r="W38" s="96">
        <v>38.13175041366479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2458.8544771862216</v>
      </c>
      <c r="C40" s="130">
        <f t="shared" si="36"/>
        <v>2604.9932491925451</v>
      </c>
      <c r="D40" s="130">
        <f t="shared" si="36"/>
        <v>2907.2192189988273</v>
      </c>
      <c r="E40" s="130">
        <f t="shared" si="36"/>
        <v>3580.959816258548</v>
      </c>
      <c r="F40" s="130">
        <f t="shared" si="36"/>
        <v>4028.2263913362262</v>
      </c>
      <c r="G40" s="130">
        <f t="shared" si="36"/>
        <v>4843.4193444522789</v>
      </c>
      <c r="H40" s="130">
        <f t="shared" si="36"/>
        <v>5203.1433593595066</v>
      </c>
      <c r="I40" s="130">
        <f t="shared" si="36"/>
        <v>5459.0595968882571</v>
      </c>
      <c r="J40" s="130">
        <f t="shared" si="36"/>
        <v>5137.2184224663361</v>
      </c>
      <c r="K40" s="130">
        <f t="shared" si="36"/>
        <v>4589.8036652549617</v>
      </c>
      <c r="L40" s="130">
        <f t="shared" ref="L40" si="37">SUM(L41:L42)</f>
        <v>4357.6463279301988</v>
      </c>
      <c r="M40" s="130">
        <f t="shared" ref="M40:V40" si="38">SUM(M41:M42)</f>
        <v>4201.2107755059851</v>
      </c>
      <c r="N40" s="130">
        <f t="shared" si="38"/>
        <v>4047.8138562545964</v>
      </c>
      <c r="O40" s="130">
        <f t="shared" si="38"/>
        <v>3779.4976705070412</v>
      </c>
      <c r="P40" s="130">
        <f t="shared" si="38"/>
        <v>3884.6948716017428</v>
      </c>
      <c r="Q40" s="130">
        <f t="shared" si="38"/>
        <v>4275.7754796126055</v>
      </c>
      <c r="R40" s="130">
        <f t="shared" si="38"/>
        <v>4716.0015734130811</v>
      </c>
      <c r="S40" s="130">
        <f t="shared" si="38"/>
        <v>4970.6581832932534</v>
      </c>
      <c r="T40" s="130">
        <f t="shared" si="38"/>
        <v>4968.8395630030591</v>
      </c>
      <c r="U40" s="130">
        <f t="shared" si="38"/>
        <v>4949.8389048034396</v>
      </c>
      <c r="V40" s="130">
        <f t="shared" si="38"/>
        <v>4558.0179806264978</v>
      </c>
      <c r="W40" s="130">
        <f t="shared" ref="W40" si="39">SUM(W41:W42)</f>
        <v>4931.965802965502</v>
      </c>
      <c r="DA40" s="176" t="s">
        <v>412</v>
      </c>
    </row>
    <row r="41" spans="1:105" ht="11.45" customHeight="1" x14ac:dyDescent="0.25">
      <c r="A41" s="128" t="s">
        <v>27</v>
      </c>
      <c r="B41" s="97">
        <v>1395.1386549656668</v>
      </c>
      <c r="C41" s="97">
        <v>1625.4914227506065</v>
      </c>
      <c r="D41" s="97">
        <v>1843.9493359339558</v>
      </c>
      <c r="E41" s="97">
        <v>2210.3905240438648</v>
      </c>
      <c r="F41" s="97">
        <v>2432.5294702470933</v>
      </c>
      <c r="G41" s="97">
        <v>2871.9566584816052</v>
      </c>
      <c r="H41" s="97">
        <v>2770.4910355723118</v>
      </c>
      <c r="I41" s="97">
        <v>2724.8477793090656</v>
      </c>
      <c r="J41" s="97">
        <v>2568.5527813640574</v>
      </c>
      <c r="K41" s="97">
        <v>2099.4508778227837</v>
      </c>
      <c r="L41" s="97">
        <v>2031.9857385978635</v>
      </c>
      <c r="M41" s="97">
        <v>1958.7479618196571</v>
      </c>
      <c r="N41" s="97">
        <v>1867.7135754064536</v>
      </c>
      <c r="O41" s="97">
        <v>1903.0304602668339</v>
      </c>
      <c r="P41" s="97">
        <v>2046.4868428207615</v>
      </c>
      <c r="Q41" s="97">
        <v>2447.7834592196368</v>
      </c>
      <c r="R41" s="97">
        <v>2537.9194885527181</v>
      </c>
      <c r="S41" s="97">
        <v>2673.4096796900567</v>
      </c>
      <c r="T41" s="97">
        <v>2783.0821933229317</v>
      </c>
      <c r="U41" s="97">
        <v>2788.2457026862839</v>
      </c>
      <c r="V41" s="97">
        <v>2934.1878205979801</v>
      </c>
      <c r="W41" s="97">
        <v>3239.7596198446872</v>
      </c>
      <c r="DA41" s="175" t="s">
        <v>766</v>
      </c>
    </row>
    <row r="42" spans="1:105" ht="11.45" customHeight="1" x14ac:dyDescent="0.25">
      <c r="A42" s="138" t="s">
        <v>116</v>
      </c>
      <c r="B42" s="98">
        <v>1063.7158222205551</v>
      </c>
      <c r="C42" s="98">
        <v>979.50182644193876</v>
      </c>
      <c r="D42" s="98">
        <v>1063.2698830648717</v>
      </c>
      <c r="E42" s="98">
        <v>1370.5692922146829</v>
      </c>
      <c r="F42" s="98">
        <v>1595.696921089133</v>
      </c>
      <c r="G42" s="98">
        <v>1971.4626859706739</v>
      </c>
      <c r="H42" s="98">
        <v>2432.6523237871952</v>
      </c>
      <c r="I42" s="98">
        <v>2734.2118175791916</v>
      </c>
      <c r="J42" s="98">
        <v>2568.6656411022786</v>
      </c>
      <c r="K42" s="98">
        <v>2490.3527874321776</v>
      </c>
      <c r="L42" s="98">
        <v>2325.6605893323349</v>
      </c>
      <c r="M42" s="98">
        <v>2242.462813686328</v>
      </c>
      <c r="N42" s="98">
        <v>2180.100280848143</v>
      </c>
      <c r="O42" s="98">
        <v>1876.4672102402076</v>
      </c>
      <c r="P42" s="98">
        <v>1838.2080287809813</v>
      </c>
      <c r="Q42" s="98">
        <v>1827.9920203929687</v>
      </c>
      <c r="R42" s="98">
        <v>2178.082084860363</v>
      </c>
      <c r="S42" s="98">
        <v>2297.2485036031972</v>
      </c>
      <c r="T42" s="98">
        <v>2185.7573696801273</v>
      </c>
      <c r="U42" s="98">
        <v>2161.5932021171557</v>
      </c>
      <c r="V42" s="98">
        <v>1623.8301600285176</v>
      </c>
      <c r="W42" s="98">
        <v>1692.2061831208148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2.93521153485149</v>
      </c>
      <c r="C47" s="145">
        <f>IF(C4=0,0,C4/TrRoad_ene!C4)</f>
        <v>2.9542671706778512</v>
      </c>
      <c r="D47" s="145">
        <f>IF(D4=0,0,D4/TrRoad_ene!D4)</f>
        <v>2.9466820244826222</v>
      </c>
      <c r="E47" s="145">
        <f>IF(E4=0,0,E4/TrRoad_ene!E4)</f>
        <v>2.9590522126162639</v>
      </c>
      <c r="F47" s="145">
        <f>IF(F4=0,0,F4/TrRoad_ene!F4)</f>
        <v>2.9830034744099887</v>
      </c>
      <c r="G47" s="145">
        <f>IF(G4=0,0,G4/TrRoad_ene!G4)</f>
        <v>3.0095771589728382</v>
      </c>
      <c r="H47" s="145">
        <f>IF(H4=0,0,H4/TrRoad_ene!H4)</f>
        <v>3.0046014797079135</v>
      </c>
      <c r="I47" s="145">
        <f>IF(I4=0,0,I4/TrRoad_ene!I4)</f>
        <v>3.0005972153143508</v>
      </c>
      <c r="J47" s="145">
        <f>IF(J4=0,0,J4/TrRoad_ene!J4)</f>
        <v>2.9621008778184974</v>
      </c>
      <c r="K47" s="145">
        <f>IF(K4=0,0,K4/TrRoad_ene!K4)</f>
        <v>2.9171519826821046</v>
      </c>
      <c r="L47" s="145">
        <f>IF(L4=0,0,L4/TrRoad_ene!L4)</f>
        <v>2.8938473993082465</v>
      </c>
      <c r="M47" s="145">
        <f>IF(M4=0,0,M4/TrRoad_ene!M4)</f>
        <v>2.8585168948240525</v>
      </c>
      <c r="N47" s="145">
        <f>IF(N4=0,0,N4/TrRoad_ene!N4)</f>
        <v>2.8715505981895153</v>
      </c>
      <c r="O47" s="145">
        <f>IF(O4=0,0,O4/TrRoad_ene!O4)</f>
        <v>2.8731428369326975</v>
      </c>
      <c r="P47" s="145">
        <f>IF(P4=0,0,P4/TrRoad_ene!P4)</f>
        <v>2.8612093527169042</v>
      </c>
      <c r="Q47" s="145">
        <f>IF(Q4=0,0,Q4/TrRoad_ene!Q4)</f>
        <v>2.8794722221630034</v>
      </c>
      <c r="R47" s="145">
        <f>IF(R4=0,0,R4/TrRoad_ene!R4)</f>
        <v>2.8862121170462927</v>
      </c>
      <c r="S47" s="145">
        <f>IF(S4=0,0,S4/TrRoad_ene!S4)</f>
        <v>2.8853842145193367</v>
      </c>
      <c r="T47" s="145">
        <f>IF(T4=0,0,T4/TrRoad_ene!T4)</f>
        <v>2.8890833405398939</v>
      </c>
      <c r="U47" s="145">
        <f>IF(U4=0,0,U4/TrRoad_ene!U4)</f>
        <v>2.8753284529611318</v>
      </c>
      <c r="V47" s="145">
        <f>IF(V4=0,0,V4/TrRoad_ene!V4)</f>
        <v>2.8493731681742349</v>
      </c>
      <c r="W47" s="145">
        <f>IF(W4=0,0,W4/TrRoad_ene!W4)</f>
        <v>2.8694809967191341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2.9014523999999997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2.8996745123706327</v>
      </c>
      <c r="I48" s="97">
        <f>IF(I7=0,0,(I7+I12)/(TrRoad_ene!I7+TrRoad_ene!I12))</f>
        <v>2.9014524000000002</v>
      </c>
      <c r="J48" s="97">
        <f>IF(J7=0,0,(J7+J12)/(TrRoad_ene!J7+TrRoad_ene!J12))</f>
        <v>2.854363810291551</v>
      </c>
      <c r="K48" s="97">
        <f>IF(K7=0,0,(K7+K12)/(TrRoad_ene!K7+TrRoad_ene!K12))</f>
        <v>2.8209718260093233</v>
      </c>
      <c r="L48" s="97">
        <f>IF(L7=0,0,(L7+L12)/(TrRoad_ene!L7+TrRoad_ene!L12))</f>
        <v>2.8140175082846342</v>
      </c>
      <c r="M48" s="97">
        <f>IF(M7=0,0,(M7+M12)/(TrRoad_ene!M7+TrRoad_ene!M12))</f>
        <v>2.8067140546137406</v>
      </c>
      <c r="N48" s="97">
        <f>IF(N7=0,0,(N7+N12)/(TrRoad_ene!N7+TrRoad_ene!N12))</f>
        <v>2.8073606788986982</v>
      </c>
      <c r="O48" s="97">
        <f>IF(O7=0,0,(O7+O12)/(TrRoad_ene!O7+TrRoad_ene!O12))</f>
        <v>2.806025302221407</v>
      </c>
      <c r="P48" s="97">
        <f>IF(P7=0,0,(P7+P12)/(TrRoad_ene!P7+TrRoad_ene!P12))</f>
        <v>2.7839118487653165</v>
      </c>
      <c r="Q48" s="97">
        <f>IF(Q7=0,0,(Q7+Q12)/(TrRoad_ene!Q7+TrRoad_ene!Q12))</f>
        <v>2.7892083713643361</v>
      </c>
      <c r="R48" s="97">
        <f>IF(R7=0,0,(R7+R12)/(TrRoad_ene!R7+TrRoad_ene!R12))</f>
        <v>2.8172094326570569</v>
      </c>
      <c r="S48" s="97">
        <f>IF(S7=0,0,(S7+S12)/(TrRoad_ene!S7+TrRoad_ene!S12))</f>
        <v>2.7977270927102222</v>
      </c>
      <c r="T48" s="97">
        <f>IF(T7=0,0,(T7+T12)/(TrRoad_ene!T7+TrRoad_ene!T12))</f>
        <v>2.7945436687562903</v>
      </c>
      <c r="U48" s="97">
        <f>IF(U7=0,0,(U7+U12)/(TrRoad_ene!U7+TrRoad_ene!U12))</f>
        <v>2.7741165865166444</v>
      </c>
      <c r="V48" s="97">
        <f>IF(V7=0,0,(V7+V12)/(TrRoad_ene!V7+TrRoad_ene!V12))</f>
        <v>2.7760344031610873</v>
      </c>
      <c r="W48" s="97">
        <f>IF(W7=0,0,(W7+W12)/(TrRoad_ene!W7+TrRoad_ene!W12))</f>
        <v>2.7989874924457405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2.9979494944570182</v>
      </c>
      <c r="C49" s="97">
        <f>IF(C8=0,0,(C8+C13+C14)/(TrRoad_ene!C8+TrRoad_ene!C13+TrRoad_ene!C14))</f>
        <v>3.0317143717569848</v>
      </c>
      <c r="D49" s="97">
        <f>IF(D8=0,0,(D8+D13+D14)/(TrRoad_ene!D8+TrRoad_ene!D13+TrRoad_ene!D14))</f>
        <v>3.0114929678026265</v>
      </c>
      <c r="E49" s="97">
        <f>IF(E8=0,0,(E8+E13+E14)/(TrRoad_ene!E8+TrRoad_ene!E13+TrRoad_ene!E14))</f>
        <v>3.0283342890161342</v>
      </c>
      <c r="F49" s="97">
        <f>IF(F8=0,0,(F8+F13+F14)/(TrRoad_ene!F8+TrRoad_ene!F13+TrRoad_ene!F14))</f>
        <v>3.067220481456117</v>
      </c>
      <c r="G49" s="97">
        <f>IF(G8=0,0,(G8+G13+G14)/(TrRoad_ene!G8+TrRoad_ene!G13+TrRoad_ene!G14))</f>
        <v>3.0998704984025176</v>
      </c>
      <c r="H49" s="97">
        <f>IF(H8=0,0,(H8+H13+H14)/(TrRoad_ene!H8+TrRoad_ene!H13+TrRoad_ene!H14))</f>
        <v>3.0873637192667363</v>
      </c>
      <c r="I49" s="97">
        <f>IF(I8=0,0,(I8+I13+I14)/(TrRoad_ene!I8+TrRoad_ene!I13+TrRoad_ene!I14))</f>
        <v>3.0769697596909613</v>
      </c>
      <c r="J49" s="97">
        <f>IF(J8=0,0,(J8+J13+J14)/(TrRoad_ene!J8+TrRoad_ene!J13+TrRoad_ene!J14))</f>
        <v>3.039794997641823</v>
      </c>
      <c r="K49" s="97">
        <f>IF(K8=0,0,(K8+K13+K14)/(TrRoad_ene!K8+TrRoad_ene!K13+TrRoad_ene!K14))</f>
        <v>2.9874428773722239</v>
      </c>
      <c r="L49" s="97">
        <f>IF(L8=0,0,(L8+L13+L14)/(TrRoad_ene!L8+TrRoad_ene!L13+TrRoad_ene!L14))</f>
        <v>2.951741276328022</v>
      </c>
      <c r="M49" s="97">
        <f>IF(M8=0,0,(M8+M13+M14)/(TrRoad_ene!M8+TrRoad_ene!M13+TrRoad_ene!M14))</f>
        <v>2.8986342947459907</v>
      </c>
      <c r="N49" s="97">
        <f>IF(N8=0,0,(N8+N13+N14)/(TrRoad_ene!N8+TrRoad_ene!N13+TrRoad_ene!N14))</f>
        <v>2.9167710214060425</v>
      </c>
      <c r="O49" s="97">
        <f>IF(O8=0,0,(O8+O13+O14)/(TrRoad_ene!O8+TrRoad_ene!O13+TrRoad_ene!O14))</f>
        <v>2.9158825789289571</v>
      </c>
      <c r="P49" s="97">
        <f>IF(P8=0,0,(P8+P13+P14)/(TrRoad_ene!P8+TrRoad_ene!P13+TrRoad_ene!P14))</f>
        <v>2.9036198566929383</v>
      </c>
      <c r="Q49" s="97">
        <f>IF(Q8=0,0,(Q8+Q13+Q14)/(TrRoad_ene!Q8+TrRoad_ene!Q13+TrRoad_ene!Q14))</f>
        <v>2.9269380750221075</v>
      </c>
      <c r="R49" s="97">
        <f>IF(R8=0,0,(R8+R13+R14)/(TrRoad_ene!R8+TrRoad_ene!R13+TrRoad_ene!R14))</f>
        <v>2.9259419507935287</v>
      </c>
      <c r="S49" s="97">
        <f>IF(S8=0,0,(S8+S13+S14)/(TrRoad_ene!S8+TrRoad_ene!S13+TrRoad_ene!S14))</f>
        <v>2.9310327817684079</v>
      </c>
      <c r="T49" s="97">
        <f>IF(T8=0,0,(T8+T13+T14)/(TrRoad_ene!T8+TrRoad_ene!T13+TrRoad_ene!T14))</f>
        <v>2.9373216325020994</v>
      </c>
      <c r="U49" s="97">
        <f>IF(U8=0,0,(U8+U13+U14)/(TrRoad_ene!U8+TrRoad_ene!U13+TrRoad_ene!U14))</f>
        <v>2.9263986715546988</v>
      </c>
      <c r="V49" s="97">
        <f>IF(V8=0,0,(V8+V13+V14)/(TrRoad_ene!V8+TrRoad_ene!V13+TrRoad_ene!V14))</f>
        <v>2.8893906684538546</v>
      </c>
      <c r="W49" s="97">
        <f>IF(W8=0,0,(W8+W13+W14)/(TrRoad_ene!W8+TrRoad_ene!W13+TrRoad_ene!W14))</f>
        <v>2.9189133122889754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2.3132629041074826</v>
      </c>
      <c r="W51" s="97">
        <f>IF(W9=0,0,(W9+W11)/(TrRoad_ene!W9+TrRoad_ene!W11))</f>
        <v>1.9072185711540499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301.47996962636375</v>
      </c>
      <c r="C54" s="62">
        <f>IF(TrRoad_act!C30=0,0,C17/TrRoad_act!C30*1000
)</f>
        <v>294.66296106879781</v>
      </c>
      <c r="D54" s="62">
        <f>IF(TrRoad_act!D30=0,0,D17/TrRoad_act!D30*1000
)</f>
        <v>291.91722200209045</v>
      </c>
      <c r="E54" s="62">
        <f>IF(TrRoad_act!E30=0,0,E17/TrRoad_act!E30*1000
)</f>
        <v>291.65380642714314</v>
      </c>
      <c r="F54" s="62">
        <f>IF(TrRoad_act!F30=0,0,F17/TrRoad_act!F30*1000
)</f>
        <v>293.69454775768537</v>
      </c>
      <c r="G54" s="62">
        <f>IF(TrRoad_act!G30=0,0,G17/TrRoad_act!G30*1000
)</f>
        <v>302.26629630955108</v>
      </c>
      <c r="H54" s="62">
        <f>IF(TrRoad_act!H30=0,0,H17/TrRoad_act!H30*1000
)</f>
        <v>307.31159592120696</v>
      </c>
      <c r="I54" s="62">
        <f>IF(TrRoad_act!I30=0,0,I17/TrRoad_act!I30*1000
)</f>
        <v>307.00499215270088</v>
      </c>
      <c r="J54" s="62">
        <f>IF(TrRoad_act!J30=0,0,J17/TrRoad_act!J30*1000
)</f>
        <v>298.33895178955373</v>
      </c>
      <c r="K54" s="62">
        <f>IF(TrRoad_act!K30=0,0,K17/TrRoad_act!K30*1000
)</f>
        <v>286.11973244459381</v>
      </c>
      <c r="L54" s="62">
        <f>IF(TrRoad_act!L30=0,0,L17/TrRoad_act!L30*1000
)</f>
        <v>282.86604849760846</v>
      </c>
      <c r="M54" s="62">
        <f>IF(TrRoad_act!M30=0,0,M17/TrRoad_act!M30*1000
)</f>
        <v>274.8027526802021</v>
      </c>
      <c r="N54" s="62">
        <f>IF(TrRoad_act!N30=0,0,N17/TrRoad_act!N30*1000
)</f>
        <v>272.18776069722077</v>
      </c>
      <c r="O54" s="62">
        <f>IF(TrRoad_act!O30=0,0,O17/TrRoad_act!O30*1000
)</f>
        <v>265.91244563798512</v>
      </c>
      <c r="P54" s="62">
        <f>IF(TrRoad_act!P30=0,0,P17/TrRoad_act!P30*1000
)</f>
        <v>264.28779317616289</v>
      </c>
      <c r="Q54" s="62">
        <f>IF(TrRoad_act!Q30=0,0,Q17/TrRoad_act!Q30*1000
)</f>
        <v>264.2930000549436</v>
      </c>
      <c r="R54" s="62">
        <f>IF(TrRoad_act!R30=0,0,R17/TrRoad_act!R30*1000
)</f>
        <v>265.46053415727977</v>
      </c>
      <c r="S54" s="62">
        <f>IF(TrRoad_act!S30=0,0,S17/TrRoad_act!S30*1000
)</f>
        <v>264.98504641717216</v>
      </c>
      <c r="T54" s="62">
        <f>IF(TrRoad_act!T30=0,0,T17/TrRoad_act!T30*1000
)</f>
        <v>260.82742699011828</v>
      </c>
      <c r="U54" s="62">
        <f>IF(TrRoad_act!U30=0,0,U17/TrRoad_act!U30*1000
)</f>
        <v>254.80046210667911</v>
      </c>
      <c r="V54" s="62">
        <f>IF(TrRoad_act!V30=0,0,V17/TrRoad_act!V30*1000
)</f>
        <v>243.38356412837953</v>
      </c>
      <c r="W54" s="62">
        <f>IF(TrRoad_act!W30=0,0,W17/TrRoad_act!W30*1000
)</f>
        <v>240.4921073202425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247.52591496905194</v>
      </c>
      <c r="C55" s="29">
        <f>IF(TrRoad_act!C31=0,0,C18/TrRoad_act!C31*1000
)</f>
        <v>243.33513613782873</v>
      </c>
      <c r="D55" s="29">
        <f>IF(TrRoad_act!D31=0,0,D18/TrRoad_act!D31*1000
)</f>
        <v>237.40481989537102</v>
      </c>
      <c r="E55" s="29">
        <f>IF(TrRoad_act!E31=0,0,E18/TrRoad_act!E31*1000
)</f>
        <v>230.95475373548123</v>
      </c>
      <c r="F55" s="29">
        <f>IF(TrRoad_act!F31=0,0,F18/TrRoad_act!F31*1000
)</f>
        <v>227.77862556341256</v>
      </c>
      <c r="G55" s="29">
        <f>IF(TrRoad_act!G31=0,0,G18/TrRoad_act!G31*1000
)</f>
        <v>225.70566399191082</v>
      </c>
      <c r="H55" s="29">
        <f>IF(TrRoad_act!H31=0,0,H18/TrRoad_act!H31*1000
)</f>
        <v>225.09922123144241</v>
      </c>
      <c r="I55" s="29">
        <f>IF(TrRoad_act!I31=0,0,I18/TrRoad_act!I31*1000
)</f>
        <v>223.65645629010717</v>
      </c>
      <c r="J55" s="29">
        <f>IF(TrRoad_act!J31=0,0,J18/TrRoad_act!J31*1000
)</f>
        <v>219.81591650056438</v>
      </c>
      <c r="K55" s="29">
        <f>IF(TrRoad_act!K31=0,0,K18/TrRoad_act!K31*1000
)</f>
        <v>215.6142200908202</v>
      </c>
      <c r="L55" s="29">
        <f>IF(TrRoad_act!L31=0,0,L18/TrRoad_act!L31*1000
)</f>
        <v>212.5182103762146</v>
      </c>
      <c r="M55" s="29">
        <f>IF(TrRoad_act!M31=0,0,M18/TrRoad_act!M31*1000
)</f>
        <v>208.19015699773243</v>
      </c>
      <c r="N55" s="29">
        <f>IF(TrRoad_act!N31=0,0,N18/TrRoad_act!N31*1000
)</f>
        <v>207.13875865951221</v>
      </c>
      <c r="O55" s="29">
        <f>IF(TrRoad_act!O31=0,0,O18/TrRoad_act!O31*1000
)</f>
        <v>206.87430391038032</v>
      </c>
      <c r="P55" s="29">
        <f>IF(TrRoad_act!P31=0,0,P18/TrRoad_act!P31*1000
)</f>
        <v>205.47931617009237</v>
      </c>
      <c r="Q55" s="29">
        <f>IF(TrRoad_act!Q31=0,0,Q18/TrRoad_act!Q31*1000
)</f>
        <v>202.40618586438518</v>
      </c>
      <c r="R55" s="29">
        <f>IF(TrRoad_act!R31=0,0,R18/TrRoad_act!R31*1000
)</f>
        <v>200.3409032717953</v>
      </c>
      <c r="S55" s="29">
        <f>IF(TrRoad_act!S31=0,0,S18/TrRoad_act!S31*1000
)</f>
        <v>198.01837943231115</v>
      </c>
      <c r="T55" s="29">
        <f>IF(TrRoad_act!T31=0,0,T18/TrRoad_act!T31*1000
)</f>
        <v>195.24586709264887</v>
      </c>
      <c r="U55" s="29">
        <f>IF(TrRoad_act!U31=0,0,U18/TrRoad_act!U31*1000
)</f>
        <v>191.51587728808161</v>
      </c>
      <c r="V55" s="29">
        <f>IF(TrRoad_act!V31=0,0,V18/TrRoad_act!V31*1000
)</f>
        <v>184.74124213524567</v>
      </c>
      <c r="W55" s="29">
        <f>IF(TrRoad_act!W31=0,0,W18/TrRoad_act!W31*1000
)</f>
        <v>182.52577163145017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119.92574167870352</v>
      </c>
      <c r="C56" s="152">
        <f>IF(TrRoad_act!C32=0,0,C19/TrRoad_act!C32*1000
)</f>
        <v>119.45218790579047</v>
      </c>
      <c r="D56" s="152">
        <f>IF(TrRoad_act!D32=0,0,D19/TrRoad_act!D32*1000
)</f>
        <v>119.04284692923589</v>
      </c>
      <c r="E56" s="152">
        <f>IF(TrRoad_act!E32=0,0,E19/TrRoad_act!E32*1000
)</f>
        <v>118.94133063643632</v>
      </c>
      <c r="F56" s="152">
        <f>IF(TrRoad_act!F32=0,0,F19/TrRoad_act!F32*1000
)</f>
        <v>118.59696429866777</v>
      </c>
      <c r="G56" s="152">
        <f>IF(TrRoad_act!G32=0,0,G19/TrRoad_act!G32*1000
)</f>
        <v>117.80046032184116</v>
      </c>
      <c r="H56" s="152">
        <f>IF(TrRoad_act!H32=0,0,H19/TrRoad_act!H32*1000
)</f>
        <v>117.16736402330626</v>
      </c>
      <c r="I56" s="152">
        <f>IF(TrRoad_act!I32=0,0,I19/TrRoad_act!I32*1000
)</f>
        <v>116.64879292119005</v>
      </c>
      <c r="J56" s="152">
        <f>IF(TrRoad_act!J32=0,0,J19/TrRoad_act!J32*1000
)</f>
        <v>114.274812978222</v>
      </c>
      <c r="K56" s="152">
        <f>IF(TrRoad_act!K32=0,0,K19/TrRoad_act!K32*1000
)</f>
        <v>112.58582836472453</v>
      </c>
      <c r="L56" s="152">
        <f>IF(TrRoad_act!L32=0,0,L19/TrRoad_act!L32*1000
)</f>
        <v>111.62228263865404</v>
      </c>
      <c r="M56" s="152">
        <f>IF(TrRoad_act!M32=0,0,M19/TrRoad_act!M32*1000
)</f>
        <v>110.65736461542929</v>
      </c>
      <c r="N56" s="152">
        <f>IF(TrRoad_act!N32=0,0,N19/TrRoad_act!N32*1000
)</f>
        <v>109.82234549859839</v>
      </c>
      <c r="O56" s="152">
        <f>IF(TrRoad_act!O32=0,0,O19/TrRoad_act!O32*1000
)</f>
        <v>109.35653093117517</v>
      </c>
      <c r="P56" s="152">
        <f>IF(TrRoad_act!P32=0,0,P19/TrRoad_act!P32*1000
)</f>
        <v>107.75916281864127</v>
      </c>
      <c r="Q56" s="152">
        <f>IF(TrRoad_act!Q32=0,0,Q19/TrRoad_act!Q32*1000
)</f>
        <v>106.71282649349914</v>
      </c>
      <c r="R56" s="152">
        <f>IF(TrRoad_act!R32=0,0,R19/TrRoad_act!R32*1000
)</f>
        <v>106.90515667689642</v>
      </c>
      <c r="S56" s="152">
        <f>IF(TrRoad_act!S32=0,0,S19/TrRoad_act!S32*1000
)</f>
        <v>105.32322614792344</v>
      </c>
      <c r="T56" s="152">
        <f>IF(TrRoad_act!T32=0,0,T19/TrRoad_act!T32*1000
)</f>
        <v>104.37599552751971</v>
      </c>
      <c r="U56" s="152">
        <f>IF(TrRoad_act!U32=0,0,U19/TrRoad_act!U32*1000
)</f>
        <v>102.84577845285312</v>
      </c>
      <c r="V56" s="152">
        <f>IF(TrRoad_act!V32=0,0,V19/TrRoad_act!V32*1000
)</f>
        <v>102.22490288071138</v>
      </c>
      <c r="W56" s="152">
        <f>IF(TrRoad_act!W32=0,0,W19/TrRoad_act!W32*1000
)</f>
        <v>98.376641841443828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223.74005310397519</v>
      </c>
      <c r="C57" s="116">
        <f>IF(TrRoad_act!C33=0,0,C20/TrRoad_act!C33*1000
)</f>
        <v>217.91729702566585</v>
      </c>
      <c r="D57" s="116">
        <f>IF(TrRoad_act!D33=0,0,D20/TrRoad_act!D33*1000
)</f>
        <v>214.74738864663919</v>
      </c>
      <c r="E57" s="116">
        <f>IF(TrRoad_act!E33=0,0,E20/TrRoad_act!E33*1000
)</f>
        <v>212.78513904539142</v>
      </c>
      <c r="F57" s="116">
        <f>IF(TrRoad_act!F33=0,0,F20/TrRoad_act!F33*1000
)</f>
        <v>211.59597385215989</v>
      </c>
      <c r="G57" s="116">
        <f>IF(TrRoad_act!G33=0,0,G20/TrRoad_act!G33*1000
)</f>
        <v>210.34156108106077</v>
      </c>
      <c r="H57" s="116">
        <f>IF(TrRoad_act!H33=0,0,H20/TrRoad_act!H33*1000
)</f>
        <v>209.36321915648324</v>
      </c>
      <c r="I57" s="116">
        <f>IF(TrRoad_act!I33=0,0,I20/TrRoad_act!I33*1000
)</f>
        <v>208.72230014431364</v>
      </c>
      <c r="J57" s="116">
        <f>IF(TrRoad_act!J33=0,0,J20/TrRoad_act!J33*1000
)</f>
        <v>205.14825423557545</v>
      </c>
      <c r="K57" s="116">
        <f>IF(TrRoad_act!K33=0,0,K20/TrRoad_act!K33*1000
)</f>
        <v>201.34782638888711</v>
      </c>
      <c r="L57" s="116">
        <f>IF(TrRoad_act!L33=0,0,L20/TrRoad_act!L33*1000
)</f>
        <v>196.67814390737851</v>
      </c>
      <c r="M57" s="116">
        <f>IF(TrRoad_act!M33=0,0,M20/TrRoad_act!M33*1000
)</f>
        <v>193.81691064464502</v>
      </c>
      <c r="N57" s="116">
        <f>IF(TrRoad_act!N33=0,0,N20/TrRoad_act!N33*1000
)</f>
        <v>193.10650565173276</v>
      </c>
      <c r="O57" s="116">
        <f>IF(TrRoad_act!O33=0,0,O20/TrRoad_act!O33*1000
)</f>
        <v>192.00011412846487</v>
      </c>
      <c r="P57" s="116">
        <f>IF(TrRoad_act!P33=0,0,P20/TrRoad_act!P33*1000
)</f>
        <v>189.02907364196449</v>
      </c>
      <c r="Q57" s="116">
        <f>IF(TrRoad_act!Q33=0,0,Q20/TrRoad_act!Q33*1000
)</f>
        <v>186.85805602566268</v>
      </c>
      <c r="R57" s="116">
        <f>IF(TrRoad_act!R33=0,0,R20/TrRoad_act!R33*1000
)</f>
        <v>184.66178122964257</v>
      </c>
      <c r="S57" s="116">
        <f>IF(TrRoad_act!S33=0,0,S20/TrRoad_act!S33*1000
)</f>
        <v>181.74623985594292</v>
      </c>
      <c r="T57" s="116">
        <f>IF(TrRoad_act!T33=0,0,T20/TrRoad_act!T33*1000
)</f>
        <v>179.36760743872762</v>
      </c>
      <c r="U57" s="116">
        <f>IF(TrRoad_act!U33=0,0,U20/TrRoad_act!U33*1000
)</f>
        <v>176.22631313129776</v>
      </c>
      <c r="V57" s="116">
        <f>IF(TrRoad_act!V33=0,0,V20/TrRoad_act!V33*1000
)</f>
        <v>173.30381116114137</v>
      </c>
      <c r="W57" s="116">
        <f>IF(TrRoad_act!W33=0,0,W20/TrRoad_act!W33*1000
)</f>
        <v>172.3034587968275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224.35364952182249</v>
      </c>
      <c r="C58" s="87">
        <f>IF(TrRoad_act!C34=0,0,C21/TrRoad_act!C34*1000
)</f>
        <v>221.48461021268872</v>
      </c>
      <c r="D58" s="87">
        <f>IF(TrRoad_act!D34=0,0,D21/TrRoad_act!D34*1000
)</f>
        <v>219.74452586756027</v>
      </c>
      <c r="E58" s="87">
        <f>IF(TrRoad_act!E34=0,0,E21/TrRoad_act!E34*1000
)</f>
        <v>218.45844964656357</v>
      </c>
      <c r="F58" s="87">
        <f>IF(TrRoad_act!F34=0,0,F21/TrRoad_act!F34*1000
)</f>
        <v>216.86703037555779</v>
      </c>
      <c r="G58" s="87">
        <f>IF(TrRoad_act!G34=0,0,G21/TrRoad_act!G34*1000
)</f>
        <v>215.27434383475617</v>
      </c>
      <c r="H58" s="87">
        <f>IF(TrRoad_act!H34=0,0,H21/TrRoad_act!H34*1000
)</f>
        <v>213.67508347829897</v>
      </c>
      <c r="I58" s="87">
        <f>IF(TrRoad_act!I34=0,0,I21/TrRoad_act!I34*1000
)</f>
        <v>212.33055294544812</v>
      </c>
      <c r="J58" s="87">
        <f>IF(TrRoad_act!J34=0,0,J21/TrRoad_act!J34*1000
)</f>
        <v>207.36020504323523</v>
      </c>
      <c r="K58" s="87">
        <f>IF(TrRoad_act!K34=0,0,K21/TrRoad_act!K34*1000
)</f>
        <v>203.23630762500019</v>
      </c>
      <c r="L58" s="87">
        <f>IF(TrRoad_act!L34=0,0,L21/TrRoad_act!L34*1000
)</f>
        <v>198.56982879484161</v>
      </c>
      <c r="M58" s="87">
        <f>IF(TrRoad_act!M34=0,0,M21/TrRoad_act!M34*1000
)</f>
        <v>196.4199215271544</v>
      </c>
      <c r="N58" s="87">
        <f>IF(TrRoad_act!N34=0,0,N21/TrRoad_act!N34*1000
)</f>
        <v>194.44195904688016</v>
      </c>
      <c r="O58" s="87">
        <f>IF(TrRoad_act!O34=0,0,O21/TrRoad_act!O34*1000
)</f>
        <v>192.54532558859594</v>
      </c>
      <c r="P58" s="87">
        <f>IF(TrRoad_act!P34=0,0,P21/TrRoad_act!P34*1000
)</f>
        <v>188.41845835167709</v>
      </c>
      <c r="Q58" s="87">
        <f>IF(TrRoad_act!Q34=0,0,Q21/TrRoad_act!Q34*1000
)</f>
        <v>184.50129302114456</v>
      </c>
      <c r="R58" s="87">
        <f>IF(TrRoad_act!R34=0,0,R21/TrRoad_act!R34*1000
)</f>
        <v>182.82937237200349</v>
      </c>
      <c r="S58" s="87">
        <f>IF(TrRoad_act!S34=0,0,S21/TrRoad_act!S34*1000
)</f>
        <v>177.92231223102826</v>
      </c>
      <c r="T58" s="87">
        <f>IF(TrRoad_act!T34=0,0,T21/TrRoad_act!T34*1000
)</f>
        <v>174.03256951061411</v>
      </c>
      <c r="U58" s="87">
        <f>IF(TrRoad_act!U34=0,0,U21/TrRoad_act!U34*1000
)</f>
        <v>169.80035225381062</v>
      </c>
      <c r="V58" s="87">
        <f>IF(TrRoad_act!V34=0,0,V21/TrRoad_act!V34*1000
)</f>
        <v>168.05169736052184</v>
      </c>
      <c r="W58" s="87">
        <f>IF(TrRoad_act!W34=0,0,W21/TrRoad_act!W34*1000
)</f>
        <v>166.799848413018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220.64431079649657</v>
      </c>
      <c r="C59" s="87">
        <f>IF(TrRoad_act!C35=0,0,C22/TrRoad_act!C35*1000
)</f>
        <v>207.97122440582996</v>
      </c>
      <c r="D59" s="87">
        <f>IF(TrRoad_act!D35=0,0,D22/TrRoad_act!D35*1000
)</f>
        <v>202.47403052359724</v>
      </c>
      <c r="E59" s="87">
        <f>IF(TrRoad_act!E35=0,0,E22/TrRoad_act!E35*1000
)</f>
        <v>201.6673197637848</v>
      </c>
      <c r="F59" s="87">
        <f>IF(TrRoad_act!F35=0,0,F22/TrRoad_act!F35*1000
)</f>
        <v>202.20492949273191</v>
      </c>
      <c r="G59" s="87">
        <f>IF(TrRoad_act!G35=0,0,G22/TrRoad_act!G35*1000
)</f>
        <v>202.81334034921716</v>
      </c>
      <c r="H59" s="87">
        <f>IF(TrRoad_act!H35=0,0,H22/TrRoad_act!H35*1000
)</f>
        <v>203.15800493147049</v>
      </c>
      <c r="I59" s="87">
        <f>IF(TrRoad_act!I35=0,0,I22/TrRoad_act!I35*1000
)</f>
        <v>203.63517117183736</v>
      </c>
      <c r="J59" s="87">
        <f>IF(TrRoad_act!J35=0,0,J22/TrRoad_act!J35*1000
)</f>
        <v>202.22870861415493</v>
      </c>
      <c r="K59" s="87">
        <f>IF(TrRoad_act!K35=0,0,K22/TrRoad_act!K35*1000
)</f>
        <v>198.90984519934278</v>
      </c>
      <c r="L59" s="87">
        <f>IF(TrRoad_act!L35=0,0,L22/TrRoad_act!L35*1000
)</f>
        <v>194.07766926378849</v>
      </c>
      <c r="M59" s="87">
        <f>IF(TrRoad_act!M35=0,0,M22/TrRoad_act!M35*1000
)</f>
        <v>190.50519703269373</v>
      </c>
      <c r="N59" s="87">
        <f>IF(TrRoad_act!N35=0,0,N22/TrRoad_act!N35*1000
)</f>
        <v>191.37549455761223</v>
      </c>
      <c r="O59" s="87">
        <f>IF(TrRoad_act!O35=0,0,O22/TrRoad_act!O35*1000
)</f>
        <v>191.13667492130568</v>
      </c>
      <c r="P59" s="87">
        <f>IF(TrRoad_act!P35=0,0,P22/TrRoad_act!P35*1000
)</f>
        <v>189.06886870625306</v>
      </c>
      <c r="Q59" s="87">
        <f>IF(TrRoad_act!Q35=0,0,Q22/TrRoad_act!Q35*1000
)</f>
        <v>188.31680781737595</v>
      </c>
      <c r="R59" s="87">
        <f>IF(TrRoad_act!R35=0,0,R22/TrRoad_act!R35*1000
)</f>
        <v>185.72573274031211</v>
      </c>
      <c r="S59" s="87">
        <f>IF(TrRoad_act!S35=0,0,S22/TrRoad_act!S35*1000
)</f>
        <v>184.02019232731539</v>
      </c>
      <c r="T59" s="87">
        <f>IF(TrRoad_act!T35=0,0,T22/TrRoad_act!T35*1000
)</f>
        <v>182.84912784589739</v>
      </c>
      <c r="U59" s="87">
        <f>IF(TrRoad_act!U35=0,0,U22/TrRoad_act!U35*1000
)</f>
        <v>180.50092707682325</v>
      </c>
      <c r="V59" s="87">
        <f>IF(TrRoad_act!V35=0,0,V22/TrRoad_act!V35*1000
)</f>
        <v>176.76964280284977</v>
      </c>
      <c r="W59" s="87">
        <f>IF(TrRoad_act!W35=0,0,W22/TrRoad_act!W35*1000
)</f>
        <v>175.98565687004398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236.91763764664191</v>
      </c>
      <c r="C60" s="87">
        <f>IF(TrRoad_act!C36=0,0,C23/TrRoad_act!C36*1000
)</f>
        <v>224.9787927862817</v>
      </c>
      <c r="D60" s="87">
        <f>IF(TrRoad_act!D36=0,0,D23/TrRoad_act!D36*1000
)</f>
        <v>223.02299960682069</v>
      </c>
      <c r="E60" s="87">
        <f>IF(TrRoad_act!E36=0,0,E23/TrRoad_act!E36*1000
)</f>
        <v>202.24178849645725</v>
      </c>
      <c r="F60" s="87">
        <f>IF(TrRoad_act!F36=0,0,F23/TrRoad_act!F36*1000
)</f>
        <v>201.83670622375629</v>
      </c>
      <c r="G60" s="87">
        <f>IF(TrRoad_act!G36=0,0,G23/TrRoad_act!G36*1000
)</f>
        <v>200.75893327138101</v>
      </c>
      <c r="H60" s="87">
        <f>IF(TrRoad_act!H36=0,0,H23/TrRoad_act!H36*1000
)</f>
        <v>200.75330621577044</v>
      </c>
      <c r="I60" s="87">
        <f>IF(TrRoad_act!I36=0,0,I23/TrRoad_act!I36*1000
)</f>
        <v>199.7013631542444</v>
      </c>
      <c r="J60" s="87">
        <f>IF(TrRoad_act!J36=0,0,J23/TrRoad_act!J36*1000
)</f>
        <v>199.84584360491317</v>
      </c>
      <c r="K60" s="87">
        <f>IF(TrRoad_act!K36=0,0,K23/TrRoad_act!K36*1000
)</f>
        <v>199.60847105009344</v>
      </c>
      <c r="L60" s="87">
        <f>IF(TrRoad_act!L36=0,0,L23/TrRoad_act!L36*1000
)</f>
        <v>199.63834364117355</v>
      </c>
      <c r="M60" s="87">
        <f>IF(TrRoad_act!M36=0,0,M23/TrRoad_act!M36*1000
)</f>
        <v>200.31711961907277</v>
      </c>
      <c r="N60" s="87">
        <f>IF(TrRoad_act!N36=0,0,N23/TrRoad_act!N36*1000
)</f>
        <v>201.41728241105949</v>
      </c>
      <c r="O60" s="87">
        <f>IF(TrRoad_act!O36=0,0,O23/TrRoad_act!O36*1000
)</f>
        <v>202.1229793800251</v>
      </c>
      <c r="P60" s="87">
        <f>IF(TrRoad_act!P36=0,0,P23/TrRoad_act!P36*1000
)</f>
        <v>202.48066766866393</v>
      </c>
      <c r="Q60" s="87">
        <f>IF(TrRoad_act!Q36=0,0,Q23/TrRoad_act!Q36*1000
)</f>
        <v>204.82049660723123</v>
      </c>
      <c r="R60" s="87">
        <f>IF(TrRoad_act!R36=0,0,R23/TrRoad_act!R36*1000
)</f>
        <v>204.64385611717015</v>
      </c>
      <c r="S60" s="87">
        <f>IF(TrRoad_act!S36=0,0,S23/TrRoad_act!S36*1000
)</f>
        <v>217.50933889522238</v>
      </c>
      <c r="T60" s="87">
        <f>IF(TrRoad_act!T36=0,0,T23/TrRoad_act!T36*1000
)</f>
        <v>219.25401270237396</v>
      </c>
      <c r="U60" s="87">
        <f>IF(TrRoad_act!U36=0,0,U23/TrRoad_act!U36*1000
)</f>
        <v>219.0972868358985</v>
      </c>
      <c r="V60" s="87">
        <f>IF(TrRoad_act!V36=0,0,V23/TrRoad_act!V36*1000
)</f>
        <v>210.91354337797495</v>
      </c>
      <c r="W60" s="87">
        <f>IF(TrRoad_act!W36=0,0,W23/TrRoad_act!W36*1000
)</f>
        <v>214.05057547118921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183.3972043217687</v>
      </c>
      <c r="K61" s="87">
        <f>IF(TrRoad_act!K37=0,0,K24/TrRoad_act!K37*1000
)</f>
        <v>185.72065338734259</v>
      </c>
      <c r="L61" s="87">
        <f>IF(TrRoad_act!L37=0,0,L24/TrRoad_act!L37*1000
)</f>
        <v>180.75294628320589</v>
      </c>
      <c r="M61" s="87">
        <f>IF(TrRoad_act!M37=0,0,M24/TrRoad_act!M37*1000
)</f>
        <v>181.49173697144931</v>
      </c>
      <c r="N61" s="87">
        <f>IF(TrRoad_act!N37=0,0,N24/TrRoad_act!N37*1000
)</f>
        <v>174.63013192133877</v>
      </c>
      <c r="O61" s="87">
        <f>IF(TrRoad_act!O37=0,0,O24/TrRoad_act!O37*1000
)</f>
        <v>162.62726369469911</v>
      </c>
      <c r="P61" s="87">
        <f>IF(TrRoad_act!P37=0,0,P24/TrRoad_act!P37*1000
)</f>
        <v>152.46012325709171</v>
      </c>
      <c r="Q61" s="87">
        <f>IF(TrRoad_act!Q37=0,0,Q24/TrRoad_act!Q37*1000
)</f>
        <v>141.82253647893268</v>
      </c>
      <c r="R61" s="87">
        <f>IF(TrRoad_act!R37=0,0,R24/TrRoad_act!R37*1000
)</f>
        <v>135.98781632183943</v>
      </c>
      <c r="S61" s="87">
        <f>IF(TrRoad_act!S37=0,0,S24/TrRoad_act!S37*1000
)</f>
        <v>134.27072339568599</v>
      </c>
      <c r="T61" s="87">
        <f>IF(TrRoad_act!T37=0,0,T24/TrRoad_act!T37*1000
)</f>
        <v>134.49053046326989</v>
      </c>
      <c r="U61" s="87">
        <f>IF(TrRoad_act!U37=0,0,U24/TrRoad_act!U37*1000
)</f>
        <v>133.76234399688286</v>
      </c>
      <c r="V61" s="87">
        <f>IF(TrRoad_act!V37=0,0,V24/TrRoad_act!V37*1000
)</f>
        <v>130.39329094133151</v>
      </c>
      <c r="W61" s="87">
        <f>IF(TrRoad_act!W37=0,0,W24/TrRoad_act!W37*1000
)</f>
        <v>105.96379543683666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47.047135715542417</v>
      </c>
      <c r="O62" s="87">
        <f>IF(TrRoad_act!O38=0,0,O25/TrRoad_act!O38*1000
)</f>
        <v>49.288907980430615</v>
      </c>
      <c r="P62" s="87">
        <f>IF(TrRoad_act!P38=0,0,P25/TrRoad_act!P38*1000
)</f>
        <v>35.120653351309564</v>
      </c>
      <c r="Q62" s="87">
        <f>IF(TrRoad_act!Q38=0,0,Q25/TrRoad_act!Q38*1000
)</f>
        <v>59.181559370529456</v>
      </c>
      <c r="R62" s="87">
        <f>IF(TrRoad_act!R38=0,0,R25/TrRoad_act!R38*1000
)</f>
        <v>49.532680093193044</v>
      </c>
      <c r="S62" s="87">
        <f>IF(TrRoad_act!S38=0,0,S25/TrRoad_act!S38*1000
)</f>
        <v>55.382231682186344</v>
      </c>
      <c r="T62" s="87">
        <f>IF(TrRoad_act!T38=0,0,T25/TrRoad_act!T38*1000
)</f>
        <v>53.457491043752889</v>
      </c>
      <c r="U62" s="87">
        <f>IF(TrRoad_act!U38=0,0,U25/TrRoad_act!U38*1000
)</f>
        <v>51.329187765546031</v>
      </c>
      <c r="V62" s="87">
        <f>IF(TrRoad_act!V38=0,0,V25/TrRoad_act!V38*1000
)</f>
        <v>46.040474596515367</v>
      </c>
      <c r="W62" s="87">
        <f>IF(TrRoad_act!W38=0,0,W25/TrRoad_act!W38*1000
)</f>
        <v>38.196651832309328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1530.0599165945782</v>
      </c>
      <c r="C64" s="116">
        <f>IF(TrRoad_act!C40=0,0,C27/TrRoad_act!C40*1000
)</f>
        <v>1533.391009807533</v>
      </c>
      <c r="D64" s="116">
        <f>IF(TrRoad_act!D40=0,0,D27/TrRoad_act!D40*1000
)</f>
        <v>1508.2776049340266</v>
      </c>
      <c r="E64" s="116">
        <f>IF(TrRoad_act!E40=0,0,E27/TrRoad_act!E40*1000
)</f>
        <v>1503.6017463397466</v>
      </c>
      <c r="F64" s="116">
        <f>IF(TrRoad_act!F40=0,0,F27/TrRoad_act!F40*1000
)</f>
        <v>1509.9889026966764</v>
      </c>
      <c r="G64" s="116">
        <f>IF(TrRoad_act!G40=0,0,G27/TrRoad_act!G40*1000
)</f>
        <v>1518.810273343749</v>
      </c>
      <c r="H64" s="116">
        <f>IF(TrRoad_act!H40=0,0,H27/TrRoad_act!H40*1000
)</f>
        <v>1527.0349976220059</v>
      </c>
      <c r="I64" s="116">
        <f>IF(TrRoad_act!I40=0,0,I27/TrRoad_act!I40*1000
)</f>
        <v>1512.7632244542053</v>
      </c>
      <c r="J64" s="116">
        <f>IF(TrRoad_act!J40=0,0,J27/TrRoad_act!J40*1000
)</f>
        <v>1495.6996438565584</v>
      </c>
      <c r="K64" s="116">
        <f>IF(TrRoad_act!K40=0,0,K27/TrRoad_act!K40*1000
)</f>
        <v>1475.2244728955793</v>
      </c>
      <c r="L64" s="116">
        <f>IF(TrRoad_act!L40=0,0,L27/TrRoad_act!L40*1000
)</f>
        <v>1466.593582146475</v>
      </c>
      <c r="M64" s="116">
        <f>IF(TrRoad_act!M40=0,0,M27/TrRoad_act!M40*1000
)</f>
        <v>1442.2836050987762</v>
      </c>
      <c r="N64" s="116">
        <f>IF(TrRoad_act!N40=0,0,N27/TrRoad_act!N40*1000
)</f>
        <v>1457.5498566785282</v>
      </c>
      <c r="O64" s="116">
        <f>IF(TrRoad_act!O40=0,0,O27/TrRoad_act!O40*1000
)</f>
        <v>1478.934075748148</v>
      </c>
      <c r="P64" s="116">
        <f>IF(TrRoad_act!P40=0,0,P27/TrRoad_act!P40*1000
)</f>
        <v>1543.9176456880314</v>
      </c>
      <c r="Q64" s="116">
        <f>IF(TrRoad_act!Q40=0,0,Q27/TrRoad_act!Q40*1000
)</f>
        <v>1573.7859230909903</v>
      </c>
      <c r="R64" s="116">
        <f>IF(TrRoad_act!R40=0,0,R27/TrRoad_act!R40*1000
)</f>
        <v>1573.9285359542021</v>
      </c>
      <c r="S64" s="116">
        <f>IF(TrRoad_act!S40=0,0,S27/TrRoad_act!S40*1000
)</f>
        <v>1563.7548118656809</v>
      </c>
      <c r="T64" s="116">
        <f>IF(TrRoad_act!T40=0,0,T27/TrRoad_act!T40*1000
)</f>
        <v>1568.6136740585807</v>
      </c>
      <c r="U64" s="116">
        <f>IF(TrRoad_act!U40=0,0,U27/TrRoad_act!U40*1000
)</f>
        <v>1583.3652000445366</v>
      </c>
      <c r="V64" s="116">
        <f>IF(TrRoad_act!V40=0,0,V27/TrRoad_act!V40*1000
)</f>
        <v>1610.5330364249548</v>
      </c>
      <c r="W64" s="116">
        <f>IF(TrRoad_act!W40=0,0,W27/TrRoad_act!W40*1000
)</f>
        <v>1674.6780975555544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593.07697422909519</v>
      </c>
      <c r="C65" s="101">
        <f>IF(TrRoad_act!C41=0,0,C28/TrRoad_act!C41*1000
)</f>
        <v>593.0769742290953</v>
      </c>
      <c r="D65" s="101">
        <f>IF(TrRoad_act!D41=0,0,D28/TrRoad_act!D41*1000
)</f>
        <v>593.0769742290953</v>
      </c>
      <c r="E65" s="101">
        <f>IF(TrRoad_act!E41=0,0,E28/TrRoad_act!E41*1000
)</f>
        <v>593.07697422909507</v>
      </c>
      <c r="F65" s="101">
        <f>IF(TrRoad_act!F41=0,0,F28/TrRoad_act!F41*1000
)</f>
        <v>593.0769742290953</v>
      </c>
      <c r="G65" s="101">
        <f>IF(TrRoad_act!G41=0,0,G28/TrRoad_act!G41*1000
)</f>
        <v>593.07697422909507</v>
      </c>
      <c r="H65" s="101">
        <f>IF(TrRoad_act!H41=0,0,H28/TrRoad_act!H41*1000
)</f>
        <v>592.71356167897227</v>
      </c>
      <c r="I65" s="101">
        <f>IF(TrRoad_act!I41=0,0,I28/TrRoad_act!I41*1000
)</f>
        <v>593.07697422909519</v>
      </c>
      <c r="J65" s="101">
        <f>IF(TrRoad_act!J41=0,0,J28/TrRoad_act!J41*1000
)</f>
        <v>583.45174022387698</v>
      </c>
      <c r="K65" s="101">
        <f>IF(TrRoad_act!K41=0,0,K28/TrRoad_act!K41*1000
)</f>
        <v>576.62618726922256</v>
      </c>
      <c r="L65" s="101">
        <f>IF(TrRoad_act!L41=0,0,L28/TrRoad_act!L41*1000
)</f>
        <v>575.2046765410139</v>
      </c>
      <c r="M65" s="101">
        <f>IF(TrRoad_act!M41=0,0,M28/TrRoad_act!M41*1000
)</f>
        <v>573.71180000629784</v>
      </c>
      <c r="N65" s="101">
        <f>IF(TrRoad_act!N41=0,0,N28/TrRoad_act!N41*1000
)</f>
        <v>573.84397449049277</v>
      </c>
      <c r="O65" s="101">
        <f>IF(TrRoad_act!O41=0,0,O28/TrRoad_act!O41*1000
)</f>
        <v>573.57101424505686</v>
      </c>
      <c r="P65" s="101">
        <f>IF(TrRoad_act!P41=0,0,P28/TrRoad_act!P41*1000
)</f>
        <v>569.05087113828256</v>
      </c>
      <c r="Q65" s="101">
        <f>IF(TrRoad_act!Q41=0,0,Q28/TrRoad_act!Q41*1000
)</f>
        <v>570.13351705622438</v>
      </c>
      <c r="R65" s="101">
        <f>IF(TrRoad_act!R41=0,0,R28/TrRoad_act!R41*1000
)</f>
        <v>575.85712799903717</v>
      </c>
      <c r="S65" s="101">
        <f>IF(TrRoad_act!S41=0,0,S28/TrRoad_act!S41*1000
)</f>
        <v>571.87480272409164</v>
      </c>
      <c r="T65" s="101">
        <f>IF(TrRoad_act!T41=0,0,T28/TrRoad_act!T41*1000
)</f>
        <v>571.2240888105058</v>
      </c>
      <c r="U65" s="101">
        <f>IF(TrRoad_act!U41=0,0,U28/TrRoad_act!U41*1000
)</f>
        <v>567.04865166495154</v>
      </c>
      <c r="V65" s="101">
        <f>IF(TrRoad_act!V41=0,0,V28/TrRoad_act!V41*1000
)</f>
        <v>567.44066667530035</v>
      </c>
      <c r="W65" s="101">
        <f>IF(TrRoad_act!W41=0,0,W28/TrRoad_act!W41*1000
)</f>
        <v>572.13243716312638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1680.3669002146391</v>
      </c>
      <c r="C66" s="101">
        <f>IF(TrRoad_act!C42=0,0,C29/TrRoad_act!C42*1000
)</f>
        <v>1669.3918254710359</v>
      </c>
      <c r="D66" s="101">
        <f>IF(TrRoad_act!D42=0,0,D29/TrRoad_act!D42*1000
)</f>
        <v>1652.4042184747516</v>
      </c>
      <c r="E66" s="101">
        <f>IF(TrRoad_act!E42=0,0,E29/TrRoad_act!E42*1000
)</f>
        <v>1649.816149366942</v>
      </c>
      <c r="F66" s="101">
        <f>IF(TrRoad_act!F42=0,0,F29/TrRoad_act!F42*1000
)</f>
        <v>1656.8165302037194</v>
      </c>
      <c r="G66" s="101">
        <f>IF(TrRoad_act!G42=0,0,G29/TrRoad_act!G42*1000
)</f>
        <v>1667.8227194847791</v>
      </c>
      <c r="H66" s="101">
        <f>IF(TrRoad_act!H42=0,0,H29/TrRoad_act!H42*1000
)</f>
        <v>1656.2597154872606</v>
      </c>
      <c r="I66" s="101">
        <f>IF(TrRoad_act!I42=0,0,I29/TrRoad_act!I42*1000
)</f>
        <v>1647.2107551371564</v>
      </c>
      <c r="J66" s="101">
        <f>IF(TrRoad_act!J42=0,0,J29/TrRoad_act!J42*1000
)</f>
        <v>1624.7664882580987</v>
      </c>
      <c r="K66" s="101">
        <f>IF(TrRoad_act!K42=0,0,K29/TrRoad_act!K42*1000
)</f>
        <v>1594.0139917428564</v>
      </c>
      <c r="L66" s="101">
        <f>IF(TrRoad_act!L42=0,0,L29/TrRoad_act!L42*1000
)</f>
        <v>1574.8743526547221</v>
      </c>
      <c r="M66" s="101">
        <f>IF(TrRoad_act!M42=0,0,M29/TrRoad_act!M42*1000
)</f>
        <v>1546.1062636726431</v>
      </c>
      <c r="N66" s="101">
        <f>IF(TrRoad_act!N42=0,0,N29/TrRoad_act!N42*1000
)</f>
        <v>1557.4078950060077</v>
      </c>
      <c r="O66" s="101">
        <f>IF(TrRoad_act!O42=0,0,O29/TrRoad_act!O42*1000
)</f>
        <v>1559.5151332170365</v>
      </c>
      <c r="P66" s="101">
        <f>IF(TrRoad_act!P42=0,0,P29/TrRoad_act!P42*1000
)</f>
        <v>1557.6859480925739</v>
      </c>
      <c r="Q66" s="101">
        <f>IF(TrRoad_act!Q42=0,0,Q29/TrRoad_act!Q42*1000
)</f>
        <v>1573.8509701729415</v>
      </c>
      <c r="R66" s="101">
        <f>IF(TrRoad_act!R42=0,0,R29/TrRoad_act!R42*1000
)</f>
        <v>1579.9586825777064</v>
      </c>
      <c r="S66" s="101">
        <f>IF(TrRoad_act!S42=0,0,S29/TrRoad_act!S42*1000
)</f>
        <v>1587.2263003201895</v>
      </c>
      <c r="T66" s="101">
        <f>IF(TrRoad_act!T42=0,0,T29/TrRoad_act!T42*1000
)</f>
        <v>1595.0827874652473</v>
      </c>
      <c r="U66" s="101">
        <f>IF(TrRoad_act!U42=0,0,U29/TrRoad_act!U42*1000
)</f>
        <v>1598.4892240821077</v>
      </c>
      <c r="V66" s="101">
        <f>IF(TrRoad_act!V42=0,0,V29/TrRoad_act!V42*1000
)</f>
        <v>1596.2022263177337</v>
      </c>
      <c r="W66" s="101">
        <f>IF(TrRoad_act!W42=0,0,W29/TrRoad_act!W42*1000
)</f>
        <v>1618.5356062828812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1234.225721824984</v>
      </c>
      <c r="W67" s="101">
        <f>IF(TrRoad_act!W43=0,0,W30/TrRoad_act!W43*1000
)</f>
        <v>1234.2257218249842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1080.5567149865674</v>
      </c>
      <c r="C68" s="101">
        <f>IF(TrRoad_act!C44=0,0,C31/TrRoad_act!C44*1000
)</f>
        <v>1064.3802482617427</v>
      </c>
      <c r="D68" s="101">
        <f>IF(TrRoad_act!D44=0,0,D31/TrRoad_act!D44*1000
)</f>
        <v>1046.1909062598365</v>
      </c>
      <c r="E68" s="101">
        <f>IF(TrRoad_act!E44=0,0,E31/TrRoad_act!E44*1000
)</f>
        <v>1035.3568470427692</v>
      </c>
      <c r="F68" s="101">
        <f>IF(TrRoad_act!F44=0,0,F31/TrRoad_act!F44*1000
)</f>
        <v>1256.9108577717745</v>
      </c>
      <c r="G68" s="101">
        <f>IF(TrRoad_act!G44=0,0,G31/TrRoad_act!G44*1000
)</f>
        <v>1087.6787988822823</v>
      </c>
      <c r="H68" s="101">
        <f>IF(TrRoad_act!H44=0,0,H31/TrRoad_act!H44*1000
)</f>
        <v>1583.2417113257586</v>
      </c>
      <c r="I68" s="101">
        <f>IF(TrRoad_act!I44=0,0,I31/TrRoad_act!I44*1000
)</f>
        <v>1016.6188948465762</v>
      </c>
      <c r="J68" s="101">
        <f>IF(TrRoad_act!J44=0,0,J31/TrRoad_act!J44*1000
)</f>
        <v>1033.6890638760028</v>
      </c>
      <c r="K68" s="101">
        <f>IF(TrRoad_act!K44=0,0,K31/TrRoad_act!K44*1000
)</f>
        <v>1200.1106046729592</v>
      </c>
      <c r="L68" s="101">
        <f>IF(TrRoad_act!L44=0,0,L31/TrRoad_act!L44*1000
)</f>
        <v>1576.40108465963</v>
      </c>
      <c r="M68" s="101">
        <f>IF(TrRoad_act!M44=0,0,M31/TrRoad_act!M44*1000
)</f>
        <v>1762.2928405335895</v>
      </c>
      <c r="N68" s="101">
        <f>IF(TrRoad_act!N44=0,0,N31/TrRoad_act!N44*1000
)</f>
        <v>2036.1991634454735</v>
      </c>
      <c r="O68" s="101">
        <f>IF(TrRoad_act!O44=0,0,O31/TrRoad_act!O44*1000
)</f>
        <v>2087.3998600287455</v>
      </c>
      <c r="P68" s="101">
        <f>IF(TrRoad_act!P44=0,0,P31/TrRoad_act!P44*1000
)</f>
        <v>3502.8028872137684</v>
      </c>
      <c r="Q68" s="101">
        <f>IF(TrRoad_act!Q44=0,0,Q31/TrRoad_act!Q44*1000
)</f>
        <v>3239.704727038154</v>
      </c>
      <c r="R68" s="101">
        <f>IF(TrRoad_act!R44=0,0,R31/TrRoad_act!R44*1000
)</f>
        <v>2462.9940839220044</v>
      </c>
      <c r="S68" s="101">
        <f>IF(TrRoad_act!S44=0,0,S31/TrRoad_act!S44*1000
)</f>
        <v>1907.4770351843438</v>
      </c>
      <c r="T68" s="101">
        <f>IF(TrRoad_act!T44=0,0,T31/TrRoad_act!T44*1000
)</f>
        <v>1810.3718485848856</v>
      </c>
      <c r="U68" s="101">
        <f>IF(TrRoad_act!U44=0,0,U31/TrRoad_act!U44*1000
)</f>
        <v>1885.9125837000809</v>
      </c>
      <c r="V68" s="101">
        <f>IF(TrRoad_act!V44=0,0,V31/TrRoad_act!V44*1000
)</f>
        <v>2190.4356614306721</v>
      </c>
      <c r="W68" s="101">
        <f>IF(TrRoad_act!W44=0,0,W31/TrRoad_act!W44*1000
)</f>
        <v>2712.7793917291856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788.08499034110309</v>
      </c>
      <c r="C70" s="29">
        <f>IF(TrRoad_act!C46=0,0,C33/TrRoad_act!C46*1000
)</f>
        <v>732.58158386890568</v>
      </c>
      <c r="D70" s="29">
        <f>IF(TrRoad_act!D46=0,0,D33/TrRoad_act!D46*1000
)</f>
        <v>720.40538780971963</v>
      </c>
      <c r="E70" s="29">
        <f>IF(TrRoad_act!E46=0,0,E33/TrRoad_act!E46*1000
)</f>
        <v>765.58342373784797</v>
      </c>
      <c r="F70" s="29">
        <f>IF(TrRoad_act!F46=0,0,F33/TrRoad_act!F46*1000
)</f>
        <v>760.11700716359337</v>
      </c>
      <c r="G70" s="29">
        <f>IF(TrRoad_act!G46=0,0,G33/TrRoad_act!G46*1000
)</f>
        <v>789.54460734676979</v>
      </c>
      <c r="H70" s="29">
        <f>IF(TrRoad_act!H46=0,0,H33/TrRoad_act!H46*1000
)</f>
        <v>805.83732785987377</v>
      </c>
      <c r="I70" s="29">
        <f>IF(TrRoad_act!I46=0,0,I33/TrRoad_act!I46*1000
)</f>
        <v>802.41989616270473</v>
      </c>
      <c r="J70" s="29">
        <f>IF(TrRoad_act!J46=0,0,J33/TrRoad_act!J46*1000
)</f>
        <v>733.66188964177752</v>
      </c>
      <c r="K70" s="29">
        <f>IF(TrRoad_act!K46=0,0,K33/TrRoad_act!K46*1000
)</f>
        <v>705.25330344999361</v>
      </c>
      <c r="L70" s="29">
        <f>IF(TrRoad_act!L46=0,0,L33/TrRoad_act!L46*1000
)</f>
        <v>658.111359924314</v>
      </c>
      <c r="M70" s="29">
        <f>IF(TrRoad_act!M46=0,0,M33/TrRoad_act!M46*1000
)</f>
        <v>630.76057508663962</v>
      </c>
      <c r="N70" s="29">
        <f>IF(TrRoad_act!N46=0,0,N33/TrRoad_act!N46*1000
)</f>
        <v>618.86544543495427</v>
      </c>
      <c r="O70" s="29">
        <f>IF(TrRoad_act!O46=0,0,O33/TrRoad_act!O46*1000
)</f>
        <v>568.27754515955166</v>
      </c>
      <c r="P70" s="29">
        <f>IF(TrRoad_act!P46=0,0,P33/TrRoad_act!P46*1000
)</f>
        <v>547.79698911960429</v>
      </c>
      <c r="Q70" s="29">
        <f>IF(TrRoad_act!Q46=0,0,Q33/TrRoad_act!Q46*1000
)</f>
        <v>541.10506342614019</v>
      </c>
      <c r="R70" s="29">
        <f>IF(TrRoad_act!R46=0,0,R33/TrRoad_act!R46*1000
)</f>
        <v>605.54283509740935</v>
      </c>
      <c r="S70" s="29">
        <f>IF(TrRoad_act!S46=0,0,S33/TrRoad_act!S46*1000
)</f>
        <v>616.20814207218893</v>
      </c>
      <c r="T70" s="29">
        <f>IF(TrRoad_act!T46=0,0,T33/TrRoad_act!T46*1000
)</f>
        <v>611.99935665194687</v>
      </c>
      <c r="U70" s="29">
        <f>IF(TrRoad_act!U46=0,0,U33/TrRoad_act!U46*1000
)</f>
        <v>602.61777603751625</v>
      </c>
      <c r="V70" s="29">
        <f>IF(TrRoad_act!V46=0,0,V33/TrRoad_act!V46*1000
)</f>
        <v>545.7049617205937</v>
      </c>
      <c r="W70" s="29">
        <f>IF(TrRoad_act!W46=0,0,W33/TrRoad_act!W46*1000
)</f>
        <v>553.2413746274176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342.24068102855023</v>
      </c>
      <c r="C71" s="152">
        <f>IF(TrRoad_act!C47=0,0,C34/TrRoad_act!C47*1000
)</f>
        <v>318.74038882095749</v>
      </c>
      <c r="D71" s="152">
        <f>IF(TrRoad_act!D47=0,0,D34/TrRoad_act!D47*1000
)</f>
        <v>308.09567759289968</v>
      </c>
      <c r="E71" s="152">
        <f>IF(TrRoad_act!E47=0,0,E34/TrRoad_act!E47*1000
)</f>
        <v>303.13663710373652</v>
      </c>
      <c r="F71" s="152">
        <f>IF(TrRoad_act!F47=0,0,F34/TrRoad_act!F47*1000
)</f>
        <v>300.95811048008551</v>
      </c>
      <c r="G71" s="152">
        <f>IF(TrRoad_act!G47=0,0,G34/TrRoad_act!G47*1000
)</f>
        <v>299.70966681336989</v>
      </c>
      <c r="H71" s="152">
        <f>IF(TrRoad_act!H47=0,0,H34/TrRoad_act!H47*1000
)</f>
        <v>295.96737372943448</v>
      </c>
      <c r="I71" s="152">
        <f>IF(TrRoad_act!I47=0,0,I34/TrRoad_act!I47*1000
)</f>
        <v>293.52195546723135</v>
      </c>
      <c r="J71" s="152">
        <f>IF(TrRoad_act!J47=0,0,J34/TrRoad_act!J47*1000
)</f>
        <v>289.75394968774879</v>
      </c>
      <c r="K71" s="152">
        <f>IF(TrRoad_act!K47=0,0,K34/TrRoad_act!K47*1000
)</f>
        <v>284.26986481405424</v>
      </c>
      <c r="L71" s="152">
        <f>IF(TrRoad_act!L47=0,0,L34/TrRoad_act!L47*1000
)</f>
        <v>281.54336622161924</v>
      </c>
      <c r="M71" s="152">
        <f>IF(TrRoad_act!M47=0,0,M34/TrRoad_act!M47*1000
)</f>
        <v>278.00061095189932</v>
      </c>
      <c r="N71" s="152">
        <f>IF(TrRoad_act!N47=0,0,N34/TrRoad_act!N47*1000
)</f>
        <v>279.82734107305242</v>
      </c>
      <c r="O71" s="152">
        <f>IF(TrRoad_act!O47=0,0,O34/TrRoad_act!O47*1000
)</f>
        <v>279.77296048787667</v>
      </c>
      <c r="P71" s="152">
        <f>IF(TrRoad_act!P47=0,0,P34/TrRoad_act!P47*1000
)</f>
        <v>278.86136511033715</v>
      </c>
      <c r="Q71" s="152">
        <f>IF(TrRoad_act!Q47=0,0,Q34/TrRoad_act!Q47*1000
)</f>
        <v>280.46560498142532</v>
      </c>
      <c r="R71" s="152">
        <f>IF(TrRoad_act!R47=0,0,R34/TrRoad_act!R47*1000
)</f>
        <v>280.83117576205507</v>
      </c>
      <c r="S71" s="152">
        <f>IF(TrRoad_act!S47=0,0,S34/TrRoad_act!S47*1000
)</f>
        <v>280.13682843486566</v>
      </c>
      <c r="T71" s="152">
        <f>IF(TrRoad_act!T47=0,0,T34/TrRoad_act!T47*1000
)</f>
        <v>279.33247967546572</v>
      </c>
      <c r="U71" s="152">
        <f>IF(TrRoad_act!U47=0,0,U34/TrRoad_act!U47*1000
)</f>
        <v>276.96528450531054</v>
      </c>
      <c r="V71" s="152">
        <f>IF(TrRoad_act!V47=0,0,V34/TrRoad_act!V47*1000
)</f>
        <v>273.85830506544551</v>
      </c>
      <c r="W71" s="152">
        <f>IF(TrRoad_act!W47=0,0,W34/TrRoad_act!W47*1000
)</f>
        <v>274.27806887241576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272.02036409564812</v>
      </c>
      <c r="C72" s="87">
        <f>IF(TrRoad_act!C48=0,0,C35/TrRoad_act!C48*1000
)</f>
        <v>263.93215156210977</v>
      </c>
      <c r="D72" s="87">
        <f>IF(TrRoad_act!D48=0,0,D35/TrRoad_act!D48*1000
)</f>
        <v>259.9136058499372</v>
      </c>
      <c r="E72" s="87">
        <f>IF(TrRoad_act!E48=0,0,E35/TrRoad_act!E48*1000
)</f>
        <v>258.37332472181907</v>
      </c>
      <c r="F72" s="87">
        <f>IF(TrRoad_act!F48=0,0,F35/TrRoad_act!F48*1000
)</f>
        <v>255.96095743526504</v>
      </c>
      <c r="G72" s="87">
        <f>IF(TrRoad_act!G48=0,0,G35/TrRoad_act!G48*1000
)</f>
        <v>252.93964857583677</v>
      </c>
      <c r="H72" s="87">
        <f>IF(TrRoad_act!H48=0,0,H35/TrRoad_act!H48*1000
)</f>
        <v>249.65237159625863</v>
      </c>
      <c r="I72" s="87">
        <f>IF(TrRoad_act!I48=0,0,I35/TrRoad_act!I48*1000
)</f>
        <v>247.54636459028461</v>
      </c>
      <c r="J72" s="87">
        <f>IF(TrRoad_act!J48=0,0,J35/TrRoad_act!J48*1000
)</f>
        <v>241.70904905874445</v>
      </c>
      <c r="K72" s="87">
        <f>IF(TrRoad_act!K48=0,0,K35/TrRoad_act!K48*1000
)</f>
        <v>237.92449130700336</v>
      </c>
      <c r="L72" s="87">
        <f>IF(TrRoad_act!L48=0,0,L35/TrRoad_act!L48*1000
)</f>
        <v>236.49426397776736</v>
      </c>
      <c r="M72" s="87">
        <f>IF(TrRoad_act!M48=0,0,M35/TrRoad_act!M48*1000
)</f>
        <v>235.54740821079741</v>
      </c>
      <c r="N72" s="87">
        <f>IF(TrRoad_act!N48=0,0,N35/TrRoad_act!N48*1000
)</f>
        <v>235.55173442871995</v>
      </c>
      <c r="O72" s="87">
        <f>IF(TrRoad_act!O48=0,0,O35/TrRoad_act!O48*1000
)</f>
        <v>235.88980729313272</v>
      </c>
      <c r="P72" s="87">
        <f>IF(TrRoad_act!P48=0,0,P35/TrRoad_act!P48*1000
)</f>
        <v>233.46480372299413</v>
      </c>
      <c r="Q72" s="87">
        <f>IF(TrRoad_act!Q48=0,0,Q35/TrRoad_act!Q48*1000
)</f>
        <v>232.56527701630878</v>
      </c>
      <c r="R72" s="87">
        <f>IF(TrRoad_act!R48=0,0,R35/TrRoad_act!R48*1000
)</f>
        <v>233.74798992932671</v>
      </c>
      <c r="S72" s="87">
        <f>IF(TrRoad_act!S48=0,0,S35/TrRoad_act!S48*1000
)</f>
        <v>230.72544988437087</v>
      </c>
      <c r="T72" s="87">
        <f>IF(TrRoad_act!T48=0,0,T35/TrRoad_act!T48*1000
)</f>
        <v>229.37150448928656</v>
      </c>
      <c r="U72" s="87">
        <f>IF(TrRoad_act!U48=0,0,U35/TrRoad_act!U48*1000
)</f>
        <v>226.56963806722348</v>
      </c>
      <c r="V72" s="87">
        <f>IF(TrRoad_act!V48=0,0,V35/TrRoad_act!V48*1000
)</f>
        <v>226.170213862189</v>
      </c>
      <c r="W72" s="87">
        <f>IF(TrRoad_act!W48=0,0,W35/TrRoad_act!W48*1000
)</f>
        <v>226.02824351167132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353.04025565217341</v>
      </c>
      <c r="C73" s="87">
        <f>IF(TrRoad_act!C49=0,0,C36/TrRoad_act!C49*1000
)</f>
        <v>324.67771710443566</v>
      </c>
      <c r="D73" s="87">
        <f>IF(TrRoad_act!D49=0,0,D36/TrRoad_act!D49*1000
)</f>
        <v>313.06493487952901</v>
      </c>
      <c r="E73" s="87">
        <f>IF(TrRoad_act!E49=0,0,E36/TrRoad_act!E49*1000
)</f>
        <v>306.72371333704325</v>
      </c>
      <c r="F73" s="87">
        <f>IF(TrRoad_act!F49=0,0,F36/TrRoad_act!F49*1000
)</f>
        <v>304.64765117525315</v>
      </c>
      <c r="G73" s="87">
        <f>IF(TrRoad_act!G49=0,0,G36/TrRoad_act!G49*1000
)</f>
        <v>304.07154403946242</v>
      </c>
      <c r="H73" s="87">
        <f>IF(TrRoad_act!H49=0,0,H36/TrRoad_act!H49*1000
)</f>
        <v>301.0421508955701</v>
      </c>
      <c r="I73" s="87">
        <f>IF(TrRoad_act!I49=0,0,I36/TrRoad_act!I49*1000
)</f>
        <v>299.06546144420014</v>
      </c>
      <c r="J73" s="87">
        <f>IF(TrRoad_act!J49=0,0,J36/TrRoad_act!J49*1000
)</f>
        <v>295.67348628901948</v>
      </c>
      <c r="K73" s="87">
        <f>IF(TrRoad_act!K49=0,0,K36/TrRoad_act!K49*1000
)</f>
        <v>289.64935261555206</v>
      </c>
      <c r="L73" s="87">
        <f>IF(TrRoad_act!L49=0,0,L36/TrRoad_act!L49*1000
)</f>
        <v>286.42806099717808</v>
      </c>
      <c r="M73" s="87">
        <f>IF(TrRoad_act!M49=0,0,M36/TrRoad_act!M49*1000
)</f>
        <v>282.30921177563943</v>
      </c>
      <c r="N73" s="87">
        <f>IF(TrRoad_act!N49=0,0,N36/TrRoad_act!N49*1000
)</f>
        <v>284.05267579215513</v>
      </c>
      <c r="O73" s="87">
        <f>IF(TrRoad_act!O49=0,0,O36/TrRoad_act!O49*1000
)</f>
        <v>283.75383660516593</v>
      </c>
      <c r="P73" s="87">
        <f>IF(TrRoad_act!P49=0,0,P36/TrRoad_act!P49*1000
)</f>
        <v>282.62478298178337</v>
      </c>
      <c r="Q73" s="87">
        <f>IF(TrRoad_act!Q49=0,0,Q36/TrRoad_act!Q49*1000
)</f>
        <v>284.89670046829042</v>
      </c>
      <c r="R73" s="87">
        <f>IF(TrRoad_act!R49=0,0,R36/TrRoad_act!R49*1000
)</f>
        <v>285.94289818335534</v>
      </c>
      <c r="S73" s="87">
        <f>IF(TrRoad_act!S49=0,0,S36/TrRoad_act!S49*1000
)</f>
        <v>285.86093706702741</v>
      </c>
      <c r="T73" s="87">
        <f>IF(TrRoad_act!T49=0,0,T36/TrRoad_act!T49*1000
)</f>
        <v>285.57790718850413</v>
      </c>
      <c r="U73" s="87">
        <f>IF(TrRoad_act!U49=0,0,U36/TrRoad_act!U49*1000
)</f>
        <v>283.69692314900004</v>
      </c>
      <c r="V73" s="87">
        <f>IF(TrRoad_act!V49=0,0,V36/TrRoad_act!V49*1000
)</f>
        <v>280.60936608862818</v>
      </c>
      <c r="W73" s="87">
        <f>IF(TrRoad_act!W49=0,0,W36/TrRoad_act!W49*1000
)</f>
        <v>283.00900555156852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558.23792647624578</v>
      </c>
      <c r="C74" s="87">
        <f>IF(TrRoad_act!C50=0,0,C37/TrRoad_act!C50*1000
)</f>
        <v>551.07413053253072</v>
      </c>
      <c r="D74" s="87">
        <f>IF(TrRoad_act!D50=0,0,D37/TrRoad_act!D50*1000
)</f>
        <v>534.04642232653271</v>
      </c>
      <c r="E74" s="87">
        <f>IF(TrRoad_act!E50=0,0,E37/TrRoad_act!E50*1000
)</f>
        <v>516.14003079557881</v>
      </c>
      <c r="F74" s="87">
        <f>IF(TrRoad_act!F50=0,0,F37/TrRoad_act!F50*1000
)</f>
        <v>493.16516103217049</v>
      </c>
      <c r="G74" s="87">
        <f>IF(TrRoad_act!G50=0,0,G37/TrRoad_act!G50*1000
)</f>
        <v>473.34901152542119</v>
      </c>
      <c r="H74" s="87">
        <f>IF(TrRoad_act!H50=0,0,H37/TrRoad_act!H50*1000
)</f>
        <v>449.32500848903533</v>
      </c>
      <c r="I74" s="87">
        <f>IF(TrRoad_act!I50=0,0,I37/TrRoad_act!I50*1000
)</f>
        <v>428.7113390429148</v>
      </c>
      <c r="J74" s="87">
        <f>IF(TrRoad_act!J50=0,0,J37/TrRoad_act!J50*1000
)</f>
        <v>418.52784068320614</v>
      </c>
      <c r="K74" s="87">
        <f>IF(TrRoad_act!K50=0,0,K37/TrRoad_act!K50*1000
)</f>
        <v>404.92146329637671</v>
      </c>
      <c r="L74" s="87">
        <f>IF(TrRoad_act!L50=0,0,L37/TrRoad_act!L50*1000
)</f>
        <v>395.70473312846349</v>
      </c>
      <c r="M74" s="87">
        <f>IF(TrRoad_act!M50=0,0,M37/TrRoad_act!M50*1000
)</f>
        <v>386.02205574398351</v>
      </c>
      <c r="N74" s="87">
        <f>IF(TrRoad_act!N50=0,0,N37/TrRoad_act!N50*1000
)</f>
        <v>380.70532649013944</v>
      </c>
      <c r="O74" s="87">
        <f>IF(TrRoad_act!O50=0,0,O37/TrRoad_act!O50*1000
)</f>
        <v>380.00661404176054</v>
      </c>
      <c r="P74" s="87">
        <f>IF(TrRoad_act!P50=0,0,P37/TrRoad_act!P50*1000
)</f>
        <v>380.94540906909452</v>
      </c>
      <c r="Q74" s="87">
        <f>IF(TrRoad_act!Q50=0,0,Q37/TrRoad_act!Q50*1000
)</f>
        <v>379.42957273977669</v>
      </c>
      <c r="R74" s="87">
        <f>IF(TrRoad_act!R50=0,0,R37/TrRoad_act!R50*1000
)</f>
        <v>380.62970431743634</v>
      </c>
      <c r="S74" s="87">
        <f>IF(TrRoad_act!S50=0,0,S37/TrRoad_act!S50*1000
)</f>
        <v>377.85295987049773</v>
      </c>
      <c r="T74" s="87">
        <f>IF(TrRoad_act!T50=0,0,T37/TrRoad_act!T50*1000
)</f>
        <v>373.49401892504653</v>
      </c>
      <c r="U74" s="87">
        <f>IF(TrRoad_act!U50=0,0,U37/TrRoad_act!U50*1000
)</f>
        <v>372.78550367294321</v>
      </c>
      <c r="V74" s="87">
        <f>IF(TrRoad_act!V50=0,0,V37/TrRoad_act!V50*1000
)</f>
        <v>373.17427259276417</v>
      </c>
      <c r="W74" s="87">
        <f>IF(TrRoad_act!W50=0,0,W37/TrRoad_act!W50*1000
)</f>
        <v>373.20380333919996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293.2245275421792</v>
      </c>
      <c r="O75" s="87">
        <f>IF(TrRoad_act!O51=0,0,O38/TrRoad_act!O51*1000
)</f>
        <v>282.52941295567314</v>
      </c>
      <c r="P75" s="87">
        <f>IF(TrRoad_act!P51=0,0,P38/TrRoad_act!P51*1000
)</f>
        <v>269.5668559024931</v>
      </c>
      <c r="Q75" s="87">
        <f>IF(TrRoad_act!Q51=0,0,Q38/TrRoad_act!Q51*1000
)</f>
        <v>232.33695982379578</v>
      </c>
      <c r="R75" s="87">
        <f>IF(TrRoad_act!R51=0,0,R38/TrRoad_act!R51*1000
)</f>
        <v>258.87602739457293</v>
      </c>
      <c r="S75" s="87">
        <f>IF(TrRoad_act!S51=0,0,S38/TrRoad_act!S51*1000
)</f>
        <v>249.94518480642009</v>
      </c>
      <c r="T75" s="87">
        <f>IF(TrRoad_act!T51=0,0,T38/TrRoad_act!T51*1000
)</f>
        <v>241.67871274546803</v>
      </c>
      <c r="U75" s="87">
        <f>IF(TrRoad_act!U51=0,0,U38/TrRoad_act!U51*1000
)</f>
        <v>237.00422400237414</v>
      </c>
      <c r="V75" s="87">
        <f>IF(TrRoad_act!V51=0,0,V38/TrRoad_act!V51*1000
)</f>
        <v>231.28459154465315</v>
      </c>
      <c r="W75" s="87">
        <f>IF(TrRoad_act!W51=0,0,W38/TrRoad_act!W51*1000
)</f>
        <v>191.68237124337404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1058.5247101771652</v>
      </c>
      <c r="C77" s="116">
        <f>IF(TrRoad_act!C53=0,0,C40/TrRoad_act!C53*1000
)</f>
        <v>993.08063482755131</v>
      </c>
      <c r="D77" s="116">
        <f>IF(TrRoad_act!D53=0,0,D40/TrRoad_act!D53*1000
)</f>
        <v>997.15120693433016</v>
      </c>
      <c r="E77" s="116">
        <f>IF(TrRoad_act!E53=0,0,E40/TrRoad_act!E53*1000
)</f>
        <v>1087.2109569678612</v>
      </c>
      <c r="F77" s="116">
        <f>IF(TrRoad_act!F53=0,0,F40/TrRoad_act!F53*1000
)</f>
        <v>1095.7673072237831</v>
      </c>
      <c r="G77" s="116">
        <f>IF(TrRoad_act!G53=0,0,G40/TrRoad_act!G53*1000
)</f>
        <v>1173.3199390784669</v>
      </c>
      <c r="H77" s="116">
        <f>IF(TrRoad_act!H53=0,0,H40/TrRoad_act!H53*1000
)</f>
        <v>1278.0014490708143</v>
      </c>
      <c r="I77" s="116">
        <f>IF(TrRoad_act!I53=0,0,I40/TrRoad_act!I53*1000
)</f>
        <v>1343.5712130038939</v>
      </c>
      <c r="J77" s="116">
        <f>IF(TrRoad_act!J53=0,0,J40/TrRoad_act!J53*1000
)</f>
        <v>1328.4644268643119</v>
      </c>
      <c r="K77" s="116">
        <f>IF(TrRoad_act!K53=0,0,K40/TrRoad_act!K53*1000
)</f>
        <v>1372.2125031832079</v>
      </c>
      <c r="L77" s="116">
        <f>IF(TrRoad_act!L53=0,0,L40/TrRoad_act!L53*1000
)</f>
        <v>1281.9125387192537</v>
      </c>
      <c r="M77" s="116">
        <f>IF(TrRoad_act!M53=0,0,M40/TrRoad_act!M53*1000
)</f>
        <v>1216.9893848378063</v>
      </c>
      <c r="N77" s="116">
        <f>IF(TrRoad_act!N53=0,0,N40/TrRoad_act!N53*1000
)</f>
        <v>1208.647432163734</v>
      </c>
      <c r="O77" s="116">
        <f>IF(TrRoad_act!O53=0,0,O40/TrRoad_act!O53*1000
)</f>
        <v>1058.3554382706786</v>
      </c>
      <c r="P77" s="116">
        <f>IF(TrRoad_act!P53=0,0,P40/TrRoad_act!P53*1000
)</f>
        <v>1032.8094361943931</v>
      </c>
      <c r="Q77" s="116">
        <f>IF(TrRoad_act!Q53=0,0,Q40/TrRoad_act!Q53*1000
)</f>
        <v>987.16633410309203</v>
      </c>
      <c r="R77" s="116">
        <f>IF(TrRoad_act!R53=0,0,R40/TrRoad_act!R53*1000
)</f>
        <v>1074.2387098709262</v>
      </c>
      <c r="S77" s="116">
        <f>IF(TrRoad_act!S53=0,0,S40/TrRoad_act!S53*1000
)</f>
        <v>1095.3032813956925</v>
      </c>
      <c r="T77" s="116">
        <f>IF(TrRoad_act!T53=0,0,T40/TrRoad_act!T53*1000
)</f>
        <v>1089.3732688047423</v>
      </c>
      <c r="U77" s="116">
        <f>IF(TrRoad_act!U53=0,0,U40/TrRoad_act!U53*1000
)</f>
        <v>1063.2453529004688</v>
      </c>
      <c r="V77" s="116">
        <f>IF(TrRoad_act!V53=0,0,V40/TrRoad_act!V53*1000
)</f>
        <v>882.84696680858428</v>
      </c>
      <c r="W77" s="116">
        <f>IF(TrRoad_act!W53=0,0,W40/TrRoad_act!W53*1000
)</f>
        <v>878.97712632476998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946.49840906761654</v>
      </c>
      <c r="C78" s="101">
        <f>IF(TrRoad_act!C54=0,0,C41/TrRoad_act!C54*1000
)</f>
        <v>948.91501620000372</v>
      </c>
      <c r="D78" s="101">
        <f>IF(TrRoad_act!D54=0,0,D41/TrRoad_act!D54*1000
)</f>
        <v>941.7514483830214</v>
      </c>
      <c r="E78" s="101">
        <f>IF(TrRoad_act!E54=0,0,E41/TrRoad_act!E54*1000
)</f>
        <v>954.81232140123745</v>
      </c>
      <c r="F78" s="101">
        <f>IF(TrRoad_act!F54=0,0,F41/TrRoad_act!F54*1000
)</f>
        <v>965.67267576303811</v>
      </c>
      <c r="G78" s="101">
        <f>IF(TrRoad_act!G54=0,0,G41/TrRoad_act!G54*1000
)</f>
        <v>980.18998582989934</v>
      </c>
      <c r="H78" s="101">
        <f>IF(TrRoad_act!H54=0,0,H41/TrRoad_act!H54*1000
)</f>
        <v>982.09536886646993</v>
      </c>
      <c r="I78" s="101">
        <f>IF(TrRoad_act!I54=0,0,I41/TrRoad_act!I54*1000
)</f>
        <v>981.2199421350615</v>
      </c>
      <c r="J78" s="101">
        <f>IF(TrRoad_act!J54=0,0,J41/TrRoad_act!J54*1000
)</f>
        <v>965.98449844454956</v>
      </c>
      <c r="K78" s="101">
        <f>IF(TrRoad_act!K54=0,0,K41/TrRoad_act!K54*1000
)</f>
        <v>952.99631312881695</v>
      </c>
      <c r="L78" s="101">
        <f>IF(TrRoad_act!L54=0,0,L41/TrRoad_act!L54*1000
)</f>
        <v>929.97058974730601</v>
      </c>
      <c r="M78" s="101">
        <f>IF(TrRoad_act!M54=0,0,M41/TrRoad_act!M54*1000
)</f>
        <v>904.31577184656373</v>
      </c>
      <c r="N78" s="101">
        <f>IF(TrRoad_act!N54=0,0,N41/TrRoad_act!N54*1000
)</f>
        <v>903.58663541676515</v>
      </c>
      <c r="O78" s="101">
        <f>IF(TrRoad_act!O54=0,0,O41/TrRoad_act!O54*1000
)</f>
        <v>884.30783469648406</v>
      </c>
      <c r="P78" s="101">
        <f>IF(TrRoad_act!P54=0,0,P41/TrRoad_act!P54*1000
)</f>
        <v>877.19110279501137</v>
      </c>
      <c r="Q78" s="101">
        <f>IF(TrRoad_act!Q54=0,0,Q41/TrRoad_act!Q54*1000
)</f>
        <v>875.14603475854017</v>
      </c>
      <c r="R78" s="101">
        <f>IF(TrRoad_act!R54=0,0,R41/TrRoad_act!R54*1000
)</f>
        <v>880.61050956027702</v>
      </c>
      <c r="S78" s="101">
        <f>IF(TrRoad_act!S54=0,0,S41/TrRoad_act!S54*1000
)</f>
        <v>882.02232916201137</v>
      </c>
      <c r="T78" s="101">
        <f>IF(TrRoad_act!T54=0,0,T41/TrRoad_act!T54*1000
)</f>
        <v>882.11796935750613</v>
      </c>
      <c r="U78" s="101">
        <f>IF(TrRoad_act!U54=0,0,U41/TrRoad_act!U54*1000
)</f>
        <v>873.51055848567796</v>
      </c>
      <c r="V78" s="101">
        <f>IF(TrRoad_act!V54=0,0,V41/TrRoad_act!V54*1000
)</f>
        <v>844.37059585553391</v>
      </c>
      <c r="W78" s="101">
        <f>IF(TrRoad_act!W54=0,0,W41/TrRoad_act!W54*1000
)</f>
        <v>851.22428267070086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1253.0416177808859</v>
      </c>
      <c r="C79" s="88">
        <f>IF(TrRoad_act!C55=0,0,C42/TrRoad_act!C55*1000
)</f>
        <v>1076.2056418991938</v>
      </c>
      <c r="D79" s="88">
        <f>IF(TrRoad_act!D55=0,0,D42/TrRoad_act!D55*1000
)</f>
        <v>1110.4356990704889</v>
      </c>
      <c r="E79" s="88">
        <f>IF(TrRoad_act!E55=0,0,E42/TrRoad_act!E55*1000
)</f>
        <v>1400.3805406608083</v>
      </c>
      <c r="F79" s="88">
        <f>IF(TrRoad_act!F55=0,0,F42/TrRoad_act!F55*1000
)</f>
        <v>1378.9655482573837</v>
      </c>
      <c r="G79" s="88">
        <f>IF(TrRoad_act!G55=0,0,G42/TrRoad_act!G55*1000
)</f>
        <v>1645.6813964467858</v>
      </c>
      <c r="H79" s="88">
        <f>IF(TrRoad_act!H55=0,0,H42/TrRoad_act!H55*1000
)</f>
        <v>1945.6353469869005</v>
      </c>
      <c r="I79" s="88">
        <f>IF(TrRoad_act!I55=0,0,I42/TrRoad_act!I55*1000
)</f>
        <v>2125.9770579294564</v>
      </c>
      <c r="J79" s="88">
        <f>IF(TrRoad_act!J55=0,0,J42/TrRoad_act!J55*1000
)</f>
        <v>2126.3172516244854</v>
      </c>
      <c r="K79" s="88">
        <f>IF(TrRoad_act!K55=0,0,K42/TrRoad_act!K55*1000
)</f>
        <v>2181.0382031955305</v>
      </c>
      <c r="L79" s="88">
        <f>IF(TrRoad_act!L55=0,0,L42/TrRoad_act!L55*1000
)</f>
        <v>1915.176878007499</v>
      </c>
      <c r="M79" s="88">
        <f>IF(TrRoad_act!M55=0,0,M42/TrRoad_act!M55*1000
)</f>
        <v>1743.5681842136976</v>
      </c>
      <c r="N79" s="88">
        <f>IF(TrRoad_act!N55=0,0,N42/TrRoad_act!N55*1000
)</f>
        <v>1700.487410936167</v>
      </c>
      <c r="O79" s="88">
        <f>IF(TrRoad_act!O55=0,0,O42/TrRoad_act!O55*1000
)</f>
        <v>1322.2898364736484</v>
      </c>
      <c r="P79" s="88">
        <f>IF(TrRoad_act!P55=0,0,P42/TrRoad_act!P55*1000
)</f>
        <v>1286.9999726844703</v>
      </c>
      <c r="Q79" s="88">
        <f>IF(TrRoad_act!Q55=0,0,Q42/TrRoad_act!Q55*1000
)</f>
        <v>1191.3688793724673</v>
      </c>
      <c r="R79" s="88">
        <f>IF(TrRoad_act!R55=0,0,R42/TrRoad_act!R55*1000
)</f>
        <v>1444.2680330296323</v>
      </c>
      <c r="S79" s="88">
        <f>IF(TrRoad_act!S55=0,0,S42/TrRoad_act!S55*1000
)</f>
        <v>1524.2264750299269</v>
      </c>
      <c r="T79" s="88">
        <f>IF(TrRoad_act!T55=0,0,T42/TrRoad_act!T55*1000
)</f>
        <v>1554.3815528232105</v>
      </c>
      <c r="U79" s="88">
        <f>IF(TrRoad_act!U55=0,0,U42/TrRoad_act!U55*1000
)</f>
        <v>1477.0972990963726</v>
      </c>
      <c r="V79" s="88">
        <f>IF(TrRoad_act!V55=0,0,V42/TrRoad_act!V55*1000
)</f>
        <v>962.06274758017787</v>
      </c>
      <c r="W79" s="88">
        <f>IF(TrRoad_act!W55=0,0,W42/TrRoad_act!W55*1000
)</f>
        <v>937.49549128995329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102.07043382710332</v>
      </c>
      <c r="C82" s="29">
        <f>IF(TrRoad_act!C4=0,0,C18/TrRoad_act!C4*1000)</f>
        <v>107.65249992147201</v>
      </c>
      <c r="D82" s="29">
        <f>IF(TrRoad_act!D4=0,0,D18/TrRoad_act!D4*1000)</f>
        <v>109.24571509382579</v>
      </c>
      <c r="E82" s="29">
        <f>IF(TrRoad_act!E4=0,0,E18/TrRoad_act!E4*1000)</f>
        <v>118.20985584255011</v>
      </c>
      <c r="F82" s="29">
        <f>IF(TrRoad_act!F4=0,0,F18/TrRoad_act!F4*1000)</f>
        <v>121.82761868325238</v>
      </c>
      <c r="G82" s="29">
        <f>IF(TrRoad_act!G4=0,0,G18/TrRoad_act!G4*1000)</f>
        <v>123.4100918024819</v>
      </c>
      <c r="H82" s="29">
        <f>IF(TrRoad_act!H4=0,0,H18/TrRoad_act!H4*1000)</f>
        <v>122.83584999262361</v>
      </c>
      <c r="I82" s="29">
        <f>IF(TrRoad_act!I4=0,0,I18/TrRoad_act!I4*1000)</f>
        <v>124.93385687637601</v>
      </c>
      <c r="J82" s="29">
        <f>IF(TrRoad_act!J4=0,0,J18/TrRoad_act!J4*1000)</f>
        <v>122.40864641082462</v>
      </c>
      <c r="K82" s="29">
        <f>IF(TrRoad_act!K4=0,0,K18/TrRoad_act!K4*1000)</f>
        <v>123.15545581986039</v>
      </c>
      <c r="L82" s="29">
        <f>IF(TrRoad_act!L4=0,0,L18/TrRoad_act!L4*1000)</f>
        <v>124.59151751574659</v>
      </c>
      <c r="M82" s="29">
        <f>IF(TrRoad_act!M4=0,0,M18/TrRoad_act!M4*1000)</f>
        <v>123.18432167544555</v>
      </c>
      <c r="N82" s="29">
        <f>IF(TrRoad_act!N4=0,0,N18/TrRoad_act!N4*1000)</f>
        <v>124.05303736789519</v>
      </c>
      <c r="O82" s="29">
        <f>IF(TrRoad_act!O4=0,0,O18/TrRoad_act!O4*1000)</f>
        <v>124.41400925054246</v>
      </c>
      <c r="P82" s="29">
        <f>IF(TrRoad_act!P4=0,0,P18/TrRoad_act!P4*1000)</f>
        <v>122.81574984521131</v>
      </c>
      <c r="Q82" s="29">
        <f>IF(TrRoad_act!Q4=0,0,Q18/TrRoad_act!Q4*1000)</f>
        <v>121.13783342264415</v>
      </c>
      <c r="R82" s="29">
        <f>IF(TrRoad_act!R4=0,0,R18/TrRoad_act!R4*1000)</f>
        <v>122.81495175424294</v>
      </c>
      <c r="S82" s="29">
        <f>IF(TrRoad_act!S4=0,0,S18/TrRoad_act!S4*1000)</f>
        <v>121.18970612834809</v>
      </c>
      <c r="T82" s="29">
        <f>IF(TrRoad_act!T4=0,0,T18/TrRoad_act!T4*1000)</f>
        <v>118.78167924410175</v>
      </c>
      <c r="U82" s="29">
        <f>IF(TrRoad_act!U4=0,0,U18/TrRoad_act!U4*1000)</f>
        <v>117.24158533544858</v>
      </c>
      <c r="V82" s="29">
        <f>IF(TrRoad_act!V4=0,0,V18/TrRoad_act!V4*1000)</f>
        <v>137.88755548632932</v>
      </c>
      <c r="W82" s="29">
        <f>IF(TrRoad_act!W4=0,0,W18/TrRoad_act!W4*1000)</f>
        <v>121.39823101975216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103.83655162584036</v>
      </c>
      <c r="C83" s="152">
        <f>IF(TrRoad_act!C5=0,0,C19/TrRoad_act!C5*1000)</f>
        <v>103.4285134221914</v>
      </c>
      <c r="D83" s="152">
        <f>IF(TrRoad_act!D5=0,0,D19/TrRoad_act!D5*1000)</f>
        <v>103.09199626041372</v>
      </c>
      <c r="E83" s="152">
        <f>IF(TrRoad_act!E5=0,0,E19/TrRoad_act!E5*1000)</f>
        <v>102.96084197445639</v>
      </c>
      <c r="F83" s="152">
        <f>IF(TrRoad_act!F5=0,0,F19/TrRoad_act!F5*1000)</f>
        <v>102.64899677215794</v>
      </c>
      <c r="G83" s="152">
        <f>IF(TrRoad_act!G5=0,0,G19/TrRoad_act!G5*1000)</f>
        <v>102.05201106568546</v>
      </c>
      <c r="H83" s="152">
        <f>IF(TrRoad_act!H5=0,0,H19/TrRoad_act!H5*1000)</f>
        <v>101.47524583076786</v>
      </c>
      <c r="I83" s="152">
        <f>IF(TrRoad_act!I5=0,0,I19/TrRoad_act!I5*1000)</f>
        <v>100.86423252676673</v>
      </c>
      <c r="J83" s="152">
        <f>IF(TrRoad_act!J5=0,0,J19/TrRoad_act!J5*1000)</f>
        <v>98.759517586399042</v>
      </c>
      <c r="K83" s="152">
        <f>IF(TrRoad_act!K5=0,0,K19/TrRoad_act!K5*1000)</f>
        <v>97.253178526471743</v>
      </c>
      <c r="L83" s="152">
        <f>IF(TrRoad_act!L5=0,0,L19/TrRoad_act!L5*1000)</f>
        <v>96.586789827566577</v>
      </c>
      <c r="M83" s="152">
        <f>IF(TrRoad_act!M5=0,0,M19/TrRoad_act!M5*1000)</f>
        <v>95.835798384974126</v>
      </c>
      <c r="N83" s="152">
        <f>IF(TrRoad_act!N5=0,0,N19/TrRoad_act!N5*1000)</f>
        <v>95.703283913349779</v>
      </c>
      <c r="O83" s="152">
        <f>IF(TrRoad_act!O5=0,0,O19/TrRoad_act!O5*1000)</f>
        <v>95.346405538240091</v>
      </c>
      <c r="P83" s="152">
        <f>IF(TrRoad_act!P5=0,0,P19/TrRoad_act!P5*1000)</f>
        <v>93.750125429144632</v>
      </c>
      <c r="Q83" s="152">
        <f>IF(TrRoad_act!Q5=0,0,Q19/TrRoad_act!Q5*1000)</f>
        <v>92.679635666465686</v>
      </c>
      <c r="R83" s="152">
        <f>IF(TrRoad_act!R5=0,0,R19/TrRoad_act!R5*1000)</f>
        <v>92.750270308202175</v>
      </c>
      <c r="S83" s="152">
        <f>IF(TrRoad_act!S5=0,0,S19/TrRoad_act!S5*1000)</f>
        <v>91.497875230766084</v>
      </c>
      <c r="T83" s="152">
        <f>IF(TrRoad_act!T5=0,0,T19/TrRoad_act!T5*1000)</f>
        <v>90.77668998550925</v>
      </c>
      <c r="U83" s="152">
        <f>IF(TrRoad_act!U5=0,0,U19/TrRoad_act!U5*1000)</f>
        <v>89.367694713834879</v>
      </c>
      <c r="V83" s="152">
        <f>IF(TrRoad_act!V5=0,0,V19/TrRoad_act!V5*1000)</f>
        <v>88.934611592733418</v>
      </c>
      <c r="W83" s="152">
        <f>IF(TrRoad_act!W5=0,0,W19/TrRoad_act!W5*1000)</f>
        <v>85.586725004660025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110.69096300045167</v>
      </c>
      <c r="C84" s="116">
        <f>IF(TrRoad_act!C6=0,0,C20/TrRoad_act!C6*1000)</f>
        <v>118.18286032552857</v>
      </c>
      <c r="D84" s="116">
        <f>IF(TrRoad_act!D6=0,0,D20/TrRoad_act!D6*1000)</f>
        <v>119.45531491981997</v>
      </c>
      <c r="E84" s="116">
        <f>IF(TrRoad_act!E6=0,0,E20/TrRoad_act!E6*1000)</f>
        <v>131.67819774199634</v>
      </c>
      <c r="F84" s="116">
        <f>IF(TrRoad_act!F6=0,0,F20/TrRoad_act!F6*1000)</f>
        <v>135.18145606622383</v>
      </c>
      <c r="G84" s="116">
        <f>IF(TrRoad_act!G6=0,0,G20/TrRoad_act!G6*1000)</f>
        <v>137.78375420865612</v>
      </c>
      <c r="H84" s="116">
        <f>IF(TrRoad_act!H6=0,0,H20/TrRoad_act!H6*1000)</f>
        <v>137.11031116975562</v>
      </c>
      <c r="I84" s="116">
        <f>IF(TrRoad_act!I6=0,0,I20/TrRoad_act!I6*1000)</f>
        <v>139.54135712855387</v>
      </c>
      <c r="J84" s="116">
        <f>IF(TrRoad_act!J6=0,0,J20/TrRoad_act!J6*1000)</f>
        <v>136.38159358388384</v>
      </c>
      <c r="K84" s="116">
        <f>IF(TrRoad_act!K6=0,0,K20/TrRoad_act!K6*1000)</f>
        <v>137.37328322421098</v>
      </c>
      <c r="L84" s="116">
        <f>IF(TrRoad_act!L6=0,0,L20/TrRoad_act!L6*1000)</f>
        <v>142.49226316156324</v>
      </c>
      <c r="M84" s="116">
        <f>IF(TrRoad_act!M6=0,0,M20/TrRoad_act!M6*1000)</f>
        <v>139.09514094610091</v>
      </c>
      <c r="N84" s="116">
        <f>IF(TrRoad_act!N6=0,0,N20/TrRoad_act!N6*1000)</f>
        <v>139.78083592672223</v>
      </c>
      <c r="O84" s="116">
        <f>IF(TrRoad_act!O6=0,0,O20/TrRoad_act!O6*1000)</f>
        <v>140.20437165003733</v>
      </c>
      <c r="P84" s="116">
        <f>IF(TrRoad_act!P6=0,0,P20/TrRoad_act!P6*1000)</f>
        <v>138.699293070507</v>
      </c>
      <c r="Q84" s="116">
        <f>IF(TrRoad_act!Q6=0,0,Q20/TrRoad_act!Q6*1000)</f>
        <v>134.79786316483978</v>
      </c>
      <c r="R84" s="116">
        <f>IF(TrRoad_act!R6=0,0,R20/TrRoad_act!R6*1000)</f>
        <v>137.2198103256251</v>
      </c>
      <c r="S84" s="116">
        <f>IF(TrRoad_act!S6=0,0,S20/TrRoad_act!S6*1000)</f>
        <v>135.59204031259162</v>
      </c>
      <c r="T84" s="116">
        <f>IF(TrRoad_act!T6=0,0,T20/TrRoad_act!T6*1000)</f>
        <v>131.73977625968587</v>
      </c>
      <c r="U84" s="116">
        <f>IF(TrRoad_act!U6=0,0,U20/TrRoad_act!U6*1000)</f>
        <v>129.14399666430157</v>
      </c>
      <c r="V84" s="116">
        <f>IF(TrRoad_act!V6=0,0,V20/TrRoad_act!V6*1000)</f>
        <v>145.07476387623203</v>
      </c>
      <c r="W84" s="116">
        <f>IF(TrRoad_act!W6=0,0,W20/TrRoad_act!W6*1000)</f>
        <v>124.78134750579257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112.0000431739923</v>
      </c>
      <c r="C85" s="87">
        <f>IF(TrRoad_act!C7=0,0,C21/TrRoad_act!C7*1000)</f>
        <v>121.38625739118402</v>
      </c>
      <c r="D85" s="87">
        <f>IF(TrRoad_act!D7=0,0,D21/TrRoad_act!D7*1000)</f>
        <v>123.64862746031635</v>
      </c>
      <c r="E85" s="87">
        <f>IF(TrRoad_act!E7=0,0,E21/TrRoad_act!E7*1000)</f>
        <v>136.90736996341172</v>
      </c>
      <c r="F85" s="87">
        <f>IF(TrRoad_act!F7=0,0,F21/TrRoad_act!F7*1000)</f>
        <v>140.42492859709421</v>
      </c>
      <c r="G85" s="87">
        <f>IF(TrRoad_act!G7=0,0,G21/TrRoad_act!G7*1000)</f>
        <v>143.12151046258936</v>
      </c>
      <c r="H85" s="87">
        <f>IF(TrRoad_act!H7=0,0,H21/TrRoad_act!H7*1000)</f>
        <v>142.08997356658651</v>
      </c>
      <c r="I85" s="87">
        <f>IF(TrRoad_act!I7=0,0,I21/TrRoad_act!I7*1000)</f>
        <v>144.13738201900998</v>
      </c>
      <c r="J85" s="87">
        <f>IF(TrRoad_act!J7=0,0,J21/TrRoad_act!J7*1000)</f>
        <v>140.06518558207159</v>
      </c>
      <c r="K85" s="87">
        <f>IF(TrRoad_act!K7=0,0,K21/TrRoad_act!K7*1000)</f>
        <v>140.98612390522109</v>
      </c>
      <c r="L85" s="87">
        <f>IF(TrRoad_act!L7=0,0,L21/TrRoad_act!L7*1000)</f>
        <v>146.30390090347083</v>
      </c>
      <c r="M85" s="87">
        <f>IF(TrRoad_act!M7=0,0,M21/TrRoad_act!M7*1000)</f>
        <v>143.51510693383986</v>
      </c>
      <c r="N85" s="87">
        <f>IF(TrRoad_act!N7=0,0,N21/TrRoad_act!N7*1000)</f>
        <v>143.45801866783063</v>
      </c>
      <c r="O85" s="87">
        <f>IF(TrRoad_act!O7=0,0,O21/TrRoad_act!O7*1000)</f>
        <v>143.48998015618082</v>
      </c>
      <c r="P85" s="87">
        <f>IF(TrRoad_act!P7=0,0,P21/TrRoad_act!P7*1000)</f>
        <v>141.13120624574034</v>
      </c>
      <c r="Q85" s="87">
        <f>IF(TrRoad_act!Q7=0,0,Q21/TrRoad_act!Q7*1000)</f>
        <v>135.88921155365364</v>
      </c>
      <c r="R85" s="87">
        <f>IF(TrRoad_act!R7=0,0,R21/TrRoad_act!R7*1000)</f>
        <v>138.77815707076635</v>
      </c>
      <c r="S85" s="87">
        <f>IF(TrRoad_act!S7=0,0,S21/TrRoad_act!S7*1000)</f>
        <v>135.63465493832859</v>
      </c>
      <c r="T85" s="87">
        <f>IF(TrRoad_act!T7=0,0,T21/TrRoad_act!T7*1000)</f>
        <v>130.6300524940244</v>
      </c>
      <c r="U85" s="87">
        <f>IF(TrRoad_act!U7=0,0,U21/TrRoad_act!U7*1000)</f>
        <v>127.20477305596198</v>
      </c>
      <c r="V85" s="87">
        <f>IF(TrRoad_act!V7=0,0,V21/TrRoad_act!V7*1000)</f>
        <v>143.94942411818661</v>
      </c>
      <c r="W85" s="87">
        <f>IF(TrRoad_act!W7=0,0,W21/TrRoad_act!W7*1000)</f>
        <v>123.69791953052952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105.84327700611018</v>
      </c>
      <c r="C86" s="87">
        <f>IF(TrRoad_act!C8=0,0,C22/TrRoad_act!C8*1000)</f>
        <v>109.52536454764535</v>
      </c>
      <c r="D86" s="87">
        <f>IF(TrRoad_act!D8=0,0,D22/TrRoad_act!D8*1000)</f>
        <v>109.4777984091326</v>
      </c>
      <c r="E86" s="87">
        <f>IF(TrRoad_act!E8=0,0,E22/TrRoad_act!E8*1000)</f>
        <v>121.44482093839468</v>
      </c>
      <c r="F86" s="87">
        <f>IF(TrRoad_act!F8=0,0,F22/TrRoad_act!F8*1000)</f>
        <v>125.81369294905467</v>
      </c>
      <c r="G86" s="87">
        <f>IF(TrRoad_act!G8=0,0,G22/TrRoad_act!G8*1000)</f>
        <v>129.56707271215163</v>
      </c>
      <c r="H86" s="87">
        <f>IF(TrRoad_act!H8=0,0,H22/TrRoad_act!H8*1000)</f>
        <v>129.81622699918756</v>
      </c>
      <c r="I86" s="87">
        <f>IF(TrRoad_act!I8=0,0,I22/TrRoad_act!I8*1000)</f>
        <v>132.83191110586429</v>
      </c>
      <c r="J86" s="87">
        <f>IF(TrRoad_act!J8=0,0,J22/TrRoad_act!J8*1000)</f>
        <v>131.26020799027842</v>
      </c>
      <c r="K86" s="87">
        <f>IF(TrRoad_act!K8=0,0,K22/TrRoad_act!K8*1000)</f>
        <v>132.59185488501879</v>
      </c>
      <c r="L86" s="87">
        <f>IF(TrRoad_act!L8=0,0,L22/TrRoad_act!L8*1000)</f>
        <v>137.40536959322509</v>
      </c>
      <c r="M86" s="87">
        <f>IF(TrRoad_act!M8=0,0,M22/TrRoad_act!M8*1000)</f>
        <v>133.75326915022276</v>
      </c>
      <c r="N86" s="87">
        <f>IF(TrRoad_act!N8=0,0,N22/TrRoad_act!N8*1000)</f>
        <v>135.67713318519253</v>
      </c>
      <c r="O86" s="87">
        <f>IF(TrRoad_act!O8=0,0,O22/TrRoad_act!O8*1000)</f>
        <v>136.87310344576838</v>
      </c>
      <c r="P86" s="87">
        <f>IF(TrRoad_act!P8=0,0,P22/TrRoad_act!P8*1000)</f>
        <v>136.08339175390452</v>
      </c>
      <c r="Q86" s="87">
        <f>IF(TrRoad_act!Q8=0,0,Q22/TrRoad_act!Q8*1000)</f>
        <v>133.27851360319511</v>
      </c>
      <c r="R86" s="87">
        <f>IF(TrRoad_act!R8=0,0,R22/TrRoad_act!R8*1000)</f>
        <v>135.46675260665103</v>
      </c>
      <c r="S86" s="87">
        <f>IF(TrRoad_act!S8=0,0,S22/TrRoad_act!S8*1000)</f>
        <v>134.80041379022302</v>
      </c>
      <c r="T86" s="87">
        <f>IF(TrRoad_act!T8=0,0,T22/TrRoad_act!T8*1000)</f>
        <v>131.88364883110458</v>
      </c>
      <c r="U86" s="87">
        <f>IF(TrRoad_act!U8=0,0,U22/TrRoad_act!U8*1000)</f>
        <v>129.93607672466499</v>
      </c>
      <c r="V86" s="87">
        <f>IF(TrRoad_act!V8=0,0,V22/TrRoad_act!V8*1000)</f>
        <v>145.49906582719655</v>
      </c>
      <c r="W86" s="87">
        <f>IF(TrRoad_act!W8=0,0,W22/TrRoad_act!W8*1000)</f>
        <v>125.40923231172854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120.83537334187301</v>
      </c>
      <c r="C87" s="87">
        <f>IF(TrRoad_act!C9=0,0,C23/TrRoad_act!C9*1000)</f>
        <v>125.78609685934508</v>
      </c>
      <c r="D87" s="87">
        <f>IF(TrRoad_act!D9=0,0,D23/TrRoad_act!D9*1000)</f>
        <v>127.89557079561908</v>
      </c>
      <c r="E87" s="87">
        <f>IF(TrRoad_act!E9=0,0,E23/TrRoad_act!E9*1000)</f>
        <v>129.02436884670598</v>
      </c>
      <c r="F87" s="87">
        <f>IF(TrRoad_act!F9=0,0,F23/TrRoad_act!F9*1000)</f>
        <v>132.93463154065881</v>
      </c>
      <c r="G87" s="87">
        <f>IF(TrRoad_act!G9=0,0,G23/TrRoad_act!G9*1000)</f>
        <v>135.57389275720865</v>
      </c>
      <c r="H87" s="87">
        <f>IF(TrRoad_act!H9=0,0,H23/TrRoad_act!H9*1000)</f>
        <v>135.53788401507006</v>
      </c>
      <c r="I87" s="87">
        <f>IF(TrRoad_act!I9=0,0,I23/TrRoad_act!I9*1000)</f>
        <v>137.63959480941301</v>
      </c>
      <c r="J87" s="87">
        <f>IF(TrRoad_act!J9=0,0,J23/TrRoad_act!J9*1000)</f>
        <v>136.96554222702304</v>
      </c>
      <c r="K87" s="87">
        <f>IF(TrRoad_act!K9=0,0,K23/TrRoad_act!K9*1000)</f>
        <v>140.39853178760305</v>
      </c>
      <c r="L87" s="87">
        <f>IF(TrRoad_act!L9=0,0,L23/TrRoad_act!L9*1000)</f>
        <v>149.11021859130602</v>
      </c>
      <c r="M87" s="87">
        <f>IF(TrRoad_act!M9=0,0,M23/TrRoad_act!M9*1000)</f>
        <v>148.20628616709513</v>
      </c>
      <c r="N87" s="87">
        <f>IF(TrRoad_act!N9=0,0,N23/TrRoad_act!N9*1000)</f>
        <v>150.30579531711876</v>
      </c>
      <c r="O87" s="87">
        <f>IF(TrRoad_act!O9=0,0,O23/TrRoad_act!O9*1000)</f>
        <v>152.16123536866152</v>
      </c>
      <c r="P87" s="87">
        <f>IF(TrRoad_act!P9=0,0,P23/TrRoad_act!P9*1000)</f>
        <v>153.16427215498757</v>
      </c>
      <c r="Q87" s="87">
        <f>IF(TrRoad_act!Q9=0,0,Q23/TrRoad_act!Q9*1000)</f>
        <v>152.32558753694084</v>
      </c>
      <c r="R87" s="87">
        <f>IF(TrRoad_act!R9=0,0,R23/TrRoad_act!R9*1000)</f>
        <v>156.77137616111946</v>
      </c>
      <c r="S87" s="87">
        <f>IF(TrRoad_act!S9=0,0,S23/TrRoad_act!S9*1000)</f>
        <v>167.29190838367532</v>
      </c>
      <c r="T87" s="87">
        <f>IF(TrRoad_act!T9=0,0,T23/TrRoad_act!T9*1000)</f>
        <v>166.01553239150587</v>
      </c>
      <c r="U87" s="87">
        <f>IF(TrRoad_act!U9=0,0,U23/TrRoad_act!U9*1000)</f>
        <v>165.52695749736029</v>
      </c>
      <c r="V87" s="87">
        <f>IF(TrRoad_act!V9=0,0,V23/TrRoad_act!V9*1000)</f>
        <v>182.01890299040556</v>
      </c>
      <c r="W87" s="87">
        <f>IF(TrRoad_act!W9=0,0,W23/TrRoad_act!W9*1000)</f>
        <v>159.80867151115646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125.69236907678993</v>
      </c>
      <c r="K88" s="87">
        <f>IF(TrRoad_act!K10=0,0,K24/TrRoad_act!K10*1000)</f>
        <v>130.63026293945967</v>
      </c>
      <c r="L88" s="87">
        <f>IF(TrRoad_act!L10=0,0,L24/TrRoad_act!L10*1000)</f>
        <v>135.00468316725107</v>
      </c>
      <c r="M88" s="87">
        <f>IF(TrRoad_act!M10=0,0,M24/TrRoad_act!M10*1000)</f>
        <v>134.27817032165794</v>
      </c>
      <c r="N88" s="87">
        <f>IF(TrRoad_act!N10=0,0,N24/TrRoad_act!N10*1000)</f>
        <v>130.3161305254954</v>
      </c>
      <c r="O88" s="87">
        <f>IF(TrRoad_act!O10=0,0,O24/TrRoad_act!O10*1000)</f>
        <v>122.42826334894201</v>
      </c>
      <c r="P88" s="87">
        <f>IF(TrRoad_act!P10=0,0,P24/TrRoad_act!P10*1000)</f>
        <v>115.32678195996502</v>
      </c>
      <c r="Q88" s="87">
        <f>IF(TrRoad_act!Q10=0,0,Q24/TrRoad_act!Q10*1000)</f>
        <v>105.47382490024654</v>
      </c>
      <c r="R88" s="87">
        <f>IF(TrRoad_act!R10=0,0,R24/TrRoad_act!R10*1000)</f>
        <v>104.17609162775931</v>
      </c>
      <c r="S88" s="87">
        <f>IF(TrRoad_act!S10=0,0,S24/TrRoad_act!S10*1000)</f>
        <v>103.2709936548582</v>
      </c>
      <c r="T88" s="87">
        <f>IF(TrRoad_act!T10=0,0,T24/TrRoad_act!T10*1000)</f>
        <v>101.83401772803239</v>
      </c>
      <c r="U88" s="87">
        <f>IF(TrRoad_act!U10=0,0,U24/TrRoad_act!U10*1000)</f>
        <v>101.05681430050245</v>
      </c>
      <c r="V88" s="87">
        <f>IF(TrRoad_act!V10=0,0,V24/TrRoad_act!V10*1000)</f>
        <v>112.52972850546888</v>
      </c>
      <c r="W88" s="87">
        <f>IF(TrRoad_act!W10=0,0,W24/TrRoad_act!W10*1000)</f>
        <v>79.111832985097905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35.108492511011782</v>
      </c>
      <c r="O89" s="87">
        <f>IF(TrRoad_act!O11=0,0,O25/TrRoad_act!O11*1000)</f>
        <v>37.10543527153142</v>
      </c>
      <c r="P89" s="87">
        <f>IF(TrRoad_act!P11=0,0,P25/TrRoad_act!P11*1000)</f>
        <v>26.566631620177379</v>
      </c>
      <c r="Q89" s="87">
        <f>IF(TrRoad_act!Q11=0,0,Q25/TrRoad_act!Q11*1000)</f>
        <v>44.013494507609614</v>
      </c>
      <c r="R89" s="87">
        <f>IF(TrRoad_act!R11=0,0,R25/TrRoad_act!R11*1000)</f>
        <v>37.945465700725876</v>
      </c>
      <c r="S89" s="87">
        <f>IF(TrRoad_act!S11=0,0,S25/TrRoad_act!S11*1000)</f>
        <v>42.595868645083293</v>
      </c>
      <c r="T89" s="87">
        <f>IF(TrRoad_act!T11=0,0,T25/TrRoad_act!T11*1000)</f>
        <v>40.477133013706073</v>
      </c>
      <c r="U89" s="87">
        <f>IF(TrRoad_act!U11=0,0,U25/TrRoad_act!U11*1000)</f>
        <v>38.778957075836587</v>
      </c>
      <c r="V89" s="87">
        <f>IF(TrRoad_act!V11=0,0,V25/TrRoad_act!V11*1000)</f>
        <v>39.733042008579176</v>
      </c>
      <c r="W89" s="87">
        <f>IF(TrRoad_act!W11=0,0,W25/TrRoad_act!W11*1000)</f>
        <v>28.517354704879747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67.820580176917957</v>
      </c>
      <c r="C91" s="116">
        <f>IF(TrRoad_act!C13=0,0,C27/TrRoad_act!C13*1000)</f>
        <v>69.849976618751981</v>
      </c>
      <c r="D91" s="116">
        <f>IF(TrRoad_act!D13=0,0,D27/TrRoad_act!D13*1000)</f>
        <v>69.445610060076206</v>
      </c>
      <c r="E91" s="116">
        <f>IF(TrRoad_act!E13=0,0,E27/TrRoad_act!E13*1000)</f>
        <v>64.278806891031721</v>
      </c>
      <c r="F91" s="116">
        <f>IF(TrRoad_act!F13=0,0,F27/TrRoad_act!F13*1000)</f>
        <v>64.299497818899127</v>
      </c>
      <c r="G91" s="116">
        <f>IF(TrRoad_act!G13=0,0,G27/TrRoad_act!G13*1000)</f>
        <v>62.181316171083594</v>
      </c>
      <c r="H91" s="116">
        <f>IF(TrRoad_act!H13=0,0,H27/TrRoad_act!H13*1000)</f>
        <v>62.763139740844508</v>
      </c>
      <c r="I91" s="116">
        <f>IF(TrRoad_act!I13=0,0,I27/TrRoad_act!I13*1000)</f>
        <v>62.421268494478468</v>
      </c>
      <c r="J91" s="116">
        <f>IF(TrRoad_act!J13=0,0,J27/TrRoad_act!J13*1000)</f>
        <v>61.961041743215389</v>
      </c>
      <c r="K91" s="116">
        <f>IF(TrRoad_act!K13=0,0,K27/TrRoad_act!K13*1000)</f>
        <v>61.764436686492523</v>
      </c>
      <c r="L91" s="116">
        <f>IF(TrRoad_act!L13=0,0,L27/TrRoad_act!L13*1000)</f>
        <v>60.184381709414708</v>
      </c>
      <c r="M91" s="116">
        <f>IF(TrRoad_act!M13=0,0,M27/TrRoad_act!M13*1000)</f>
        <v>60.248105123232691</v>
      </c>
      <c r="N91" s="116">
        <f>IF(TrRoad_act!N13=0,0,N27/TrRoad_act!N13*1000)</f>
        <v>60.888238169876367</v>
      </c>
      <c r="O91" s="116">
        <f>IF(TrRoad_act!O13=0,0,O27/TrRoad_act!O13*1000)</f>
        <v>62.622139806393669</v>
      </c>
      <c r="P91" s="116">
        <f>IF(TrRoad_act!P13=0,0,P27/TrRoad_act!P13*1000)</f>
        <v>64.063229511730114</v>
      </c>
      <c r="Q91" s="116">
        <f>IF(TrRoad_act!Q13=0,0,Q27/TrRoad_act!Q13*1000)</f>
        <v>65.744217582411963</v>
      </c>
      <c r="R91" s="116">
        <f>IF(TrRoad_act!R13=0,0,R27/TrRoad_act!R13*1000)</f>
        <v>65.789921205006564</v>
      </c>
      <c r="S91" s="116">
        <f>IF(TrRoad_act!S13=0,0,S27/TrRoad_act!S13*1000)</f>
        <v>65.400836978289732</v>
      </c>
      <c r="T91" s="116">
        <f>IF(TrRoad_act!T13=0,0,T27/TrRoad_act!T13*1000)</f>
        <v>65.599104504265284</v>
      </c>
      <c r="U91" s="116">
        <f>IF(TrRoad_act!U13=0,0,U27/TrRoad_act!U13*1000)</f>
        <v>66.210385204973306</v>
      </c>
      <c r="V91" s="116">
        <f>IF(TrRoad_act!V13=0,0,V27/TrRoad_act!V13*1000)</f>
        <v>93.267362185170413</v>
      </c>
      <c r="W91" s="116">
        <f>IF(TrRoad_act!W13=0,0,W27/TrRoad_act!W13*1000)</f>
        <v>95.139183105250581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68.349835531545395</v>
      </c>
      <c r="C92" s="101">
        <f>IF(TrRoad_act!C14=0,0,C28/TrRoad_act!C14*1000)</f>
        <v>70.242144728224119</v>
      </c>
      <c r="D92" s="101">
        <f>IF(TrRoad_act!D14=0,0,D28/TrRoad_act!D14*1000)</f>
        <v>70.998296068504843</v>
      </c>
      <c r="E92" s="101">
        <f>IF(TrRoad_act!E14=0,0,E28/TrRoad_act!E14*1000)</f>
        <v>65.92033363625545</v>
      </c>
      <c r="F92" s="101">
        <f>IF(TrRoad_act!F14=0,0,F28/TrRoad_act!F14*1000)</f>
        <v>65.662624414805279</v>
      </c>
      <c r="G92" s="101">
        <f>IF(TrRoad_act!G14=0,0,G28/TrRoad_act!G14*1000)</f>
        <v>63.130727707392964</v>
      </c>
      <c r="H92" s="101">
        <f>IF(TrRoad_act!H14=0,0,H28/TrRoad_act!H14*1000)</f>
        <v>63.339390914611187</v>
      </c>
      <c r="I92" s="101">
        <f>IF(TrRoad_act!I14=0,0,I28/TrRoad_act!I14*1000)</f>
        <v>63.62767336241297</v>
      </c>
      <c r="J92" s="101">
        <f>IF(TrRoad_act!J14=0,0,J28/TrRoad_act!J14*1000)</f>
        <v>62.842377630490873</v>
      </c>
      <c r="K92" s="101">
        <f>IF(TrRoad_act!K14=0,0,K28/TrRoad_act!K14*1000)</f>
        <v>62.769415741992951</v>
      </c>
      <c r="L92" s="101">
        <f>IF(TrRoad_act!L14=0,0,L28/TrRoad_act!L14*1000)</f>
        <v>61.371929764364012</v>
      </c>
      <c r="M92" s="101">
        <f>IF(TrRoad_act!M14=0,0,M28/TrRoad_act!M14*1000)</f>
        <v>62.310301981567115</v>
      </c>
      <c r="N92" s="101">
        <f>IF(TrRoad_act!N14=0,0,N28/TrRoad_act!N14*1000)</f>
        <v>62.327134760209383</v>
      </c>
      <c r="O92" s="101">
        <f>IF(TrRoad_act!O14=0,0,O28/TrRoad_act!O14*1000)</f>
        <v>63.145096568571134</v>
      </c>
      <c r="P92" s="101">
        <f>IF(TrRoad_act!P14=0,0,P28/TrRoad_act!P14*1000)</f>
        <v>61.391626246925355</v>
      </c>
      <c r="Q92" s="101">
        <f>IF(TrRoad_act!Q14=0,0,Q28/TrRoad_act!Q14*1000)</f>
        <v>61.924402652652262</v>
      </c>
      <c r="R92" s="101">
        <f>IF(TrRoad_act!R14=0,0,R28/TrRoad_act!R14*1000)</f>
        <v>62.583875283077724</v>
      </c>
      <c r="S92" s="101">
        <f>IF(TrRoad_act!S14=0,0,S28/TrRoad_act!S14*1000)</f>
        <v>62.185475113487598</v>
      </c>
      <c r="T92" s="101">
        <f>IF(TrRoad_act!T14=0,0,T28/TrRoad_act!T14*1000)</f>
        <v>62.110035264916434</v>
      </c>
      <c r="U92" s="101">
        <f>IF(TrRoad_act!U14=0,0,U28/TrRoad_act!U14*1000)</f>
        <v>61.650796104819591</v>
      </c>
      <c r="V92" s="101">
        <f>IF(TrRoad_act!V14=0,0,V28/TrRoad_act!V14*1000)</f>
        <v>85.148235280727874</v>
      </c>
      <c r="W92" s="101">
        <f>IF(TrRoad_act!W14=0,0,W28/TrRoad_act!W14*1000)</f>
        <v>84.508033648876605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71.17279274671435</v>
      </c>
      <c r="C93" s="101">
        <f>IF(TrRoad_act!C15=0,0,C29/TrRoad_act!C15*1000)</f>
        <v>73.040903029409833</v>
      </c>
      <c r="D93" s="101">
        <f>IF(TrRoad_act!D15=0,0,D29/TrRoad_act!D15*1000)</f>
        <v>72.870928433424908</v>
      </c>
      <c r="E93" s="101">
        <f>IF(TrRoad_act!E15=0,0,E29/TrRoad_act!E15*1000)</f>
        <v>67.791738670992075</v>
      </c>
      <c r="F93" s="101">
        <f>IF(TrRoad_act!F15=0,0,F29/TrRoad_act!F15*1000)</f>
        <v>67.978331655469617</v>
      </c>
      <c r="G93" s="101">
        <f>IF(TrRoad_act!G15=0,0,G29/TrRoad_act!G15*1000)</f>
        <v>65.984907115533616</v>
      </c>
      <c r="H93" s="101">
        <f>IF(TrRoad_act!H15=0,0,H29/TrRoad_act!H15*1000)</f>
        <v>65.926027411104045</v>
      </c>
      <c r="I93" s="101">
        <f>IF(TrRoad_act!I15=0,0,I29/TrRoad_act!I15*1000)</f>
        <v>65.872076697546362</v>
      </c>
      <c r="J93" s="101">
        <f>IF(TrRoad_act!J15=0,0,J29/TrRoad_act!J15*1000)</f>
        <v>65.33948734376655</v>
      </c>
      <c r="K93" s="101">
        <f>IF(TrRoad_act!K15=0,0,K29/TrRoad_act!K15*1000)</f>
        <v>64.931498494229359</v>
      </c>
      <c r="L93" s="101">
        <f>IF(TrRoad_act!L15=0,0,L29/TrRoad_act!L15*1000)</f>
        <v>62.9085076080924</v>
      </c>
      <c r="M93" s="101">
        <f>IF(TrRoad_act!M15=0,0,M29/TrRoad_act!M15*1000)</f>
        <v>62.926696522086004</v>
      </c>
      <c r="N93" s="101">
        <f>IF(TrRoad_act!N15=0,0,N29/TrRoad_act!N15*1000)</f>
        <v>63.502233724321513</v>
      </c>
      <c r="O93" s="101">
        <f>IF(TrRoad_act!O15=0,0,O29/TrRoad_act!O15*1000)</f>
        <v>64.493889123512787</v>
      </c>
      <c r="P93" s="101">
        <f>IF(TrRoad_act!P15=0,0,P29/TrRoad_act!P15*1000)</f>
        <v>63.209412475334929</v>
      </c>
      <c r="Q93" s="101">
        <f>IF(TrRoad_act!Q15=0,0,Q29/TrRoad_act!Q15*1000)</f>
        <v>64.354218701596636</v>
      </c>
      <c r="R93" s="101">
        <f>IF(TrRoad_act!R15=0,0,R29/TrRoad_act!R15*1000)</f>
        <v>64.70807237886379</v>
      </c>
      <c r="S93" s="101">
        <f>IF(TrRoad_act!S15=0,0,S29/TrRoad_act!S15*1000)</f>
        <v>65.126553858006346</v>
      </c>
      <c r="T93" s="101">
        <f>IF(TrRoad_act!T15=0,0,T29/TrRoad_act!T15*1000)</f>
        <v>65.52823822624903</v>
      </c>
      <c r="U93" s="101">
        <f>IF(TrRoad_act!U15=0,0,U29/TrRoad_act!U15*1000)</f>
        <v>65.715470147043362</v>
      </c>
      <c r="V93" s="101">
        <f>IF(TrRoad_act!V15=0,0,V29/TrRoad_act!V15*1000)</f>
        <v>90.775492530097736</v>
      </c>
      <c r="W93" s="101">
        <f>IF(TrRoad_act!W15=0,0,W29/TrRoad_act!W15*1000)</f>
        <v>90.400923643126376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70.190008474325111</v>
      </c>
      <c r="W94" s="101">
        <f>IF(TrRoad_act!W16=0,0,W30/TrRoad_act!W16*1000)</f>
        <v>68.935860789201726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45.767527982719699</v>
      </c>
      <c r="C95" s="101">
        <f>IF(TrRoad_act!C17=0,0,C31/TrRoad_act!C17*1000)</f>
        <v>46.569830589513664</v>
      </c>
      <c r="D95" s="101">
        <f>IF(TrRoad_act!D17=0,0,D31/TrRoad_act!D17*1000)</f>
        <v>46.136957171490891</v>
      </c>
      <c r="E95" s="101">
        <f>IF(TrRoad_act!E17=0,0,E31/TrRoad_act!E17*1000)</f>
        <v>42.543310557893442</v>
      </c>
      <c r="F95" s="101">
        <f>IF(TrRoad_act!F17=0,0,F31/TrRoad_act!F17*1000)</f>
        <v>51.570407219720693</v>
      </c>
      <c r="G95" s="101">
        <f>IF(TrRoad_act!G17=0,0,G31/TrRoad_act!G17*1000)</f>
        <v>43.032382085521505</v>
      </c>
      <c r="H95" s="101">
        <f>IF(TrRoad_act!H17=0,0,H31/TrRoad_act!H17*1000)</f>
        <v>63.019607059970227</v>
      </c>
      <c r="I95" s="101">
        <f>IF(TrRoad_act!I17=0,0,I31/TrRoad_act!I17*1000)</f>
        <v>40.65466280174477</v>
      </c>
      <c r="J95" s="101">
        <f>IF(TrRoad_act!J17=0,0,J31/TrRoad_act!J17*1000)</f>
        <v>41.569489520260795</v>
      </c>
      <c r="K95" s="101">
        <f>IF(TrRoad_act!K17=0,0,K31/TrRoad_act!K17*1000)</f>
        <v>48.886007477907796</v>
      </c>
      <c r="L95" s="101">
        <f>IF(TrRoad_act!L17=0,0,L31/TrRoad_act!L17*1000)</f>
        <v>62.969493064985755</v>
      </c>
      <c r="M95" s="101">
        <f>IF(TrRoad_act!M17=0,0,M31/TrRoad_act!M17*1000)</f>
        <v>71.725514193235242</v>
      </c>
      <c r="N95" s="101">
        <f>IF(TrRoad_act!N17=0,0,N31/TrRoad_act!N17*1000)</f>
        <v>83.024617764560389</v>
      </c>
      <c r="O95" s="101">
        <f>IF(TrRoad_act!O17=0,0,O31/TrRoad_act!O17*1000)</f>
        <v>86.324609656990361</v>
      </c>
      <c r="P95" s="101">
        <f>IF(TrRoad_act!P17=0,0,P31/TrRoad_act!P17*1000)</f>
        <v>142.1404056374852</v>
      </c>
      <c r="Q95" s="101">
        <f>IF(TrRoad_act!Q17=0,0,Q31/TrRoad_act!Q17*1000)</f>
        <v>132.47039934759525</v>
      </c>
      <c r="R95" s="101">
        <f>IF(TrRoad_act!R17=0,0,R31/TrRoad_act!R17*1000)</f>
        <v>100.87327042699415</v>
      </c>
      <c r="S95" s="101">
        <f>IF(TrRoad_act!S17=0,0,S31/TrRoad_act!S17*1000)</f>
        <v>78.266977960095033</v>
      </c>
      <c r="T95" s="101">
        <f>IF(TrRoad_act!T17=0,0,T31/TrRoad_act!T17*1000)</f>
        <v>74.372614828777273</v>
      </c>
      <c r="U95" s="101">
        <f>IF(TrRoad_act!U17=0,0,U31/TrRoad_act!U17*1000)</f>
        <v>77.531728226220494</v>
      </c>
      <c r="V95" s="101">
        <f>IF(TrRoad_act!V17=0,0,V31/TrRoad_act!V17*1000)</f>
        <v>124.56935139136925</v>
      </c>
      <c r="W95" s="101">
        <f>IF(TrRoad_act!W17=0,0,W31/TrRoad_act!W17*1000)</f>
        <v>151.51829944326551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110.88390536797731</v>
      </c>
      <c r="C97" s="29">
        <f>IF(TrRoad_act!C19=0,0,C33/TrRoad_act!C19*1000)</f>
        <v>110.99060665701667</v>
      </c>
      <c r="D97" s="29">
        <f>IF(TrRoad_act!D19=0,0,D33/TrRoad_act!D19*1000)</f>
        <v>115.72516931779039</v>
      </c>
      <c r="E97" s="29">
        <f>IF(TrRoad_act!E19=0,0,E33/TrRoad_act!E19*1000)</f>
        <v>135.09120788043182</v>
      </c>
      <c r="F97" s="29">
        <f>IF(TrRoad_act!F19=0,0,F33/TrRoad_act!F19*1000)</f>
        <v>148.21627437628197</v>
      </c>
      <c r="G97" s="29">
        <f>IF(TrRoad_act!G19=0,0,G33/TrRoad_act!G19*1000)</f>
        <v>177.39111712027173</v>
      </c>
      <c r="H97" s="29">
        <f>IF(TrRoad_act!H19=0,0,H33/TrRoad_act!H19*1000)</f>
        <v>184.4615998331175</v>
      </c>
      <c r="I97" s="29">
        <f>IF(TrRoad_act!I19=0,0,I33/TrRoad_act!I19*1000)</f>
        <v>194.27587441729725</v>
      </c>
      <c r="J97" s="29">
        <f>IF(TrRoad_act!J19=0,0,J33/TrRoad_act!J19*1000)</f>
        <v>199.2170325774415</v>
      </c>
      <c r="K97" s="29">
        <f>IF(TrRoad_act!K19=0,0,K33/TrRoad_act!K19*1000)</f>
        <v>203.60404330511241</v>
      </c>
      <c r="L97" s="29">
        <f>IF(TrRoad_act!L19=0,0,L33/TrRoad_act!L19*1000)</f>
        <v>181.17187114998566</v>
      </c>
      <c r="M97" s="29">
        <f>IF(TrRoad_act!M19=0,0,M33/TrRoad_act!M19*1000)</f>
        <v>170.47094030905728</v>
      </c>
      <c r="N97" s="29">
        <f>IF(TrRoad_act!N19=0,0,N33/TrRoad_act!N19*1000)</f>
        <v>170.45060913127367</v>
      </c>
      <c r="O97" s="29">
        <f>IF(TrRoad_act!O19=0,0,O33/TrRoad_act!O19*1000)</f>
        <v>150.92985303516124</v>
      </c>
      <c r="P97" s="29">
        <f>IF(TrRoad_act!P19=0,0,P33/TrRoad_act!P19*1000)</f>
        <v>152.12044152294547</v>
      </c>
      <c r="Q97" s="29">
        <f>IF(TrRoad_act!Q19=0,0,Q33/TrRoad_act!Q19*1000)</f>
        <v>145.34315139897708</v>
      </c>
      <c r="R97" s="29">
        <f>IF(TrRoad_act!R19=0,0,R33/TrRoad_act!R19*1000)</f>
        <v>146.97178243038434</v>
      </c>
      <c r="S97" s="29">
        <f>IF(TrRoad_act!S19=0,0,S33/TrRoad_act!S19*1000)</f>
        <v>154.25190118982027</v>
      </c>
      <c r="T97" s="29">
        <f>IF(TrRoad_act!T19=0,0,T33/TrRoad_act!T19*1000)</f>
        <v>153.23334492294632</v>
      </c>
      <c r="U97" s="29">
        <f>IF(TrRoad_act!U19=0,0,U33/TrRoad_act!U19*1000)</f>
        <v>145.47206704044623</v>
      </c>
      <c r="V97" s="29">
        <f>IF(TrRoad_act!V19=0,0,V33/TrRoad_act!V19*1000)</f>
        <v>119.98120151896427</v>
      </c>
      <c r="W97" s="29">
        <f>IF(TrRoad_act!W19=0,0,W33/TrRoad_act!W19*1000)</f>
        <v>120.12282618436303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2332.5565478905287</v>
      </c>
      <c r="C98" s="152">
        <f>IF(TrRoad_act!C20=0,0,C34/TrRoad_act!C20*1000)</f>
        <v>2191.3860401399443</v>
      </c>
      <c r="D98" s="152">
        <f>IF(TrRoad_act!D20=0,0,D34/TrRoad_act!D20*1000)</f>
        <v>2122.0989645055697</v>
      </c>
      <c r="E98" s="152">
        <f>IF(TrRoad_act!E20=0,0,E34/TrRoad_act!E20*1000)</f>
        <v>2070.9584600518224</v>
      </c>
      <c r="F98" s="152">
        <f>IF(TrRoad_act!F20=0,0,F34/TrRoad_act!F20*1000)</f>
        <v>2040.8412787012619</v>
      </c>
      <c r="G98" s="152">
        <f>IF(TrRoad_act!G20=0,0,G34/TrRoad_act!G20*1000)</f>
        <v>2023.0273271056105</v>
      </c>
      <c r="H98" s="152">
        <f>IF(TrRoad_act!H20=0,0,H34/TrRoad_act!H20*1000)</f>
        <v>1996.0555849928169</v>
      </c>
      <c r="I98" s="152">
        <f>IF(TrRoad_act!I20=0,0,I34/TrRoad_act!I20*1000)</f>
        <v>1973.1228886891961</v>
      </c>
      <c r="J98" s="152">
        <f>IF(TrRoad_act!J20=0,0,J34/TrRoad_act!J20*1000)</f>
        <v>1962.4624435511323</v>
      </c>
      <c r="K98" s="152">
        <f>IF(TrRoad_act!K20=0,0,K34/TrRoad_act!K20*1000)</f>
        <v>1925.8880799039521</v>
      </c>
      <c r="L98" s="152">
        <f>IF(TrRoad_act!L20=0,0,L34/TrRoad_act!L20*1000)</f>
        <v>1924.5824801570748</v>
      </c>
      <c r="M98" s="152">
        <f>IF(TrRoad_act!M20=0,0,M34/TrRoad_act!M20*1000)</f>
        <v>1902.8963711609197</v>
      </c>
      <c r="N98" s="152">
        <f>IF(TrRoad_act!N20=0,0,N34/TrRoad_act!N20*1000)</f>
        <v>1918.7297123847331</v>
      </c>
      <c r="O98" s="152">
        <f>IF(TrRoad_act!O20=0,0,O34/TrRoad_act!O20*1000)</f>
        <v>1934.3942953273006</v>
      </c>
      <c r="P98" s="152">
        <f>IF(TrRoad_act!P20=0,0,P34/TrRoad_act!P20*1000)</f>
        <v>1959.381692559059</v>
      </c>
      <c r="Q98" s="152">
        <f>IF(TrRoad_act!Q20=0,0,Q34/TrRoad_act!Q20*1000)</f>
        <v>1981.7272713905386</v>
      </c>
      <c r="R98" s="152">
        <f>IF(TrRoad_act!R20=0,0,R34/TrRoad_act!R20*1000)</f>
        <v>2015.9881021312067</v>
      </c>
      <c r="S98" s="152">
        <f>IF(TrRoad_act!S20=0,0,S34/TrRoad_act!S20*1000)</f>
        <v>2014.8768245355861</v>
      </c>
      <c r="T98" s="152">
        <f>IF(TrRoad_act!T20=0,0,T34/TrRoad_act!T20*1000)</f>
        <v>2011.0404999454179</v>
      </c>
      <c r="U98" s="152">
        <f>IF(TrRoad_act!U20=0,0,U34/TrRoad_act!U20*1000)</f>
        <v>1994.9873520131966</v>
      </c>
      <c r="V98" s="152">
        <f>IF(TrRoad_act!V20=0,0,V34/TrRoad_act!V20*1000)</f>
        <v>1960.9447750273896</v>
      </c>
      <c r="W98" s="152">
        <f>IF(TrRoad_act!W20=0,0,W34/TrRoad_act!W20*1000)</f>
        <v>1975.8055490172362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2348.8868466560607</v>
      </c>
      <c r="C99" s="87">
        <f>IF(TrRoad_act!C21=0,0,C35/TrRoad_act!C21*1000)</f>
        <v>2290.7454742651425</v>
      </c>
      <c r="D99" s="87">
        <f>IF(TrRoad_act!D21=0,0,D35/TrRoad_act!D21*1000)</f>
        <v>2260.4526041687914</v>
      </c>
      <c r="E99" s="87">
        <f>IF(TrRoad_act!E21=0,0,E35/TrRoad_act!E21*1000)</f>
        <v>2247.9452366477553</v>
      </c>
      <c r="F99" s="87">
        <f>IF(TrRoad_act!F21=0,0,F35/TrRoad_act!F21*1000)</f>
        <v>2225.8808505884922</v>
      </c>
      <c r="G99" s="87">
        <f>IF(TrRoad_act!G21=0,0,G35/TrRoad_act!G21*1000)</f>
        <v>2199.4475659245982</v>
      </c>
      <c r="H99" s="87">
        <f>IF(TrRoad_act!H21=0,0,H35/TrRoad_act!H21*1000)</f>
        <v>2170.3461482049552</v>
      </c>
      <c r="I99" s="87">
        <f>IF(TrRoad_act!I21=0,0,I35/TrRoad_act!I21*1000)</f>
        <v>2149.8151839604293</v>
      </c>
      <c r="J99" s="87">
        <f>IF(TrRoad_act!J21=0,0,J35/TrRoad_act!J21*1000)</f>
        <v>2107.2408378187311</v>
      </c>
      <c r="K99" s="87">
        <f>IF(TrRoad_act!K21=0,0,K35/TrRoad_act!K21*1000)</f>
        <v>2075.6435599963756</v>
      </c>
      <c r="L99" s="87">
        <f>IF(TrRoad_act!L21=0,0,L35/TrRoad_act!L21*1000)</f>
        <v>2071.7735572535721</v>
      </c>
      <c r="M99" s="87">
        <f>IF(TrRoad_act!M21=0,0,M35/TrRoad_act!M21*1000)</f>
        <v>2065.4702619408608</v>
      </c>
      <c r="N99" s="87">
        <f>IF(TrRoad_act!N21=0,0,N35/TrRoad_act!N21*1000)</f>
        <v>2067.4298180352689</v>
      </c>
      <c r="O99" s="87">
        <f>IF(TrRoad_act!O21=0,0,O35/TrRoad_act!O21*1000)</f>
        <v>2075.5884884357692</v>
      </c>
      <c r="P99" s="87">
        <f>IF(TrRoad_act!P21=0,0,P35/TrRoad_act!P21*1000)</f>
        <v>2061.9167434684973</v>
      </c>
      <c r="Q99" s="87">
        <f>IF(TrRoad_act!Q21=0,0,Q35/TrRoad_act!Q21*1000)</f>
        <v>2054.7630266917186</v>
      </c>
      <c r="R99" s="87">
        <f>IF(TrRoad_act!R21=0,0,R35/TrRoad_act!R21*1000)</f>
        <v>2072.2449756167002</v>
      </c>
      <c r="S99" s="87">
        <f>IF(TrRoad_act!S21=0,0,S35/TrRoad_act!S21*1000)</f>
        <v>2042.5387146834191</v>
      </c>
      <c r="T99" s="87">
        <f>IF(TrRoad_act!T21=0,0,T35/TrRoad_act!T21*1000)</f>
        <v>2030.7342127277491</v>
      </c>
      <c r="U99" s="87">
        <f>IF(TrRoad_act!U21=0,0,U35/TrRoad_act!U21*1000)</f>
        <v>2005.9123534093515</v>
      </c>
      <c r="V99" s="87">
        <f>IF(TrRoad_act!V21=0,0,V35/TrRoad_act!V21*1000)</f>
        <v>1998.0027541619811</v>
      </c>
      <c r="W99" s="87">
        <f>IF(TrRoad_act!W21=0,0,W35/TrRoad_act!W21*1000)</f>
        <v>2000.6232080254658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2233.3447829319707</v>
      </c>
      <c r="C100" s="87">
        <f>IF(TrRoad_act!C22=0,0,C36/TrRoad_act!C22*1000)</f>
        <v>2085.7181068096165</v>
      </c>
      <c r="D100" s="87">
        <f>IF(TrRoad_act!D22=0,0,D36/TrRoad_act!D22*1000)</f>
        <v>2023.4063587255635</v>
      </c>
      <c r="E100" s="87">
        <f>IF(TrRoad_act!E22=0,0,E36/TrRoad_act!E22*1000)</f>
        <v>1984.7738234940587</v>
      </c>
      <c r="F100" s="87">
        <f>IF(TrRoad_act!F22=0,0,F36/TrRoad_act!F22*1000)</f>
        <v>1968.4840772529556</v>
      </c>
      <c r="G100" s="87">
        <f>IF(TrRoad_act!G22=0,0,G36/TrRoad_act!G22*1000)</f>
        <v>1964.3342832501367</v>
      </c>
      <c r="H100" s="87">
        <f>IF(TrRoad_act!H22=0,0,H36/TrRoad_act!H22*1000)</f>
        <v>1943.3755991237113</v>
      </c>
      <c r="I100" s="87">
        <f>IF(TrRoad_act!I22=0,0,I36/TrRoad_act!I22*1000)</f>
        <v>1924.6399222763644</v>
      </c>
      <c r="J100" s="87">
        <f>IF(TrRoad_act!J22=0,0,J36/TrRoad_act!J22*1000)</f>
        <v>1924.9776255712172</v>
      </c>
      <c r="K100" s="87">
        <f>IF(TrRoad_act!K22=0,0,K36/TrRoad_act!K22*1000)</f>
        <v>1889.5698611999774</v>
      </c>
      <c r="L100" s="87">
        <f>IF(TrRoad_act!L22=0,0,L36/TrRoad_act!L22*1000)</f>
        <v>1892.0390501808467</v>
      </c>
      <c r="M100" s="87">
        <f>IF(TrRoad_act!M22=0,0,M36/TrRoad_act!M22*1000)</f>
        <v>1870.2359877400318</v>
      </c>
      <c r="N100" s="87">
        <f>IF(TrRoad_act!N22=0,0,N36/TrRoad_act!N22*1000)</f>
        <v>1887.043028332135</v>
      </c>
      <c r="O100" s="87">
        <f>IF(TrRoad_act!O22=0,0,O36/TrRoad_act!O22*1000)</f>
        <v>1903.6172552902729</v>
      </c>
      <c r="P100" s="87">
        <f>IF(TrRoad_act!P22=0,0,P36/TrRoad_act!P22*1000)</f>
        <v>1932.3410075017507</v>
      </c>
      <c r="Q100" s="87">
        <f>IF(TrRoad_act!Q22=0,0,Q36/TrRoad_act!Q22*1000)</f>
        <v>1959.8379024660298</v>
      </c>
      <c r="R100" s="87">
        <f>IF(TrRoad_act!R22=0,0,R36/TrRoad_act!R22*1000)</f>
        <v>1987.1976785454049</v>
      </c>
      <c r="S100" s="87">
        <f>IF(TrRoad_act!S22=0,0,S36/TrRoad_act!S22*1000)</f>
        <v>1990.1243252536128</v>
      </c>
      <c r="T100" s="87">
        <f>IF(TrRoad_act!T22=0,0,T36/TrRoad_act!T22*1000)</f>
        <v>1988.6872184383622</v>
      </c>
      <c r="U100" s="87">
        <f>IF(TrRoad_act!U22=0,0,U36/TrRoad_act!U22*1000)</f>
        <v>1975.5424242391318</v>
      </c>
      <c r="V100" s="87">
        <f>IF(TrRoad_act!V22=0,0,V36/TrRoad_act!V22*1000)</f>
        <v>1941.2666462578843</v>
      </c>
      <c r="W100" s="87">
        <f>IF(TrRoad_act!W22=0,0,W36/TrRoad_act!W22*1000)</f>
        <v>1969.2871227561338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4830.0650349867037</v>
      </c>
      <c r="C101" s="87">
        <f>IF(TrRoad_act!C23=0,0,C37/TrRoad_act!C23*1000)</f>
        <v>4792.5596202970664</v>
      </c>
      <c r="D101" s="87">
        <f>IF(TrRoad_act!D23=0,0,D37/TrRoad_act!D23*1000)</f>
        <v>4653.9140908791169</v>
      </c>
      <c r="E101" s="87">
        <f>IF(TrRoad_act!E23=0,0,E37/TrRoad_act!E23*1000)</f>
        <v>4499.648173624837</v>
      </c>
      <c r="F101" s="87">
        <f>IF(TrRoad_act!F23=0,0,F37/TrRoad_act!F23*1000)</f>
        <v>4297.2788624424957</v>
      </c>
      <c r="G101" s="87">
        <f>IF(TrRoad_act!G23=0,0,G37/TrRoad_act!G23*1000)</f>
        <v>4124.3084482841532</v>
      </c>
      <c r="H101" s="87">
        <f>IF(TrRoad_act!H23=0,0,H37/TrRoad_act!H23*1000)</f>
        <v>3914.0544334515462</v>
      </c>
      <c r="I101" s="87">
        <f>IF(TrRoad_act!I23=0,0,I37/TrRoad_act!I23*1000)</f>
        <v>3730.6328032435113</v>
      </c>
      <c r="J101" s="87">
        <f>IF(TrRoad_act!J23=0,0,J37/TrRoad_act!J23*1000)</f>
        <v>3656.1043143094635</v>
      </c>
      <c r="K101" s="87">
        <f>IF(TrRoad_act!K23=0,0,K37/TrRoad_act!K23*1000)</f>
        <v>3539.6260740294097</v>
      </c>
      <c r="L101" s="87">
        <f>IF(TrRoad_act!L23=0,0,L37/TrRoad_act!L23*1000)</f>
        <v>3473.4886183565504</v>
      </c>
      <c r="M101" s="87">
        <f>IF(TrRoad_act!M23=0,0,M37/TrRoad_act!M23*1000)</f>
        <v>3391.76455113263</v>
      </c>
      <c r="N101" s="87">
        <f>IF(TrRoad_act!N23=0,0,N37/TrRoad_act!N23*1000)</f>
        <v>3348.161386591139</v>
      </c>
      <c r="O101" s="87">
        <f>IF(TrRoad_act!O23=0,0,O37/TrRoad_act!O23*1000)</f>
        <v>3350.396408509494</v>
      </c>
      <c r="P101" s="87">
        <f>IF(TrRoad_act!P23=0,0,P37/TrRoad_act!P23*1000)</f>
        <v>3364.4374003329044</v>
      </c>
      <c r="Q101" s="87">
        <f>IF(TrRoad_act!Q23=0,0,Q37/TrRoad_act!Q23*1000)</f>
        <v>3352.3398991520835</v>
      </c>
      <c r="R101" s="87">
        <f>IF(TrRoad_act!R23=0,0,R37/TrRoad_act!R23*1000)</f>
        <v>3374.3947598469495</v>
      </c>
      <c r="S101" s="87">
        <f>IF(TrRoad_act!S23=0,0,S37/TrRoad_act!S23*1000)</f>
        <v>3351.742028436222</v>
      </c>
      <c r="T101" s="87">
        <f>IF(TrRoad_act!T23=0,0,T37/TrRoad_act!T23*1000)</f>
        <v>3313.372283213645</v>
      </c>
      <c r="U101" s="87">
        <f>IF(TrRoad_act!U23=0,0,U37/TrRoad_act!U23*1000)</f>
        <v>3307.0611009971817</v>
      </c>
      <c r="V101" s="87">
        <f>IF(TrRoad_act!V23=0,0,V37/TrRoad_act!V23*1000)</f>
        <v>3303.2795587660348</v>
      </c>
      <c r="W101" s="87">
        <f>IF(TrRoad_act!W23=0,0,W37/TrRoad_act!W23*1000)</f>
        <v>3309.9513802239489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2549.7906300987556</v>
      </c>
      <c r="O102" s="87">
        <f>IF(TrRoad_act!O24=0,0,O38/TrRoad_act!O24*1000)</f>
        <v>2474.6746373882638</v>
      </c>
      <c r="P102" s="87">
        <f>IF(TrRoad_act!P24=0,0,P38/TrRoad_act!P24*1000)</f>
        <v>2375.8568847323145</v>
      </c>
      <c r="Q102" s="87">
        <f>IF(TrRoad_act!Q24=0,0,Q38/TrRoad_act!Q24*1000)</f>
        <v>2052.7457963830821</v>
      </c>
      <c r="R102" s="87">
        <f>IF(TrRoad_act!R24=0,0,R38/TrRoad_act!R24*1000)</f>
        <v>2289.9242220255028</v>
      </c>
      <c r="S102" s="87">
        <f>IF(TrRoad_act!S24=0,0,S38/TrRoad_act!S24*1000)</f>
        <v>2229.0050881358297</v>
      </c>
      <c r="T102" s="87">
        <f>IF(TrRoad_act!T24=0,0,T38/TrRoad_act!T24*1000)</f>
        <v>2161.606521268362</v>
      </c>
      <c r="U102" s="87">
        <f>IF(TrRoad_act!U24=0,0,U38/TrRoad_act!U24*1000)</f>
        <v>2123.8464269911765</v>
      </c>
      <c r="V102" s="87">
        <f>IF(TrRoad_act!V24=0,0,V38/TrRoad_act!V24*1000)</f>
        <v>2029.5863471800146</v>
      </c>
      <c r="W102" s="87">
        <f>IF(TrRoad_act!W24=0,0,W38/TrRoad_act!W24*1000)</f>
        <v>1720.0751629141444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93.431371464438413</v>
      </c>
      <c r="C104" s="116">
        <f>IF(TrRoad_act!C26=0,0,C40/TrRoad_act!C26*1000)</f>
        <v>93.128432996331327</v>
      </c>
      <c r="D104" s="116">
        <f>IF(TrRoad_act!D26=0,0,D40/TrRoad_act!D26*1000)</f>
        <v>96.753885543443573</v>
      </c>
      <c r="E104" s="116">
        <f>IF(TrRoad_act!E26=0,0,E40/TrRoad_act!E26*1000)</f>
        <v>114.36122086441925</v>
      </c>
      <c r="F104" s="116">
        <f>IF(TrRoad_act!F26=0,0,F40/TrRoad_act!F26*1000)</f>
        <v>124.95106097374668</v>
      </c>
      <c r="G104" s="116">
        <f>IF(TrRoad_act!G26=0,0,G40/TrRoad_act!G26*1000)</f>
        <v>150.00333508845506</v>
      </c>
      <c r="H104" s="116">
        <f>IF(TrRoad_act!H26=0,0,H40/TrRoad_act!H26*1000)</f>
        <v>154.40756020638378</v>
      </c>
      <c r="I104" s="116">
        <f>IF(TrRoad_act!I26=0,0,I40/TrRoad_act!I26*1000)</f>
        <v>160.63337991092774</v>
      </c>
      <c r="J104" s="116">
        <f>IF(TrRoad_act!J26=0,0,J40/TrRoad_act!J26*1000)</f>
        <v>157.78498359758771</v>
      </c>
      <c r="K104" s="116">
        <f>IF(TrRoad_act!K26=0,0,K40/TrRoad_act!K26*1000)</f>
        <v>157.40475495904016</v>
      </c>
      <c r="L104" s="116">
        <f>IF(TrRoad_act!L26=0,0,L40/TrRoad_act!L26*1000)</f>
        <v>136.2631046797527</v>
      </c>
      <c r="M104" s="116">
        <f>IF(TrRoad_act!M26=0,0,M40/TrRoad_act!M26*1000)</f>
        <v>126.68674156036197</v>
      </c>
      <c r="N104" s="116">
        <f>IF(TrRoad_act!N26=0,0,N40/TrRoad_act!N26*1000)</f>
        <v>124.69228931779406</v>
      </c>
      <c r="O104" s="116">
        <f>IF(TrRoad_act!O26=0,0,O40/TrRoad_act!O26*1000)</f>
        <v>106.73923148653476</v>
      </c>
      <c r="P104" s="116">
        <f>IF(TrRoad_act!P26=0,0,P40/TrRoad_act!P26*1000)</f>
        <v>104.97344410675694</v>
      </c>
      <c r="Q104" s="116">
        <f>IF(TrRoad_act!Q26=0,0,Q40/TrRoad_act!Q26*1000)</f>
        <v>100.19719684965283</v>
      </c>
      <c r="R104" s="116">
        <f>IF(TrRoad_act!R26=0,0,R40/TrRoad_act!R26*1000)</f>
        <v>108.8813180949151</v>
      </c>
      <c r="S104" s="116">
        <f>IF(TrRoad_act!S26=0,0,S40/TrRoad_act!S26*1000)</f>
        <v>115.39799176539816</v>
      </c>
      <c r="T104" s="116">
        <f>IF(TrRoad_act!T26=0,0,T40/TrRoad_act!T26*1000)</f>
        <v>114.36027441375082</v>
      </c>
      <c r="U104" s="116">
        <f>IF(TrRoad_act!U26=0,0,U40/TrRoad_act!U26*1000)</f>
        <v>108.43258132277683</v>
      </c>
      <c r="V104" s="116">
        <f>IF(TrRoad_act!V26=0,0,V40/TrRoad_act!V26*1000)</f>
        <v>88.145774137043077</v>
      </c>
      <c r="W104" s="116">
        <f>IF(TrRoad_act!W26=0,0,W40/TrRoad_act!W26*1000)</f>
        <v>89.496367187441052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98.152431051475077</v>
      </c>
      <c r="C105" s="101">
        <f>IF(TrRoad_act!C27=0,0,C41/TrRoad_act!C27*1000)</f>
        <v>108.31554759449634</v>
      </c>
      <c r="D105" s="101">
        <f>IF(TrRoad_act!D27=0,0,D41/TrRoad_act!D27*1000)</f>
        <v>113.00093981700918</v>
      </c>
      <c r="E105" s="101">
        <f>IF(TrRoad_act!E27=0,0,E41/TrRoad_act!E27*1000)</f>
        <v>127.31197581176507</v>
      </c>
      <c r="F105" s="101">
        <f>IF(TrRoad_act!F27=0,0,F41/TrRoad_act!F27*1000)</f>
        <v>151.59724979727616</v>
      </c>
      <c r="G105" s="101">
        <f>IF(TrRoad_act!G27=0,0,G41/TrRoad_act!G27*1000)</f>
        <v>185.07260333042953</v>
      </c>
      <c r="H105" s="101">
        <f>IF(TrRoad_act!H27=0,0,H41/TrRoad_act!H27*1000)</f>
        <v>172.27279166598134</v>
      </c>
      <c r="I105" s="101">
        <f>IF(TrRoad_act!I27=0,0,I41/TrRoad_act!I27*1000)</f>
        <v>172.12101442164524</v>
      </c>
      <c r="J105" s="101">
        <f>IF(TrRoad_act!J27=0,0,J41/TrRoad_act!J27*1000)</f>
        <v>163.10342782347328</v>
      </c>
      <c r="K105" s="101">
        <f>IF(TrRoad_act!K27=0,0,K41/TrRoad_act!K27*1000)</f>
        <v>155.74561408180887</v>
      </c>
      <c r="L105" s="101">
        <f>IF(TrRoad_act!L27=0,0,L41/TrRoad_act!L27*1000)</f>
        <v>137.6497587452827</v>
      </c>
      <c r="M105" s="101">
        <f>IF(TrRoad_act!M27=0,0,M41/TrRoad_act!M27*1000)</f>
        <v>130.71391136600982</v>
      </c>
      <c r="N105" s="101">
        <f>IF(TrRoad_act!N27=0,0,N41/TrRoad_act!N27*1000)</f>
        <v>129.67531593462843</v>
      </c>
      <c r="O105" s="101">
        <f>IF(TrRoad_act!O27=0,0,O41/TrRoad_act!O27*1000)</f>
        <v>123.63763385309471</v>
      </c>
      <c r="P105" s="101">
        <f>IF(TrRoad_act!P27=0,0,P41/TrRoad_act!P27*1000)</f>
        <v>121.72050453938985</v>
      </c>
      <c r="Q105" s="101">
        <f>IF(TrRoad_act!Q27=0,0,Q41/TrRoad_act!Q27*1000)</f>
        <v>115.54869048431065</v>
      </c>
      <c r="R105" s="101">
        <f>IF(TrRoad_act!R27=0,0,R41/TrRoad_act!R27*1000)</f>
        <v>113.78763847528327</v>
      </c>
      <c r="S105" s="101">
        <f>IF(TrRoad_act!S27=0,0,S41/TrRoad_act!S27*1000)</f>
        <v>122.07907574273057</v>
      </c>
      <c r="T105" s="101">
        <f>IF(TrRoad_act!T27=0,0,T41/TrRoad_act!T27*1000)</f>
        <v>118.21272536732496</v>
      </c>
      <c r="U105" s="101">
        <f>IF(TrRoad_act!U27=0,0,U41/TrRoad_act!U27*1000)</f>
        <v>111.47631947410379</v>
      </c>
      <c r="V105" s="101">
        <f>IF(TrRoad_act!V27=0,0,V41/TrRoad_act!V27*1000)</f>
        <v>103.78790352651056</v>
      </c>
      <c r="W105" s="101">
        <f>IF(TrRoad_act!W27=0,0,W41/TrRoad_act!W27*1000)</f>
        <v>108.84826030925572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87.886970045257044</v>
      </c>
      <c r="C106" s="88">
        <f>IF(TrRoad_act!C28=0,0,C42/TrRoad_act!C28*1000)</f>
        <v>75.549401947036841</v>
      </c>
      <c r="D106" s="88">
        <f>IF(TrRoad_act!D28=0,0,D42/TrRoad_act!D28*1000)</f>
        <v>77.443782051959317</v>
      </c>
      <c r="E106" s="88">
        <f>IF(TrRoad_act!E28=0,0,E42/TrRoad_act!E28*1000)</f>
        <v>98.243690126808559</v>
      </c>
      <c r="F106" s="88">
        <f>IF(TrRoad_act!F28=0,0,F42/TrRoad_act!F28*1000)</f>
        <v>98.545841370605501</v>
      </c>
      <c r="G106" s="88">
        <f>IF(TrRoad_act!G28=0,0,G42/TrRoad_act!G28*1000)</f>
        <v>117.55367800140608</v>
      </c>
      <c r="H106" s="88">
        <f>IF(TrRoad_act!H28=0,0,H42/TrRoad_act!H28*1000)</f>
        <v>138.09753648823593</v>
      </c>
      <c r="I106" s="88">
        <f>IF(TrRoad_act!I28=0,0,I42/TrRoad_act!I28*1000)</f>
        <v>150.61548596125778</v>
      </c>
      <c r="J106" s="88">
        <f>IF(TrRoad_act!J28=0,0,J42/TrRoad_act!J28*1000)</f>
        <v>152.80264420031406</v>
      </c>
      <c r="K106" s="88">
        <f>IF(TrRoad_act!K28=0,0,K42/TrRoad_act!K28*1000)</f>
        <v>158.83117698211367</v>
      </c>
      <c r="L106" s="88">
        <f>IF(TrRoad_act!L28=0,0,L42/TrRoad_act!L28*1000)</f>
        <v>135.07422072023894</v>
      </c>
      <c r="M106" s="88">
        <f>IF(TrRoad_act!M28=0,0,M42/TrRoad_act!M28*1000)</f>
        <v>123.3668052105091</v>
      </c>
      <c r="N106" s="88">
        <f>IF(TrRoad_act!N28=0,0,N42/TrRoad_act!N28*1000)</f>
        <v>120.71815726132448</v>
      </c>
      <c r="O106" s="88">
        <f>IF(TrRoad_act!O28=0,0,O42/TrRoad_act!O28*1000)</f>
        <v>93.745072636534687</v>
      </c>
      <c r="P106" s="88">
        <f>IF(TrRoad_act!P28=0,0,P42/TrRoad_act!P28*1000)</f>
        <v>91.029899090386337</v>
      </c>
      <c r="Q106" s="88">
        <f>IF(TrRoad_act!Q28=0,0,Q42/TrRoad_act!Q28*1000)</f>
        <v>85.06401690474172</v>
      </c>
      <c r="R106" s="88">
        <f>IF(TrRoad_act!R28=0,0,R42/TrRoad_act!R28*1000)</f>
        <v>103.67262792584994</v>
      </c>
      <c r="S106" s="88">
        <f>IF(TrRoad_act!S28=0,0,S42/TrRoad_act!S28*1000)</f>
        <v>108.48848746817326</v>
      </c>
      <c r="T106" s="88">
        <f>IF(TrRoad_act!T28=0,0,T42/TrRoad_act!T28*1000)</f>
        <v>109.80394703507119</v>
      </c>
      <c r="U106" s="88">
        <f>IF(TrRoad_act!U28=0,0,U42/TrRoad_act!U28*1000)</f>
        <v>104.7435771729009</v>
      </c>
      <c r="V106" s="88">
        <f>IF(TrRoad_act!V28=0,0,V42/TrRoad_act!V28*1000)</f>
        <v>69.278986306093159</v>
      </c>
      <c r="W106" s="88">
        <f>IF(TrRoad_act!W28=0,0,W42/TrRoad_act!W28*1000)</f>
        <v>66.769499018340227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133.09254209718665</v>
      </c>
      <c r="C110" s="152">
        <f>IF(C19=0,0,1000000*C19/TrRoad_act!C59)</f>
        <v>124.90685421569042</v>
      </c>
      <c r="D110" s="152">
        <f>IF(D19=0,0,1000000*D19/TrRoad_act!D59)</f>
        <v>120.62481167248154</v>
      </c>
      <c r="E110" s="152">
        <f>IF(E19=0,0,1000000*E19/TrRoad_act!E59)</f>
        <v>121.54004878479543</v>
      </c>
      <c r="F110" s="152">
        <f>IF(F19=0,0,1000000*F19/TrRoad_act!F59)</f>
        <v>120.18354576085733</v>
      </c>
      <c r="G110" s="152">
        <f>IF(G19=0,0,1000000*G19/TrRoad_act!G59)</f>
        <v>117.95076393947669</v>
      </c>
      <c r="H110" s="152">
        <f>IF(H19=0,0,1000000*H19/TrRoad_act!H59)</f>
        <v>117.14763237928622</v>
      </c>
      <c r="I110" s="152">
        <f>IF(I19=0,0,1000000*I19/TrRoad_act!I59)</f>
        <v>116.87466426457989</v>
      </c>
      <c r="J110" s="152">
        <f>IF(J19=0,0,1000000*J19/TrRoad_act!J59)</f>
        <v>114.9502071268999</v>
      </c>
      <c r="K110" s="152">
        <f>IF(K19=0,0,1000000*K19/TrRoad_act!K59)</f>
        <v>113.90518648500125</v>
      </c>
      <c r="L110" s="152">
        <f>IF(L19=0,0,1000000*L19/TrRoad_act!L59)</f>
        <v>112.88721797760887</v>
      </c>
      <c r="M110" s="152">
        <f>IF(M19=0,0,1000000*M19/TrRoad_act!M59)</f>
        <v>111.99558158130795</v>
      </c>
      <c r="N110" s="152">
        <f>IF(N19=0,0,1000000*N19/TrRoad_act!N59)</f>
        <v>111.63801239952583</v>
      </c>
      <c r="O110" s="152">
        <f>IF(O19=0,0,1000000*O19/TrRoad_act!O59)</f>
        <v>111.26218795189396</v>
      </c>
      <c r="P110" s="152">
        <f>IF(P19=0,0,1000000*P19/TrRoad_act!P59)</f>
        <v>110.02324375163569</v>
      </c>
      <c r="Q110" s="152">
        <f>IF(Q19=0,0,1000000*Q19/TrRoad_act!Q59)</f>
        <v>109.09886456012738</v>
      </c>
      <c r="R110" s="152">
        <f>IF(R19=0,0,1000000*R19/TrRoad_act!R59)</f>
        <v>110.07466138230535</v>
      </c>
      <c r="S110" s="152">
        <f>IF(S19=0,0,1000000*S19/TrRoad_act!S59)</f>
        <v>100.64778114334271</v>
      </c>
      <c r="T110" s="152">
        <f>IF(T19=0,0,1000000*T19/TrRoad_act!T59)</f>
        <v>93.421778968604627</v>
      </c>
      <c r="U110" s="152">
        <f>IF(U19=0,0,1000000*U19/TrRoad_act!U59)</f>
        <v>95.91628206793294</v>
      </c>
      <c r="V110" s="152">
        <f>IF(V19=0,0,1000000*V19/TrRoad_act!V59)</f>
        <v>83.7103719322904</v>
      </c>
      <c r="W110" s="152">
        <f>IF(W19=0,0,1000000*W19/TrRoad_act!W59)</f>
        <v>82.443133179080718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2015.9451333738405</v>
      </c>
      <c r="C111" s="116">
        <f>IF(C20=0,0,1000000*C20/TrRoad_act!C60)</f>
        <v>2125.0683168625133</v>
      </c>
      <c r="D111" s="116">
        <f>IF(D20=0,0,1000000*D20/TrRoad_act!D60)</f>
        <v>2138.4764637972762</v>
      </c>
      <c r="E111" s="116">
        <f>IF(E20=0,0,1000000*E20/TrRoad_act!E60)</f>
        <v>2393.3660764997176</v>
      </c>
      <c r="F111" s="116">
        <f>IF(F20=0,0,1000000*F20/TrRoad_act!F60)</f>
        <v>2393.6611599566941</v>
      </c>
      <c r="G111" s="116">
        <f>IF(G20=0,0,1000000*G20/TrRoad_act!G60)</f>
        <v>2388.8549858252477</v>
      </c>
      <c r="H111" s="116">
        <f>IF(H20=0,0,1000000*H20/TrRoad_act!H60)</f>
        <v>2323.4341608055693</v>
      </c>
      <c r="I111" s="116">
        <f>IF(I20=0,0,1000000*I20/TrRoad_act!I60)</f>
        <v>2332.427263779613</v>
      </c>
      <c r="J111" s="116">
        <f>IF(J20=0,0,1000000*J20/TrRoad_act!J60)</f>
        <v>2231.8109300478218</v>
      </c>
      <c r="K111" s="116">
        <f>IF(K20=0,0,1000000*K20/TrRoad_act!K60)</f>
        <v>2239.1690291495402</v>
      </c>
      <c r="L111" s="116">
        <f>IF(L20=0,0,1000000*L20/TrRoad_act!L60)</f>
        <v>2014.7315767750392</v>
      </c>
      <c r="M111" s="116">
        <f>IF(M20=0,0,1000000*M20/TrRoad_act!M60)</f>
        <v>1988.070881833293</v>
      </c>
      <c r="N111" s="116">
        <f>IF(N20=0,0,1000000*N20/TrRoad_act!N60)</f>
        <v>1919.3875090490415</v>
      </c>
      <c r="O111" s="116">
        <f>IF(O20=0,0,1000000*O20/TrRoad_act!O60)</f>
        <v>1916.6542706988446</v>
      </c>
      <c r="P111" s="116">
        <f>IF(P20=0,0,1000000*P20/TrRoad_act!P60)</f>
        <v>1901.4031072320302</v>
      </c>
      <c r="Q111" s="116">
        <f>IF(Q20=0,0,1000000*Q20/TrRoad_act!Q60)</f>
        <v>1836.853295457242</v>
      </c>
      <c r="R111" s="116">
        <f>IF(R20=0,0,1000000*R20/TrRoad_act!R60)</f>
        <v>1867.9683581391869</v>
      </c>
      <c r="S111" s="116">
        <f>IF(S20=0,0,1000000*S20/TrRoad_act!S60)</f>
        <v>1819.7446003995499</v>
      </c>
      <c r="T111" s="116">
        <f>IF(T20=0,0,1000000*T20/TrRoad_act!T60)</f>
        <v>1787.0629034823532</v>
      </c>
      <c r="U111" s="116">
        <f>IF(U20=0,0,1000000*U20/TrRoad_act!U60)</f>
        <v>1769.4159244372922</v>
      </c>
      <c r="V111" s="116">
        <f>IF(V20=0,0,1000000*V20/TrRoad_act!V60)</f>
        <v>1653.2405928617543</v>
      </c>
      <c r="W111" s="116">
        <f>IF(W20=0,0,1000000*W20/TrRoad_act!W60)</f>
        <v>1802.0832308587926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1735.0799491994085</v>
      </c>
      <c r="C112" s="87">
        <f>IF(C21=0,0,1000000*C21/TrRoad_act!C61)</f>
        <v>1791.0598056965136</v>
      </c>
      <c r="D112" s="87">
        <f>IF(D21=0,0,1000000*D21/TrRoad_act!D61)</f>
        <v>1787.4345550012179</v>
      </c>
      <c r="E112" s="87">
        <f>IF(E21=0,0,1000000*E21/TrRoad_act!E61)</f>
        <v>1969.7957210663612</v>
      </c>
      <c r="F112" s="87">
        <f>IF(F21=0,0,1000000*F21/TrRoad_act!F61)</f>
        <v>1940.6199861722214</v>
      </c>
      <c r="G112" s="87">
        <f>IF(G21=0,0,1000000*G21/TrRoad_act!G61)</f>
        <v>1861.3663760709494</v>
      </c>
      <c r="H112" s="87">
        <f>IF(H21=0,0,1000000*H21/TrRoad_act!H61)</f>
        <v>1803.4037924783584</v>
      </c>
      <c r="I112" s="87">
        <f>IF(I21=0,0,1000000*I21/TrRoad_act!I61)</f>
        <v>1840.8085082989364</v>
      </c>
      <c r="J112" s="87">
        <f>IF(J21=0,0,1000000*J21/TrRoad_act!J61)</f>
        <v>1741.9294578497588</v>
      </c>
      <c r="K112" s="87">
        <f>IF(K21=0,0,1000000*K21/TrRoad_act!K61)</f>
        <v>1742.5537260216149</v>
      </c>
      <c r="L112" s="87">
        <f>IF(L21=0,0,1000000*L21/TrRoad_act!L61)</f>
        <v>1592.9261908841927</v>
      </c>
      <c r="M112" s="87">
        <f>IF(M21=0,0,1000000*M21/TrRoad_act!M61)</f>
        <v>1542.2696860272563</v>
      </c>
      <c r="N112" s="87">
        <f>IF(N21=0,0,1000000*N21/TrRoad_act!N61)</f>
        <v>1457.1558555153019</v>
      </c>
      <c r="O112" s="87">
        <f>IF(O21=0,0,1000000*O21/TrRoad_act!O61)</f>
        <v>1373.8900926688332</v>
      </c>
      <c r="P112" s="87">
        <f>IF(P21=0,0,1000000*P21/TrRoad_act!P61)</f>
        <v>1363.2639945604089</v>
      </c>
      <c r="Q112" s="87">
        <f>IF(Q21=0,0,1000000*Q21/TrRoad_act!Q61)</f>
        <v>1325.439054894422</v>
      </c>
      <c r="R112" s="87">
        <f>IF(R21=0,0,1000000*R21/TrRoad_act!R61)</f>
        <v>1346.8555246990161</v>
      </c>
      <c r="S112" s="87">
        <f>IF(S21=0,0,1000000*S21/TrRoad_act!S61)</f>
        <v>1299.61470665098</v>
      </c>
      <c r="T112" s="87">
        <f>IF(T21=0,0,1000000*T21/TrRoad_act!T61)</f>
        <v>1282.845714251865</v>
      </c>
      <c r="U112" s="87">
        <f>IF(U21=0,0,1000000*U21/TrRoad_act!U61)</f>
        <v>1252.4066098683465</v>
      </c>
      <c r="V112" s="87">
        <f>IF(V21=0,0,1000000*V21/TrRoad_act!V61)</f>
        <v>1120.4157581536451</v>
      </c>
      <c r="W112" s="87">
        <f>IF(W21=0,0,1000000*W21/TrRoad_act!W61)</f>
        <v>1165.8383671228528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4238.0063422474414</v>
      </c>
      <c r="C113" s="87">
        <f>IF(C22=0,0,1000000*C22/TrRoad_act!C62)</f>
        <v>4542.599019449096</v>
      </c>
      <c r="D113" s="87">
        <f>IF(D22=0,0,1000000*D22/TrRoad_act!D62)</f>
        <v>4371.5769880591297</v>
      </c>
      <c r="E113" s="87">
        <f>IF(E22=0,0,1000000*E22/TrRoad_act!E62)</f>
        <v>4776.9376560963483</v>
      </c>
      <c r="F113" s="87">
        <f>IF(F22=0,0,1000000*F22/TrRoad_act!F62)</f>
        <v>4708.7423652370881</v>
      </c>
      <c r="G113" s="87">
        <f>IF(G22=0,0,1000000*G22/TrRoad_act!G62)</f>
        <v>4869.4148782381717</v>
      </c>
      <c r="H113" s="87">
        <f>IF(H22=0,0,1000000*H22/TrRoad_act!H62)</f>
        <v>4561.2574359391519</v>
      </c>
      <c r="I113" s="87">
        <f>IF(I22=0,0,1000000*I22/TrRoad_act!I62)</f>
        <v>4291.4534513714807</v>
      </c>
      <c r="J113" s="87">
        <f>IF(J22=0,0,1000000*J22/TrRoad_act!J62)</f>
        <v>3988.9463988694115</v>
      </c>
      <c r="K113" s="87">
        <f>IF(K22=0,0,1000000*K22/TrRoad_act!K62)</f>
        <v>3843.2312477563146</v>
      </c>
      <c r="L113" s="87">
        <f>IF(L22=0,0,1000000*L22/TrRoad_act!L62)</f>
        <v>3238.2472782745576</v>
      </c>
      <c r="M113" s="87">
        <f>IF(M22=0,0,1000000*M22/TrRoad_act!M62)</f>
        <v>3169.0440559175213</v>
      </c>
      <c r="N113" s="87">
        <f>IF(N22=0,0,1000000*N22/TrRoad_act!N62)</f>
        <v>3001.1091725133756</v>
      </c>
      <c r="O113" s="87">
        <f>IF(O22=0,0,1000000*O22/TrRoad_act!O62)</f>
        <v>3135.3374135515824</v>
      </c>
      <c r="P113" s="87">
        <f>IF(P22=0,0,1000000*P22/TrRoad_act!P62)</f>
        <v>3039.7087404565327</v>
      </c>
      <c r="Q113" s="87">
        <f>IF(Q22=0,0,1000000*Q22/TrRoad_act!Q62)</f>
        <v>2838.2053643763797</v>
      </c>
      <c r="R113" s="87">
        <f>IF(R22=0,0,1000000*R22/TrRoad_act!R62)</f>
        <v>2831.5496614525955</v>
      </c>
      <c r="S113" s="87">
        <f>IF(S22=0,0,1000000*S22/TrRoad_act!S62)</f>
        <v>2732.0215230791764</v>
      </c>
      <c r="T113" s="87">
        <f>IF(T22=0,0,1000000*T22/TrRoad_act!T62)</f>
        <v>2617.457716986768</v>
      </c>
      <c r="U113" s="87">
        <f>IF(U22=0,0,1000000*U22/TrRoad_act!U62)</f>
        <v>2595.9893410982513</v>
      </c>
      <c r="V113" s="87">
        <f>IF(V22=0,0,1000000*V22/TrRoad_act!V62)</f>
        <v>2489.7206329832534</v>
      </c>
      <c r="W113" s="87">
        <f>IF(W22=0,0,1000000*W22/TrRoad_act!W62)</f>
        <v>2793.5015638804502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2081.6809791147157</v>
      </c>
      <c r="C114" s="87">
        <f>IF(C23=0,0,1000000*C23/TrRoad_act!C63)</f>
        <v>1967.1379149571874</v>
      </c>
      <c r="D114" s="87">
        <f>IF(D23=0,0,1000000*D23/TrRoad_act!D63)</f>
        <v>1879.6661747744072</v>
      </c>
      <c r="E114" s="87">
        <f>IF(E23=0,0,1000000*E23/TrRoad_act!E63)</f>
        <v>1816.4074354961765</v>
      </c>
      <c r="F114" s="87">
        <f>IF(F23=0,0,1000000*F23/TrRoad_act!F63)</f>
        <v>1738.2174345307728</v>
      </c>
      <c r="G114" s="87">
        <f>IF(G23=0,0,1000000*G23/TrRoad_act!G63)</f>
        <v>1659.2559496713843</v>
      </c>
      <c r="H114" s="87">
        <f>IF(H23=0,0,1000000*H23/TrRoad_act!H63)</f>
        <v>1579.6980861062273</v>
      </c>
      <c r="I114" s="87">
        <f>IF(I23=0,0,1000000*I23/TrRoad_act!I63)</f>
        <v>1517.779244760862</v>
      </c>
      <c r="J114" s="87">
        <f>IF(J23=0,0,1000000*J23/TrRoad_act!J63)</f>
        <v>1464.2422884657281</v>
      </c>
      <c r="K114" s="87">
        <f>IF(K23=0,0,1000000*K23/TrRoad_act!K63)</f>
        <v>1416.3721190063006</v>
      </c>
      <c r="L114" s="87">
        <f>IF(L23=0,0,1000000*L23/TrRoad_act!L63)</f>
        <v>1368.0393518843305</v>
      </c>
      <c r="M114" s="87">
        <f>IF(M23=0,0,1000000*M23/TrRoad_act!M63)</f>
        <v>1310.4791833662091</v>
      </c>
      <c r="N114" s="87">
        <f>IF(N23=0,0,1000000*N23/TrRoad_act!N63)</f>
        <v>1243.0340348261234</v>
      </c>
      <c r="O114" s="87">
        <f>IF(O23=0,0,1000000*O23/TrRoad_act!O63)</f>
        <v>1236.4771510617666</v>
      </c>
      <c r="P114" s="87">
        <f>IF(P23=0,0,1000000*P23/TrRoad_act!P63)</f>
        <v>1220.7518787242423</v>
      </c>
      <c r="Q114" s="87">
        <f>IF(Q23=0,0,1000000*Q23/TrRoad_act!Q63)</f>
        <v>1235.3082188620974</v>
      </c>
      <c r="R114" s="87">
        <f>IF(R23=0,0,1000000*R23/TrRoad_act!R63)</f>
        <v>1208.3022219141194</v>
      </c>
      <c r="S114" s="87">
        <f>IF(S23=0,0,1000000*S23/TrRoad_act!S63)</f>
        <v>1207.0034530643743</v>
      </c>
      <c r="T114" s="87">
        <f>IF(T23=0,0,1000000*T23/TrRoad_act!T63)</f>
        <v>1201.2826607863412</v>
      </c>
      <c r="U114" s="87">
        <f>IF(U23=0,0,1000000*U23/TrRoad_act!U63)</f>
        <v>1206.8887164232726</v>
      </c>
      <c r="V114" s="87">
        <f>IF(V23=0,0,1000000*V23/TrRoad_act!V63)</f>
        <v>1045.9610435892694</v>
      </c>
      <c r="W114" s="87">
        <f>IF(W23=0,0,1000000*W23/TrRoad_act!W63)</f>
        <v>1110.7123354769847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2312.9949309030148</v>
      </c>
      <c r="K115" s="87">
        <f>IF(K24=0,0,1000000*K24/TrRoad_act!K64)</f>
        <v>2445.9297161745712</v>
      </c>
      <c r="L115" s="87">
        <f>IF(L24=0,0,1000000*L24/TrRoad_act!L64)</f>
        <v>2228.3340518623777</v>
      </c>
      <c r="M115" s="87">
        <f>IF(M24=0,0,1000000*M24/TrRoad_act!M64)</f>
        <v>2129.3571602311881</v>
      </c>
      <c r="N115" s="87">
        <f>IF(N24=0,0,1000000*N24/TrRoad_act!N64)</f>
        <v>1896.6422179429701</v>
      </c>
      <c r="O115" s="87">
        <f>IF(O24=0,0,1000000*O24/TrRoad_act!O64)</f>
        <v>1677.1370733325512</v>
      </c>
      <c r="P115" s="87">
        <f>IF(P24=0,0,1000000*P24/TrRoad_act!P64)</f>
        <v>1561.5082864387298</v>
      </c>
      <c r="Q115" s="87">
        <f>IF(Q24=0,0,1000000*Q24/TrRoad_act!Q64)</f>
        <v>1404.6860948922676</v>
      </c>
      <c r="R115" s="87">
        <f>IF(R24=0,0,1000000*R24/TrRoad_act!R64)</f>
        <v>1415.7466696781064</v>
      </c>
      <c r="S115" s="87">
        <f>IF(S24=0,0,1000000*S24/TrRoad_act!S64)</f>
        <v>1410.5782550139452</v>
      </c>
      <c r="T115" s="87">
        <f>IF(T24=0,0,1000000*T24/TrRoad_act!T64)</f>
        <v>1433.6762629753787</v>
      </c>
      <c r="U115" s="87">
        <f>IF(U24=0,0,1000000*U24/TrRoad_act!U64)</f>
        <v>1466.3071417647971</v>
      </c>
      <c r="V115" s="87">
        <f>IF(V24=0,0,1000000*V24/TrRoad_act!V64)</f>
        <v>1381.6680231547557</v>
      </c>
      <c r="W115" s="87">
        <f>IF(W24=0,0,1000000*W24/TrRoad_act!W64)</f>
        <v>1261.4112087661383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368.1273541913074</v>
      </c>
      <c r="O116" s="87">
        <f>IF(O25=0,0,1000000*O25/TrRoad_act!O65)</f>
        <v>404.26420462728936</v>
      </c>
      <c r="P116" s="87">
        <f>IF(P25=0,0,1000000*P25/TrRoad_act!P65)</f>
        <v>307.16241089417849</v>
      </c>
      <c r="Q116" s="87">
        <f>IF(Q25=0,0,1000000*Q25/TrRoad_act!Q65)</f>
        <v>537.42078630698529</v>
      </c>
      <c r="R116" s="87">
        <f>IF(R25=0,0,1000000*R25/TrRoad_act!R65)</f>
        <v>440.34678554524129</v>
      </c>
      <c r="S116" s="87">
        <f>IF(S25=0,0,1000000*S25/TrRoad_act!S65)</f>
        <v>462.72950894754405</v>
      </c>
      <c r="T116" s="87">
        <f>IF(T25=0,0,1000000*T25/TrRoad_act!T65)</f>
        <v>422.11645443308959</v>
      </c>
      <c r="U116" s="87">
        <f>IF(U25=0,0,1000000*U25/TrRoad_act!U65)</f>
        <v>391.06896904800402</v>
      </c>
      <c r="V116" s="87">
        <f>IF(V25=0,0,1000000*V25/TrRoad_act!V65)</f>
        <v>319.79248471596566</v>
      </c>
      <c r="W116" s="87">
        <f>IF(W25=0,0,1000000*W25/TrRoad_act!W65)</f>
        <v>279.90410605802316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49338.564407530423</v>
      </c>
      <c r="C118" s="116">
        <f>IF(C27=0,0,1000000*C27/TrRoad_act!C67)</f>
        <v>50035.682846502103</v>
      </c>
      <c r="D118" s="116">
        <f>IF(D27=0,0,1000000*D27/TrRoad_act!D67)</f>
        <v>51014.116211086941</v>
      </c>
      <c r="E118" s="116">
        <f>IF(E27=0,0,1000000*E27/TrRoad_act!E67)</f>
        <v>48360.888068518063</v>
      </c>
      <c r="F118" s="116">
        <f>IF(F27=0,0,1000000*F27/TrRoad_act!F67)</f>
        <v>46184.441299287624</v>
      </c>
      <c r="G118" s="116">
        <f>IF(G27=0,0,1000000*G27/TrRoad_act!G67)</f>
        <v>45647.888841853892</v>
      </c>
      <c r="H118" s="116">
        <f>IF(H27=0,0,1000000*H27/TrRoad_act!H67)</f>
        <v>46847.406751659168</v>
      </c>
      <c r="I118" s="116">
        <f>IF(I27=0,0,1000000*I27/TrRoad_act!I67)</f>
        <v>47119.639786132138</v>
      </c>
      <c r="J118" s="116">
        <f>IF(J27=0,0,1000000*J27/TrRoad_act!J67)</f>
        <v>46900.714472193045</v>
      </c>
      <c r="K118" s="116">
        <f>IF(K27=0,0,1000000*K27/TrRoad_act!K67)</f>
        <v>47683.748236406776</v>
      </c>
      <c r="L118" s="116">
        <f>IF(L27=0,0,1000000*L27/TrRoad_act!L67)</f>
        <v>49858.909586756825</v>
      </c>
      <c r="M118" s="116">
        <f>IF(M27=0,0,1000000*M27/TrRoad_act!M67)</f>
        <v>46693.239942979024</v>
      </c>
      <c r="N118" s="116">
        <f>IF(N27=0,0,1000000*N27/TrRoad_act!N67)</f>
        <v>45509.697102412036</v>
      </c>
      <c r="O118" s="116">
        <f>IF(O27=0,0,1000000*O27/TrRoad_act!O67)</f>
        <v>48453.410654706866</v>
      </c>
      <c r="P118" s="116">
        <f>IF(P27=0,0,1000000*P27/TrRoad_act!P67)</f>
        <v>53269.835614617055</v>
      </c>
      <c r="Q118" s="116">
        <f>IF(Q27=0,0,1000000*Q27/TrRoad_act!Q67)</f>
        <v>51734.244743843206</v>
      </c>
      <c r="R118" s="116">
        <f>IF(R27=0,0,1000000*R27/TrRoad_act!R67)</f>
        <v>54444.657919989142</v>
      </c>
      <c r="S118" s="116">
        <f>IF(S27=0,0,1000000*S27/TrRoad_act!S67)</f>
        <v>55691.670656617694</v>
      </c>
      <c r="T118" s="116">
        <f>IF(T27=0,0,1000000*T27/TrRoad_act!T67)</f>
        <v>53968.642670129571</v>
      </c>
      <c r="U118" s="116">
        <f>IF(U27=0,0,1000000*U27/TrRoad_act!U67)</f>
        <v>53575.370869001265</v>
      </c>
      <c r="V118" s="116">
        <f>IF(V27=0,0,1000000*V27/TrRoad_act!V67)</f>
        <v>43759.712344962252</v>
      </c>
      <c r="W118" s="116">
        <f>IF(W27=0,0,1000000*W27/TrRoad_act!W67)</f>
        <v>42093.129307423027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9202.6660236529024</v>
      </c>
      <c r="C119" s="101">
        <f>IF(C28=0,0,1000000*C28/TrRoad_act!C68)</f>
        <v>9135.2361681513248</v>
      </c>
      <c r="D119" s="101">
        <f>IF(D28=0,0,1000000*D28/TrRoad_act!D68)</f>
        <v>9299.9557487525035</v>
      </c>
      <c r="E119" s="101">
        <f>IF(E28=0,0,1000000*E28/TrRoad_act!E68)</f>
        <v>9001.4979283331541</v>
      </c>
      <c r="F119" s="101">
        <f>IF(F28=0,0,1000000*F28/TrRoad_act!F68)</f>
        <v>8455.9971611687415</v>
      </c>
      <c r="G119" s="101">
        <f>IF(G28=0,0,1000000*G28/TrRoad_act!G68)</f>
        <v>8139.161206322322</v>
      </c>
      <c r="H119" s="101">
        <f>IF(H28=0,0,1000000*H28/TrRoad_act!H68)</f>
        <v>8148.5182671769289</v>
      </c>
      <c r="I119" s="101">
        <f>IF(I28=0,0,1000000*I28/TrRoad_act!I68)</f>
        <v>8257.001323743174</v>
      </c>
      <c r="J119" s="101">
        <f>IF(J28=0,0,1000000*J28/TrRoad_act!J68)</f>
        <v>8202.1851042458347</v>
      </c>
      <c r="K119" s="101">
        <f>IF(K28=0,0,1000000*K28/TrRoad_act!K68)</f>
        <v>8270.1795642243578</v>
      </c>
      <c r="L119" s="101">
        <f>IF(L28=0,0,1000000*L28/TrRoad_act!L68)</f>
        <v>8600.1524374265318</v>
      </c>
      <c r="M119" s="101">
        <f>IF(M28=0,0,1000000*M28/TrRoad_act!M68)</f>
        <v>7990.9098616443443</v>
      </c>
      <c r="N119" s="101">
        <f>IF(N28=0,0,1000000*N28/TrRoad_act!N68)</f>
        <v>7538.7766496065606</v>
      </c>
      <c r="O119" s="101">
        <f>IF(O28=0,0,1000000*O28/TrRoad_act!O68)</f>
        <v>7726.9693078608143</v>
      </c>
      <c r="P119" s="101">
        <f>IF(P28=0,0,1000000*P28/TrRoad_act!P68)</f>
        <v>7859.0924470747796</v>
      </c>
      <c r="Q119" s="101">
        <f>IF(Q28=0,0,1000000*Q28/TrRoad_act!Q68)</f>
        <v>7396.7160579117526</v>
      </c>
      <c r="R119" s="101">
        <f>IF(R28=0,0,1000000*R28/TrRoad_act!R68)</f>
        <v>7724.1001212007313</v>
      </c>
      <c r="S119" s="101">
        <f>IF(S28=0,0,1000000*S28/TrRoad_act!S68)</f>
        <v>7750.7561593981991</v>
      </c>
      <c r="T119" s="101">
        <f>IF(T28=0,0,1000000*T28/TrRoad_act!T68)</f>
        <v>7316.9453150259696</v>
      </c>
      <c r="U119" s="101">
        <f>IF(U28=0,0,1000000*U28/TrRoad_act!U68)</f>
        <v>6994.6536482110168</v>
      </c>
      <c r="V119" s="101">
        <f>IF(V28=0,0,1000000*V28/TrRoad_act!V68)</f>
        <v>5448.1517027167374</v>
      </c>
      <c r="W119" s="101">
        <f>IF(W28=0,0,1000000*W28/TrRoad_act!W68)</f>
        <v>4960.6111650371449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58851.858193377288</v>
      </c>
      <c r="C120" s="101">
        <f>IF(C29=0,0,1000000*C29/TrRoad_act!C69)</f>
        <v>58813.249056302921</v>
      </c>
      <c r="D120" s="101">
        <f>IF(D29=0,0,1000000*D29/TrRoad_act!D69)</f>
        <v>61200.285367208009</v>
      </c>
      <c r="E120" s="101">
        <f>IF(E29=0,0,1000000*E29/TrRoad_act!E69)</f>
        <v>57361.9502704568</v>
      </c>
      <c r="F120" s="101">
        <f>IF(F29=0,0,1000000*F29/TrRoad_act!F69)</f>
        <v>54066.03478757116</v>
      </c>
      <c r="G120" s="101">
        <f>IF(G29=0,0,1000000*G29/TrRoad_act!G69)</f>
        <v>53247.98073123354</v>
      </c>
      <c r="H120" s="101">
        <f>IF(H29=0,0,1000000*H29/TrRoad_act!H69)</f>
        <v>54064.671671725991</v>
      </c>
      <c r="I120" s="101">
        <f>IF(I29=0,0,1000000*I29/TrRoad_act!I69)</f>
        <v>54769.604521881542</v>
      </c>
      <c r="J120" s="101">
        <f>IF(J29=0,0,1000000*J29/TrRoad_act!J69)</f>
        <v>54185.187368280247</v>
      </c>
      <c r="K120" s="101">
        <f>IF(K29=0,0,1000000*K29/TrRoad_act!K69)</f>
        <v>54709.200723516689</v>
      </c>
      <c r="L120" s="101">
        <f>IF(L29=0,0,1000000*L29/TrRoad_act!L69)</f>
        <v>57037.017013589102</v>
      </c>
      <c r="M120" s="101">
        <f>IF(M29=0,0,1000000*M29/TrRoad_act!M69)</f>
        <v>53119.052699080472</v>
      </c>
      <c r="N120" s="101">
        <f>IF(N29=0,0,1000000*N29/TrRoad_act!N69)</f>
        <v>51364.313623570561</v>
      </c>
      <c r="O120" s="101">
        <f>IF(O29=0,0,1000000*O29/TrRoad_act!O69)</f>
        <v>54292.509082412515</v>
      </c>
      <c r="P120" s="101">
        <f>IF(P29=0,0,1000000*P29/TrRoad_act!P69)</f>
        <v>57379.534879119921</v>
      </c>
      <c r="Q120" s="101">
        <f>IF(Q29=0,0,1000000*Q29/TrRoad_act!Q69)</f>
        <v>55503.420380765572</v>
      </c>
      <c r="R120" s="101">
        <f>IF(R29=0,0,1000000*R29/TrRoad_act!R69)</f>
        <v>58271.865718930647</v>
      </c>
      <c r="S120" s="101">
        <f>IF(S29=0,0,1000000*S29/TrRoad_act!S69)</f>
        <v>59605.842546903514</v>
      </c>
      <c r="T120" s="101">
        <f>IF(T29=0,0,1000000*T29/TrRoad_act!T69)</f>
        <v>57751.956571259783</v>
      </c>
      <c r="U120" s="101">
        <f>IF(U29=0,0,1000000*U29/TrRoad_act!U69)</f>
        <v>56899.052816009666</v>
      </c>
      <c r="V120" s="101">
        <f>IF(V29=0,0,1000000*V29/TrRoad_act!V69)</f>
        <v>46004.518393842263</v>
      </c>
      <c r="W120" s="101">
        <f>IF(W29=0,0,1000000*W29/TrRoad_act!W69)</f>
        <v>42998.087765611584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18510.075308231368</v>
      </c>
      <c r="W121" s="101">
        <f>IF(W30=0,0,1000000*W30/TrRoad_act!W70)</f>
        <v>17123.13331964699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32905.551724137935</v>
      </c>
      <c r="C122" s="101">
        <f>IF(C31=0,0,1000000*C31/TrRoad_act!C71)</f>
        <v>31538.95890410959</v>
      </c>
      <c r="D122" s="101">
        <f>IF(D31=0,0,1000000*D31/TrRoad_act!D71)</f>
        <v>29517.230769230773</v>
      </c>
      <c r="E122" s="101">
        <f>IF(E31=0,0,1000000*E31/TrRoad_act!E71)</f>
        <v>28611</v>
      </c>
      <c r="F122" s="101">
        <f>IF(F31=0,0,1000000*F31/TrRoad_act!F71)</f>
        <v>41401.800000000003</v>
      </c>
      <c r="G122" s="101">
        <f>IF(G31=0,0,1000000*G31/TrRoad_act!G71)</f>
        <v>35174.699999999997</v>
      </c>
      <c r="H122" s="101">
        <f>IF(H31=0,0,1000000*H31/TrRoad_act!H71)</f>
        <v>47292.299999999988</v>
      </c>
      <c r="I122" s="101">
        <f>IF(I31=0,0,1000000*I31/TrRoad_act!I71)</f>
        <v>24684.000000000004</v>
      </c>
      <c r="J122" s="101">
        <f>IF(J31=0,0,1000000*J31/TrRoad_act!J71)</f>
        <v>24929.008561141578</v>
      </c>
      <c r="K122" s="101">
        <f>IF(K31=0,0,1000000*K31/TrRoad_act!K71)</f>
        <v>28299.511939207565</v>
      </c>
      <c r="L122" s="101">
        <f>IF(L31=0,0,1000000*L31/TrRoad_act!L71)</f>
        <v>36735.767671894631</v>
      </c>
      <c r="M122" s="101">
        <f>IF(M31=0,0,1000000*M31/TrRoad_act!M71)</f>
        <v>42891.541818046127</v>
      </c>
      <c r="N122" s="101">
        <f>IF(N31=0,0,1000000*N31/TrRoad_act!N71)</f>
        <v>49596.662517898221</v>
      </c>
      <c r="O122" s="101">
        <f>IF(O31=0,0,1000000*O31/TrRoad_act!O71)</f>
        <v>49116.28051967403</v>
      </c>
      <c r="P122" s="101">
        <f>IF(P31=0,0,1000000*P31/TrRoad_act!P71)</f>
        <v>84284.998831252044</v>
      </c>
      <c r="Q122" s="101">
        <f>IF(Q31=0,0,1000000*Q31/TrRoad_act!Q71)</f>
        <v>73199.999416029939</v>
      </c>
      <c r="R122" s="101">
        <f>IF(R31=0,0,1000000*R31/TrRoad_act!R71)</f>
        <v>73387.776086622383</v>
      </c>
      <c r="S122" s="101">
        <f>IF(S31=0,0,1000000*S31/TrRoad_act!S71)</f>
        <v>70320.963376839878</v>
      </c>
      <c r="T122" s="101">
        <f>IF(T31=0,0,1000000*T31/TrRoad_act!T71)</f>
        <v>64364.646582953399</v>
      </c>
      <c r="U122" s="101">
        <f>IF(U31=0,0,1000000*U31/TrRoad_act!U71)</f>
        <v>65886.688569796301</v>
      </c>
      <c r="V122" s="101">
        <f>IF(V31=0,0,1000000*V31/TrRoad_act!V71)</f>
        <v>60780.377125060011</v>
      </c>
      <c r="W122" s="101">
        <f>IF(W31=0,0,1000000*W31/TrRoad_act!W71)</f>
        <v>69363.527569082871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3203.9897809695353</v>
      </c>
      <c r="C125" s="152">
        <f>IF(C34=0,0,1000000*C34/TrRoad_act!C74)</f>
        <v>3188.2928100636659</v>
      </c>
      <c r="D125" s="152">
        <f>IF(D34=0,0,1000000*D34/TrRoad_act!D74)</f>
        <v>3176.1731967926748</v>
      </c>
      <c r="E125" s="152">
        <f>IF(E34=0,0,1000000*E34/TrRoad_act!E74)</f>
        <v>3206.7221541776316</v>
      </c>
      <c r="F125" s="152">
        <f>IF(F34=0,0,1000000*F34/TrRoad_act!F74)</f>
        <v>3211.0910910915172</v>
      </c>
      <c r="G125" s="152">
        <f>IF(G34=0,0,1000000*G34/TrRoad_act!G74)</f>
        <v>3227.6945344619548</v>
      </c>
      <c r="H125" s="152">
        <f>IF(H34=0,0,1000000*H34/TrRoad_act!H74)</f>
        <v>3178.5062953198894</v>
      </c>
      <c r="I125" s="152">
        <f>IF(I34=0,0,1000000*I34/TrRoad_act!I74)</f>
        <v>3114.3493595070959</v>
      </c>
      <c r="J125" s="152">
        <f>IF(J34=0,0,1000000*J34/TrRoad_act!J74)</f>
        <v>3250.5038623808632</v>
      </c>
      <c r="K125" s="152">
        <f>IF(K34=0,0,1000000*K34/TrRoad_act!K74)</f>
        <v>3230.0002312409961</v>
      </c>
      <c r="L125" s="152">
        <f>IF(L34=0,0,1000000*L34/TrRoad_act!L74)</f>
        <v>3397.5237246349257</v>
      </c>
      <c r="M125" s="152">
        <f>IF(M34=0,0,1000000*M34/TrRoad_act!M74)</f>
        <v>3410.8570203844156</v>
      </c>
      <c r="N125" s="152">
        <f>IF(N34=0,0,1000000*N34/TrRoad_act!N74)</f>
        <v>3485.8818953027826</v>
      </c>
      <c r="O125" s="152">
        <f>IF(O34=0,0,1000000*O34/TrRoad_act!O74)</f>
        <v>3641.5188693983951</v>
      </c>
      <c r="P125" s="152">
        <f>IF(P34=0,0,1000000*P34/TrRoad_act!P74)</f>
        <v>3947.5552054012874</v>
      </c>
      <c r="Q125" s="152">
        <f>IF(Q34=0,0,1000000*Q34/TrRoad_act!Q74)</f>
        <v>4073.7606119921766</v>
      </c>
      <c r="R125" s="152">
        <f>IF(R34=0,0,1000000*R34/TrRoad_act!R74)</f>
        <v>4140.6212641220791</v>
      </c>
      <c r="S125" s="152">
        <f>IF(S34=0,0,1000000*S34/TrRoad_act!S74)</f>
        <v>4154.450213124057</v>
      </c>
      <c r="T125" s="152">
        <f>IF(T34=0,0,1000000*T34/TrRoad_act!T74)</f>
        <v>4142.9714200091248</v>
      </c>
      <c r="U125" s="152">
        <f>IF(U34=0,0,1000000*U34/TrRoad_act!U74)</f>
        <v>4105.7920620610585</v>
      </c>
      <c r="V125" s="152">
        <f>IF(V34=0,0,1000000*V34/TrRoad_act!V74)</f>
        <v>3930.5357386450737</v>
      </c>
      <c r="W125" s="152">
        <f>IF(W34=0,0,1000000*W34/TrRoad_act!W74)</f>
        <v>4048.6096356899743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1815.0427743766932</v>
      </c>
      <c r="C126" s="87">
        <f>IF(C35=0,0,1000000*C35/TrRoad_act!C75)</f>
        <v>1806.7457781306866</v>
      </c>
      <c r="D126" s="87">
        <f>IF(D35=0,0,1000000*D35/TrRoad_act!D75)</f>
        <v>1797.3929118361868</v>
      </c>
      <c r="E126" s="87">
        <f>IF(E35=0,0,1000000*E35/TrRoad_act!E75)</f>
        <v>1790.2760216624131</v>
      </c>
      <c r="F126" s="87">
        <f>IF(F35=0,0,1000000*F35/TrRoad_act!F75)</f>
        <v>1769.2806062874115</v>
      </c>
      <c r="G126" s="87">
        <f>IF(G35=0,0,1000000*G35/TrRoad_act!G75)</f>
        <v>1747.7627405306266</v>
      </c>
      <c r="H126" s="87">
        <f>IF(H35=0,0,1000000*H35/TrRoad_act!H75)</f>
        <v>1722.9961043645922</v>
      </c>
      <c r="I126" s="87">
        <f>IF(I35=0,0,1000000*I35/TrRoad_act!I75)</f>
        <v>1699.6577294490601</v>
      </c>
      <c r="J126" s="87">
        <f>IF(J35=0,0,1000000*J35/TrRoad_act!J75)</f>
        <v>1691.9256990450554</v>
      </c>
      <c r="K126" s="87">
        <f>IF(K35=0,0,1000000*K35/TrRoad_act!K75)</f>
        <v>1671.0495925768951</v>
      </c>
      <c r="L126" s="87">
        <f>IF(L35=0,0,1000000*L35/TrRoad_act!L75)</f>
        <v>1695.9421613517607</v>
      </c>
      <c r="M126" s="87">
        <f>IF(M35=0,0,1000000*M35/TrRoad_act!M75)</f>
        <v>1697.3189801414726</v>
      </c>
      <c r="N126" s="87">
        <f>IF(N35=0,0,1000000*N35/TrRoad_act!N75)</f>
        <v>1705.2604038227373</v>
      </c>
      <c r="O126" s="87">
        <f>IF(O35=0,0,1000000*O35/TrRoad_act!O75)</f>
        <v>1729.2254527954276</v>
      </c>
      <c r="P126" s="87">
        <f>IF(P35=0,0,1000000*P35/TrRoad_act!P75)</f>
        <v>1743.6206842964461</v>
      </c>
      <c r="Q126" s="87">
        <f>IF(Q35=0,0,1000000*Q35/TrRoad_act!Q75)</f>
        <v>1740.2485249125796</v>
      </c>
      <c r="R126" s="87">
        <f>IF(R35=0,0,1000000*R35/TrRoad_act!R75)</f>
        <v>1779.0821070155412</v>
      </c>
      <c r="S126" s="87">
        <f>IF(S35=0,0,1000000*S35/TrRoad_act!S75)</f>
        <v>1743.6187637459511</v>
      </c>
      <c r="T126" s="87">
        <f>IF(T35=0,0,1000000*T35/TrRoad_act!T75)</f>
        <v>1734.1618596606936</v>
      </c>
      <c r="U126" s="87">
        <f>IF(U35=0,0,1000000*U35/TrRoad_act!U75)</f>
        <v>1712.9117018097584</v>
      </c>
      <c r="V126" s="87">
        <f>IF(V35=0,0,1000000*V35/TrRoad_act!V75)</f>
        <v>1691.3007167678836</v>
      </c>
      <c r="W126" s="87">
        <f>IF(W35=0,0,1000000*W35/TrRoad_act!W75)</f>
        <v>1706.7021162616827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3834.6284368164693</v>
      </c>
      <c r="C127" s="87">
        <f>IF(C36=0,0,1000000*C36/TrRoad_act!C76)</f>
        <v>3808.1097331113974</v>
      </c>
      <c r="D127" s="87">
        <f>IF(D36=0,0,1000000*D36/TrRoad_act!D76)</f>
        <v>3785.464494695284</v>
      </c>
      <c r="E127" s="87">
        <f>IF(E36=0,0,1000000*E36/TrRoad_act!E76)</f>
        <v>3730.8435389875203</v>
      </c>
      <c r="F127" s="87">
        <f>IF(F36=0,0,1000000*F36/TrRoad_act!F76)</f>
        <v>3678.8283675933958</v>
      </c>
      <c r="G127" s="87">
        <f>IF(G36=0,0,1000000*G36/TrRoad_act!G76)</f>
        <v>3667.8806554359717</v>
      </c>
      <c r="H127" s="87">
        <f>IF(H36=0,0,1000000*H36/TrRoad_act!H76)</f>
        <v>3618.3937628918825</v>
      </c>
      <c r="I127" s="87">
        <f>IF(I36=0,0,1000000*I36/TrRoad_act!I76)</f>
        <v>3539.351879318147</v>
      </c>
      <c r="J127" s="87">
        <f>IF(J36=0,0,1000000*J36/TrRoad_act!J76)</f>
        <v>3707.8335810567723</v>
      </c>
      <c r="K127" s="87">
        <f>IF(K36=0,0,1000000*K36/TrRoad_act!K76)</f>
        <v>3669.153236610266</v>
      </c>
      <c r="L127" s="87">
        <f>IF(L36=0,0,1000000*L36/TrRoad_act!L76)</f>
        <v>3862.1537448534136</v>
      </c>
      <c r="M127" s="87">
        <f>IF(M36=0,0,1000000*M36/TrRoad_act!M76)</f>
        <v>3862.0970431666883</v>
      </c>
      <c r="N127" s="87">
        <f>IF(N36=0,0,1000000*N36/TrRoad_act!N76)</f>
        <v>3940.5315441644548</v>
      </c>
      <c r="O127" s="87">
        <f>IF(O36=0,0,1000000*O36/TrRoad_act!O76)</f>
        <v>4134.0195566139091</v>
      </c>
      <c r="P127" s="87">
        <f>IF(P36=0,0,1000000*P36/TrRoad_act!P76)</f>
        <v>4527.0909185858673</v>
      </c>
      <c r="Q127" s="87">
        <f>IF(Q36=0,0,1000000*Q36/TrRoad_act!Q76)</f>
        <v>4705.355235366842</v>
      </c>
      <c r="R127" s="87">
        <f>IF(R36=0,0,1000000*R36/TrRoad_act!R76)</f>
        <v>4969.69148717197</v>
      </c>
      <c r="S127" s="87">
        <f>IF(S36=0,0,1000000*S36/TrRoad_act!S76)</f>
        <v>5012.1391595441237</v>
      </c>
      <c r="T127" s="87">
        <f>IF(T36=0,0,1000000*T36/TrRoad_act!T76)</f>
        <v>5013.8959592509555</v>
      </c>
      <c r="U127" s="87">
        <f>IF(U36=0,0,1000000*U36/TrRoad_act!U76)</f>
        <v>4980.2899937538796</v>
      </c>
      <c r="V127" s="87">
        <f>IF(V36=0,0,1000000*V36/TrRoad_act!V76)</f>
        <v>4767.1481112321799</v>
      </c>
      <c r="W127" s="87">
        <f>IF(W36=0,0,1000000*W36/TrRoad_act!W76)</f>
        <v>4949.7756624691474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4297.1598605343543</v>
      </c>
      <c r="C128" s="87">
        <f>IF(C37=0,0,1000000*C37/TrRoad_act!C77)</f>
        <v>4352.0261795945044</v>
      </c>
      <c r="D128" s="87">
        <f>IF(D37=0,0,1000000*D37/TrRoad_act!D77)</f>
        <v>4260.5900123141791</v>
      </c>
      <c r="E128" s="87">
        <f>IF(E37=0,0,1000000*E37/TrRoad_act!E77)</f>
        <v>4125.8799691871636</v>
      </c>
      <c r="F128" s="87">
        <f>IF(F37=0,0,1000000*F37/TrRoad_act!F77)</f>
        <v>3932.7116490197404</v>
      </c>
      <c r="G128" s="87">
        <f>IF(G37=0,0,1000000*G37/TrRoad_act!G77)</f>
        <v>3773.3211076405405</v>
      </c>
      <c r="H128" s="87">
        <f>IF(H37=0,0,1000000*H37/TrRoad_act!H77)</f>
        <v>3577.5516733191644</v>
      </c>
      <c r="I128" s="87">
        <f>IF(I37=0,0,1000000*I37/TrRoad_act!I77)</f>
        <v>3395.8352791786801</v>
      </c>
      <c r="J128" s="87">
        <f>IF(J37=0,0,1000000*J37/TrRoad_act!J77)</f>
        <v>3379.7879618227098</v>
      </c>
      <c r="K128" s="87">
        <f>IF(K37=0,0,1000000*K37/TrRoad_act!K77)</f>
        <v>3280.935643705152</v>
      </c>
      <c r="L128" s="87">
        <f>IF(L37=0,0,1000000*L37/TrRoad_act!L77)</f>
        <v>3273.6963556109267</v>
      </c>
      <c r="M128" s="87">
        <f>IF(M37=0,0,1000000*M37/TrRoad_act!M77)</f>
        <v>3209.0315107838865</v>
      </c>
      <c r="N128" s="87">
        <f>IF(N37=0,0,1000000*N37/TrRoad_act!N77)</f>
        <v>3179.5823622543385</v>
      </c>
      <c r="O128" s="87">
        <f>IF(O37=0,0,1000000*O37/TrRoad_act!O77)</f>
        <v>3213.7369345508764</v>
      </c>
      <c r="P128" s="87">
        <f>IF(P37=0,0,1000000*P37/TrRoad_act!P77)</f>
        <v>3249.4155798349602</v>
      </c>
      <c r="Q128" s="87">
        <f>IF(Q37=0,0,1000000*Q37/TrRoad_act!Q77)</f>
        <v>3242.7203506657679</v>
      </c>
      <c r="R128" s="87">
        <f>IF(R37=0,0,1000000*R37/TrRoad_act!R77)</f>
        <v>3308.7404721590933</v>
      </c>
      <c r="S128" s="87">
        <f>IF(S37=0,0,1000000*S37/TrRoad_act!S77)</f>
        <v>3294.2426506572224</v>
      </c>
      <c r="T128" s="87">
        <f>IF(T37=0,0,1000000*T37/TrRoad_act!T77)</f>
        <v>3257.6959148611954</v>
      </c>
      <c r="U128" s="87">
        <f>IF(U37=0,0,1000000*U37/TrRoad_act!U77)</f>
        <v>3251.3895519782473</v>
      </c>
      <c r="V128" s="87">
        <f>IF(V37=0,0,1000000*V37/TrRoad_act!V77)</f>
        <v>3219.3918761821737</v>
      </c>
      <c r="W128" s="87">
        <f>IF(W37=0,0,1000000*W37/TrRoad_act!W77)</f>
        <v>3251.0062360949637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2648.6603461579639</v>
      </c>
      <c r="O129" s="87">
        <f>IF(O38=0,0,1000000*O38/TrRoad_act!O78)</f>
        <v>2646.3099784894193</v>
      </c>
      <c r="P129" s="87">
        <f>IF(P38=0,0,1000000*P38/TrRoad_act!P78)</f>
        <v>2604.5953141605432</v>
      </c>
      <c r="Q129" s="87">
        <f>IF(Q38=0,0,1000000*Q38/TrRoad_act!Q78)</f>
        <v>2272.5188513153648</v>
      </c>
      <c r="R129" s="87">
        <f>IF(R38=0,0,1000000*R38/TrRoad_act!R78)</f>
        <v>2547.0827755199748</v>
      </c>
      <c r="S129" s="87">
        <f>IF(S38=0,0,1000000*S38/TrRoad_act!S78)</f>
        <v>2561.4214814897587</v>
      </c>
      <c r="T129" s="87">
        <f>IF(T38=0,0,1000000*T38/TrRoad_act!T78)</f>
        <v>2513.2428706224223</v>
      </c>
      <c r="U129" s="87">
        <f>IF(U38=0,0,1000000*U38/TrRoad_act!U78)</f>
        <v>2488.2616836040775</v>
      </c>
      <c r="V129" s="87">
        <f>IF(V38=0,0,1000000*V38/TrRoad_act!V78)</f>
        <v>2186.5313469708749</v>
      </c>
      <c r="W129" s="87">
        <f>IF(W38=0,0,1000000*W38/TrRoad_act!W78)</f>
        <v>2026.3444794167706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17666.088135835194</v>
      </c>
      <c r="C131" s="116">
        <f>IF(C40=0,0,1000000*C40/TrRoad_act!C80)</f>
        <v>18454.580709370028</v>
      </c>
      <c r="D131" s="116">
        <f>IF(D40=0,0,1000000*D40/TrRoad_act!D80)</f>
        <v>20577.566827802941</v>
      </c>
      <c r="E131" s="116">
        <f>IF(E40=0,0,1000000*E40/TrRoad_act!E80)</f>
        <v>27435.259540456529</v>
      </c>
      <c r="F131" s="116">
        <f>IF(F40=0,0,1000000*F40/TrRoad_act!F80)</f>
        <v>31120.894878909025</v>
      </c>
      <c r="G131" s="116">
        <f>IF(G40=0,0,1000000*G40/TrRoad_act!G80)</f>
        <v>37383.312450909449</v>
      </c>
      <c r="H131" s="116">
        <f>IF(H40=0,0,1000000*H40/TrRoad_act!H80)</f>
        <v>40653.051116576476</v>
      </c>
      <c r="I131" s="116">
        <f>IF(I40=0,0,1000000*I40/TrRoad_act!I80)</f>
        <v>40947.963102141941</v>
      </c>
      <c r="J131" s="116">
        <f>IF(J40=0,0,1000000*J40/TrRoad_act!J80)</f>
        <v>40162.130390161488</v>
      </c>
      <c r="K131" s="116">
        <f>IF(K40=0,0,1000000*K40/TrRoad_act!K80)</f>
        <v>37865.605712712022</v>
      </c>
      <c r="L131" s="116">
        <f>IF(L40=0,0,1000000*L40/TrRoad_act!L80)</f>
        <v>38239.726981731532</v>
      </c>
      <c r="M131" s="116">
        <f>IF(M40=0,0,1000000*M40/TrRoad_act!M80)</f>
        <v>37811.275092304793</v>
      </c>
      <c r="N131" s="116">
        <f>IF(N40=0,0,1000000*N40/TrRoad_act!N80)</f>
        <v>33857.619621715676</v>
      </c>
      <c r="O131" s="116">
        <f>IF(O40=0,0,1000000*O40/TrRoad_act!O80)</f>
        <v>31941.936297852011</v>
      </c>
      <c r="P131" s="116">
        <f>IF(P40=0,0,1000000*P40/TrRoad_act!P80)</f>
        <v>31615.271510667371</v>
      </c>
      <c r="Q131" s="116">
        <f>IF(Q40=0,0,1000000*Q40/TrRoad_act!Q80)</f>
        <v>32068.636783462378</v>
      </c>
      <c r="R131" s="116">
        <f>IF(R40=0,0,1000000*R40/TrRoad_act!R80)</f>
        <v>32876.494105189973</v>
      </c>
      <c r="S131" s="116">
        <f>IF(S40=0,0,1000000*S40/TrRoad_act!S80)</f>
        <v>32501.982445324473</v>
      </c>
      <c r="T131" s="116">
        <f>IF(T40=0,0,1000000*T40/TrRoad_act!T80)</f>
        <v>30988.621732045223</v>
      </c>
      <c r="U131" s="116">
        <f>IF(U40=0,0,1000000*U40/TrRoad_act!U80)</f>
        <v>29868.867811195098</v>
      </c>
      <c r="V131" s="116">
        <f>IF(V40=0,0,1000000*V40/TrRoad_act!V80)</f>
        <v>29353.352828913379</v>
      </c>
      <c r="W131" s="116">
        <f>IF(W40=0,0,1000000*W40/TrRoad_act!W80)</f>
        <v>32290.576631500564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10798.453961869896</v>
      </c>
      <c r="C132" s="101">
        <f>IF(C41=0,0,1000000*C41/TrRoad_act!C81)</f>
        <v>12460.742686801788</v>
      </c>
      <c r="D132" s="101">
        <f>IF(D41=0,0,1000000*D41/TrRoad_act!D81)</f>
        <v>14182.480125015043</v>
      </c>
      <c r="E132" s="101">
        <f>IF(E41=0,0,1000000*E41/TrRoad_act!E81)</f>
        <v>18573.149517215905</v>
      </c>
      <c r="F132" s="101">
        <f>IF(F41=0,0,1000000*F41/TrRoad_act!F81)</f>
        <v>21001.94666258369</v>
      </c>
      <c r="G132" s="101">
        <f>IF(G41=0,0,1000000*G41/TrRoad_act!G81)</f>
        <v>24872.532052288578</v>
      </c>
      <c r="H132" s="101">
        <f>IF(H41=0,0,1000000*H41/TrRoad_act!H81)</f>
        <v>24457.234223221531</v>
      </c>
      <c r="I132" s="101">
        <f>IF(I41=0,0,1000000*I41/TrRoad_act!I81)</f>
        <v>23055.588473330728</v>
      </c>
      <c r="J132" s="101">
        <f>IF(J41=0,0,1000000*J41/TrRoad_act!J81)</f>
        <v>22590.61373231361</v>
      </c>
      <c r="K132" s="101">
        <f>IF(K41=0,0,1000000*K41/TrRoad_act!K81)</f>
        <v>19479.039504757689</v>
      </c>
      <c r="L132" s="101">
        <f>IF(L41=0,0,1000000*L41/TrRoad_act!L81)</f>
        <v>20387.134931251767</v>
      </c>
      <c r="M132" s="101">
        <f>IF(M41=0,0,1000000*M41/TrRoad_act!M81)</f>
        <v>20408.088871728785</v>
      </c>
      <c r="N132" s="101">
        <f>IF(N41=0,0,1000000*N41/TrRoad_act!N81)</f>
        <v>17877.818489403315</v>
      </c>
      <c r="O132" s="101">
        <f>IF(O41=0,0,1000000*O41/TrRoad_act!O81)</f>
        <v>18725.269955099764</v>
      </c>
      <c r="P132" s="101">
        <f>IF(P41=0,0,1000000*P41/TrRoad_act!P81)</f>
        <v>19293.556606619732</v>
      </c>
      <c r="Q132" s="101">
        <f>IF(Q41=0,0,1000000*Q41/TrRoad_act!Q81)</f>
        <v>21233.190718502068</v>
      </c>
      <c r="R132" s="101">
        <f>IF(R41=0,0,1000000*R41/TrRoad_act!R81)</f>
        <v>20189.647811944873</v>
      </c>
      <c r="S132" s="101">
        <f>IF(S41=0,0,1000000*S41/TrRoad_act!S81)</f>
        <v>19773.301477704317</v>
      </c>
      <c r="T132" s="101">
        <f>IF(T41=0,0,1000000*T41/TrRoad_act!T81)</f>
        <v>19353.705421540406</v>
      </c>
      <c r="U132" s="101">
        <f>IF(U41=0,0,1000000*U41/TrRoad_act!U81)</f>
        <v>18775.812465059622</v>
      </c>
      <c r="V132" s="101">
        <f>IF(V41=0,0,1000000*V41/TrRoad_act!V81)</f>
        <v>21666.675187544159</v>
      </c>
      <c r="W132" s="101">
        <f>IF(W41=0,0,1000000*W41/TrRoad_act!W81)</f>
        <v>24636.767932142622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106510.04528092071</v>
      </c>
      <c r="C133" s="88">
        <f>IF(C42=0,0,1000000*C42/TrRoad_act!C82)</f>
        <v>91473.835117850089</v>
      </c>
      <c r="D133" s="88">
        <f>IF(D42=0,0,1000000*D42/TrRoad_act!D82)</f>
        <v>94387.029122491935</v>
      </c>
      <c r="E133" s="88">
        <f>IF(E42=0,0,1000000*E42/TrRoad_act!E82)</f>
        <v>119035.02624758407</v>
      </c>
      <c r="F133" s="88">
        <f>IF(F42=0,0,1000000*F42/TrRoad_act!F82)</f>
        <v>117209.998610925</v>
      </c>
      <c r="G133" s="88">
        <f>IF(G42=0,0,1000000*G42/TrRoad_act!G82)</f>
        <v>139879.57187247579</v>
      </c>
      <c r="H133" s="88">
        <f>IF(H42=0,0,1000000*H42/TrRoad_act!H82)</f>
        <v>165374.05328261014</v>
      </c>
      <c r="I133" s="88">
        <f>IF(I42=0,0,1000000*I42/TrRoad_act!I82)</f>
        <v>180702.65135015477</v>
      </c>
      <c r="J133" s="88">
        <f>IF(J42=0,0,1000000*J42/TrRoad_act!J82)</f>
        <v>180739.20919661404</v>
      </c>
      <c r="K133" s="88">
        <f>IF(K42=0,0,1000000*K42/TrRoad_act!K82)</f>
        <v>185390.66384517067</v>
      </c>
      <c r="L133" s="88">
        <f>IF(L42=0,0,1000000*L42/TrRoad_act!L82)</f>
        <v>162792.98539355557</v>
      </c>
      <c r="M133" s="88">
        <f>IF(M42=0,0,1000000*M42/TrRoad_act!M82)</f>
        <v>148203.21285350129</v>
      </c>
      <c r="N133" s="88">
        <f>IF(N42=0,0,1000000*N42/TrRoad_act!N82)</f>
        <v>144540.22945356648</v>
      </c>
      <c r="O133" s="88">
        <f>IF(O42=0,0,1000000*O42/TrRoad_act!O82)</f>
        <v>112396.95778617596</v>
      </c>
      <c r="P133" s="88">
        <f>IF(P42=0,0,1000000*P42/TrRoad_act!P82)</f>
        <v>109397.60928292456</v>
      </c>
      <c r="Q133" s="88">
        <f>IF(Q42=0,0,1000000*Q42/TrRoad_act!Q82)</f>
        <v>101268.18571785322</v>
      </c>
      <c r="R133" s="88">
        <f>IF(R42=0,0,1000000*R42/TrRoad_act!R82)</f>
        <v>122764.18018601979</v>
      </c>
      <c r="S133" s="88">
        <f>IF(S42=0,0,1000000*S42/TrRoad_act!S82)</f>
        <v>129561.13606695601</v>
      </c>
      <c r="T133" s="88">
        <f>IF(T42=0,0,1000000*T42/TrRoad_act!T82)</f>
        <v>132125.81573355058</v>
      </c>
      <c r="U133" s="88">
        <f>IF(U42=0,0,1000000*U42/TrRoad_act!U82)</f>
        <v>125549.93332852155</v>
      </c>
      <c r="V133" s="88">
        <f>IF(V42=0,0,1000000*V42/TrRoad_act!V82)</f>
        <v>81776.207887823824</v>
      </c>
      <c r="W133" s="88">
        <f>IF(W42=0,0,1000000*W42/TrRoad_act!W82)</f>
        <v>79685.730981390792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0.73908712051267622</v>
      </c>
      <c r="C136" s="46">
        <f t="shared" si="40"/>
        <v>0.7391711491197912</v>
      </c>
      <c r="D136" s="46">
        <f t="shared" si="40"/>
        <v>0.72147453170030484</v>
      </c>
      <c r="E136" s="46">
        <f t="shared" si="40"/>
        <v>0.70197373402494856</v>
      </c>
      <c r="F136" s="46">
        <f t="shared" si="40"/>
        <v>0.67953019359234768</v>
      </c>
      <c r="G136" s="46">
        <f t="shared" si="40"/>
        <v>0.64531943621430754</v>
      </c>
      <c r="H136" s="46">
        <f t="shared" si="40"/>
        <v>0.62878518409409634</v>
      </c>
      <c r="I136" s="46">
        <f t="shared" si="40"/>
        <v>0.62359694722461223</v>
      </c>
      <c r="J136" s="46">
        <f t="shared" si="40"/>
        <v>0.62420575760741748</v>
      </c>
      <c r="K136" s="46">
        <f t="shared" si="40"/>
        <v>0.64506868713926668</v>
      </c>
      <c r="L136" s="46">
        <f t="shared" si="41"/>
        <v>0.63269163932888062</v>
      </c>
      <c r="M136" s="46">
        <f t="shared" si="40"/>
        <v>0.63817320299676594</v>
      </c>
      <c r="N136" s="46">
        <f t="shared" si="40"/>
        <v>0.64078103070148951</v>
      </c>
      <c r="O136" s="46">
        <f t="shared" si="40"/>
        <v>0.65088985657272214</v>
      </c>
      <c r="P136" s="46">
        <f t="shared" si="40"/>
        <v>0.6439154361661461</v>
      </c>
      <c r="Q136" s="46">
        <f t="shared" si="40"/>
        <v>0.62590637584748032</v>
      </c>
      <c r="R136" s="46">
        <f t="shared" si="40"/>
        <v>0.63340602006001334</v>
      </c>
      <c r="S136" s="46">
        <f t="shared" si="40"/>
        <v>0.62761570823680779</v>
      </c>
      <c r="T136" s="46">
        <f t="shared" si="40"/>
        <v>0.63076725762370889</v>
      </c>
      <c r="U136" s="46">
        <f t="shared" si="40"/>
        <v>0.6359255688317772</v>
      </c>
      <c r="V136" s="46">
        <f t="shared" si="40"/>
        <v>0.6357376702709252</v>
      </c>
      <c r="W136" s="46">
        <f t="shared" si="42"/>
        <v>0.64029306905832406</v>
      </c>
      <c r="DA136" s="211"/>
    </row>
    <row r="137" spans="1:105" ht="11.45" customHeight="1" x14ac:dyDescent="0.25">
      <c r="A137" s="153" t="s">
        <v>180</v>
      </c>
      <c r="B137" s="154">
        <f t="shared" si="40"/>
        <v>1.3915818399587573E-2</v>
      </c>
      <c r="C137" s="154">
        <f t="shared" si="40"/>
        <v>1.2417691773172448E-2</v>
      </c>
      <c r="D137" s="154">
        <f t="shared" si="40"/>
        <v>1.1524011293557313E-2</v>
      </c>
      <c r="E137" s="154">
        <f t="shared" si="40"/>
        <v>1.0082014010449685E-2</v>
      </c>
      <c r="F137" s="154">
        <f t="shared" si="40"/>
        <v>9.523299639981473E-3</v>
      </c>
      <c r="G137" s="154">
        <f t="shared" si="40"/>
        <v>9.0251706154847958E-3</v>
      </c>
      <c r="H137" s="154">
        <f t="shared" si="40"/>
        <v>8.8914454243235446E-3</v>
      </c>
      <c r="I137" s="154">
        <f t="shared" si="40"/>
        <v>8.736594098258622E-3</v>
      </c>
      <c r="J137" s="154">
        <f t="shared" si="40"/>
        <v>8.9211670953392719E-3</v>
      </c>
      <c r="K137" s="154">
        <f t="shared" si="40"/>
        <v>9.1253051625058892E-3</v>
      </c>
      <c r="L137" s="154">
        <f t="shared" si="41"/>
        <v>9.7816863032390341E-3</v>
      </c>
      <c r="M137" s="154">
        <f t="shared" si="40"/>
        <v>9.9628398688718558E-3</v>
      </c>
      <c r="N137" s="154">
        <f t="shared" si="40"/>
        <v>1.0297425506902458E-2</v>
      </c>
      <c r="O137" s="154">
        <f t="shared" si="40"/>
        <v>1.0334104736545975E-2</v>
      </c>
      <c r="P137" s="154">
        <f t="shared" si="40"/>
        <v>1.0021695372065714E-2</v>
      </c>
      <c r="Q137" s="154">
        <f t="shared" si="40"/>
        <v>9.8371826594595216E-3</v>
      </c>
      <c r="R137" s="154">
        <f t="shared" si="40"/>
        <v>9.6908072375478972E-3</v>
      </c>
      <c r="S137" s="154">
        <f t="shared" si="40"/>
        <v>8.7709408630412371E-3</v>
      </c>
      <c r="T137" s="154">
        <f t="shared" si="40"/>
        <v>8.2048687872822261E-3</v>
      </c>
      <c r="U137" s="154">
        <f t="shared" si="40"/>
        <v>8.4916788026924098E-3</v>
      </c>
      <c r="V137" s="154">
        <f t="shared" si="40"/>
        <v>8.1180033516852282E-3</v>
      </c>
      <c r="W137" s="154">
        <f t="shared" si="42"/>
        <v>7.496746321283017E-3</v>
      </c>
      <c r="DA137" s="212"/>
    </row>
    <row r="138" spans="1:105" ht="11.45" customHeight="1" x14ac:dyDescent="0.25">
      <c r="A138" s="155" t="s">
        <v>20</v>
      </c>
      <c r="B138" s="156">
        <f t="shared" si="40"/>
        <v>0.62787529222623473</v>
      </c>
      <c r="C138" s="156">
        <f t="shared" si="40"/>
        <v>0.62482036578604339</v>
      </c>
      <c r="D138" s="156">
        <f t="shared" si="40"/>
        <v>0.61886038926238307</v>
      </c>
      <c r="E138" s="156">
        <f t="shared" si="40"/>
        <v>0.61829663252793854</v>
      </c>
      <c r="F138" s="156">
        <f t="shared" si="40"/>
        <v>0.60517683485013485</v>
      </c>
      <c r="G138" s="156">
        <f t="shared" si="40"/>
        <v>0.57707520546443392</v>
      </c>
      <c r="H138" s="156">
        <f t="shared" si="40"/>
        <v>0.56084499611596783</v>
      </c>
      <c r="I138" s="156">
        <f t="shared" si="40"/>
        <v>0.5585566190442941</v>
      </c>
      <c r="J138" s="156">
        <f t="shared" si="40"/>
        <v>0.55879022516459675</v>
      </c>
      <c r="K138" s="156">
        <f t="shared" si="40"/>
        <v>0.57818386271812805</v>
      </c>
      <c r="L138" s="156">
        <f t="shared" si="41"/>
        <v>0.55984066725273551</v>
      </c>
      <c r="M138" s="156">
        <f t="shared" si="40"/>
        <v>0.56866218010678904</v>
      </c>
      <c r="N138" s="156">
        <f t="shared" si="40"/>
        <v>0.57144393303663998</v>
      </c>
      <c r="O138" s="156">
        <f t="shared" si="40"/>
        <v>0.57780010107193769</v>
      </c>
      <c r="P138" s="156">
        <f t="shared" si="40"/>
        <v>0.56653842412248978</v>
      </c>
      <c r="Q138" s="156">
        <f t="shared" si="40"/>
        <v>0.55312809298929455</v>
      </c>
      <c r="R138" s="156">
        <f t="shared" si="40"/>
        <v>0.5595689380609008</v>
      </c>
      <c r="S138" s="156">
        <f t="shared" si="40"/>
        <v>0.5532868583878563</v>
      </c>
      <c r="T138" s="156">
        <f t="shared" si="40"/>
        <v>0.55798648391544303</v>
      </c>
      <c r="U138" s="156">
        <f t="shared" si="40"/>
        <v>0.56348937031367419</v>
      </c>
      <c r="V138" s="156">
        <f t="shared" si="40"/>
        <v>0.57718959712209805</v>
      </c>
      <c r="W138" s="156">
        <f t="shared" si="42"/>
        <v>0.58654457428860163</v>
      </c>
      <c r="DA138" s="213"/>
    </row>
    <row r="139" spans="1:105" ht="11.45" customHeight="1" x14ac:dyDescent="0.25">
      <c r="A139" s="157" t="s">
        <v>110</v>
      </c>
      <c r="B139" s="103">
        <f t="shared" si="40"/>
        <v>0.47021000289269282</v>
      </c>
      <c r="C139" s="103">
        <f t="shared" si="40"/>
        <v>0.45229392806122748</v>
      </c>
      <c r="D139" s="103">
        <f t="shared" si="40"/>
        <v>0.43613140769892111</v>
      </c>
      <c r="E139" s="103">
        <f t="shared" si="40"/>
        <v>0.41991109681294642</v>
      </c>
      <c r="F139" s="103">
        <f t="shared" si="40"/>
        <v>0.39755814202989664</v>
      </c>
      <c r="G139" s="103">
        <f t="shared" si="40"/>
        <v>0.35861140483439874</v>
      </c>
      <c r="H139" s="103">
        <f t="shared" si="40"/>
        <v>0.34027569225764082</v>
      </c>
      <c r="I139" s="103">
        <f t="shared" si="40"/>
        <v>0.33760719070725032</v>
      </c>
      <c r="J139" s="103">
        <f t="shared" si="40"/>
        <v>0.32685856174008043</v>
      </c>
      <c r="K139" s="103">
        <f t="shared" si="40"/>
        <v>0.32758028903336889</v>
      </c>
      <c r="L139" s="103">
        <f t="shared" si="41"/>
        <v>0.31389093660615736</v>
      </c>
      <c r="M139" s="103">
        <f t="shared" si="40"/>
        <v>0.30430489200601957</v>
      </c>
      <c r="N139" s="103">
        <f t="shared" si="40"/>
        <v>0.28621056821013652</v>
      </c>
      <c r="O139" s="103">
        <f t="shared" si="40"/>
        <v>0.26982080352819776</v>
      </c>
      <c r="P139" s="103">
        <f t="shared" si="40"/>
        <v>0.25773766527963415</v>
      </c>
      <c r="Q139" s="103">
        <f t="shared" si="40"/>
        <v>0.24750121347633255</v>
      </c>
      <c r="R139" s="103">
        <f t="shared" si="40"/>
        <v>0.24442701799476668</v>
      </c>
      <c r="S139" s="103">
        <f t="shared" si="40"/>
        <v>0.23581227670519195</v>
      </c>
      <c r="T139" s="103">
        <f t="shared" si="40"/>
        <v>0.23403037365149504</v>
      </c>
      <c r="U139" s="103">
        <f t="shared" si="40"/>
        <v>0.23133643604828574</v>
      </c>
      <c r="V139" s="103">
        <f t="shared" si="40"/>
        <v>0.22524627254259708</v>
      </c>
      <c r="W139" s="103">
        <f t="shared" si="42"/>
        <v>0.21776429919863896</v>
      </c>
      <c r="DA139" s="191"/>
    </row>
    <row r="140" spans="1:105" ht="11.45" customHeight="1" x14ac:dyDescent="0.25">
      <c r="A140" s="157" t="s">
        <v>111</v>
      </c>
      <c r="B140" s="103">
        <f t="shared" si="40"/>
        <v>0.14436885276834316</v>
      </c>
      <c r="C140" s="103">
        <f t="shared" si="40"/>
        <v>0.16032952214184856</v>
      </c>
      <c r="D140" s="103">
        <f t="shared" si="40"/>
        <v>0.17087354987747541</v>
      </c>
      <c r="E140" s="103">
        <f t="shared" si="40"/>
        <v>0.18773813210810775</v>
      </c>
      <c r="F140" s="103">
        <f t="shared" si="40"/>
        <v>0.19695223709599527</v>
      </c>
      <c r="G140" s="103">
        <f t="shared" si="40"/>
        <v>0.2082829792487664</v>
      </c>
      <c r="H140" s="103">
        <f t="shared" si="40"/>
        <v>0.21007170855229693</v>
      </c>
      <c r="I140" s="103">
        <f t="shared" si="40"/>
        <v>0.21017791450513035</v>
      </c>
      <c r="J140" s="103">
        <f t="shared" si="40"/>
        <v>0.2212552518219173</v>
      </c>
      <c r="K140" s="103">
        <f t="shared" si="40"/>
        <v>0.23923587602640425</v>
      </c>
      <c r="L140" s="103">
        <f t="shared" si="41"/>
        <v>0.23426148398967889</v>
      </c>
      <c r="M140" s="103">
        <f t="shared" si="40"/>
        <v>0.25230770198392455</v>
      </c>
      <c r="N140" s="103">
        <f t="shared" si="40"/>
        <v>0.27174172821312775</v>
      </c>
      <c r="O140" s="103">
        <f t="shared" si="40"/>
        <v>0.293829190765176</v>
      </c>
      <c r="P140" s="103">
        <f t="shared" si="40"/>
        <v>0.29374585651601792</v>
      </c>
      <c r="Q140" s="103">
        <f t="shared" si="40"/>
        <v>0.29089722241848309</v>
      </c>
      <c r="R140" s="103">
        <f t="shared" si="40"/>
        <v>0.30074592929019628</v>
      </c>
      <c r="S140" s="103">
        <f t="shared" si="40"/>
        <v>0.30362157090201303</v>
      </c>
      <c r="T140" s="103">
        <f t="shared" si="40"/>
        <v>0.31050157206911133</v>
      </c>
      <c r="U140" s="103">
        <f t="shared" si="40"/>
        <v>0.31907042597107727</v>
      </c>
      <c r="V140" s="103">
        <f t="shared" si="40"/>
        <v>0.33997142364892202</v>
      </c>
      <c r="W140" s="103">
        <f t="shared" si="42"/>
        <v>0.35752159191490496</v>
      </c>
      <c r="DA140" s="191"/>
    </row>
    <row r="141" spans="1:105" ht="11.45" customHeight="1" x14ac:dyDescent="0.25">
      <c r="A141" s="157" t="s">
        <v>112</v>
      </c>
      <c r="B141" s="103">
        <f t="shared" si="40"/>
        <v>1.3296436565198695E-2</v>
      </c>
      <c r="C141" s="103">
        <f t="shared" si="40"/>
        <v>1.2196915582967333E-2</v>
      </c>
      <c r="D141" s="103">
        <f t="shared" si="40"/>
        <v>1.1855431685986522E-2</v>
      </c>
      <c r="E141" s="103">
        <f t="shared" si="40"/>
        <v>1.0647403606884379E-2</v>
      </c>
      <c r="F141" s="103">
        <f t="shared" si="40"/>
        <v>1.0666455724242926E-2</v>
      </c>
      <c r="G141" s="103">
        <f t="shared" si="40"/>
        <v>1.0180821381268849E-2</v>
      </c>
      <c r="H141" s="103">
        <f t="shared" si="40"/>
        <v>1.0497595306030087E-2</v>
      </c>
      <c r="I141" s="103">
        <f t="shared" si="40"/>
        <v>1.0771513831913561E-2</v>
      </c>
      <c r="J141" s="103">
        <f t="shared" si="40"/>
        <v>1.0576902517293185E-2</v>
      </c>
      <c r="K141" s="103">
        <f t="shared" si="40"/>
        <v>1.1200797384779738E-2</v>
      </c>
      <c r="L141" s="103">
        <f t="shared" si="41"/>
        <v>1.1455497589992467E-2</v>
      </c>
      <c r="M141" s="103">
        <f t="shared" si="40"/>
        <v>1.1751030215035752E-2</v>
      </c>
      <c r="N141" s="103">
        <f t="shared" si="40"/>
        <v>1.3124815030854168E-2</v>
      </c>
      <c r="O141" s="103">
        <f t="shared" si="40"/>
        <v>1.3657841348232081E-2</v>
      </c>
      <c r="P141" s="103">
        <f t="shared" si="40"/>
        <v>1.4498561082226542E-2</v>
      </c>
      <c r="Q141" s="103">
        <f t="shared" si="40"/>
        <v>1.4012060877362431E-2</v>
      </c>
      <c r="R141" s="103">
        <f t="shared" si="40"/>
        <v>1.3271318393448405E-2</v>
      </c>
      <c r="S141" s="103">
        <f t="shared" si="40"/>
        <v>1.2508932414122875E-2</v>
      </c>
      <c r="T141" s="103">
        <f t="shared" si="40"/>
        <v>1.1825844865432826E-2</v>
      </c>
      <c r="U141" s="103">
        <f t="shared" si="40"/>
        <v>1.1285463071751873E-2</v>
      </c>
      <c r="V141" s="103">
        <f t="shared" si="40"/>
        <v>1.0082112295222762E-2</v>
      </c>
      <c r="W141" s="103">
        <f t="shared" si="42"/>
        <v>9.6448179889118829E-3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9.9509085305817598E-5</v>
      </c>
      <c r="K142" s="103">
        <f t="shared" si="40"/>
        <v>1.6690027357519873E-4</v>
      </c>
      <c r="L142" s="103">
        <f t="shared" si="41"/>
        <v>2.3274906690687636E-4</v>
      </c>
      <c r="M142" s="103">
        <f t="shared" si="40"/>
        <v>2.9855590180915555E-4</v>
      </c>
      <c r="N142" s="103">
        <f t="shared" si="40"/>
        <v>3.6644895312678606E-4</v>
      </c>
      <c r="O142" s="103">
        <f t="shared" si="40"/>
        <v>4.915696428967987E-4</v>
      </c>
      <c r="P142" s="103">
        <f t="shared" si="40"/>
        <v>5.5484535739715635E-4</v>
      </c>
      <c r="Q142" s="103">
        <f t="shared" si="40"/>
        <v>7.1114229968849408E-4</v>
      </c>
      <c r="R142" s="103">
        <f t="shared" si="40"/>
        <v>1.1162226564948173E-3</v>
      </c>
      <c r="S142" s="103">
        <f t="shared" si="40"/>
        <v>1.3296490723794356E-3</v>
      </c>
      <c r="T142" s="103">
        <f t="shared" si="40"/>
        <v>1.6089963741234585E-3</v>
      </c>
      <c r="U142" s="103">
        <f t="shared" si="40"/>
        <v>1.7691734436249189E-3</v>
      </c>
      <c r="V142" s="103">
        <f t="shared" si="40"/>
        <v>1.839476280176094E-3</v>
      </c>
      <c r="W142" s="103">
        <f t="shared" si="42"/>
        <v>1.5366728370170225E-3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3.7262939494513074E-7</v>
      </c>
      <c r="O143" s="103">
        <f t="shared" si="40"/>
        <v>6.9578743497413344E-7</v>
      </c>
      <c r="P143" s="103">
        <f t="shared" si="40"/>
        <v>1.4958872139085087E-6</v>
      </c>
      <c r="Q143" s="103">
        <f t="shared" si="40"/>
        <v>6.4539174279731985E-6</v>
      </c>
      <c r="R143" s="103">
        <f t="shared" si="40"/>
        <v>8.4497259947578089E-6</v>
      </c>
      <c r="S143" s="103">
        <f t="shared" si="40"/>
        <v>1.4429294149014643E-5</v>
      </c>
      <c r="T143" s="103">
        <f t="shared" si="40"/>
        <v>1.9696955280436164E-5</v>
      </c>
      <c r="U143" s="103">
        <f t="shared" si="40"/>
        <v>2.7871778934452287E-5</v>
      </c>
      <c r="V143" s="103">
        <f t="shared" si="40"/>
        <v>5.0312355180085784E-5</v>
      </c>
      <c r="W143" s="103">
        <f t="shared" si="42"/>
        <v>7.7192349128914407E-5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9.7296009886853912E-2</v>
      </c>
      <c r="C145" s="156">
        <f t="shared" si="40"/>
        <v>0.10193309156057537</v>
      </c>
      <c r="D145" s="156">
        <f t="shared" si="40"/>
        <v>9.1090131144364608E-2</v>
      </c>
      <c r="E145" s="156">
        <f t="shared" si="40"/>
        <v>7.3595087486560365E-2</v>
      </c>
      <c r="F145" s="156">
        <f t="shared" si="40"/>
        <v>6.4830059102231288E-2</v>
      </c>
      <c r="G145" s="156">
        <f t="shared" si="40"/>
        <v>5.9219060134388761E-2</v>
      </c>
      <c r="H145" s="156">
        <f t="shared" si="40"/>
        <v>5.9048742553804982E-2</v>
      </c>
      <c r="I145" s="156">
        <f t="shared" si="40"/>
        <v>5.6303734082059513E-2</v>
      </c>
      <c r="J145" s="156">
        <f t="shared" si="40"/>
        <v>5.6494365347481493E-2</v>
      </c>
      <c r="K145" s="156">
        <f t="shared" si="40"/>
        <v>5.7759519258632638E-2</v>
      </c>
      <c r="L145" s="156">
        <f t="shared" si="41"/>
        <v>6.3069285772906034E-2</v>
      </c>
      <c r="M145" s="156">
        <f t="shared" si="40"/>
        <v>5.954818302110499E-2</v>
      </c>
      <c r="N145" s="156">
        <f t="shared" si="40"/>
        <v>5.9039672157947025E-2</v>
      </c>
      <c r="O145" s="156">
        <f t="shared" si="40"/>
        <v>6.2755650764238502E-2</v>
      </c>
      <c r="P145" s="156">
        <f t="shared" si="40"/>
        <v>6.7355316671590643E-2</v>
      </c>
      <c r="Q145" s="156">
        <f t="shared" si="40"/>
        <v>6.2941100198726271E-2</v>
      </c>
      <c r="R145" s="156">
        <f t="shared" si="40"/>
        <v>6.4146274761564703E-2</v>
      </c>
      <c r="S145" s="156">
        <f t="shared" si="40"/>
        <v>6.5557908985910171E-2</v>
      </c>
      <c r="T145" s="156">
        <f t="shared" si="40"/>
        <v>6.4575904920983626E-2</v>
      </c>
      <c r="U145" s="156">
        <f t="shared" si="40"/>
        <v>6.3944519715410542E-2</v>
      </c>
      <c r="V145" s="156">
        <f t="shared" si="40"/>
        <v>5.043006979714193E-2</v>
      </c>
      <c r="W145" s="156">
        <f t="shared" si="42"/>
        <v>4.6251748448439399E-2</v>
      </c>
      <c r="DA145" s="213"/>
    </row>
    <row r="146" spans="1:105" ht="11.45" customHeight="1" x14ac:dyDescent="0.25">
      <c r="A146" s="157" t="s">
        <v>110</v>
      </c>
      <c r="B146" s="103">
        <f t="shared" si="40"/>
        <v>2.6500298891795945E-3</v>
      </c>
      <c r="C146" s="103">
        <f t="shared" si="40"/>
        <v>2.4700200383763254E-3</v>
      </c>
      <c r="D146" s="103">
        <f t="shared" si="40"/>
        <v>2.3931414598982611E-3</v>
      </c>
      <c r="E146" s="103">
        <f t="shared" si="40"/>
        <v>1.7876733422585434E-3</v>
      </c>
      <c r="F146" s="103">
        <f t="shared" si="40"/>
        <v>1.475678860044536E-3</v>
      </c>
      <c r="G146" s="103">
        <f t="shared" si="40"/>
        <v>1.2381094973124905E-3</v>
      </c>
      <c r="H146" s="103">
        <f t="shared" si="40"/>
        <v>1.1526871821778998E-3</v>
      </c>
      <c r="I146" s="103">
        <f t="shared" si="40"/>
        <v>1.085689258115652E-3</v>
      </c>
      <c r="J146" s="103">
        <f t="shared" si="40"/>
        <v>1.0284371532972849E-3</v>
      </c>
      <c r="K146" s="103">
        <f t="shared" si="40"/>
        <v>9.76491243705371E-4</v>
      </c>
      <c r="L146" s="103">
        <f t="shared" si="41"/>
        <v>1.0518962101623889E-3</v>
      </c>
      <c r="M146" s="103">
        <f t="shared" si="40"/>
        <v>9.7274328057646439E-4</v>
      </c>
      <c r="N146" s="103">
        <f t="shared" si="40"/>
        <v>8.9091606006486926E-4</v>
      </c>
      <c r="O146" s="103">
        <f t="shared" si="40"/>
        <v>9.0926068390837248E-4</v>
      </c>
      <c r="P146" s="103">
        <f t="shared" si="40"/>
        <v>8.7739375487647315E-4</v>
      </c>
      <c r="Q146" s="103">
        <f t="shared" si="40"/>
        <v>7.7462885924171475E-4</v>
      </c>
      <c r="R146" s="103">
        <f t="shared" si="40"/>
        <v>7.6069787732563636E-4</v>
      </c>
      <c r="S146" s="103">
        <f t="shared" si="40"/>
        <v>7.2847959174033325E-4</v>
      </c>
      <c r="T146" s="103">
        <f t="shared" si="40"/>
        <v>6.6735075911721997E-4</v>
      </c>
      <c r="U146" s="103">
        <f t="shared" si="40"/>
        <v>6.2107502530989287E-4</v>
      </c>
      <c r="V146" s="103">
        <f t="shared" si="40"/>
        <v>5.1441430134012097E-4</v>
      </c>
      <c r="W146" s="103">
        <f t="shared" si="42"/>
        <v>4.2799448924228602E-4</v>
      </c>
      <c r="DA146" s="191"/>
    </row>
    <row r="147" spans="1:105" ht="11.45" customHeight="1" x14ac:dyDescent="0.25">
      <c r="A147" s="157" t="s">
        <v>111</v>
      </c>
      <c r="B147" s="103">
        <f t="shared" si="40"/>
        <v>9.3799423845028984E-2</v>
      </c>
      <c r="C147" s="103">
        <f t="shared" si="40"/>
        <v>9.8504173551921315E-2</v>
      </c>
      <c r="D147" s="103">
        <f t="shared" si="40"/>
        <v>8.7479067631594437E-2</v>
      </c>
      <c r="E147" s="103">
        <f t="shared" si="40"/>
        <v>7.0610769458097689E-2</v>
      </c>
      <c r="F147" s="103">
        <f t="shared" si="40"/>
        <v>6.1708562536524951E-2</v>
      </c>
      <c r="G147" s="103">
        <f t="shared" si="40"/>
        <v>5.6693179228181033E-2</v>
      </c>
      <c r="H147" s="103">
        <f t="shared" si="40"/>
        <v>5.622912283326871E-2</v>
      </c>
      <c r="I147" s="103">
        <f t="shared" si="40"/>
        <v>5.4596541614137246E-2</v>
      </c>
      <c r="J147" s="103">
        <f t="shared" si="40"/>
        <v>5.4830901500539549E-2</v>
      </c>
      <c r="K147" s="103">
        <f t="shared" si="40"/>
        <v>5.6041586460067537E-2</v>
      </c>
      <c r="L147" s="103">
        <f t="shared" si="41"/>
        <v>6.0995691474870183E-2</v>
      </c>
      <c r="M147" s="103">
        <f t="shared" si="40"/>
        <v>5.7370538176334182E-2</v>
      </c>
      <c r="N147" s="103">
        <f t="shared" si="40"/>
        <v>5.6736790856655797E-2</v>
      </c>
      <c r="O147" s="103">
        <f t="shared" si="40"/>
        <v>6.0437472741657138E-2</v>
      </c>
      <c r="P147" s="103">
        <f t="shared" si="40"/>
        <v>6.3786488907015493E-2</v>
      </c>
      <c r="Q147" s="103">
        <f t="shared" si="40"/>
        <v>5.8632982635911247E-2</v>
      </c>
      <c r="R147" s="103">
        <f t="shared" ref="R147:V147" si="43">IF(R29=0,0,R29/R$17)</f>
        <v>5.916090701277326E-2</v>
      </c>
      <c r="S147" s="103">
        <f t="shared" si="43"/>
        <v>6.0505561768770776E-2</v>
      </c>
      <c r="T147" s="103">
        <f t="shared" si="43"/>
        <v>5.9593997249125376E-2</v>
      </c>
      <c r="U147" s="103">
        <f t="shared" si="43"/>
        <v>5.7678576493417823E-2</v>
      </c>
      <c r="V147" s="103">
        <f t="shared" si="43"/>
        <v>4.3583481412901567E-2</v>
      </c>
      <c r="W147" s="103">
        <f t="shared" ref="W147" si="44">IF(W29=0,0,W29/W$17)</f>
        <v>3.9120838791846982E-2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7.4780225156334484E-6</v>
      </c>
      <c r="W148" s="103">
        <f t="shared" ref="W148" si="48">IF(W30=0,0,W30/W$17)</f>
        <v>6.4073837942319787E-6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8.4655615264532926E-4</v>
      </c>
      <c r="C149" s="103">
        <f t="shared" si="49"/>
        <v>9.5889797027773208E-4</v>
      </c>
      <c r="D149" s="103">
        <f t="shared" si="49"/>
        <v>1.2179220528718978E-3</v>
      </c>
      <c r="E149" s="103">
        <f t="shared" si="49"/>
        <v>1.1966446862041252E-3</v>
      </c>
      <c r="F149" s="103">
        <f t="shared" si="49"/>
        <v>1.6458177056617985E-3</v>
      </c>
      <c r="G149" s="103">
        <f t="shared" si="49"/>
        <v>1.2877714088952346E-3</v>
      </c>
      <c r="H149" s="103">
        <f t="shared" si="49"/>
        <v>1.666932538358366E-3</v>
      </c>
      <c r="I149" s="103">
        <f t="shared" si="49"/>
        <v>6.2150320980661449E-4</v>
      </c>
      <c r="J149" s="103">
        <f t="shared" si="49"/>
        <v>6.3502669364466592E-4</v>
      </c>
      <c r="K149" s="103">
        <f t="shared" si="49"/>
        <v>7.4144155485973381E-4</v>
      </c>
      <c r="L149" s="103">
        <f t="shared" si="46"/>
        <v>1.0216980878734586E-3</v>
      </c>
      <c r="M149" s="103">
        <f t="shared" ref="M149:V149" si="50">IF(M31=0,0,M31/M$17)</f>
        <v>1.2049015641943418E-3</v>
      </c>
      <c r="N149" s="103">
        <f t="shared" si="50"/>
        <v>1.4119652412263599E-3</v>
      </c>
      <c r="O149" s="103">
        <f t="shared" si="50"/>
        <v>1.4089173386729892E-3</v>
      </c>
      <c r="P149" s="103">
        <f t="shared" si="50"/>
        <v>2.6914340096986867E-3</v>
      </c>
      <c r="Q149" s="103">
        <f t="shared" si="50"/>
        <v>3.5334887035733211E-3</v>
      </c>
      <c r="R149" s="103">
        <f t="shared" si="50"/>
        <v>4.2246698714658078E-3</v>
      </c>
      <c r="S149" s="103">
        <f t="shared" si="50"/>
        <v>4.3238676253990541E-3</v>
      </c>
      <c r="T149" s="103">
        <f t="shared" si="50"/>
        <v>4.3145569127410284E-3</v>
      </c>
      <c r="U149" s="103">
        <f t="shared" si="50"/>
        <v>5.6448681966828184E-3</v>
      </c>
      <c r="V149" s="103">
        <f t="shared" si="50"/>
        <v>6.3246960603846082E-3</v>
      </c>
      <c r="W149" s="103">
        <f t="shared" ref="W149" si="51">IF(W31=0,0,W31/W$17)</f>
        <v>6.6965077835558981E-3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0.26091287948732383</v>
      </c>
      <c r="C151" s="46">
        <f t="shared" si="55"/>
        <v>0.2608288508802088</v>
      </c>
      <c r="D151" s="46">
        <f t="shared" si="55"/>
        <v>0.27852546829969516</v>
      </c>
      <c r="E151" s="46">
        <f t="shared" si="55"/>
        <v>0.29802626597505144</v>
      </c>
      <c r="F151" s="46">
        <f t="shared" si="55"/>
        <v>0.32046980640765232</v>
      </c>
      <c r="G151" s="46">
        <f t="shared" si="55"/>
        <v>0.35468056378569252</v>
      </c>
      <c r="H151" s="46">
        <f t="shared" si="55"/>
        <v>0.37121481590590372</v>
      </c>
      <c r="I151" s="46">
        <f t="shared" si="55"/>
        <v>0.3764030527753876</v>
      </c>
      <c r="J151" s="46">
        <f t="shared" si="55"/>
        <v>0.37579424239258263</v>
      </c>
      <c r="K151" s="46">
        <f t="shared" si="55"/>
        <v>0.35493131286073326</v>
      </c>
      <c r="L151" s="46">
        <f t="shared" ref="L151" si="56">IF(L33=0,0,L33/L$17)</f>
        <v>0.36730836067111933</v>
      </c>
      <c r="M151" s="46">
        <f t="shared" ref="M151:V151" si="57">IF(M33=0,0,M33/M$17)</f>
        <v>0.36182679700323406</v>
      </c>
      <c r="N151" s="46">
        <f t="shared" si="57"/>
        <v>0.35921896929851055</v>
      </c>
      <c r="O151" s="46">
        <f t="shared" si="57"/>
        <v>0.34911014342727792</v>
      </c>
      <c r="P151" s="46">
        <f t="shared" si="57"/>
        <v>0.35608456383385395</v>
      </c>
      <c r="Q151" s="46">
        <f t="shared" si="57"/>
        <v>0.37409362415251962</v>
      </c>
      <c r="R151" s="46">
        <f t="shared" si="57"/>
        <v>0.36659397993998682</v>
      </c>
      <c r="S151" s="46">
        <f t="shared" si="57"/>
        <v>0.37238429176319238</v>
      </c>
      <c r="T151" s="46">
        <f t="shared" si="57"/>
        <v>0.36923274237629106</v>
      </c>
      <c r="U151" s="46">
        <f t="shared" si="57"/>
        <v>0.36407443116822269</v>
      </c>
      <c r="V151" s="46">
        <f t="shared" si="57"/>
        <v>0.36426232972907485</v>
      </c>
      <c r="W151" s="46">
        <f t="shared" ref="W151" si="58">IF(W33=0,0,W33/W$17)</f>
        <v>0.35970693094167594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4.277985444265469E-2</v>
      </c>
      <c r="C152" s="154">
        <f t="shared" si="59"/>
        <v>4.3839318539435582E-2</v>
      </c>
      <c r="D152" s="154">
        <f t="shared" si="59"/>
        <v>4.7841018059959904E-2</v>
      </c>
      <c r="E152" s="154">
        <f t="shared" si="59"/>
        <v>4.8405692557118268E-2</v>
      </c>
      <c r="F152" s="154">
        <f t="shared" si="59"/>
        <v>5.3584215391670201E-2</v>
      </c>
      <c r="G152" s="154">
        <f t="shared" si="59"/>
        <v>5.9145375469670608E-2</v>
      </c>
      <c r="H152" s="154">
        <f t="shared" si="59"/>
        <v>6.5552337818927595E-2</v>
      </c>
      <c r="I152" s="154">
        <f t="shared" si="59"/>
        <v>7.0957954556869568E-2</v>
      </c>
      <c r="J152" s="154">
        <f t="shared" si="59"/>
        <v>8.4988825317653602E-2</v>
      </c>
      <c r="K152" s="154">
        <f t="shared" si="59"/>
        <v>8.7704783114059937E-2</v>
      </c>
      <c r="L152" s="154">
        <f t="shared" ref="L152" si="60">IF(L34=0,0,L34/L$17)</f>
        <v>9.7985681257186291E-2</v>
      </c>
      <c r="M152" s="154">
        <f t="shared" ref="M152:V152" si="61">IF(M34=0,0,M34/M$17)</f>
        <v>9.9560872800927527E-2</v>
      </c>
      <c r="N152" s="154">
        <f t="shared" si="61"/>
        <v>0.10313666331568423</v>
      </c>
      <c r="O152" s="154">
        <f t="shared" si="61"/>
        <v>0.10818528587561274</v>
      </c>
      <c r="P152" s="154">
        <f t="shared" si="61"/>
        <v>0.11660933145758214</v>
      </c>
      <c r="Q152" s="154">
        <f t="shared" si="61"/>
        <v>0.12238756529676593</v>
      </c>
      <c r="R152" s="154">
        <f t="shared" si="61"/>
        <v>0.10043396032749011</v>
      </c>
      <c r="S152" s="154">
        <f t="shared" si="61"/>
        <v>9.9496910162280683E-2</v>
      </c>
      <c r="T152" s="154">
        <f t="shared" si="61"/>
        <v>9.931674340676315E-2</v>
      </c>
      <c r="U152" s="154">
        <f t="shared" si="61"/>
        <v>9.8027120635981402E-2</v>
      </c>
      <c r="V152" s="154">
        <f t="shared" si="61"/>
        <v>0.10120126303816385</v>
      </c>
      <c r="W152" s="154">
        <f t="shared" ref="W152" si="62">IF(W34=0,0,W34/W$17)</f>
        <v>9.6061944530484389E-2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7.8256544126430391E-3</v>
      </c>
      <c r="C153" s="103">
        <f t="shared" si="63"/>
        <v>7.9735070292633325E-3</v>
      </c>
      <c r="D153" s="103">
        <f t="shared" si="63"/>
        <v>8.5344423586780765E-3</v>
      </c>
      <c r="E153" s="103">
        <f t="shared" si="63"/>
        <v>7.4789039335220638E-3</v>
      </c>
      <c r="F153" s="103">
        <f t="shared" si="63"/>
        <v>7.3478071162645054E-3</v>
      </c>
      <c r="G153" s="103">
        <f t="shared" si="63"/>
        <v>7.3870706241518239E-3</v>
      </c>
      <c r="H153" s="103">
        <f t="shared" si="63"/>
        <v>8.2289767826514721E-3</v>
      </c>
      <c r="I153" s="103">
        <f t="shared" si="63"/>
        <v>8.8806472540763851E-3</v>
      </c>
      <c r="J153" s="103">
        <f t="shared" si="63"/>
        <v>9.8958420659447863E-3</v>
      </c>
      <c r="K153" s="103">
        <f t="shared" si="63"/>
        <v>9.7992949849656005E-3</v>
      </c>
      <c r="L153" s="103">
        <f t="shared" ref="L153" si="64">IF(L35=0,0,L35/L$17)</f>
        <v>1.0242828153770559E-2</v>
      </c>
      <c r="M153" s="103">
        <f t="shared" ref="M153:V153" si="65">IF(M35=0,0,M35/M$17)</f>
        <v>1.0044963514335498E-2</v>
      </c>
      <c r="N153" s="103">
        <f t="shared" si="65"/>
        <v>9.8720832839796473E-3</v>
      </c>
      <c r="O153" s="103">
        <f t="shared" si="65"/>
        <v>1.0035323968512304E-2</v>
      </c>
      <c r="P153" s="103">
        <f t="shared" si="65"/>
        <v>1.0017890390086893E-2</v>
      </c>
      <c r="Q153" s="103">
        <f t="shared" si="65"/>
        <v>1.011806620701379E-2</v>
      </c>
      <c r="R153" s="103">
        <f t="shared" si="65"/>
        <v>9.9707365040503041E-3</v>
      </c>
      <c r="S153" s="103">
        <f t="shared" si="65"/>
        <v>9.5769045632939798E-3</v>
      </c>
      <c r="T153" s="103">
        <f t="shared" si="65"/>
        <v>9.4792394325737255E-3</v>
      </c>
      <c r="U153" s="103">
        <f t="shared" si="65"/>
        <v>9.294966410676047E-3</v>
      </c>
      <c r="V153" s="103">
        <f t="shared" si="65"/>
        <v>9.8760475819517548E-3</v>
      </c>
      <c r="W153" s="103">
        <f t="shared" ref="W153" si="66">IF(W35=0,0,W35/W$17)</f>
        <v>9.2082576103795152E-3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3.2285694261479633E-2</v>
      </c>
      <c r="C154" s="103">
        <f t="shared" si="67"/>
        <v>3.3386584557887324E-2</v>
      </c>
      <c r="D154" s="103">
        <f t="shared" si="67"/>
        <v>3.6953588718559048E-2</v>
      </c>
      <c r="E154" s="103">
        <f t="shared" si="67"/>
        <v>3.8889102102310932E-2</v>
      </c>
      <c r="F154" s="103">
        <f t="shared" si="67"/>
        <v>4.4298643117571958E-2</v>
      </c>
      <c r="G154" s="103">
        <f t="shared" si="67"/>
        <v>4.9989600698807229E-2</v>
      </c>
      <c r="H154" s="103">
        <f t="shared" si="67"/>
        <v>5.5596427831235043E-2</v>
      </c>
      <c r="I154" s="103">
        <f t="shared" si="67"/>
        <v>6.0397105039763845E-2</v>
      </c>
      <c r="J154" s="103">
        <f t="shared" si="67"/>
        <v>7.3459479763760424E-2</v>
      </c>
      <c r="K154" s="103">
        <f t="shared" si="67"/>
        <v>7.6228315790422607E-2</v>
      </c>
      <c r="L154" s="103">
        <f t="shared" ref="L154" si="68">IF(L36=0,0,L36/L$17)</f>
        <v>8.603903585949528E-2</v>
      </c>
      <c r="M154" s="103">
        <f t="shared" ref="M154:V154" si="69">IF(M36=0,0,M36/M$17)</f>
        <v>8.780510925871704E-2</v>
      </c>
      <c r="N154" s="103">
        <f t="shared" si="69"/>
        <v>9.1278176510390024E-2</v>
      </c>
      <c r="O154" s="103">
        <f t="shared" si="69"/>
        <v>9.5994388376955953E-2</v>
      </c>
      <c r="P154" s="103">
        <f t="shared" si="69"/>
        <v>0.10407256396264006</v>
      </c>
      <c r="Q154" s="103">
        <f t="shared" si="69"/>
        <v>0.10946436055898805</v>
      </c>
      <c r="R154" s="103">
        <f t="shared" si="69"/>
        <v>8.7133476777466426E-2</v>
      </c>
      <c r="S154" s="103">
        <f t="shared" si="69"/>
        <v>8.6323285255557006E-2</v>
      </c>
      <c r="T154" s="103">
        <f t="shared" si="69"/>
        <v>8.6020849424140428E-2</v>
      </c>
      <c r="U154" s="103">
        <f t="shared" si="69"/>
        <v>8.4841645941966609E-2</v>
      </c>
      <c r="V154" s="103">
        <f t="shared" si="69"/>
        <v>8.7383738512820275E-2</v>
      </c>
      <c r="W154" s="103">
        <f t="shared" ref="W154" si="70">IF(W36=0,0,W36/W$17)</f>
        <v>8.3385903981458662E-2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2.6685057685320178E-3</v>
      </c>
      <c r="C155" s="103">
        <f t="shared" si="71"/>
        <v>2.4792269522849286E-3</v>
      </c>
      <c r="D155" s="103">
        <f t="shared" si="71"/>
        <v>2.3529869827227769E-3</v>
      </c>
      <c r="E155" s="103">
        <f t="shared" si="71"/>
        <v>2.0376865212852714E-3</v>
      </c>
      <c r="F155" s="103">
        <f t="shared" si="71"/>
        <v>1.9377651578337341E-3</v>
      </c>
      <c r="G155" s="103">
        <f t="shared" si="71"/>
        <v>1.7687041467115553E-3</v>
      </c>
      <c r="H155" s="103">
        <f t="shared" si="71"/>
        <v>1.7269332050410763E-3</v>
      </c>
      <c r="I155" s="103">
        <f t="shared" si="71"/>
        <v>1.6802022630293409E-3</v>
      </c>
      <c r="J155" s="103">
        <f t="shared" si="71"/>
        <v>1.6335034879484006E-3</v>
      </c>
      <c r="K155" s="103">
        <f t="shared" si="71"/>
        <v>1.6771723386717363E-3</v>
      </c>
      <c r="L155" s="103">
        <f t="shared" ref="L155" si="72">IF(L37=0,0,L37/L$17)</f>
        <v>1.7038172439204503E-3</v>
      </c>
      <c r="M155" s="103">
        <f t="shared" ref="M155:V155" si="73">IF(M37=0,0,M37/M$17)</f>
        <v>1.7108000278749811E-3</v>
      </c>
      <c r="N155" s="103">
        <f t="shared" si="73"/>
        <v>1.9121718848139208E-3</v>
      </c>
      <c r="O155" s="103">
        <f t="shared" si="73"/>
        <v>2.0219713869846765E-3</v>
      </c>
      <c r="P155" s="103">
        <f t="shared" si="73"/>
        <v>2.1982339220119576E-3</v>
      </c>
      <c r="Q155" s="103">
        <f t="shared" si="73"/>
        <v>2.0950423350192793E-3</v>
      </c>
      <c r="R155" s="103">
        <f t="shared" si="73"/>
        <v>2.1708236473891094E-3</v>
      </c>
      <c r="S155" s="103">
        <f t="shared" si="73"/>
        <v>2.0572001446126273E-3</v>
      </c>
      <c r="T155" s="103">
        <f t="shared" si="73"/>
        <v>1.986417562824304E-3</v>
      </c>
      <c r="U155" s="103">
        <f t="shared" si="73"/>
        <v>1.7868995139792025E-3</v>
      </c>
      <c r="V155" s="103">
        <f t="shared" si="73"/>
        <v>1.7140392449838473E-3</v>
      </c>
      <c r="W155" s="103">
        <f t="shared" ref="W155" si="74">IF(W37=0,0,W37/W$17)</f>
        <v>1.4293979981827537E-3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7.4231636500644998E-5</v>
      </c>
      <c r="O156" s="103">
        <f t="shared" si="77"/>
        <v>1.3360214315980996E-4</v>
      </c>
      <c r="P156" s="103">
        <f t="shared" si="77"/>
        <v>3.2064318284323514E-4</v>
      </c>
      <c r="Q156" s="103">
        <f t="shared" si="77"/>
        <v>7.1009619574481967E-4</v>
      </c>
      <c r="R156" s="103">
        <f t="shared" si="77"/>
        <v>1.1589233985842564E-3</v>
      </c>
      <c r="S156" s="103">
        <f t="shared" si="77"/>
        <v>1.5395201988170504E-3</v>
      </c>
      <c r="T156" s="103">
        <f t="shared" si="77"/>
        <v>1.8302369872246847E-3</v>
      </c>
      <c r="U156" s="103">
        <f t="shared" si="77"/>
        <v>2.103608769359543E-3</v>
      </c>
      <c r="V156" s="103">
        <f t="shared" si="77"/>
        <v>2.2274376984079748E-3</v>
      </c>
      <c r="W156" s="103">
        <f t="shared" ref="W156" si="78">IF(W38=0,0,W38/W$17)</f>
        <v>2.0383849404634492E-3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0.21813302504466911</v>
      </c>
      <c r="C158" s="156">
        <f t="shared" si="83"/>
        <v>0.21698953234077323</v>
      </c>
      <c r="D158" s="156">
        <f t="shared" si="83"/>
        <v>0.23068445023973524</v>
      </c>
      <c r="E158" s="156">
        <f t="shared" si="83"/>
        <v>0.2496205734179332</v>
      </c>
      <c r="F158" s="156">
        <f t="shared" si="83"/>
        <v>0.26688559101598208</v>
      </c>
      <c r="G158" s="156">
        <f t="shared" si="83"/>
        <v>0.29553518831602188</v>
      </c>
      <c r="H158" s="156">
        <f t="shared" si="83"/>
        <v>0.30566247808697611</v>
      </c>
      <c r="I158" s="156">
        <f t="shared" si="83"/>
        <v>0.30544509821851801</v>
      </c>
      <c r="J158" s="156">
        <f t="shared" si="83"/>
        <v>0.29080541707492902</v>
      </c>
      <c r="K158" s="156">
        <f t="shared" si="83"/>
        <v>0.26722652974667332</v>
      </c>
      <c r="L158" s="156">
        <f t="shared" ref="L158" si="84">IF(L40=0,0,L40/L$17)</f>
        <v>0.26932267941393306</v>
      </c>
      <c r="M158" s="156">
        <f t="shared" ref="M158:V158" si="85">IF(M40=0,0,M40/M$17)</f>
        <v>0.26226592420230649</v>
      </c>
      <c r="N158" s="156">
        <f t="shared" si="85"/>
        <v>0.25608230598282633</v>
      </c>
      <c r="O158" s="156">
        <f t="shared" si="85"/>
        <v>0.24092485755166521</v>
      </c>
      <c r="P158" s="156">
        <f t="shared" si="85"/>
        <v>0.23947523237627183</v>
      </c>
      <c r="Q158" s="156">
        <f t="shared" si="85"/>
        <v>0.25170605885575364</v>
      </c>
      <c r="R158" s="156">
        <f t="shared" si="85"/>
        <v>0.26616001961249669</v>
      </c>
      <c r="S158" s="156">
        <f t="shared" si="85"/>
        <v>0.27288738160091169</v>
      </c>
      <c r="T158" s="156">
        <f t="shared" si="85"/>
        <v>0.26991599896952789</v>
      </c>
      <c r="U158" s="156">
        <f t="shared" si="85"/>
        <v>0.26604731053224129</v>
      </c>
      <c r="V158" s="156">
        <f t="shared" si="85"/>
        <v>0.26306106669091095</v>
      </c>
      <c r="W158" s="156">
        <f t="shared" ref="W158" si="86">IF(W40=0,0,W40/W$17)</f>
        <v>0.26364498641119155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0.12376731440921449</v>
      </c>
      <c r="C159" s="103">
        <f t="shared" si="87"/>
        <v>0.13539943865724841</v>
      </c>
      <c r="D159" s="103">
        <f t="shared" si="87"/>
        <v>0.14631522660899865</v>
      </c>
      <c r="E159" s="103">
        <f t="shared" si="87"/>
        <v>0.15408130177397053</v>
      </c>
      <c r="F159" s="103">
        <f t="shared" si="87"/>
        <v>0.16116449331819632</v>
      </c>
      <c r="G159" s="103">
        <f t="shared" si="87"/>
        <v>0.17524071147628395</v>
      </c>
      <c r="H159" s="103">
        <f t="shared" si="87"/>
        <v>0.16275453066798234</v>
      </c>
      <c r="I159" s="103">
        <f t="shared" si="87"/>
        <v>0.15246058094987394</v>
      </c>
      <c r="J159" s="103">
        <f t="shared" si="87"/>
        <v>0.14539951418007641</v>
      </c>
      <c r="K159" s="103">
        <f t="shared" si="87"/>
        <v>0.12223376278623993</v>
      </c>
      <c r="L159" s="103">
        <f t="shared" ref="L159" si="88">IF(L41=0,0,L41/L$17)</f>
        <v>0.12558610829484518</v>
      </c>
      <c r="M159" s="103">
        <f t="shared" ref="M159:V159" si="89">IF(M41=0,0,M41/M$17)</f>
        <v>0.12227733192561518</v>
      </c>
      <c r="N159" s="103">
        <f t="shared" si="89"/>
        <v>0.11815968231011238</v>
      </c>
      <c r="O159" s="103">
        <f t="shared" si="89"/>
        <v>0.12130906869821093</v>
      </c>
      <c r="P159" s="103">
        <f t="shared" si="89"/>
        <v>0.12615737617441575</v>
      </c>
      <c r="Q159" s="103">
        <f t="shared" si="89"/>
        <v>0.14409594946933468</v>
      </c>
      <c r="R159" s="103">
        <f t="shared" si="89"/>
        <v>0.14323419751517577</v>
      </c>
      <c r="S159" s="103">
        <f t="shared" si="89"/>
        <v>0.14676924876652919</v>
      </c>
      <c r="T159" s="103">
        <f t="shared" si="89"/>
        <v>0.15118186065380942</v>
      </c>
      <c r="U159" s="103">
        <f t="shared" si="89"/>
        <v>0.14986452782996632</v>
      </c>
      <c r="V159" s="103">
        <f t="shared" si="89"/>
        <v>0.16934346929712871</v>
      </c>
      <c r="W159" s="103">
        <f t="shared" ref="W159" si="90">IF(W41=0,0,W41/W$17)</f>
        <v>0.17318578738642043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9.4365710635454667E-2</v>
      </c>
      <c r="C160" s="105">
        <f t="shared" si="91"/>
        <v>8.1590093683524836E-2</v>
      </c>
      <c r="D160" s="105">
        <f t="shared" si="91"/>
        <v>8.4369223630736623E-2</v>
      </c>
      <c r="E160" s="105">
        <f t="shared" si="91"/>
        <v>9.5539271643962642E-2</v>
      </c>
      <c r="F160" s="105">
        <f t="shared" si="91"/>
        <v>0.10572109769778577</v>
      </c>
      <c r="G160" s="105">
        <f t="shared" si="91"/>
        <v>0.12029447683973794</v>
      </c>
      <c r="H160" s="105">
        <f t="shared" si="91"/>
        <v>0.14290794741899379</v>
      </c>
      <c r="I160" s="105">
        <f t="shared" si="91"/>
        <v>0.15298451726864409</v>
      </c>
      <c r="J160" s="105">
        <f t="shared" si="91"/>
        <v>0.14540590289485264</v>
      </c>
      <c r="K160" s="105">
        <f t="shared" si="91"/>
        <v>0.14499276696043339</v>
      </c>
      <c r="L160" s="105">
        <f t="shared" ref="L160" si="92">IF(L42=0,0,L42/L$17)</f>
        <v>0.14373657111908786</v>
      </c>
      <c r="M160" s="105">
        <f t="shared" ref="M160:V160" si="93">IF(M42=0,0,M42/M$17)</f>
        <v>0.1399885922766913</v>
      </c>
      <c r="N160" s="105">
        <f t="shared" si="93"/>
        <v>0.13792262367271396</v>
      </c>
      <c r="O160" s="105">
        <f t="shared" si="93"/>
        <v>0.11961578885345429</v>
      </c>
      <c r="P160" s="105">
        <f t="shared" si="93"/>
        <v>0.11331785620185608</v>
      </c>
      <c r="Q160" s="105">
        <f t="shared" si="93"/>
        <v>0.107610109386419</v>
      </c>
      <c r="R160" s="105">
        <f t="shared" si="93"/>
        <v>0.12292582209732091</v>
      </c>
      <c r="S160" s="105">
        <f t="shared" si="93"/>
        <v>0.12611813283438253</v>
      </c>
      <c r="T160" s="105">
        <f t="shared" si="93"/>
        <v>0.11873413831571845</v>
      </c>
      <c r="U160" s="105">
        <f t="shared" si="93"/>
        <v>0.11618278270227496</v>
      </c>
      <c r="V160" s="105">
        <f t="shared" si="93"/>
        <v>9.3717597393782257E-2</v>
      </c>
      <c r="W160" s="105">
        <f t="shared" ref="W160" si="94">IF(W42=0,0,W42/W$17)</f>
        <v>9.0459199024771147E-2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5001322</v>
      </c>
      <c r="C3" s="54">
        <f>TrRoad_act!C57</f>
        <v>5053986</v>
      </c>
      <c r="D3" s="54">
        <f>TrRoad_act!D57</f>
        <v>5204710</v>
      </c>
      <c r="E3" s="54">
        <f>TrRoad_act!E57</f>
        <v>5264915</v>
      </c>
      <c r="F3" s="54">
        <f>TrRoad_act!F57</f>
        <v>5414493</v>
      </c>
      <c r="G3" s="54">
        <f>TrRoad_act!G57</f>
        <v>5664133</v>
      </c>
      <c r="H3" s="54">
        <f>TrRoad_act!H57</f>
        <v>5901511</v>
      </c>
      <c r="I3" s="54">
        <f>TrRoad_act!I57</f>
        <v>6177883</v>
      </c>
      <c r="J3" s="54">
        <f>TrRoad_act!J57</f>
        <v>6405079</v>
      </c>
      <c r="K3" s="54">
        <f>TrRoad_act!K57</f>
        <v>6419393</v>
      </c>
      <c r="L3" s="54">
        <f>TrRoad_act!L57</f>
        <v>6499060</v>
      </c>
      <c r="M3" s="54">
        <f>TrRoad_act!M57</f>
        <v>6606121</v>
      </c>
      <c r="N3" s="54">
        <f>TrRoad_act!N57</f>
        <v>6771732</v>
      </c>
      <c r="O3" s="54">
        <f>TrRoad_act!O57</f>
        <v>6790944</v>
      </c>
      <c r="P3" s="54">
        <f>TrRoad_act!P57</f>
        <v>6933541</v>
      </c>
      <c r="Q3" s="54">
        <f>TrRoad_act!Q57</f>
        <v>7311352</v>
      </c>
      <c r="R3" s="54">
        <f>TrRoad_act!R57</f>
        <v>7461835</v>
      </c>
      <c r="S3" s="54">
        <f>TrRoad_act!S57</f>
        <v>7736188</v>
      </c>
      <c r="T3" s="54">
        <f>TrRoad_act!T57</f>
        <v>7988363</v>
      </c>
      <c r="U3" s="54">
        <f>TrRoad_act!U57</f>
        <v>8204274</v>
      </c>
      <c r="V3" s="54">
        <f>TrRoad_act!V57</f>
        <v>8350936</v>
      </c>
      <c r="W3" s="54">
        <f>TrRoad_act!W57</f>
        <v>8406939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4711629</v>
      </c>
      <c r="C4" s="28">
        <f>TrRoad_act!C58</f>
        <v>4747757</v>
      </c>
      <c r="D4" s="28">
        <f>TrRoad_act!D58</f>
        <v>4873603</v>
      </c>
      <c r="E4" s="28">
        <f>TrRoad_act!E58</f>
        <v>4917843</v>
      </c>
      <c r="F4" s="28">
        <f>TrRoad_act!F58</f>
        <v>5033187</v>
      </c>
      <c r="G4" s="28">
        <f>TrRoad_act!G58</f>
        <v>5234261</v>
      </c>
      <c r="H4" s="28">
        <f>TrRoad_act!H58</f>
        <v>5422456</v>
      </c>
      <c r="I4" s="28">
        <f>TrRoad_act!I58</f>
        <v>5637356</v>
      </c>
      <c r="J4" s="28">
        <f>TrRoad_act!J58</f>
        <v>5815279</v>
      </c>
      <c r="K4" s="28">
        <f>TrRoad_act!K58</f>
        <v>5831805</v>
      </c>
      <c r="L4" s="28">
        <f>TrRoad_act!L58</f>
        <v>5918467</v>
      </c>
      <c r="M4" s="28">
        <f>TrRoad_act!M58</f>
        <v>6027429</v>
      </c>
      <c r="N4" s="28">
        <f>TrRoad_act!N58</f>
        <v>6184506</v>
      </c>
      <c r="O4" s="28">
        <f>TrRoad_act!O58</f>
        <v>6206564</v>
      </c>
      <c r="P4" s="28">
        <f>TrRoad_act!P58</f>
        <v>6331484</v>
      </c>
      <c r="Q4" s="28">
        <f>TrRoad_act!Q58</f>
        <v>6667676</v>
      </c>
      <c r="R4" s="28">
        <f>TrRoad_act!R58</f>
        <v>6888609</v>
      </c>
      <c r="S4" s="28">
        <f>TrRoad_act!S58</f>
        <v>7147013</v>
      </c>
      <c r="T4" s="28">
        <f>TrRoad_act!T58</f>
        <v>7386716</v>
      </c>
      <c r="U4" s="28">
        <f>TrRoad_act!U58</f>
        <v>7594352</v>
      </c>
      <c r="V4" s="28">
        <f>TrRoad_act!V58</f>
        <v>7749533</v>
      </c>
      <c r="W4" s="28">
        <f>TrRoad_act!W58</f>
        <v>7810342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1178600</v>
      </c>
      <c r="C5" s="137">
        <f>TrRoad_act!C59</f>
        <v>1193500</v>
      </c>
      <c r="D5" s="137">
        <f>TrRoad_act!D59</f>
        <v>1204000</v>
      </c>
      <c r="E5" s="137">
        <f>TrRoad_act!E59</f>
        <v>1190000</v>
      </c>
      <c r="F5" s="137">
        <f>TrRoad_act!F59</f>
        <v>1196000</v>
      </c>
      <c r="G5" s="137">
        <f>TrRoad_act!G59</f>
        <v>1254000</v>
      </c>
      <c r="H5" s="137">
        <f>TrRoad_act!H59</f>
        <v>1292000</v>
      </c>
      <c r="I5" s="137">
        <f>TrRoad_act!I59</f>
        <v>1336000</v>
      </c>
      <c r="J5" s="137">
        <f>TrRoad_act!J59</f>
        <v>1371000</v>
      </c>
      <c r="K5" s="137">
        <f>TrRoad_act!K59</f>
        <v>1376000</v>
      </c>
      <c r="L5" s="137">
        <f>TrRoad_act!L59</f>
        <v>1402000</v>
      </c>
      <c r="M5" s="137">
        <f>TrRoad_act!M59</f>
        <v>1425000</v>
      </c>
      <c r="N5" s="137">
        <f>TrRoad_act!N59</f>
        <v>1458000</v>
      </c>
      <c r="O5" s="137">
        <f>TrRoad_act!O59</f>
        <v>1457061</v>
      </c>
      <c r="P5" s="137">
        <f>TrRoad_act!P59</f>
        <v>1477587</v>
      </c>
      <c r="Q5" s="137">
        <f>TrRoad_act!Q59</f>
        <v>1531693</v>
      </c>
      <c r="R5" s="137">
        <f>TrRoad_act!R59</f>
        <v>1559925</v>
      </c>
      <c r="S5" s="137">
        <f>TrRoad_act!S59</f>
        <v>1587349</v>
      </c>
      <c r="T5" s="137">
        <f>TrRoad_act!T59</f>
        <v>1616776</v>
      </c>
      <c r="U5" s="137">
        <f>TrRoad_act!U59</f>
        <v>1647151</v>
      </c>
      <c r="V5" s="137">
        <f>TrRoad_act!V59</f>
        <v>1680310</v>
      </c>
      <c r="W5" s="137">
        <f>TrRoad_act!W59</f>
        <v>1701057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3510800</v>
      </c>
      <c r="C6" s="110">
        <f>TrRoad_act!C60</f>
        <v>3529800</v>
      </c>
      <c r="D6" s="110">
        <f>TrRoad_act!D60</f>
        <v>3647100</v>
      </c>
      <c r="E6" s="110">
        <f>TrRoad_act!E60</f>
        <v>3706012</v>
      </c>
      <c r="F6" s="110">
        <f>TrRoad_act!F60</f>
        <v>3816000</v>
      </c>
      <c r="G6" s="110">
        <f>TrRoad_act!G60</f>
        <v>3959000</v>
      </c>
      <c r="H6" s="110">
        <f>TrRoad_act!H60</f>
        <v>4109000</v>
      </c>
      <c r="I6" s="110">
        <f>TrRoad_act!I60</f>
        <v>4280000</v>
      </c>
      <c r="J6" s="110">
        <f>TrRoad_act!J60</f>
        <v>4423000</v>
      </c>
      <c r="K6" s="110">
        <f>TrRoad_act!K60</f>
        <v>4435000</v>
      </c>
      <c r="L6" s="110">
        <f>TrRoad_act!L60</f>
        <v>4496000</v>
      </c>
      <c r="M6" s="110">
        <f>TrRoad_act!M60</f>
        <v>4582000</v>
      </c>
      <c r="N6" s="110">
        <f>TrRoad_act!N60</f>
        <v>4706000</v>
      </c>
      <c r="O6" s="110">
        <f>TrRoad_act!O60</f>
        <v>4729185</v>
      </c>
      <c r="P6" s="110">
        <f>TrRoad_act!P60</f>
        <v>4833386</v>
      </c>
      <c r="Q6" s="110">
        <f>TrRoad_act!Q60</f>
        <v>5115316</v>
      </c>
      <c r="R6" s="110">
        <f>TrRoad_act!R60</f>
        <v>5307808</v>
      </c>
      <c r="S6" s="110">
        <f>TrRoad_act!S60</f>
        <v>5538222</v>
      </c>
      <c r="T6" s="110">
        <f>TrRoad_act!T60</f>
        <v>5747913</v>
      </c>
      <c r="U6" s="110">
        <f>TrRoad_act!U60</f>
        <v>5924995</v>
      </c>
      <c r="V6" s="110">
        <f>TrRoad_act!V60</f>
        <v>6049255</v>
      </c>
      <c r="W6" s="110">
        <f>TrRoad_act!W60</f>
        <v>6088730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3054807</v>
      </c>
      <c r="C7" s="84">
        <f>TrRoad_act!C61</f>
        <v>3031646</v>
      </c>
      <c r="D7" s="84">
        <f>TrRoad_act!D61</f>
        <v>3075011</v>
      </c>
      <c r="E7" s="84">
        <f>TrRoad_act!E61</f>
        <v>3058125</v>
      </c>
      <c r="F7" s="84">
        <f>TrRoad_act!F61</f>
        <v>3092067</v>
      </c>
      <c r="G7" s="84">
        <f>TrRoad_act!G61</f>
        <v>3157440</v>
      </c>
      <c r="H7" s="84">
        <f>TrRoad_act!H61</f>
        <v>3211897</v>
      </c>
      <c r="I7" s="84">
        <f>TrRoad_act!I61</f>
        <v>3277840</v>
      </c>
      <c r="J7" s="84">
        <f>TrRoad_act!J61</f>
        <v>3314781</v>
      </c>
      <c r="K7" s="84">
        <f>TrRoad_act!K61</f>
        <v>3228837</v>
      </c>
      <c r="L7" s="84">
        <f>TrRoad_act!L61</f>
        <v>3188322</v>
      </c>
      <c r="M7" s="84">
        <f>TrRoad_act!M61</f>
        <v>3160685</v>
      </c>
      <c r="N7" s="84">
        <f>TrRoad_act!N61</f>
        <v>3104707</v>
      </c>
      <c r="O7" s="84">
        <f>TrRoad_act!O61</f>
        <v>3080888</v>
      </c>
      <c r="P7" s="84">
        <f>TrRoad_act!P61</f>
        <v>3066862</v>
      </c>
      <c r="Q7" s="84">
        <f>TrRoad_act!Q61</f>
        <v>3172041</v>
      </c>
      <c r="R7" s="84">
        <f>TrRoad_act!R61</f>
        <v>3215580</v>
      </c>
      <c r="S7" s="84">
        <f>TrRoad_act!S61</f>
        <v>3305082</v>
      </c>
      <c r="T7" s="84">
        <f>TrRoad_act!T61</f>
        <v>3358336</v>
      </c>
      <c r="U7" s="84">
        <f>TrRoad_act!U61</f>
        <v>3436615</v>
      </c>
      <c r="V7" s="84">
        <f>TrRoad_act!V61</f>
        <v>3483356</v>
      </c>
      <c r="W7" s="84">
        <f>TrRoad_act!W61</f>
        <v>3494209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383993</v>
      </c>
      <c r="C8" s="84">
        <f>TrRoad_act!C62</f>
        <v>423718</v>
      </c>
      <c r="D8" s="84">
        <f>TrRoad_act!D62</f>
        <v>492602</v>
      </c>
      <c r="E8" s="84">
        <f>TrRoad_act!E62</f>
        <v>563796</v>
      </c>
      <c r="F8" s="84">
        <f>TrRoad_act!F62</f>
        <v>631313</v>
      </c>
      <c r="G8" s="84">
        <f>TrRoad_act!G62</f>
        <v>701003</v>
      </c>
      <c r="H8" s="84">
        <f>TrRoad_act!H62</f>
        <v>783983</v>
      </c>
      <c r="I8" s="84">
        <f>TrRoad_act!I62</f>
        <v>875321</v>
      </c>
      <c r="J8" s="84">
        <f>TrRoad_act!J62</f>
        <v>979853</v>
      </c>
      <c r="K8" s="84">
        <f>TrRoad_act!K62</f>
        <v>1069164</v>
      </c>
      <c r="L8" s="84">
        <f>TrRoad_act!L62</f>
        <v>1170496</v>
      </c>
      <c r="M8" s="84">
        <f>TrRoad_act!M62</f>
        <v>1275366</v>
      </c>
      <c r="N8" s="84">
        <f>TrRoad_act!N62</f>
        <v>1431250</v>
      </c>
      <c r="O8" s="84">
        <f>TrRoad_act!O62</f>
        <v>1470155</v>
      </c>
      <c r="P8" s="84">
        <f>TrRoad_act!P62</f>
        <v>1567603</v>
      </c>
      <c r="Q8" s="84">
        <f>TrRoad_act!Q62</f>
        <v>1741073</v>
      </c>
      <c r="R8" s="84">
        <f>TrRoad_act!R62</f>
        <v>1881944</v>
      </c>
      <c r="S8" s="84">
        <f>TrRoad_act!S62</f>
        <v>2024319</v>
      </c>
      <c r="T8" s="84">
        <f>TrRoad_act!T62</f>
        <v>2183788</v>
      </c>
      <c r="U8" s="84">
        <f>TrRoad_act!U62</f>
        <v>2286735</v>
      </c>
      <c r="V8" s="84">
        <f>TrRoad_act!V62</f>
        <v>2365981</v>
      </c>
      <c r="W8" s="84">
        <f>TrRoad_act!W62</f>
        <v>2394164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72000</v>
      </c>
      <c r="C9" s="84">
        <f>TrRoad_act!C63</f>
        <v>74436</v>
      </c>
      <c r="D9" s="84">
        <f>TrRoad_act!D63</f>
        <v>79487</v>
      </c>
      <c r="E9" s="84">
        <f>TrRoad_act!E63</f>
        <v>84091</v>
      </c>
      <c r="F9" s="84">
        <f>TrRoad_act!F63</f>
        <v>92620</v>
      </c>
      <c r="G9" s="84">
        <f>TrRoad_act!G63</f>
        <v>100557</v>
      </c>
      <c r="H9" s="84">
        <f>TrRoad_act!H63</f>
        <v>113120</v>
      </c>
      <c r="I9" s="84">
        <f>TrRoad_act!I63</f>
        <v>126839</v>
      </c>
      <c r="J9" s="84">
        <f>TrRoad_act!J63</f>
        <v>127606</v>
      </c>
      <c r="K9" s="84">
        <f>TrRoad_act!K63</f>
        <v>135827</v>
      </c>
      <c r="L9" s="84">
        <f>TrRoad_act!L63</f>
        <v>135486</v>
      </c>
      <c r="M9" s="84">
        <f>TrRoad_act!M63</f>
        <v>143641</v>
      </c>
      <c r="N9" s="84">
        <f>TrRoad_act!N63</f>
        <v>166898</v>
      </c>
      <c r="O9" s="84">
        <f>TrRoad_act!O63</f>
        <v>173280</v>
      </c>
      <c r="P9" s="84">
        <f>TrRoad_act!P63</f>
        <v>192661</v>
      </c>
      <c r="Q9" s="84">
        <f>TrRoad_act!Q63</f>
        <v>192685</v>
      </c>
      <c r="R9" s="84">
        <f>TrRoad_act!R63</f>
        <v>194612</v>
      </c>
      <c r="S9" s="84">
        <f>TrRoad_act!S63</f>
        <v>188774</v>
      </c>
      <c r="T9" s="84">
        <f>TrRoad_act!T63</f>
        <v>181223</v>
      </c>
      <c r="U9" s="84">
        <f>TrRoad_act!U63</f>
        <v>173974</v>
      </c>
      <c r="V9" s="84">
        <f>TrRoad_act!V63</f>
        <v>167015</v>
      </c>
      <c r="W9" s="84">
        <f>TrRoad_act!W63</f>
        <v>162440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760</v>
      </c>
      <c r="K10" s="84">
        <f>TrRoad_act!K64</f>
        <v>1172</v>
      </c>
      <c r="L10" s="84">
        <f>TrRoad_act!L64</f>
        <v>1690</v>
      </c>
      <c r="M10" s="84">
        <f>TrRoad_act!M64</f>
        <v>2246</v>
      </c>
      <c r="N10" s="84">
        <f>TrRoad_act!N64</f>
        <v>3054</v>
      </c>
      <c r="O10" s="84">
        <f>TrRoad_act!O64</f>
        <v>4598</v>
      </c>
      <c r="P10" s="84">
        <f>TrRoad_act!P64</f>
        <v>5764</v>
      </c>
      <c r="Q10" s="84">
        <f>TrRoad_act!Q64</f>
        <v>8600</v>
      </c>
      <c r="R10" s="84">
        <f>TrRoad_act!R64</f>
        <v>13970</v>
      </c>
      <c r="S10" s="84">
        <f>TrRoad_act!S64</f>
        <v>17170</v>
      </c>
      <c r="T10" s="84">
        <f>TrRoad_act!T64</f>
        <v>20660</v>
      </c>
      <c r="U10" s="84">
        <f>TrRoad_act!U64</f>
        <v>22448</v>
      </c>
      <c r="V10" s="84">
        <f>TrRoad_act!V64</f>
        <v>23068</v>
      </c>
      <c r="W10" s="84">
        <f>TrRoad_act!W64</f>
        <v>22789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16</v>
      </c>
      <c r="O11" s="84">
        <f>TrRoad_act!O65</f>
        <v>27</v>
      </c>
      <c r="P11" s="84">
        <f>TrRoad_act!P65</f>
        <v>79</v>
      </c>
      <c r="Q11" s="84">
        <f>TrRoad_act!Q65</f>
        <v>204</v>
      </c>
      <c r="R11" s="84">
        <f>TrRoad_act!R65</f>
        <v>340</v>
      </c>
      <c r="S11" s="84">
        <f>TrRoad_act!S65</f>
        <v>568</v>
      </c>
      <c r="T11" s="84">
        <f>TrRoad_act!T65</f>
        <v>859</v>
      </c>
      <c r="U11" s="84">
        <f>TrRoad_act!U65</f>
        <v>1326</v>
      </c>
      <c r="V11" s="84">
        <f>TrRoad_act!V65</f>
        <v>2726</v>
      </c>
      <c r="W11" s="84">
        <f>TrRoad_act!W65</f>
        <v>5159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6</v>
      </c>
      <c r="M12" s="84">
        <f>TrRoad_act!M66</f>
        <v>62</v>
      </c>
      <c r="N12" s="84">
        <f>TrRoad_act!N66</f>
        <v>75</v>
      </c>
      <c r="O12" s="84">
        <f>TrRoad_act!O66</f>
        <v>237</v>
      </c>
      <c r="P12" s="84">
        <f>TrRoad_act!P66</f>
        <v>417</v>
      </c>
      <c r="Q12" s="84">
        <f>TrRoad_act!Q66</f>
        <v>713</v>
      </c>
      <c r="R12" s="84">
        <f>TrRoad_act!R66</f>
        <v>1362</v>
      </c>
      <c r="S12" s="84">
        <f>TrRoad_act!S66</f>
        <v>2309</v>
      </c>
      <c r="T12" s="84">
        <f>TrRoad_act!T66</f>
        <v>3047</v>
      </c>
      <c r="U12" s="84">
        <f>TrRoad_act!U66</f>
        <v>3897</v>
      </c>
      <c r="V12" s="84">
        <f>TrRoad_act!V66</f>
        <v>7109</v>
      </c>
      <c r="W12" s="84">
        <f>TrRoad_act!W66</f>
        <v>9969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22229</v>
      </c>
      <c r="C13" s="110">
        <f>TrRoad_act!C67</f>
        <v>24457</v>
      </c>
      <c r="D13" s="110">
        <f>TrRoad_act!D67</f>
        <v>22503</v>
      </c>
      <c r="E13" s="110">
        <f>TrRoad_act!E67</f>
        <v>21831</v>
      </c>
      <c r="F13" s="110">
        <f>TrRoad_act!F67</f>
        <v>21187</v>
      </c>
      <c r="G13" s="110">
        <f>TrRoad_act!G67</f>
        <v>21261</v>
      </c>
      <c r="H13" s="110">
        <f>TrRoad_act!H67</f>
        <v>21456</v>
      </c>
      <c r="I13" s="110">
        <f>TrRoad_act!I67</f>
        <v>21356</v>
      </c>
      <c r="J13" s="110">
        <f>TrRoad_act!J67</f>
        <v>21279</v>
      </c>
      <c r="K13" s="110">
        <f>TrRoad_act!K67</f>
        <v>20805</v>
      </c>
      <c r="L13" s="110">
        <f>TrRoad_act!L67</f>
        <v>20467</v>
      </c>
      <c r="M13" s="110">
        <f>TrRoad_act!M67</f>
        <v>20429</v>
      </c>
      <c r="N13" s="110">
        <f>TrRoad_act!N67</f>
        <v>20506</v>
      </c>
      <c r="O13" s="110">
        <f>TrRoad_act!O67</f>
        <v>20318</v>
      </c>
      <c r="P13" s="110">
        <f>TrRoad_act!P67</f>
        <v>20511</v>
      </c>
      <c r="Q13" s="110">
        <f>TrRoad_act!Q67</f>
        <v>20667</v>
      </c>
      <c r="R13" s="110">
        <f>TrRoad_act!R67</f>
        <v>20876</v>
      </c>
      <c r="S13" s="110">
        <f>TrRoad_act!S67</f>
        <v>21442</v>
      </c>
      <c r="T13" s="110">
        <f>TrRoad_act!T67</f>
        <v>22027</v>
      </c>
      <c r="U13" s="110">
        <f>TrRoad_act!U67</f>
        <v>22206</v>
      </c>
      <c r="V13" s="110">
        <f>TrRoad_act!V67</f>
        <v>19968</v>
      </c>
      <c r="W13" s="110">
        <f>TrRoad_act!W67</f>
        <v>20555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3246</v>
      </c>
      <c r="C14" s="102">
        <f>TrRoad_act!C68</f>
        <v>3246</v>
      </c>
      <c r="D14" s="102">
        <f>TrRoad_act!D68</f>
        <v>3243</v>
      </c>
      <c r="E14" s="102">
        <f>TrRoad_act!E68</f>
        <v>2849</v>
      </c>
      <c r="F14" s="102">
        <f>TrRoad_act!F68</f>
        <v>2634</v>
      </c>
      <c r="G14" s="102">
        <f>TrRoad_act!G68</f>
        <v>2493</v>
      </c>
      <c r="H14" s="102">
        <f>TrRoad_act!H68</f>
        <v>2408</v>
      </c>
      <c r="I14" s="102">
        <f>TrRoad_act!I68</f>
        <v>2350</v>
      </c>
      <c r="J14" s="102">
        <f>TrRoad_act!J68</f>
        <v>2215</v>
      </c>
      <c r="K14" s="102">
        <f>TrRoad_act!K68</f>
        <v>2028</v>
      </c>
      <c r="L14" s="102">
        <f>TrRoad_act!L68</f>
        <v>1979</v>
      </c>
      <c r="M14" s="102">
        <f>TrRoad_act!M68</f>
        <v>1950</v>
      </c>
      <c r="N14" s="102">
        <f>TrRoad_act!N68</f>
        <v>1868</v>
      </c>
      <c r="O14" s="102">
        <f>TrRoad_act!O68</f>
        <v>1846</v>
      </c>
      <c r="P14" s="102">
        <f>TrRoad_act!P68</f>
        <v>1811</v>
      </c>
      <c r="Q14" s="102">
        <f>TrRoad_act!Q68</f>
        <v>1779</v>
      </c>
      <c r="R14" s="102">
        <f>TrRoad_act!R68</f>
        <v>1745</v>
      </c>
      <c r="S14" s="102">
        <f>TrRoad_act!S68</f>
        <v>1712</v>
      </c>
      <c r="T14" s="102">
        <f>TrRoad_act!T68</f>
        <v>1679</v>
      </c>
      <c r="U14" s="102">
        <f>TrRoad_act!U68</f>
        <v>1652</v>
      </c>
      <c r="V14" s="102">
        <f>TrRoad_act!V68</f>
        <v>1636</v>
      </c>
      <c r="W14" s="102">
        <f>TrRoad_act!W68</f>
        <v>1614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17966</v>
      </c>
      <c r="C15" s="102">
        <f>TrRoad_act!C69</f>
        <v>20107</v>
      </c>
      <c r="D15" s="102">
        <f>TrRoad_act!D69</f>
        <v>18014</v>
      </c>
      <c r="E15" s="102">
        <f>TrRoad_act!E69</f>
        <v>17659</v>
      </c>
      <c r="F15" s="102">
        <f>TrRoad_act!F69</f>
        <v>17227</v>
      </c>
      <c r="G15" s="102">
        <f>TrRoad_act!G69</f>
        <v>17449</v>
      </c>
      <c r="H15" s="102">
        <f>TrRoad_act!H69</f>
        <v>17704</v>
      </c>
      <c r="I15" s="102">
        <f>TrRoad_act!I69</f>
        <v>17816</v>
      </c>
      <c r="J15" s="102">
        <f>TrRoad_act!J69</f>
        <v>17876</v>
      </c>
      <c r="K15" s="102">
        <f>TrRoad_act!K69</f>
        <v>17594</v>
      </c>
      <c r="L15" s="102">
        <f>TrRoad_act!L69</f>
        <v>17303</v>
      </c>
      <c r="M15" s="102">
        <f>TrRoad_act!M69</f>
        <v>17301</v>
      </c>
      <c r="N15" s="102">
        <f>TrRoad_act!N69</f>
        <v>17460</v>
      </c>
      <c r="O15" s="102">
        <f>TrRoad_act!O69</f>
        <v>17463</v>
      </c>
      <c r="P15" s="102">
        <f>TrRoad_act!P69</f>
        <v>18033</v>
      </c>
      <c r="Q15" s="102">
        <f>TrRoad_act!Q69</f>
        <v>17945</v>
      </c>
      <c r="R15" s="102">
        <f>TrRoad_act!R69</f>
        <v>17989</v>
      </c>
      <c r="S15" s="102">
        <f>TrRoad_act!S69</f>
        <v>18490</v>
      </c>
      <c r="T15" s="102">
        <f>TrRoad_act!T69</f>
        <v>18996</v>
      </c>
      <c r="U15" s="102">
        <f>TrRoad_act!U69</f>
        <v>18860</v>
      </c>
      <c r="V15" s="102">
        <f>TrRoad_act!V69</f>
        <v>16415</v>
      </c>
      <c r="W15" s="102">
        <f>TrRoad_act!W69</f>
        <v>17020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7</v>
      </c>
      <c r="W16" s="102">
        <f>TrRoad_act!W70</f>
        <v>7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290</v>
      </c>
      <c r="C17" s="102">
        <f>TrRoad_act!C71</f>
        <v>365</v>
      </c>
      <c r="D17" s="102">
        <f>TrRoad_act!D71</f>
        <v>520</v>
      </c>
      <c r="E17" s="102">
        <f>TrRoad_act!E71</f>
        <v>600</v>
      </c>
      <c r="F17" s="102">
        <f>TrRoad_act!F71</f>
        <v>600</v>
      </c>
      <c r="G17" s="102">
        <f>TrRoad_act!G71</f>
        <v>600</v>
      </c>
      <c r="H17" s="102">
        <f>TrRoad_act!H71</f>
        <v>600</v>
      </c>
      <c r="I17" s="102">
        <f>TrRoad_act!I71</f>
        <v>450</v>
      </c>
      <c r="J17" s="102">
        <f>TrRoad_act!J71</f>
        <v>450</v>
      </c>
      <c r="K17" s="102">
        <f>TrRoad_act!K71</f>
        <v>450</v>
      </c>
      <c r="L17" s="102">
        <f>TrRoad_act!L71</f>
        <v>450</v>
      </c>
      <c r="M17" s="102">
        <f>TrRoad_act!M71</f>
        <v>450</v>
      </c>
      <c r="N17" s="102">
        <f>TrRoad_act!N71</f>
        <v>450</v>
      </c>
      <c r="O17" s="102">
        <f>TrRoad_act!O71</f>
        <v>450</v>
      </c>
      <c r="P17" s="102">
        <f>TrRoad_act!P71</f>
        <v>518</v>
      </c>
      <c r="Q17" s="102">
        <f>TrRoad_act!Q71</f>
        <v>820</v>
      </c>
      <c r="R17" s="102">
        <f>TrRoad_act!R71</f>
        <v>1020</v>
      </c>
      <c r="S17" s="102">
        <f>TrRoad_act!S71</f>
        <v>1120</v>
      </c>
      <c r="T17" s="102">
        <f>TrRoad_act!T71</f>
        <v>1234</v>
      </c>
      <c r="U17" s="102">
        <f>TrRoad_act!U71</f>
        <v>1594</v>
      </c>
      <c r="V17" s="102">
        <f>TrRoad_act!V71</f>
        <v>1803</v>
      </c>
      <c r="W17" s="102">
        <f>TrRoad_act!W71</f>
        <v>1806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727</v>
      </c>
      <c r="C18" s="102">
        <f>TrRoad_act!C72</f>
        <v>739</v>
      </c>
      <c r="D18" s="102">
        <f>TrRoad_act!D72</f>
        <v>726</v>
      </c>
      <c r="E18" s="102">
        <f>TrRoad_act!E72</f>
        <v>723</v>
      </c>
      <c r="F18" s="102">
        <f>TrRoad_act!F72</f>
        <v>726</v>
      </c>
      <c r="G18" s="102">
        <f>TrRoad_act!G72</f>
        <v>719</v>
      </c>
      <c r="H18" s="102">
        <f>TrRoad_act!H72</f>
        <v>744</v>
      </c>
      <c r="I18" s="102">
        <f>TrRoad_act!I72</f>
        <v>740</v>
      </c>
      <c r="J18" s="102">
        <f>TrRoad_act!J72</f>
        <v>738</v>
      </c>
      <c r="K18" s="102">
        <f>TrRoad_act!K72</f>
        <v>733</v>
      </c>
      <c r="L18" s="102">
        <f>TrRoad_act!L72</f>
        <v>735</v>
      </c>
      <c r="M18" s="102">
        <f>TrRoad_act!M72</f>
        <v>728</v>
      </c>
      <c r="N18" s="102">
        <f>TrRoad_act!N72</f>
        <v>728</v>
      </c>
      <c r="O18" s="102">
        <f>TrRoad_act!O72</f>
        <v>559</v>
      </c>
      <c r="P18" s="102">
        <f>TrRoad_act!P72</f>
        <v>149</v>
      </c>
      <c r="Q18" s="102">
        <f>TrRoad_act!Q72</f>
        <v>123</v>
      </c>
      <c r="R18" s="102">
        <f>TrRoad_act!R72</f>
        <v>122</v>
      </c>
      <c r="S18" s="102">
        <f>TrRoad_act!S72</f>
        <v>120</v>
      </c>
      <c r="T18" s="102">
        <f>TrRoad_act!T72</f>
        <v>118</v>
      </c>
      <c r="U18" s="102">
        <f>TrRoad_act!U72</f>
        <v>100</v>
      </c>
      <c r="V18" s="102">
        <f>TrRoad_act!V72</f>
        <v>107</v>
      </c>
      <c r="W18" s="102">
        <f>TrRoad_act!W72</f>
        <v>108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289693</v>
      </c>
      <c r="C19" s="28">
        <f>TrRoad_act!C73</f>
        <v>306229</v>
      </c>
      <c r="D19" s="28">
        <f>TrRoad_act!D73</f>
        <v>331107</v>
      </c>
      <c r="E19" s="28">
        <f>TrRoad_act!E73</f>
        <v>347072</v>
      </c>
      <c r="F19" s="28">
        <f>TrRoad_act!F73</f>
        <v>381306</v>
      </c>
      <c r="G19" s="28">
        <f>TrRoad_act!G73</f>
        <v>429872</v>
      </c>
      <c r="H19" s="28">
        <f>TrRoad_act!H73</f>
        <v>479055</v>
      </c>
      <c r="I19" s="28">
        <f>TrRoad_act!I73</f>
        <v>540527</v>
      </c>
      <c r="J19" s="28">
        <f>TrRoad_act!J73</f>
        <v>589800</v>
      </c>
      <c r="K19" s="28">
        <f>TrRoad_act!K73</f>
        <v>587588</v>
      </c>
      <c r="L19" s="28">
        <f>TrRoad_act!L73</f>
        <v>580593</v>
      </c>
      <c r="M19" s="28">
        <f>TrRoad_act!M73</f>
        <v>578692</v>
      </c>
      <c r="N19" s="28">
        <f>TrRoad_act!N73</f>
        <v>587226</v>
      </c>
      <c r="O19" s="28">
        <f>TrRoad_act!O73</f>
        <v>584380</v>
      </c>
      <c r="P19" s="28">
        <f>TrRoad_act!P73</f>
        <v>602057</v>
      </c>
      <c r="Q19" s="28">
        <f>TrRoad_act!Q73</f>
        <v>643676</v>
      </c>
      <c r="R19" s="28">
        <f>TrRoad_act!R73</f>
        <v>573226</v>
      </c>
      <c r="S19" s="28">
        <f>TrRoad_act!S73</f>
        <v>589175</v>
      </c>
      <c r="T19" s="28">
        <f>TrRoad_act!T73</f>
        <v>601647</v>
      </c>
      <c r="U19" s="28">
        <f>TrRoad_act!U73</f>
        <v>609922</v>
      </c>
      <c r="V19" s="28">
        <f>TrRoad_act!V73</f>
        <v>601403</v>
      </c>
      <c r="W19" s="28">
        <f>TrRoad_act!W73</f>
        <v>596597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150508</v>
      </c>
      <c r="C20" s="137">
        <f>TrRoad_act!C74</f>
        <v>165072</v>
      </c>
      <c r="D20" s="137">
        <f>TrRoad_act!D74</f>
        <v>189826</v>
      </c>
      <c r="E20" s="137">
        <f>TrRoad_act!E74</f>
        <v>216548</v>
      </c>
      <c r="F20" s="137">
        <f>TrRoad_act!F74</f>
        <v>251868</v>
      </c>
      <c r="G20" s="137">
        <f>TrRoad_act!G74</f>
        <v>300311</v>
      </c>
      <c r="H20" s="137">
        <f>TrRoad_act!H74</f>
        <v>351066</v>
      </c>
      <c r="I20" s="137">
        <f>TrRoad_act!I74</f>
        <v>407210</v>
      </c>
      <c r="J20" s="137">
        <f>TrRoad_act!J74</f>
        <v>461888</v>
      </c>
      <c r="K20" s="137">
        <f>TrRoad_act!K74</f>
        <v>466375</v>
      </c>
      <c r="L20" s="137">
        <f>TrRoad_act!L74</f>
        <v>466637</v>
      </c>
      <c r="M20" s="137">
        <f>TrRoad_act!M74</f>
        <v>467582</v>
      </c>
      <c r="N20" s="137">
        <f>TrRoad_act!N74</f>
        <v>467672</v>
      </c>
      <c r="O20" s="137">
        <f>TrRoad_act!O74</f>
        <v>466056</v>
      </c>
      <c r="P20" s="137">
        <f>TrRoad_act!P74</f>
        <v>479183</v>
      </c>
      <c r="Q20" s="137">
        <f>TrRoad_act!Q74</f>
        <v>510344</v>
      </c>
      <c r="R20" s="137">
        <f>TrRoad_act!R74</f>
        <v>429780</v>
      </c>
      <c r="S20" s="137">
        <f>TrRoad_act!S74</f>
        <v>436241</v>
      </c>
      <c r="T20" s="137">
        <f>TrRoad_act!T74</f>
        <v>441303</v>
      </c>
      <c r="U20" s="137">
        <f>TrRoad_act!U74</f>
        <v>444203</v>
      </c>
      <c r="V20" s="137">
        <f>TrRoad_act!V74</f>
        <v>446122</v>
      </c>
      <c r="W20" s="137">
        <f>TrRoad_act!W74</f>
        <v>443860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48601</v>
      </c>
      <c r="C21" s="84">
        <f>TrRoad_act!C75</f>
        <v>52981</v>
      </c>
      <c r="D21" s="84">
        <f>TrRoad_act!D75</f>
        <v>59840</v>
      </c>
      <c r="E21" s="84">
        <f>TrRoad_act!E75</f>
        <v>59929</v>
      </c>
      <c r="F21" s="84">
        <f>TrRoad_act!F75</f>
        <v>62683</v>
      </c>
      <c r="G21" s="84">
        <f>TrRoad_act!G75</f>
        <v>69268</v>
      </c>
      <c r="H21" s="84">
        <f>TrRoad_act!H75</f>
        <v>81299</v>
      </c>
      <c r="I21" s="84">
        <f>TrRoad_act!I75</f>
        <v>93383</v>
      </c>
      <c r="J21" s="84">
        <f>TrRoad_act!J75</f>
        <v>103323</v>
      </c>
      <c r="K21" s="84">
        <f>TrRoad_act!K75</f>
        <v>100721</v>
      </c>
      <c r="L21" s="84">
        <f>TrRoad_act!L75</f>
        <v>97721</v>
      </c>
      <c r="M21" s="84">
        <f>TrRoad_act!M75</f>
        <v>94802</v>
      </c>
      <c r="N21" s="84">
        <f>TrRoad_act!N75</f>
        <v>91508</v>
      </c>
      <c r="O21" s="84">
        <f>TrRoad_act!O75</f>
        <v>91040</v>
      </c>
      <c r="P21" s="84">
        <f>TrRoad_act!P75</f>
        <v>93201</v>
      </c>
      <c r="Q21" s="84">
        <f>TrRoad_act!Q75</f>
        <v>98766</v>
      </c>
      <c r="R21" s="84">
        <f>TrRoad_act!R75</f>
        <v>99303</v>
      </c>
      <c r="S21" s="84">
        <f>TrRoad_act!S75</f>
        <v>100047</v>
      </c>
      <c r="T21" s="84">
        <f>TrRoad_act!T75</f>
        <v>100626</v>
      </c>
      <c r="U21" s="84">
        <f>TrRoad_act!U75</f>
        <v>100959</v>
      </c>
      <c r="V21" s="84">
        <f>TrRoad_act!V75</f>
        <v>101177</v>
      </c>
      <c r="W21" s="84">
        <f>TrRoad_act!W75</f>
        <v>100930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94907</v>
      </c>
      <c r="C22" s="84">
        <f>TrRoad_act!C76</f>
        <v>105252</v>
      </c>
      <c r="D22" s="84">
        <f>TrRoad_act!D76</f>
        <v>123026</v>
      </c>
      <c r="E22" s="84">
        <f>TrRoad_act!E76</f>
        <v>149534</v>
      </c>
      <c r="F22" s="84">
        <f>TrRoad_act!F76</f>
        <v>181748</v>
      </c>
      <c r="G22" s="84">
        <f>TrRoad_act!G76</f>
        <v>223361</v>
      </c>
      <c r="H22" s="84">
        <f>TrRoad_act!H76</f>
        <v>261550</v>
      </c>
      <c r="I22" s="84">
        <f>TrRoad_act!I76</f>
        <v>304984</v>
      </c>
      <c r="J22" s="84">
        <f>TrRoad_act!J76</f>
        <v>349988</v>
      </c>
      <c r="K22" s="84">
        <f>TrRoad_act!K76</f>
        <v>356833</v>
      </c>
      <c r="L22" s="84">
        <f>TrRoad_act!L76</f>
        <v>360450</v>
      </c>
      <c r="M22" s="84">
        <f>TrRoad_act!M76</f>
        <v>364191</v>
      </c>
      <c r="N22" s="84">
        <f>TrRoad_act!N76</f>
        <v>366145</v>
      </c>
      <c r="O22" s="84">
        <f>TrRoad_act!O76</f>
        <v>364272</v>
      </c>
      <c r="P22" s="84">
        <f>TrRoad_act!P76</f>
        <v>372918</v>
      </c>
      <c r="Q22" s="84">
        <f>TrRoad_act!Q76</f>
        <v>395186</v>
      </c>
      <c r="R22" s="84">
        <f>TrRoad_act!R76</f>
        <v>310661</v>
      </c>
      <c r="S22" s="84">
        <f>TrRoad_act!S76</f>
        <v>313715</v>
      </c>
      <c r="T22" s="84">
        <f>TrRoad_act!T76</f>
        <v>315831</v>
      </c>
      <c r="U22" s="84">
        <f>TrRoad_act!U76</f>
        <v>316947</v>
      </c>
      <c r="V22" s="84">
        <f>TrRoad_act!V76</f>
        <v>317608</v>
      </c>
      <c r="W22" s="84">
        <f>TrRoad_act!W76</f>
        <v>315143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7000</v>
      </c>
      <c r="C23" s="84">
        <f>TrRoad_act!C77</f>
        <v>6839</v>
      </c>
      <c r="D23" s="84">
        <f>TrRoad_act!D77</f>
        <v>6960</v>
      </c>
      <c r="E23" s="84">
        <f>TrRoad_act!E77</f>
        <v>7085</v>
      </c>
      <c r="F23" s="84">
        <f>TrRoad_act!F77</f>
        <v>7437</v>
      </c>
      <c r="G23" s="84">
        <f>TrRoad_act!G77</f>
        <v>7682</v>
      </c>
      <c r="H23" s="84">
        <f>TrRoad_act!H77</f>
        <v>8217</v>
      </c>
      <c r="I23" s="84">
        <f>TrRoad_act!I77</f>
        <v>8843</v>
      </c>
      <c r="J23" s="84">
        <f>TrRoad_act!J77</f>
        <v>8538</v>
      </c>
      <c r="K23" s="84">
        <f>TrRoad_act!K77</f>
        <v>8780</v>
      </c>
      <c r="L23" s="84">
        <f>TrRoad_act!L77</f>
        <v>8421</v>
      </c>
      <c r="M23" s="84">
        <f>TrRoad_act!M77</f>
        <v>8540</v>
      </c>
      <c r="N23" s="84">
        <f>TrRoad_act!N77</f>
        <v>9506</v>
      </c>
      <c r="O23" s="84">
        <f>TrRoad_act!O77</f>
        <v>9870</v>
      </c>
      <c r="P23" s="84">
        <f>TrRoad_act!P77</f>
        <v>10974</v>
      </c>
      <c r="Q23" s="84">
        <f>TrRoad_act!Q77</f>
        <v>10975</v>
      </c>
      <c r="R23" s="84">
        <f>TrRoad_act!R77</f>
        <v>11625</v>
      </c>
      <c r="S23" s="84">
        <f>TrRoad_act!S77</f>
        <v>11375</v>
      </c>
      <c r="T23" s="84">
        <f>TrRoad_act!T77</f>
        <v>11225</v>
      </c>
      <c r="U23" s="84">
        <f>TrRoad_act!U77</f>
        <v>10225</v>
      </c>
      <c r="V23" s="84">
        <f>TrRoad_act!V77</f>
        <v>9225</v>
      </c>
      <c r="W23" s="84">
        <f>TrRoad_act!W77</f>
        <v>8225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443</v>
      </c>
      <c r="O24" s="84">
        <f>TrRoad_act!O78</f>
        <v>792</v>
      </c>
      <c r="P24" s="84">
        <f>TrRoad_act!P78</f>
        <v>1997</v>
      </c>
      <c r="Q24" s="84">
        <f>TrRoad_act!Q78</f>
        <v>5308</v>
      </c>
      <c r="R24" s="84">
        <f>TrRoad_act!R78</f>
        <v>8062</v>
      </c>
      <c r="S24" s="84">
        <f>TrRoad_act!S78</f>
        <v>10948</v>
      </c>
      <c r="T24" s="84">
        <f>TrRoad_act!T78</f>
        <v>13406</v>
      </c>
      <c r="U24" s="84">
        <f>TrRoad_act!U78</f>
        <v>15729</v>
      </c>
      <c r="V24" s="84">
        <f>TrRoad_act!V78</f>
        <v>17651</v>
      </c>
      <c r="W24" s="84">
        <f>TrRoad_act!W78</f>
        <v>18818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39</v>
      </c>
      <c r="K25" s="84">
        <f>TrRoad_act!K79</f>
        <v>41</v>
      </c>
      <c r="L25" s="84">
        <f>TrRoad_act!L79</f>
        <v>45</v>
      </c>
      <c r="M25" s="84">
        <f>TrRoad_act!M79</f>
        <v>49</v>
      </c>
      <c r="N25" s="84">
        <f>TrRoad_act!N79</f>
        <v>70</v>
      </c>
      <c r="O25" s="84">
        <f>TrRoad_act!O79</f>
        <v>82</v>
      </c>
      <c r="P25" s="84">
        <f>TrRoad_act!P79</f>
        <v>93</v>
      </c>
      <c r="Q25" s="84">
        <f>TrRoad_act!Q79</f>
        <v>109</v>
      </c>
      <c r="R25" s="84">
        <f>TrRoad_act!R79</f>
        <v>129</v>
      </c>
      <c r="S25" s="84">
        <f>TrRoad_act!S79</f>
        <v>156</v>
      </c>
      <c r="T25" s="84">
        <f>TrRoad_act!T79</f>
        <v>215</v>
      </c>
      <c r="U25" s="84">
        <f>TrRoad_act!U79</f>
        <v>343</v>
      </c>
      <c r="V25" s="84">
        <f>TrRoad_act!V79</f>
        <v>461</v>
      </c>
      <c r="W25" s="84">
        <f>TrRoad_act!W79</f>
        <v>744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139185</v>
      </c>
      <c r="C26" s="110">
        <f>TrRoad_act!C80</f>
        <v>141157</v>
      </c>
      <c r="D26" s="110">
        <f>TrRoad_act!D80</f>
        <v>141281</v>
      </c>
      <c r="E26" s="110">
        <f>TrRoad_act!E80</f>
        <v>130524</v>
      </c>
      <c r="F26" s="110">
        <f>TrRoad_act!F80</f>
        <v>129438</v>
      </c>
      <c r="G26" s="110">
        <f>TrRoad_act!G80</f>
        <v>129561</v>
      </c>
      <c r="H26" s="110">
        <f>TrRoad_act!H80</f>
        <v>127989</v>
      </c>
      <c r="I26" s="110">
        <f>TrRoad_act!I80</f>
        <v>133317</v>
      </c>
      <c r="J26" s="110">
        <f>TrRoad_act!J80</f>
        <v>127912</v>
      </c>
      <c r="K26" s="110">
        <f>TrRoad_act!K80</f>
        <v>121213</v>
      </c>
      <c r="L26" s="110">
        <f>TrRoad_act!L80</f>
        <v>113956</v>
      </c>
      <c r="M26" s="110">
        <f>TrRoad_act!M80</f>
        <v>111110</v>
      </c>
      <c r="N26" s="110">
        <f>TrRoad_act!N80</f>
        <v>119554</v>
      </c>
      <c r="O26" s="110">
        <f>TrRoad_act!O80</f>
        <v>118324</v>
      </c>
      <c r="P26" s="110">
        <f>TrRoad_act!P80</f>
        <v>122874</v>
      </c>
      <c r="Q26" s="110">
        <f>TrRoad_act!Q80</f>
        <v>133332</v>
      </c>
      <c r="R26" s="110">
        <f>TrRoad_act!R80</f>
        <v>143446</v>
      </c>
      <c r="S26" s="110">
        <f>TrRoad_act!S80</f>
        <v>152934</v>
      </c>
      <c r="T26" s="110">
        <f>TrRoad_act!T80</f>
        <v>160344</v>
      </c>
      <c r="U26" s="110">
        <f>TrRoad_act!U80</f>
        <v>165719</v>
      </c>
      <c r="V26" s="110">
        <f>TrRoad_act!V80</f>
        <v>155281</v>
      </c>
      <c r="W26" s="110">
        <f>TrRoad_act!W80</f>
        <v>152737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129198</v>
      </c>
      <c r="C27" s="102">
        <f>TrRoad_act!C81</f>
        <v>130449</v>
      </c>
      <c r="D27" s="102">
        <f>TrRoad_act!D81</f>
        <v>130016</v>
      </c>
      <c r="E27" s="102">
        <f>TrRoad_act!E81</f>
        <v>119010</v>
      </c>
      <c r="F27" s="102">
        <f>TrRoad_act!F81</f>
        <v>115824</v>
      </c>
      <c r="G27" s="102">
        <f>TrRoad_act!G81</f>
        <v>115467</v>
      </c>
      <c r="H27" s="102">
        <f>TrRoad_act!H81</f>
        <v>113279</v>
      </c>
      <c r="I27" s="102">
        <f>TrRoad_act!I81</f>
        <v>118186</v>
      </c>
      <c r="J27" s="102">
        <f>TrRoad_act!J81</f>
        <v>113700</v>
      </c>
      <c r="K27" s="102">
        <f>TrRoad_act!K81</f>
        <v>107780</v>
      </c>
      <c r="L27" s="102">
        <f>TrRoad_act!L81</f>
        <v>99670</v>
      </c>
      <c r="M27" s="102">
        <f>TrRoad_act!M81</f>
        <v>95979</v>
      </c>
      <c r="N27" s="102">
        <f>TrRoad_act!N81</f>
        <v>104471</v>
      </c>
      <c r="O27" s="102">
        <f>TrRoad_act!O81</f>
        <v>101629</v>
      </c>
      <c r="P27" s="102">
        <f>TrRoad_act!P81</f>
        <v>106071</v>
      </c>
      <c r="Q27" s="102">
        <f>TrRoad_act!Q81</f>
        <v>115281</v>
      </c>
      <c r="R27" s="102">
        <f>TrRoad_act!R81</f>
        <v>125704</v>
      </c>
      <c r="S27" s="102">
        <f>TrRoad_act!S81</f>
        <v>135203</v>
      </c>
      <c r="T27" s="102">
        <f>TrRoad_act!T81</f>
        <v>143801</v>
      </c>
      <c r="U27" s="102">
        <f>TrRoad_act!U81</f>
        <v>148502</v>
      </c>
      <c r="V27" s="102">
        <f>TrRoad_act!V81</f>
        <v>135424</v>
      </c>
      <c r="W27" s="102">
        <f>TrRoad_act!W81</f>
        <v>131501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9987</v>
      </c>
      <c r="C28" s="86">
        <f>TrRoad_act!C82</f>
        <v>10708</v>
      </c>
      <c r="D28" s="86">
        <f>TrRoad_act!D82</f>
        <v>11265</v>
      </c>
      <c r="E28" s="86">
        <f>TrRoad_act!E82</f>
        <v>11514</v>
      </c>
      <c r="F28" s="86">
        <f>TrRoad_act!F82</f>
        <v>13614</v>
      </c>
      <c r="G28" s="86">
        <f>TrRoad_act!G82</f>
        <v>14094</v>
      </c>
      <c r="H28" s="86">
        <f>TrRoad_act!H82</f>
        <v>14710</v>
      </c>
      <c r="I28" s="86">
        <f>TrRoad_act!I82</f>
        <v>15131</v>
      </c>
      <c r="J28" s="86">
        <f>TrRoad_act!J82</f>
        <v>14212</v>
      </c>
      <c r="K28" s="86">
        <f>TrRoad_act!K82</f>
        <v>13433</v>
      </c>
      <c r="L28" s="86">
        <f>TrRoad_act!L82</f>
        <v>14286</v>
      </c>
      <c r="M28" s="86">
        <f>TrRoad_act!M82</f>
        <v>15131</v>
      </c>
      <c r="N28" s="86">
        <f>TrRoad_act!N82</f>
        <v>15083</v>
      </c>
      <c r="O28" s="86">
        <f>TrRoad_act!O82</f>
        <v>16695</v>
      </c>
      <c r="P28" s="86">
        <f>TrRoad_act!P82</f>
        <v>16803</v>
      </c>
      <c r="Q28" s="86">
        <f>TrRoad_act!Q82</f>
        <v>18051</v>
      </c>
      <c r="R28" s="86">
        <f>TrRoad_act!R82</f>
        <v>17742</v>
      </c>
      <c r="S28" s="86">
        <f>TrRoad_act!S82</f>
        <v>17731</v>
      </c>
      <c r="T28" s="86">
        <f>TrRoad_act!T82</f>
        <v>16543</v>
      </c>
      <c r="U28" s="86">
        <f>TrRoad_act!U82</f>
        <v>17217</v>
      </c>
      <c r="V28" s="86">
        <f>TrRoad_act!V82</f>
        <v>19857</v>
      </c>
      <c r="W28" s="86">
        <f>TrRoad_act!W82</f>
        <v>21236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281327</v>
      </c>
      <c r="C30" s="54">
        <f>TrRoad_act!C111</f>
        <v>323227</v>
      </c>
      <c r="D30" s="54">
        <f>TrRoad_act!D111</f>
        <v>377016</v>
      </c>
      <c r="E30" s="54">
        <f>TrRoad_act!E111</f>
        <v>314773</v>
      </c>
      <c r="F30" s="54">
        <f>TrRoad_act!F111</f>
        <v>372489</v>
      </c>
      <c r="G30" s="54">
        <f>TrRoad_act!G111</f>
        <v>519814</v>
      </c>
      <c r="H30" s="54">
        <f>TrRoad_act!H111</f>
        <v>517428</v>
      </c>
      <c r="I30" s="54">
        <f>TrRoad_act!I111</f>
        <v>576583</v>
      </c>
      <c r="J30" s="54">
        <f>TrRoad_act!J111</f>
        <v>516925</v>
      </c>
      <c r="K30" s="54">
        <f>TrRoad_act!K111</f>
        <v>354610</v>
      </c>
      <c r="L30" s="54">
        <f>TrRoad_act!L111</f>
        <v>389601</v>
      </c>
      <c r="M30" s="54">
        <f>TrRoad_act!M111</f>
        <v>398034</v>
      </c>
      <c r="N30" s="54">
        <f>TrRoad_act!N111</f>
        <v>439487</v>
      </c>
      <c r="O30" s="54">
        <f>TrRoad_act!O111</f>
        <v>344649</v>
      </c>
      <c r="P30" s="54">
        <f>TrRoad_act!P111</f>
        <v>428596</v>
      </c>
      <c r="Q30" s="54">
        <f>TrRoad_act!Q111</f>
        <v>777852</v>
      </c>
      <c r="R30" s="54">
        <f>TrRoad_act!R111</f>
        <v>574618</v>
      </c>
      <c r="S30" s="54">
        <f>TrRoad_act!S111</f>
        <v>649008</v>
      </c>
      <c r="T30" s="54">
        <f>TrRoad_act!T111</f>
        <v>624075</v>
      </c>
      <c r="U30" s="54">
        <f>TrRoad_act!U111</f>
        <v>572388</v>
      </c>
      <c r="V30" s="54">
        <f>TrRoad_act!V111</f>
        <v>483470</v>
      </c>
      <c r="W30" s="54">
        <f>TrRoad_act!W111</f>
        <v>471489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249511</v>
      </c>
      <c r="C31" s="28">
        <f>TrRoad_act!C112</f>
        <v>294641</v>
      </c>
      <c r="D31" s="28">
        <f>TrRoad_act!D112</f>
        <v>335571</v>
      </c>
      <c r="E31" s="28">
        <f>TrRoad_act!E112</f>
        <v>276748</v>
      </c>
      <c r="F31" s="28">
        <f>TrRoad_act!F112</f>
        <v>321770</v>
      </c>
      <c r="G31" s="28">
        <f>TrRoad_act!G112</f>
        <v>451304</v>
      </c>
      <c r="H31" s="28">
        <f>TrRoad_act!H112</f>
        <v>441862</v>
      </c>
      <c r="I31" s="28">
        <f>TrRoad_act!I112</f>
        <v>492164</v>
      </c>
      <c r="J31" s="28">
        <f>TrRoad_act!J112</f>
        <v>436674</v>
      </c>
      <c r="K31" s="28">
        <f>TrRoad_act!K112</f>
        <v>328120</v>
      </c>
      <c r="L31" s="28">
        <f>TrRoad_act!L112</f>
        <v>358890</v>
      </c>
      <c r="M31" s="28">
        <f>TrRoad_act!M112</f>
        <v>362580</v>
      </c>
      <c r="N31" s="28">
        <f>TrRoad_act!N112</f>
        <v>410501</v>
      </c>
      <c r="O31" s="28">
        <f>TrRoad_act!O112</f>
        <v>317224</v>
      </c>
      <c r="P31" s="28">
        <f>TrRoad_act!P112</f>
        <v>393823</v>
      </c>
      <c r="Q31" s="28">
        <f>TrRoad_act!Q112</f>
        <v>721895</v>
      </c>
      <c r="R31" s="28">
        <f>TrRoad_act!R112</f>
        <v>539590</v>
      </c>
      <c r="S31" s="28">
        <f>TrRoad_act!S112</f>
        <v>610673</v>
      </c>
      <c r="T31" s="28">
        <f>TrRoad_act!T112</f>
        <v>583561</v>
      </c>
      <c r="U31" s="28">
        <f>TrRoad_act!U112</f>
        <v>533291</v>
      </c>
      <c r="V31" s="28">
        <f>TrRoad_act!V112</f>
        <v>447123</v>
      </c>
      <c r="W31" s="28">
        <f>TrRoad_act!W112</f>
        <v>436945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5063</v>
      </c>
      <c r="C32" s="137">
        <f>TrRoad_act!C113</f>
        <v>42678</v>
      </c>
      <c r="D32" s="137">
        <f>TrRoad_act!D113</f>
        <v>37207</v>
      </c>
      <c r="E32" s="137">
        <f>TrRoad_act!E113</f>
        <v>7806</v>
      </c>
      <c r="F32" s="137">
        <f>TrRoad_act!F113</f>
        <v>31244</v>
      </c>
      <c r="G32" s="137">
        <f>TrRoad_act!G113</f>
        <v>99481</v>
      </c>
      <c r="H32" s="137">
        <f>TrRoad_act!H113</f>
        <v>74421</v>
      </c>
      <c r="I32" s="137">
        <f>TrRoad_act!I113</f>
        <v>83028</v>
      </c>
      <c r="J32" s="137">
        <f>TrRoad_act!J113</f>
        <v>72102</v>
      </c>
      <c r="K32" s="137">
        <f>TrRoad_act!K113</f>
        <v>33490</v>
      </c>
      <c r="L32" s="137">
        <f>TrRoad_act!L113</f>
        <v>61098</v>
      </c>
      <c r="M32" s="137">
        <f>TrRoad_act!M113</f>
        <v>57679</v>
      </c>
      <c r="N32" s="137">
        <f>TrRoad_act!N113</f>
        <v>71231</v>
      </c>
      <c r="O32" s="137">
        <f>TrRoad_act!O113</f>
        <v>27420</v>
      </c>
      <c r="P32" s="137">
        <f>TrRoad_act!P113</f>
        <v>55520</v>
      </c>
      <c r="Q32" s="137">
        <f>TrRoad_act!Q113</f>
        <v>99914</v>
      </c>
      <c r="R32" s="137">
        <f>TrRoad_act!R113</f>
        <v>67081</v>
      </c>
      <c r="S32" s="137">
        <f>TrRoad_act!S113</f>
        <v>66578</v>
      </c>
      <c r="T32" s="137">
        <f>TrRoad_act!T113</f>
        <v>69740</v>
      </c>
      <c r="U32" s="137">
        <f>TrRoad_act!U113</f>
        <v>71050</v>
      </c>
      <c r="V32" s="137">
        <f>TrRoad_act!V113</f>
        <v>72480</v>
      </c>
      <c r="W32" s="137">
        <f>TrRoad_act!W113</f>
        <v>73375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244149</v>
      </c>
      <c r="C33" s="110">
        <f>TrRoad_act!C114</f>
        <v>249382</v>
      </c>
      <c r="D33" s="110">
        <f>TrRoad_act!D114</f>
        <v>297890</v>
      </c>
      <c r="E33" s="110">
        <f>TrRoad_act!E114</f>
        <v>267717</v>
      </c>
      <c r="F33" s="110">
        <f>TrRoad_act!F114</f>
        <v>288969</v>
      </c>
      <c r="G33" s="110">
        <f>TrRoad_act!G114</f>
        <v>350690</v>
      </c>
      <c r="H33" s="110">
        <f>TrRoad_act!H114</f>
        <v>366245</v>
      </c>
      <c r="I33" s="110">
        <f>TrRoad_act!I114</f>
        <v>407925</v>
      </c>
      <c r="J33" s="110">
        <f>TrRoad_act!J114</f>
        <v>363108</v>
      </c>
      <c r="K33" s="110">
        <f>TrRoad_act!K114</f>
        <v>293489</v>
      </c>
      <c r="L33" s="110">
        <f>TrRoad_act!L114</f>
        <v>296765</v>
      </c>
      <c r="M33" s="110">
        <f>TrRoad_act!M114</f>
        <v>303791</v>
      </c>
      <c r="N33" s="110">
        <f>TrRoad_act!N114</f>
        <v>337895</v>
      </c>
      <c r="O33" s="110">
        <f>TrRoad_act!O114</f>
        <v>288306</v>
      </c>
      <c r="P33" s="110">
        <f>TrRoad_act!P114</f>
        <v>336550</v>
      </c>
      <c r="Q33" s="110">
        <f>TrRoad_act!Q114</f>
        <v>620254</v>
      </c>
      <c r="R33" s="110">
        <f>TrRoad_act!R114</f>
        <v>471139</v>
      </c>
      <c r="S33" s="110">
        <f>TrRoad_act!S114</f>
        <v>542166</v>
      </c>
      <c r="T33" s="110">
        <f>TrRoad_act!T114</f>
        <v>512873</v>
      </c>
      <c r="U33" s="110">
        <f>TrRoad_act!U114</f>
        <v>460626</v>
      </c>
      <c r="V33" s="110">
        <f>TrRoad_act!V114</f>
        <v>372986</v>
      </c>
      <c r="W33" s="110">
        <f>TrRoad_act!W114</f>
        <v>362033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135901</v>
      </c>
      <c r="C34" s="84">
        <f>TrRoad_act!C115</f>
        <v>139875</v>
      </c>
      <c r="D34" s="84">
        <f>TrRoad_act!D115</f>
        <v>166721</v>
      </c>
      <c r="E34" s="84">
        <f>TrRoad_act!E115</f>
        <v>149337</v>
      </c>
      <c r="F34" s="84">
        <f>TrRoad_act!F115</f>
        <v>157664</v>
      </c>
      <c r="G34" s="84">
        <f>TrRoad_act!G115</f>
        <v>194260</v>
      </c>
      <c r="H34" s="84">
        <f>TrRoad_act!H115</f>
        <v>198589</v>
      </c>
      <c r="I34" s="84">
        <f>TrRoad_act!I115</f>
        <v>221748</v>
      </c>
      <c r="J34" s="84">
        <f>TrRoad_act!J115</f>
        <v>207374</v>
      </c>
      <c r="K34" s="84">
        <f>TrRoad_act!K115</f>
        <v>159029</v>
      </c>
      <c r="L34" s="84">
        <f>TrRoad_act!L115</f>
        <v>169155</v>
      </c>
      <c r="M34" s="84">
        <f>TrRoad_act!M115</f>
        <v>164478</v>
      </c>
      <c r="N34" s="84">
        <f>TrRoad_act!N115</f>
        <v>151397</v>
      </c>
      <c r="O34" s="84">
        <f>TrRoad_act!O115</f>
        <v>125517</v>
      </c>
      <c r="P34" s="84">
        <f>TrRoad_act!P115</f>
        <v>170894</v>
      </c>
      <c r="Q34" s="84">
        <f>TrRoad_act!Q115</f>
        <v>356535</v>
      </c>
      <c r="R34" s="84">
        <f>TrRoad_act!R115</f>
        <v>265865</v>
      </c>
      <c r="S34" s="84">
        <f>TrRoad_act!S115</f>
        <v>316882</v>
      </c>
      <c r="T34" s="84">
        <f>TrRoad_act!T115</f>
        <v>299941</v>
      </c>
      <c r="U34" s="84">
        <f>TrRoad_act!U115</f>
        <v>270618</v>
      </c>
      <c r="V34" s="84">
        <f>TrRoad_act!V115</f>
        <v>214236</v>
      </c>
      <c r="W34" s="84">
        <f>TrRoad_act!W115</f>
        <v>204725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101391</v>
      </c>
      <c r="C35" s="84">
        <f>TrRoad_act!C116</f>
        <v>103739</v>
      </c>
      <c r="D35" s="84">
        <f>TrRoad_act!D116</f>
        <v>123726</v>
      </c>
      <c r="E35" s="84">
        <f>TrRoad_act!E116</f>
        <v>111023</v>
      </c>
      <c r="F35" s="84">
        <f>TrRoad_act!F116</f>
        <v>119651</v>
      </c>
      <c r="G35" s="84">
        <f>TrRoad_act!G116</f>
        <v>144984</v>
      </c>
      <c r="H35" s="84">
        <f>TrRoad_act!H116</f>
        <v>151182</v>
      </c>
      <c r="I35" s="84">
        <f>TrRoad_act!I116</f>
        <v>168127</v>
      </c>
      <c r="J35" s="84">
        <f>TrRoad_act!J116</f>
        <v>149425</v>
      </c>
      <c r="K35" s="84">
        <f>TrRoad_act!K116</f>
        <v>120590</v>
      </c>
      <c r="L35" s="84">
        <f>TrRoad_act!L116</f>
        <v>121748</v>
      </c>
      <c r="M35" s="84">
        <f>TrRoad_act!M116</f>
        <v>124438</v>
      </c>
      <c r="N35" s="84">
        <f>TrRoad_act!N116</f>
        <v>155884</v>
      </c>
      <c r="O35" s="84">
        <f>TrRoad_act!O116</f>
        <v>147734</v>
      </c>
      <c r="P35" s="84">
        <f>TrRoad_act!P116</f>
        <v>137232</v>
      </c>
      <c r="Q35" s="84">
        <f>TrRoad_act!Q116</f>
        <v>252510</v>
      </c>
      <c r="R35" s="84">
        <f>TrRoad_act!R116</f>
        <v>191506</v>
      </c>
      <c r="S35" s="84">
        <f>TrRoad_act!S116</f>
        <v>220040</v>
      </c>
      <c r="T35" s="84">
        <f>TrRoad_act!T116</f>
        <v>207828</v>
      </c>
      <c r="U35" s="84">
        <f>TrRoad_act!U116</f>
        <v>186372</v>
      </c>
      <c r="V35" s="84">
        <f>TrRoad_act!V116</f>
        <v>150799</v>
      </c>
      <c r="W35" s="84">
        <f>TrRoad_act!W116</f>
        <v>147260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6857</v>
      </c>
      <c r="C36" s="84">
        <f>TrRoad_act!C117</f>
        <v>5768</v>
      </c>
      <c r="D36" s="84">
        <f>TrRoad_act!D117</f>
        <v>7443</v>
      </c>
      <c r="E36" s="84">
        <f>TrRoad_act!E117</f>
        <v>7357</v>
      </c>
      <c r="F36" s="84">
        <f>TrRoad_act!F117</f>
        <v>11654</v>
      </c>
      <c r="G36" s="84">
        <f>TrRoad_act!G117</f>
        <v>11446</v>
      </c>
      <c r="H36" s="84">
        <f>TrRoad_act!H117</f>
        <v>16474</v>
      </c>
      <c r="I36" s="84">
        <f>TrRoad_act!I117</f>
        <v>18050</v>
      </c>
      <c r="J36" s="84">
        <f>TrRoad_act!J117</f>
        <v>5549</v>
      </c>
      <c r="K36" s="84">
        <f>TrRoad_act!K117</f>
        <v>13457</v>
      </c>
      <c r="L36" s="84">
        <f>TrRoad_act!L117</f>
        <v>5337</v>
      </c>
      <c r="M36" s="84">
        <f>TrRoad_act!M117</f>
        <v>14260</v>
      </c>
      <c r="N36" s="84">
        <f>TrRoad_act!N117</f>
        <v>29769</v>
      </c>
      <c r="O36" s="84">
        <f>TrRoad_act!O117</f>
        <v>13330</v>
      </c>
      <c r="P36" s="84">
        <f>TrRoad_act!P117</f>
        <v>26790</v>
      </c>
      <c r="Q36" s="84">
        <f>TrRoad_act!Q117</f>
        <v>7918</v>
      </c>
      <c r="R36" s="84">
        <f>TrRoad_act!R117</f>
        <v>7586</v>
      </c>
      <c r="S36" s="84">
        <f>TrRoad_act!S117</f>
        <v>814</v>
      </c>
      <c r="T36" s="84">
        <f>TrRoad_act!T117</f>
        <v>524</v>
      </c>
      <c r="U36" s="84">
        <f>TrRoad_act!U117</f>
        <v>406</v>
      </c>
      <c r="V36" s="84">
        <f>TrRoad_act!V117</f>
        <v>1279</v>
      </c>
      <c r="W36" s="84">
        <f>TrRoad_act!W117</f>
        <v>2257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760</v>
      </c>
      <c r="K37" s="84">
        <f>TrRoad_act!K118</f>
        <v>413</v>
      </c>
      <c r="L37" s="84">
        <f>TrRoad_act!L118</f>
        <v>519</v>
      </c>
      <c r="M37" s="84">
        <f>TrRoad_act!M118</f>
        <v>559</v>
      </c>
      <c r="N37" s="84">
        <f>TrRoad_act!N118</f>
        <v>813</v>
      </c>
      <c r="O37" s="84">
        <f>TrRoad_act!O118</f>
        <v>1552</v>
      </c>
      <c r="P37" s="84">
        <f>TrRoad_act!P118</f>
        <v>1402</v>
      </c>
      <c r="Q37" s="84">
        <f>TrRoad_act!Q118</f>
        <v>2854</v>
      </c>
      <c r="R37" s="84">
        <f>TrRoad_act!R118</f>
        <v>5396</v>
      </c>
      <c r="S37" s="84">
        <f>TrRoad_act!S118</f>
        <v>3239</v>
      </c>
      <c r="T37" s="84">
        <f>TrRoad_act!T118</f>
        <v>3546</v>
      </c>
      <c r="U37" s="84">
        <f>TrRoad_act!U118</f>
        <v>1865</v>
      </c>
      <c r="V37" s="84">
        <f>TrRoad_act!V118</f>
        <v>1317</v>
      </c>
      <c r="W37" s="84">
        <f>TrRoad_act!W118</f>
        <v>840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16</v>
      </c>
      <c r="O38" s="84">
        <f>TrRoad_act!O119</f>
        <v>11</v>
      </c>
      <c r="P38" s="84">
        <f>TrRoad_act!P119</f>
        <v>52</v>
      </c>
      <c r="Q38" s="84">
        <f>TrRoad_act!Q119</f>
        <v>141</v>
      </c>
      <c r="R38" s="84">
        <f>TrRoad_act!R119</f>
        <v>136</v>
      </c>
      <c r="S38" s="84">
        <f>TrRoad_act!S119</f>
        <v>241</v>
      </c>
      <c r="T38" s="84">
        <f>TrRoad_act!T119</f>
        <v>292</v>
      </c>
      <c r="U38" s="84">
        <f>TrRoad_act!U119</f>
        <v>508</v>
      </c>
      <c r="V38" s="84">
        <f>TrRoad_act!V119</f>
        <v>2091</v>
      </c>
      <c r="W38" s="84">
        <f>TrRoad_act!W119</f>
        <v>3779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6</v>
      </c>
      <c r="M39" s="84">
        <f>TrRoad_act!M120</f>
        <v>56</v>
      </c>
      <c r="N39" s="84">
        <f>TrRoad_act!N120</f>
        <v>16</v>
      </c>
      <c r="O39" s="84">
        <f>TrRoad_act!O120</f>
        <v>162</v>
      </c>
      <c r="P39" s="84">
        <f>TrRoad_act!P120</f>
        <v>180</v>
      </c>
      <c r="Q39" s="84">
        <f>TrRoad_act!Q120</f>
        <v>296</v>
      </c>
      <c r="R39" s="84">
        <f>TrRoad_act!R120</f>
        <v>650</v>
      </c>
      <c r="S39" s="84">
        <f>TrRoad_act!S120</f>
        <v>950</v>
      </c>
      <c r="T39" s="84">
        <f>TrRoad_act!T120</f>
        <v>742</v>
      </c>
      <c r="U39" s="84">
        <f>TrRoad_act!U120</f>
        <v>857</v>
      </c>
      <c r="V39" s="84">
        <f>TrRoad_act!V120</f>
        <v>3264</v>
      </c>
      <c r="W39" s="84">
        <f>TrRoad_act!W120</f>
        <v>3172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299</v>
      </c>
      <c r="C40" s="110">
        <f>TrRoad_act!C121</f>
        <v>2581</v>
      </c>
      <c r="D40" s="110">
        <f>TrRoad_act!D121</f>
        <v>474</v>
      </c>
      <c r="E40" s="110">
        <f>TrRoad_act!E121</f>
        <v>1225</v>
      </c>
      <c r="F40" s="110">
        <f>TrRoad_act!F121</f>
        <v>1557</v>
      </c>
      <c r="G40" s="110">
        <f>TrRoad_act!G121</f>
        <v>1133</v>
      </c>
      <c r="H40" s="110">
        <f>TrRoad_act!H121</f>
        <v>1196</v>
      </c>
      <c r="I40" s="110">
        <f>TrRoad_act!I121</f>
        <v>1211</v>
      </c>
      <c r="J40" s="110">
        <f>TrRoad_act!J121</f>
        <v>1464</v>
      </c>
      <c r="K40" s="110">
        <f>TrRoad_act!K121</f>
        <v>1141</v>
      </c>
      <c r="L40" s="110">
        <f>TrRoad_act!L121</f>
        <v>1027</v>
      </c>
      <c r="M40" s="110">
        <f>TrRoad_act!M121</f>
        <v>1110</v>
      </c>
      <c r="N40" s="110">
        <f>TrRoad_act!N121</f>
        <v>1375</v>
      </c>
      <c r="O40" s="110">
        <f>TrRoad_act!O121</f>
        <v>1498</v>
      </c>
      <c r="P40" s="110">
        <f>TrRoad_act!P121</f>
        <v>1753</v>
      </c>
      <c r="Q40" s="110">
        <f>TrRoad_act!Q121</f>
        <v>1727</v>
      </c>
      <c r="R40" s="110">
        <f>TrRoad_act!R121</f>
        <v>1370</v>
      </c>
      <c r="S40" s="110">
        <f>TrRoad_act!S121</f>
        <v>1929</v>
      </c>
      <c r="T40" s="110">
        <f>TrRoad_act!T121</f>
        <v>948</v>
      </c>
      <c r="U40" s="110">
        <f>TrRoad_act!U121</f>
        <v>1615</v>
      </c>
      <c r="V40" s="110">
        <f>TrRoad_act!V121</f>
        <v>1657</v>
      </c>
      <c r="W40" s="110">
        <f>TrRoad_act!W121</f>
        <v>1537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299</v>
      </c>
      <c r="C42" s="102">
        <f>TrRoad_act!C123</f>
        <v>2476</v>
      </c>
      <c r="D42" s="102">
        <f>TrRoad_act!D123</f>
        <v>300</v>
      </c>
      <c r="E42" s="102">
        <f>TrRoad_act!E123</f>
        <v>1125</v>
      </c>
      <c r="F42" s="102">
        <f>TrRoad_act!F123</f>
        <v>1532</v>
      </c>
      <c r="G42" s="102">
        <f>TrRoad_act!G123</f>
        <v>1109</v>
      </c>
      <c r="H42" s="102">
        <f>TrRoad_act!H123</f>
        <v>1145</v>
      </c>
      <c r="I42" s="102">
        <f>TrRoad_act!I123</f>
        <v>1211</v>
      </c>
      <c r="J42" s="102">
        <f>TrRoad_act!J123</f>
        <v>1464</v>
      </c>
      <c r="K42" s="102">
        <f>TrRoad_act!K123</f>
        <v>1141</v>
      </c>
      <c r="L42" s="102">
        <f>TrRoad_act!L123</f>
        <v>1025</v>
      </c>
      <c r="M42" s="102">
        <f>TrRoad_act!M123</f>
        <v>1110</v>
      </c>
      <c r="N42" s="102">
        <f>TrRoad_act!N123</f>
        <v>1350</v>
      </c>
      <c r="O42" s="102">
        <f>TrRoad_act!O123</f>
        <v>1467</v>
      </c>
      <c r="P42" s="102">
        <f>TrRoad_act!P123</f>
        <v>1235</v>
      </c>
      <c r="Q42" s="102">
        <f>TrRoad_act!Q123</f>
        <v>907</v>
      </c>
      <c r="R42" s="102">
        <f>TrRoad_act!R123</f>
        <v>1163</v>
      </c>
      <c r="S42" s="102">
        <f>TrRoad_act!S123</f>
        <v>809</v>
      </c>
      <c r="T42" s="102">
        <f>TrRoad_act!T123</f>
        <v>823</v>
      </c>
      <c r="U42" s="102">
        <f>TrRoad_act!U123</f>
        <v>1228</v>
      </c>
      <c r="V42" s="102">
        <f>TrRoad_act!V123</f>
        <v>1376</v>
      </c>
      <c r="W42" s="102">
        <f>TrRoad_act!W123</f>
        <v>1460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7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93</v>
      </c>
      <c r="D44" s="102">
        <f>TrRoad_act!D125</f>
        <v>174</v>
      </c>
      <c r="E44" s="102">
        <f>TrRoad_act!E125</f>
        <v>100</v>
      </c>
      <c r="F44" s="102">
        <f>TrRoad_act!F125</f>
        <v>22</v>
      </c>
      <c r="G44" s="102">
        <f>TrRoad_act!G125</f>
        <v>24</v>
      </c>
      <c r="H44" s="102">
        <f>TrRoad_act!H125</f>
        <v>26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25</v>
      </c>
      <c r="O44" s="102">
        <f>TrRoad_act!O125</f>
        <v>31</v>
      </c>
      <c r="P44" s="102">
        <f>TrRoad_act!P125</f>
        <v>518</v>
      </c>
      <c r="Q44" s="102">
        <f>TrRoad_act!Q125</f>
        <v>820</v>
      </c>
      <c r="R44" s="102">
        <f>TrRoad_act!R125</f>
        <v>207</v>
      </c>
      <c r="S44" s="102">
        <f>TrRoad_act!S125</f>
        <v>1120</v>
      </c>
      <c r="T44" s="102">
        <f>TrRoad_act!T125</f>
        <v>125</v>
      </c>
      <c r="U44" s="102">
        <f>TrRoad_act!U125</f>
        <v>374</v>
      </c>
      <c r="V44" s="102">
        <f>TrRoad_act!V125</f>
        <v>262</v>
      </c>
      <c r="W44" s="102">
        <f>TrRoad_act!W125</f>
        <v>74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12</v>
      </c>
      <c r="D45" s="102">
        <f>TrRoad_act!D126</f>
        <v>0</v>
      </c>
      <c r="E45" s="102">
        <f>TrRoad_act!E126</f>
        <v>0</v>
      </c>
      <c r="F45" s="102">
        <f>TrRoad_act!F126</f>
        <v>3</v>
      </c>
      <c r="G45" s="102">
        <f>TrRoad_act!G126</f>
        <v>0</v>
      </c>
      <c r="H45" s="102">
        <f>TrRoad_act!H126</f>
        <v>25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2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13</v>
      </c>
      <c r="V45" s="102">
        <f>TrRoad_act!V126</f>
        <v>12</v>
      </c>
      <c r="W45" s="102">
        <f>TrRoad_act!W126</f>
        <v>3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31816</v>
      </c>
      <c r="C46" s="28">
        <f>TrRoad_act!C127</f>
        <v>28586</v>
      </c>
      <c r="D46" s="28">
        <f>TrRoad_act!D127</f>
        <v>41445</v>
      </c>
      <c r="E46" s="28">
        <f>TrRoad_act!E127</f>
        <v>38025</v>
      </c>
      <c r="F46" s="28">
        <f>TrRoad_act!F127</f>
        <v>50719</v>
      </c>
      <c r="G46" s="28">
        <f>TrRoad_act!G127</f>
        <v>68510</v>
      </c>
      <c r="H46" s="28">
        <f>TrRoad_act!H127</f>
        <v>75566</v>
      </c>
      <c r="I46" s="28">
        <f>TrRoad_act!I127</f>
        <v>84419</v>
      </c>
      <c r="J46" s="28">
        <f>TrRoad_act!J127</f>
        <v>80251</v>
      </c>
      <c r="K46" s="28">
        <f>TrRoad_act!K127</f>
        <v>26490</v>
      </c>
      <c r="L46" s="28">
        <f>TrRoad_act!L127</f>
        <v>30711</v>
      </c>
      <c r="M46" s="28">
        <f>TrRoad_act!M127</f>
        <v>35454</v>
      </c>
      <c r="N46" s="28">
        <f>TrRoad_act!N127</f>
        <v>28986</v>
      </c>
      <c r="O46" s="28">
        <f>TrRoad_act!O127</f>
        <v>27425</v>
      </c>
      <c r="P46" s="28">
        <f>TrRoad_act!P127</f>
        <v>34773</v>
      </c>
      <c r="Q46" s="28">
        <f>TrRoad_act!Q127</f>
        <v>55957</v>
      </c>
      <c r="R46" s="28">
        <f>TrRoad_act!R127</f>
        <v>35028</v>
      </c>
      <c r="S46" s="28">
        <f>TrRoad_act!S127</f>
        <v>38335</v>
      </c>
      <c r="T46" s="28">
        <f>TrRoad_act!T127</f>
        <v>40514</v>
      </c>
      <c r="U46" s="28">
        <f>TrRoad_act!U127</f>
        <v>39097</v>
      </c>
      <c r="V46" s="28">
        <f>TrRoad_act!V127</f>
        <v>36347</v>
      </c>
      <c r="W46" s="28">
        <f>TrRoad_act!W127</f>
        <v>34544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30817</v>
      </c>
      <c r="C47" s="137">
        <f>TrRoad_act!C128</f>
        <v>21638</v>
      </c>
      <c r="D47" s="137">
        <f>TrRoad_act!D128</f>
        <v>33045</v>
      </c>
      <c r="E47" s="137">
        <f>TrRoad_act!E128</f>
        <v>36292</v>
      </c>
      <c r="F47" s="137">
        <f>TrRoad_act!F128</f>
        <v>46264</v>
      </c>
      <c r="G47" s="137">
        <f>TrRoad_act!G128</f>
        <v>60871</v>
      </c>
      <c r="H47" s="137">
        <f>TrRoad_act!H128</f>
        <v>64845</v>
      </c>
      <c r="I47" s="137">
        <f>TrRoad_act!I128</f>
        <v>72124</v>
      </c>
      <c r="J47" s="137">
        <f>TrRoad_act!J128</f>
        <v>72815</v>
      </c>
      <c r="K47" s="137">
        <f>TrRoad_act!K128</f>
        <v>25063</v>
      </c>
      <c r="L47" s="137">
        <f>TrRoad_act!L128</f>
        <v>23387</v>
      </c>
      <c r="M47" s="137">
        <f>TrRoad_act!M128</f>
        <v>26528</v>
      </c>
      <c r="N47" s="137">
        <f>TrRoad_act!N128</f>
        <v>14297</v>
      </c>
      <c r="O47" s="137">
        <f>TrRoad_act!O128</f>
        <v>17204</v>
      </c>
      <c r="P47" s="137">
        <f>TrRoad_act!P128</f>
        <v>23098</v>
      </c>
      <c r="Q47" s="137">
        <f>TrRoad_act!Q128</f>
        <v>39086</v>
      </c>
      <c r="R47" s="137">
        <f>TrRoad_act!R128</f>
        <v>22282</v>
      </c>
      <c r="S47" s="137">
        <f>TrRoad_act!S128</f>
        <v>24711</v>
      </c>
      <c r="T47" s="137">
        <f>TrRoad_act!T128</f>
        <v>28057</v>
      </c>
      <c r="U47" s="137">
        <f>TrRoad_act!U128</f>
        <v>25982</v>
      </c>
      <c r="V47" s="137">
        <f>TrRoad_act!V128</f>
        <v>24746</v>
      </c>
      <c r="W47" s="137">
        <f>TrRoad_act!W128</f>
        <v>24902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6560</v>
      </c>
      <c r="C48" s="84">
        <f>TrRoad_act!C129</f>
        <v>6850</v>
      </c>
      <c r="D48" s="84">
        <f>TrRoad_act!D129</f>
        <v>9721</v>
      </c>
      <c r="E48" s="84">
        <f>TrRoad_act!E129</f>
        <v>3355</v>
      </c>
      <c r="F48" s="84">
        <f>TrRoad_act!F129</f>
        <v>6415</v>
      </c>
      <c r="G48" s="84">
        <f>TrRoad_act!G129</f>
        <v>10607</v>
      </c>
      <c r="H48" s="84">
        <f>TrRoad_act!H129</f>
        <v>16396</v>
      </c>
      <c r="I48" s="84">
        <f>TrRoad_act!I129</f>
        <v>16805</v>
      </c>
      <c r="J48" s="84">
        <f>TrRoad_act!J129</f>
        <v>15053</v>
      </c>
      <c r="K48" s="84">
        <f>TrRoad_act!K129</f>
        <v>2935</v>
      </c>
      <c r="L48" s="84">
        <f>TrRoad_act!L129</f>
        <v>2947</v>
      </c>
      <c r="M48" s="84">
        <f>TrRoad_act!M129</f>
        <v>3385</v>
      </c>
      <c r="N48" s="84">
        <f>TrRoad_act!N129</f>
        <v>3309</v>
      </c>
      <c r="O48" s="84">
        <f>TrRoad_act!O129</f>
        <v>6383</v>
      </c>
      <c r="P48" s="84">
        <f>TrRoad_act!P129</f>
        <v>9217</v>
      </c>
      <c r="Q48" s="84">
        <f>TrRoad_act!Q129</f>
        <v>12803</v>
      </c>
      <c r="R48" s="84">
        <f>TrRoad_act!R129</f>
        <v>7958</v>
      </c>
      <c r="S48" s="84">
        <f>TrRoad_act!S129</f>
        <v>8343</v>
      </c>
      <c r="T48" s="84">
        <f>TrRoad_act!T129</f>
        <v>8334</v>
      </c>
      <c r="U48" s="84">
        <f>TrRoad_act!U129</f>
        <v>8217</v>
      </c>
      <c r="V48" s="84">
        <f>TrRoad_act!V129</f>
        <v>8044</v>
      </c>
      <c r="W48" s="84">
        <f>TrRoad_act!W129</f>
        <v>7712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24257</v>
      </c>
      <c r="C49" s="84">
        <f>TrRoad_act!C130</f>
        <v>14542</v>
      </c>
      <c r="D49" s="84">
        <f>TrRoad_act!D130</f>
        <v>22741</v>
      </c>
      <c r="E49" s="84">
        <f>TrRoad_act!E130</f>
        <v>32303</v>
      </c>
      <c r="F49" s="84">
        <f>TrRoad_act!F130</f>
        <v>38945</v>
      </c>
      <c r="G49" s="84">
        <f>TrRoad_act!G130</f>
        <v>49431</v>
      </c>
      <c r="H49" s="84">
        <f>TrRoad_act!H130</f>
        <v>47296</v>
      </c>
      <c r="I49" s="84">
        <f>TrRoad_act!I130</f>
        <v>54054</v>
      </c>
      <c r="J49" s="84">
        <f>TrRoad_act!J130</f>
        <v>57370</v>
      </c>
      <c r="K49" s="84">
        <f>TrRoad_act!K130</f>
        <v>21214</v>
      </c>
      <c r="L49" s="84">
        <f>TrRoad_act!L130</f>
        <v>20121</v>
      </c>
      <c r="M49" s="84">
        <f>TrRoad_act!M130</f>
        <v>22347</v>
      </c>
      <c r="N49" s="84">
        <f>TrRoad_act!N130</f>
        <v>8889</v>
      </c>
      <c r="O49" s="84">
        <f>TrRoad_act!O130</f>
        <v>9403</v>
      </c>
      <c r="P49" s="84">
        <f>TrRoad_act!P130</f>
        <v>10888</v>
      </c>
      <c r="Q49" s="84">
        <f>TrRoad_act!Q130</f>
        <v>22268</v>
      </c>
      <c r="R49" s="84">
        <f>TrRoad_act!R130</f>
        <v>10196</v>
      </c>
      <c r="S49" s="84">
        <f>TrRoad_act!S130</f>
        <v>12975</v>
      </c>
      <c r="T49" s="84">
        <f>TrRoad_act!T130</f>
        <v>16595</v>
      </c>
      <c r="U49" s="84">
        <f>TrRoad_act!U130</f>
        <v>15241</v>
      </c>
      <c r="V49" s="84">
        <f>TrRoad_act!V130</f>
        <v>14660</v>
      </c>
      <c r="W49" s="84">
        <f>TrRoad_act!W130</f>
        <v>15730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246</v>
      </c>
      <c r="D50" s="84">
        <f>TrRoad_act!D131</f>
        <v>583</v>
      </c>
      <c r="E50" s="84">
        <f>TrRoad_act!E131</f>
        <v>634</v>
      </c>
      <c r="F50" s="84">
        <f>TrRoad_act!F131</f>
        <v>904</v>
      </c>
      <c r="G50" s="84">
        <f>TrRoad_act!G131</f>
        <v>833</v>
      </c>
      <c r="H50" s="84">
        <f>TrRoad_act!H131</f>
        <v>1153</v>
      </c>
      <c r="I50" s="84">
        <f>TrRoad_act!I131</f>
        <v>1265</v>
      </c>
      <c r="J50" s="84">
        <f>TrRoad_act!J131</f>
        <v>353</v>
      </c>
      <c r="K50" s="84">
        <f>TrRoad_act!K131</f>
        <v>912</v>
      </c>
      <c r="L50" s="84">
        <f>TrRoad_act!L131</f>
        <v>315</v>
      </c>
      <c r="M50" s="84">
        <f>TrRoad_act!M131</f>
        <v>792</v>
      </c>
      <c r="N50" s="84">
        <f>TrRoad_act!N131</f>
        <v>1635</v>
      </c>
      <c r="O50" s="84">
        <f>TrRoad_act!O131</f>
        <v>1032</v>
      </c>
      <c r="P50" s="84">
        <f>TrRoad_act!P131</f>
        <v>1776</v>
      </c>
      <c r="Q50" s="84">
        <f>TrRoad_act!Q131</f>
        <v>685</v>
      </c>
      <c r="R50" s="84">
        <f>TrRoad_act!R131</f>
        <v>1353</v>
      </c>
      <c r="S50" s="84">
        <f>TrRoad_act!S131</f>
        <v>479</v>
      </c>
      <c r="T50" s="84">
        <f>TrRoad_act!T131</f>
        <v>609</v>
      </c>
      <c r="U50" s="84">
        <f>TrRoad_act!U131</f>
        <v>71</v>
      </c>
      <c r="V50" s="84">
        <f>TrRoad_act!V131</f>
        <v>0</v>
      </c>
      <c r="W50" s="84">
        <f>TrRoad_act!W131</f>
        <v>7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443</v>
      </c>
      <c r="O51" s="84">
        <f>TrRoad_act!O132</f>
        <v>373</v>
      </c>
      <c r="P51" s="84">
        <f>TrRoad_act!P132</f>
        <v>1205</v>
      </c>
      <c r="Q51" s="84">
        <f>TrRoad_act!Q132</f>
        <v>3311</v>
      </c>
      <c r="R51" s="84">
        <f>TrRoad_act!R132</f>
        <v>2754</v>
      </c>
      <c r="S51" s="84">
        <f>TrRoad_act!S132</f>
        <v>2886</v>
      </c>
      <c r="T51" s="84">
        <f>TrRoad_act!T132</f>
        <v>2458</v>
      </c>
      <c r="U51" s="84">
        <f>TrRoad_act!U132</f>
        <v>2323</v>
      </c>
      <c r="V51" s="84">
        <f>TrRoad_act!V132</f>
        <v>1922</v>
      </c>
      <c r="W51" s="84">
        <f>TrRoad_act!W132</f>
        <v>1167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39</v>
      </c>
      <c r="K52" s="84">
        <f>TrRoad_act!K133</f>
        <v>2</v>
      </c>
      <c r="L52" s="84">
        <f>TrRoad_act!L133</f>
        <v>4</v>
      </c>
      <c r="M52" s="84">
        <f>TrRoad_act!M133</f>
        <v>4</v>
      </c>
      <c r="N52" s="84">
        <f>TrRoad_act!N133</f>
        <v>21</v>
      </c>
      <c r="O52" s="84">
        <f>TrRoad_act!O133</f>
        <v>13</v>
      </c>
      <c r="P52" s="84">
        <f>TrRoad_act!P133</f>
        <v>12</v>
      </c>
      <c r="Q52" s="84">
        <f>TrRoad_act!Q133</f>
        <v>19</v>
      </c>
      <c r="R52" s="84">
        <f>TrRoad_act!R133</f>
        <v>21</v>
      </c>
      <c r="S52" s="84">
        <f>TrRoad_act!S133</f>
        <v>28</v>
      </c>
      <c r="T52" s="84">
        <f>TrRoad_act!T133</f>
        <v>61</v>
      </c>
      <c r="U52" s="84">
        <f>TrRoad_act!U133</f>
        <v>130</v>
      </c>
      <c r="V52" s="84">
        <f>TrRoad_act!V133</f>
        <v>120</v>
      </c>
      <c r="W52" s="84">
        <f>TrRoad_act!W133</f>
        <v>286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999</v>
      </c>
      <c r="C53" s="110">
        <f>TrRoad_act!C134</f>
        <v>6948</v>
      </c>
      <c r="D53" s="110">
        <f>TrRoad_act!D134</f>
        <v>8400</v>
      </c>
      <c r="E53" s="110">
        <f>TrRoad_act!E134</f>
        <v>1733</v>
      </c>
      <c r="F53" s="110">
        <f>TrRoad_act!F134</f>
        <v>4455</v>
      </c>
      <c r="G53" s="110">
        <f>TrRoad_act!G134</f>
        <v>7639</v>
      </c>
      <c r="H53" s="110">
        <f>TrRoad_act!H134</f>
        <v>10721</v>
      </c>
      <c r="I53" s="110">
        <f>TrRoad_act!I134</f>
        <v>12295</v>
      </c>
      <c r="J53" s="110">
        <f>TrRoad_act!J134</f>
        <v>7436</v>
      </c>
      <c r="K53" s="110">
        <f>TrRoad_act!K134</f>
        <v>1427</v>
      </c>
      <c r="L53" s="110">
        <f>TrRoad_act!L134</f>
        <v>7324</v>
      </c>
      <c r="M53" s="110">
        <f>TrRoad_act!M134</f>
        <v>8926</v>
      </c>
      <c r="N53" s="110">
        <f>TrRoad_act!N134</f>
        <v>14689</v>
      </c>
      <c r="O53" s="110">
        <f>TrRoad_act!O134</f>
        <v>10221</v>
      </c>
      <c r="P53" s="110">
        <f>TrRoad_act!P134</f>
        <v>11675</v>
      </c>
      <c r="Q53" s="110">
        <f>TrRoad_act!Q134</f>
        <v>16871</v>
      </c>
      <c r="R53" s="110">
        <f>TrRoad_act!R134</f>
        <v>12746</v>
      </c>
      <c r="S53" s="110">
        <f>TrRoad_act!S134</f>
        <v>13624</v>
      </c>
      <c r="T53" s="110">
        <f>TrRoad_act!T134</f>
        <v>12457</v>
      </c>
      <c r="U53" s="110">
        <f>TrRoad_act!U134</f>
        <v>13115</v>
      </c>
      <c r="V53" s="110">
        <f>TrRoad_act!V134</f>
        <v>11601</v>
      </c>
      <c r="W53" s="110">
        <f>TrRoad_act!W134</f>
        <v>9642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6102</v>
      </c>
      <c r="D54" s="102">
        <f>TrRoad_act!D135</f>
        <v>7688</v>
      </c>
      <c r="E54" s="102">
        <f>TrRoad_act!E135</f>
        <v>1300</v>
      </c>
      <c r="F54" s="102">
        <f>TrRoad_act!F135</f>
        <v>2140</v>
      </c>
      <c r="G54" s="102">
        <f>TrRoad_act!G135</f>
        <v>6906</v>
      </c>
      <c r="H54" s="102">
        <f>TrRoad_act!H135</f>
        <v>9813</v>
      </c>
      <c r="I54" s="102">
        <f>TrRoad_act!I135</f>
        <v>11544</v>
      </c>
      <c r="J54" s="102">
        <f>TrRoad_act!J135</f>
        <v>7436</v>
      </c>
      <c r="K54" s="102">
        <f>TrRoad_act!K135</f>
        <v>1427</v>
      </c>
      <c r="L54" s="102">
        <f>TrRoad_act!L135</f>
        <v>6062</v>
      </c>
      <c r="M54" s="102">
        <f>TrRoad_act!M135</f>
        <v>7636</v>
      </c>
      <c r="N54" s="102">
        <f>TrRoad_act!N135</f>
        <v>14258</v>
      </c>
      <c r="O54" s="102">
        <f>TrRoad_act!O135</f>
        <v>8095</v>
      </c>
      <c r="P54" s="102">
        <f>TrRoad_act!P135</f>
        <v>11016</v>
      </c>
      <c r="Q54" s="102">
        <f>TrRoad_act!Q135</f>
        <v>15037</v>
      </c>
      <c r="R54" s="102">
        <f>TrRoad_act!R135</f>
        <v>12433</v>
      </c>
      <c r="S54" s="102">
        <f>TrRoad_act!S135</f>
        <v>12980</v>
      </c>
      <c r="T54" s="102">
        <f>TrRoad_act!T135</f>
        <v>12457</v>
      </c>
      <c r="U54" s="102">
        <f>TrRoad_act!U135</f>
        <v>11764</v>
      </c>
      <c r="V54" s="102">
        <f>TrRoad_act!V135</f>
        <v>8261</v>
      </c>
      <c r="W54" s="102">
        <f>TrRoad_act!W135</f>
        <v>7535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999</v>
      </c>
      <c r="C55" s="86">
        <f>TrRoad_act!C136</f>
        <v>846</v>
      </c>
      <c r="D55" s="86">
        <f>TrRoad_act!D136</f>
        <v>712</v>
      </c>
      <c r="E55" s="86">
        <f>TrRoad_act!E136</f>
        <v>433</v>
      </c>
      <c r="F55" s="86">
        <f>TrRoad_act!F136</f>
        <v>2315</v>
      </c>
      <c r="G55" s="86">
        <f>TrRoad_act!G136</f>
        <v>733</v>
      </c>
      <c r="H55" s="86">
        <f>TrRoad_act!H136</f>
        <v>908</v>
      </c>
      <c r="I55" s="86">
        <f>TrRoad_act!I136</f>
        <v>751</v>
      </c>
      <c r="J55" s="86">
        <f>TrRoad_act!J136</f>
        <v>0</v>
      </c>
      <c r="K55" s="86">
        <f>TrRoad_act!K136</f>
        <v>0</v>
      </c>
      <c r="L55" s="86">
        <f>TrRoad_act!L136</f>
        <v>1262</v>
      </c>
      <c r="M55" s="86">
        <f>TrRoad_act!M136</f>
        <v>1290</v>
      </c>
      <c r="N55" s="86">
        <f>TrRoad_act!N136</f>
        <v>431</v>
      </c>
      <c r="O55" s="86">
        <f>TrRoad_act!O136</f>
        <v>2126</v>
      </c>
      <c r="P55" s="86">
        <f>TrRoad_act!P136</f>
        <v>659</v>
      </c>
      <c r="Q55" s="86">
        <f>TrRoad_act!Q136</f>
        <v>1834</v>
      </c>
      <c r="R55" s="86">
        <f>TrRoad_act!R136</f>
        <v>313</v>
      </c>
      <c r="S55" s="86">
        <f>TrRoad_act!S136</f>
        <v>644</v>
      </c>
      <c r="T55" s="86">
        <f>TrRoad_act!T136</f>
        <v>0</v>
      </c>
      <c r="U55" s="86">
        <f>TrRoad_act!U136</f>
        <v>1351</v>
      </c>
      <c r="V55" s="86">
        <f>TrRoad_act!V136</f>
        <v>3340</v>
      </c>
      <c r="W55" s="86">
        <f>TrRoad_act!W136</f>
        <v>2107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722833</v>
      </c>
      <c r="C59" s="54">
        <f t="shared" si="0"/>
        <v>73350</v>
      </c>
      <c r="D59" s="54">
        <f t="shared" si="0"/>
        <v>86545</v>
      </c>
      <c r="E59" s="54">
        <f t="shared" si="0"/>
        <v>66101</v>
      </c>
      <c r="F59" s="54">
        <f t="shared" si="0"/>
        <v>107605</v>
      </c>
      <c r="G59" s="54">
        <f t="shared" si="0"/>
        <v>227445</v>
      </c>
      <c r="H59" s="54">
        <f t="shared" si="0"/>
        <v>294640</v>
      </c>
      <c r="I59" s="54">
        <f t="shared" si="0"/>
        <v>369585</v>
      </c>
      <c r="J59" s="54">
        <f t="shared" si="0"/>
        <v>364980</v>
      </c>
      <c r="K59" s="54">
        <f t="shared" si="0"/>
        <v>265587</v>
      </c>
      <c r="L59" s="54">
        <f t="shared" ref="L59" si="1">L60+L75</f>
        <v>314027</v>
      </c>
      <c r="M59" s="54">
        <f t="shared" ref="M59:V59" si="2">M60+M75</f>
        <v>336535</v>
      </c>
      <c r="N59" s="54">
        <f t="shared" si="2"/>
        <v>389947</v>
      </c>
      <c r="O59" s="54">
        <f t="shared" si="2"/>
        <v>314474</v>
      </c>
      <c r="P59" s="54">
        <f t="shared" si="2"/>
        <v>400527</v>
      </c>
      <c r="Q59" s="54">
        <f t="shared" si="2"/>
        <v>741069</v>
      </c>
      <c r="R59" s="54">
        <f t="shared" si="2"/>
        <v>557094</v>
      </c>
      <c r="S59" s="54">
        <f t="shared" si="2"/>
        <v>636761</v>
      </c>
      <c r="T59" s="54">
        <f t="shared" si="2"/>
        <v>617878</v>
      </c>
      <c r="U59" s="54">
        <f t="shared" si="2"/>
        <v>569581</v>
      </c>
      <c r="V59" s="54">
        <f t="shared" si="2"/>
        <v>478886</v>
      </c>
      <c r="W59" s="54">
        <f t="shared" ref="W59" si="3">W60+W75</f>
        <v>471489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720591</v>
      </c>
      <c r="C60" s="28">
        <f t="shared" si="4"/>
        <v>72737</v>
      </c>
      <c r="D60" s="28">
        <f t="shared" si="4"/>
        <v>86026</v>
      </c>
      <c r="E60" s="28">
        <f t="shared" si="4"/>
        <v>65783</v>
      </c>
      <c r="F60" s="28">
        <f t="shared" si="4"/>
        <v>98904</v>
      </c>
      <c r="G60" s="28">
        <f t="shared" si="4"/>
        <v>204728</v>
      </c>
      <c r="H60" s="28">
        <f t="shared" si="4"/>
        <v>267036</v>
      </c>
      <c r="I60" s="28">
        <f t="shared" si="4"/>
        <v>325713</v>
      </c>
      <c r="J60" s="28">
        <f t="shared" si="4"/>
        <v>310800</v>
      </c>
      <c r="K60" s="28">
        <f t="shared" si="4"/>
        <v>246325</v>
      </c>
      <c r="L60" s="28">
        <f t="shared" ref="L60" si="5">L61+L62+L69</f>
        <v>289295</v>
      </c>
      <c r="M60" s="28">
        <f t="shared" ref="M60:V60" si="6">M61+M62+M69</f>
        <v>306399</v>
      </c>
      <c r="N60" s="28">
        <f t="shared" si="6"/>
        <v>363902</v>
      </c>
      <c r="O60" s="28">
        <f t="shared" si="6"/>
        <v>289118</v>
      </c>
      <c r="P60" s="28">
        <f t="shared" si="6"/>
        <v>367310</v>
      </c>
      <c r="Q60" s="28">
        <f t="shared" si="6"/>
        <v>686812</v>
      </c>
      <c r="R60" s="28">
        <f t="shared" si="6"/>
        <v>522553</v>
      </c>
      <c r="S60" s="28">
        <f t="shared" si="6"/>
        <v>598731</v>
      </c>
      <c r="T60" s="28">
        <f t="shared" si="6"/>
        <v>577482</v>
      </c>
      <c r="U60" s="28">
        <f t="shared" si="6"/>
        <v>530556</v>
      </c>
      <c r="V60" s="28">
        <f t="shared" si="6"/>
        <v>442596</v>
      </c>
      <c r="W60" s="28">
        <f t="shared" ref="W60" si="7">W61+W62+W69</f>
        <v>436945</v>
      </c>
      <c r="DA60" s="173" t="s">
        <v>837</v>
      </c>
    </row>
    <row r="61" spans="1:105" ht="11.45" customHeight="1" x14ac:dyDescent="0.25">
      <c r="A61" s="136" t="s">
        <v>180</v>
      </c>
      <c r="B61" s="137">
        <v>513511</v>
      </c>
      <c r="C61" s="137">
        <v>31449</v>
      </c>
      <c r="D61" s="137">
        <v>28460</v>
      </c>
      <c r="E61" s="137">
        <v>6180</v>
      </c>
      <c r="F61" s="137">
        <v>25527</v>
      </c>
      <c r="G61" s="137">
        <v>83651</v>
      </c>
      <c r="H61" s="137">
        <v>64237</v>
      </c>
      <c r="I61" s="137">
        <v>73378</v>
      </c>
      <c r="J61" s="137">
        <v>65085</v>
      </c>
      <c r="K61" s="137">
        <v>30805</v>
      </c>
      <c r="L61" s="137">
        <v>57137</v>
      </c>
      <c r="M61" s="137">
        <v>54722</v>
      </c>
      <c r="N61" s="137">
        <v>68417</v>
      </c>
      <c r="O61" s="137">
        <v>26613</v>
      </c>
      <c r="P61" s="137">
        <v>54347</v>
      </c>
      <c r="Q61" s="137">
        <v>98477</v>
      </c>
      <c r="R61" s="137">
        <v>66467</v>
      </c>
      <c r="S61" s="137">
        <v>66225</v>
      </c>
      <c r="T61" s="137">
        <v>69555</v>
      </c>
      <c r="U61" s="137">
        <v>70976</v>
      </c>
      <c r="V61" s="137">
        <v>72463</v>
      </c>
      <c r="W61" s="137">
        <v>73375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205424</v>
      </c>
      <c r="C62" s="110">
        <f t="shared" si="8"/>
        <v>41278</v>
      </c>
      <c r="D62" s="110">
        <f t="shared" si="8"/>
        <v>57566</v>
      </c>
      <c r="E62" s="110">
        <f t="shared" si="8"/>
        <v>59603</v>
      </c>
      <c r="F62" s="110">
        <f t="shared" si="8"/>
        <v>73374</v>
      </c>
      <c r="G62" s="110">
        <f t="shared" si="8"/>
        <v>120963</v>
      </c>
      <c r="H62" s="110">
        <f t="shared" si="8"/>
        <v>202108</v>
      </c>
      <c r="I62" s="110">
        <f t="shared" si="8"/>
        <v>251530</v>
      </c>
      <c r="J62" s="110">
        <f t="shared" si="8"/>
        <v>244636</v>
      </c>
      <c r="K62" s="110">
        <f t="shared" si="8"/>
        <v>214610</v>
      </c>
      <c r="L62" s="110">
        <f t="shared" ref="L62" si="9">SUM(L63:L68)</f>
        <v>231286</v>
      </c>
      <c r="M62" s="110">
        <f t="shared" ref="M62:V62" si="10">SUM(M63:M68)</f>
        <v>250687</v>
      </c>
      <c r="N62" s="110">
        <f t="shared" si="10"/>
        <v>294236</v>
      </c>
      <c r="O62" s="110">
        <f t="shared" si="10"/>
        <v>261110</v>
      </c>
      <c r="P62" s="110">
        <f t="shared" si="10"/>
        <v>311764</v>
      </c>
      <c r="Q62" s="110">
        <f t="shared" si="10"/>
        <v>587443</v>
      </c>
      <c r="R62" s="110">
        <f t="shared" si="10"/>
        <v>454931</v>
      </c>
      <c r="S62" s="110">
        <f t="shared" si="10"/>
        <v>530728</v>
      </c>
      <c r="T62" s="110">
        <f t="shared" si="10"/>
        <v>506979</v>
      </c>
      <c r="U62" s="110">
        <f t="shared" si="10"/>
        <v>457965</v>
      </c>
      <c r="V62" s="110">
        <f t="shared" si="10"/>
        <v>368476</v>
      </c>
      <c r="W62" s="110">
        <f t="shared" ref="W62" si="11">SUM(W63:W68)</f>
        <v>362033</v>
      </c>
      <c r="DA62" s="176" t="s">
        <v>839</v>
      </c>
    </row>
    <row r="63" spans="1:105" ht="11.45" customHeight="1" x14ac:dyDescent="0.25">
      <c r="A63" s="111" t="s">
        <v>110</v>
      </c>
      <c r="B63" s="84">
        <v>198042</v>
      </c>
      <c r="C63" s="84">
        <v>39335</v>
      </c>
      <c r="D63" s="84">
        <v>54685</v>
      </c>
      <c r="E63" s="84">
        <v>56370</v>
      </c>
      <c r="F63" s="84">
        <v>67629</v>
      </c>
      <c r="G63" s="84">
        <v>93577</v>
      </c>
      <c r="H63" s="84">
        <v>106244</v>
      </c>
      <c r="I63" s="84">
        <v>130394</v>
      </c>
      <c r="J63" s="84">
        <v>132727</v>
      </c>
      <c r="K63" s="84">
        <v>109779</v>
      </c>
      <c r="L63" s="84">
        <v>124864</v>
      </c>
      <c r="M63" s="84">
        <v>128790</v>
      </c>
      <c r="N63" s="84">
        <v>124806</v>
      </c>
      <c r="O63" s="84">
        <v>108167</v>
      </c>
      <c r="P63" s="84">
        <v>152938</v>
      </c>
      <c r="Q63" s="84">
        <v>329299</v>
      </c>
      <c r="R63" s="84">
        <v>251952</v>
      </c>
      <c r="S63" s="84">
        <v>306446</v>
      </c>
      <c r="T63" s="84">
        <v>294499</v>
      </c>
      <c r="U63" s="84">
        <v>268495</v>
      </c>
      <c r="V63" s="84">
        <v>210446</v>
      </c>
      <c r="W63" s="84">
        <v>204725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21125</v>
      </c>
      <c r="H64" s="84">
        <v>85969</v>
      </c>
      <c r="I64" s="84">
        <v>109349</v>
      </c>
      <c r="J64" s="84">
        <v>107903</v>
      </c>
      <c r="K64" s="84">
        <v>94567</v>
      </c>
      <c r="L64" s="84">
        <v>101895</v>
      </c>
      <c r="M64" s="84">
        <v>109600</v>
      </c>
      <c r="N64" s="84">
        <v>142831</v>
      </c>
      <c r="O64" s="84">
        <v>139495</v>
      </c>
      <c r="P64" s="84">
        <v>132494</v>
      </c>
      <c r="Q64" s="84">
        <v>247663</v>
      </c>
      <c r="R64" s="84">
        <v>189791</v>
      </c>
      <c r="S64" s="84">
        <v>219378</v>
      </c>
      <c r="T64" s="84">
        <v>207698</v>
      </c>
      <c r="U64" s="84">
        <v>186348</v>
      </c>
      <c r="V64" s="84">
        <v>150798</v>
      </c>
      <c r="W64" s="84">
        <v>147260</v>
      </c>
      <c r="DA64" s="171" t="s">
        <v>841</v>
      </c>
    </row>
    <row r="65" spans="1:105" ht="11.45" customHeight="1" x14ac:dyDescent="0.25">
      <c r="A65" s="111" t="s">
        <v>112</v>
      </c>
      <c r="B65" s="84">
        <v>7382</v>
      </c>
      <c r="C65" s="84">
        <v>1943</v>
      </c>
      <c r="D65" s="84">
        <v>2881</v>
      </c>
      <c r="E65" s="84">
        <v>3233</v>
      </c>
      <c r="F65" s="84">
        <v>5745</v>
      </c>
      <c r="G65" s="84">
        <v>6261</v>
      </c>
      <c r="H65" s="84">
        <v>9895</v>
      </c>
      <c r="I65" s="84">
        <v>11787</v>
      </c>
      <c r="J65" s="84">
        <v>3903</v>
      </c>
      <c r="K65" s="84">
        <v>10109</v>
      </c>
      <c r="L65" s="84">
        <v>4246</v>
      </c>
      <c r="M65" s="84">
        <v>11924</v>
      </c>
      <c r="N65" s="84">
        <v>25972</v>
      </c>
      <c r="O65" s="84">
        <v>12053</v>
      </c>
      <c r="P65" s="84">
        <v>24943</v>
      </c>
      <c r="Q65" s="84">
        <v>7547</v>
      </c>
      <c r="R65" s="84">
        <v>7362</v>
      </c>
      <c r="S65" s="84">
        <v>800</v>
      </c>
      <c r="T65" s="84">
        <v>520</v>
      </c>
      <c r="U65" s="84">
        <v>405</v>
      </c>
      <c r="V65" s="84">
        <v>1272</v>
      </c>
      <c r="W65" s="84">
        <v>2257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103</v>
      </c>
      <c r="K66" s="84">
        <v>155</v>
      </c>
      <c r="L66" s="84">
        <v>281</v>
      </c>
      <c r="M66" s="84">
        <v>372</v>
      </c>
      <c r="N66" s="84">
        <v>621</v>
      </c>
      <c r="O66" s="84">
        <v>1307</v>
      </c>
      <c r="P66" s="84">
        <v>1263</v>
      </c>
      <c r="Q66" s="84">
        <v>2692</v>
      </c>
      <c r="R66" s="84">
        <v>5241</v>
      </c>
      <c r="S66" s="84">
        <v>3200</v>
      </c>
      <c r="T66" s="84">
        <v>3533</v>
      </c>
      <c r="U66" s="84">
        <v>1864</v>
      </c>
      <c r="V66" s="84">
        <v>1317</v>
      </c>
      <c r="W66" s="84">
        <v>840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1380</v>
      </c>
      <c r="W67" s="84">
        <v>3779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1</v>
      </c>
      <c r="N68" s="84">
        <v>6</v>
      </c>
      <c r="O68" s="84">
        <v>88</v>
      </c>
      <c r="P68" s="84">
        <v>126</v>
      </c>
      <c r="Q68" s="84">
        <v>242</v>
      </c>
      <c r="R68" s="84">
        <v>585</v>
      </c>
      <c r="S68" s="84">
        <v>904</v>
      </c>
      <c r="T68" s="84">
        <v>729</v>
      </c>
      <c r="U68" s="84">
        <v>853</v>
      </c>
      <c r="V68" s="84">
        <v>3263</v>
      </c>
      <c r="W68" s="84">
        <v>3172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1656</v>
      </c>
      <c r="C69" s="110">
        <f t="shared" si="12"/>
        <v>10</v>
      </c>
      <c r="D69" s="110">
        <f t="shared" si="12"/>
        <v>0</v>
      </c>
      <c r="E69" s="110">
        <f t="shared" si="12"/>
        <v>0</v>
      </c>
      <c r="F69" s="110">
        <f t="shared" si="12"/>
        <v>3</v>
      </c>
      <c r="G69" s="110">
        <f t="shared" si="12"/>
        <v>114</v>
      </c>
      <c r="H69" s="110">
        <f t="shared" si="12"/>
        <v>691</v>
      </c>
      <c r="I69" s="110">
        <f t="shared" si="12"/>
        <v>805</v>
      </c>
      <c r="J69" s="110">
        <f t="shared" si="12"/>
        <v>1079</v>
      </c>
      <c r="K69" s="110">
        <f t="shared" si="12"/>
        <v>910</v>
      </c>
      <c r="L69" s="110">
        <f t="shared" ref="L69" si="13">SUM(L70:L74)</f>
        <v>872</v>
      </c>
      <c r="M69" s="110">
        <f t="shared" ref="M69:V69" si="14">SUM(M70:M74)</f>
        <v>990</v>
      </c>
      <c r="N69" s="110">
        <f t="shared" si="14"/>
        <v>1249</v>
      </c>
      <c r="O69" s="110">
        <f t="shared" si="14"/>
        <v>1395</v>
      </c>
      <c r="P69" s="110">
        <f t="shared" si="14"/>
        <v>1199</v>
      </c>
      <c r="Q69" s="110">
        <f t="shared" si="14"/>
        <v>892</v>
      </c>
      <c r="R69" s="110">
        <f t="shared" si="14"/>
        <v>1155</v>
      </c>
      <c r="S69" s="110">
        <f t="shared" si="14"/>
        <v>1778</v>
      </c>
      <c r="T69" s="110">
        <f t="shared" si="14"/>
        <v>948</v>
      </c>
      <c r="U69" s="110">
        <f t="shared" si="14"/>
        <v>1615</v>
      </c>
      <c r="V69" s="110">
        <f t="shared" si="14"/>
        <v>1657</v>
      </c>
      <c r="W69" s="110">
        <f t="shared" ref="W69" si="15">SUM(W70:W74)</f>
        <v>1537</v>
      </c>
      <c r="DA69" s="176" t="s">
        <v>846</v>
      </c>
    </row>
    <row r="70" spans="1:105" ht="11.45" customHeight="1" x14ac:dyDescent="0.25">
      <c r="A70" s="111" t="s">
        <v>110</v>
      </c>
      <c r="B70" s="102">
        <v>1614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114</v>
      </c>
      <c r="H71" s="102">
        <v>668</v>
      </c>
      <c r="I71" s="102">
        <v>805</v>
      </c>
      <c r="J71" s="102">
        <v>1079</v>
      </c>
      <c r="K71" s="102">
        <v>910</v>
      </c>
      <c r="L71" s="102">
        <v>870</v>
      </c>
      <c r="M71" s="102">
        <v>990</v>
      </c>
      <c r="N71" s="102">
        <v>1249</v>
      </c>
      <c r="O71" s="102">
        <v>1395</v>
      </c>
      <c r="P71" s="102">
        <v>1199</v>
      </c>
      <c r="Q71" s="102">
        <v>892</v>
      </c>
      <c r="R71" s="102">
        <v>1155</v>
      </c>
      <c r="S71" s="102">
        <v>807</v>
      </c>
      <c r="T71" s="102">
        <v>823</v>
      </c>
      <c r="U71" s="102">
        <v>1228</v>
      </c>
      <c r="V71" s="102">
        <v>1376</v>
      </c>
      <c r="W71" s="102">
        <v>1460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7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971</v>
      </c>
      <c r="T73" s="102">
        <v>125</v>
      </c>
      <c r="U73" s="102">
        <v>374</v>
      </c>
      <c r="V73" s="102">
        <v>262</v>
      </c>
      <c r="W73" s="102">
        <v>74</v>
      </c>
      <c r="DA73" s="175" t="s">
        <v>850</v>
      </c>
    </row>
    <row r="74" spans="1:105" ht="11.45" customHeight="1" x14ac:dyDescent="0.25">
      <c r="A74" s="111" t="s">
        <v>115</v>
      </c>
      <c r="B74" s="102">
        <v>42</v>
      </c>
      <c r="C74" s="102">
        <v>10</v>
      </c>
      <c r="D74" s="102">
        <v>0</v>
      </c>
      <c r="E74" s="102">
        <v>0</v>
      </c>
      <c r="F74" s="102">
        <v>3</v>
      </c>
      <c r="G74" s="102">
        <v>0</v>
      </c>
      <c r="H74" s="102">
        <v>23</v>
      </c>
      <c r="I74" s="102">
        <v>0</v>
      </c>
      <c r="J74" s="102">
        <v>0</v>
      </c>
      <c r="K74" s="102">
        <v>0</v>
      </c>
      <c r="L74" s="102">
        <v>2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13</v>
      </c>
      <c r="V74" s="102">
        <v>12</v>
      </c>
      <c r="W74" s="102">
        <v>3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2242</v>
      </c>
      <c r="C75" s="28">
        <f t="shared" si="16"/>
        <v>613</v>
      </c>
      <c r="D75" s="28">
        <f t="shared" si="16"/>
        <v>519</v>
      </c>
      <c r="E75" s="28">
        <f t="shared" si="16"/>
        <v>318</v>
      </c>
      <c r="F75" s="28">
        <f t="shared" si="16"/>
        <v>8701</v>
      </c>
      <c r="G75" s="28">
        <f t="shared" si="16"/>
        <v>22717</v>
      </c>
      <c r="H75" s="28">
        <f t="shared" si="16"/>
        <v>27604</v>
      </c>
      <c r="I75" s="28">
        <f t="shared" si="16"/>
        <v>43872</v>
      </c>
      <c r="J75" s="28">
        <f t="shared" si="16"/>
        <v>54180</v>
      </c>
      <c r="K75" s="28">
        <f t="shared" si="16"/>
        <v>19262</v>
      </c>
      <c r="L75" s="28">
        <f t="shared" ref="L75" si="17">L76+L82</f>
        <v>24732</v>
      </c>
      <c r="M75" s="28">
        <f t="shared" ref="M75:V75" si="18">M76+M82</f>
        <v>30136</v>
      </c>
      <c r="N75" s="28">
        <f t="shared" si="18"/>
        <v>26045</v>
      </c>
      <c r="O75" s="28">
        <f t="shared" si="18"/>
        <v>25356</v>
      </c>
      <c r="P75" s="28">
        <f t="shared" si="18"/>
        <v>33217</v>
      </c>
      <c r="Q75" s="28">
        <f t="shared" si="18"/>
        <v>54257</v>
      </c>
      <c r="R75" s="28">
        <f t="shared" si="18"/>
        <v>34541</v>
      </c>
      <c r="S75" s="28">
        <f t="shared" si="18"/>
        <v>38030</v>
      </c>
      <c r="T75" s="28">
        <f t="shared" si="18"/>
        <v>40396</v>
      </c>
      <c r="U75" s="28">
        <f t="shared" si="18"/>
        <v>39025</v>
      </c>
      <c r="V75" s="28">
        <f t="shared" si="18"/>
        <v>36290</v>
      </c>
      <c r="W75" s="28">
        <f t="shared" ref="W75" si="19">W76+W82</f>
        <v>34544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6990</v>
      </c>
      <c r="G76" s="137">
        <f t="shared" si="20"/>
        <v>22170</v>
      </c>
      <c r="H76" s="137">
        <f t="shared" si="20"/>
        <v>26921</v>
      </c>
      <c r="I76" s="137">
        <f t="shared" si="20"/>
        <v>41195</v>
      </c>
      <c r="J76" s="137">
        <f t="shared" si="20"/>
        <v>48865</v>
      </c>
      <c r="K76" s="137">
        <f t="shared" si="20"/>
        <v>18156</v>
      </c>
      <c r="L76" s="137">
        <f t="shared" ref="L76" si="21">SUM(L77:L81)</f>
        <v>18682</v>
      </c>
      <c r="M76" s="137">
        <f t="shared" ref="M76:V76" si="22">SUM(M77:M81)</f>
        <v>22397</v>
      </c>
      <c r="N76" s="137">
        <f t="shared" si="22"/>
        <v>12690</v>
      </c>
      <c r="O76" s="137">
        <f t="shared" si="22"/>
        <v>15919</v>
      </c>
      <c r="P76" s="137">
        <f t="shared" si="22"/>
        <v>22021</v>
      </c>
      <c r="Q76" s="137">
        <f t="shared" si="22"/>
        <v>37887</v>
      </c>
      <c r="R76" s="137">
        <f t="shared" si="22"/>
        <v>21929</v>
      </c>
      <c r="S76" s="137">
        <f t="shared" si="22"/>
        <v>24491</v>
      </c>
      <c r="T76" s="137">
        <f t="shared" si="22"/>
        <v>27942</v>
      </c>
      <c r="U76" s="137">
        <f t="shared" si="22"/>
        <v>25957</v>
      </c>
      <c r="V76" s="137">
        <f t="shared" si="22"/>
        <v>24746</v>
      </c>
      <c r="W76" s="137">
        <f t="shared" ref="W76" si="23">SUM(W77:W81)</f>
        <v>24902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6225</v>
      </c>
      <c r="J77" s="84">
        <v>8471</v>
      </c>
      <c r="K77" s="84">
        <v>2012</v>
      </c>
      <c r="L77" s="84">
        <v>2301</v>
      </c>
      <c r="M77" s="84">
        <v>2889</v>
      </c>
      <c r="N77" s="84">
        <v>2997</v>
      </c>
      <c r="O77" s="84">
        <v>6018</v>
      </c>
      <c r="P77" s="84">
        <v>8918</v>
      </c>
      <c r="Q77" s="84">
        <v>12586</v>
      </c>
      <c r="R77" s="84">
        <v>7896</v>
      </c>
      <c r="S77" s="84">
        <v>8318</v>
      </c>
      <c r="T77" s="84">
        <v>8327</v>
      </c>
      <c r="U77" s="84">
        <v>8216</v>
      </c>
      <c r="V77" s="84">
        <v>8044</v>
      </c>
      <c r="W77" s="84">
        <v>7712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6990</v>
      </c>
      <c r="G78" s="84">
        <v>22170</v>
      </c>
      <c r="H78" s="84">
        <v>26921</v>
      </c>
      <c r="I78" s="84">
        <v>34970</v>
      </c>
      <c r="J78" s="84">
        <v>40370</v>
      </c>
      <c r="K78" s="84">
        <v>16033</v>
      </c>
      <c r="L78" s="84">
        <v>16150</v>
      </c>
      <c r="M78" s="84">
        <v>18864</v>
      </c>
      <c r="N78" s="84">
        <v>7824</v>
      </c>
      <c r="O78" s="84">
        <v>8562</v>
      </c>
      <c r="P78" s="84">
        <v>10190</v>
      </c>
      <c r="Q78" s="84">
        <v>21302</v>
      </c>
      <c r="R78" s="84">
        <v>9920</v>
      </c>
      <c r="S78" s="84">
        <v>12782</v>
      </c>
      <c r="T78" s="84">
        <v>16488</v>
      </c>
      <c r="U78" s="84">
        <v>15217</v>
      </c>
      <c r="V78" s="84">
        <v>14660</v>
      </c>
      <c r="W78" s="84">
        <v>15730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109</v>
      </c>
      <c r="L79" s="84">
        <v>227</v>
      </c>
      <c r="M79" s="84">
        <v>640</v>
      </c>
      <c r="N79" s="84">
        <v>1430</v>
      </c>
      <c r="O79" s="84">
        <v>953</v>
      </c>
      <c r="P79" s="84">
        <v>1696</v>
      </c>
      <c r="Q79" s="84">
        <v>669</v>
      </c>
      <c r="R79" s="84">
        <v>1338</v>
      </c>
      <c r="S79" s="84">
        <v>477</v>
      </c>
      <c r="T79" s="84">
        <v>608</v>
      </c>
      <c r="U79" s="84">
        <v>71</v>
      </c>
      <c r="V79" s="84">
        <v>0</v>
      </c>
      <c r="W79" s="84">
        <v>7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419</v>
      </c>
      <c r="O80" s="84">
        <v>373</v>
      </c>
      <c r="P80" s="84">
        <v>1205</v>
      </c>
      <c r="Q80" s="84">
        <v>3311</v>
      </c>
      <c r="R80" s="84">
        <v>2754</v>
      </c>
      <c r="S80" s="84">
        <v>2886</v>
      </c>
      <c r="T80" s="84">
        <v>2458</v>
      </c>
      <c r="U80" s="84">
        <v>2323</v>
      </c>
      <c r="V80" s="84">
        <v>1922</v>
      </c>
      <c r="W80" s="84">
        <v>1167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24</v>
      </c>
      <c r="K81" s="84">
        <v>2</v>
      </c>
      <c r="L81" s="84">
        <v>4</v>
      </c>
      <c r="M81" s="84">
        <v>4</v>
      </c>
      <c r="N81" s="84">
        <v>20</v>
      </c>
      <c r="O81" s="84">
        <v>13</v>
      </c>
      <c r="P81" s="84">
        <v>12</v>
      </c>
      <c r="Q81" s="84">
        <v>19</v>
      </c>
      <c r="R81" s="84">
        <v>21</v>
      </c>
      <c r="S81" s="84">
        <v>28</v>
      </c>
      <c r="T81" s="84">
        <v>61</v>
      </c>
      <c r="U81" s="84">
        <v>130</v>
      </c>
      <c r="V81" s="84">
        <v>120</v>
      </c>
      <c r="W81" s="84">
        <v>286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2242</v>
      </c>
      <c r="C82" s="110">
        <f t="shared" si="24"/>
        <v>613</v>
      </c>
      <c r="D82" s="110">
        <f t="shared" si="24"/>
        <v>519</v>
      </c>
      <c r="E82" s="110">
        <f t="shared" si="24"/>
        <v>318</v>
      </c>
      <c r="F82" s="110">
        <f t="shared" si="24"/>
        <v>1711</v>
      </c>
      <c r="G82" s="110">
        <f t="shared" si="24"/>
        <v>547</v>
      </c>
      <c r="H82" s="110">
        <f t="shared" si="24"/>
        <v>683</v>
      </c>
      <c r="I82" s="110">
        <f t="shared" si="24"/>
        <v>2677</v>
      </c>
      <c r="J82" s="110">
        <f t="shared" si="24"/>
        <v>5315</v>
      </c>
      <c r="K82" s="110">
        <f t="shared" si="24"/>
        <v>1106</v>
      </c>
      <c r="L82" s="110">
        <f t="shared" ref="L82" si="25">SUM(L83:L84)</f>
        <v>6050</v>
      </c>
      <c r="M82" s="110">
        <f t="shared" ref="M82:V82" si="26">SUM(M83:M84)</f>
        <v>7739</v>
      </c>
      <c r="N82" s="110">
        <f t="shared" si="26"/>
        <v>13355</v>
      </c>
      <c r="O82" s="110">
        <f t="shared" si="26"/>
        <v>9437</v>
      </c>
      <c r="P82" s="110">
        <f t="shared" si="26"/>
        <v>11196</v>
      </c>
      <c r="Q82" s="110">
        <f t="shared" si="26"/>
        <v>16370</v>
      </c>
      <c r="R82" s="110">
        <f t="shared" si="26"/>
        <v>12612</v>
      </c>
      <c r="S82" s="110">
        <f t="shared" si="26"/>
        <v>13539</v>
      </c>
      <c r="T82" s="110">
        <f t="shared" si="26"/>
        <v>12454</v>
      </c>
      <c r="U82" s="110">
        <f t="shared" si="26"/>
        <v>13068</v>
      </c>
      <c r="V82" s="110">
        <f t="shared" si="26"/>
        <v>11544</v>
      </c>
      <c r="W82" s="110">
        <f t="shared" ref="W82" si="27">SUM(W83:W84)</f>
        <v>9642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2105</v>
      </c>
      <c r="J83" s="102">
        <v>5315</v>
      </c>
      <c r="K83" s="102">
        <v>1106</v>
      </c>
      <c r="L83" s="102">
        <v>5019</v>
      </c>
      <c r="M83" s="102">
        <v>6670</v>
      </c>
      <c r="N83" s="102">
        <v>12992</v>
      </c>
      <c r="O83" s="102">
        <v>7621</v>
      </c>
      <c r="P83" s="102">
        <v>10625</v>
      </c>
      <c r="Q83" s="102">
        <v>14752</v>
      </c>
      <c r="R83" s="102">
        <v>12332</v>
      </c>
      <c r="S83" s="102">
        <v>12950</v>
      </c>
      <c r="T83" s="102">
        <v>12454</v>
      </c>
      <c r="U83" s="102">
        <v>11764</v>
      </c>
      <c r="V83" s="102">
        <v>8261</v>
      </c>
      <c r="W83" s="102">
        <v>7535</v>
      </c>
      <c r="DA83" s="175" t="s">
        <v>860</v>
      </c>
    </row>
    <row r="84" spans="1:105" ht="11.45" customHeight="1" x14ac:dyDescent="0.25">
      <c r="A84" s="138" t="s">
        <v>116</v>
      </c>
      <c r="B84" s="86">
        <v>2242</v>
      </c>
      <c r="C84" s="86">
        <v>613</v>
      </c>
      <c r="D84" s="86">
        <v>519</v>
      </c>
      <c r="E84" s="86">
        <v>318</v>
      </c>
      <c r="F84" s="86">
        <v>1711</v>
      </c>
      <c r="G84" s="86">
        <v>547</v>
      </c>
      <c r="H84" s="86">
        <v>683</v>
      </c>
      <c r="I84" s="86">
        <v>572</v>
      </c>
      <c r="J84" s="86">
        <v>0</v>
      </c>
      <c r="K84" s="86">
        <v>0</v>
      </c>
      <c r="L84" s="86">
        <v>1031</v>
      </c>
      <c r="M84" s="86">
        <v>1069</v>
      </c>
      <c r="N84" s="86">
        <v>363</v>
      </c>
      <c r="O84" s="86">
        <v>1816</v>
      </c>
      <c r="P84" s="86">
        <v>571</v>
      </c>
      <c r="Q84" s="86">
        <v>1618</v>
      </c>
      <c r="R84" s="86">
        <v>280</v>
      </c>
      <c r="S84" s="86">
        <v>589</v>
      </c>
      <c r="T84" s="86">
        <v>0</v>
      </c>
      <c r="U84" s="86">
        <v>1304</v>
      </c>
      <c r="V84" s="86">
        <v>3283</v>
      </c>
      <c r="W84" s="86">
        <v>2107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3.853893083319663</v>
      </c>
      <c r="C90" s="141">
        <v>3.8382307925871375</v>
      </c>
      <c r="D90" s="141">
        <v>3.8241896675333806</v>
      </c>
      <c r="E90" s="141">
        <v>3.8205936025414311</v>
      </c>
      <c r="F90" s="141">
        <v>3.8076299212766229</v>
      </c>
      <c r="G90" s="141">
        <v>3.7740304334659274</v>
      </c>
      <c r="H90" s="141">
        <v>3.7485952433209517</v>
      </c>
      <c r="I90" s="141">
        <v>3.7197011001057643</v>
      </c>
      <c r="J90" s="141">
        <v>3.693967996085274</v>
      </c>
      <c r="K90" s="141">
        <v>3.6767997703973898</v>
      </c>
      <c r="L90" s="141">
        <v>3.6432043370163636</v>
      </c>
      <c r="M90" s="141">
        <v>3.6093027801828046</v>
      </c>
      <c r="N90" s="141">
        <v>3.5654811139139371</v>
      </c>
      <c r="O90" s="141">
        <v>3.5447266624004188</v>
      </c>
      <c r="P90" s="141">
        <v>3.5056089983132614</v>
      </c>
      <c r="Q90" s="141">
        <v>3.437357244536587</v>
      </c>
      <c r="R90" s="141">
        <v>3.390215570525291</v>
      </c>
      <c r="S90" s="141">
        <v>3.3434844593102135</v>
      </c>
      <c r="T90" s="141">
        <v>3.2953470128138518</v>
      </c>
      <c r="U90" s="141">
        <v>3.2474422850482099</v>
      </c>
      <c r="V90" s="141">
        <v>3.2005266063531321</v>
      </c>
      <c r="W90" s="141">
        <v>3.0489268544748018</v>
      </c>
      <c r="DA90" s="174" t="s">
        <v>862</v>
      </c>
    </row>
    <row r="91" spans="1:105" ht="11.45" customHeight="1" x14ac:dyDescent="0.25">
      <c r="A91" s="109" t="s">
        <v>20</v>
      </c>
      <c r="B91" s="130">
        <v>7.5086084451773232</v>
      </c>
      <c r="C91" s="130">
        <v>7.3855393939291041</v>
      </c>
      <c r="D91" s="130">
        <v>7.3153594665297748</v>
      </c>
      <c r="E91" s="130">
        <v>7.2511457537760338</v>
      </c>
      <c r="F91" s="130">
        <v>7.1904397808481919</v>
      </c>
      <c r="G91" s="130">
        <v>7.1292781131199092</v>
      </c>
      <c r="H91" s="130">
        <v>7.0873045571134252</v>
      </c>
      <c r="I91" s="130">
        <v>7.0445539156700638</v>
      </c>
      <c r="J91" s="130">
        <v>6.9970663712383079</v>
      </c>
      <c r="K91" s="130">
        <v>6.9407395861858259</v>
      </c>
      <c r="L91" s="130">
        <v>6.8797342779020392</v>
      </c>
      <c r="M91" s="130">
        <v>6.8207891154043301</v>
      </c>
      <c r="N91" s="130">
        <v>6.7601743812141866</v>
      </c>
      <c r="O91" s="130">
        <v>6.7086122961057351</v>
      </c>
      <c r="P91" s="130">
        <v>6.6353274403261668</v>
      </c>
      <c r="Q91" s="130">
        <v>6.5019477015170386</v>
      </c>
      <c r="R91" s="130">
        <v>6.3830811720591214</v>
      </c>
      <c r="S91" s="130">
        <v>6.2639803013268018</v>
      </c>
      <c r="T91" s="130">
        <v>6.1372737953104286</v>
      </c>
      <c r="U91" s="130">
        <v>6.0304040426788132</v>
      </c>
      <c r="V91" s="130">
        <v>5.9555405224906339</v>
      </c>
      <c r="W91" s="130">
        <v>5.8628697830378176</v>
      </c>
      <c r="DA91" s="176" t="s">
        <v>863</v>
      </c>
    </row>
    <row r="92" spans="1:105" ht="11.45" customHeight="1" x14ac:dyDescent="0.25">
      <c r="A92" s="111" t="s">
        <v>110</v>
      </c>
      <c r="B92" s="96">
        <v>7.5227750959385062</v>
      </c>
      <c r="C92" s="96">
        <v>7.4249938389855332</v>
      </c>
      <c r="D92" s="96">
        <v>7.3672161044454754</v>
      </c>
      <c r="E92" s="96">
        <v>7.312175713735118</v>
      </c>
      <c r="F92" s="96">
        <v>7.2584681160135869</v>
      </c>
      <c r="G92" s="96">
        <v>7.2027205378981716</v>
      </c>
      <c r="H92" s="96">
        <v>7.1495265997328632</v>
      </c>
      <c r="I92" s="96">
        <v>7.0939156721234511</v>
      </c>
      <c r="J92" s="96">
        <v>7.0364291008472764</v>
      </c>
      <c r="K92" s="96">
        <v>6.9713238835095597</v>
      </c>
      <c r="L92" s="96">
        <v>6.9018292487497659</v>
      </c>
      <c r="M92" s="96">
        <v>6.8294401626097825</v>
      </c>
      <c r="N92" s="96">
        <v>6.7521795225481691</v>
      </c>
      <c r="O92" s="96">
        <v>6.6768505401747458</v>
      </c>
      <c r="P92" s="96">
        <v>6.5780168308199523</v>
      </c>
      <c r="Q92" s="96">
        <v>6.41172938350834</v>
      </c>
      <c r="R92" s="96">
        <v>6.2738305834789889</v>
      </c>
      <c r="S92" s="96">
        <v>6.1303544141145956</v>
      </c>
      <c r="T92" s="96">
        <v>5.9779619461235303</v>
      </c>
      <c r="U92" s="96">
        <v>5.8581531822181194</v>
      </c>
      <c r="V92" s="96">
        <v>5.7745230205549509</v>
      </c>
      <c r="W92" s="96">
        <v>5.676232001865956</v>
      </c>
      <c r="DA92" s="171" t="s">
        <v>864</v>
      </c>
    </row>
    <row r="93" spans="1:105" ht="11.45" customHeight="1" x14ac:dyDescent="0.25">
      <c r="A93" s="111" t="s">
        <v>111</v>
      </c>
      <c r="B93" s="96">
        <v>7.1602603128048665</v>
      </c>
      <c r="C93" s="96">
        <v>6.6716595102387632</v>
      </c>
      <c r="D93" s="96">
        <v>6.5379899819302771</v>
      </c>
      <c r="E93" s="96">
        <v>6.4636208431680879</v>
      </c>
      <c r="F93" s="96">
        <v>6.396264906011508</v>
      </c>
      <c r="G93" s="96">
        <v>6.3430212494891922</v>
      </c>
      <c r="H93" s="96">
        <v>6.3724914074645786</v>
      </c>
      <c r="I93" s="96">
        <v>6.3995097063751896</v>
      </c>
      <c r="J93" s="96">
        <v>6.4251246502212709</v>
      </c>
      <c r="K93" s="96">
        <v>6.4224763672784206</v>
      </c>
      <c r="L93" s="96">
        <v>6.4090135846276253</v>
      </c>
      <c r="M93" s="96">
        <v>6.3905260836374591</v>
      </c>
      <c r="N93" s="96">
        <v>6.3720621440339498</v>
      </c>
      <c r="O93" s="96">
        <v>6.3481886202249029</v>
      </c>
      <c r="P93" s="96">
        <v>6.2980620856341627</v>
      </c>
      <c r="Q93" s="96">
        <v>6.2069495700114441</v>
      </c>
      <c r="R93" s="96">
        <v>6.1101822962657959</v>
      </c>
      <c r="S93" s="96">
        <v>6.0292446897694756</v>
      </c>
      <c r="T93" s="96">
        <v>5.9625246021188518</v>
      </c>
      <c r="U93" s="96">
        <v>5.8956623792226344</v>
      </c>
      <c r="V93" s="96">
        <v>5.8286822224996131</v>
      </c>
      <c r="W93" s="96">
        <v>5.7349810362309963</v>
      </c>
      <c r="DA93" s="171" t="s">
        <v>865</v>
      </c>
    </row>
    <row r="94" spans="1:105" ht="11.45" customHeight="1" x14ac:dyDescent="0.25">
      <c r="A94" s="111" t="s">
        <v>112</v>
      </c>
      <c r="B94" s="96">
        <v>8.7653703963201224</v>
      </c>
      <c r="C94" s="96">
        <v>8.4049413318053485</v>
      </c>
      <c r="D94" s="96">
        <v>8.2613439633853698</v>
      </c>
      <c r="E94" s="96">
        <v>8.155796163754669</v>
      </c>
      <c r="F94" s="96">
        <v>8.0519731623803139</v>
      </c>
      <c r="G94" s="96">
        <v>7.9981952949720458</v>
      </c>
      <c r="H94" s="96">
        <v>7.9837795419934068</v>
      </c>
      <c r="I94" s="96">
        <v>7.9729599707152845</v>
      </c>
      <c r="J94" s="96">
        <v>7.962805248987185</v>
      </c>
      <c r="K94" s="96">
        <v>7.9504438100035539</v>
      </c>
      <c r="L94" s="96">
        <v>7.9461132976759297</v>
      </c>
      <c r="M94" s="96">
        <v>7.9709887722645272</v>
      </c>
      <c r="N94" s="96">
        <v>8.016108715224167</v>
      </c>
      <c r="O94" s="96">
        <v>8.0349210969167828</v>
      </c>
      <c r="P94" s="96">
        <v>8.0147231617253674</v>
      </c>
      <c r="Q94" s="96">
        <v>7.9828589206147811</v>
      </c>
      <c r="R94" s="96">
        <v>7.9826532619070534</v>
      </c>
      <c r="S94" s="96">
        <v>7.9712878833522485</v>
      </c>
      <c r="T94" s="96">
        <v>7.9634474346647437</v>
      </c>
      <c r="U94" s="96">
        <v>7.9547140121486866</v>
      </c>
      <c r="V94" s="96">
        <v>7.9190715347773084</v>
      </c>
      <c r="W94" s="96">
        <v>7.8588334862427756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7.4573682603245963</v>
      </c>
      <c r="K95" s="96">
        <v>7.5410494970348152</v>
      </c>
      <c r="L95" s="96">
        <v>7.3246219759997944</v>
      </c>
      <c r="M95" s="96">
        <v>7.3365371709073068</v>
      </c>
      <c r="N95" s="96">
        <v>7.0381256849010061</v>
      </c>
      <c r="O95" s="96">
        <v>6.5259515612546943</v>
      </c>
      <c r="P95" s="96">
        <v>6.095211995933675</v>
      </c>
      <c r="Q95" s="96">
        <v>5.6399768767078475</v>
      </c>
      <c r="R95" s="96">
        <v>5.3736828637155112</v>
      </c>
      <c r="S95" s="96">
        <v>5.29209282586333</v>
      </c>
      <c r="T95" s="96">
        <v>5.2874939727229453</v>
      </c>
      <c r="U95" s="96">
        <v>5.2529632088020604</v>
      </c>
      <c r="V95" s="96">
        <v>5.1916359086072941</v>
      </c>
      <c r="W95" s="96">
        <v>5.1092943400665627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2.4466514969593725</v>
      </c>
      <c r="O96" s="96">
        <v>2.5434277823758666</v>
      </c>
      <c r="P96" s="96">
        <v>2.1454161440886015</v>
      </c>
      <c r="Q96" s="96">
        <v>3.0863197627375949</v>
      </c>
      <c r="R96" s="96">
        <v>2.7273183625759558</v>
      </c>
      <c r="S96" s="96">
        <v>2.9493689239571115</v>
      </c>
      <c r="T96" s="96">
        <v>2.917022827617656</v>
      </c>
      <c r="U96" s="96">
        <v>2.9139290157743654</v>
      </c>
      <c r="V96" s="96">
        <v>2.8313731113385878</v>
      </c>
      <c r="W96" s="96">
        <v>2.6558993889679443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1.1136741883026875</v>
      </c>
      <c r="M97" s="96">
        <v>1.1136741883026875</v>
      </c>
      <c r="N97" s="96">
        <v>1.0947215350430386</v>
      </c>
      <c r="O97" s="96">
        <v>1.0774289191885389</v>
      </c>
      <c r="P97" s="96">
        <v>1.0705219347220909</v>
      </c>
      <c r="Q97" s="96">
        <v>1.0906791026942959</v>
      </c>
      <c r="R97" s="96">
        <v>1.2021645225968167</v>
      </c>
      <c r="S97" s="96">
        <v>1.1846295226335721</v>
      </c>
      <c r="T97" s="96">
        <v>1.1993973567937346</v>
      </c>
      <c r="U97" s="96">
        <v>1.2699113084484126</v>
      </c>
      <c r="V97" s="96">
        <v>1.2988389081860043</v>
      </c>
      <c r="W97" s="96">
        <v>1.3679466797607716</v>
      </c>
      <c r="DA97" s="171" t="s">
        <v>869</v>
      </c>
    </row>
    <row r="98" spans="1:105" ht="11.45" customHeight="1" x14ac:dyDescent="0.25">
      <c r="A98" s="109" t="s">
        <v>21</v>
      </c>
      <c r="B98" s="130">
        <v>45.461459910384669</v>
      </c>
      <c r="C98" s="130">
        <v>45.375032977183587</v>
      </c>
      <c r="D98" s="130">
        <v>44.753160255620159</v>
      </c>
      <c r="E98" s="130">
        <v>44.845577008986254</v>
      </c>
      <c r="F98" s="130">
        <v>44.623226679484269</v>
      </c>
      <c r="G98" s="130">
        <v>44.613730740643987</v>
      </c>
      <c r="H98" s="130">
        <v>44.50771357737235</v>
      </c>
      <c r="I98" s="130">
        <v>44.355388794665338</v>
      </c>
      <c r="J98" s="130">
        <v>44.20230184764025</v>
      </c>
      <c r="K98" s="130">
        <v>44.042286809937153</v>
      </c>
      <c r="L98" s="130">
        <v>43.814990039354853</v>
      </c>
      <c r="M98" s="130">
        <v>43.52640413247854</v>
      </c>
      <c r="N98" s="130">
        <v>43.291310494222095</v>
      </c>
      <c r="O98" s="130">
        <v>42.978264477527183</v>
      </c>
      <c r="P98" s="130">
        <v>43.019386997047484</v>
      </c>
      <c r="Q98" s="130">
        <v>42.651946265904293</v>
      </c>
      <c r="R98" s="130">
        <v>42.322296187644497</v>
      </c>
      <c r="S98" s="130">
        <v>42.26224142093141</v>
      </c>
      <c r="T98" s="130">
        <v>42.211607005211988</v>
      </c>
      <c r="U98" s="130">
        <v>41.856060483532509</v>
      </c>
      <c r="V98" s="130">
        <v>40.979020664737561</v>
      </c>
      <c r="W98" s="130">
        <v>40.826081246264899</v>
      </c>
      <c r="DA98" s="176" t="s">
        <v>870</v>
      </c>
    </row>
    <row r="99" spans="1:105" ht="11.45" customHeight="1" x14ac:dyDescent="0.25">
      <c r="A99" s="111" t="s">
        <v>110</v>
      </c>
      <c r="B99" s="97">
        <v>18.582448075298945</v>
      </c>
      <c r="C99" s="97">
        <v>18.582448075298945</v>
      </c>
      <c r="D99" s="97">
        <v>18.582448075298945</v>
      </c>
      <c r="E99" s="97">
        <v>18.582448075298945</v>
      </c>
      <c r="F99" s="97">
        <v>18.582448075298942</v>
      </c>
      <c r="G99" s="97">
        <v>18.582448075298945</v>
      </c>
      <c r="H99" s="97">
        <v>18.582448075298945</v>
      </c>
      <c r="I99" s="97">
        <v>18.582448075298949</v>
      </c>
      <c r="J99" s="97">
        <v>18.582448075298949</v>
      </c>
      <c r="K99" s="97">
        <v>18.582448075298945</v>
      </c>
      <c r="L99" s="97">
        <v>18.582448075298945</v>
      </c>
      <c r="M99" s="97">
        <v>18.582448075298945</v>
      </c>
      <c r="N99" s="97">
        <v>18.582448075298945</v>
      </c>
      <c r="O99" s="97">
        <v>18.582448075298942</v>
      </c>
      <c r="P99" s="97">
        <v>18.582448075298945</v>
      </c>
      <c r="Q99" s="97">
        <v>18.582448075298945</v>
      </c>
      <c r="R99" s="97">
        <v>18.582448075298945</v>
      </c>
      <c r="S99" s="97">
        <v>18.582448075298945</v>
      </c>
      <c r="T99" s="97">
        <v>18.582448075298945</v>
      </c>
      <c r="U99" s="97">
        <v>18.582448075298945</v>
      </c>
      <c r="V99" s="97">
        <v>18.582448075298945</v>
      </c>
      <c r="W99" s="97">
        <v>18.582448075298942</v>
      </c>
      <c r="DA99" s="175" t="s">
        <v>871</v>
      </c>
    </row>
    <row r="100" spans="1:105" ht="11.45" customHeight="1" x14ac:dyDescent="0.25">
      <c r="A100" s="111" t="s">
        <v>111</v>
      </c>
      <c r="B100" s="97">
        <v>50.955036959010855</v>
      </c>
      <c r="C100" s="97">
        <v>50.028672327935098</v>
      </c>
      <c r="D100" s="97">
        <v>49.840198669725154</v>
      </c>
      <c r="E100" s="97">
        <v>49.425441875661797</v>
      </c>
      <c r="F100" s="97">
        <v>48.886028155490386</v>
      </c>
      <c r="G100" s="97">
        <v>48.58093705921091</v>
      </c>
      <c r="H100" s="97">
        <v>48.293667572234952</v>
      </c>
      <c r="I100" s="97">
        <v>48.000412703475021</v>
      </c>
      <c r="J100" s="97">
        <v>47.651774171584414</v>
      </c>
      <c r="K100" s="97">
        <v>47.312145319129975</v>
      </c>
      <c r="L100" s="97">
        <v>47.027084135418797</v>
      </c>
      <c r="M100" s="97">
        <v>46.679649610948076</v>
      </c>
      <c r="N100" s="97">
        <v>46.282219445656779</v>
      </c>
      <c r="O100" s="97">
        <v>45.818372940421639</v>
      </c>
      <c r="P100" s="97">
        <v>45.528455810012538</v>
      </c>
      <c r="Q100" s="97">
        <v>45.224914631352668</v>
      </c>
      <c r="R100" s="97">
        <v>44.891239187567948</v>
      </c>
      <c r="S100" s="97">
        <v>44.743415049279996</v>
      </c>
      <c r="T100" s="97">
        <v>44.583688060524203</v>
      </c>
      <c r="U100" s="97">
        <v>44.263223397298901</v>
      </c>
      <c r="V100" s="97">
        <v>43.703696674135145</v>
      </c>
      <c r="W100" s="97">
        <v>43.378317045436191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34.519200907774355</v>
      </c>
      <c r="W101" s="97">
        <v>34.519200907774355</v>
      </c>
      <c r="DA101" s="175" t="s">
        <v>873</v>
      </c>
    </row>
    <row r="102" spans="1:105" ht="11.45" customHeight="1" x14ac:dyDescent="0.25">
      <c r="A102" s="111" t="s">
        <v>113</v>
      </c>
      <c r="B102" s="97">
        <v>43.275566650477714</v>
      </c>
      <c r="C102" s="97">
        <v>41.657734402590222</v>
      </c>
      <c r="D102" s="97">
        <v>40.323439017623301</v>
      </c>
      <c r="E102" s="97">
        <v>39.870369179098091</v>
      </c>
      <c r="F102" s="97">
        <v>39.72592866003091</v>
      </c>
      <c r="G102" s="97">
        <v>39.580713026558584</v>
      </c>
      <c r="H102" s="97">
        <v>39.426478521266311</v>
      </c>
      <c r="I102" s="97">
        <v>38.582676545556666</v>
      </c>
      <c r="J102" s="97">
        <v>38.582676545556659</v>
      </c>
      <c r="K102" s="97">
        <v>38.582676545556666</v>
      </c>
      <c r="L102" s="97">
        <v>38.582676545556659</v>
      </c>
      <c r="M102" s="97">
        <v>38.582676545556652</v>
      </c>
      <c r="N102" s="97">
        <v>38.4582922008209</v>
      </c>
      <c r="O102" s="97">
        <v>38.269092269287171</v>
      </c>
      <c r="P102" s="97">
        <v>36.348091774766303</v>
      </c>
      <c r="Q102" s="97">
        <v>35.99999999992361</v>
      </c>
      <c r="R102" s="97">
        <v>35.935133515976766</v>
      </c>
      <c r="S102" s="97">
        <v>35.412469529666843</v>
      </c>
      <c r="T102" s="97">
        <v>35.386552504406232</v>
      </c>
      <c r="U102" s="97">
        <v>35.276752106300641</v>
      </c>
      <c r="V102" s="97">
        <v>35.189658789967119</v>
      </c>
      <c r="W102" s="97">
        <v>35.152943370162284</v>
      </c>
      <c r="DA102" s="175" t="s">
        <v>874</v>
      </c>
    </row>
    <row r="103" spans="1:105" ht="11.45" customHeight="1" x14ac:dyDescent="0.25">
      <c r="A103" s="111" t="s">
        <v>115</v>
      </c>
      <c r="B103" s="97">
        <v>30.586048915120923</v>
      </c>
      <c r="C103" s="97">
        <v>30.416473624839366</v>
      </c>
      <c r="D103" s="97">
        <v>30.413910110343352</v>
      </c>
      <c r="E103" s="97">
        <v>30.413126484677566</v>
      </c>
      <c r="F103" s="97">
        <v>30.361465734255319</v>
      </c>
      <c r="G103" s="97">
        <v>30.359389452338817</v>
      </c>
      <c r="H103" s="97">
        <v>29.89549237461415</v>
      </c>
      <c r="I103" s="97">
        <v>29.892175348503034</v>
      </c>
      <c r="J103" s="97">
        <v>29.890636769618396</v>
      </c>
      <c r="K103" s="97">
        <v>29.88606031054093</v>
      </c>
      <c r="L103" s="97">
        <v>29.840404786557396</v>
      </c>
      <c r="M103" s="97">
        <v>29.833812306228374</v>
      </c>
      <c r="N103" s="97">
        <v>29.833812306228374</v>
      </c>
      <c r="O103" s="97">
        <v>29.64629145994251</v>
      </c>
      <c r="P103" s="97">
        <v>27.978223503785749</v>
      </c>
      <c r="Q103" s="97">
        <v>27.48207959094918</v>
      </c>
      <c r="R103" s="97">
        <v>27.459199233219124</v>
      </c>
      <c r="S103" s="97">
        <v>27.412411424770607</v>
      </c>
      <c r="T103" s="97">
        <v>27.364202152007824</v>
      </c>
      <c r="U103" s="97">
        <v>25.105779763600285</v>
      </c>
      <c r="V103" s="97">
        <v>24.069102356194385</v>
      </c>
      <c r="W103" s="97">
        <v>23.924423816815999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10.396263387702158</v>
      </c>
      <c r="C105" s="141">
        <v>9.7837635077059364</v>
      </c>
      <c r="D105" s="141">
        <v>9.5149419276608871</v>
      </c>
      <c r="E105" s="141">
        <v>9.3177277309784969</v>
      </c>
      <c r="F105" s="141">
        <v>9.122148294492245</v>
      </c>
      <c r="G105" s="141">
        <v>8.9410121830184934</v>
      </c>
      <c r="H105" s="141">
        <v>8.7933758185195785</v>
      </c>
      <c r="I105" s="141">
        <v>8.6797442382543384</v>
      </c>
      <c r="J105" s="141">
        <v>8.5917620241830353</v>
      </c>
      <c r="K105" s="141">
        <v>8.5269752354810624</v>
      </c>
      <c r="L105" s="141">
        <v>8.5059179095900053</v>
      </c>
      <c r="M105" s="141">
        <v>8.5088852673691733</v>
      </c>
      <c r="N105" s="141">
        <v>8.499462043732855</v>
      </c>
      <c r="O105" s="141">
        <v>8.473470675792738</v>
      </c>
      <c r="P105" s="141">
        <v>8.4447471114918784</v>
      </c>
      <c r="Q105" s="141">
        <v>8.3713253799778844</v>
      </c>
      <c r="R105" s="141">
        <v>8.2907861244936925</v>
      </c>
      <c r="S105" s="141">
        <v>8.2076562812193856</v>
      </c>
      <c r="T105" s="141">
        <v>8.1044891086517676</v>
      </c>
      <c r="U105" s="141">
        <v>8.0004004413737153</v>
      </c>
      <c r="V105" s="141">
        <v>7.9280498439845442</v>
      </c>
      <c r="W105" s="141">
        <v>7.8216454545669647</v>
      </c>
      <c r="DA105" s="174" t="s">
        <v>876</v>
      </c>
    </row>
    <row r="106" spans="1:105" ht="11.45" customHeight="1" x14ac:dyDescent="0.25">
      <c r="A106" s="111" t="s">
        <v>110</v>
      </c>
      <c r="B106" s="96">
        <v>8.5230155795573204</v>
      </c>
      <c r="C106" s="96">
        <v>8.2692774439187708</v>
      </c>
      <c r="D106" s="96">
        <v>8.1425244196109414</v>
      </c>
      <c r="E106" s="96">
        <v>8.0937762914747502</v>
      </c>
      <c r="F106" s="96">
        <v>8.0169128113020651</v>
      </c>
      <c r="G106" s="96">
        <v>7.9197505299145607</v>
      </c>
      <c r="H106" s="96">
        <v>7.8116013776687225</v>
      </c>
      <c r="I106" s="96">
        <v>7.7255151285095067</v>
      </c>
      <c r="J106" s="96">
        <v>7.6493048949740796</v>
      </c>
      <c r="K106" s="96">
        <v>7.6118824604721622</v>
      </c>
      <c r="L106" s="96">
        <v>7.5760366131821959</v>
      </c>
      <c r="M106" s="96">
        <v>7.5519002977096674</v>
      </c>
      <c r="N106" s="96">
        <v>7.528291270716049</v>
      </c>
      <c r="O106" s="96">
        <v>7.5028148594902637</v>
      </c>
      <c r="P106" s="96">
        <v>7.4242760169836162</v>
      </c>
      <c r="Q106" s="96">
        <v>7.29991898346396</v>
      </c>
      <c r="R106" s="96">
        <v>7.2036637829724102</v>
      </c>
      <c r="S106" s="96">
        <v>7.0910521271731231</v>
      </c>
      <c r="T106" s="96">
        <v>6.9781052587798635</v>
      </c>
      <c r="U106" s="96">
        <v>6.861037214246049</v>
      </c>
      <c r="V106" s="96">
        <v>6.7575475315196991</v>
      </c>
      <c r="W106" s="96">
        <v>6.6146952165717021</v>
      </c>
      <c r="DA106" s="171" t="s">
        <v>877</v>
      </c>
    </row>
    <row r="107" spans="1:105" ht="11.45" customHeight="1" x14ac:dyDescent="0.25">
      <c r="A107" s="111" t="s">
        <v>111</v>
      </c>
      <c r="B107" s="96">
        <v>10.705506798829065</v>
      </c>
      <c r="C107" s="96">
        <v>9.7334042172407376</v>
      </c>
      <c r="D107" s="96">
        <v>9.4414442090502391</v>
      </c>
      <c r="E107" s="96">
        <v>9.1865473188120816</v>
      </c>
      <c r="F107" s="96">
        <v>8.9927065782941664</v>
      </c>
      <c r="G107" s="96">
        <v>8.8601142935900583</v>
      </c>
      <c r="H107" s="96">
        <v>8.782311002362043</v>
      </c>
      <c r="I107" s="96">
        <v>8.7207200889007392</v>
      </c>
      <c r="J107" s="96">
        <v>8.6871630329158727</v>
      </c>
      <c r="K107" s="96">
        <v>8.6385253069517116</v>
      </c>
      <c r="L107" s="96">
        <v>8.6344263076467396</v>
      </c>
      <c r="M107" s="96">
        <v>8.648859238973909</v>
      </c>
      <c r="N107" s="96">
        <v>8.6250865591520078</v>
      </c>
      <c r="O107" s="96">
        <v>8.5895732706226884</v>
      </c>
      <c r="P107" s="96">
        <v>8.5541239316762212</v>
      </c>
      <c r="Q107" s="96">
        <v>8.4963694063650124</v>
      </c>
      <c r="R107" s="96">
        <v>8.4225787501952123</v>
      </c>
      <c r="S107" s="96">
        <v>8.3405169813900191</v>
      </c>
      <c r="T107" s="96">
        <v>8.2290294793238719</v>
      </c>
      <c r="U107" s="96">
        <v>8.1261534115180858</v>
      </c>
      <c r="V107" s="96">
        <v>8.0706553284253388</v>
      </c>
      <c r="W107" s="96">
        <v>7.9696237087880091</v>
      </c>
      <c r="DA107" s="171" t="s">
        <v>878</v>
      </c>
    </row>
    <row r="108" spans="1:105" ht="11.45" customHeight="1" x14ac:dyDescent="0.25">
      <c r="A108" s="111" t="s">
        <v>112</v>
      </c>
      <c r="B108" s="96">
        <v>19.209456573963017</v>
      </c>
      <c r="C108" s="96">
        <v>18.962897113876402</v>
      </c>
      <c r="D108" s="96">
        <v>18.376709028694837</v>
      </c>
      <c r="E108" s="96">
        <v>17.760096345624476</v>
      </c>
      <c r="F108" s="96">
        <v>16.968684827161589</v>
      </c>
      <c r="G108" s="96">
        <v>16.285813128663932</v>
      </c>
      <c r="H108" s="96">
        <v>15.449889624319292</v>
      </c>
      <c r="I108" s="96">
        <v>14.72168057754207</v>
      </c>
      <c r="J108" s="96">
        <v>14.361247134033565</v>
      </c>
      <c r="K108" s="96">
        <v>13.860260125695637</v>
      </c>
      <c r="L108" s="96">
        <v>13.525069100885284</v>
      </c>
      <c r="M108" s="96">
        <v>13.13960695063659</v>
      </c>
      <c r="N108" s="96">
        <v>12.845179830118157</v>
      </c>
      <c r="O108" s="96">
        <v>12.738774411887015</v>
      </c>
      <c r="P108" s="96">
        <v>12.638775183600316</v>
      </c>
      <c r="Q108" s="96">
        <v>12.516769806808963</v>
      </c>
      <c r="R108" s="96">
        <v>12.425678579856298</v>
      </c>
      <c r="S108" s="96">
        <v>12.270104917849979</v>
      </c>
      <c r="T108" s="96">
        <v>12.044175531150918</v>
      </c>
      <c r="U108" s="96">
        <v>11.96085159647239</v>
      </c>
      <c r="V108" s="96">
        <v>11.919077099626367</v>
      </c>
      <c r="W108" s="96">
        <v>11.862899986478096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10.10035754368444</v>
      </c>
      <c r="O109" s="96">
        <v>9.6606003538183245</v>
      </c>
      <c r="P109" s="96">
        <v>9.0783280289298709</v>
      </c>
      <c r="Q109" s="96">
        <v>7.6996842609740774</v>
      </c>
      <c r="R109" s="96">
        <v>8.4898941757388702</v>
      </c>
      <c r="S109" s="96">
        <v>8.1469596583666348</v>
      </c>
      <c r="T109" s="96">
        <v>7.8434593173535792</v>
      </c>
      <c r="U109" s="96">
        <v>7.6619134574503187</v>
      </c>
      <c r="V109" s="96">
        <v>7.5685422088655017</v>
      </c>
      <c r="W109" s="96">
        <v>7.5923771907255695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1.5082279761507789</v>
      </c>
      <c r="K110" s="96">
        <v>1.5080557225690727</v>
      </c>
      <c r="L110" s="96">
        <v>1.5057480124833327</v>
      </c>
      <c r="M110" s="96">
        <v>1.5044442135640732</v>
      </c>
      <c r="N110" s="96">
        <v>1.491494614317205</v>
      </c>
      <c r="O110" s="96">
        <v>1.4865420314212441</v>
      </c>
      <c r="P110" s="96">
        <v>1.4849319990320962</v>
      </c>
      <c r="Q110" s="96">
        <v>1.4989064369859297</v>
      </c>
      <c r="R110" s="96">
        <v>1.4894180188353618</v>
      </c>
      <c r="S110" s="96">
        <v>1.4796781518029645</v>
      </c>
      <c r="T110" s="96">
        <v>1.5627376616070114</v>
      </c>
      <c r="U110" s="96">
        <v>1.7077849165050007</v>
      </c>
      <c r="V110" s="96">
        <v>1.7489032031896576</v>
      </c>
      <c r="W110" s="96">
        <v>1.8999255822548637</v>
      </c>
      <c r="DA110" s="171" t="s">
        <v>881</v>
      </c>
    </row>
    <row r="111" spans="1:105" ht="11.45" customHeight="1" x14ac:dyDescent="0.25">
      <c r="A111" s="109" t="s">
        <v>158</v>
      </c>
      <c r="B111" s="130">
        <v>29.237409649178328</v>
      </c>
      <c r="C111" s="130">
        <v>29.189606497288306</v>
      </c>
      <c r="D111" s="130">
        <v>29.119191078135231</v>
      </c>
      <c r="E111" s="130">
        <v>29.143391995653605</v>
      </c>
      <c r="F111" s="130">
        <v>29.176523500584636</v>
      </c>
      <c r="G111" s="130">
        <v>29.067482233234628</v>
      </c>
      <c r="H111" s="130">
        <v>28.893568615562014</v>
      </c>
      <c r="I111" s="130">
        <v>28.646229193023334</v>
      </c>
      <c r="J111" s="130">
        <v>28.414463770127973</v>
      </c>
      <c r="K111" s="130">
        <v>28.313999506464395</v>
      </c>
      <c r="L111" s="130">
        <v>28.085474633050968</v>
      </c>
      <c r="M111" s="130">
        <v>27.769042369950775</v>
      </c>
      <c r="N111" s="130">
        <v>27.246972770413823</v>
      </c>
      <c r="O111" s="130">
        <v>26.860044058348866</v>
      </c>
      <c r="P111" s="130">
        <v>26.500700610920148</v>
      </c>
      <c r="Q111" s="130">
        <v>25.934140813856853</v>
      </c>
      <c r="R111" s="130">
        <v>25.557264681082319</v>
      </c>
      <c r="S111" s="130">
        <v>25.189488715249556</v>
      </c>
      <c r="T111" s="130">
        <v>24.815965038781183</v>
      </c>
      <c r="U111" s="130">
        <v>24.369787771728067</v>
      </c>
      <c r="V111" s="130">
        <v>23.849493192878331</v>
      </c>
      <c r="W111" s="130">
        <v>23.504278867235179</v>
      </c>
      <c r="DA111" s="176" t="s">
        <v>882</v>
      </c>
    </row>
    <row r="112" spans="1:105" ht="11.45" customHeight="1" x14ac:dyDescent="0.25">
      <c r="A112" s="128" t="s">
        <v>27</v>
      </c>
      <c r="B112" s="97">
        <v>28.657284409153245</v>
      </c>
      <c r="C112" s="97">
        <v>28.591480117022531</v>
      </c>
      <c r="D112" s="97">
        <v>28.49984175018993</v>
      </c>
      <c r="E112" s="97">
        <v>28.466510895781497</v>
      </c>
      <c r="F112" s="97">
        <v>28.425679189567656</v>
      </c>
      <c r="G112" s="97">
        <v>28.295438088639287</v>
      </c>
      <c r="H112" s="97">
        <v>28.077380807498482</v>
      </c>
      <c r="I112" s="97">
        <v>27.833638024337677</v>
      </c>
      <c r="J112" s="97">
        <v>27.600544794851459</v>
      </c>
      <c r="K112" s="97">
        <v>27.497761471853238</v>
      </c>
      <c r="L112" s="97">
        <v>27.172689484836688</v>
      </c>
      <c r="M112" s="97">
        <v>26.779916221619192</v>
      </c>
      <c r="N112" s="97">
        <v>26.29112597852194</v>
      </c>
      <c r="O112" s="97">
        <v>25.818430223572136</v>
      </c>
      <c r="P112" s="97">
        <v>25.478891243714443</v>
      </c>
      <c r="Q112" s="97">
        <v>24.927418789529863</v>
      </c>
      <c r="R112" s="97">
        <v>24.621467860058516</v>
      </c>
      <c r="S112" s="97">
        <v>24.310628190025952</v>
      </c>
      <c r="T112" s="97">
        <v>24.023154807668504</v>
      </c>
      <c r="U112" s="97">
        <v>23.590566782398493</v>
      </c>
      <c r="V112" s="97">
        <v>22.958891203192344</v>
      </c>
      <c r="W112" s="97">
        <v>22.562361106447948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36.476213536818577</v>
      </c>
      <c r="D113" s="98">
        <v>36.267466464032779</v>
      </c>
      <c r="E113" s="98">
        <v>36.139711232737142</v>
      </c>
      <c r="F113" s="98">
        <v>35.564491142661218</v>
      </c>
      <c r="G113" s="98">
        <v>35.392558240329166</v>
      </c>
      <c r="H113" s="98">
        <v>35.178880560472209</v>
      </c>
      <c r="I113" s="98">
        <v>34.993258461563627</v>
      </c>
      <c r="J113" s="98">
        <v>34.926044651702675</v>
      </c>
      <c r="K113" s="98">
        <v>34.863105094969598</v>
      </c>
      <c r="L113" s="98">
        <v>34.453757967960456</v>
      </c>
      <c r="M113" s="98">
        <v>34.043270021177854</v>
      </c>
      <c r="N113" s="98">
        <v>33.867556884697244</v>
      </c>
      <c r="O113" s="98">
        <v>33.200755194289229</v>
      </c>
      <c r="P113" s="98">
        <v>32.950997664355633</v>
      </c>
      <c r="Q113" s="98">
        <v>32.3634755701828</v>
      </c>
      <c r="R113" s="98">
        <v>32.187486955345427</v>
      </c>
      <c r="S113" s="98">
        <v>31.891004681174056</v>
      </c>
      <c r="T113" s="98">
        <v>31.707514579023847</v>
      </c>
      <c r="U113" s="98">
        <v>31.090812070817375</v>
      </c>
      <c r="V113" s="98">
        <v>29.92336557295766</v>
      </c>
      <c r="W113" s="98">
        <v>29.336974641452628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1.0725000000065619</v>
      </c>
      <c r="C117" s="150">
        <f>IF(TrRoad_act!C59=0,0,TrRoad_ene!C62/TrRoad_tech!C90)</f>
        <v>1.0726241562992964</v>
      </c>
      <c r="D117" s="150">
        <f>IF(TrRoad_act!D59=0,0,TrRoad_ene!D62/TrRoad_tech!D90)</f>
        <v>1.0728732834752184</v>
      </c>
      <c r="E117" s="150">
        <f>IF(TrRoad_act!E59=0,0,TrRoad_ene!E62/TrRoad_tech!E90)</f>
        <v>1.0729673297341338</v>
      </c>
      <c r="F117" s="150">
        <f>IF(TrRoad_act!F59=0,0,TrRoad_ene!F62/TrRoad_tech!F90)</f>
        <v>1.0735033191582708</v>
      </c>
      <c r="G117" s="150">
        <f>IF(TrRoad_act!G59=0,0,TrRoad_ene!G62/TrRoad_tech!G90)</f>
        <v>1.0757866224164336</v>
      </c>
      <c r="H117" s="150">
        <f>IF(TrRoad_act!H59=0,0,TrRoad_ene!H62/TrRoad_tech!H90)</f>
        <v>1.0779257793645665</v>
      </c>
      <c r="I117" s="150">
        <f>IF(TrRoad_act!I59=0,0,TrRoad_ene!I62/TrRoad_tech!I90)</f>
        <v>1.0808284200730358</v>
      </c>
      <c r="J117" s="150">
        <f>IF(TrRoad_act!J59=0,0,TrRoad_ene!J62/TrRoad_tech!J90)</f>
        <v>1.0837972988933455</v>
      </c>
      <c r="K117" s="150">
        <f>IF(TrRoad_act!K59=0,0,TrRoad_ene!K62/TrRoad_tech!K90)</f>
        <v>1.0854629365353532</v>
      </c>
      <c r="L117" s="150">
        <f>IF(TrRoad_act!L59=0,0,TrRoad_ene!L62/TrRoad_tech!L90)</f>
        <v>1.088781101424741</v>
      </c>
      <c r="M117" s="150">
        <f>IF(TrRoad_act!M59=0,0,TrRoad_ene!M62/TrRoad_tech!M90)</f>
        <v>1.0923425160443669</v>
      </c>
      <c r="N117" s="150">
        <f>IF(TrRoad_act!N59=0,0,TrRoad_ene!N62/TrRoad_tech!N90)</f>
        <v>1.0971711054533173</v>
      </c>
      <c r="O117" s="150">
        <f>IF(TrRoad_act!O59=0,0,TrRoad_ene!O62/TrRoad_tech!O90)</f>
        <v>1.0994371055879264</v>
      </c>
      <c r="P117" s="150">
        <f>IF(TrRoad_act!P59=0,0,TrRoad_ene!P62/TrRoad_tech!P90)</f>
        <v>1.104168248212031</v>
      </c>
      <c r="Q117" s="150">
        <f>IF(TrRoad_act!Q59=0,0,TrRoad_ene!Q62/TrRoad_tech!Q90)</f>
        <v>1.1130405647232797</v>
      </c>
      <c r="R117" s="150">
        <f>IF(TrRoad_act!R59=0,0,TrRoad_ene!R62/TrRoad_tech!R90)</f>
        <v>1.1193146972521832</v>
      </c>
      <c r="S117" s="150">
        <f>IF(TrRoad_act!S59=0,0,TrRoad_ene!S62/TrRoad_tech!S90)</f>
        <v>1.1259510132113419</v>
      </c>
      <c r="T117" s="150">
        <f>IF(TrRoad_act!T59=0,0,TrRoad_ene!T62/TrRoad_tech!T90)</f>
        <v>1.1334140085769417</v>
      </c>
      <c r="U117" s="150">
        <f>IF(TrRoad_act!U59=0,0,TrRoad_ene!U62/TrRoad_tech!U90)</f>
        <v>1.1416167163555027</v>
      </c>
      <c r="V117" s="150">
        <f>IF(TrRoad_act!V59=0,0,TrRoad_ene!V62/TrRoad_tech!V90)</f>
        <v>1.1505630448930428</v>
      </c>
      <c r="W117" s="150">
        <f>IF(TrRoad_act!W59=0,0,TrRoad_ene!W62/TrRoad_tech!W90)</f>
        <v>1.1527736217762647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1.0215323333821107</v>
      </c>
      <c r="C118" s="151">
        <f>IF(TrRoad_act!C60=0,0,TrRoad_ene!C63/TrRoad_tech!C91)</f>
        <v>1.007675524818983</v>
      </c>
      <c r="D118" s="151">
        <f>IF(TrRoad_act!D60=0,0,TrRoad_ene!D63/TrRoad_tech!D91)</f>
        <v>1.0034549635059624</v>
      </c>
      <c r="E118" s="151">
        <f>IF(TrRoad_act!E60=0,0,TrRoad_ene!E63/TrRoad_tech!E91)</f>
        <v>1.0002357943706859</v>
      </c>
      <c r="F118" s="151">
        <f>IF(TrRoad_act!F60=0,0,TrRoad_ene!F63/TrRoad_tech!F91)</f>
        <v>0.99814753429396874</v>
      </c>
      <c r="G118" s="151">
        <f>IF(TrRoad_act!G60=0,0,TrRoad_ene!G63/TrRoad_tech!G91)</f>
        <v>0.99513736221888849</v>
      </c>
      <c r="H118" s="151">
        <f>IF(TrRoad_act!H60=0,0,TrRoad_ene!H63/TrRoad_tech!H91)</f>
        <v>0.99741868057042582</v>
      </c>
      <c r="I118" s="151">
        <f>IF(TrRoad_act!I60=0,0,TrRoad_ene!I63/TrRoad_tech!I91)</f>
        <v>1.0011905328486874</v>
      </c>
      <c r="J118" s="151">
        <f>IF(TrRoad_act!J60=0,0,TrRoad_ene!J63/TrRoad_tech!J91)</f>
        <v>1.0039636667768468</v>
      </c>
      <c r="K118" s="151">
        <f>IF(TrRoad_act!K60=0,0,TrRoad_ene!K63/TrRoad_tech!K91)</f>
        <v>1.0060532025667055</v>
      </c>
      <c r="L118" s="151">
        <f>IF(TrRoad_act!L60=0,0,TrRoad_ene!L63/TrRoad_tech!L91)</f>
        <v>0.99751940330889388</v>
      </c>
      <c r="M118" s="151">
        <f>IF(TrRoad_act!M60=0,0,TrRoad_ene!M63/TrRoad_tech!M91)</f>
        <v>0.99958238510994657</v>
      </c>
      <c r="N118" s="151">
        <f>IF(TrRoad_act!N60=0,0,TrRoad_ene!N63/TrRoad_tech!N91)</f>
        <v>1.0009593314901286</v>
      </c>
      <c r="O118" s="151">
        <f>IF(TrRoad_act!O60=0,0,TrRoad_ene!O63/TrRoad_tech!O91)</f>
        <v>1.0020812716099958</v>
      </c>
      <c r="P118" s="151">
        <f>IF(TrRoad_act!P60=0,0,TrRoad_ene!P63/TrRoad_tech!P91)</f>
        <v>1.0030551218884716</v>
      </c>
      <c r="Q118" s="151">
        <f>IF(TrRoad_act!Q60=0,0,TrRoad_ene!Q63/TrRoad_tech!Q91)</f>
        <v>1.006594935410269</v>
      </c>
      <c r="R118" s="151">
        <f>IF(TrRoad_act!R60=0,0,TrRoad_ene!R63/TrRoad_tech!R91)</f>
        <v>1.0084770868206416</v>
      </c>
      <c r="S118" s="151">
        <f>IF(TrRoad_act!S60=0,0,TrRoad_ene!S63/TrRoad_tech!S91)</f>
        <v>1.0131547992739758</v>
      </c>
      <c r="T118" s="151">
        <f>IF(TrRoad_act!T60=0,0,TrRoad_ene!T63/TrRoad_tech!T91)</f>
        <v>1.0195271070385936</v>
      </c>
      <c r="U118" s="151">
        <f>IF(TrRoad_act!U60=0,0,TrRoad_ene!U63/TrRoad_tech!U91)</f>
        <v>1.0242226319104863</v>
      </c>
      <c r="V118" s="151">
        <f>IF(TrRoad_act!V60=0,0,TrRoad_ene!V63/TrRoad_tech!V91)</f>
        <v>1.0259781731078343</v>
      </c>
      <c r="W118" s="151">
        <f>IF(TrRoad_act!W60=0,0,TrRoad_ene!W63/TrRoad_tech!W91)</f>
        <v>1.0265688459397033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1.0278733597888334</v>
      </c>
      <c r="C119" s="91">
        <f>IF(TrRoad_act!C61=0,0,TrRoad_ene!C64/TrRoad_tech!C92)</f>
        <v>1.0280920646714451</v>
      </c>
      <c r="D119" s="91">
        <f>IF(TrRoad_act!D61=0,0,TrRoad_ene!D64/TrRoad_tech!D92)</f>
        <v>1.0280144177040755</v>
      </c>
      <c r="E119" s="91">
        <f>IF(TrRoad_act!E61=0,0,TrRoad_ene!E64/TrRoad_tech!E92)</f>
        <v>1.0296906709973486</v>
      </c>
      <c r="F119" s="91">
        <f>IF(TrRoad_act!F61=0,0,TrRoad_ene!F64/TrRoad_tech!F92)</f>
        <v>1.0297531023068955</v>
      </c>
      <c r="G119" s="91">
        <f>IF(TrRoad_act!G61=0,0,TrRoad_ene!G64/TrRoad_tech!G92)</f>
        <v>1.0301020687491833</v>
      </c>
      <c r="H119" s="91">
        <f>IF(TrRoad_act!H61=0,0,TrRoad_ene!H64/TrRoad_tech!H92)</f>
        <v>1.0306882968905342</v>
      </c>
      <c r="I119" s="91">
        <f>IF(TrRoad_act!I61=0,0,TrRoad_ene!I64/TrRoad_tech!I92)</f>
        <v>1.0315992531991272</v>
      </c>
      <c r="J119" s="91">
        <f>IF(TrRoad_act!J61=0,0,TrRoad_ene!J64/TrRoad_tech!J92)</f>
        <v>1.0324375014636569</v>
      </c>
      <c r="K119" s="91">
        <f>IF(TrRoad_act!K61=0,0,TrRoad_ene!K64/TrRoad_tech!K92)</f>
        <v>1.0334448065280546</v>
      </c>
      <c r="L119" s="91">
        <f>IF(TrRoad_act!L61=0,0,TrRoad_ene!L64/TrRoad_tech!L92)</f>
        <v>1.0224033304406308</v>
      </c>
      <c r="M119" s="91">
        <f>IF(TrRoad_act!M61=0,0,TrRoad_ene!M64/TrRoad_tech!M92)</f>
        <v>1.0247130322892413</v>
      </c>
      <c r="N119" s="91">
        <f>IF(TrRoad_act!N61=0,0,TrRoad_ene!N64/TrRoad_tech!N92)</f>
        <v>1.025764807156363</v>
      </c>
      <c r="O119" s="91">
        <f>IF(TrRoad_act!O61=0,0,TrRoad_ene!O64/TrRoad_tech!O92)</f>
        <v>1.0277080117753454</v>
      </c>
      <c r="P119" s="91">
        <f>IF(TrRoad_act!P61=0,0,TrRoad_ene!P64/TrRoad_tech!P92)</f>
        <v>1.0288995713046729</v>
      </c>
      <c r="Q119" s="91">
        <f>IF(TrRoad_act!Q61=0,0,TrRoad_ene!Q64/TrRoad_tech!Q92)</f>
        <v>1.0316758633606224</v>
      </c>
      <c r="R119" s="91">
        <f>IF(TrRoad_act!R61=0,0,TrRoad_ene!R64/TrRoad_tech!R92)</f>
        <v>1.0344131850026699</v>
      </c>
      <c r="S119" s="91">
        <f>IF(TrRoad_act!S61=0,0,TrRoad_ene!S64/TrRoad_tech!S92)</f>
        <v>1.0373838492751586</v>
      </c>
      <c r="T119" s="91">
        <f>IF(TrRoad_act!T61=0,0,TrRoad_ene!T64/TrRoad_tech!T92)</f>
        <v>1.0417571401853878</v>
      </c>
      <c r="U119" s="91">
        <f>IF(TrRoad_act!U61=0,0,TrRoad_ene!U64/TrRoad_tech!U92)</f>
        <v>1.0448480924675789</v>
      </c>
      <c r="V119" s="91">
        <f>IF(TrRoad_act!V61=0,0,TrRoad_ene!V64/TrRoad_tech!V92)</f>
        <v>1.0483394820164649</v>
      </c>
      <c r="W119" s="91">
        <f>IF(TrRoad_act!W61=0,0,TrRoad_ene!W64/TrRoad_tech!W92)</f>
        <v>1.049867655186165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1.0278733597888332</v>
      </c>
      <c r="C120" s="91">
        <f>IF(TrRoad_act!C62=0,0,TrRoad_ene!C65/TrRoad_tech!C93)</f>
        <v>1.0282082692306835</v>
      </c>
      <c r="D120" s="91">
        <f>IF(TrRoad_act!D62=0,0,TrRoad_ene!D65/TrRoad_tech!D93)</f>
        <v>1.0283553788867559</v>
      </c>
      <c r="E120" s="91">
        <f>IF(TrRoad_act!E62=0,0,TrRoad_ene!E65/TrRoad_tech!E93)</f>
        <v>1.0302813531007153</v>
      </c>
      <c r="F120" s="91">
        <f>IF(TrRoad_act!F62=0,0,TrRoad_ene!F65/TrRoad_tech!F93)</f>
        <v>1.0306715810042268</v>
      </c>
      <c r="G120" s="91">
        <f>IF(TrRoad_act!G62=0,0,TrRoad_ene!G65/TrRoad_tech!G93)</f>
        <v>1.0314704739620135</v>
      </c>
      <c r="H120" s="91">
        <f>IF(TrRoad_act!H62=0,0,TrRoad_ene!H65/TrRoad_tech!H93)</f>
        <v>1.0326113265303951</v>
      </c>
      <c r="I120" s="91">
        <f>IF(TrRoad_act!I62=0,0,TrRoad_ene!I65/TrRoad_tech!I93)</f>
        <v>1.0341483892450953</v>
      </c>
      <c r="J120" s="91">
        <f>IF(TrRoad_act!J62=0,0,TrRoad_ene!J65/TrRoad_tech!J93)</f>
        <v>1.0354209667943428</v>
      </c>
      <c r="K120" s="91">
        <f>IF(TrRoad_act!K62=0,0,TrRoad_ene!K65/TrRoad_tech!K93)</f>
        <v>1.0367025209280618</v>
      </c>
      <c r="L120" s="91">
        <f>IF(TrRoad_act!L62=0,0,TrRoad_ene!L65/TrRoad_tech!L93)</f>
        <v>1.0259024984305667</v>
      </c>
      <c r="M120" s="91">
        <f>IF(TrRoad_act!M62=0,0,TrRoad_ene!M65/TrRoad_tech!M93)</f>
        <v>1.0284348616762979</v>
      </c>
      <c r="N120" s="91">
        <f>IF(TrRoad_act!N62=0,0,TrRoad_ene!N65/TrRoad_tech!N93)</f>
        <v>1.0296840531908451</v>
      </c>
      <c r="O120" s="91">
        <f>IF(TrRoad_act!O62=0,0,TrRoad_ene!O65/TrRoad_tech!O93)</f>
        <v>1.0325811037570787</v>
      </c>
      <c r="P120" s="91">
        <f>IF(TrRoad_act!P62=0,0,TrRoad_ene!P65/TrRoad_tech!P93)</f>
        <v>1.033887608884738</v>
      </c>
      <c r="Q120" s="91">
        <f>IF(TrRoad_act!Q62=0,0,TrRoad_ene!Q65/TrRoad_tech!Q93)</f>
        <v>1.0365668905262684</v>
      </c>
      <c r="R120" s="91">
        <f>IF(TrRoad_act!R62=0,0,TrRoad_ene!R65/TrRoad_tech!R93)</f>
        <v>1.0388484764883288</v>
      </c>
      <c r="S120" s="91">
        <f>IF(TrRoad_act!S62=0,0,TrRoad_ene!S65/TrRoad_tech!S93)</f>
        <v>1.0413144498400271</v>
      </c>
      <c r="T120" s="91">
        <f>IF(TrRoad_act!T62=0,0,TrRoad_ene!T65/TrRoad_tech!T93)</f>
        <v>1.0440257382858742</v>
      </c>
      <c r="U120" s="91">
        <f>IF(TrRoad_act!U62=0,0,TrRoad_ene!U65/TrRoad_tech!U93)</f>
        <v>1.0461966874263389</v>
      </c>
      <c r="V120" s="91">
        <f>IF(TrRoad_act!V62=0,0,TrRoad_ene!V65/TrRoad_tech!V93)</f>
        <v>1.0496174446966144</v>
      </c>
      <c r="W120" s="91">
        <f>IF(TrRoad_act!W62=0,0,TrRoad_ene!W65/TrRoad_tech!W93)</f>
        <v>1.0512937684122188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1.0230940197504197</v>
      </c>
      <c r="C121" s="91">
        <f>IF(TrRoad_act!C63=0,0,TrRoad_ene!C66/TrRoad_tech!C94)</f>
        <v>1.0132003263515017</v>
      </c>
      <c r="D121" s="91">
        <f>IF(TrRoad_act!D63=0,0,TrRoad_ene!D66/TrRoad_tech!D94)</f>
        <v>1.0218505274166942</v>
      </c>
      <c r="E121" s="91">
        <f>IF(TrRoad_act!E63=0,0,TrRoad_ene!E66/TrRoad_tech!E94)</f>
        <v>0.93862682013527654</v>
      </c>
      <c r="F121" s="91">
        <f>IF(TrRoad_act!F63=0,0,TrRoad_ene!F66/TrRoad_tech!F94)</f>
        <v>0.94882530094667739</v>
      </c>
      <c r="G121" s="91">
        <f>IF(TrRoad_act!G63=0,0,TrRoad_ene!G66/TrRoad_tech!G94)</f>
        <v>0.95010433668039462</v>
      </c>
      <c r="H121" s="91">
        <f>IF(TrRoad_act!H63=0,0,TrRoad_ene!H66/TrRoad_tech!H94)</f>
        <v>0.95179319522675387</v>
      </c>
      <c r="I121" s="91">
        <f>IF(TrRoad_act!I63=0,0,TrRoad_ene!I66/TrRoad_tech!I94)</f>
        <v>0.94809066601338932</v>
      </c>
      <c r="J121" s="91">
        <f>IF(TrRoad_act!J63=0,0,TrRoad_ene!J66/TrRoad_tech!J94)</f>
        <v>0.949986538801743</v>
      </c>
      <c r="K121" s="91">
        <f>IF(TrRoad_act!K63=0,0,TrRoad_ene!K66/TrRoad_tech!K94)</f>
        <v>0.95033346070427782</v>
      </c>
      <c r="L121" s="91">
        <f>IF(TrRoad_act!L63=0,0,TrRoad_ene!L66/TrRoad_tech!L94)</f>
        <v>0.95099367870400753</v>
      </c>
      <c r="M121" s="91">
        <f>IF(TrRoad_act!M63=0,0,TrRoad_ene!M66/TrRoad_tech!M94)</f>
        <v>0.9512491783987882</v>
      </c>
      <c r="N121" s="91">
        <f>IF(TrRoad_act!N63=0,0,TrRoad_ene!N66/TrRoad_tech!N94)</f>
        <v>0.95108987596685468</v>
      </c>
      <c r="O121" s="91">
        <f>IF(TrRoad_act!O63=0,0,TrRoad_ene!O66/TrRoad_tech!O94)</f>
        <v>0.95218755331934235</v>
      </c>
      <c r="P121" s="91">
        <f>IF(TrRoad_act!P63=0,0,TrRoad_ene!P66/TrRoad_tech!P94)</f>
        <v>0.95627645648795023</v>
      </c>
      <c r="Q121" s="91">
        <f>IF(TrRoad_act!Q63=0,0,TrRoad_ene!Q66/TrRoad_tech!Q94)</f>
        <v>0.97118817507335153</v>
      </c>
      <c r="R121" s="91">
        <f>IF(TrRoad_act!R63=0,0,TrRoad_ene!R66/TrRoad_tech!R94)</f>
        <v>0.97037560611176721</v>
      </c>
      <c r="S121" s="91">
        <f>IF(TrRoad_act!S63=0,0,TrRoad_ene!S66/TrRoad_tech!S94)</f>
        <v>1.0328513932206085</v>
      </c>
      <c r="T121" s="91">
        <f>IF(TrRoad_act!T63=0,0,TrRoad_ene!T66/TrRoad_tech!T94)</f>
        <v>1.0421610986146452</v>
      </c>
      <c r="U121" s="91">
        <f>IF(TrRoad_act!U63=0,0,TrRoad_ene!U66/TrRoad_tech!U94)</f>
        <v>1.0425595103299363</v>
      </c>
      <c r="V121" s="91">
        <f>IF(TrRoad_act!V63=0,0,TrRoad_ene!V66/TrRoad_tech!V94)</f>
        <v>1.0081348479545178</v>
      </c>
      <c r="W121" s="91">
        <f>IF(TrRoad_act!W63=0,0,TrRoad_ene!W66/TrRoad_tech!W94)</f>
        <v>1.0309716855025792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1.0470370370414099</v>
      </c>
      <c r="K122" s="91">
        <f>IF(TrRoad_act!K64=0,0,TrRoad_ene!K67/TrRoad_tech!K95)</f>
        <v>1.048535973039346</v>
      </c>
      <c r="L122" s="91">
        <f>IF(TrRoad_act!L64=0,0,TrRoad_ene!L67/TrRoad_tech!L95)</f>
        <v>1.0506428096259826</v>
      </c>
      <c r="M122" s="91">
        <f>IF(TrRoad_act!M64=0,0,TrRoad_ene!M67/TrRoad_tech!M95)</f>
        <v>1.0532237846235348</v>
      </c>
      <c r="N122" s="91">
        <f>IF(TrRoad_act!N64=0,0,TrRoad_ene!N67/TrRoad_tech!N95)</f>
        <v>1.0563725008172964</v>
      </c>
      <c r="O122" s="91">
        <f>IF(TrRoad_act!O64=0,0,TrRoad_ene!O67/TrRoad_tech!O95)</f>
        <v>1.060973244647907</v>
      </c>
      <c r="P122" s="91">
        <f>IF(TrRoad_act!P64=0,0,TrRoad_ene!P67/TrRoad_tech!P95)</f>
        <v>1.0649332191927199</v>
      </c>
      <c r="Q122" s="91">
        <f>IF(TrRoad_act!Q64=0,0,TrRoad_ene!Q67/TrRoad_tech!Q95)</f>
        <v>1.0705891760505912</v>
      </c>
      <c r="R122" s="91">
        <f>IF(TrRoad_act!R64=0,0,TrRoad_ene!R67/TrRoad_tech!R95)</f>
        <v>1.0774146857983142</v>
      </c>
      <c r="S122" s="91">
        <f>IF(TrRoad_act!S64=0,0,TrRoad_ene!S67/TrRoad_tech!S95)</f>
        <v>1.0802115053692285</v>
      </c>
      <c r="T122" s="91">
        <f>IF(TrRoad_act!T64=0,0,TrRoad_ene!T67/TrRoad_tech!T95)</f>
        <v>1.0829209223056999</v>
      </c>
      <c r="U122" s="91">
        <f>IF(TrRoad_act!U64=0,0,TrRoad_ene!U67/TrRoad_tech!U95)</f>
        <v>1.0841376696195812</v>
      </c>
      <c r="V122" s="91">
        <f>IF(TrRoad_act!V64=0,0,TrRoad_ene!V67/TrRoad_tech!V95)</f>
        <v>1.0857404681848641</v>
      </c>
      <c r="W122" s="91">
        <f>IF(TrRoad_act!W64=0,0,TrRoad_ene!W67/TrRoad_tech!W95)</f>
        <v>1.0874169946403616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1.058658588864791</v>
      </c>
      <c r="O123" s="91">
        <f>IF(TrRoad_act!O65=0,0,TrRoad_ene!O68/TrRoad_tech!O96)</f>
        <v>1.0612728219758008</v>
      </c>
      <c r="P123" s="91">
        <f>IF(TrRoad_act!P65=0,0,TrRoad_ene!P68/TrRoad_tech!P96)</f>
        <v>1.0671924414154421</v>
      </c>
      <c r="Q123" s="91">
        <f>IF(TrRoad_act!Q65=0,0,TrRoad_ene!Q68/TrRoad_tech!Q96)</f>
        <v>1.0736208253338735</v>
      </c>
      <c r="R123" s="91">
        <f>IF(TrRoad_act!R65=0,0,TrRoad_ene!R68/TrRoad_tech!R96)</f>
        <v>1.0759636727027504</v>
      </c>
      <c r="S123" s="91">
        <f>IF(TrRoad_act!S65=0,0,TrRoad_ene!S68/TrRoad_tech!S96)</f>
        <v>1.079012278843744</v>
      </c>
      <c r="T123" s="91">
        <f>IF(TrRoad_act!T65=0,0,TrRoad_ene!T68/TrRoad_tech!T96)</f>
        <v>1.0815091118026954</v>
      </c>
      <c r="U123" s="91">
        <f>IF(TrRoad_act!U65=0,0,TrRoad_ene!U68/TrRoad_tech!U96)</f>
        <v>1.0839127011151704</v>
      </c>
      <c r="V123" s="91">
        <f>IF(TrRoad_act!V65=0,0,TrRoad_ene!V68/TrRoad_tech!V96)</f>
        <v>1.0895804431183844</v>
      </c>
      <c r="W123" s="91">
        <f>IF(TrRoad_act!W65=0,0,TrRoad_ene!W68/TrRoad_tech!W96)</f>
        <v>1.0911112921813513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1.0555555555604401</v>
      </c>
      <c r="M124" s="91">
        <f>IF(TrRoad_act!M66=0,0,TrRoad_ene!M69/TrRoad_tech!M97)</f>
        <v>1.059919672460411</v>
      </c>
      <c r="N124" s="91">
        <f>IF(TrRoad_act!N66=0,0,TrRoad_ene!N69/TrRoad_tech!N97)</f>
        <v>1.0611907625803096</v>
      </c>
      <c r="O124" s="91">
        <f>IF(TrRoad_act!O66=0,0,TrRoad_ene!O69/TrRoad_tech!O97)</f>
        <v>1.0680667219484679</v>
      </c>
      <c r="P124" s="91">
        <f>IF(TrRoad_act!P66=0,0,TrRoad_ene!P69/TrRoad_tech!P97)</f>
        <v>1.0720340819930947</v>
      </c>
      <c r="Q124" s="91">
        <f>IF(TrRoad_act!Q66=0,0,TrRoad_ene!Q69/TrRoad_tech!Q97)</f>
        <v>1.0770342748221446</v>
      </c>
      <c r="R124" s="91">
        <f>IF(TrRoad_act!R66=0,0,TrRoad_ene!R69/TrRoad_tech!R97)</f>
        <v>1.0832076606432626</v>
      </c>
      <c r="S124" s="91">
        <f>IF(TrRoad_act!S66=0,0,TrRoad_ene!S69/TrRoad_tech!S97)</f>
        <v>1.0868647865730949</v>
      </c>
      <c r="T124" s="91">
        <f>IF(TrRoad_act!T66=0,0,TrRoad_ene!T69/TrRoad_tech!T97)</f>
        <v>1.0889071675732827</v>
      </c>
      <c r="U124" s="91">
        <f>IF(TrRoad_act!U66=0,0,TrRoad_ene!U69/TrRoad_tech!U97)</f>
        <v>1.0910250773322527</v>
      </c>
      <c r="V124" s="91">
        <f>IF(TrRoad_act!V66=0,0,TrRoad_ene!V69/TrRoad_tech!V97)</f>
        <v>1.0944922553951293</v>
      </c>
      <c r="W124" s="91">
        <f>IF(TrRoad_act!W66=0,0,TrRoad_ene!W69/TrRoad_tech!W97)</f>
        <v>1.0964835827540134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1.1556523647339414</v>
      </c>
      <c r="C125" s="151">
        <f>IF(TrRoad_act!C67=0,0,TrRoad_ene!C70/TrRoad_tech!C98)</f>
        <v>1.1456019435836349</v>
      </c>
      <c r="D125" s="151">
        <f>IF(TrRoad_act!D67=0,0,TrRoad_ene!D70/TrRoad_tech!D98)</f>
        <v>1.1523530862354485</v>
      </c>
      <c r="E125" s="151">
        <f>IF(TrRoad_act!E67=0,0,TrRoad_ene!E70/TrRoad_tech!E98)</f>
        <v>1.1436708116132692</v>
      </c>
      <c r="F125" s="151">
        <f>IF(TrRoad_act!F67=0,0,TrRoad_ene!F70/TrRoad_tech!F98)</f>
        <v>1.1462110538583485</v>
      </c>
      <c r="G125" s="151">
        <f>IF(TrRoad_act!G67=0,0,TrRoad_ene!G70/TrRoad_tech!G98)</f>
        <v>1.1405846404547382</v>
      </c>
      <c r="H125" s="151">
        <f>IF(TrRoad_act!H67=0,0,TrRoad_ene!H70/TrRoad_tech!H98)</f>
        <v>1.1555192448122711</v>
      </c>
      <c r="I125" s="151">
        <f>IF(TrRoad_act!I67=0,0,TrRoad_ene!I70/TrRoad_tech!I98)</f>
        <v>1.1460754350698497</v>
      </c>
      <c r="J125" s="151">
        <f>IF(TrRoad_act!J67=0,0,TrRoad_ene!J70/TrRoad_tech!J98)</f>
        <v>1.1506561015358727</v>
      </c>
      <c r="K125" s="151">
        <f>IF(TrRoad_act!K67=0,0,TrRoad_ene!K70/TrRoad_tech!K98)</f>
        <v>1.158420175105201</v>
      </c>
      <c r="L125" s="151">
        <f>IF(TrRoad_act!L67=0,0,TrRoad_ene!L70/TrRoad_tech!L98)</f>
        <v>1.1710017043877374</v>
      </c>
      <c r="M125" s="151">
        <f>IF(TrRoad_act!M67=0,0,TrRoad_ene!M70/TrRoad_tech!M98)</f>
        <v>1.1821599544290147</v>
      </c>
      <c r="N125" s="151">
        <f>IF(TrRoad_act!N67=0,0,TrRoad_ene!N70/TrRoad_tech!N98)</f>
        <v>1.1959857523642274</v>
      </c>
      <c r="O125" s="151">
        <f>IF(TrRoad_act!O67=0,0,TrRoad_ene!O70/TrRoad_tech!O98)</f>
        <v>1.2126430708071574</v>
      </c>
      <c r="P125" s="151">
        <f>IF(TrRoad_act!P67=0,0,TrRoad_ene!P70/TrRoad_tech!P98)</f>
        <v>1.2544275965516236</v>
      </c>
      <c r="Q125" s="151">
        <f>IF(TrRoad_act!Q67=0,0,TrRoad_ene!Q70/TrRoad_tech!Q98)</f>
        <v>1.2840208037788801</v>
      </c>
      <c r="R125" s="151">
        <f>IF(TrRoad_act!R67=0,0,TrRoad_ene!R70/TrRoad_tech!R98)</f>
        <v>1.2970269197836206</v>
      </c>
      <c r="S125" s="151">
        <f>IF(TrRoad_act!S67=0,0,TrRoad_ene!S70/TrRoad_tech!S98)</f>
        <v>1.2882195914148229</v>
      </c>
      <c r="T125" s="151">
        <f>IF(TrRoad_act!T67=0,0,TrRoad_ene!T70/TrRoad_tech!T98)</f>
        <v>1.2914357135246479</v>
      </c>
      <c r="U125" s="151">
        <f>IF(TrRoad_act!U67=0,0,TrRoad_ene!U70/TrRoad_tech!U98)</f>
        <v>1.3251035701041121</v>
      </c>
      <c r="V125" s="151">
        <f>IF(TrRoad_act!V67=0,0,TrRoad_ene!V70/TrRoad_tech!V98)</f>
        <v>1.4079221324848918</v>
      </c>
      <c r="W125" s="151">
        <f>IF(TrRoad_act!W67=0,0,TrRoad_ene!W70/TrRoad_tech!W98)</f>
        <v>1.5195695576986301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1.1000000000067305</v>
      </c>
      <c r="D126" s="93">
        <f>IF(TrRoad_act!D68=0,0,TrRoad_ene!D71/TrRoad_tech!D99)</f>
        <v>1.1000000000067305</v>
      </c>
      <c r="E126" s="93">
        <f>IF(TrRoad_act!E68=0,0,TrRoad_ene!E71/TrRoad_tech!E99)</f>
        <v>1.1000000000067298</v>
      </c>
      <c r="F126" s="93">
        <f>IF(TrRoad_act!F68=0,0,TrRoad_ene!F71/TrRoad_tech!F99)</f>
        <v>1.1000000000067307</v>
      </c>
      <c r="G126" s="93">
        <f>IF(TrRoad_act!G68=0,0,TrRoad_ene!G71/TrRoad_tech!G99)</f>
        <v>1.10000000000673</v>
      </c>
      <c r="H126" s="93">
        <f>IF(TrRoad_act!H68=0,0,TrRoad_ene!H71/TrRoad_tech!H99)</f>
        <v>1.1000000000067305</v>
      </c>
      <c r="I126" s="93">
        <f>IF(TrRoad_act!I68=0,0,TrRoad_ene!I71/TrRoad_tech!I99)</f>
        <v>1.10000000000673</v>
      </c>
      <c r="J126" s="93">
        <f>IF(TrRoad_act!J68=0,0,TrRoad_ene!J71/TrRoad_tech!J99)</f>
        <v>1.1000000000067303</v>
      </c>
      <c r="K126" s="93">
        <f>IF(TrRoad_act!K68=0,0,TrRoad_ene!K71/TrRoad_tech!K99)</f>
        <v>1.1000000000067305</v>
      </c>
      <c r="L126" s="93">
        <f>IF(TrRoad_act!L68=0,0,TrRoad_ene!L71/TrRoad_tech!L99)</f>
        <v>1.1000000000067303</v>
      </c>
      <c r="M126" s="93">
        <f>IF(TrRoad_act!M68=0,0,TrRoad_ene!M71/TrRoad_tech!M99)</f>
        <v>1.1000000000067305</v>
      </c>
      <c r="N126" s="93">
        <f>IF(TrRoad_act!N68=0,0,TrRoad_ene!N71/TrRoad_tech!N99)</f>
        <v>1.1000000000067305</v>
      </c>
      <c r="O126" s="93">
        <f>IF(TrRoad_act!O68=0,0,TrRoad_ene!O71/TrRoad_tech!O99)</f>
        <v>1.1000000000067303</v>
      </c>
      <c r="P126" s="93">
        <f>IF(TrRoad_act!P68=0,0,TrRoad_ene!P71/TrRoad_tech!P99)</f>
        <v>1.1000000000067305</v>
      </c>
      <c r="Q126" s="93">
        <f>IF(TrRoad_act!Q68=0,0,TrRoad_ene!Q71/TrRoad_tech!Q99)</f>
        <v>1.1000000000067303</v>
      </c>
      <c r="R126" s="93">
        <f>IF(TrRoad_act!R68=0,0,TrRoad_ene!R71/TrRoad_tech!R99)</f>
        <v>1.1000000000067305</v>
      </c>
      <c r="S126" s="93">
        <f>IF(TrRoad_act!S68=0,0,TrRoad_ene!S71/TrRoad_tech!S99)</f>
        <v>1.1000000000067305</v>
      </c>
      <c r="T126" s="93">
        <f>IF(TrRoad_act!T68=0,0,TrRoad_ene!T71/TrRoad_tech!T99)</f>
        <v>1.10000000000673</v>
      </c>
      <c r="U126" s="93">
        <f>IF(TrRoad_act!U68=0,0,TrRoad_ene!U71/TrRoad_tech!U99)</f>
        <v>1.1000000000067305</v>
      </c>
      <c r="V126" s="93">
        <f>IF(TrRoad_act!V68=0,0,TrRoad_ene!V71/TrRoad_tech!V99)</f>
        <v>1.10000000000673</v>
      </c>
      <c r="W126" s="93">
        <f>IF(TrRoad_act!W68=0,0,TrRoad_ene!W71/TrRoad_tech!W99)</f>
        <v>1.1000000000067303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1.100654522514573</v>
      </c>
      <c r="D127" s="93">
        <f>IF(TrRoad_act!D69=0,0,TrRoad_ene!D72/TrRoad_tech!D100)</f>
        <v>1.1009172505371589</v>
      </c>
      <c r="E127" s="93">
        <f>IF(TrRoad_act!E69=0,0,TrRoad_ene!E72/TrRoad_tech!E100)</f>
        <v>1.1022527112145499</v>
      </c>
      <c r="F127" s="93">
        <f>IF(TrRoad_act!F69=0,0,TrRoad_ene!F72/TrRoad_tech!F100)</f>
        <v>1.104955199269988</v>
      </c>
      <c r="G127" s="93">
        <f>IF(TrRoad_act!G69=0,0,TrRoad_ene!G72/TrRoad_tech!G100)</f>
        <v>1.1074916159990134</v>
      </c>
      <c r="H127" s="93">
        <f>IF(TrRoad_act!H69=0,0,TrRoad_ene!H72/TrRoad_tech!H100)</f>
        <v>1.1108373000214009</v>
      </c>
      <c r="I127" s="93">
        <f>IF(TrRoad_act!I69=0,0,TrRoad_ene!I72/TrRoad_tech!I100)</f>
        <v>1.1152724387436423</v>
      </c>
      <c r="J127" s="93">
        <f>IF(TrRoad_act!J69=0,0,TrRoad_ene!J72/TrRoad_tech!J100)</f>
        <v>1.1216763988668734</v>
      </c>
      <c r="K127" s="93">
        <f>IF(TrRoad_act!K69=0,0,TrRoad_ene!K72/TrRoad_tech!K100)</f>
        <v>1.1277682873192683</v>
      </c>
      <c r="L127" s="93">
        <f>IF(TrRoad_act!L69=0,0,TrRoad_ene!L72/TrRoad_tech!L100)</f>
        <v>1.1345393683310399</v>
      </c>
      <c r="M127" s="93">
        <f>IF(TrRoad_act!M69=0,0,TrRoad_ene!M72/TrRoad_tech!M100)</f>
        <v>1.1426634236587414</v>
      </c>
      <c r="N127" s="93">
        <f>IF(TrRoad_act!N69=0,0,TrRoad_ene!N72/TrRoad_tech!N100)</f>
        <v>1.1536813132378811</v>
      </c>
      <c r="O127" s="93">
        <f>IF(TrRoad_act!O69=0,0,TrRoad_ene!O72/TrRoad_tech!O100)</f>
        <v>1.1672930489347606</v>
      </c>
      <c r="P127" s="93">
        <f>IF(TrRoad_act!P69=0,0,TrRoad_ene!P72/TrRoad_tech!P100)</f>
        <v>1.1783036523634731</v>
      </c>
      <c r="Q127" s="93">
        <f>IF(TrRoad_act!Q69=0,0,TrRoad_ene!Q72/TrRoad_tech!Q100)</f>
        <v>1.1889738861702166</v>
      </c>
      <c r="R127" s="93">
        <f>IF(TrRoad_act!R69=0,0,TrRoad_ene!R72/TrRoad_tech!R100)</f>
        <v>1.2028692707548789</v>
      </c>
      <c r="S127" s="93">
        <f>IF(TrRoad_act!S69=0,0,TrRoad_ene!S72/TrRoad_tech!S100)</f>
        <v>1.2102888901949902</v>
      </c>
      <c r="T127" s="93">
        <f>IF(TrRoad_act!T69=0,0,TrRoad_ene!T72/TrRoad_tech!T100)</f>
        <v>1.2180236849792441</v>
      </c>
      <c r="U127" s="93">
        <f>IF(TrRoad_act!U69=0,0,TrRoad_ene!U72/TrRoad_tech!U100)</f>
        <v>1.2340512162334181</v>
      </c>
      <c r="V127" s="93">
        <f>IF(TrRoad_act!V69=0,0,TrRoad_ene!V72/TrRoad_tech!V100)</f>
        <v>1.2640477299776423</v>
      </c>
      <c r="W127" s="93">
        <f>IF(TrRoad_act!W69=0,0,TrRoad_ene!W72/TrRoad_tech!W100)</f>
        <v>1.2782869700912163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1.3533878856593005</v>
      </c>
      <c r="W128" s="93">
        <f>IF(TrRoad_act!W70=0,0,TrRoad_ene!W73/TrRoad_tech!W101)</f>
        <v>1.3533878856593002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1.0630647717318622</v>
      </c>
      <c r="C129" s="93">
        <f>IF(TrRoad_act!C71=0,0,TrRoad_ene!C74/TrRoad_tech!C102)</f>
        <v>1.0878176055207833</v>
      </c>
      <c r="D129" s="93">
        <f>IF(TrRoad_act!D71=0,0,TrRoad_ene!D74/TrRoad_tech!D102)</f>
        <v>1.104608293916526</v>
      </c>
      <c r="E129" s="93">
        <f>IF(TrRoad_act!E71=0,0,TrRoad_ene!E74/TrRoad_tech!E102)</f>
        <v>1.1055915892265817</v>
      </c>
      <c r="F129" s="93">
        <f>IF(TrRoad_act!F71=0,0,TrRoad_ene!F74/TrRoad_tech!F102)</f>
        <v>1.3470550450621008</v>
      </c>
      <c r="G129" s="93">
        <f>IF(TrRoad_act!G71=0,0,TrRoad_ene!G74/TrRoad_tech!G102)</f>
        <v>1.1699625840442325</v>
      </c>
      <c r="H129" s="93">
        <f>IF(TrRoad_act!H71=0,0,TrRoad_ene!H74/TrRoad_tech!H102)</f>
        <v>1.7096773480345482</v>
      </c>
      <c r="I129" s="93">
        <f>IF(TrRoad_act!I71=0,0,TrRoad_ene!I74/TrRoad_tech!I102)</f>
        <v>1.1218137230101259</v>
      </c>
      <c r="J129" s="93">
        <f>IF(TrRoad_act!J71=0,0,TrRoad_ene!J74/TrRoad_tech!J102)</f>
        <v>1.1406502309369273</v>
      </c>
      <c r="K129" s="93">
        <f>IF(TrRoad_act!K71=0,0,TrRoad_ene!K74/TrRoad_tech!K102)</f>
        <v>1.3242922714467984</v>
      </c>
      <c r="L129" s="93">
        <f>IF(TrRoad_act!L71=0,0,TrRoad_ene!L74/TrRoad_tech!L102)</f>
        <v>1.7395194784433989</v>
      </c>
      <c r="M129" s="93">
        <f>IF(TrRoad_act!M71=0,0,TrRoad_ene!M74/TrRoad_tech!M102)</f>
        <v>1.9446464181362988</v>
      </c>
      <c r="N129" s="93">
        <f>IF(TrRoad_act!N71=0,0,TrRoad_ene!N74/TrRoad_tech!N102)</f>
        <v>2.2541623052515134</v>
      </c>
      <c r="O129" s="93">
        <f>IF(TrRoad_act!O71=0,0,TrRoad_ene!O74/TrRoad_tech!O102)</f>
        <v>2.3222683980413548</v>
      </c>
      <c r="P129" s="93">
        <f>IF(TrRoad_act!P71=0,0,TrRoad_ene!P74/TrRoad_tech!P102)</f>
        <v>4.1028818073675453</v>
      </c>
      <c r="Q129" s="93">
        <f>IF(TrRoad_act!Q71=0,0,TrRoad_ene!Q74/TrRoad_tech!Q102)</f>
        <v>3.831403150819007</v>
      </c>
      <c r="R129" s="93">
        <f>IF(TrRoad_act!R71=0,0,TrRoad_ene!R74/TrRoad_tech!R102)</f>
        <v>2.9180923302027661</v>
      </c>
      <c r="S129" s="93">
        <f>IF(TrRoad_act!S71=0,0,TrRoad_ene!S74/TrRoad_tech!S102)</f>
        <v>2.2932849842708931</v>
      </c>
      <c r="T129" s="93">
        <f>IF(TrRoad_act!T71=0,0,TrRoad_ene!T74/TrRoad_tech!T102)</f>
        <v>2.1781333109871763</v>
      </c>
      <c r="U129" s="93">
        <f>IF(TrRoad_act!U71=0,0,TrRoad_ene!U74/TrRoad_tech!U102)</f>
        <v>2.2760819165216262</v>
      </c>
      <c r="V129" s="93">
        <f>IF(TrRoad_act!V71=0,0,TrRoad_ene!V74/TrRoad_tech!V102)</f>
        <v>2.6908559678256898</v>
      </c>
      <c r="W129" s="93">
        <f>IF(TrRoad_act!W71=0,0,TrRoad_ene!W74/TrRoad_tech!W102)</f>
        <v>4.0462463076006907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1.100077298373394</v>
      </c>
      <c r="D130" s="93">
        <f>IF(TrRoad_act!D72=0,0,TrRoad_ene!D75/TrRoad_tech!D103)</f>
        <v>1.1000784735270239</v>
      </c>
      <c r="E130" s="93">
        <f>IF(TrRoad_act!E72=0,0,TrRoad_ene!E75/TrRoad_tech!E103)</f>
        <v>1.1000788327923585</v>
      </c>
      <c r="F130" s="93">
        <f>IF(TrRoad_act!F72=0,0,TrRoad_ene!F75/TrRoad_tech!F103)</f>
        <v>1.1002058564754122</v>
      </c>
      <c r="G130" s="93">
        <f>IF(TrRoad_act!G72=0,0,TrRoad_ene!G75/TrRoad_tech!G103)</f>
        <v>1.1002077738367095</v>
      </c>
      <c r="H130" s="93">
        <f>IF(TrRoad_act!H72=0,0,TrRoad_ene!H75/TrRoad_tech!H103)</f>
        <v>1.1021782366541899</v>
      </c>
      <c r="I130" s="93">
        <f>IF(TrRoad_act!I72=0,0,TrRoad_ene!I75/TrRoad_tech!I103)</f>
        <v>1.1021889424896736</v>
      </c>
      <c r="J130" s="93">
        <f>IF(TrRoad_act!J72=0,0,TrRoad_ene!J75/TrRoad_tech!J103)</f>
        <v>1.1021939091217217</v>
      </c>
      <c r="K130" s="93">
        <f>IF(TrRoad_act!K72=0,0,TrRoad_ene!K75/TrRoad_tech!K103)</f>
        <v>1.1022086852500601</v>
      </c>
      <c r="L130" s="93">
        <f>IF(TrRoad_act!L72=0,0,TrRoad_ene!L75/TrRoad_tech!L103)</f>
        <v>1.1026042947953774</v>
      </c>
      <c r="M130" s="93">
        <f>IF(TrRoad_act!M72=0,0,TrRoad_ene!M75/TrRoad_tech!M103)</f>
        <v>1.1026279007739006</v>
      </c>
      <c r="N130" s="93">
        <f>IF(TrRoad_act!N72=0,0,TrRoad_ene!N75/TrRoad_tech!N103)</f>
        <v>1.102627900773901</v>
      </c>
      <c r="O130" s="93">
        <f>IF(TrRoad_act!O72=0,0,TrRoad_ene!O75/TrRoad_tech!O103)</f>
        <v>1.1033037612587229</v>
      </c>
      <c r="P130" s="93">
        <f>IF(TrRoad_act!P72=0,0,TrRoad_ene!P75/TrRoad_tech!P103)</f>
        <v>1.1098720487772342</v>
      </c>
      <c r="Q130" s="93">
        <f>IF(TrRoad_act!Q72=0,0,TrRoad_ene!Q75/TrRoad_tech!Q103)</f>
        <v>1.1119623565352978</v>
      </c>
      <c r="R130" s="93">
        <f>IF(TrRoad_act!R72=0,0,TrRoad_ene!R75/TrRoad_tech!R103)</f>
        <v>1.1120605760179738</v>
      </c>
      <c r="S130" s="93">
        <f>IF(TrRoad_act!S72=0,0,TrRoad_ene!S75/TrRoad_tech!S103)</f>
        <v>1.1122619344807099</v>
      </c>
      <c r="T130" s="93">
        <f>IF(TrRoad_act!T72=0,0,TrRoad_ene!T75/TrRoad_tech!T103)</f>
        <v>1.1124701307015605</v>
      </c>
      <c r="U130" s="93">
        <f>IF(TrRoad_act!U72=0,0,TrRoad_ene!U75/TrRoad_tech!U103)</f>
        <v>1.1593035882829048</v>
      </c>
      <c r="V130" s="93">
        <f>IF(TrRoad_act!V72=0,0,TrRoad_ene!V75/TrRoad_tech!V103)</f>
        <v>1.1919405706724338</v>
      </c>
      <c r="W130" s="93">
        <f>IF(TrRoad_act!W72=0,0,TrRoad_ene!W75/TrRoad_tech!W103)</f>
        <v>1.1992507589479138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1.1139825140321633</v>
      </c>
      <c r="C132" s="150">
        <f>IF(TrRoad_act!C74=0,0,TrRoad_ene!C77/TrRoad_tech!C105)</f>
        <v>1.0923324085850754</v>
      </c>
      <c r="D132" s="150">
        <f>IF(TrRoad_act!D74=0,0,TrRoad_ene!D77/TrRoad_tech!D105)</f>
        <v>1.0898941253150991</v>
      </c>
      <c r="E132" s="150">
        <f>IF(TrRoad_act!E74=0,0,TrRoad_ene!E77/TrRoad_tech!E105)</f>
        <v>1.0881716358954545</v>
      </c>
      <c r="F132" s="150">
        <f>IF(TrRoad_act!F74=0,0,TrRoad_ene!F77/TrRoad_tech!F105)</f>
        <v>1.090322193026164</v>
      </c>
      <c r="G132" s="150">
        <f>IF(TrRoad_act!G74=0,0,TrRoad_ene!G77/TrRoad_tech!G105)</f>
        <v>1.0962026818408479</v>
      </c>
      <c r="H132" s="150">
        <f>IF(TrRoad_act!H74=0,0,TrRoad_ene!H77/TrRoad_tech!H105)</f>
        <v>1.1038867975538447</v>
      </c>
      <c r="I132" s="150">
        <f>IF(TrRoad_act!I74=0,0,TrRoad_ene!I77/TrRoad_tech!I105)</f>
        <v>1.1116388765772116</v>
      </c>
      <c r="J132" s="150">
        <f>IF(TrRoad_act!J74=0,0,TrRoad_ene!J77/TrRoad_tech!J105)</f>
        <v>1.121056493696331</v>
      </c>
      <c r="K132" s="150">
        <f>IF(TrRoad_act!K74=0,0,TrRoad_ene!K77/TrRoad_tech!K105)</f>
        <v>1.1260930039822035</v>
      </c>
      <c r="L132" s="150">
        <f>IF(TrRoad_act!L74=0,0,TrRoad_ene!L77/TrRoad_tech!L105)</f>
        <v>1.1294023832732814</v>
      </c>
      <c r="M132" s="150">
        <f>IF(TrRoad_act!M74=0,0,TrRoad_ene!M77/TrRoad_tech!M105)</f>
        <v>1.1327689627465065</v>
      </c>
      <c r="N132" s="150">
        <f>IF(TrRoad_act!N74=0,0,TrRoad_ene!N77/TrRoad_tech!N105)</f>
        <v>1.135355996334481</v>
      </c>
      <c r="O132" s="150">
        <f>IF(TrRoad_act!O74=0,0,TrRoad_ene!O77/TrRoad_tech!O105)</f>
        <v>1.1390067233518986</v>
      </c>
      <c r="P132" s="150">
        <f>IF(TrRoad_act!P74=0,0,TrRoad_ene!P77/TrRoad_tech!P105)</f>
        <v>1.1443588627531229</v>
      </c>
      <c r="Q132" s="150">
        <f>IF(TrRoad_act!Q74=0,0,TrRoad_ene!Q77/TrRoad_tech!Q105)</f>
        <v>1.1531019116258505</v>
      </c>
      <c r="R132" s="150">
        <f>IF(TrRoad_act!R74=0,0,TrRoad_ene!R77/TrRoad_tech!R105)</f>
        <v>1.1681215977462167</v>
      </c>
      <c r="S132" s="150">
        <f>IF(TrRoad_act!S74=0,0,TrRoad_ene!S77/TrRoad_tech!S105)</f>
        <v>1.1769721172895182</v>
      </c>
      <c r="T132" s="150">
        <f>IF(TrRoad_act!T74=0,0,TrRoad_ene!T77/TrRoad_tech!T105)</f>
        <v>1.1872405834604849</v>
      </c>
      <c r="U132" s="150">
        <f>IF(TrRoad_act!U74=0,0,TrRoad_ene!U77/TrRoad_tech!U105)</f>
        <v>1.1978547201148426</v>
      </c>
      <c r="V132" s="150">
        <f>IF(TrRoad_act!V74=0,0,TrRoad_ene!V77/TrRoad_tech!V105)</f>
        <v>1.2089163294083611</v>
      </c>
      <c r="W132" s="150">
        <f>IF(TrRoad_act!W74=0,0,TrRoad_ene!W77/TrRoad_tech!W105)</f>
        <v>1.2220519367007161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1.1000420449828372</v>
      </c>
      <c r="D133" s="91">
        <f>IF(TrRoad_act!D75=0,0,TrRoad_ene!D78/TrRoad_tech!D106)</f>
        <v>1.1001565646858429</v>
      </c>
      <c r="E133" s="91">
        <f>IF(TrRoad_act!E75=0,0,TrRoad_ene!E78/TrRoad_tech!E106)</f>
        <v>1.1002237790525304</v>
      </c>
      <c r="F133" s="91">
        <f>IF(TrRoad_act!F75=0,0,TrRoad_ene!F78/TrRoad_tech!F106)</f>
        <v>1.1004013524328402</v>
      </c>
      <c r="G133" s="91">
        <f>IF(TrRoad_act!G75=0,0,TrRoad_ene!G78/TrRoad_tech!G106)</f>
        <v>1.1007532061117005</v>
      </c>
      <c r="H133" s="91">
        <f>IF(TrRoad_act!H75=0,0,TrRoad_ene!H78/TrRoad_tech!H106)</f>
        <v>1.1021643805101768</v>
      </c>
      <c r="I133" s="91">
        <f>IF(TrRoad_act!I75=0,0,TrRoad_ene!I78/TrRoad_tech!I106)</f>
        <v>1.1043675962807578</v>
      </c>
      <c r="J133" s="91">
        <f>IF(TrRoad_act!J75=0,0,TrRoad_ene!J78/TrRoad_tech!J106)</f>
        <v>1.1070356619630493</v>
      </c>
      <c r="K133" s="91">
        <f>IF(TrRoad_act!K75=0,0,TrRoad_ene!K78/TrRoad_tech!K106)</f>
        <v>1.1080218565067481</v>
      </c>
      <c r="L133" s="91">
        <f>IF(TrRoad_act!L75=0,0,TrRoad_ene!L78/TrRoad_tech!L106)</f>
        <v>1.1093069951654111</v>
      </c>
      <c r="M133" s="91">
        <f>IF(TrRoad_act!M75=0,0,TrRoad_ene!M78/TrRoad_tech!M106)</f>
        <v>1.1112810609218544</v>
      </c>
      <c r="N133" s="91">
        <f>IF(TrRoad_act!N75=0,0,TrRoad_ene!N78/TrRoad_tech!N106)</f>
        <v>1.1145297872253148</v>
      </c>
      <c r="O133" s="91">
        <f>IF(TrRoad_act!O75=0,0,TrRoad_ene!O78/TrRoad_tech!O106)</f>
        <v>1.1204522754816997</v>
      </c>
      <c r="P133" s="91">
        <f>IF(TrRoad_act!P75=0,0,TrRoad_ene!P78/TrRoad_tech!P106)</f>
        <v>1.1295665634526724</v>
      </c>
      <c r="Q133" s="91">
        <f>IF(TrRoad_act!Q75=0,0,TrRoad_ene!Q78/TrRoad_tech!Q106)</f>
        <v>1.1422097762368892</v>
      </c>
      <c r="R133" s="91">
        <f>IF(TrRoad_act!R75=0,0,TrRoad_ene!R78/TrRoad_tech!R106)</f>
        <v>1.151795337925233</v>
      </c>
      <c r="S133" s="91">
        <f>IF(TrRoad_act!S75=0,0,TrRoad_ene!S78/TrRoad_tech!S106)</f>
        <v>1.1629993581348019</v>
      </c>
      <c r="T133" s="91">
        <f>IF(TrRoad_act!T75=0,0,TrRoad_ene!T78/TrRoad_tech!T106)</f>
        <v>1.1762267353987803</v>
      </c>
      <c r="U133" s="91">
        <f>IF(TrRoad_act!U75=0,0,TrRoad_ene!U78/TrRoad_tech!U106)</f>
        <v>1.1903844003617321</v>
      </c>
      <c r="V133" s="91">
        <f>IF(TrRoad_act!V75=0,0,TrRoad_ene!V78/TrRoad_tech!V106)</f>
        <v>1.205650569321336</v>
      </c>
      <c r="W133" s="91">
        <f>IF(TrRoad_act!W75=0,0,TrRoad_ene!W78/TrRoad_tech!W106)</f>
        <v>1.2208207835102787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1.1002704307300295</v>
      </c>
      <c r="D134" s="91">
        <f>IF(TrRoad_act!D76=0,0,TrRoad_ene!D79/TrRoad_tech!D107)</f>
        <v>1.1010680030316011</v>
      </c>
      <c r="E134" s="91">
        <f>IF(TrRoad_act!E76=0,0,TrRoad_ene!E79/TrRoad_tech!E107)</f>
        <v>1.102532049877391</v>
      </c>
      <c r="F134" s="91">
        <f>IF(TrRoad_act!F76=0,0,TrRoad_ene!F79/TrRoad_tech!F107)</f>
        <v>1.104491595237663</v>
      </c>
      <c r="G134" s="91">
        <f>IF(TrRoad_act!G76=0,0,TrRoad_ene!G79/TrRoad_tech!G107)</f>
        <v>1.1071154316181397</v>
      </c>
      <c r="H134" s="91">
        <f>IF(TrRoad_act!H76=0,0,TrRoad_ene!H79/TrRoad_tech!H107)</f>
        <v>1.1102753543586541</v>
      </c>
      <c r="I134" s="91">
        <f>IF(TrRoad_act!I76=0,0,TrRoad_ene!I79/TrRoad_tech!I107)</f>
        <v>1.1145272334026703</v>
      </c>
      <c r="J134" s="91">
        <f>IF(TrRoad_act!J76=0,0,TrRoad_ene!J79/TrRoad_tech!J107)</f>
        <v>1.1196701857171065</v>
      </c>
      <c r="K134" s="91">
        <f>IF(TrRoad_act!K76=0,0,TrRoad_ene!K79/TrRoad_tech!K107)</f>
        <v>1.1223630029049125</v>
      </c>
      <c r="L134" s="91">
        <f>IF(TrRoad_act!L76=0,0,TrRoad_ene!L79/TrRoad_tech!L107)</f>
        <v>1.1238381932126544</v>
      </c>
      <c r="M134" s="91">
        <f>IF(TrRoad_act!M76=0,0,TrRoad_ene!M79/TrRoad_tech!M107)</f>
        <v>1.1260892025401732</v>
      </c>
      <c r="N134" s="91">
        <f>IF(TrRoad_act!N76=0,0,TrRoad_ene!N79/TrRoad_tech!N107)</f>
        <v>1.1291017640680814</v>
      </c>
      <c r="O134" s="91">
        <f>IF(TrRoad_act!O76=0,0,TrRoad_ene!O79/TrRoad_tech!O107)</f>
        <v>1.1329222924138711</v>
      </c>
      <c r="P134" s="91">
        <f>IF(TrRoad_act!P76=0,0,TrRoad_ene!P79/TrRoad_tech!P107)</f>
        <v>1.1378760229367557</v>
      </c>
      <c r="Q134" s="91">
        <f>IF(TrRoad_act!Q76=0,0,TrRoad_ene!Q79/TrRoad_tech!Q107)</f>
        <v>1.1456197677774227</v>
      </c>
      <c r="R134" s="91">
        <f>IF(TrRoad_act!R76=0,0,TrRoad_ene!R79/TrRoad_tech!R107)</f>
        <v>1.1602952883609583</v>
      </c>
      <c r="S134" s="91">
        <f>IF(TrRoad_act!S76=0,0,TrRoad_ene!S79/TrRoad_tech!S107)</f>
        <v>1.1693409701701325</v>
      </c>
      <c r="T134" s="91">
        <f>IF(TrRoad_act!T76=0,0,TrRoad_ene!T79/TrRoad_tech!T107)</f>
        <v>1.1814748594695546</v>
      </c>
      <c r="U134" s="91">
        <f>IF(TrRoad_act!U76=0,0,TrRoad_ene!U79/TrRoad_tech!U107)</f>
        <v>1.1929881166144169</v>
      </c>
      <c r="V134" s="91">
        <f>IF(TrRoad_act!V76=0,0,TrRoad_ene!V79/TrRoad_tech!V107)</f>
        <v>1.2033365176132913</v>
      </c>
      <c r="W134" s="91">
        <f>IF(TrRoad_act!W76=0,0,TrRoad_ene!W79/TrRoad_tech!W107)</f>
        <v>1.2165815942605609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1.1000027240436638</v>
      </c>
      <c r="D135" s="91">
        <f>IF(TrRoad_act!D77=0,0,TrRoad_ene!D80/TrRoad_tech!D108)</f>
        <v>1.1000177584148685</v>
      </c>
      <c r="E135" s="91">
        <f>IF(TrRoad_act!E77=0,0,TrRoad_ene!E80/TrRoad_tech!E108)</f>
        <v>1.1000455061862768</v>
      </c>
      <c r="F135" s="91">
        <f>IF(TrRoad_act!F77=0,0,TrRoad_ene!F80/TrRoad_tech!F108)</f>
        <v>1.1001011809459409</v>
      </c>
      <c r="G135" s="91">
        <f>IF(TrRoad_act!G77=0,0,TrRoad_ene!G80/TrRoad_tech!G108)</f>
        <v>1.1001716577652612</v>
      </c>
      <c r="H135" s="91">
        <f>IF(TrRoad_act!H77=0,0,TrRoad_ene!H80/TrRoad_tech!H108)</f>
        <v>1.1008385644746985</v>
      </c>
      <c r="I135" s="91">
        <f>IF(TrRoad_act!I77=0,0,TrRoad_ene!I80/TrRoad_tech!I108)</f>
        <v>1.1022903495085883</v>
      </c>
      <c r="J135" s="91">
        <f>IF(TrRoad_act!J77=0,0,TrRoad_ene!J80/TrRoad_tech!J108)</f>
        <v>1.1031145736787342</v>
      </c>
      <c r="K135" s="91">
        <f>IF(TrRoad_act!K77=0,0,TrRoad_ene!K80/TrRoad_tech!K108)</f>
        <v>1.1058286609033889</v>
      </c>
      <c r="L135" s="91">
        <f>IF(TrRoad_act!L77=0,0,TrRoad_ene!L80/TrRoad_tech!L108)</f>
        <v>1.1074399279442098</v>
      </c>
      <c r="M135" s="91">
        <f>IF(TrRoad_act!M77=0,0,TrRoad_ene!M80/TrRoad_tech!M108)</f>
        <v>1.1120342673738877</v>
      </c>
      <c r="N135" s="91">
        <f>IF(TrRoad_act!N77=0,0,TrRoad_ene!N80/TrRoad_tech!N108)</f>
        <v>1.1218561929073358</v>
      </c>
      <c r="O135" s="91">
        <f>IF(TrRoad_act!O77=0,0,TrRoad_ene!O80/TrRoad_tech!O108)</f>
        <v>1.1291507673722867</v>
      </c>
      <c r="P135" s="91">
        <f>IF(TrRoad_act!P77=0,0,TrRoad_ene!P80/TrRoad_tech!P108)</f>
        <v>1.1408963233570717</v>
      </c>
      <c r="Q135" s="91">
        <f>IF(TrRoad_act!Q77=0,0,TrRoad_ene!Q80/TrRoad_tech!Q108)</f>
        <v>1.1474330020686547</v>
      </c>
      <c r="R135" s="91">
        <f>IF(TrRoad_act!R77=0,0,TrRoad_ene!R80/TrRoad_tech!R108)</f>
        <v>1.1595006261451939</v>
      </c>
      <c r="S135" s="91">
        <f>IF(TrRoad_act!S77=0,0,TrRoad_ene!S80/TrRoad_tech!S108)</f>
        <v>1.1656360688738934</v>
      </c>
      <c r="T135" s="91">
        <f>IF(TrRoad_act!T77=0,0,TrRoad_ene!T80/TrRoad_tech!T108)</f>
        <v>1.1738024197825838</v>
      </c>
      <c r="U135" s="91">
        <f>IF(TrRoad_act!U77=0,0,TrRoad_ene!U80/TrRoad_tech!U108)</f>
        <v>1.179737376949936</v>
      </c>
      <c r="V135" s="91">
        <f>IF(TrRoad_act!V77=0,0,TrRoad_ene!V80/TrRoad_tech!V108)</f>
        <v>1.185106802970787</v>
      </c>
      <c r="W135" s="91">
        <f>IF(TrRoad_act!W77=0,0,TrRoad_ene!W80/TrRoad_tech!W108)</f>
        <v>1.1908131374934707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1.2360000000066977</v>
      </c>
      <c r="O136" s="91">
        <f>IF(TrRoad_act!O78=0,0,TrRoad_ene!O81/TrRoad_tech!O109)</f>
        <v>1.2451293605423444</v>
      </c>
      <c r="P136" s="91">
        <f>IF(TrRoad_act!P78=0,0,TrRoad_ene!P81/TrRoad_tech!P109)</f>
        <v>1.2641992995949058</v>
      </c>
      <c r="Q136" s="91">
        <f>IF(TrRoad_act!Q78=0,0,TrRoad_ene!Q81/TrRoad_tech!Q109)</f>
        <v>1.2846958137207238</v>
      </c>
      <c r="R136" s="91">
        <f>IF(TrRoad_act!R78=0,0,TrRoad_ene!R81/TrRoad_tech!R109)</f>
        <v>1.2982086000568904</v>
      </c>
      <c r="S136" s="91">
        <f>IF(TrRoad_act!S78=0,0,TrRoad_ene!S81/TrRoad_tech!S109)</f>
        <v>1.3061833152658879</v>
      </c>
      <c r="T136" s="91">
        <f>IF(TrRoad_act!T78=0,0,TrRoad_ene!T81/TrRoad_tech!T109)</f>
        <v>1.3118545141278637</v>
      </c>
      <c r="U136" s="91">
        <f>IF(TrRoad_act!U78=0,0,TrRoad_ene!U81/TrRoad_tech!U109)</f>
        <v>1.3169635871602421</v>
      </c>
      <c r="V136" s="91">
        <f>IF(TrRoad_act!V78=0,0,TrRoad_ene!V81/TrRoad_tech!V109)</f>
        <v>1.3210202340900774</v>
      </c>
      <c r="W136" s="91">
        <f>IF(TrRoad_act!W78=0,0,TrRoad_ene!W81/TrRoad_tech!W109)</f>
        <v>1.3237437741587721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1.1693333333396367</v>
      </c>
      <c r="K137" s="91">
        <f>IF(TrRoad_act!K79=0,0,TrRoad_ene!K82/TrRoad_tech!K110)</f>
        <v>1.1700726410183682</v>
      </c>
      <c r="L137" s="91">
        <f>IF(TrRoad_act!L79=0,0,TrRoad_ene!L82/TrRoad_tech!L110)</f>
        <v>1.1728704130049838</v>
      </c>
      <c r="M137" s="91">
        <f>IF(TrRoad_act!M79=0,0,TrRoad_ene!M82/TrRoad_tech!M110)</f>
        <v>1.1768195380600084</v>
      </c>
      <c r="N137" s="91">
        <f>IF(TrRoad_act!N79=0,0,TrRoad_ene!N82/TrRoad_tech!N110)</f>
        <v>1.1958846076837955</v>
      </c>
      <c r="O137" s="91">
        <f>IF(TrRoad_act!O79=0,0,TrRoad_ene!O82/TrRoad_tech!O110)</f>
        <v>1.2066081043188788</v>
      </c>
      <c r="P137" s="91">
        <f>IF(TrRoad_act!P79=0,0,TrRoad_ene!P82/TrRoad_tech!P110)</f>
        <v>1.2172192502730437</v>
      </c>
      <c r="Q137" s="91">
        <f>IF(TrRoad_act!Q79=0,0,TrRoad_ene!Q82/TrRoad_tech!Q110)</f>
        <v>1.2353956812492031</v>
      </c>
      <c r="R137" s="91">
        <f>IF(TrRoad_act!R79=0,0,TrRoad_ene!R82/TrRoad_tech!R110)</f>
        <v>1.2506436959521174</v>
      </c>
      <c r="S137" s="91">
        <f>IF(TrRoad_act!S79=0,0,TrRoad_ene!S82/TrRoad_tech!S110)</f>
        <v>1.2670693082544773</v>
      </c>
      <c r="T137" s="91">
        <f>IF(TrRoad_act!T79=0,0,TrRoad_ene!T82/TrRoad_tech!T110)</f>
        <v>1.2935978417375218</v>
      </c>
      <c r="U137" s="91">
        <f>IF(TrRoad_act!U79=0,0,TrRoad_ene!U82/TrRoad_tech!U110)</f>
        <v>1.3192742836792228</v>
      </c>
      <c r="V137" s="91">
        <f>IF(TrRoad_act!V79=0,0,TrRoad_ene!V82/TrRoad_tech!V110)</f>
        <v>1.3299802635560036</v>
      </c>
      <c r="W137" s="91">
        <f>IF(TrRoad_act!W79=0,0,TrRoad_ene!W82/TrRoad_tech!W110)</f>
        <v>1.3430803592771436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1.2076408516083119</v>
      </c>
      <c r="C138" s="151">
        <f>IF(TrRoad_act!C80=0,0,TrRoad_ene!C83/TrRoad_tech!C111)</f>
        <v>1.1221941240131605</v>
      </c>
      <c r="D138" s="151">
        <f>IF(TrRoad_act!D80=0,0,TrRoad_ene!D83/TrRoad_tech!D111)</f>
        <v>1.1371031421789135</v>
      </c>
      <c r="E138" s="151">
        <f>IF(TrRoad_act!E80=0,0,TrRoad_ene!E83/TrRoad_tech!E111)</f>
        <v>1.2318842672422872</v>
      </c>
      <c r="F138" s="151">
        <f>IF(TrRoad_act!F80=0,0,TrRoad_ene!F83/TrRoad_tech!F111)</f>
        <v>1.2244464618414033</v>
      </c>
      <c r="G138" s="151">
        <f>IF(TrRoad_act!G80=0,0,TrRoad_ene!G83/TrRoad_tech!G111)</f>
        <v>1.3021633998920024</v>
      </c>
      <c r="H138" s="151">
        <f>IF(TrRoad_act!H80=0,0,TrRoad_ene!H83/TrRoad_tech!H111)</f>
        <v>1.4326574599199302</v>
      </c>
      <c r="I138" s="151">
        <f>IF(TrRoad_act!I80=0,0,TrRoad_ene!I83/TrRoad_tech!I111)</f>
        <v>1.5242984213143334</v>
      </c>
      <c r="J138" s="151">
        <f>IF(TrRoad_act!J80=0,0,TrRoad_ene!J83/TrRoad_tech!J111)</f>
        <v>1.5380348245330389</v>
      </c>
      <c r="K138" s="151">
        <f>IF(TrRoad_act!K80=0,0,TrRoad_ene!K83/TrRoad_tech!K111)</f>
        <v>1.6222603068515695</v>
      </c>
      <c r="L138" s="151">
        <f>IF(TrRoad_act!L80=0,0,TrRoad_ene!L83/TrRoad_tech!L111)</f>
        <v>1.5463163197926013</v>
      </c>
      <c r="M138" s="151">
        <f>IF(TrRoad_act!M80=0,0,TrRoad_ene!M83/TrRoad_tech!M111)</f>
        <v>1.5119327026615281</v>
      </c>
      <c r="N138" s="151">
        <f>IF(TrRoad_act!N80=0,0,TrRoad_ene!N83/TrRoad_tech!N111)</f>
        <v>1.5208242869764514</v>
      </c>
      <c r="O138" s="151">
        <f>IF(TrRoad_act!O80=0,0,TrRoad_ene!O83/TrRoad_tech!O111)</f>
        <v>1.3513093876100177</v>
      </c>
      <c r="P138" s="151">
        <f>IF(TrRoad_act!P80=0,0,TrRoad_ene!P83/TrRoad_tech!P111)</f>
        <v>1.3422180774476271</v>
      </c>
      <c r="Q138" s="151">
        <f>IF(TrRoad_act!Q80=0,0,TrRoad_ene!Q83/TrRoad_tech!Q111)</f>
        <v>1.3004837717201578</v>
      </c>
      <c r="R138" s="151">
        <f>IF(TrRoad_act!R80=0,0,TrRoad_ene!R83/TrRoad_tech!R111)</f>
        <v>1.436549917681881</v>
      </c>
      <c r="S138" s="151">
        <f>IF(TrRoad_act!S80=0,0,TrRoad_ene!S83/TrRoad_tech!S111)</f>
        <v>1.4835232618740202</v>
      </c>
      <c r="T138" s="151">
        <f>IF(TrRoad_act!T80=0,0,TrRoad_ene!T83/TrRoad_tech!T111)</f>
        <v>1.4944935392628034</v>
      </c>
      <c r="U138" s="151">
        <f>IF(TrRoad_act!U80=0,0,TrRoad_ene!U83/TrRoad_tech!U111)</f>
        <v>1.4908991089014738</v>
      </c>
      <c r="V138" s="151">
        <f>IF(TrRoad_act!V80=0,0,TrRoad_ene!V83/TrRoad_tech!V111)</f>
        <v>1.281150082155569</v>
      </c>
      <c r="W138" s="151">
        <f>IF(TrRoad_act!W80=0,0,TrRoad_ene!W83/TrRoad_tech!W111)</f>
        <v>1.2811779193428359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1.101692879012081</v>
      </c>
      <c r="C139" s="93">
        <f>IF(TrRoad_act!C81=0,0,TrRoad_ene!C84/TrRoad_tech!C112)</f>
        <v>1.0947183510103273</v>
      </c>
      <c r="D139" s="93">
        <f>IF(TrRoad_act!D81=0,0,TrRoad_ene!D84/TrRoad_tech!D112)</f>
        <v>1.0972661833957424</v>
      </c>
      <c r="E139" s="93">
        <f>IF(TrRoad_act!E81=0,0,TrRoad_ene!E84/TrRoad_tech!E112)</f>
        <v>1.1075923852090006</v>
      </c>
      <c r="F139" s="93">
        <f>IF(TrRoad_act!F81=0,0,TrRoad_ene!F84/TrRoad_tech!F112)</f>
        <v>1.1075774297925589</v>
      </c>
      <c r="G139" s="93">
        <f>IF(TrRoad_act!G81=0,0,TrRoad_ene!G84/TrRoad_tech!G112)</f>
        <v>1.1175070918831176</v>
      </c>
      <c r="H139" s="93">
        <f>IF(TrRoad_act!H81=0,0,TrRoad_ene!H84/TrRoad_tech!H112)</f>
        <v>1.1329461672132373</v>
      </c>
      <c r="I139" s="93">
        <f>IF(TrRoad_act!I81=0,0,TrRoad_ene!I84/TrRoad_tech!I112)</f>
        <v>1.1457059358287187</v>
      </c>
      <c r="J139" s="93">
        <f>IF(TrRoad_act!J81=0,0,TrRoad_ene!J84/TrRoad_tech!J112)</f>
        <v>1.1513522306036317</v>
      </c>
      <c r="K139" s="93">
        <f>IF(TrRoad_act!K81=0,0,TrRoad_ene!K84/TrRoad_tech!K112)</f>
        <v>1.1600969104114449</v>
      </c>
      <c r="L139" s="93">
        <f>IF(TrRoad_act!L81=0,0,TrRoad_ene!L84/TrRoad_tech!L112)</f>
        <v>1.1594667527413576</v>
      </c>
      <c r="M139" s="93">
        <f>IF(TrRoad_act!M81=0,0,TrRoad_ene!M84/TrRoad_tech!M112)</f>
        <v>1.1649773053693393</v>
      </c>
      <c r="N139" s="93">
        <f>IF(TrRoad_act!N81=0,0,TrRoad_ene!N84/TrRoad_tech!N112)</f>
        <v>1.1783065072594077</v>
      </c>
      <c r="O139" s="93">
        <f>IF(TrRoad_act!O81=0,0,TrRoad_ene!O84/TrRoad_tech!O112)</f>
        <v>1.1746368149882194</v>
      </c>
      <c r="P139" s="93">
        <f>IF(TrRoad_act!P81=0,0,TrRoad_ene!P84/TrRoad_tech!P112)</f>
        <v>1.185697585019946</v>
      </c>
      <c r="Q139" s="93">
        <f>IF(TrRoad_act!Q81=0,0,TrRoad_ene!Q84/TrRoad_tech!Q112)</f>
        <v>1.1994708142877393</v>
      </c>
      <c r="R139" s="93">
        <f>IF(TrRoad_act!R81=0,0,TrRoad_ene!R84/TrRoad_tech!R112)</f>
        <v>1.2223743206466753</v>
      </c>
      <c r="S139" s="93">
        <f>IF(TrRoad_act!S81=0,0,TrRoad_ene!S84/TrRoad_tech!S112)</f>
        <v>1.2378348989163144</v>
      </c>
      <c r="T139" s="93">
        <f>IF(TrRoad_act!T81=0,0,TrRoad_ene!T84/TrRoad_tech!T112)</f>
        <v>1.2501010655704994</v>
      </c>
      <c r="U139" s="93">
        <f>IF(TrRoad_act!U81=0,0,TrRoad_ene!U84/TrRoad_tech!U112)</f>
        <v>1.2653081126728158</v>
      </c>
      <c r="V139" s="93">
        <f>IF(TrRoad_act!V81=0,0,TrRoad_ene!V84/TrRoad_tech!V112)</f>
        <v>1.2728461850632016</v>
      </c>
      <c r="W139" s="93">
        <f>IF(TrRoad_act!W81=0,0,TrRoad_ene!W84/TrRoad_tech!W112)</f>
        <v>1.2925229440744423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1.1375623831267605</v>
      </c>
      <c r="C140" s="94">
        <f>IF(TrRoad_act!C82=0,0,TrRoad_ene!C85/TrRoad_tech!C113)</f>
        <v>0.9731890919900521</v>
      </c>
      <c r="D140" s="94">
        <f>IF(TrRoad_act!D82=0,0,TrRoad_ene!D85/TrRoad_tech!D113)</f>
        <v>1.0167035590162707</v>
      </c>
      <c r="E140" s="94">
        <f>IF(TrRoad_act!E82=0,0,TrRoad_ene!E85/TrRoad_tech!E113)</f>
        <v>1.279550925320045</v>
      </c>
      <c r="F140" s="94">
        <f>IF(TrRoad_act!F82=0,0,TrRoad_ene!F85/TrRoad_tech!F113)</f>
        <v>1.2641302423120528</v>
      </c>
      <c r="G140" s="94">
        <f>IF(TrRoad_act!G82=0,0,TrRoad_ene!G85/TrRoad_tech!G113)</f>
        <v>1.4999965265203483</v>
      </c>
      <c r="H140" s="94">
        <f>IF(TrRoad_act!H82=0,0,TrRoad_ene!H85/TrRoad_tech!H113)</f>
        <v>1.7913961471903441</v>
      </c>
      <c r="I140" s="94">
        <f>IF(TrRoad_act!I82=0,0,TrRoad_ene!I85/TrRoad_tech!I113)</f>
        <v>1.974471916738344</v>
      </c>
      <c r="J140" s="94">
        <f>IF(TrRoad_act!J82=0,0,TrRoad_ene!J85/TrRoad_tech!J113)</f>
        <v>2.0027851469281419</v>
      </c>
      <c r="K140" s="94">
        <f>IF(TrRoad_act!K82=0,0,TrRoad_ene!K85/TrRoad_tech!K113)</f>
        <v>2.0941008725560346</v>
      </c>
      <c r="L140" s="94">
        <f>IF(TrRoad_act!L82=0,0,TrRoad_ene!L85/TrRoad_tech!L113)</f>
        <v>1.8831894084188165</v>
      </c>
      <c r="M140" s="94">
        <f>IF(TrRoad_act!M82=0,0,TrRoad_ene!M85/TrRoad_tech!M113)</f>
        <v>1.7669092320600741</v>
      </c>
      <c r="N140" s="94">
        <f>IF(TrRoad_act!N82=0,0,TrRoad_ene!N85/TrRoad_tech!N113)</f>
        <v>1.7214214713504006</v>
      </c>
      <c r="O140" s="94">
        <f>IF(TrRoad_act!O82=0,0,TrRoad_ene!O85/TrRoad_tech!O113)</f>
        <v>1.3658677983387528</v>
      </c>
      <c r="P140" s="94">
        <f>IF(TrRoad_act!P82=0,0,TrRoad_ene!P85/TrRoad_tech!P113)</f>
        <v>1.3451484378893428</v>
      </c>
      <c r="Q140" s="94">
        <f>IF(TrRoad_act!Q82=0,0,TrRoad_ene!Q85/TrRoad_tech!Q113)</f>
        <v>1.2577014513962672</v>
      </c>
      <c r="R140" s="94">
        <f>IF(TrRoad_act!R82=0,0,TrRoad_ene!R85/TrRoad_tech!R113)</f>
        <v>1.53353969768995</v>
      </c>
      <c r="S140" s="94">
        <f>IF(TrRoad_act!S82=0,0,TrRoad_ene!S85/TrRoad_tech!S113)</f>
        <v>1.6306495079730883</v>
      </c>
      <c r="T140" s="94">
        <f>IF(TrRoad_act!T82=0,0,TrRoad_ene!T85/TrRoad_tech!T113)</f>
        <v>1.6689523174690917</v>
      </c>
      <c r="U140" s="94">
        <f>IF(TrRoad_act!U82=0,0,TrRoad_ene!U85/TrRoad_tech!U113)</f>
        <v>1.6234673071626708</v>
      </c>
      <c r="V140" s="94">
        <f>IF(TrRoad_act!V82=0,0,TrRoad_ene!V85/TrRoad_tech!V113)</f>
        <v>1.1127220500398918</v>
      </c>
      <c r="W140" s="94">
        <f>IF(TrRoad_act!W82=0,0,TrRoad_ene!W85/TrRoad_tech!W113)</f>
        <v>1.0947946465129084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3.4357723195946539</v>
      </c>
      <c r="C144" s="141">
        <v>3.4170676649082932</v>
      </c>
      <c r="D144" s="141">
        <v>3.3964041211926199</v>
      </c>
      <c r="E144" s="141">
        <v>3.3538921975390452</v>
      </c>
      <c r="F144" s="141">
        <v>3.3492476395479085</v>
      </c>
      <c r="G144" s="141">
        <v>3.4015796339158437</v>
      </c>
      <c r="H144" s="141">
        <v>3.3675638375766854</v>
      </c>
      <c r="I144" s="141">
        <v>3.3335480412375267</v>
      </c>
      <c r="J144" s="141">
        <v>3.2822626867569489</v>
      </c>
      <c r="K144" s="141">
        <v>3.1015975508156264</v>
      </c>
      <c r="L144" s="141">
        <v>2.9887907524590731</v>
      </c>
      <c r="M144" s="141">
        <v>2.9082556562557902</v>
      </c>
      <c r="N144" s="141">
        <v>2.8176834378266609</v>
      </c>
      <c r="O144" s="141">
        <v>2.7010850677821172</v>
      </c>
      <c r="P144" s="141">
        <v>2.6559333752964522</v>
      </c>
      <c r="Q144" s="141">
        <v>2.5831274668700197</v>
      </c>
      <c r="R144" s="141">
        <v>2.5295900275505008</v>
      </c>
      <c r="S144" s="141">
        <v>2.4867600760948858</v>
      </c>
      <c r="T144" s="141">
        <v>2.4524961149303937</v>
      </c>
      <c r="U144" s="141">
        <v>2.4250849459987998</v>
      </c>
      <c r="V144" s="141">
        <v>2.4031560108535248</v>
      </c>
      <c r="W144" s="141">
        <v>2.3856128627373048</v>
      </c>
      <c r="DA144" s="174" t="s">
        <v>885</v>
      </c>
    </row>
    <row r="145" spans="1:105" ht="11.45" customHeight="1" x14ac:dyDescent="0.25">
      <c r="A145" s="109" t="s">
        <v>20</v>
      </c>
      <c r="B145" s="130">
        <v>6.5837502661664553</v>
      </c>
      <c r="C145" s="130">
        <v>6.6046609524162339</v>
      </c>
      <c r="D145" s="130">
        <v>6.5829646155446984</v>
      </c>
      <c r="E145" s="130">
        <v>6.5464027652928038</v>
      </c>
      <c r="F145" s="130">
        <v>6.5401703147848336</v>
      </c>
      <c r="G145" s="130">
        <v>6.6334541346890799</v>
      </c>
      <c r="H145" s="130">
        <v>6.7010525141444752</v>
      </c>
      <c r="I145" s="130">
        <v>6.7053054373384153</v>
      </c>
      <c r="J145" s="130">
        <v>6.6469532780441876</v>
      </c>
      <c r="K145" s="130">
        <v>6.3819487728015298</v>
      </c>
      <c r="L145" s="130">
        <v>6.0946075327712634</v>
      </c>
      <c r="M145" s="130">
        <v>5.9911330617076546</v>
      </c>
      <c r="N145" s="130">
        <v>5.8241101397748194</v>
      </c>
      <c r="O145" s="130">
        <v>5.5171767448123239</v>
      </c>
      <c r="P145" s="130">
        <v>5.40830815687859</v>
      </c>
      <c r="Q145" s="130">
        <v>5.1610198120469386</v>
      </c>
      <c r="R145" s="130">
        <v>4.9352001417711717</v>
      </c>
      <c r="S145" s="130">
        <v>5.062207468269734</v>
      </c>
      <c r="T145" s="130">
        <v>5.1715512123014236</v>
      </c>
      <c r="U145" s="130">
        <v>5.1903208054297343</v>
      </c>
      <c r="V145" s="130">
        <v>4.9838045610792046</v>
      </c>
      <c r="W145" s="130">
        <v>4.720116141309556</v>
      </c>
      <c r="DA145" s="176" t="s">
        <v>886</v>
      </c>
    </row>
    <row r="146" spans="1:105" ht="11.45" customHeight="1" x14ac:dyDescent="0.25">
      <c r="A146" s="111" t="s">
        <v>110</v>
      </c>
      <c r="B146" s="96">
        <v>6.7066059909731415</v>
      </c>
      <c r="C146" s="96">
        <v>6.7090361794498525</v>
      </c>
      <c r="D146" s="96">
        <v>6.6684655861871587</v>
      </c>
      <c r="E146" s="96">
        <v>6.5849981041765258</v>
      </c>
      <c r="F146" s="96">
        <v>6.5758790258743627</v>
      </c>
      <c r="G146" s="96">
        <v>6.6786271356536488</v>
      </c>
      <c r="H146" s="96">
        <v>6.6786271356536488</v>
      </c>
      <c r="I146" s="96">
        <v>6.6786271356536488</v>
      </c>
      <c r="J146" s="96">
        <v>6.5758790258743627</v>
      </c>
      <c r="K146" s="96">
        <v>6.2139238164584079</v>
      </c>
      <c r="L146" s="96">
        <v>5.9875272525571823</v>
      </c>
      <c r="M146" s="96">
        <v>5.8240088236995051</v>
      </c>
      <c r="N146" s="96">
        <v>5.6400641101204876</v>
      </c>
      <c r="O146" s="96">
        <v>5.4105768414710607</v>
      </c>
      <c r="P146" s="96">
        <v>5.322372242143846</v>
      </c>
      <c r="Q146" s="96">
        <v>5.1251101005518702</v>
      </c>
      <c r="R146" s="96">
        <v>4.9960061191423044</v>
      </c>
      <c r="S146" s="96">
        <v>5.0386825118126044</v>
      </c>
      <c r="T146" s="96">
        <v>5.0575351282335115</v>
      </c>
      <c r="U146" s="96">
        <v>5.0863617030085901</v>
      </c>
      <c r="V146" s="96">
        <v>4.9268323877697791</v>
      </c>
      <c r="W146" s="96">
        <v>4.6721741147899998</v>
      </c>
      <c r="DA146" s="171" t="s">
        <v>887</v>
      </c>
    </row>
    <row r="147" spans="1:105" ht="11.45" customHeight="1" x14ac:dyDescent="0.25">
      <c r="A147" s="111" t="s">
        <v>111</v>
      </c>
      <c r="B147" s="96">
        <v>6.3518253077944706</v>
      </c>
      <c r="C147" s="96">
        <v>6.3869281417922199</v>
      </c>
      <c r="D147" s="96">
        <v>6.3834025565765531</v>
      </c>
      <c r="E147" s="96">
        <v>6.3979455955911746</v>
      </c>
      <c r="F147" s="96">
        <v>6.3557487475411776</v>
      </c>
      <c r="G147" s="96">
        <v>6.4587754684444008</v>
      </c>
      <c r="H147" s="96">
        <v>6.5657345069393482</v>
      </c>
      <c r="I147" s="96">
        <v>6.5770820519897573</v>
      </c>
      <c r="J147" s="96">
        <v>6.6780864381315217</v>
      </c>
      <c r="K147" s="96">
        <v>6.4156516537970463</v>
      </c>
      <c r="L147" s="96">
        <v>6.1692175122025992</v>
      </c>
      <c r="M147" s="96">
        <v>5.9696771433541516</v>
      </c>
      <c r="N147" s="96">
        <v>5.8533865144788564</v>
      </c>
      <c r="O147" s="96">
        <v>5.5781321111995972</v>
      </c>
      <c r="P147" s="96">
        <v>5.4362441871583922</v>
      </c>
      <c r="Q147" s="96">
        <v>5.2010992720825415</v>
      </c>
      <c r="R147" s="96">
        <v>4.8706245744476062</v>
      </c>
      <c r="S147" s="96">
        <v>5.1128157625973651</v>
      </c>
      <c r="T147" s="96">
        <v>5.3496175979704006</v>
      </c>
      <c r="U147" s="96">
        <v>5.3668365989144879</v>
      </c>
      <c r="V147" s="96">
        <v>5.1774950534942539</v>
      </c>
      <c r="W147" s="96">
        <v>4.9077143329852344</v>
      </c>
      <c r="DA147" s="171" t="s">
        <v>888</v>
      </c>
    </row>
    <row r="148" spans="1:105" ht="11.45" customHeight="1" x14ac:dyDescent="0.25">
      <c r="A148" s="111" t="s">
        <v>112</v>
      </c>
      <c r="B148" s="96">
        <v>7.775709133922363</v>
      </c>
      <c r="C148" s="96">
        <v>7.9895255779358116</v>
      </c>
      <c r="D148" s="96">
        <v>7.9851153587142338</v>
      </c>
      <c r="E148" s="96">
        <v>8.0033075130032305</v>
      </c>
      <c r="F148" s="96">
        <v>7.9505227016950011</v>
      </c>
      <c r="G148" s="96">
        <v>8.0794007168524065</v>
      </c>
      <c r="H148" s="96">
        <v>8.2131977402219238</v>
      </c>
      <c r="I148" s="96">
        <v>8.2273925924911691</v>
      </c>
      <c r="J148" s="96">
        <v>8.35374083199663</v>
      </c>
      <c r="K148" s="96">
        <v>8.0254563460227537</v>
      </c>
      <c r="L148" s="96">
        <v>7.7171873575770782</v>
      </c>
      <c r="M148" s="96">
        <v>8.0710828432118262</v>
      </c>
      <c r="N148" s="96">
        <v>6.5984759068326166</v>
      </c>
      <c r="O148" s="96">
        <v>5.8894428074395675</v>
      </c>
      <c r="P148" s="96">
        <v>5.8703870914738641</v>
      </c>
      <c r="Q148" s="96">
        <v>5.8008067172296167</v>
      </c>
      <c r="R148" s="96">
        <v>4.750459668131227</v>
      </c>
      <c r="S148" s="96">
        <v>5.9669703041818547</v>
      </c>
      <c r="T148" s="96">
        <v>5.9819622627160376</v>
      </c>
      <c r="U148" s="96">
        <v>5.3260868522916898</v>
      </c>
      <c r="V148" s="96">
        <v>4.7425517870859277</v>
      </c>
      <c r="W148" s="96">
        <v>5.0381518323248651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7.4573682603245954</v>
      </c>
      <c r="K149" s="96">
        <v>7.6892827926635068</v>
      </c>
      <c r="L149" s="96">
        <v>6.8647926943986501</v>
      </c>
      <c r="M149" s="96">
        <v>7.3708214335122717</v>
      </c>
      <c r="N149" s="96">
        <v>6.2902707536039575</v>
      </c>
      <c r="O149" s="96">
        <v>5.6230295239028383</v>
      </c>
      <c r="P149" s="96">
        <v>5.0055078359408274</v>
      </c>
      <c r="Q149" s="96">
        <v>4.8265146103708938</v>
      </c>
      <c r="R149" s="96">
        <v>4.995371501793656</v>
      </c>
      <c r="S149" s="96">
        <v>4.9791670138555428</v>
      </c>
      <c r="T149" s="96">
        <v>5.2724912367823693</v>
      </c>
      <c r="U149" s="96">
        <v>4.928499498693661</v>
      </c>
      <c r="V149" s="96">
        <v>4.8118088478023955</v>
      </c>
      <c r="W149" s="96">
        <v>4.3911790398308357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2.4466514969593725</v>
      </c>
      <c r="O150" s="96">
        <v>2.6791097697095374</v>
      </c>
      <c r="P150" s="96">
        <v>1.9504823565571603</v>
      </c>
      <c r="Q150" s="96">
        <v>3.5186546984714946</v>
      </c>
      <c r="R150" s="96">
        <v>2.2153711661858084</v>
      </c>
      <c r="S150" s="96">
        <v>3.2255956608504976</v>
      </c>
      <c r="T150" s="96">
        <v>2.8578682665550978</v>
      </c>
      <c r="U150" s="96">
        <v>2.8957629555798476</v>
      </c>
      <c r="V150" s="96">
        <v>2.8148355158953517</v>
      </c>
      <c r="W150" s="96">
        <v>2.5999557425733388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1.1136741883026875</v>
      </c>
      <c r="M151" s="96">
        <v>1.1136741883026875</v>
      </c>
      <c r="N151" s="96">
        <v>1.0275224467238098</v>
      </c>
      <c r="O151" s="96">
        <v>1.0699457484179602</v>
      </c>
      <c r="P151" s="96">
        <v>1.0619372629096431</v>
      </c>
      <c r="Q151" s="96">
        <v>1.1171790879443499</v>
      </c>
      <c r="R151" s="96">
        <v>1.3153243527276199</v>
      </c>
      <c r="S151" s="96">
        <v>1.1610503074270757</v>
      </c>
      <c r="T151" s="96">
        <v>1.2415298828300456</v>
      </c>
      <c r="U151" s="96">
        <v>1.4965215352145702</v>
      </c>
      <c r="V151" s="96">
        <v>1.3280303212579321</v>
      </c>
      <c r="W151" s="96">
        <v>1.4918085847209097</v>
      </c>
      <c r="DA151" s="171" t="s">
        <v>892</v>
      </c>
    </row>
    <row r="152" spans="1:105" ht="11.45" customHeight="1" x14ac:dyDescent="0.25">
      <c r="A152" s="109" t="s">
        <v>21</v>
      </c>
      <c r="B152" s="130">
        <v>46.322760871828045</v>
      </c>
      <c r="C152" s="130">
        <v>45.87692262924562</v>
      </c>
      <c r="D152" s="130">
        <v>43.363267718641055</v>
      </c>
      <c r="E152" s="130">
        <v>45.416845038136749</v>
      </c>
      <c r="F152" s="130">
        <v>45.874629267678884</v>
      </c>
      <c r="G152" s="130">
        <v>46.041914321800824</v>
      </c>
      <c r="H152" s="130">
        <v>45.543677058152845</v>
      </c>
      <c r="I152" s="130">
        <v>46.205038907529087</v>
      </c>
      <c r="J152" s="130">
        <v>46.02525276392003</v>
      </c>
      <c r="K152" s="130">
        <v>45.36464086357914</v>
      </c>
      <c r="L152" s="130">
        <v>44.895300729385987</v>
      </c>
      <c r="M152" s="130">
        <v>44.631606047129644</v>
      </c>
      <c r="N152" s="130">
        <v>44.141634225703164</v>
      </c>
      <c r="O152" s="130">
        <v>43.652010041253305</v>
      </c>
      <c r="P152" s="130">
        <v>41.469585595854312</v>
      </c>
      <c r="Q152" s="130">
        <v>39.781354950697285</v>
      </c>
      <c r="R152" s="130">
        <v>41.748979902898597</v>
      </c>
      <c r="S152" s="130">
        <v>38.382784495918834</v>
      </c>
      <c r="T152" s="130">
        <v>41.270559553626882</v>
      </c>
      <c r="U152" s="130">
        <v>40.141356130642372</v>
      </c>
      <c r="V152" s="130">
        <v>40.4116204588776</v>
      </c>
      <c r="W152" s="130">
        <v>41.107967473045221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46.322760871828045</v>
      </c>
      <c r="C154" s="97">
        <v>46.259441683593096</v>
      </c>
      <c r="D154" s="97">
        <v>46.189188536260367</v>
      </c>
      <c r="E154" s="97">
        <v>46.043284280042087</v>
      </c>
      <c r="F154" s="97">
        <v>46.027327219423206</v>
      </c>
      <c r="G154" s="97">
        <v>46.205038907529087</v>
      </c>
      <c r="H154" s="97">
        <v>46.205038907529087</v>
      </c>
      <c r="I154" s="97">
        <v>46.205038907529087</v>
      </c>
      <c r="J154" s="97">
        <v>46.025252763920022</v>
      </c>
      <c r="K154" s="97">
        <v>45.36464086357914</v>
      </c>
      <c r="L154" s="97">
        <v>44.940589430260083</v>
      </c>
      <c r="M154" s="97">
        <v>44.631606047129644</v>
      </c>
      <c r="N154" s="97">
        <v>44.275803326693143</v>
      </c>
      <c r="O154" s="97">
        <v>43.80308878539519</v>
      </c>
      <c r="P154" s="97">
        <v>43.617710129719562</v>
      </c>
      <c r="Q154" s="97">
        <v>43.199999999908329</v>
      </c>
      <c r="R154" s="97">
        <v>42.827482191666853</v>
      </c>
      <c r="S154" s="97">
        <v>42.494963435600212</v>
      </c>
      <c r="T154" s="97">
        <v>42.197904501353534</v>
      </c>
      <c r="U154" s="97">
        <v>41.93232734730406</v>
      </c>
      <c r="V154" s="97">
        <v>41.694737289356681</v>
      </c>
      <c r="W154" s="97">
        <v>41.482057450558116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34.519200907774355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38.54953473632758</v>
      </c>
      <c r="D156" s="97">
        <v>38.490990446883636</v>
      </c>
      <c r="E156" s="97">
        <v>38.369403566701742</v>
      </c>
      <c r="F156" s="97">
        <v>38.356106016186004</v>
      </c>
      <c r="G156" s="97">
        <v>38.504199089607575</v>
      </c>
      <c r="H156" s="97">
        <v>38.504199089607575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36.896502772244283</v>
      </c>
      <c r="O156" s="97">
        <v>36.502573987829322</v>
      </c>
      <c r="P156" s="97">
        <v>36.348091774766303</v>
      </c>
      <c r="Q156" s="97">
        <v>35.99999999992361</v>
      </c>
      <c r="R156" s="97">
        <v>35.68956849305571</v>
      </c>
      <c r="S156" s="97">
        <v>35.412469529666836</v>
      </c>
      <c r="T156" s="97">
        <v>35.164920417794605</v>
      </c>
      <c r="U156" s="97">
        <v>34.94360612275338</v>
      </c>
      <c r="V156" s="97">
        <v>34.745614407797234</v>
      </c>
      <c r="W156" s="97">
        <v>34.568381208798428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23.73774725233126</v>
      </c>
      <c r="D157" s="97">
        <v>0</v>
      </c>
      <c r="E157" s="97">
        <v>0</v>
      </c>
      <c r="F157" s="97">
        <v>23.032712421189768</v>
      </c>
      <c r="G157" s="97">
        <v>0</v>
      </c>
      <c r="H157" s="97">
        <v>22.57436144400809</v>
      </c>
      <c r="I157" s="97">
        <v>0</v>
      </c>
      <c r="J157" s="97">
        <v>0</v>
      </c>
      <c r="K157" s="97">
        <v>0</v>
      </c>
      <c r="L157" s="97">
        <v>21.684841531412008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20.49872912217522</v>
      </c>
      <c r="V157" s="97">
        <v>20.425934084007903</v>
      </c>
      <c r="W157" s="97">
        <v>20.3606396015259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8.3962725032555969</v>
      </c>
      <c r="C159" s="141">
        <v>8.3627063507633732</v>
      </c>
      <c r="D159" s="141">
        <v>8.4005084833444723</v>
      </c>
      <c r="E159" s="141">
        <v>8.574273225235082</v>
      </c>
      <c r="F159" s="141">
        <v>8.5081442771024545</v>
      </c>
      <c r="G159" s="141">
        <v>8.4860059782605912</v>
      </c>
      <c r="H159" s="141">
        <v>8.4511600235330491</v>
      </c>
      <c r="I159" s="141">
        <v>8.4653201045706528</v>
      </c>
      <c r="J159" s="141">
        <v>8.4805115151468407</v>
      </c>
      <c r="K159" s="141">
        <v>8.5532761288268375</v>
      </c>
      <c r="L159" s="141">
        <v>8.564616803796941</v>
      </c>
      <c r="M159" s="141">
        <v>8.7534975371152886</v>
      </c>
      <c r="N159" s="141">
        <v>8.3272685769659187</v>
      </c>
      <c r="O159" s="141">
        <v>7.8179573955104509</v>
      </c>
      <c r="P159" s="141">
        <v>7.7863902695739435</v>
      </c>
      <c r="Q159" s="141">
        <v>7.4155329762408355</v>
      </c>
      <c r="R159" s="141">
        <v>7.6641055944492669</v>
      </c>
      <c r="S159" s="141">
        <v>6.8599188527735544</v>
      </c>
      <c r="T159" s="141">
        <v>6.724886078674789</v>
      </c>
      <c r="U159" s="141">
        <v>6.5997083675542481</v>
      </c>
      <c r="V159" s="141">
        <v>6.9613964447036416</v>
      </c>
      <c r="W159" s="141">
        <v>6.5587281139323359</v>
      </c>
      <c r="DA159" s="174" t="s">
        <v>899</v>
      </c>
    </row>
    <row r="160" spans="1:105" ht="11.45" customHeight="1" x14ac:dyDescent="0.25">
      <c r="A160" s="111" t="s">
        <v>110</v>
      </c>
      <c r="B160" s="96">
        <v>7.5983272951861807</v>
      </c>
      <c r="C160" s="96">
        <v>7.5569613154209163</v>
      </c>
      <c r="D160" s="96">
        <v>7.511263185968442</v>
      </c>
      <c r="E160" s="96">
        <v>7.417246621475619</v>
      </c>
      <c r="F160" s="96">
        <v>7.4069750235711629</v>
      </c>
      <c r="G160" s="96">
        <v>7.522709008314461</v>
      </c>
      <c r="H160" s="96">
        <v>7.522709008314461</v>
      </c>
      <c r="I160" s="96">
        <v>7.522709008314461</v>
      </c>
      <c r="J160" s="96">
        <v>7.4069750235711611</v>
      </c>
      <c r="K160" s="96">
        <v>6.99927391087635</v>
      </c>
      <c r="L160" s="96">
        <v>6.744706492708616</v>
      </c>
      <c r="M160" s="96">
        <v>6.5629655709641668</v>
      </c>
      <c r="N160" s="96">
        <v>6.3585742032529149</v>
      </c>
      <c r="O160" s="96">
        <v>6.3586753272244003</v>
      </c>
      <c r="P160" s="96">
        <v>6.1283461367029322</v>
      </c>
      <c r="Q160" s="96">
        <v>6.248178214793966</v>
      </c>
      <c r="R160" s="96">
        <v>5.7096579604153295</v>
      </c>
      <c r="S160" s="96">
        <v>5.8517445385721931</v>
      </c>
      <c r="T160" s="96">
        <v>5.7264762610368978</v>
      </c>
      <c r="U160" s="96">
        <v>6.243298751460288</v>
      </c>
      <c r="V160" s="96">
        <v>5.6896133239115771</v>
      </c>
      <c r="W160" s="96">
        <v>5.5006175359279501</v>
      </c>
      <c r="DA160" s="171" t="s">
        <v>900</v>
      </c>
    </row>
    <row r="161" spans="1:105" ht="11.45" customHeight="1" x14ac:dyDescent="0.25">
      <c r="A161" s="111" t="s">
        <v>111</v>
      </c>
      <c r="B161" s="96">
        <v>8.5644054390632522</v>
      </c>
      <c r="C161" s="96">
        <v>8.5601505239212035</v>
      </c>
      <c r="D161" s="96">
        <v>8.5554253196506949</v>
      </c>
      <c r="E161" s="96">
        <v>8.5749167872665275</v>
      </c>
      <c r="F161" s="96">
        <v>8.5183619986539156</v>
      </c>
      <c r="G161" s="96">
        <v>8.6564446918263709</v>
      </c>
      <c r="H161" s="96">
        <v>8.7997977167992971</v>
      </c>
      <c r="I161" s="96">
        <v>8.8150063885663847</v>
      </c>
      <c r="J161" s="96">
        <v>8.9503786253843067</v>
      </c>
      <c r="K161" s="96">
        <v>8.5986475260603221</v>
      </c>
      <c r="L161" s="96">
        <v>8.2683614637389997</v>
      </c>
      <c r="M161" s="96">
        <v>8.000925294892026</v>
      </c>
      <c r="N161" s="96">
        <v>7.8450655035190424</v>
      </c>
      <c r="O161" s="96">
        <v>7.5406497902958689</v>
      </c>
      <c r="P161" s="96">
        <v>7.6581457594092122</v>
      </c>
      <c r="Q161" s="96">
        <v>7.3678751942852792</v>
      </c>
      <c r="R161" s="96">
        <v>7.3961007080809962</v>
      </c>
      <c r="S161" s="96">
        <v>7.0211568855438387</v>
      </c>
      <c r="T161" s="96">
        <v>6.9072853864988417</v>
      </c>
      <c r="U161" s="96">
        <v>6.8695658757522802</v>
      </c>
      <c r="V161" s="96">
        <v>7.4350380775375839</v>
      </c>
      <c r="W161" s="96">
        <v>6.9666964026086831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12.397087075284206</v>
      </c>
      <c r="D162" s="96">
        <v>12.39024388150785</v>
      </c>
      <c r="E162" s="96">
        <v>12.418472055835311</v>
      </c>
      <c r="F162" s="96">
        <v>12.336567580324555</v>
      </c>
      <c r="G162" s="96">
        <v>12.536543406224464</v>
      </c>
      <c r="H162" s="96">
        <v>12.744151897235049</v>
      </c>
      <c r="I162" s="96">
        <v>12.766177587983025</v>
      </c>
      <c r="J162" s="96">
        <v>12.962228043254578</v>
      </c>
      <c r="K162" s="96">
        <v>12.452839679905159</v>
      </c>
      <c r="L162" s="96">
        <v>11.974508713304989</v>
      </c>
      <c r="M162" s="96">
        <v>12.523636832135985</v>
      </c>
      <c r="N162" s="96">
        <v>10.238640527927737</v>
      </c>
      <c r="O162" s="96">
        <v>9.8729747947874618</v>
      </c>
      <c r="P162" s="96">
        <v>7.418174689220753</v>
      </c>
      <c r="Q162" s="96">
        <v>7.2239015884967159</v>
      </c>
      <c r="R162" s="96">
        <v>6.4099052044589619</v>
      </c>
      <c r="S162" s="96">
        <v>5.7629581381338593</v>
      </c>
      <c r="T162" s="96">
        <v>5.6703795480800272</v>
      </c>
      <c r="U162" s="96">
        <v>6.1517882163599431</v>
      </c>
      <c r="V162" s="96">
        <v>0</v>
      </c>
      <c r="W162" s="96">
        <v>8.2355060123087238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10.100357543684442</v>
      </c>
      <c r="O163" s="96">
        <v>9.1844500234551489</v>
      </c>
      <c r="P163" s="96">
        <v>8.7164913739158525</v>
      </c>
      <c r="Q163" s="96">
        <v>6.9155293659121853</v>
      </c>
      <c r="R163" s="96">
        <v>9.9264671761725793</v>
      </c>
      <c r="S163" s="96">
        <v>7.2580857348722221</v>
      </c>
      <c r="T163" s="96">
        <v>6.6096968421397548</v>
      </c>
      <c r="U163" s="96">
        <v>6.7240623246231719</v>
      </c>
      <c r="V163" s="96">
        <v>6.8978353782162101</v>
      </c>
      <c r="W163" s="96">
        <v>7.9020106444952134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1.5082279761507789</v>
      </c>
      <c r="K164" s="96">
        <v>1.5048180805896343</v>
      </c>
      <c r="L164" s="96">
        <v>1.4837314243017681</v>
      </c>
      <c r="M164" s="96">
        <v>1.4911978814722466</v>
      </c>
      <c r="N164" s="96">
        <v>1.4649620477680525</v>
      </c>
      <c r="O164" s="96">
        <v>1.4644185635009146</v>
      </c>
      <c r="P164" s="96">
        <v>1.4769340478808226</v>
      </c>
      <c r="Q164" s="96">
        <v>1.5584694754944111</v>
      </c>
      <c r="R164" s="96">
        <v>1.4482250337796336</v>
      </c>
      <c r="S164" s="96">
        <v>1.4425557245849596</v>
      </c>
      <c r="T164" s="96">
        <v>1.7394668959587276</v>
      </c>
      <c r="U164" s="96">
        <v>1.9108217663677678</v>
      </c>
      <c r="V164" s="96">
        <v>1.8495270851246775</v>
      </c>
      <c r="W164" s="96">
        <v>2.1111016918363146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27.999537951976727</v>
      </c>
      <c r="D165" s="130">
        <v>27.630957028268188</v>
      </c>
      <c r="E165" s="130">
        <v>28.463549554033737</v>
      </c>
      <c r="F165" s="130">
        <v>29.888314063770213</v>
      </c>
      <c r="G165" s="130">
        <v>27.070134355955158</v>
      </c>
      <c r="H165" s="130">
        <v>26.725866276786423</v>
      </c>
      <c r="I165" s="130">
        <v>26.276650090679723</v>
      </c>
      <c r="J165" s="130">
        <v>25.576735380683733</v>
      </c>
      <c r="K165" s="130">
        <v>25.210429699465255</v>
      </c>
      <c r="L165" s="130">
        <v>25.814059329618932</v>
      </c>
      <c r="M165" s="130">
        <v>25.219719361822055</v>
      </c>
      <c r="N165" s="130">
        <v>24.104938295728143</v>
      </c>
      <c r="O165" s="130">
        <v>24.625833883354815</v>
      </c>
      <c r="P165" s="130">
        <v>23.268457618468155</v>
      </c>
      <c r="Q165" s="130">
        <v>23.021067221272293</v>
      </c>
      <c r="R165" s="130">
        <v>22.133967876418456</v>
      </c>
      <c r="S165" s="130">
        <v>21.944328635459645</v>
      </c>
      <c r="T165" s="130">
        <v>21.407410162426171</v>
      </c>
      <c r="U165" s="130">
        <v>21.468838066743292</v>
      </c>
      <c r="V165" s="130">
        <v>22.118365453370554</v>
      </c>
      <c r="W165" s="130">
        <v>21.630853544556519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27.250515463863266</v>
      </c>
      <c r="D166" s="97">
        <v>27.111243742710158</v>
      </c>
      <c r="E166" s="97">
        <v>26.937824526427779</v>
      </c>
      <c r="F166" s="97">
        <v>26.730698476511009</v>
      </c>
      <c r="G166" s="97">
        <v>26.49038818925483</v>
      </c>
      <c r="H166" s="97">
        <v>26.217494936858337</v>
      </c>
      <c r="I166" s="97">
        <v>25.912694963855202</v>
      </c>
      <c r="J166" s="97">
        <v>25.576735380683733</v>
      </c>
      <c r="K166" s="97">
        <v>25.210429699465255</v>
      </c>
      <c r="L166" s="97">
        <v>24.814653061160882</v>
      </c>
      <c r="M166" s="97">
        <v>24.390337204042652</v>
      </c>
      <c r="N166" s="97">
        <v>23.938465225349024</v>
      </c>
      <c r="O166" s="97">
        <v>23.460066188602596</v>
      </c>
      <c r="P166" s="97">
        <v>22.956209627832386</v>
      </c>
      <c r="Q166" s="97">
        <v>22.427999999952405</v>
      </c>
      <c r="R166" s="97">
        <v>22.008866596450872</v>
      </c>
      <c r="S166" s="97">
        <v>21.7154732139998</v>
      </c>
      <c r="T166" s="97">
        <v>21.407410162426171</v>
      </c>
      <c r="U166" s="97">
        <v>21.030888654947294</v>
      </c>
      <c r="V166" s="97">
        <v>21.002069194641798</v>
      </c>
      <c r="W166" s="97">
        <v>20.79204850269538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0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111.81887335941236</v>
      </c>
      <c r="C171" s="152">
        <v>111.36443944905854</v>
      </c>
      <c r="D171" s="152">
        <v>110.95704288919929</v>
      </c>
      <c r="E171" s="152">
        <v>110.8527047751848</v>
      </c>
      <c r="F171" s="152">
        <v>110.47656973399867</v>
      </c>
      <c r="G171" s="152">
        <v>109.50169658852755</v>
      </c>
      <c r="H171" s="152">
        <v>108.76370665362158</v>
      </c>
      <c r="I171" s="152">
        <v>107.9253568418451</v>
      </c>
      <c r="J171" s="152">
        <v>107.1787230776481</v>
      </c>
      <c r="K171" s="152">
        <v>106.68059518138956</v>
      </c>
      <c r="L171" s="152">
        <v>105.70583967326537</v>
      </c>
      <c r="M171" s="152">
        <v>104.72220213888073</v>
      </c>
      <c r="N171" s="152">
        <v>103.45073735120266</v>
      </c>
      <c r="O171" s="152">
        <v>102.84855681965685</v>
      </c>
      <c r="P171" s="152">
        <v>101.71357641617608</v>
      </c>
      <c r="Q171" s="152">
        <v>99.733284268180682</v>
      </c>
      <c r="R171" s="152">
        <v>98.365491036179748</v>
      </c>
      <c r="S171" s="152">
        <v>97.009610088283225</v>
      </c>
      <c r="T171" s="152">
        <v>95.612924991615813</v>
      </c>
      <c r="U171" s="152">
        <v>94.222992118146138</v>
      </c>
      <c r="V171" s="152">
        <v>92.861756032671508</v>
      </c>
      <c r="W171" s="152">
        <v>88.463161393403652</v>
      </c>
      <c r="DA171" s="174" t="s">
        <v>908</v>
      </c>
    </row>
    <row r="172" spans="1:105" ht="11.45" customHeight="1" x14ac:dyDescent="0.25">
      <c r="A172" s="109" t="s">
        <v>20</v>
      </c>
      <c r="B172" s="116">
        <v>223.38226158094849</v>
      </c>
      <c r="C172" s="116">
        <v>219.72219706976722</v>
      </c>
      <c r="D172" s="116">
        <v>217.59714918680851</v>
      </c>
      <c r="E172" s="116">
        <v>215.66232728430592</v>
      </c>
      <c r="F172" s="116">
        <v>213.52673029672081</v>
      </c>
      <c r="G172" s="116">
        <v>211.88427848013202</v>
      </c>
      <c r="H172" s="116">
        <v>210.38117579842921</v>
      </c>
      <c r="I172" s="116">
        <v>209.12489452400064</v>
      </c>
      <c r="J172" s="116">
        <v>208.39065312651209</v>
      </c>
      <c r="K172" s="116">
        <v>206.03987779167673</v>
      </c>
      <c r="L172" s="116">
        <v>204.87145259698545</v>
      </c>
      <c r="M172" s="116">
        <v>202.28491431961243</v>
      </c>
      <c r="N172" s="116">
        <v>200.59067772062875</v>
      </c>
      <c r="O172" s="116">
        <v>200.5466601163476</v>
      </c>
      <c r="P172" s="116">
        <v>196.33120141790397</v>
      </c>
      <c r="Q172" s="116">
        <v>193.58653101994906</v>
      </c>
      <c r="R172" s="116">
        <v>189.60315438191142</v>
      </c>
      <c r="S172" s="116">
        <v>186.58370362127343</v>
      </c>
      <c r="T172" s="116">
        <v>182.89679935433981</v>
      </c>
      <c r="U172" s="116">
        <v>179.75555140336516</v>
      </c>
      <c r="V172" s="116">
        <v>177.00414010485693</v>
      </c>
      <c r="W172" s="116">
        <v>173.91371489471211</v>
      </c>
      <c r="DA172" s="176" t="s">
        <v>909</v>
      </c>
    </row>
    <row r="173" spans="1:105" ht="11.45" customHeight="1" x14ac:dyDescent="0.25">
      <c r="A173" s="111" t="s">
        <v>110</v>
      </c>
      <c r="B173" s="87">
        <v>218.26973856771011</v>
      </c>
      <c r="C173" s="87">
        <v>215.43266194109788</v>
      </c>
      <c r="D173" s="87">
        <v>213.75626847561978</v>
      </c>
      <c r="E173" s="87">
        <v>212.15929773838474</v>
      </c>
      <c r="F173" s="87">
        <v>210.60099735531102</v>
      </c>
      <c r="G173" s="87">
        <v>208.98350791213946</v>
      </c>
      <c r="H173" s="87">
        <v>207.44011111658759</v>
      </c>
      <c r="I173" s="87">
        <v>205.82658652280205</v>
      </c>
      <c r="J173" s="87">
        <v>204.15864102083174</v>
      </c>
      <c r="K173" s="87">
        <v>202.26964412986132</v>
      </c>
      <c r="L173" s="87">
        <v>200.25329038175209</v>
      </c>
      <c r="M173" s="87">
        <v>198.15295550460547</v>
      </c>
      <c r="N173" s="87">
        <v>195.91127480928242</v>
      </c>
      <c r="O173" s="87">
        <v>193.72564024231315</v>
      </c>
      <c r="P173" s="87">
        <v>190.85802721022947</v>
      </c>
      <c r="Q173" s="87">
        <v>186.03327607930794</v>
      </c>
      <c r="R173" s="87">
        <v>182.03220803628514</v>
      </c>
      <c r="S173" s="87">
        <v>177.86931527683387</v>
      </c>
      <c r="T173" s="87">
        <v>173.44772035688786</v>
      </c>
      <c r="U173" s="87">
        <v>169.97152610114398</v>
      </c>
      <c r="V173" s="87">
        <v>167.54503676844413</v>
      </c>
      <c r="W173" s="87">
        <v>164.69316964770783</v>
      </c>
      <c r="DA173" s="171" t="s">
        <v>910</v>
      </c>
    </row>
    <row r="174" spans="1:105" ht="11.45" customHeight="1" x14ac:dyDescent="0.25">
      <c r="A174" s="111" t="s">
        <v>111</v>
      </c>
      <c r="B174" s="87">
        <v>222.14126207339703</v>
      </c>
      <c r="C174" s="87">
        <v>206.98281891763534</v>
      </c>
      <c r="D174" s="87">
        <v>202.8358303415215</v>
      </c>
      <c r="E174" s="87">
        <v>200.52858819916526</v>
      </c>
      <c r="F174" s="87">
        <v>198.43892494190334</v>
      </c>
      <c r="G174" s="87">
        <v>196.78708373214761</v>
      </c>
      <c r="H174" s="87">
        <v>197.70137145356568</v>
      </c>
      <c r="I174" s="87">
        <v>198.53959223840869</v>
      </c>
      <c r="J174" s="87">
        <v>199.33427507189893</v>
      </c>
      <c r="K174" s="87">
        <v>199.2521142440028</v>
      </c>
      <c r="L174" s="87">
        <v>198.83444234404138</v>
      </c>
      <c r="M174" s="87">
        <v>198.26088263767224</v>
      </c>
      <c r="N174" s="87">
        <v>197.68805390419234</v>
      </c>
      <c r="O174" s="87">
        <v>196.94739721331803</v>
      </c>
      <c r="P174" s="87">
        <v>195.39226218038641</v>
      </c>
      <c r="Q174" s="87">
        <v>192.56557036655423</v>
      </c>
      <c r="R174" s="87">
        <v>189.56344427362177</v>
      </c>
      <c r="S174" s="87">
        <v>187.05242075340993</v>
      </c>
      <c r="T174" s="87">
        <v>184.98248421076045</v>
      </c>
      <c r="U174" s="87">
        <v>182.90813803753031</v>
      </c>
      <c r="V174" s="87">
        <v>180.83013306308587</v>
      </c>
      <c r="W174" s="87">
        <v>177.92312984446522</v>
      </c>
      <c r="DA174" s="171" t="s">
        <v>911</v>
      </c>
    </row>
    <row r="175" spans="1:105" ht="11.45" customHeight="1" x14ac:dyDescent="0.25">
      <c r="A175" s="111" t="s">
        <v>112</v>
      </c>
      <c r="B175" s="87">
        <v>231.5697610122256</v>
      </c>
      <c r="C175" s="87">
        <v>222.04769080209664</v>
      </c>
      <c r="D175" s="87">
        <v>218.2540338562408</v>
      </c>
      <c r="E175" s="87">
        <v>215.46559735775483</v>
      </c>
      <c r="F175" s="87">
        <v>212.72272780076216</v>
      </c>
      <c r="G175" s="87">
        <v>211.30198602484037</v>
      </c>
      <c r="H175" s="87">
        <v>210.92114045629759</v>
      </c>
      <c r="I175" s="87">
        <v>210.6353013620157</v>
      </c>
      <c r="J175" s="87">
        <v>210.36702673385977</v>
      </c>
      <c r="K175" s="87">
        <v>210.04045348689141</v>
      </c>
      <c r="L175" s="87">
        <v>209.9260469462175</v>
      </c>
      <c r="M175" s="87">
        <v>210.58322484573509</v>
      </c>
      <c r="N175" s="87">
        <v>211.77523544376248</v>
      </c>
      <c r="O175" s="87">
        <v>212.2722342624842</v>
      </c>
      <c r="P175" s="87">
        <v>211.73863091045928</v>
      </c>
      <c r="Q175" s="87">
        <v>210.89681882891713</v>
      </c>
      <c r="R175" s="87">
        <v>210.89138559156996</v>
      </c>
      <c r="S175" s="87">
        <v>210.59112697422117</v>
      </c>
      <c r="T175" s="87">
        <v>210.38399244975696</v>
      </c>
      <c r="U175" s="87">
        <v>210.15326671046464</v>
      </c>
      <c r="V175" s="87">
        <v>209.21163850839358</v>
      </c>
      <c r="W175" s="87">
        <v>207.62022709366991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175.15827791535463</v>
      </c>
      <c r="K176" s="87">
        <v>177.12377845177991</v>
      </c>
      <c r="L176" s="87">
        <v>172.04034009194044</v>
      </c>
      <c r="M176" s="87">
        <v>172.32020357033795</v>
      </c>
      <c r="N176" s="87">
        <v>165.31113010441925</v>
      </c>
      <c r="O176" s="87">
        <v>153.28121092126909</v>
      </c>
      <c r="P176" s="87">
        <v>143.16402240946638</v>
      </c>
      <c r="Q176" s="87">
        <v>132.47148360131635</v>
      </c>
      <c r="R176" s="87">
        <v>126.21678367144104</v>
      </c>
      <c r="S176" s="87">
        <v>124.30040110505098</v>
      </c>
      <c r="T176" s="87">
        <v>124.19238348162997</v>
      </c>
      <c r="U176" s="87">
        <v>123.38132669425595</v>
      </c>
      <c r="V176" s="87">
        <v>121.94087425630092</v>
      </c>
      <c r="W176" s="87">
        <v>120.00683977617776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46.091990027446414</v>
      </c>
      <c r="O177" s="87">
        <v>48.184787310509215</v>
      </c>
      <c r="P177" s="87">
        <v>34.463395261426413</v>
      </c>
      <c r="Q177" s="87">
        <v>57.583118024663534</v>
      </c>
      <c r="R177" s="87">
        <v>47.646178297961967</v>
      </c>
      <c r="S177" s="87">
        <v>53.495261585475326</v>
      </c>
      <c r="T177" s="87">
        <v>51.586292616077245</v>
      </c>
      <c r="U177" s="87">
        <v>49.817985068095318</v>
      </c>
      <c r="V177" s="87">
        <v>44.437591670226851</v>
      </c>
      <c r="W177" s="87">
        <v>36.570450567836097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1410.4048790142372</v>
      </c>
      <c r="C179" s="116">
        <v>1393.9834141131105</v>
      </c>
      <c r="D179" s="116">
        <v>1278.5333097588743</v>
      </c>
      <c r="E179" s="116">
        <v>1367.989540972633</v>
      </c>
      <c r="F179" s="116">
        <v>1379.0871713451513</v>
      </c>
      <c r="G179" s="116">
        <v>1378.1487064219552</v>
      </c>
      <c r="H179" s="116">
        <v>1360.3445189407626</v>
      </c>
      <c r="I179" s="116">
        <v>1376.0899207787911</v>
      </c>
      <c r="J179" s="116">
        <v>1371.3405225539382</v>
      </c>
      <c r="K179" s="116">
        <v>1366.3761859414108</v>
      </c>
      <c r="L179" s="116">
        <v>1358.0458783054637</v>
      </c>
      <c r="M179" s="116">
        <v>1350.3713447699913</v>
      </c>
      <c r="N179" s="116">
        <v>1338.1194925330558</v>
      </c>
      <c r="O179" s="116">
        <v>1327.7607944696442</v>
      </c>
      <c r="P179" s="116">
        <v>1250.6726037499357</v>
      </c>
      <c r="Q179" s="116">
        <v>1185.1278992824098</v>
      </c>
      <c r="R179" s="116">
        <v>1271.8175359693173</v>
      </c>
      <c r="S179" s="116">
        <v>1140.5384642958793</v>
      </c>
      <c r="T179" s="116">
        <v>1273.8405833119937</v>
      </c>
      <c r="U179" s="116">
        <v>1229.6226085104643</v>
      </c>
      <c r="V179" s="116">
        <v>1224.0216491425635</v>
      </c>
      <c r="W179" s="116">
        <v>1252.9148334333684</v>
      </c>
      <c r="DA179" s="176" t="s">
        <v>916</v>
      </c>
    </row>
    <row r="180" spans="1:105" ht="11.45" customHeight="1" x14ac:dyDescent="0.25">
      <c r="A180" s="111" t="s">
        <v>110</v>
      </c>
      <c r="B180" s="101">
        <v>539.16088565951509</v>
      </c>
      <c r="C180" s="101">
        <v>539.16088565951509</v>
      </c>
      <c r="D180" s="101">
        <v>539.16088565951497</v>
      </c>
      <c r="E180" s="101">
        <v>539.16088565951497</v>
      </c>
      <c r="F180" s="101">
        <v>539.16088565951509</v>
      </c>
      <c r="G180" s="101">
        <v>539.1608856595152</v>
      </c>
      <c r="H180" s="101">
        <v>539.16088565951509</v>
      </c>
      <c r="I180" s="101">
        <v>539.1608856595152</v>
      </c>
      <c r="J180" s="101">
        <v>539.1608856595152</v>
      </c>
      <c r="K180" s="101">
        <v>539.16088565951509</v>
      </c>
      <c r="L180" s="101">
        <v>539.16088565951509</v>
      </c>
      <c r="M180" s="101">
        <v>539.16088565951509</v>
      </c>
      <c r="N180" s="101">
        <v>539.16088565951509</v>
      </c>
      <c r="O180" s="101">
        <v>539.16088565951509</v>
      </c>
      <c r="P180" s="101">
        <v>539.1608856595152</v>
      </c>
      <c r="Q180" s="101">
        <v>539.16088565951497</v>
      </c>
      <c r="R180" s="101">
        <v>539.16088565951497</v>
      </c>
      <c r="S180" s="101">
        <v>539.16088565951509</v>
      </c>
      <c r="T180" s="101">
        <v>539.1608856595152</v>
      </c>
      <c r="U180" s="101">
        <v>539.1608856595152</v>
      </c>
      <c r="V180" s="101">
        <v>539.1608856595152</v>
      </c>
      <c r="W180" s="101">
        <v>539.16088565951497</v>
      </c>
      <c r="DA180" s="175" t="s">
        <v>917</v>
      </c>
    </row>
    <row r="181" spans="1:105" ht="11.45" customHeight="1" x14ac:dyDescent="0.25">
      <c r="A181" s="111" t="s">
        <v>111</v>
      </c>
      <c r="B181" s="101">
        <v>1580.8386461633011</v>
      </c>
      <c r="C181" s="101">
        <v>1552.098935692256</v>
      </c>
      <c r="D181" s="101">
        <v>1546.2516934869032</v>
      </c>
      <c r="E181" s="101">
        <v>1533.3842007336041</v>
      </c>
      <c r="F181" s="101">
        <v>1516.6493280692271</v>
      </c>
      <c r="G181" s="101">
        <v>1507.1841245411267</v>
      </c>
      <c r="H181" s="101">
        <v>1498.2718219705209</v>
      </c>
      <c r="I181" s="101">
        <v>1489.1738277901975</v>
      </c>
      <c r="J181" s="101">
        <v>1478.3576004327792</v>
      </c>
      <c r="K181" s="101">
        <v>1467.8208910640087</v>
      </c>
      <c r="L181" s="101">
        <v>1458.9770993090499</v>
      </c>
      <c r="M181" s="101">
        <v>1448.1982253041801</v>
      </c>
      <c r="N181" s="101">
        <v>1435.8682771393119</v>
      </c>
      <c r="O181" s="101">
        <v>1421.4778159577538</v>
      </c>
      <c r="P181" s="101">
        <v>1412.4833723995214</v>
      </c>
      <c r="Q181" s="101">
        <v>1403.0662538070362</v>
      </c>
      <c r="R181" s="101">
        <v>1392.7142441080755</v>
      </c>
      <c r="S181" s="101">
        <v>1388.1281202508917</v>
      </c>
      <c r="T181" s="101">
        <v>1383.1727201230583</v>
      </c>
      <c r="U181" s="101">
        <v>1373.2305641638</v>
      </c>
      <c r="V181" s="101">
        <v>1355.8717019133435</v>
      </c>
      <c r="W181" s="101">
        <v>1345.777063141217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911.95268917582587</v>
      </c>
      <c r="W182" s="101">
        <v>911.95268917582564</v>
      </c>
      <c r="DA182" s="175" t="s">
        <v>919</v>
      </c>
    </row>
    <row r="183" spans="1:105" ht="11.45" customHeight="1" x14ac:dyDescent="0.25">
      <c r="A183" s="111" t="s">
        <v>113</v>
      </c>
      <c r="B183" s="101">
        <v>1016.4542591569549</v>
      </c>
      <c r="C183" s="101">
        <v>978.45469944585034</v>
      </c>
      <c r="D183" s="101">
        <v>947.11483882710729</v>
      </c>
      <c r="E183" s="101">
        <v>936.47315801945877</v>
      </c>
      <c r="F183" s="101">
        <v>933.080546618516</v>
      </c>
      <c r="G183" s="101">
        <v>929.66972937073081</v>
      </c>
      <c r="H183" s="101">
        <v>926.04707733062014</v>
      </c>
      <c r="I183" s="101">
        <v>906.22790040285474</v>
      </c>
      <c r="J183" s="101">
        <v>906.22790040285452</v>
      </c>
      <c r="K183" s="101">
        <v>906.22790040285463</v>
      </c>
      <c r="L183" s="101">
        <v>906.22790040285452</v>
      </c>
      <c r="M183" s="101">
        <v>906.2279004028544</v>
      </c>
      <c r="N183" s="101">
        <v>903.30636738168698</v>
      </c>
      <c r="O183" s="101">
        <v>898.86244922821913</v>
      </c>
      <c r="P183" s="101">
        <v>853.74208950493869</v>
      </c>
      <c r="Q183" s="101">
        <v>845.56612799820584</v>
      </c>
      <c r="R183" s="101">
        <v>844.04254739631938</v>
      </c>
      <c r="S183" s="101">
        <v>831.76624286439926</v>
      </c>
      <c r="T183" s="101">
        <v>831.15750512276361</v>
      </c>
      <c r="U183" s="101">
        <v>828.57851908168004</v>
      </c>
      <c r="V183" s="101">
        <v>826.53287579649077</v>
      </c>
      <c r="W183" s="101">
        <v>825.67050592531643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312.28269147124956</v>
      </c>
      <c r="C186" s="152">
        <v>294.37192136957725</v>
      </c>
      <c r="D186" s="152">
        <v>286.05075758831322</v>
      </c>
      <c r="E186" s="152">
        <v>285.16901664240453</v>
      </c>
      <c r="F186" s="152">
        <v>277.29947690085856</v>
      </c>
      <c r="G186" s="152">
        <v>274.62871852319512</v>
      </c>
      <c r="H186" s="152">
        <v>270.83851842170088</v>
      </c>
      <c r="I186" s="152">
        <v>268.36267160348666</v>
      </c>
      <c r="J186" s="152">
        <v>268.34205027184561</v>
      </c>
      <c r="K186" s="152">
        <v>260.74678318948969</v>
      </c>
      <c r="L186" s="152">
        <v>247.90587988127859</v>
      </c>
      <c r="M186" s="152">
        <v>236.47820778660417</v>
      </c>
      <c r="N186" s="152">
        <v>237.11087732846639</v>
      </c>
      <c r="O186" s="152">
        <v>234.80179219479558</v>
      </c>
      <c r="P186" s="152">
        <v>226.34360940281226</v>
      </c>
      <c r="Q186" s="152">
        <v>233.35801102177629</v>
      </c>
      <c r="R186" s="152">
        <v>219.88416458611385</v>
      </c>
      <c r="S186" s="152">
        <v>232.78254628873756</v>
      </c>
      <c r="T186" s="152">
        <v>232.53889240659433</v>
      </c>
      <c r="U186" s="152">
        <v>238.65405378420243</v>
      </c>
      <c r="V186" s="152">
        <v>231.0703808504893</v>
      </c>
      <c r="W186" s="152">
        <v>232.20679450812628</v>
      </c>
      <c r="DA186" s="174" t="s">
        <v>922</v>
      </c>
    </row>
    <row r="187" spans="1:105" ht="11.45" customHeight="1" x14ac:dyDescent="0.25">
      <c r="A187" s="111" t="s">
        <v>110</v>
      </c>
      <c r="B187" s="87">
        <v>247.2912400854398</v>
      </c>
      <c r="C187" s="87">
        <v>239.92914885923986</v>
      </c>
      <c r="D187" s="87">
        <v>236.25147019338775</v>
      </c>
      <c r="E187" s="87">
        <v>234.83706645962511</v>
      </c>
      <c r="F187" s="87">
        <v>232.60690916943125</v>
      </c>
      <c r="G187" s="87">
        <v>229.78779182421874</v>
      </c>
      <c r="H187" s="87">
        <v>226.64989565080222</v>
      </c>
      <c r="I187" s="87">
        <v>224.15214410850217</v>
      </c>
      <c r="J187" s="87">
        <v>221.94094045854291</v>
      </c>
      <c r="K187" s="87">
        <v>220.85514633454861</v>
      </c>
      <c r="L187" s="87">
        <v>219.81509613805355</v>
      </c>
      <c r="M187" s="87">
        <v>219.11479243350433</v>
      </c>
      <c r="N187" s="87">
        <v>218.4297877531813</v>
      </c>
      <c r="O187" s="87">
        <v>217.69060180823689</v>
      </c>
      <c r="P187" s="87">
        <v>215.41183467739552</v>
      </c>
      <c r="Q187" s="87">
        <v>211.80367454377068</v>
      </c>
      <c r="R187" s="87">
        <v>209.01087571898378</v>
      </c>
      <c r="S187" s="87">
        <v>205.74350212911565</v>
      </c>
      <c r="T187" s="87">
        <v>202.46640250539457</v>
      </c>
      <c r="U187" s="87">
        <v>199.06972891763516</v>
      </c>
      <c r="V187" s="87">
        <v>196.06702503441906</v>
      </c>
      <c r="W187" s="87">
        <v>191.92223311390489</v>
      </c>
      <c r="DA187" s="171" t="s">
        <v>923</v>
      </c>
    </row>
    <row r="188" spans="1:105" ht="11.45" customHeight="1" x14ac:dyDescent="0.25">
      <c r="A188" s="111" t="s">
        <v>111</v>
      </c>
      <c r="B188" s="87">
        <v>332.12965556215107</v>
      </c>
      <c r="C188" s="87">
        <v>301.97096231566951</v>
      </c>
      <c r="D188" s="87">
        <v>292.9131401330859</v>
      </c>
      <c r="E188" s="87">
        <v>285.00517108972196</v>
      </c>
      <c r="F188" s="87">
        <v>278.99141951383496</v>
      </c>
      <c r="G188" s="87">
        <v>274.87785154582519</v>
      </c>
      <c r="H188" s="87">
        <v>272.46406761174853</v>
      </c>
      <c r="I188" s="87">
        <v>270.55325953343322</v>
      </c>
      <c r="J188" s="87">
        <v>269.51217911983218</v>
      </c>
      <c r="K188" s="87">
        <v>268.00323316562759</v>
      </c>
      <c r="L188" s="87">
        <v>267.87606504057828</v>
      </c>
      <c r="M188" s="87">
        <v>268.32383501546349</v>
      </c>
      <c r="N188" s="87">
        <v>267.58630692740502</v>
      </c>
      <c r="O188" s="87">
        <v>266.48453598757322</v>
      </c>
      <c r="P188" s="87">
        <v>265.38474903162228</v>
      </c>
      <c r="Q188" s="87">
        <v>263.59296178051659</v>
      </c>
      <c r="R188" s="87">
        <v>261.30366659086133</v>
      </c>
      <c r="S188" s="87">
        <v>258.75776684783648</v>
      </c>
      <c r="T188" s="87">
        <v>255.29895762408594</v>
      </c>
      <c r="U188" s="87">
        <v>252.10731115577849</v>
      </c>
      <c r="V188" s="87">
        <v>250.38552819226948</v>
      </c>
      <c r="W188" s="87">
        <v>247.25110423069646</v>
      </c>
      <c r="DA188" s="171" t="s">
        <v>924</v>
      </c>
    </row>
    <row r="189" spans="1:105" ht="11.45" customHeight="1" x14ac:dyDescent="0.25">
      <c r="A189" s="111" t="s">
        <v>112</v>
      </c>
      <c r="B189" s="87">
        <v>507.48902406620948</v>
      </c>
      <c r="C189" s="87">
        <v>500.97524168554344</v>
      </c>
      <c r="D189" s="87">
        <v>485.48890983005259</v>
      </c>
      <c r="E189" s="87">
        <v>469.19879940692016</v>
      </c>
      <c r="F189" s="87">
        <v>448.29072959281257</v>
      </c>
      <c r="G189" s="87">
        <v>430.25014158873893</v>
      </c>
      <c r="H189" s="87">
        <v>408.16612261712112</v>
      </c>
      <c r="I189" s="87">
        <v>388.92778044735542</v>
      </c>
      <c r="J189" s="87">
        <v>379.40559454986965</v>
      </c>
      <c r="K189" s="87">
        <v>366.17016506479644</v>
      </c>
      <c r="L189" s="87">
        <v>357.31485125611096</v>
      </c>
      <c r="M189" s="87">
        <v>347.13143926363853</v>
      </c>
      <c r="N189" s="87">
        <v>339.35305513938124</v>
      </c>
      <c r="O189" s="87">
        <v>336.54196146551482</v>
      </c>
      <c r="P189" s="87">
        <v>333.9001110531832</v>
      </c>
      <c r="Q189" s="87">
        <v>330.67688662930249</v>
      </c>
      <c r="R189" s="87">
        <v>328.27037410307821</v>
      </c>
      <c r="S189" s="87">
        <v>324.16031895404268</v>
      </c>
      <c r="T189" s="87">
        <v>318.19155645822104</v>
      </c>
      <c r="U189" s="87">
        <v>315.99024575853798</v>
      </c>
      <c r="V189" s="87">
        <v>314.886617524516</v>
      </c>
      <c r="W189" s="87">
        <v>313.40249077596877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237.23667276746789</v>
      </c>
      <c r="O190" s="87">
        <v>226.90767875926645</v>
      </c>
      <c r="P190" s="87">
        <v>213.23129667044734</v>
      </c>
      <c r="Q190" s="87">
        <v>180.8497835381776</v>
      </c>
      <c r="R190" s="87">
        <v>199.41019292525743</v>
      </c>
      <c r="S190" s="87">
        <v>191.35536481381331</v>
      </c>
      <c r="T190" s="87">
        <v>184.22676458611639</v>
      </c>
      <c r="U190" s="87">
        <v>179.96262486909333</v>
      </c>
      <c r="V190" s="87">
        <v>177.76952583763807</v>
      </c>
      <c r="W190" s="87">
        <v>178.32936065214827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907.06689358912263</v>
      </c>
      <c r="C192" s="116">
        <v>905.583839617894</v>
      </c>
      <c r="D192" s="116">
        <v>903.39925841599006</v>
      </c>
      <c r="E192" s="116">
        <v>904.15007223085286</v>
      </c>
      <c r="F192" s="116">
        <v>905.17795026855583</v>
      </c>
      <c r="G192" s="116">
        <v>901.79503349053107</v>
      </c>
      <c r="H192" s="116">
        <v>896.39950472009571</v>
      </c>
      <c r="I192" s="116">
        <v>888.72599997544432</v>
      </c>
      <c r="J192" s="116">
        <v>881.53566592363904</v>
      </c>
      <c r="K192" s="116">
        <v>878.41884372045865</v>
      </c>
      <c r="L192" s="116">
        <v>871.32904508500428</v>
      </c>
      <c r="M192" s="116">
        <v>861.5119910653184</v>
      </c>
      <c r="N192" s="116">
        <v>845.31520566019924</v>
      </c>
      <c r="O192" s="116">
        <v>833.31105655449824</v>
      </c>
      <c r="P192" s="116">
        <v>822.16271788490155</v>
      </c>
      <c r="Q192" s="116">
        <v>804.58566022756816</v>
      </c>
      <c r="R192" s="116">
        <v>792.89338423165793</v>
      </c>
      <c r="S192" s="116">
        <v>781.48343352578058</v>
      </c>
      <c r="T192" s="116">
        <v>769.89516476457482</v>
      </c>
      <c r="U192" s="116">
        <v>756.0528773501926</v>
      </c>
      <c r="V192" s="116">
        <v>739.91116052057771</v>
      </c>
      <c r="W192" s="116">
        <v>729.20116638153127</v>
      </c>
      <c r="DA192" s="176" t="s">
        <v>928</v>
      </c>
    </row>
    <row r="193" spans="1:105" ht="11.45" customHeight="1" x14ac:dyDescent="0.25">
      <c r="A193" s="128" t="s">
        <v>27</v>
      </c>
      <c r="B193" s="101">
        <v>831.47746626420269</v>
      </c>
      <c r="C193" s="101">
        <v>829.56818605087312</v>
      </c>
      <c r="D193" s="101">
        <v>826.90934245708775</v>
      </c>
      <c r="E193" s="101">
        <v>825.94226358191383</v>
      </c>
      <c r="F193" s="101">
        <v>824.75755106201132</v>
      </c>
      <c r="G193" s="101">
        <v>820.97866751333879</v>
      </c>
      <c r="H193" s="101">
        <v>814.65183929630405</v>
      </c>
      <c r="I193" s="101">
        <v>807.57975846445811</v>
      </c>
      <c r="J193" s="101">
        <v>800.81666936329282</v>
      </c>
      <c r="K193" s="101">
        <v>797.83446017136123</v>
      </c>
      <c r="L193" s="101">
        <v>788.40265120234199</v>
      </c>
      <c r="M193" s="101">
        <v>777.00652193015947</v>
      </c>
      <c r="N193" s="101">
        <v>762.82450569084824</v>
      </c>
      <c r="O193" s="101">
        <v>749.1094633641593</v>
      </c>
      <c r="P193" s="101">
        <v>739.25790148414274</v>
      </c>
      <c r="Q193" s="101">
        <v>723.25719072686513</v>
      </c>
      <c r="R193" s="101">
        <v>714.38017014089655</v>
      </c>
      <c r="S193" s="101">
        <v>705.36130507458461</v>
      </c>
      <c r="T193" s="101">
        <v>697.02040172281329</v>
      </c>
      <c r="U193" s="101">
        <v>684.46906608150402</v>
      </c>
      <c r="V193" s="101">
        <v>666.14129982841314</v>
      </c>
      <c r="W193" s="101">
        <v>654.63616781970052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1058.3399730931476</v>
      </c>
      <c r="D194" s="88">
        <v>1052.2832761398743</v>
      </c>
      <c r="E194" s="88">
        <v>1048.5765189153215</v>
      </c>
      <c r="F194" s="88">
        <v>1031.8867818065314</v>
      </c>
      <c r="G194" s="88">
        <v>1026.8982304854285</v>
      </c>
      <c r="H194" s="88">
        <v>1020.6984743149544</v>
      </c>
      <c r="I194" s="88">
        <v>1015.312737471241</v>
      </c>
      <c r="J194" s="88">
        <v>1013.362560771899</v>
      </c>
      <c r="K194" s="88">
        <v>1011.5363994925178</v>
      </c>
      <c r="L194" s="88">
        <v>999.65938745158007</v>
      </c>
      <c r="M194" s="88">
        <v>987.74927506794529</v>
      </c>
      <c r="N194" s="88">
        <v>982.65104205241357</v>
      </c>
      <c r="O194" s="88">
        <v>963.30410840282946</v>
      </c>
      <c r="P194" s="88">
        <v>956.05751255639052</v>
      </c>
      <c r="Q194" s="88">
        <v>939.01083865448243</v>
      </c>
      <c r="R194" s="88">
        <v>933.90461276555686</v>
      </c>
      <c r="S194" s="88">
        <v>925.30232070603711</v>
      </c>
      <c r="T194" s="88">
        <v>919.97844273343742</v>
      </c>
      <c r="U194" s="88">
        <v>902.08511300822056</v>
      </c>
      <c r="V194" s="88">
        <v>868.21220857735386</v>
      </c>
      <c r="W194" s="88">
        <v>851.19835482181873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1.0725000000065621</v>
      </c>
      <c r="C198" s="150">
        <f>IF(TrRoad_act!C59=0,0,TrRoad_emi!C56/TrRoad_tech!C171)</f>
        <v>1.0726241562992962</v>
      </c>
      <c r="D198" s="150">
        <f>IF(TrRoad_act!D59=0,0,TrRoad_emi!D56/TrRoad_tech!D171)</f>
        <v>1.0728732834752186</v>
      </c>
      <c r="E198" s="150">
        <f>IF(TrRoad_act!E59=0,0,TrRoad_emi!E56/TrRoad_tech!E171)</f>
        <v>1.072967329734134</v>
      </c>
      <c r="F198" s="150">
        <f>IF(TrRoad_act!F59=0,0,TrRoad_emi!F56/TrRoad_tech!F171)</f>
        <v>1.073503319158271</v>
      </c>
      <c r="G198" s="150">
        <f>IF(TrRoad_act!G59=0,0,TrRoad_emi!G56/TrRoad_tech!G171)</f>
        <v>1.0757866224164336</v>
      </c>
      <c r="H198" s="150">
        <f>IF(TrRoad_act!H59=0,0,TrRoad_emi!H56/TrRoad_tech!H171)</f>
        <v>1.0772652719206022</v>
      </c>
      <c r="I198" s="150">
        <f>IF(TrRoad_act!I59=0,0,TrRoad_emi!I56/TrRoad_tech!I171)</f>
        <v>1.0808284200730358</v>
      </c>
      <c r="J198" s="150">
        <f>IF(TrRoad_act!J59=0,0,TrRoad_emi!J56/TrRoad_tech!J171)</f>
        <v>1.0662080093586577</v>
      </c>
      <c r="K198" s="150">
        <f>IF(TrRoad_act!K59=0,0,TrRoad_emi!K56/TrRoad_tech!K171)</f>
        <v>1.0553543329346287</v>
      </c>
      <c r="L198" s="150">
        <f>IF(TrRoad_act!L59=0,0,TrRoad_emi!L56/TrRoad_tech!L171)</f>
        <v>1.0559708241633223</v>
      </c>
      <c r="M198" s="150">
        <f>IF(TrRoad_act!M59=0,0,TrRoad_emi!M56/TrRoad_tech!M171)</f>
        <v>1.0566753024222835</v>
      </c>
      <c r="N198" s="150">
        <f>IF(TrRoad_act!N59=0,0,TrRoad_emi!N56/TrRoad_tech!N171)</f>
        <v>1.0615907465769423</v>
      </c>
      <c r="O198" s="150">
        <f>IF(TrRoad_act!O59=0,0,TrRoad_emi!O56/TrRoad_tech!O171)</f>
        <v>1.063277252620374</v>
      </c>
      <c r="P198" s="150">
        <f>IF(TrRoad_act!P59=0,0,TrRoad_emi!P56/TrRoad_tech!P171)</f>
        <v>1.0594373594507067</v>
      </c>
      <c r="Q198" s="150">
        <f>IF(TrRoad_act!Q59=0,0,TrRoad_emi!Q56/TrRoad_tech!Q171)</f>
        <v>1.0699820754578844</v>
      </c>
      <c r="R198" s="150">
        <f>IF(TrRoad_act!R59=0,0,TrRoad_emi!R56/TrRoad_tech!R171)</f>
        <v>1.0868156662540902</v>
      </c>
      <c r="S198" s="150">
        <f>IF(TrRoad_act!S59=0,0,TrRoad_emi!S56/TrRoad_tech!S171)</f>
        <v>1.0856988916054238</v>
      </c>
      <c r="T198" s="150">
        <f>IF(TrRoad_act!T59=0,0,TrRoad_emi!T56/TrRoad_tech!T171)</f>
        <v>1.091651526576269</v>
      </c>
      <c r="U198" s="150">
        <f>IF(TrRoad_act!U59=0,0,TrRoad_emi!U56/TrRoad_tech!U171)</f>
        <v>1.0915146732327805</v>
      </c>
      <c r="V198" s="150">
        <f>IF(TrRoad_act!V59=0,0,TrRoad_emi!V56/TrRoad_tech!V171)</f>
        <v>1.1008288799185064</v>
      </c>
      <c r="W198" s="150">
        <f>IF(TrRoad_act!W59=0,0,TrRoad_emi!W56/TrRoad_tech!W171)</f>
        <v>1.1120633752161992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1.0016017006923221</v>
      </c>
      <c r="C199" s="151">
        <f>IF(TrRoad_act!C60=0,0,TrRoad_emi!C57/TrRoad_tech!C172)</f>
        <v>0.99178553615350806</v>
      </c>
      <c r="D199" s="151">
        <f>IF(TrRoad_act!D60=0,0,TrRoad_emi!D57/TrRoad_tech!D172)</f>
        <v>0.9869035024088354</v>
      </c>
      <c r="E199" s="151">
        <f>IF(TrRoad_act!E60=0,0,TrRoad_emi!E57/TrRoad_tech!E172)</f>
        <v>0.98665882782985304</v>
      </c>
      <c r="F199" s="151">
        <f>IF(TrRoad_act!F60=0,0,TrRoad_emi!F57/TrRoad_tech!F172)</f>
        <v>0.99095777637826465</v>
      </c>
      <c r="G199" s="151">
        <f>IF(TrRoad_act!G60=0,0,TrRoad_emi!G57/TrRoad_tech!G172)</f>
        <v>0.99271905678827466</v>
      </c>
      <c r="H199" s="151">
        <f>IF(TrRoad_act!H60=0,0,TrRoad_emi!H57/TrRoad_tech!H172)</f>
        <v>0.9951613701269485</v>
      </c>
      <c r="I199" s="151">
        <f>IF(TrRoad_act!I60=0,0,TrRoad_emi!I57/TrRoad_tech!I172)</f>
        <v>0.9980748615290238</v>
      </c>
      <c r="J199" s="151">
        <f>IF(TrRoad_act!J60=0,0,TrRoad_emi!J57/TrRoad_tech!J172)</f>
        <v>0.98444076621340493</v>
      </c>
      <c r="K199" s="151">
        <f>IF(TrRoad_act!K60=0,0,TrRoad_emi!K57/TrRoad_tech!K172)</f>
        <v>0.97722745978555825</v>
      </c>
      <c r="L199" s="151">
        <f>IF(TrRoad_act!L60=0,0,TrRoad_emi!L57/TrRoad_tech!L172)</f>
        <v>0.9600075628607736</v>
      </c>
      <c r="M199" s="151">
        <f>IF(TrRoad_act!M60=0,0,TrRoad_emi!M57/TrRoad_tech!M172)</f>
        <v>0.958138234363894</v>
      </c>
      <c r="N199" s="151">
        <f>IF(TrRoad_act!N60=0,0,TrRoad_emi!N57/TrRoad_tech!N172)</f>
        <v>0.96268933255552624</v>
      </c>
      <c r="O199" s="151">
        <f>IF(TrRoad_act!O60=0,0,TrRoad_emi!O57/TrRoad_tech!O172)</f>
        <v>0.95738375307310319</v>
      </c>
      <c r="P199" s="151">
        <f>IF(TrRoad_act!P60=0,0,TrRoad_emi!P57/TrRoad_tech!P172)</f>
        <v>0.96280709472970416</v>
      </c>
      <c r="Q199" s="151">
        <f>IF(TrRoad_act!Q60=0,0,TrRoad_emi!Q57/TrRoad_tech!Q172)</f>
        <v>0.96524306232031698</v>
      </c>
      <c r="R199" s="151">
        <f>IF(TrRoad_act!R60=0,0,TrRoad_emi!R57/TrRoad_tech!R172)</f>
        <v>0.97393833890381587</v>
      </c>
      <c r="S199" s="151">
        <f>IF(TrRoad_act!S60=0,0,TrRoad_emi!S57/TrRoad_tech!S172)</f>
        <v>0.97407349263926302</v>
      </c>
      <c r="T199" s="151">
        <f>IF(TrRoad_act!T60=0,0,TrRoad_emi!T57/TrRoad_tech!T172)</f>
        <v>0.98070391648147537</v>
      </c>
      <c r="U199" s="151">
        <f>IF(TrRoad_act!U60=0,0,TrRoad_emi!U57/TrRoad_tech!U172)</f>
        <v>0.98036645742223605</v>
      </c>
      <c r="V199" s="151">
        <f>IF(TrRoad_act!V60=0,0,TrRoad_emi!V57/TrRoad_tech!V172)</f>
        <v>0.97909467574304476</v>
      </c>
      <c r="W199" s="151">
        <f>IF(TrRoad_act!W60=0,0,TrRoad_emi!W57/TrRoad_tech!W172)</f>
        <v>0.99074106318262789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1.0278733597888334</v>
      </c>
      <c r="C200" s="91">
        <f>IF(TrRoad_act!C61=0,0,TrRoad_emi!C58/TrRoad_tech!C173)</f>
        <v>1.0280920646714449</v>
      </c>
      <c r="D200" s="91">
        <f>IF(TrRoad_act!D61=0,0,TrRoad_emi!D58/TrRoad_tech!D173)</f>
        <v>1.0280144177040753</v>
      </c>
      <c r="E200" s="91">
        <f>IF(TrRoad_act!E61=0,0,TrRoad_emi!E58/TrRoad_tech!E173)</f>
        <v>1.0296906709973481</v>
      </c>
      <c r="F200" s="91">
        <f>IF(TrRoad_act!F61=0,0,TrRoad_emi!F58/TrRoad_tech!F173)</f>
        <v>1.0297531023068953</v>
      </c>
      <c r="G200" s="91">
        <f>IF(TrRoad_act!G61=0,0,TrRoad_emi!G58/TrRoad_tech!G173)</f>
        <v>1.0301020687491833</v>
      </c>
      <c r="H200" s="91">
        <f>IF(TrRoad_act!H61=0,0,TrRoad_emi!H58/TrRoad_tech!H173)</f>
        <v>1.0300567345830582</v>
      </c>
      <c r="I200" s="91">
        <f>IF(TrRoad_act!I61=0,0,TrRoad_emi!I58/TrRoad_tech!I173)</f>
        <v>1.0315992531991272</v>
      </c>
      <c r="J200" s="91">
        <f>IF(TrRoad_act!J61=0,0,TrRoad_emi!J58/TrRoad_tech!J173)</f>
        <v>1.0156817463438974</v>
      </c>
      <c r="K200" s="91">
        <f>IF(TrRoad_act!K61=0,0,TrRoad_emi!K58/TrRoad_tech!K173)</f>
        <v>1.0047790833829631</v>
      </c>
      <c r="L200" s="91">
        <f>IF(TrRoad_act!L61=0,0,TrRoad_emi!L58/TrRoad_tech!L173)</f>
        <v>0.99159333869770017</v>
      </c>
      <c r="M200" s="91">
        <f>IF(TrRoad_act!M61=0,0,TrRoad_emi!M58/TrRoad_tech!M173)</f>
        <v>0.99125405940558486</v>
      </c>
      <c r="N200" s="91">
        <f>IF(TrRoad_act!N61=0,0,TrRoad_emi!N58/TrRoad_tech!N173)</f>
        <v>0.99250009595500499</v>
      </c>
      <c r="O200" s="91">
        <f>IF(TrRoad_act!O61=0,0,TrRoad_emi!O58/TrRoad_tech!O173)</f>
        <v>0.99390728737692724</v>
      </c>
      <c r="P200" s="91">
        <f>IF(TrRoad_act!P61=0,0,TrRoad_emi!P58/TrRoad_tech!P173)</f>
        <v>0.98721788706395253</v>
      </c>
      <c r="Q200" s="91">
        <f>IF(TrRoad_act!Q61=0,0,TrRoad_emi!Q58/TrRoad_tech!Q173)</f>
        <v>0.99176500521600086</v>
      </c>
      <c r="R200" s="91">
        <f>IF(TrRoad_act!R61=0,0,TrRoad_emi!R58/TrRoad_tech!R173)</f>
        <v>1.0043792488390815</v>
      </c>
      <c r="S200" s="91">
        <f>IF(TrRoad_act!S61=0,0,TrRoad_emi!S58/TrRoad_tech!S173)</f>
        <v>1.0002979544510637</v>
      </c>
      <c r="T200" s="91">
        <f>IF(TrRoad_act!T61=0,0,TrRoad_emi!T58/TrRoad_tech!T173)</f>
        <v>1.0033719045284819</v>
      </c>
      <c r="U200" s="91">
        <f>IF(TrRoad_act!U61=0,0,TrRoad_emi!U58/TrRoad_tech!U173)</f>
        <v>0.99899292633737069</v>
      </c>
      <c r="V200" s="91">
        <f>IF(TrRoad_act!V61=0,0,TrRoad_emi!V58/TrRoad_tech!V173)</f>
        <v>1.0030240262669072</v>
      </c>
      <c r="W200" s="91">
        <f>IF(TrRoad_act!W61=0,0,TrRoad_emi!W58/TrRoad_tech!W173)</f>
        <v>1.0127915369521183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0.99326126419320582</v>
      </c>
      <c r="C201" s="91">
        <f>IF(TrRoad_act!C62=0,0,TrRoad_emi!C59/TrRoad_tech!C174)</f>
        <v>1.0047753020920442</v>
      </c>
      <c r="D201" s="91">
        <f>IF(TrRoad_act!D62=0,0,TrRoad_emi!D59/TrRoad_tech!D174)</f>
        <v>0.99821629237144593</v>
      </c>
      <c r="E201" s="91">
        <f>IF(TrRoad_act!E62=0,0,TrRoad_emi!E59/TrRoad_tech!E174)</f>
        <v>1.005678649487566</v>
      </c>
      <c r="F201" s="91">
        <f>IF(TrRoad_act!F62=0,0,TrRoad_emi!F59/TrRoad_tech!F174)</f>
        <v>1.0189781543713319</v>
      </c>
      <c r="G201" s="91">
        <f>IF(TrRoad_act!G62=0,0,TrRoad_emi!G59/TrRoad_tech!G174)</f>
        <v>1.0306232324946289</v>
      </c>
      <c r="H201" s="91">
        <f>IF(TrRoad_act!H62=0,0,TrRoad_emi!H59/TrRoad_tech!H174)</f>
        <v>1.0276003825253504</v>
      </c>
      <c r="I201" s="91">
        <f>IF(TrRoad_act!I62=0,0,TrRoad_emi!I59/TrRoad_tech!I174)</f>
        <v>1.0256653037108581</v>
      </c>
      <c r="J201" s="91">
        <f>IF(TrRoad_act!J62=0,0,TrRoad_emi!J59/TrRoad_tech!J174)</f>
        <v>1.0145205010087301</v>
      </c>
      <c r="K201" s="91">
        <f>IF(TrRoad_act!K62=0,0,TrRoad_emi!K59/TrRoad_tech!K174)</f>
        <v>0.99828223130299698</v>
      </c>
      <c r="L201" s="91">
        <f>IF(TrRoad_act!L62=0,0,TrRoad_emi!L59/TrRoad_tech!L174)</f>
        <v>0.97607671475738456</v>
      </c>
      <c r="M201" s="91">
        <f>IF(TrRoad_act!M62=0,0,TrRoad_emi!M59/TrRoad_tech!M174)</f>
        <v>0.96088141290507489</v>
      </c>
      <c r="N201" s="91">
        <f>IF(TrRoad_act!N62=0,0,TrRoad_emi!N59/TrRoad_tech!N174)</f>
        <v>0.96806807886510204</v>
      </c>
      <c r="O201" s="91">
        <f>IF(TrRoad_act!O62=0,0,TrRoad_emi!O59/TrRoad_tech!O174)</f>
        <v>0.97049606963975954</v>
      </c>
      <c r="P201" s="91">
        <f>IF(TrRoad_act!P62=0,0,TrRoad_emi!P59/TrRoad_tech!P174)</f>
        <v>0.96763744171048294</v>
      </c>
      <c r="Q201" s="91">
        <f>IF(TrRoad_act!Q62=0,0,TrRoad_emi!Q59/TrRoad_tech!Q174)</f>
        <v>0.97793602178680938</v>
      </c>
      <c r="R201" s="91">
        <f>IF(TrRoad_act!R62=0,0,TrRoad_emi!R59/TrRoad_tech!R174)</f>
        <v>0.97975500208906219</v>
      </c>
      <c r="S201" s="91">
        <f>IF(TrRoad_act!S62=0,0,TrRoad_emi!S59/TrRoad_tech!S174)</f>
        <v>0.98378941895602667</v>
      </c>
      <c r="T201" s="91">
        <f>IF(TrRoad_act!T62=0,0,TrRoad_emi!T59/TrRoad_tech!T174)</f>
        <v>0.98846725205380848</v>
      </c>
      <c r="U201" s="91">
        <f>IF(TrRoad_act!U62=0,0,TrRoad_emi!U59/TrRoad_tech!U174)</f>
        <v>0.98683923533127249</v>
      </c>
      <c r="V201" s="91">
        <f>IF(TrRoad_act!V62=0,0,TrRoad_emi!V59/TrRoad_tech!V174)</f>
        <v>0.97754527859126483</v>
      </c>
      <c r="W201" s="91">
        <f>IF(TrRoad_act!W62=0,0,TrRoad_emi!W59/TrRoad_tech!W174)</f>
        <v>0.98911061773635101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1.0230940197504197</v>
      </c>
      <c r="C202" s="91">
        <f>IF(TrRoad_act!C63=0,0,TrRoad_emi!C60/TrRoad_tech!C175)</f>
        <v>1.0132003263515019</v>
      </c>
      <c r="D202" s="91">
        <f>IF(TrRoad_act!D63=0,0,TrRoad_emi!D60/TrRoad_tech!D175)</f>
        <v>1.0218505274166942</v>
      </c>
      <c r="E202" s="91">
        <f>IF(TrRoad_act!E63=0,0,TrRoad_emi!E60/TrRoad_tech!E175)</f>
        <v>0.93862682013527643</v>
      </c>
      <c r="F202" s="91">
        <f>IF(TrRoad_act!F63=0,0,TrRoad_emi!F60/TrRoad_tech!F175)</f>
        <v>0.94882530094667739</v>
      </c>
      <c r="G202" s="91">
        <f>IF(TrRoad_act!G63=0,0,TrRoad_emi!G60/TrRoad_tech!G175)</f>
        <v>0.95010433668039473</v>
      </c>
      <c r="H202" s="91">
        <f>IF(TrRoad_act!H63=0,0,TrRoad_emi!H60/TrRoad_tech!H175)</f>
        <v>0.95179319522675387</v>
      </c>
      <c r="I202" s="91">
        <f>IF(TrRoad_act!I63=0,0,TrRoad_emi!I60/TrRoad_tech!I175)</f>
        <v>0.9480906660133892</v>
      </c>
      <c r="J202" s="91">
        <f>IF(TrRoad_act!J63=0,0,TrRoad_emi!J60/TrRoad_tech!J175)</f>
        <v>0.94998653880174289</v>
      </c>
      <c r="K202" s="91">
        <f>IF(TrRoad_act!K63=0,0,TrRoad_emi!K60/TrRoad_tech!K175)</f>
        <v>0.95033346070427793</v>
      </c>
      <c r="L202" s="91">
        <f>IF(TrRoad_act!L63=0,0,TrRoad_emi!L60/TrRoad_tech!L175)</f>
        <v>0.95099367870400742</v>
      </c>
      <c r="M202" s="91">
        <f>IF(TrRoad_act!M63=0,0,TrRoad_emi!M60/TrRoad_tech!M175)</f>
        <v>0.95124917839878809</v>
      </c>
      <c r="N202" s="91">
        <f>IF(TrRoad_act!N63=0,0,TrRoad_emi!N60/TrRoad_tech!N175)</f>
        <v>0.95108987596685457</v>
      </c>
      <c r="O202" s="91">
        <f>IF(TrRoad_act!O63=0,0,TrRoad_emi!O60/TrRoad_tech!O175)</f>
        <v>0.95218755331934235</v>
      </c>
      <c r="P202" s="91">
        <f>IF(TrRoad_act!P63=0,0,TrRoad_emi!P60/TrRoad_tech!P175)</f>
        <v>0.95627645648795001</v>
      </c>
      <c r="Q202" s="91">
        <f>IF(TrRoad_act!Q63=0,0,TrRoad_emi!Q60/TrRoad_tech!Q175)</f>
        <v>0.97118817507335131</v>
      </c>
      <c r="R202" s="91">
        <f>IF(TrRoad_act!R63=0,0,TrRoad_emi!R60/TrRoad_tech!R175)</f>
        <v>0.97037560611176743</v>
      </c>
      <c r="S202" s="91">
        <f>IF(TrRoad_act!S63=0,0,TrRoad_emi!S60/TrRoad_tech!S175)</f>
        <v>1.0328513932206085</v>
      </c>
      <c r="T202" s="91">
        <f>IF(TrRoad_act!T63=0,0,TrRoad_emi!T60/TrRoad_tech!T175)</f>
        <v>1.0421610986146452</v>
      </c>
      <c r="U202" s="91">
        <f>IF(TrRoad_act!U63=0,0,TrRoad_emi!U60/TrRoad_tech!U175)</f>
        <v>1.0425595103299363</v>
      </c>
      <c r="V202" s="91">
        <f>IF(TrRoad_act!V63=0,0,TrRoad_emi!V60/TrRoad_tech!V175)</f>
        <v>1.008134847954518</v>
      </c>
      <c r="W202" s="91">
        <f>IF(TrRoad_act!W63=0,0,TrRoad_emi!W60/TrRoad_tech!W175)</f>
        <v>1.0309716855025797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1.0470370370414097</v>
      </c>
      <c r="K203" s="91">
        <f>IF(TrRoad_act!K64=0,0,TrRoad_emi!K61/TrRoad_tech!K176)</f>
        <v>1.048535973039346</v>
      </c>
      <c r="L203" s="91">
        <f>IF(TrRoad_act!L64=0,0,TrRoad_emi!L61/TrRoad_tech!L176)</f>
        <v>1.0506428096259826</v>
      </c>
      <c r="M203" s="91">
        <f>IF(TrRoad_act!M64=0,0,TrRoad_emi!M61/TrRoad_tech!M176)</f>
        <v>1.0532237846235348</v>
      </c>
      <c r="N203" s="91">
        <f>IF(TrRoad_act!N64=0,0,TrRoad_emi!N61/TrRoad_tech!N176)</f>
        <v>1.0563725008172962</v>
      </c>
      <c r="O203" s="91">
        <f>IF(TrRoad_act!O64=0,0,TrRoad_emi!O61/TrRoad_tech!O176)</f>
        <v>1.0609732446479072</v>
      </c>
      <c r="P203" s="91">
        <f>IF(TrRoad_act!P64=0,0,TrRoad_emi!P61/TrRoad_tech!P176)</f>
        <v>1.0649332191927197</v>
      </c>
      <c r="Q203" s="91">
        <f>IF(TrRoad_act!Q64=0,0,TrRoad_emi!Q61/TrRoad_tech!Q176)</f>
        <v>1.0705891760505912</v>
      </c>
      <c r="R203" s="91">
        <f>IF(TrRoad_act!R64=0,0,TrRoad_emi!R61/TrRoad_tech!R176)</f>
        <v>1.0774146857983142</v>
      </c>
      <c r="S203" s="91">
        <f>IF(TrRoad_act!S64=0,0,TrRoad_emi!S61/TrRoad_tech!S176)</f>
        <v>1.0802115053692281</v>
      </c>
      <c r="T203" s="91">
        <f>IF(TrRoad_act!T64=0,0,TrRoad_emi!T61/TrRoad_tech!T176)</f>
        <v>1.0829209223056999</v>
      </c>
      <c r="U203" s="91">
        <f>IF(TrRoad_act!U64=0,0,TrRoad_emi!U61/TrRoad_tech!U176)</f>
        <v>1.0841376696195812</v>
      </c>
      <c r="V203" s="91">
        <f>IF(TrRoad_act!V64=0,0,TrRoad_emi!V61/TrRoad_tech!V176)</f>
        <v>1.0693156969439543</v>
      </c>
      <c r="W203" s="91">
        <f>IF(TrRoad_act!W64=0,0,TrRoad_emi!W61/TrRoad_tech!W176)</f>
        <v>0.88298130035310918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1.0207225959982904</v>
      </c>
      <c r="O204" s="91">
        <f>IF(TrRoad_act!O65=0,0,TrRoad_emi!O62/TrRoad_tech!O177)</f>
        <v>1.0229142999595764</v>
      </c>
      <c r="P204" s="91">
        <f>IF(TrRoad_act!P65=0,0,TrRoad_emi!P62/TrRoad_tech!P177)</f>
        <v>1.0190711937955457</v>
      </c>
      <c r="Q204" s="91">
        <f>IF(TrRoad_act!Q65=0,0,TrRoad_emi!Q62/TrRoad_tech!Q177)</f>
        <v>1.0277588536484128</v>
      </c>
      <c r="R204" s="91">
        <f>IF(TrRoad_act!R65=0,0,TrRoad_emi!R62/TrRoad_tech!R177)</f>
        <v>1.0395939792575508</v>
      </c>
      <c r="S204" s="91">
        <f>IF(TrRoad_act!S65=0,0,TrRoad_emi!S62/TrRoad_tech!S177)</f>
        <v>1.0352735932264954</v>
      </c>
      <c r="T204" s="91">
        <f>IF(TrRoad_act!T65=0,0,TrRoad_emi!T62/TrRoad_tech!T177)</f>
        <v>1.0362731712783033</v>
      </c>
      <c r="U204" s="91">
        <f>IF(TrRoad_act!U65=0,0,TrRoad_emi!U62/TrRoad_tech!U177)</f>
        <v>1.0303344805171279</v>
      </c>
      <c r="V204" s="91">
        <f>IF(TrRoad_act!V65=0,0,TrRoad_emi!V62/TrRoad_tech!V177)</f>
        <v>1.0360704274476342</v>
      </c>
      <c r="W204" s="91">
        <f>IF(TrRoad_act!W65=0,0,TrRoad_emi!W62/TrRoad_tech!W177)</f>
        <v>1.044467629991507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1.0848373678797614</v>
      </c>
      <c r="C206" s="151">
        <f>IF(TrRoad_act!C67=0,0,TrRoad_emi!C64/TrRoad_tech!C179)</f>
        <v>1.1000066387325831</v>
      </c>
      <c r="D206" s="151">
        <f>IF(TrRoad_act!D67=0,0,TrRoad_emi!D64/TrRoad_tech!D179)</f>
        <v>1.179693632869433</v>
      </c>
      <c r="E206" s="151">
        <f>IF(TrRoad_act!E67=0,0,TrRoad_emi!E64/TrRoad_tech!E179)</f>
        <v>1.0991324869857515</v>
      </c>
      <c r="F206" s="151">
        <f>IF(TrRoad_act!F67=0,0,TrRoad_emi!F64/TrRoad_tech!F179)</f>
        <v>1.094919113215914</v>
      </c>
      <c r="G206" s="151">
        <f>IF(TrRoad_act!G67=0,0,TrRoad_emi!G64/TrRoad_tech!G179)</f>
        <v>1.1020655944212212</v>
      </c>
      <c r="H206" s="151">
        <f>IF(TrRoad_act!H67=0,0,TrRoad_emi!H64/TrRoad_tech!H179)</f>
        <v>1.1225354874153772</v>
      </c>
      <c r="I206" s="151">
        <f>IF(TrRoad_act!I67=0,0,TrRoad_emi!I64/TrRoad_tech!I179)</f>
        <v>1.099320038328647</v>
      </c>
      <c r="J206" s="151">
        <f>IF(TrRoad_act!J67=0,0,TrRoad_emi!J64/TrRoad_tech!J179)</f>
        <v>1.0906843480939497</v>
      </c>
      <c r="K206" s="151">
        <f>IF(TrRoad_act!K67=0,0,TrRoad_emi!K64/TrRoad_tech!K179)</f>
        <v>1.0796620199284093</v>
      </c>
      <c r="L206" s="151">
        <f>IF(TrRoad_act!L67=0,0,TrRoad_emi!L64/TrRoad_tech!L179)</f>
        <v>1.0799293349179444</v>
      </c>
      <c r="M206" s="151">
        <f>IF(TrRoad_act!M67=0,0,TrRoad_emi!M64/TrRoad_tech!M179)</f>
        <v>1.0680644333018192</v>
      </c>
      <c r="N206" s="151">
        <f>IF(TrRoad_act!N67=0,0,TrRoad_emi!N64/TrRoad_tech!N179)</f>
        <v>1.0892523909949112</v>
      </c>
      <c r="O206" s="151">
        <f>IF(TrRoad_act!O67=0,0,TrRoad_emi!O64/TrRoad_tech!O179)</f>
        <v>1.1138558104051324</v>
      </c>
      <c r="P206" s="151">
        <f>IF(TrRoad_act!P67=0,0,TrRoad_emi!P64/TrRoad_tech!P179)</f>
        <v>1.2344698692998062</v>
      </c>
      <c r="Q206" s="151">
        <f>IF(TrRoad_act!Q67=0,0,TrRoad_emi!Q64/TrRoad_tech!Q179)</f>
        <v>1.3279460588548386</v>
      </c>
      <c r="R206" s="151">
        <f>IF(TrRoad_act!R67=0,0,TrRoad_emi!R64/TrRoad_tech!R179)</f>
        <v>1.2375427224744393</v>
      </c>
      <c r="S206" s="151">
        <f>IF(TrRoad_act!S67=0,0,TrRoad_emi!S64/TrRoad_tech!S179)</f>
        <v>1.3710671413708766</v>
      </c>
      <c r="T206" s="151">
        <f>IF(TrRoad_act!T67=0,0,TrRoad_emi!T64/TrRoad_tech!T179)</f>
        <v>1.2314050082940324</v>
      </c>
      <c r="U206" s="151">
        <f>IF(TrRoad_act!U67=0,0,TrRoad_emi!U64/TrRoad_tech!U179)</f>
        <v>1.2876838707142737</v>
      </c>
      <c r="V206" s="151">
        <f>IF(TrRoad_act!V67=0,0,TrRoad_emi!V64/TrRoad_tech!V179)</f>
        <v>1.3157716920719054</v>
      </c>
      <c r="W206" s="151">
        <f>IF(TrRoad_act!W67=0,0,TrRoad_emi!W64/TrRoad_tech!W179)</f>
        <v>1.3366256451497396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1.1000000000067305</v>
      </c>
      <c r="E207" s="93">
        <f>IF(TrRoad_act!E68=0,0,TrRoad_emi!E65/TrRoad_tech!E180)</f>
        <v>1.10000000000673</v>
      </c>
      <c r="F207" s="93">
        <f>IF(TrRoad_act!F68=0,0,TrRoad_emi!F65/TrRoad_tech!F180)</f>
        <v>1.1000000000067303</v>
      </c>
      <c r="G207" s="93">
        <f>IF(TrRoad_act!G68=0,0,TrRoad_emi!G65/TrRoad_tech!G180)</f>
        <v>1.1000000000067296</v>
      </c>
      <c r="H207" s="93">
        <f>IF(TrRoad_act!H68=0,0,TrRoad_emi!H65/TrRoad_tech!H180)</f>
        <v>1.0993259664115846</v>
      </c>
      <c r="I207" s="93">
        <f>IF(TrRoad_act!I68=0,0,TrRoad_emi!I65/TrRoad_tech!I180)</f>
        <v>1.1000000000067298</v>
      </c>
      <c r="J207" s="93">
        <f>IF(TrRoad_act!J68=0,0,TrRoad_emi!J65/TrRoad_tech!J180)</f>
        <v>1.0821477517052893</v>
      </c>
      <c r="K207" s="93">
        <f>IF(TrRoad_act!K68=0,0,TrRoad_emi!K65/TrRoad_tech!K180)</f>
        <v>1.0694881669019425</v>
      </c>
      <c r="L207" s="93">
        <f>IF(TrRoad_act!L68=0,0,TrRoad_emi!L65/TrRoad_tech!L180)</f>
        <v>1.0668516426917898</v>
      </c>
      <c r="M207" s="93">
        <f>IF(TrRoad_act!M68=0,0,TrRoad_emi!M65/TrRoad_tech!M180)</f>
        <v>1.0640827538973254</v>
      </c>
      <c r="N207" s="93">
        <f>IF(TrRoad_act!N68=0,0,TrRoad_emi!N65/TrRoad_tech!N180)</f>
        <v>1.0643279024006953</v>
      </c>
      <c r="O207" s="93">
        <f>IF(TrRoad_act!O68=0,0,TrRoad_emi!O65/TrRoad_tech!O180)</f>
        <v>1.063821633766052</v>
      </c>
      <c r="P207" s="93">
        <f>IF(TrRoad_act!P68=0,0,TrRoad_emi!P65/TrRoad_tech!P180)</f>
        <v>1.0554379708798889</v>
      </c>
      <c r="Q207" s="93">
        <f>IF(TrRoad_act!Q68=0,0,TrRoad_emi!Q65/TrRoad_tech!Q180)</f>
        <v>1.0574459910214424</v>
      </c>
      <c r="R207" s="93">
        <f>IF(TrRoad_act!R68=0,0,TrRoad_emi!R65/TrRoad_tech!R180)</f>
        <v>1.0680617665627476</v>
      </c>
      <c r="S207" s="93">
        <f>IF(TrRoad_act!S68=0,0,TrRoad_emi!S65/TrRoad_tech!S180)</f>
        <v>1.060675612669046</v>
      </c>
      <c r="T207" s="93">
        <f>IF(TrRoad_act!T68=0,0,TrRoad_emi!T65/TrRoad_tech!T180)</f>
        <v>1.0594687114807486</v>
      </c>
      <c r="U207" s="93">
        <f>IF(TrRoad_act!U68=0,0,TrRoad_emi!U65/TrRoad_tech!U180)</f>
        <v>1.0517243864441748</v>
      </c>
      <c r="V207" s="93">
        <f>IF(TrRoad_act!V68=0,0,TrRoad_emi!V65/TrRoad_tech!V180)</f>
        <v>1.0524514699934002</v>
      </c>
      <c r="W207" s="93">
        <f>IF(TrRoad_act!W68=0,0,TrRoad_emi!W65/TrRoad_tech!W180)</f>
        <v>1.0611534560102218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1.0629591478503473</v>
      </c>
      <c r="C208" s="93">
        <f>IF(TrRoad_act!C69=0,0,TrRoad_emi!C66/TrRoad_tech!C181)</f>
        <v>1.0755704981696066</v>
      </c>
      <c r="D208" s="93">
        <f>IF(TrRoad_act!D69=0,0,TrRoad_emi!D66/TrRoad_tech!D181)</f>
        <v>1.0686515173661457</v>
      </c>
      <c r="E208" s="93">
        <f>IF(TrRoad_act!E69=0,0,TrRoad_emi!E66/TrRoad_tech!E181)</f>
        <v>1.0759313605668002</v>
      </c>
      <c r="F208" s="93">
        <f>IF(TrRoad_act!F69=0,0,TrRoad_emi!F66/TrRoad_tech!F181)</f>
        <v>1.0924189920111147</v>
      </c>
      <c r="G208" s="93">
        <f>IF(TrRoad_act!G69=0,0,TrRoad_emi!G66/TrRoad_tech!G181)</f>
        <v>1.1065819313831746</v>
      </c>
      <c r="H208" s="93">
        <f>IF(TrRoad_act!H69=0,0,TrRoad_emi!H66/TrRoad_tech!H181)</f>
        <v>1.1054467495150211</v>
      </c>
      <c r="I208" s="93">
        <f>IF(TrRoad_act!I69=0,0,TrRoad_emi!I66/TrRoad_tech!I181)</f>
        <v>1.1061238952751888</v>
      </c>
      <c r="J208" s="93">
        <f>IF(TrRoad_act!J69=0,0,TrRoad_emi!J66/TrRoad_tech!J181)</f>
        <v>1.0990348260681038</v>
      </c>
      <c r="K208" s="93">
        <f>IF(TrRoad_act!K69=0,0,TrRoad_emi!K66/TrRoad_tech!K181)</f>
        <v>1.0859730921170985</v>
      </c>
      <c r="L208" s="93">
        <f>IF(TrRoad_act!L69=0,0,TrRoad_emi!L66/TrRoad_tech!L181)</f>
        <v>1.0794373355144227</v>
      </c>
      <c r="M208" s="93">
        <f>IF(TrRoad_act!M69=0,0,TrRoad_emi!M66/TrRoad_tech!M181)</f>
        <v>1.0676067935022489</v>
      </c>
      <c r="N208" s="93">
        <f>IF(TrRoad_act!N69=0,0,TrRoad_emi!N66/TrRoad_tech!N181)</f>
        <v>1.0846453813359815</v>
      </c>
      <c r="O208" s="93">
        <f>IF(TrRoad_act!O69=0,0,TrRoad_emi!O66/TrRoad_tech!O181)</f>
        <v>1.0971083162253059</v>
      </c>
      <c r="P208" s="93">
        <f>IF(TrRoad_act!P69=0,0,TrRoad_emi!P66/TrRoad_tech!P181)</f>
        <v>1.1027994938067007</v>
      </c>
      <c r="Q208" s="93">
        <f>IF(TrRoad_act!Q69=0,0,TrRoad_emi!Q66/TrRoad_tech!Q181)</f>
        <v>1.1217224888008699</v>
      </c>
      <c r="R208" s="93">
        <f>IF(TrRoad_act!R69=0,0,TrRoad_emi!R66/TrRoad_tech!R181)</f>
        <v>1.1344456978606881</v>
      </c>
      <c r="S208" s="93">
        <f>IF(TrRoad_act!S69=0,0,TrRoad_emi!S66/TrRoad_tech!S181)</f>
        <v>1.1434292535139425</v>
      </c>
      <c r="T208" s="93">
        <f>IF(TrRoad_act!T69=0,0,TrRoad_emi!T66/TrRoad_tech!T181)</f>
        <v>1.1532057885896823</v>
      </c>
      <c r="U208" s="93">
        <f>IF(TrRoad_act!U69=0,0,TrRoad_emi!U66/TrRoad_tech!U181)</f>
        <v>1.1640355711536863</v>
      </c>
      <c r="V208" s="93">
        <f>IF(TrRoad_act!V69=0,0,TrRoad_emi!V66/TrRoad_tech!V181)</f>
        <v>1.1772516706892302</v>
      </c>
      <c r="W208" s="93">
        <f>IF(TrRoad_act!W69=0,0,TrRoad_emi!W66/TrRoad_tech!W181)</f>
        <v>1.2026773606209415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1.3533878856593002</v>
      </c>
      <c r="W209" s="93">
        <f>IF(TrRoad_act!W70=0,0,TrRoad_emi!W67/TrRoad_tech!W182)</f>
        <v>1.3533878856593009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1.0630647717318622</v>
      </c>
      <c r="C210" s="93">
        <f>IF(TrRoad_act!C71=0,0,TrRoad_emi!C68/TrRoad_tech!C183)</f>
        <v>1.0878176055207833</v>
      </c>
      <c r="D210" s="93">
        <f>IF(TrRoad_act!D71=0,0,TrRoad_emi!D68/TrRoad_tech!D183)</f>
        <v>1.104608293916526</v>
      </c>
      <c r="E210" s="93">
        <f>IF(TrRoad_act!E71=0,0,TrRoad_emi!E68/TrRoad_tech!E183)</f>
        <v>1.1055915892265817</v>
      </c>
      <c r="F210" s="93">
        <f>IF(TrRoad_act!F71=0,0,TrRoad_emi!F68/TrRoad_tech!F183)</f>
        <v>1.3470550450621006</v>
      </c>
      <c r="G210" s="93">
        <f>IF(TrRoad_act!G71=0,0,TrRoad_emi!G68/TrRoad_tech!G183)</f>
        <v>1.1699625840442323</v>
      </c>
      <c r="H210" s="93">
        <f>IF(TrRoad_act!H71=0,0,TrRoad_emi!H68/TrRoad_tech!H183)</f>
        <v>1.709677348034548</v>
      </c>
      <c r="I210" s="93">
        <f>IF(TrRoad_act!I71=0,0,TrRoad_emi!I68/TrRoad_tech!I183)</f>
        <v>1.1218137230101259</v>
      </c>
      <c r="J210" s="93">
        <f>IF(TrRoad_act!J71=0,0,TrRoad_emi!J68/TrRoad_tech!J183)</f>
        <v>1.1406502309369273</v>
      </c>
      <c r="K210" s="93">
        <f>IF(TrRoad_act!K71=0,0,TrRoad_emi!K68/TrRoad_tech!K183)</f>
        <v>1.3242922714467982</v>
      </c>
      <c r="L210" s="93">
        <f>IF(TrRoad_act!L71=0,0,TrRoad_emi!L68/TrRoad_tech!L183)</f>
        <v>1.7395194784433989</v>
      </c>
      <c r="M210" s="93">
        <f>IF(TrRoad_act!M71=0,0,TrRoad_emi!M68/TrRoad_tech!M183)</f>
        <v>1.944646418136299</v>
      </c>
      <c r="N210" s="93">
        <f>IF(TrRoad_act!N71=0,0,TrRoad_emi!N68/TrRoad_tech!N183)</f>
        <v>2.254162305251513</v>
      </c>
      <c r="O210" s="93">
        <f>IF(TrRoad_act!O71=0,0,TrRoad_emi!O68/TrRoad_tech!O183)</f>
        <v>2.3222683980413552</v>
      </c>
      <c r="P210" s="93">
        <f>IF(TrRoad_act!P71=0,0,TrRoad_emi!P68/TrRoad_tech!P183)</f>
        <v>4.1028818073675462</v>
      </c>
      <c r="Q210" s="93">
        <f>IF(TrRoad_act!Q71=0,0,TrRoad_emi!Q68/TrRoad_tech!Q183)</f>
        <v>3.8314031508190074</v>
      </c>
      <c r="R210" s="93">
        <f>IF(TrRoad_act!R71=0,0,TrRoad_emi!R68/TrRoad_tech!R183)</f>
        <v>2.9180923302027661</v>
      </c>
      <c r="S210" s="93">
        <f>IF(TrRoad_act!S71=0,0,TrRoad_emi!S68/TrRoad_tech!S183)</f>
        <v>2.2932849842708931</v>
      </c>
      <c r="T210" s="93">
        <f>IF(TrRoad_act!T71=0,0,TrRoad_emi!T68/TrRoad_tech!T183)</f>
        <v>2.1781333109871759</v>
      </c>
      <c r="U210" s="93">
        <f>IF(TrRoad_act!U71=0,0,TrRoad_emi!U68/TrRoad_tech!U183)</f>
        <v>2.2760819165216257</v>
      </c>
      <c r="V210" s="93">
        <f>IF(TrRoad_act!V71=0,0,TrRoad_emi!V68/TrRoad_tech!V183)</f>
        <v>2.6501494684284066</v>
      </c>
      <c r="W210" s="93">
        <f>IF(TrRoad_act!W71=0,0,TrRoad_emi!W68/TrRoad_tech!W183)</f>
        <v>3.2855471671342005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1.0959322766694508</v>
      </c>
      <c r="C213" s="150">
        <f>IF(TrRoad_act!C74=0,0,TrRoad_emi!C71/TrRoad_tech!C186)</f>
        <v>1.0827812222646949</v>
      </c>
      <c r="D213" s="150">
        <f>IF(TrRoad_act!D74=0,0,TrRoad_emi!D71/TrRoad_tech!D186)</f>
        <v>1.0770664625762456</v>
      </c>
      <c r="E213" s="150">
        <f>IF(TrRoad_act!E74=0,0,TrRoad_emi!E71/TrRoad_tech!E186)</f>
        <v>1.063006916645026</v>
      </c>
      <c r="F213" s="150">
        <f>IF(TrRoad_act!F74=0,0,TrRoad_emi!F71/TrRoad_tech!F186)</f>
        <v>1.0853179884925837</v>
      </c>
      <c r="G213" s="150">
        <f>IF(TrRoad_act!G74=0,0,TrRoad_emi!G71/TrRoad_tech!G186)</f>
        <v>1.0913267498936257</v>
      </c>
      <c r="H213" s="150">
        <f>IF(TrRoad_act!H74=0,0,TrRoad_emi!H71/TrRoad_tech!H186)</f>
        <v>1.0927816894515996</v>
      </c>
      <c r="I213" s="150">
        <f>IF(TrRoad_act!I74=0,0,TrRoad_emi!I71/TrRoad_tech!I186)</f>
        <v>1.0937510560370267</v>
      </c>
      <c r="J213" s="150">
        <f>IF(TrRoad_act!J74=0,0,TrRoad_emi!J71/TrRoad_tech!J186)</f>
        <v>1.0797933063200931</v>
      </c>
      <c r="K213" s="150">
        <f>IF(TrRoad_act!K74=0,0,TrRoad_emi!K71/TrRoad_tech!K186)</f>
        <v>1.0902142735447282</v>
      </c>
      <c r="L213" s="150">
        <f>IF(TrRoad_act!L74=0,0,TrRoad_emi!L71/TrRoad_tech!L186)</f>
        <v>1.1356865208540012</v>
      </c>
      <c r="M213" s="150">
        <f>IF(TrRoad_act!M74=0,0,TrRoad_emi!M71/TrRoad_tech!M186)</f>
        <v>1.1755865944432589</v>
      </c>
      <c r="N213" s="150">
        <f>IF(TrRoad_act!N74=0,0,TrRoad_emi!N71/TrRoad_tech!N186)</f>
        <v>1.1801539609902059</v>
      </c>
      <c r="O213" s="150">
        <f>IF(TrRoad_act!O74=0,0,TrRoad_emi!O71/TrRoad_tech!O186)</f>
        <v>1.1915282156610296</v>
      </c>
      <c r="P213" s="150">
        <f>IF(TrRoad_act!P74=0,0,TrRoad_emi!P71/TrRoad_tech!P186)</f>
        <v>1.232026677696306</v>
      </c>
      <c r="Q213" s="150">
        <f>IF(TrRoad_act!Q74=0,0,TrRoad_emi!Q71/TrRoad_tech!Q186)</f>
        <v>1.2018683384957933</v>
      </c>
      <c r="R213" s="150">
        <f>IF(TrRoad_act!R74=0,0,TrRoad_emi!R71/TrRoad_tech!R186)</f>
        <v>1.277177809919424</v>
      </c>
      <c r="S213" s="150">
        <f>IF(TrRoad_act!S74=0,0,TrRoad_emi!S71/TrRoad_tech!S186)</f>
        <v>1.2034271164273247</v>
      </c>
      <c r="T213" s="150">
        <f>IF(TrRoad_act!T74=0,0,TrRoad_emi!T71/TrRoad_tech!T186)</f>
        <v>1.2012290795083551</v>
      </c>
      <c r="U213" s="150">
        <f>IF(TrRoad_act!U74=0,0,TrRoad_emi!U71/TrRoad_tech!U186)</f>
        <v>1.1605304000230818</v>
      </c>
      <c r="V213" s="150">
        <f>IF(TrRoad_act!V74=0,0,TrRoad_emi!V71/TrRoad_tech!V186)</f>
        <v>1.1851726909241627</v>
      </c>
      <c r="W213" s="150">
        <f>IF(TrRoad_act!W74=0,0,TrRoad_emi!W71/TrRoad_tech!W186)</f>
        <v>1.1811802038497936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1.1000420449828372</v>
      </c>
      <c r="D214" s="91">
        <f>IF(TrRoad_act!D75=0,0,TrRoad_emi!D72/TrRoad_tech!D187)</f>
        <v>1.1001565646858427</v>
      </c>
      <c r="E214" s="91">
        <f>IF(TrRoad_act!E75=0,0,TrRoad_emi!E72/TrRoad_tech!E187)</f>
        <v>1.1002237790525309</v>
      </c>
      <c r="F214" s="91">
        <f>IF(TrRoad_act!F75=0,0,TrRoad_emi!F72/TrRoad_tech!F187)</f>
        <v>1.1004013524328407</v>
      </c>
      <c r="G214" s="91">
        <f>IF(TrRoad_act!G75=0,0,TrRoad_emi!G72/TrRoad_tech!G187)</f>
        <v>1.1007532061117005</v>
      </c>
      <c r="H214" s="91">
        <f>IF(TrRoad_act!H75=0,0,TrRoad_emi!H72/TrRoad_tech!H187)</f>
        <v>1.1014890206739656</v>
      </c>
      <c r="I214" s="91">
        <f>IF(TrRoad_act!I75=0,0,TrRoad_emi!I72/TrRoad_tech!I187)</f>
        <v>1.104367596280758</v>
      </c>
      <c r="J214" s="91">
        <f>IF(TrRoad_act!J75=0,0,TrRoad_emi!J72/TrRoad_tech!J187)</f>
        <v>1.0890692296759645</v>
      </c>
      <c r="K214" s="91">
        <f>IF(TrRoad_act!K75=0,0,TrRoad_emi!K72/TrRoad_tech!K187)</f>
        <v>1.0772875129049442</v>
      </c>
      <c r="L214" s="91">
        <f>IF(TrRoad_act!L75=0,0,TrRoad_emi!L72/TrRoad_tech!L187)</f>
        <v>1.0758781727586106</v>
      </c>
      <c r="M214" s="91">
        <f>IF(TrRoad_act!M75=0,0,TrRoad_emi!M72/TrRoad_tech!M187)</f>
        <v>1.0749954651385756</v>
      </c>
      <c r="N214" s="91">
        <f>IF(TrRoad_act!N75=0,0,TrRoad_emi!N72/TrRoad_tech!N187)</f>
        <v>1.0783865005394131</v>
      </c>
      <c r="O214" s="91">
        <f>IF(TrRoad_act!O75=0,0,TrRoad_emi!O72/TrRoad_tech!O187)</f>
        <v>1.0836012456841269</v>
      </c>
      <c r="P214" s="91">
        <f>IF(TrRoad_act!P75=0,0,TrRoad_emi!P72/TrRoad_tech!P187)</f>
        <v>1.0838067651790584</v>
      </c>
      <c r="Q214" s="91">
        <f>IF(TrRoad_act!Q75=0,0,TrRoad_emi!Q72/TrRoad_tech!Q187)</f>
        <v>1.0980228625270974</v>
      </c>
      <c r="R214" s="91">
        <f>IF(TrRoad_act!R75=0,0,TrRoad_emi!R72/TrRoad_tech!R187)</f>
        <v>1.1183532393960307</v>
      </c>
      <c r="S214" s="91">
        <f>IF(TrRoad_act!S75=0,0,TrRoad_emi!S72/TrRoad_tech!S187)</f>
        <v>1.121422778832537</v>
      </c>
      <c r="T214" s="91">
        <f>IF(TrRoad_act!T75=0,0,TrRoad_emi!T72/TrRoad_tech!T187)</f>
        <v>1.1328867488677541</v>
      </c>
      <c r="U214" s="91">
        <f>IF(TrRoad_act!U75=0,0,TrRoad_emi!U72/TrRoad_tech!U187)</f>
        <v>1.1381420937231816</v>
      </c>
      <c r="V214" s="91">
        <f>IF(TrRoad_act!V75=0,0,TrRoad_emi!V72/TrRoad_tech!V187)</f>
        <v>1.1535351945207788</v>
      </c>
      <c r="W214" s="91">
        <f>IF(TrRoad_act!W75=0,0,TrRoad_emi!W72/TrRoad_tech!W187)</f>
        <v>1.1777074487119201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1.0629591478503471</v>
      </c>
      <c r="C215" s="91">
        <f>IF(TrRoad_act!C76=0,0,TrRoad_emi!C73/TrRoad_tech!C188)</f>
        <v>1.0751951598744429</v>
      </c>
      <c r="D215" s="91">
        <f>IF(TrRoad_act!D76=0,0,TrRoad_emi!D73/TrRoad_tech!D188)</f>
        <v>1.0687978515995802</v>
      </c>
      <c r="E215" s="91">
        <f>IF(TrRoad_act!E76=0,0,TrRoad_emi!E73/TrRoad_tech!E188)</f>
        <v>1.0762040287349177</v>
      </c>
      <c r="F215" s="91">
        <f>IF(TrRoad_act!F76=0,0,TrRoad_emi!F73/TrRoad_tech!F188)</f>
        <v>1.0919606477723445</v>
      </c>
      <c r="G215" s="91">
        <f>IF(TrRoad_act!G76=0,0,TrRoad_emi!G73/TrRoad_tech!G188)</f>
        <v>1.1062060559970956</v>
      </c>
      <c r="H215" s="91">
        <f>IF(TrRoad_act!H76=0,0,TrRoad_emi!H73/TrRoad_tech!H188)</f>
        <v>1.1048875308011048</v>
      </c>
      <c r="I215" s="91">
        <f>IF(TrRoad_act!I76=0,0,TrRoad_emi!I73/TrRoad_tech!I188)</f>
        <v>1.1053848028293429</v>
      </c>
      <c r="J215" s="91">
        <f>IF(TrRoad_act!J76=0,0,TrRoad_emi!J73/TrRoad_tech!J188)</f>
        <v>1.0970691092870994</v>
      </c>
      <c r="K215" s="91">
        <f>IF(TrRoad_act!K76=0,0,TrRoad_emi!K73/TrRoad_tech!K188)</f>
        <v>1.0807681280342878</v>
      </c>
      <c r="L215" s="91">
        <f>IF(TrRoad_act!L76=0,0,TrRoad_emi!L73/TrRoad_tech!L188)</f>
        <v>1.0692558924732207</v>
      </c>
      <c r="M215" s="91">
        <f>IF(TrRoad_act!M76=0,0,TrRoad_emi!M73/TrRoad_tech!M188)</f>
        <v>1.0521212614577082</v>
      </c>
      <c r="N215" s="91">
        <f>IF(TrRoad_act!N76=0,0,TrRoad_emi!N73/TrRoad_tech!N188)</f>
        <v>1.061536664763707</v>
      </c>
      <c r="O215" s="91">
        <f>IF(TrRoad_act!O76=0,0,TrRoad_emi!O73/TrRoad_tech!O188)</f>
        <v>1.0648041378971349</v>
      </c>
      <c r="P215" s="91">
        <f>IF(TrRoad_act!P76=0,0,TrRoad_emi!P73/TrRoad_tech!P188)</f>
        <v>1.064962414053819</v>
      </c>
      <c r="Q215" s="91">
        <f>IF(TrRoad_act!Q76=0,0,TrRoad_emi!Q73/TrRoad_tech!Q188)</f>
        <v>1.080820589987955</v>
      </c>
      <c r="R215" s="91">
        <f>IF(TrRoad_act!R76=0,0,TrRoad_emi!R73/TrRoad_tech!R188)</f>
        <v>1.0942934782123557</v>
      </c>
      <c r="S215" s="91">
        <f>IF(TrRoad_act!S76=0,0,TrRoad_emi!S73/TrRoad_tech!S188)</f>
        <v>1.1047434075094993</v>
      </c>
      <c r="T215" s="91">
        <f>IF(TrRoad_act!T76=0,0,TrRoad_emi!T73/TrRoad_tech!T188)</f>
        <v>1.1186019318143958</v>
      </c>
      <c r="U215" s="91">
        <f>IF(TrRoad_act!U76=0,0,TrRoad_emi!U73/TrRoad_tech!U188)</f>
        <v>1.1253022447004806</v>
      </c>
      <c r="V215" s="91">
        <f>IF(TrRoad_act!V76=0,0,TrRoad_emi!V73/TrRoad_tech!V188)</f>
        <v>1.1207092043800151</v>
      </c>
      <c r="W215" s="91">
        <f>IF(TrRoad_act!W76=0,0,TrRoad_emi!W73/TrRoad_tech!W188)</f>
        <v>1.1446218063702087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1.1000000000067298</v>
      </c>
      <c r="C216" s="91">
        <f>IF(TrRoad_act!C77=0,0,TrRoad_emi!C74/TrRoad_tech!C189)</f>
        <v>1.1000027240436641</v>
      </c>
      <c r="D216" s="91">
        <f>IF(TrRoad_act!D77=0,0,TrRoad_emi!D74/TrRoad_tech!D189)</f>
        <v>1.1000177584148685</v>
      </c>
      <c r="E216" s="91">
        <f>IF(TrRoad_act!E77=0,0,TrRoad_emi!E74/TrRoad_tech!E189)</f>
        <v>1.1000455061862768</v>
      </c>
      <c r="F216" s="91">
        <f>IF(TrRoad_act!F77=0,0,TrRoad_emi!F74/TrRoad_tech!F189)</f>
        <v>1.1001011809459407</v>
      </c>
      <c r="G216" s="91">
        <f>IF(TrRoad_act!G77=0,0,TrRoad_emi!G74/TrRoad_tech!G189)</f>
        <v>1.1001716577652609</v>
      </c>
      <c r="H216" s="91">
        <f>IF(TrRoad_act!H77=0,0,TrRoad_emi!H74/TrRoad_tech!H189)</f>
        <v>1.1008385644746983</v>
      </c>
      <c r="I216" s="91">
        <f>IF(TrRoad_act!I77=0,0,TrRoad_emi!I74/TrRoad_tech!I189)</f>
        <v>1.1022903495085881</v>
      </c>
      <c r="J216" s="91">
        <f>IF(TrRoad_act!J77=0,0,TrRoad_emi!J74/TrRoad_tech!J189)</f>
        <v>1.1031145736787342</v>
      </c>
      <c r="K216" s="91">
        <f>IF(TrRoad_act!K77=0,0,TrRoad_emi!K74/TrRoad_tech!K189)</f>
        <v>1.1058286609033889</v>
      </c>
      <c r="L216" s="91">
        <f>IF(TrRoad_act!L77=0,0,TrRoad_emi!L74/TrRoad_tech!L189)</f>
        <v>1.1074399279442095</v>
      </c>
      <c r="M216" s="91">
        <f>IF(TrRoad_act!M77=0,0,TrRoad_emi!M74/TrRoad_tech!M189)</f>
        <v>1.1120342673738879</v>
      </c>
      <c r="N216" s="91">
        <f>IF(TrRoad_act!N77=0,0,TrRoad_emi!N74/TrRoad_tech!N189)</f>
        <v>1.1218561929073358</v>
      </c>
      <c r="O216" s="91">
        <f>IF(TrRoad_act!O77=0,0,TrRoad_emi!O74/TrRoad_tech!O189)</f>
        <v>1.1291507673722865</v>
      </c>
      <c r="P216" s="91">
        <f>IF(TrRoad_act!P77=0,0,TrRoad_emi!P74/TrRoad_tech!P189)</f>
        <v>1.1408963233570713</v>
      </c>
      <c r="Q216" s="91">
        <f>IF(TrRoad_act!Q77=0,0,TrRoad_emi!Q74/TrRoad_tech!Q189)</f>
        <v>1.1474330020686545</v>
      </c>
      <c r="R216" s="91">
        <f>IF(TrRoad_act!R77=0,0,TrRoad_emi!R74/TrRoad_tech!R189)</f>
        <v>1.1595006261451941</v>
      </c>
      <c r="S216" s="91">
        <f>IF(TrRoad_act!S77=0,0,TrRoad_emi!S74/TrRoad_tech!S189)</f>
        <v>1.1656360688738934</v>
      </c>
      <c r="T216" s="91">
        <f>IF(TrRoad_act!T77=0,0,TrRoad_emi!T74/TrRoad_tech!T189)</f>
        <v>1.173802419782584</v>
      </c>
      <c r="U216" s="91">
        <f>IF(TrRoad_act!U77=0,0,TrRoad_emi!U74/TrRoad_tech!U189)</f>
        <v>1.179737376949936</v>
      </c>
      <c r="V216" s="91">
        <f>IF(TrRoad_act!V77=0,0,TrRoad_emi!V74/TrRoad_tech!V189)</f>
        <v>1.185106802970787</v>
      </c>
      <c r="W216" s="91">
        <f>IF(TrRoad_act!W77=0,0,TrRoad_emi!W74/TrRoad_tech!W189)</f>
        <v>1.190813137493471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1.2360000000066975</v>
      </c>
      <c r="O217" s="91">
        <f>IF(TrRoad_act!O78=0,0,TrRoad_emi!O75/TrRoad_tech!O190)</f>
        <v>1.2451293605423444</v>
      </c>
      <c r="P217" s="91">
        <f>IF(TrRoad_act!P78=0,0,TrRoad_emi!P75/TrRoad_tech!P190)</f>
        <v>1.2641992995949058</v>
      </c>
      <c r="Q217" s="91">
        <f>IF(TrRoad_act!Q78=0,0,TrRoad_emi!Q75/TrRoad_tech!Q190)</f>
        <v>1.2846958137207234</v>
      </c>
      <c r="R217" s="91">
        <f>IF(TrRoad_act!R78=0,0,TrRoad_emi!R75/TrRoad_tech!R190)</f>
        <v>1.2982086000568906</v>
      </c>
      <c r="S217" s="91">
        <f>IF(TrRoad_act!S78=0,0,TrRoad_emi!S75/TrRoad_tech!S190)</f>
        <v>1.3061833152658877</v>
      </c>
      <c r="T217" s="91">
        <f>IF(TrRoad_act!T78=0,0,TrRoad_emi!T75/TrRoad_tech!T190)</f>
        <v>1.3118545141278637</v>
      </c>
      <c r="U217" s="91">
        <f>IF(TrRoad_act!U78=0,0,TrRoad_emi!U75/TrRoad_tech!U190)</f>
        <v>1.3169635871602421</v>
      </c>
      <c r="V217" s="91">
        <f>IF(TrRoad_act!V78=0,0,TrRoad_emi!V75/TrRoad_tech!V190)</f>
        <v>1.3010362178492387</v>
      </c>
      <c r="W217" s="91">
        <f>IF(TrRoad_act!W78=0,0,TrRoad_emi!W75/TrRoad_tech!W190)</f>
        <v>1.0748783629481651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1.1669753550245314</v>
      </c>
      <c r="C219" s="151">
        <f>IF(TrRoad_act!C80=0,0,TrRoad_emi!C77/TrRoad_tech!C192)</f>
        <v>1.0966192100408683</v>
      </c>
      <c r="D219" s="151">
        <f>IF(TrRoad_act!D80=0,0,TrRoad_emi!D77/TrRoad_tech!D192)</f>
        <v>1.1037768712393274</v>
      </c>
      <c r="E219" s="151">
        <f>IF(TrRoad_act!E80=0,0,TrRoad_emi!E77/TrRoad_tech!E192)</f>
        <v>1.2024673672649646</v>
      </c>
      <c r="F219" s="151">
        <f>IF(TrRoad_act!F80=0,0,TrRoad_emi!F77/TrRoad_tech!F192)</f>
        <v>1.2105545731628589</v>
      </c>
      <c r="G219" s="151">
        <f>IF(TrRoad_act!G80=0,0,TrRoad_emi!G77/TrRoad_tech!G192)</f>
        <v>1.301093813454437</v>
      </c>
      <c r="H219" s="151">
        <f>IF(TrRoad_act!H80=0,0,TrRoad_emi!H77/TrRoad_tech!H192)</f>
        <v>1.4257052155220404</v>
      </c>
      <c r="I219" s="151">
        <f>IF(TrRoad_act!I80=0,0,TrRoad_emi!I77/TrRoad_tech!I192)</f>
        <v>1.5117946510409475</v>
      </c>
      <c r="J219" s="151">
        <f>IF(TrRoad_act!J80=0,0,TrRoad_emi!J77/TrRoad_tech!J192)</f>
        <v>1.5069888584398887</v>
      </c>
      <c r="K219" s="151">
        <f>IF(TrRoad_act!K80=0,0,TrRoad_emi!K77/TrRoad_tech!K192)</f>
        <v>1.5621391924737562</v>
      </c>
      <c r="L219" s="151">
        <f>IF(TrRoad_act!L80=0,0,TrRoad_emi!L77/TrRoad_tech!L192)</f>
        <v>1.471215203889128</v>
      </c>
      <c r="M219" s="151">
        <f>IF(TrRoad_act!M80=0,0,TrRoad_emi!M77/TrRoad_tech!M192)</f>
        <v>1.412620366819173</v>
      </c>
      <c r="N219" s="151">
        <f>IF(TrRoad_act!N80=0,0,TrRoad_emi!N77/TrRoad_tech!N192)</f>
        <v>1.4298186334170682</v>
      </c>
      <c r="O219" s="151">
        <f>IF(TrRoad_act!O80=0,0,TrRoad_emi!O77/TrRoad_tech!O192)</f>
        <v>1.2700604773524478</v>
      </c>
      <c r="P219" s="151">
        <f>IF(TrRoad_act!P80=0,0,TrRoad_emi!P77/TrRoad_tech!P192)</f>
        <v>1.2562104966902441</v>
      </c>
      <c r="Q219" s="151">
        <f>IF(TrRoad_act!Q80=0,0,TrRoad_emi!Q77/TrRoad_tech!Q192)</f>
        <v>1.2269250906409181</v>
      </c>
      <c r="R219" s="151">
        <f>IF(TrRoad_act!R80=0,0,TrRoad_emi!R77/TrRoad_tech!R192)</f>
        <v>1.3548337408716078</v>
      </c>
      <c r="S219" s="151">
        <f>IF(TrRoad_act!S80=0,0,TrRoad_emi!S77/TrRoad_tech!S192)</f>
        <v>1.401569418374061</v>
      </c>
      <c r="T219" s="151">
        <f>IF(TrRoad_act!T80=0,0,TrRoad_emi!T77/TrRoad_tech!T192)</f>
        <v>1.4149631257105768</v>
      </c>
      <c r="U219" s="151">
        <f>IF(TrRoad_act!U80=0,0,TrRoad_emi!U77/TrRoad_tech!U192)</f>
        <v>1.4063108345370257</v>
      </c>
      <c r="V219" s="151">
        <f>IF(TrRoad_act!V80=0,0,TrRoad_emi!V77/TrRoad_tech!V192)</f>
        <v>1.1931796868524616</v>
      </c>
      <c r="W219" s="151">
        <f>IF(TrRoad_act!W80=0,0,TrRoad_emi!W77/TrRoad_tech!W192)</f>
        <v>1.2053973126324831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1.1383332050117951</v>
      </c>
      <c r="C220" s="93">
        <f>IF(TrRoad_act!C81=0,0,TrRoad_emi!C78/TrRoad_tech!C193)</f>
        <v>1.143866209138608</v>
      </c>
      <c r="D220" s="93">
        <f>IF(TrRoad_act!D81=0,0,TrRoad_emi!D78/TrRoad_tech!D193)</f>
        <v>1.1388811324645221</v>
      </c>
      <c r="E220" s="93">
        <f>IF(TrRoad_act!E81=0,0,TrRoad_emi!E78/TrRoad_tech!E193)</f>
        <v>1.156027925318224</v>
      </c>
      <c r="F220" s="93">
        <f>IF(TrRoad_act!F81=0,0,TrRoad_emi!F78/TrRoad_tech!F193)</f>
        <v>1.1708564226172593</v>
      </c>
      <c r="G220" s="93">
        <f>IF(TrRoad_act!G81=0,0,TrRoad_emi!G78/TrRoad_tech!G193)</f>
        <v>1.1939286909838907</v>
      </c>
      <c r="H220" s="93">
        <f>IF(TrRoad_act!H81=0,0,TrRoad_emi!H78/TrRoad_tech!H193)</f>
        <v>1.2055399883646043</v>
      </c>
      <c r="I220" s="93">
        <f>IF(TrRoad_act!I81=0,0,TrRoad_emi!I78/TrRoad_tech!I193)</f>
        <v>1.2150130458950146</v>
      </c>
      <c r="J220" s="93">
        <f>IF(TrRoad_act!J81=0,0,TrRoad_emi!J78/TrRoad_tech!J193)</f>
        <v>1.2062492395576345</v>
      </c>
      <c r="K220" s="93">
        <f>IF(TrRoad_act!K81=0,0,TrRoad_emi!K78/TrRoad_tech!K193)</f>
        <v>1.1944787555605578</v>
      </c>
      <c r="L220" s="93">
        <f>IF(TrRoad_act!L81=0,0,TrRoad_emi!L78/TrRoad_tech!L193)</f>
        <v>1.1795629914854648</v>
      </c>
      <c r="M220" s="93">
        <f>IF(TrRoad_act!M81=0,0,TrRoad_emi!M78/TrRoad_tech!M193)</f>
        <v>1.1638457932118198</v>
      </c>
      <c r="N220" s="93">
        <f>IF(TrRoad_act!N81=0,0,TrRoad_emi!N78/TrRoad_tech!N193)</f>
        <v>1.1845275403133992</v>
      </c>
      <c r="O220" s="93">
        <f>IF(TrRoad_act!O81=0,0,TrRoad_emi!O78/TrRoad_tech!O193)</f>
        <v>1.1804787924119464</v>
      </c>
      <c r="P220" s="93">
        <f>IF(TrRoad_act!P81=0,0,TrRoad_emi!P78/TrRoad_tech!P193)</f>
        <v>1.1865833304371212</v>
      </c>
      <c r="Q220" s="93">
        <f>IF(TrRoad_act!Q81=0,0,TrRoad_emi!Q78/TrRoad_tech!Q193)</f>
        <v>1.2100066836238828</v>
      </c>
      <c r="R220" s="93">
        <f>IF(TrRoad_act!R81=0,0,TrRoad_emi!R78/TrRoad_tech!R193)</f>
        <v>1.2326917044556192</v>
      </c>
      <c r="S220" s="93">
        <f>IF(TrRoad_act!S81=0,0,TrRoad_emi!S78/TrRoad_tech!S193)</f>
        <v>1.2504546575159048</v>
      </c>
      <c r="T220" s="93">
        <f>IF(TrRoad_act!T81=0,0,TrRoad_emi!T78/TrRoad_tech!T193)</f>
        <v>1.26555545171589</v>
      </c>
      <c r="U220" s="93">
        <f>IF(TrRoad_act!U81=0,0,TrRoad_emi!U78/TrRoad_tech!U193)</f>
        <v>1.2761870503314514</v>
      </c>
      <c r="V220" s="93">
        <f>IF(TrRoad_act!V81=0,0,TrRoad_emi!V78/TrRoad_tech!V193)</f>
        <v>1.2675547906623259</v>
      </c>
      <c r="W220" s="93">
        <f>IF(TrRoad_act!W81=0,0,TrRoad_emi!W78/TrRoad_tech!W193)</f>
        <v>1.3003013345653467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1.1753956643949051</v>
      </c>
      <c r="C221" s="94">
        <f>IF(TrRoad_act!C82=0,0,TrRoad_emi!C79/TrRoad_tech!C194)</f>
        <v>1.0168808409965195</v>
      </c>
      <c r="D221" s="94">
        <f>IF(TrRoad_act!D82=0,0,TrRoad_emi!D79/TrRoad_tech!D194)</f>
        <v>1.055263087658237</v>
      </c>
      <c r="E221" s="94">
        <f>IF(TrRoad_act!E82=0,0,TrRoad_emi!E79/TrRoad_tech!E194)</f>
        <v>1.335506293913012</v>
      </c>
      <c r="F221" s="94">
        <f>IF(TrRoad_act!F82=0,0,TrRoad_emi!F79/TrRoad_tech!F194)</f>
        <v>1.3363535346806352</v>
      </c>
      <c r="G221" s="94">
        <f>IF(TrRoad_act!G82=0,0,TrRoad_emi!G79/TrRoad_tech!G194)</f>
        <v>1.6025749656505399</v>
      </c>
      <c r="H221" s="94">
        <f>IF(TrRoad_act!H82=0,0,TrRoad_emi!H79/TrRoad_tech!H194)</f>
        <v>1.9061803225411118</v>
      </c>
      <c r="I221" s="94">
        <f>IF(TrRoad_act!I82=0,0,TrRoad_emi!I79/TrRoad_tech!I194)</f>
        <v>2.0939135100623862</v>
      </c>
      <c r="J221" s="94">
        <f>IF(TrRoad_act!J82=0,0,TrRoad_emi!J79/TrRoad_tech!J194)</f>
        <v>2.0982788726720139</v>
      </c>
      <c r="K221" s="94">
        <f>IF(TrRoad_act!K82=0,0,TrRoad_emi!K79/TrRoad_tech!K194)</f>
        <v>2.1561638358142576</v>
      </c>
      <c r="L221" s="94">
        <f>IF(TrRoad_act!L82=0,0,TrRoad_emi!L79/TrRoad_tech!L194)</f>
        <v>1.9158294335531996</v>
      </c>
      <c r="M221" s="94">
        <f>IF(TrRoad_act!M82=0,0,TrRoad_emi!M79/TrRoad_tech!M194)</f>
        <v>1.7651930790774419</v>
      </c>
      <c r="N221" s="94">
        <f>IF(TrRoad_act!N82=0,0,TrRoad_emi!N79/TrRoad_tech!N194)</f>
        <v>1.730509955379933</v>
      </c>
      <c r="O221" s="94">
        <f>IF(TrRoad_act!O82=0,0,TrRoad_emi!O79/TrRoad_tech!O194)</f>
        <v>1.3726608502334967</v>
      </c>
      <c r="P221" s="94">
        <f>IF(TrRoad_act!P82=0,0,TrRoad_emi!P79/TrRoad_tech!P194)</f>
        <v>1.3461532970366781</v>
      </c>
      <c r="Q221" s="94">
        <f>IF(TrRoad_act!Q82=0,0,TrRoad_emi!Q79/TrRoad_tech!Q194)</f>
        <v>1.268748804944138</v>
      </c>
      <c r="R221" s="94">
        <f>IF(TrRoad_act!R82=0,0,TrRoad_emi!R79/TrRoad_tech!R194)</f>
        <v>1.546483455898932</v>
      </c>
      <c r="S221" s="94">
        <f>IF(TrRoad_act!S82=0,0,TrRoad_emi!S79/TrRoad_tech!S194)</f>
        <v>1.6472740216050581</v>
      </c>
      <c r="T221" s="94">
        <f>IF(TrRoad_act!T82=0,0,TrRoad_emi!T79/TrRoad_tech!T194)</f>
        <v>1.6895847561436725</v>
      </c>
      <c r="U221" s="94">
        <f>IF(TrRoad_act!U82=0,0,TrRoad_emi!U79/TrRoad_tech!U194)</f>
        <v>1.6374256462016483</v>
      </c>
      <c r="V221" s="94">
        <f>IF(TrRoad_act!V82=0,0,TrRoad_emi!V79/TrRoad_tech!V194)</f>
        <v>1.1080963134077633</v>
      </c>
      <c r="W221" s="94">
        <f>IF(TrRoad_act!W82=0,0,TrRoad_emi!W79/TrRoad_tech!W194)</f>
        <v>1.1013831100345572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99.687298425414767</v>
      </c>
      <c r="C225" s="152">
        <v>99.144591773105645</v>
      </c>
      <c r="D225" s="152">
        <v>98.545048888042174</v>
      </c>
      <c r="E225" s="152">
        <v>97.311585658909365</v>
      </c>
      <c r="F225" s="152">
        <v>97.176826019606139</v>
      </c>
      <c r="G225" s="152">
        <v>98.695213926162452</v>
      </c>
      <c r="H225" s="152">
        <v>97.708261786900835</v>
      </c>
      <c r="I225" s="152">
        <v>96.721309647639217</v>
      </c>
      <c r="J225" s="152">
        <v>95.233289499213981</v>
      </c>
      <c r="K225" s="152">
        <v>89.991376576481215</v>
      </c>
      <c r="L225" s="152">
        <v>86.718341018201841</v>
      </c>
      <c r="M225" s="152">
        <v>84.381653536569388</v>
      </c>
      <c r="N225" s="152">
        <v>81.753743731224162</v>
      </c>
      <c r="O225" s="152">
        <v>78.37069752520587</v>
      </c>
      <c r="P225" s="152">
        <v>77.060642659939916</v>
      </c>
      <c r="Q225" s="152">
        <v>74.948213882559401</v>
      </c>
      <c r="R225" s="152">
        <v>73.394850564524674</v>
      </c>
      <c r="S225" s="152">
        <v>72.152159910096898</v>
      </c>
      <c r="T225" s="152">
        <v>71.158007386554672</v>
      </c>
      <c r="U225" s="152">
        <v>70.362685367720886</v>
      </c>
      <c r="V225" s="152">
        <v>69.726427752653862</v>
      </c>
      <c r="W225" s="152">
        <v>69.217421660600237</v>
      </c>
      <c r="DA225" s="174" t="s">
        <v>931</v>
      </c>
    </row>
    <row r="226" spans="1:105" ht="11.45" customHeight="1" x14ac:dyDescent="0.25">
      <c r="A226" s="109" t="s">
        <v>20</v>
      </c>
      <c r="B226" s="116">
        <v>195.8675878331411</v>
      </c>
      <c r="C226" s="116">
        <v>196.49080967040422</v>
      </c>
      <c r="D226" s="116">
        <v>195.81188594955984</v>
      </c>
      <c r="E226" s="116">
        <v>194.7019827822742</v>
      </c>
      <c r="F226" s="116">
        <v>194.21637972955085</v>
      </c>
      <c r="G226" s="116">
        <v>197.14824149910456</v>
      </c>
      <c r="H226" s="116">
        <v>198.91558146711273</v>
      </c>
      <c r="I226" s="116">
        <v>199.05395133897918</v>
      </c>
      <c r="J226" s="116">
        <v>197.96338371275149</v>
      </c>
      <c r="K226" s="116">
        <v>189.45184859519716</v>
      </c>
      <c r="L226" s="116">
        <v>181.49118088150053</v>
      </c>
      <c r="M226" s="116">
        <v>177.67971088974051</v>
      </c>
      <c r="N226" s="116">
        <v>172.81539412703532</v>
      </c>
      <c r="O226" s="116">
        <v>164.929991570086</v>
      </c>
      <c r="P226" s="116">
        <v>160.02520563265955</v>
      </c>
      <c r="Q226" s="116">
        <v>153.662251344514</v>
      </c>
      <c r="R226" s="116">
        <v>146.59527102394864</v>
      </c>
      <c r="S226" s="116">
        <v>150.78677972997022</v>
      </c>
      <c r="T226" s="116">
        <v>154.11731592449573</v>
      </c>
      <c r="U226" s="116">
        <v>154.71417366686592</v>
      </c>
      <c r="V226" s="116">
        <v>148.12325387647061</v>
      </c>
      <c r="W226" s="116">
        <v>140.01554925279223</v>
      </c>
      <c r="DA226" s="176" t="s">
        <v>932</v>
      </c>
    </row>
    <row r="227" spans="1:105" ht="11.45" customHeight="1" x14ac:dyDescent="0.25">
      <c r="A227" s="111" t="s">
        <v>110</v>
      </c>
      <c r="B227" s="87">
        <v>194.588980483634</v>
      </c>
      <c r="C227" s="87">
        <v>194.65949124551605</v>
      </c>
      <c r="D227" s="87">
        <v>193.48235479360139</v>
      </c>
      <c r="E227" s="87">
        <v>191.06058553358434</v>
      </c>
      <c r="F227" s="87">
        <v>190.79599981732832</v>
      </c>
      <c r="G227" s="87">
        <v>193.77718731447408</v>
      </c>
      <c r="H227" s="87">
        <v>193.77718731447408</v>
      </c>
      <c r="I227" s="87">
        <v>193.77718731447408</v>
      </c>
      <c r="J227" s="87">
        <v>190.79599981732832</v>
      </c>
      <c r="K227" s="87">
        <v>180.29404170680405</v>
      </c>
      <c r="L227" s="87">
        <v>173.72525316997445</v>
      </c>
      <c r="M227" s="87">
        <v>168.98084379144109</v>
      </c>
      <c r="N227" s="87">
        <v>163.64377548462954</v>
      </c>
      <c r="O227" s="87">
        <v>156.98531162070631</v>
      </c>
      <c r="P227" s="87">
        <v>154.42609715661644</v>
      </c>
      <c r="Q227" s="87">
        <v>148.70263001510466</v>
      </c>
      <c r="R227" s="87">
        <v>144.95673944800126</v>
      </c>
      <c r="S227" s="87">
        <v>146.19497466736709</v>
      </c>
      <c r="T227" s="87">
        <v>146.74197435897429</v>
      </c>
      <c r="U227" s="87">
        <v>147.5783637046236</v>
      </c>
      <c r="V227" s="87">
        <v>142.94969655892359</v>
      </c>
      <c r="W227" s="87">
        <v>135.5609079857532</v>
      </c>
      <c r="DA227" s="171" t="s">
        <v>933</v>
      </c>
    </row>
    <row r="228" spans="1:105" ht="11.45" customHeight="1" x14ac:dyDescent="0.25">
      <c r="A228" s="111" t="s">
        <v>111</v>
      </c>
      <c r="B228" s="87">
        <v>197.06022249217355</v>
      </c>
      <c r="C228" s="87">
        <v>198.14925941345251</v>
      </c>
      <c r="D228" s="87">
        <v>198.03988099491161</v>
      </c>
      <c r="E228" s="87">
        <v>198.49106697139257</v>
      </c>
      <c r="F228" s="87">
        <v>197.18194402448202</v>
      </c>
      <c r="G228" s="87">
        <v>200.37826438280715</v>
      </c>
      <c r="H228" s="87">
        <v>203.69658170137365</v>
      </c>
      <c r="I228" s="87">
        <v>204.04863007235602</v>
      </c>
      <c r="J228" s="87">
        <v>207.18220913684269</v>
      </c>
      <c r="K228" s="87">
        <v>199.0403830499105</v>
      </c>
      <c r="L228" s="87">
        <v>191.39496391146574</v>
      </c>
      <c r="M228" s="87">
        <v>185.20438599472214</v>
      </c>
      <c r="N228" s="87">
        <v>181.59656366185678</v>
      </c>
      <c r="O228" s="87">
        <v>173.05701930669323</v>
      </c>
      <c r="P228" s="87">
        <v>168.65506167630917</v>
      </c>
      <c r="Q228" s="87">
        <v>161.35988162375193</v>
      </c>
      <c r="R228" s="87">
        <v>151.10717247508254</v>
      </c>
      <c r="S228" s="87">
        <v>158.62095742818406</v>
      </c>
      <c r="T228" s="87">
        <v>165.96754208754211</v>
      </c>
      <c r="U228" s="87">
        <v>166.50174761000369</v>
      </c>
      <c r="V228" s="87">
        <v>160.62757990867581</v>
      </c>
      <c r="W228" s="87">
        <v>152.2578521168285</v>
      </c>
      <c r="DA228" s="171" t="s">
        <v>934</v>
      </c>
    </row>
    <row r="229" spans="1:105" ht="11.45" customHeight="1" x14ac:dyDescent="0.25">
      <c r="A229" s="111" t="s">
        <v>112</v>
      </c>
      <c r="B229" s="87">
        <v>205.42418910202781</v>
      </c>
      <c r="C229" s="87">
        <v>211.07294330201748</v>
      </c>
      <c r="D229" s="87">
        <v>210.95643100818663</v>
      </c>
      <c r="E229" s="87">
        <v>211.43704422023859</v>
      </c>
      <c r="F229" s="87">
        <v>210.04253770345139</v>
      </c>
      <c r="G229" s="87">
        <v>213.44732835351442</v>
      </c>
      <c r="H229" s="87">
        <v>216.9820728451829</v>
      </c>
      <c r="I229" s="87">
        <v>217.35708250238724</v>
      </c>
      <c r="J229" s="87">
        <v>220.69503974819608</v>
      </c>
      <c r="K229" s="87">
        <v>212.02218777232213</v>
      </c>
      <c r="L229" s="87">
        <v>203.87811938112043</v>
      </c>
      <c r="M229" s="87">
        <v>213.22758087862306</v>
      </c>
      <c r="N229" s="87">
        <v>174.32320822764615</v>
      </c>
      <c r="O229" s="87">
        <v>155.59146981244618</v>
      </c>
      <c r="P229" s="87">
        <v>155.08804241661733</v>
      </c>
      <c r="Q229" s="87">
        <v>153.24981882692785</v>
      </c>
      <c r="R229" s="87">
        <v>125.50100683813579</v>
      </c>
      <c r="S229" s="87">
        <v>157.63964611085163</v>
      </c>
      <c r="T229" s="87">
        <v>158.03571428571431</v>
      </c>
      <c r="U229" s="87">
        <v>140.70833333333329</v>
      </c>
      <c r="V229" s="87">
        <v>125.2920908379013</v>
      </c>
      <c r="W229" s="87">
        <v>133.10146211785559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175.1582779153546</v>
      </c>
      <c r="K230" s="87">
        <v>180.60547439137525</v>
      </c>
      <c r="L230" s="87">
        <v>161.23989383681541</v>
      </c>
      <c r="M230" s="87">
        <v>173.12547054762172</v>
      </c>
      <c r="N230" s="87">
        <v>147.74555236657059</v>
      </c>
      <c r="O230" s="87">
        <v>132.07342505989465</v>
      </c>
      <c r="P230" s="87">
        <v>117.5691077641707</v>
      </c>
      <c r="Q230" s="87">
        <v>113.36492418963182</v>
      </c>
      <c r="R230" s="87">
        <v>117.33102607481132</v>
      </c>
      <c r="S230" s="87">
        <v>116.95041590475429</v>
      </c>
      <c r="T230" s="87">
        <v>123.83999999999999</v>
      </c>
      <c r="U230" s="87">
        <v>115.7603399433428</v>
      </c>
      <c r="V230" s="87">
        <v>113.0195160031226</v>
      </c>
      <c r="W230" s="87">
        <v>103.1397849462366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46.091990027446421</v>
      </c>
      <c r="O231" s="87">
        <v>51.168396466760939</v>
      </c>
      <c r="P231" s="87">
        <v>28.414207672220083</v>
      </c>
      <c r="Q231" s="87">
        <v>70.741738173258128</v>
      </c>
      <c r="R231" s="87">
        <v>34.756139870206134</v>
      </c>
      <c r="S231" s="87">
        <v>61.546535216042635</v>
      </c>
      <c r="T231" s="87">
        <v>48.034067408801292</v>
      </c>
      <c r="U231" s="87">
        <v>46.702770780856433</v>
      </c>
      <c r="V231" s="87">
        <v>43.689655172413786</v>
      </c>
      <c r="W231" s="87">
        <v>34.137002692192638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1437.1260419666373</v>
      </c>
      <c r="C233" s="116">
        <v>1409.4021544375807</v>
      </c>
      <c r="D233" s="116">
        <v>1238.826082484575</v>
      </c>
      <c r="E233" s="116">
        <v>1385.4157564679388</v>
      </c>
      <c r="F233" s="116">
        <v>1417.7619464339898</v>
      </c>
      <c r="G233" s="116">
        <v>1422.2662756596981</v>
      </c>
      <c r="H233" s="116">
        <v>1392.0079572446123</v>
      </c>
      <c r="I233" s="116">
        <v>1433.4738136144972</v>
      </c>
      <c r="J233" s="116">
        <v>1427.8960944953744</v>
      </c>
      <c r="K233" s="116">
        <v>1407.4011467041619</v>
      </c>
      <c r="L233" s="116">
        <v>1391.5301146037796</v>
      </c>
      <c r="M233" s="116">
        <v>1384.6593367480871</v>
      </c>
      <c r="N233" s="116">
        <v>1364.4027061172258</v>
      </c>
      <c r="O233" s="116">
        <v>1348.5753377239712</v>
      </c>
      <c r="P233" s="116">
        <v>1205.6163096223929</v>
      </c>
      <c r="Q233" s="116">
        <v>1105.3655870568323</v>
      </c>
      <c r="R233" s="116">
        <v>1254.5889408722137</v>
      </c>
      <c r="S233" s="116">
        <v>1035.8428851029491</v>
      </c>
      <c r="T233" s="116">
        <v>1245.4421280126392</v>
      </c>
      <c r="U233" s="116">
        <v>1179.2490373987123</v>
      </c>
      <c r="V233" s="116">
        <v>1207.0737054280821</v>
      </c>
      <c r="W233" s="116">
        <v>1261.565662121609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1437.1260419666373</v>
      </c>
      <c r="C235" s="101">
        <v>1435.1616155668287</v>
      </c>
      <c r="D235" s="101">
        <v>1432.9820687163865</v>
      </c>
      <c r="E235" s="101">
        <v>1428.4555076414704</v>
      </c>
      <c r="F235" s="101">
        <v>1427.960452792903</v>
      </c>
      <c r="G235" s="101">
        <v>1433.4738136144972</v>
      </c>
      <c r="H235" s="101">
        <v>1433.4738136144972</v>
      </c>
      <c r="I235" s="101">
        <v>1433.4738136144972</v>
      </c>
      <c r="J235" s="101">
        <v>1427.8960944953744</v>
      </c>
      <c r="K235" s="101">
        <v>1407.4011467041619</v>
      </c>
      <c r="L235" s="101">
        <v>1394.2452953152015</v>
      </c>
      <c r="M235" s="101">
        <v>1384.6593367480871</v>
      </c>
      <c r="N235" s="101">
        <v>1373.6208462583536</v>
      </c>
      <c r="O235" s="101">
        <v>1358.9552614587922</v>
      </c>
      <c r="P235" s="101">
        <v>1353.2040391939242</v>
      </c>
      <c r="Q235" s="101">
        <v>1340.2449215971562</v>
      </c>
      <c r="R235" s="101">
        <v>1328.6878590809247</v>
      </c>
      <c r="S235" s="101">
        <v>1318.3717346791868</v>
      </c>
      <c r="T235" s="101">
        <v>1309.1557224560383</v>
      </c>
      <c r="U235" s="101">
        <v>1300.9164069003025</v>
      </c>
      <c r="V235" s="101">
        <v>1293.5453682756122</v>
      </c>
      <c r="W235" s="101">
        <v>1286.9471489729158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911.95268917582587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905.44946731105597</v>
      </c>
      <c r="D237" s="101">
        <v>904.07438208489975</v>
      </c>
      <c r="E237" s="101">
        <v>901.2185557657051</v>
      </c>
      <c r="F237" s="101">
        <v>900.90622359066424</v>
      </c>
      <c r="G237" s="101">
        <v>904.3846259983502</v>
      </c>
      <c r="H237" s="101">
        <v>904.3846259983502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866.6231384963296</v>
      </c>
      <c r="O237" s="101">
        <v>857.37055969228788</v>
      </c>
      <c r="P237" s="101">
        <v>853.7420895049388</v>
      </c>
      <c r="Q237" s="101">
        <v>845.56612799820584</v>
      </c>
      <c r="R237" s="101">
        <v>838.27472890733088</v>
      </c>
      <c r="S237" s="101">
        <v>831.76624286439915</v>
      </c>
      <c r="T237" s="101">
        <v>825.95182219729816</v>
      </c>
      <c r="U237" s="101">
        <v>820.7536035437131</v>
      </c>
      <c r="V237" s="101">
        <v>816.1031844383923</v>
      </c>
      <c r="W237" s="101">
        <v>811.94034027643465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252.20701687341878</v>
      </c>
      <c r="C240" s="152">
        <v>251.61543759564989</v>
      </c>
      <c r="D240" s="152">
        <v>252.54718673605976</v>
      </c>
      <c r="E240" s="152">
        <v>262.41559473071379</v>
      </c>
      <c r="F240" s="152">
        <v>258.63468574195844</v>
      </c>
      <c r="G240" s="152">
        <v>260.65292155804889</v>
      </c>
      <c r="H240" s="152">
        <v>260.29817296080819</v>
      </c>
      <c r="I240" s="152">
        <v>261.73304844961478</v>
      </c>
      <c r="J240" s="152">
        <v>264.86742078321083</v>
      </c>
      <c r="K240" s="152">
        <v>261.55103946390511</v>
      </c>
      <c r="L240" s="152">
        <v>249.61666538039822</v>
      </c>
      <c r="M240" s="152">
        <v>243.27645095648296</v>
      </c>
      <c r="N240" s="152">
        <v>232.30716813307748</v>
      </c>
      <c r="O240" s="152">
        <v>216.63737068360993</v>
      </c>
      <c r="P240" s="152">
        <v>208.69774483074497</v>
      </c>
      <c r="Q240" s="152">
        <v>206.71446246024738</v>
      </c>
      <c r="R240" s="152">
        <v>203.26365083240552</v>
      </c>
      <c r="S240" s="152">
        <v>194.55851014822244</v>
      </c>
      <c r="T240" s="152">
        <v>192.95448970696543</v>
      </c>
      <c r="U240" s="152">
        <v>196.87104005007748</v>
      </c>
      <c r="V240" s="152">
        <v>202.89636914296483</v>
      </c>
      <c r="W240" s="152">
        <v>194.7136622636489</v>
      </c>
      <c r="DA240" s="174" t="s">
        <v>945</v>
      </c>
    </row>
    <row r="241" spans="1:105" ht="11.45" customHeight="1" x14ac:dyDescent="0.25">
      <c r="A241" s="111" t="s">
        <v>110</v>
      </c>
      <c r="B241" s="87">
        <v>220.46184966603454</v>
      </c>
      <c r="C241" s="87">
        <v>219.26163545335177</v>
      </c>
      <c r="D241" s="87">
        <v>217.93572597959783</v>
      </c>
      <c r="E241" s="87">
        <v>215.20788011272325</v>
      </c>
      <c r="F241" s="87">
        <v>214.90985458880607</v>
      </c>
      <c r="G241" s="87">
        <v>218.26782106675614</v>
      </c>
      <c r="H241" s="87">
        <v>218.26782106675614</v>
      </c>
      <c r="I241" s="87">
        <v>218.26782106675614</v>
      </c>
      <c r="J241" s="87">
        <v>214.90985458880604</v>
      </c>
      <c r="K241" s="87">
        <v>203.08060086969573</v>
      </c>
      <c r="L241" s="87">
        <v>195.69444840564998</v>
      </c>
      <c r="M241" s="87">
        <v>190.42132206991354</v>
      </c>
      <c r="N241" s="87">
        <v>184.49100382606258</v>
      </c>
      <c r="O241" s="87">
        <v>184.49393788996022</v>
      </c>
      <c r="P241" s="87">
        <v>177.8110460636745</v>
      </c>
      <c r="Q241" s="87">
        <v>181.28791676941668</v>
      </c>
      <c r="R241" s="87">
        <v>165.66300792426162</v>
      </c>
      <c r="S241" s="87">
        <v>169.78558235627185</v>
      </c>
      <c r="T241" s="87">
        <v>166.15098291128535</v>
      </c>
      <c r="U241" s="87">
        <v>181.14634146341459</v>
      </c>
      <c r="V241" s="87">
        <v>165.08142233735222</v>
      </c>
      <c r="W241" s="87">
        <v>159.59779951100239</v>
      </c>
      <c r="DA241" s="171" t="s">
        <v>946</v>
      </c>
    </row>
    <row r="242" spans="1:105" ht="11.45" customHeight="1" x14ac:dyDescent="0.25">
      <c r="A242" s="111" t="s">
        <v>111</v>
      </c>
      <c r="B242" s="87">
        <v>265.70372444972088</v>
      </c>
      <c r="C242" s="87">
        <v>265.57171916242993</v>
      </c>
      <c r="D242" s="87">
        <v>265.42512353680326</v>
      </c>
      <c r="E242" s="87">
        <v>266.02983049251276</v>
      </c>
      <c r="F242" s="87">
        <v>264.27526409829483</v>
      </c>
      <c r="G242" s="87">
        <v>268.5591675308234</v>
      </c>
      <c r="H242" s="87">
        <v>273.00657872795222</v>
      </c>
      <c r="I242" s="87">
        <v>273.47841542008456</v>
      </c>
      <c r="J242" s="87">
        <v>277.6782291451043</v>
      </c>
      <c r="K242" s="87">
        <v>266.7660573942303</v>
      </c>
      <c r="L242" s="87">
        <v>256.5192005029939</v>
      </c>
      <c r="M242" s="87">
        <v>248.22221052268566</v>
      </c>
      <c r="N242" s="87">
        <v>243.38678705348943</v>
      </c>
      <c r="O242" s="87">
        <v>233.94253673629964</v>
      </c>
      <c r="P242" s="87">
        <v>237.5877537713142</v>
      </c>
      <c r="Q242" s="87">
        <v>228.58234518804306</v>
      </c>
      <c r="R242" s="87">
        <v>229.45801883443798</v>
      </c>
      <c r="S242" s="87">
        <v>217.82569119460655</v>
      </c>
      <c r="T242" s="87">
        <v>214.29292040039275</v>
      </c>
      <c r="U242" s="87">
        <v>213.12270320772339</v>
      </c>
      <c r="V242" s="87">
        <v>230.66601910468461</v>
      </c>
      <c r="W242" s="87">
        <v>216.13609893345549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327.51502349250751</v>
      </c>
      <c r="D243" s="87">
        <v>327.33423515434254</v>
      </c>
      <c r="E243" s="87">
        <v>328.0799870492728</v>
      </c>
      <c r="F243" s="87">
        <v>325.91617662686104</v>
      </c>
      <c r="G243" s="87">
        <v>331.19927957836956</v>
      </c>
      <c r="H243" s="87">
        <v>336.68402768069882</v>
      </c>
      <c r="I243" s="87">
        <v>337.26591797306793</v>
      </c>
      <c r="J243" s="87">
        <v>342.44531770415409</v>
      </c>
      <c r="K243" s="87">
        <v>328.98793527422794</v>
      </c>
      <c r="L243" s="87">
        <v>316.35104914026027</v>
      </c>
      <c r="M243" s="87">
        <v>330.85830456624564</v>
      </c>
      <c r="N243" s="87">
        <v>270.49165442428875</v>
      </c>
      <c r="O243" s="87">
        <v>260.8312381948499</v>
      </c>
      <c r="P243" s="87">
        <v>195.97859100751384</v>
      </c>
      <c r="Q243" s="87">
        <v>190.84614668723094</v>
      </c>
      <c r="R243" s="87">
        <v>169.34141390428164</v>
      </c>
      <c r="S243" s="87">
        <v>152.24990826758213</v>
      </c>
      <c r="T243" s="87">
        <v>149.80410152989822</v>
      </c>
      <c r="U243" s="87">
        <v>162.52229656585419</v>
      </c>
      <c r="V243" s="87">
        <v>0</v>
      </c>
      <c r="W243" s="87">
        <v>217.57142857142861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237.23667276746792</v>
      </c>
      <c r="O244" s="87">
        <v>215.72388455951335</v>
      </c>
      <c r="P244" s="87">
        <v>204.73249613298412</v>
      </c>
      <c r="Q244" s="87">
        <v>162.43159413901842</v>
      </c>
      <c r="R244" s="87">
        <v>233.15234485764839</v>
      </c>
      <c r="S244" s="87">
        <v>170.47754032022056</v>
      </c>
      <c r="T244" s="87">
        <v>155.24821572394279</v>
      </c>
      <c r="U244" s="87">
        <v>157.9344262295082</v>
      </c>
      <c r="V244" s="87">
        <v>162.0159986761027</v>
      </c>
      <c r="W244" s="87">
        <v>185.60201511335009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868.66292933526097</v>
      </c>
      <c r="D246" s="116">
        <v>857.22800546491351</v>
      </c>
      <c r="E246" s="116">
        <v>883.05851251165893</v>
      </c>
      <c r="F246" s="116">
        <v>927.26067451745109</v>
      </c>
      <c r="G246" s="116">
        <v>839.82893744441185</v>
      </c>
      <c r="H246" s="116">
        <v>829.14829983388211</v>
      </c>
      <c r="I246" s="116">
        <v>815.21173242346481</v>
      </c>
      <c r="J246" s="116">
        <v>793.49744687658369</v>
      </c>
      <c r="K246" s="116">
        <v>782.13311055699364</v>
      </c>
      <c r="L246" s="116">
        <v>800.86022968525174</v>
      </c>
      <c r="M246" s="116">
        <v>782.42131478840747</v>
      </c>
      <c r="N246" s="116">
        <v>747.83613741506952</v>
      </c>
      <c r="O246" s="116">
        <v>763.99650005396995</v>
      </c>
      <c r="P246" s="116">
        <v>721.88500362538832</v>
      </c>
      <c r="Q246" s="116">
        <v>714.20991743338936</v>
      </c>
      <c r="R246" s="116">
        <v>686.68838058396693</v>
      </c>
      <c r="S246" s="116">
        <v>680.80497712028341</v>
      </c>
      <c r="T246" s="116">
        <v>664.1475174722201</v>
      </c>
      <c r="U246" s="116">
        <v>666.05326832420042</v>
      </c>
      <c r="V246" s="116">
        <v>686.20432807807333</v>
      </c>
      <c r="W246" s="116">
        <v>671.07966696678784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790.66073493863189</v>
      </c>
      <c r="D247" s="101">
        <v>786.61983224271376</v>
      </c>
      <c r="E247" s="101">
        <v>781.58815622982752</v>
      </c>
      <c r="F247" s="101">
        <v>775.57849248349214</v>
      </c>
      <c r="G247" s="101">
        <v>768.60600388645082</v>
      </c>
      <c r="H247" s="101">
        <v>760.68813606535468</v>
      </c>
      <c r="I247" s="101">
        <v>751.84450993345592</v>
      </c>
      <c r="J247" s="101">
        <v>742.09680254449734</v>
      </c>
      <c r="K247" s="101">
        <v>731.46861756544752</v>
      </c>
      <c r="L247" s="101">
        <v>719.98534679472607</v>
      </c>
      <c r="M247" s="101">
        <v>707.67402417478854</v>
      </c>
      <c r="N247" s="101">
        <v>694.5631738040546</v>
      </c>
      <c r="O247" s="101">
        <v>680.68265347079864</v>
      </c>
      <c r="P247" s="101">
        <v>666.06349519577395</v>
      </c>
      <c r="Q247" s="101">
        <v>650.73774427061903</v>
      </c>
      <c r="R247" s="101">
        <v>638.57678807552224</v>
      </c>
      <c r="S247" s="101">
        <v>630.06411873895445</v>
      </c>
      <c r="T247" s="101">
        <v>621.12581593555808</v>
      </c>
      <c r="U247" s="101">
        <v>610.2012236202961</v>
      </c>
      <c r="V247" s="101">
        <v>609.36504069759508</v>
      </c>
      <c r="W247" s="101">
        <v>603.27139029061914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0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15368</v>
      </c>
      <c r="C4" s="28">
        <f t="shared" ref="C4:V4" si="1">SUM(C5,C6,C9)</f>
        <v>15526</v>
      </c>
      <c r="D4" s="28">
        <f t="shared" si="1"/>
        <v>14904</v>
      </c>
      <c r="E4" s="28">
        <f t="shared" si="1"/>
        <v>15081.4</v>
      </c>
      <c r="F4" s="28">
        <f t="shared" si="1"/>
        <v>15305.5</v>
      </c>
      <c r="G4" s="28">
        <f t="shared" si="1"/>
        <v>14601.2</v>
      </c>
      <c r="H4" s="28">
        <f t="shared" si="1"/>
        <v>14720.8</v>
      </c>
      <c r="I4" s="28">
        <f t="shared" si="1"/>
        <v>14648.4</v>
      </c>
      <c r="J4" s="28">
        <f t="shared" si="1"/>
        <v>15915.800000000001</v>
      </c>
      <c r="K4" s="28">
        <f t="shared" si="1"/>
        <v>15458.7</v>
      </c>
      <c r="L4" s="28">
        <f t="shared" si="1"/>
        <v>15556</v>
      </c>
      <c r="M4" s="28">
        <f t="shared" si="1"/>
        <v>15385.000000000002</v>
      </c>
      <c r="N4" s="28">
        <f t="shared" si="1"/>
        <v>16698</v>
      </c>
      <c r="O4" s="28">
        <f t="shared" si="1"/>
        <v>17092.900000000001</v>
      </c>
      <c r="P4" s="28">
        <f t="shared" si="1"/>
        <v>16868</v>
      </c>
      <c r="Q4" s="28">
        <f t="shared" si="1"/>
        <v>17550.699999999997</v>
      </c>
      <c r="R4" s="28">
        <f t="shared" si="1"/>
        <v>19105.400000000001</v>
      </c>
      <c r="S4" s="28">
        <f t="shared" si="1"/>
        <v>20146.2</v>
      </c>
      <c r="T4" s="28">
        <f t="shared" si="1"/>
        <v>20954.8</v>
      </c>
      <c r="U4" s="28">
        <f t="shared" si="1"/>
        <v>21954.799999999999</v>
      </c>
      <c r="V4" s="28">
        <f t="shared" si="1"/>
        <v>10377.5</v>
      </c>
      <c r="W4" s="28">
        <f t="shared" ref="W4" si="2">SUM(W5,W6,W9)</f>
        <v>10365.900000000001</v>
      </c>
      <c r="DA4" s="173" t="s">
        <v>375</v>
      </c>
    </row>
    <row r="5" spans="1:105" ht="11.45" customHeight="1" x14ac:dyDescent="0.25">
      <c r="A5" s="107" t="s">
        <v>23</v>
      </c>
      <c r="B5" s="108">
        <v>8068</v>
      </c>
      <c r="C5" s="108">
        <v>8227</v>
      </c>
      <c r="D5" s="108">
        <v>8307</v>
      </c>
      <c r="E5" s="108">
        <v>8563.4</v>
      </c>
      <c r="F5" s="108">
        <v>8725.5</v>
      </c>
      <c r="G5" s="108">
        <v>7934.2000000000007</v>
      </c>
      <c r="H5" s="108">
        <v>7798.8</v>
      </c>
      <c r="I5" s="108">
        <v>7750.4</v>
      </c>
      <c r="J5" s="108">
        <v>9142.8000000000011</v>
      </c>
      <c r="K5" s="108">
        <v>8986.7000000000007</v>
      </c>
      <c r="L5" s="108">
        <v>8997</v>
      </c>
      <c r="M5" s="108">
        <v>8716.0000000000018</v>
      </c>
      <c r="N5" s="108">
        <v>9501.9999999999982</v>
      </c>
      <c r="O5" s="108">
        <v>9580.9000000000015</v>
      </c>
      <c r="P5" s="108">
        <v>9224</v>
      </c>
      <c r="Q5" s="108">
        <v>9425.6999999999989</v>
      </c>
      <c r="R5" s="108">
        <v>10367.4</v>
      </c>
      <c r="S5" s="108">
        <v>10743.2</v>
      </c>
      <c r="T5" s="108">
        <v>10734.8</v>
      </c>
      <c r="U5" s="108">
        <v>11098.8</v>
      </c>
      <c r="V5" s="108">
        <v>3754.5</v>
      </c>
      <c r="W5" s="108">
        <v>3613.9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7300</v>
      </c>
      <c r="C6" s="110">
        <f t="shared" ref="C6:V6" si="4">SUM(C7:C8)</f>
        <v>7299</v>
      </c>
      <c r="D6" s="110">
        <f t="shared" si="4"/>
        <v>6597</v>
      </c>
      <c r="E6" s="110">
        <f t="shared" si="4"/>
        <v>6518</v>
      </c>
      <c r="F6" s="110">
        <f t="shared" si="4"/>
        <v>6579</v>
      </c>
      <c r="G6" s="110">
        <f t="shared" si="4"/>
        <v>6661</v>
      </c>
      <c r="H6" s="110">
        <f t="shared" si="4"/>
        <v>6774</v>
      </c>
      <c r="I6" s="110">
        <f t="shared" si="4"/>
        <v>6569</v>
      </c>
      <c r="J6" s="110">
        <f t="shared" si="4"/>
        <v>6520</v>
      </c>
      <c r="K6" s="110">
        <f t="shared" si="4"/>
        <v>6237</v>
      </c>
      <c r="L6" s="110">
        <f t="shared" si="4"/>
        <v>6288</v>
      </c>
      <c r="M6" s="110">
        <f t="shared" si="4"/>
        <v>6384</v>
      </c>
      <c r="N6" s="110">
        <f t="shared" si="4"/>
        <v>6925</v>
      </c>
      <c r="O6" s="110">
        <f t="shared" si="4"/>
        <v>7266</v>
      </c>
      <c r="P6" s="110">
        <f t="shared" si="4"/>
        <v>7398</v>
      </c>
      <c r="Q6" s="110">
        <f t="shared" si="4"/>
        <v>7558</v>
      </c>
      <c r="R6" s="110">
        <f t="shared" si="4"/>
        <v>8040</v>
      </c>
      <c r="S6" s="110">
        <f t="shared" si="4"/>
        <v>8634</v>
      </c>
      <c r="T6" s="110">
        <f t="shared" si="4"/>
        <v>9426</v>
      </c>
      <c r="U6" s="110">
        <f t="shared" si="4"/>
        <v>9975</v>
      </c>
      <c r="V6" s="110">
        <f t="shared" si="4"/>
        <v>6085.5218312453944</v>
      </c>
      <c r="W6" s="110">
        <f t="shared" ref="W6" si="5">SUM(W7:W8)</f>
        <v>6204.0530582166548</v>
      </c>
      <c r="DA6" s="176" t="s">
        <v>377</v>
      </c>
    </row>
    <row r="7" spans="1:105" ht="11.45" customHeight="1" x14ac:dyDescent="0.25">
      <c r="A7" s="111" t="s">
        <v>90</v>
      </c>
      <c r="B7" s="84">
        <v>3986.9504222916376</v>
      </c>
      <c r="C7" s="84">
        <v>3987.2283591548171</v>
      </c>
      <c r="D7" s="84">
        <v>3581.4510133921694</v>
      </c>
      <c r="E7" s="84">
        <v>3455.7208858722902</v>
      </c>
      <c r="F7" s="84">
        <v>3449.7001714717376</v>
      </c>
      <c r="G7" s="84">
        <v>3466.5490068336499</v>
      </c>
      <c r="H7" s="84">
        <v>3444.1189119838082</v>
      </c>
      <c r="I7" s="84">
        <v>3288.143780219274</v>
      </c>
      <c r="J7" s="84">
        <v>3173.165809718947</v>
      </c>
      <c r="K7" s="84">
        <v>2987.1927469934144</v>
      </c>
      <c r="L7" s="84">
        <v>3003.0056721207598</v>
      </c>
      <c r="M7" s="84">
        <v>3019.3436687599283</v>
      </c>
      <c r="N7" s="84">
        <v>3204.4344116925799</v>
      </c>
      <c r="O7" s="84">
        <v>3346.135023135243</v>
      </c>
      <c r="P7" s="84">
        <v>3405.0269592602253</v>
      </c>
      <c r="Q7" s="84">
        <v>3386.323141632492</v>
      </c>
      <c r="R7" s="84">
        <v>3619.3357332109758</v>
      </c>
      <c r="S7" s="84">
        <v>3876.0114516033432</v>
      </c>
      <c r="T7" s="84">
        <v>4169.9596379472368</v>
      </c>
      <c r="U7" s="84">
        <v>4409.0244937878851</v>
      </c>
      <c r="V7" s="84">
        <v>2776.7370967203301</v>
      </c>
      <c r="W7" s="84">
        <v>2845.5816670205058</v>
      </c>
      <c r="DA7" s="171" t="s">
        <v>1029</v>
      </c>
    </row>
    <row r="8" spans="1:105" ht="11.45" customHeight="1" x14ac:dyDescent="0.25">
      <c r="A8" s="111" t="s">
        <v>93</v>
      </c>
      <c r="B8" s="84">
        <v>3313.0495777083624</v>
      </c>
      <c r="C8" s="84">
        <v>3311.7716408451829</v>
      </c>
      <c r="D8" s="84">
        <v>3015.5489866078306</v>
      </c>
      <c r="E8" s="84">
        <v>3062.2791141277098</v>
      </c>
      <c r="F8" s="84">
        <v>3129.2998285282624</v>
      </c>
      <c r="G8" s="84">
        <v>3194.4509931663501</v>
      </c>
      <c r="H8" s="84">
        <v>3329.8810880161918</v>
      </c>
      <c r="I8" s="84">
        <v>3280.856219780726</v>
      </c>
      <c r="J8" s="84">
        <v>3346.834190281053</v>
      </c>
      <c r="K8" s="84">
        <v>3249.8072530065856</v>
      </c>
      <c r="L8" s="84">
        <v>3284.9943278792402</v>
      </c>
      <c r="M8" s="84">
        <v>3364.6563312400717</v>
      </c>
      <c r="N8" s="84">
        <v>3720.5655883074201</v>
      </c>
      <c r="O8" s="84">
        <v>3919.864976864757</v>
      </c>
      <c r="P8" s="84">
        <v>3992.9730407397747</v>
      </c>
      <c r="Q8" s="84">
        <v>4171.6768583675075</v>
      </c>
      <c r="R8" s="84">
        <v>4420.6642667890246</v>
      </c>
      <c r="S8" s="84">
        <v>4757.9885483966573</v>
      </c>
      <c r="T8" s="84">
        <v>5256.0403620527632</v>
      </c>
      <c r="U8" s="84">
        <v>5565.9755062121149</v>
      </c>
      <c r="V8" s="84">
        <v>3308.7847345250643</v>
      </c>
      <c r="W8" s="84">
        <v>3358.4713911961489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1</v>
      </c>
      <c r="G9" s="113">
        <v>6</v>
      </c>
      <c r="H9" s="113">
        <v>148</v>
      </c>
      <c r="I9" s="113">
        <v>329</v>
      </c>
      <c r="J9" s="113">
        <v>253</v>
      </c>
      <c r="K9" s="113">
        <v>235</v>
      </c>
      <c r="L9" s="113">
        <v>271</v>
      </c>
      <c r="M9" s="113">
        <v>285</v>
      </c>
      <c r="N9" s="113">
        <v>271</v>
      </c>
      <c r="O9" s="113">
        <v>246</v>
      </c>
      <c r="P9" s="113">
        <v>246</v>
      </c>
      <c r="Q9" s="113">
        <v>567</v>
      </c>
      <c r="R9" s="113">
        <v>698</v>
      </c>
      <c r="S9" s="113">
        <v>769</v>
      </c>
      <c r="T9" s="113">
        <v>794</v>
      </c>
      <c r="U9" s="113">
        <v>881</v>
      </c>
      <c r="V9" s="113">
        <v>537.47816875460569</v>
      </c>
      <c r="W9" s="113">
        <v>547.94694178334555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17496</v>
      </c>
      <c r="C10" s="28">
        <f t="shared" ref="C10:V10" si="7">SUM(C11:C12)</f>
        <v>16900</v>
      </c>
      <c r="D10" s="28">
        <f t="shared" si="7"/>
        <v>15810</v>
      </c>
      <c r="E10" s="28">
        <f t="shared" si="7"/>
        <v>15862</v>
      </c>
      <c r="F10" s="28">
        <f t="shared" si="7"/>
        <v>15092</v>
      </c>
      <c r="G10" s="28">
        <f t="shared" si="7"/>
        <v>14866</v>
      </c>
      <c r="H10" s="28">
        <f t="shared" si="7"/>
        <v>15779</v>
      </c>
      <c r="I10" s="28">
        <f t="shared" si="7"/>
        <v>16303.999999999998</v>
      </c>
      <c r="J10" s="28">
        <f t="shared" si="7"/>
        <v>15437</v>
      </c>
      <c r="K10" s="28">
        <f t="shared" si="7"/>
        <v>12791</v>
      </c>
      <c r="L10" s="28">
        <f t="shared" si="7"/>
        <v>13770</v>
      </c>
      <c r="M10" s="28">
        <f t="shared" si="7"/>
        <v>14316</v>
      </c>
      <c r="N10" s="28">
        <f t="shared" si="7"/>
        <v>14267</v>
      </c>
      <c r="O10" s="28">
        <f t="shared" si="7"/>
        <v>13965</v>
      </c>
      <c r="P10" s="28">
        <f t="shared" si="7"/>
        <v>14575</v>
      </c>
      <c r="Q10" s="28">
        <f t="shared" si="7"/>
        <v>15261</v>
      </c>
      <c r="R10" s="28">
        <f t="shared" si="7"/>
        <v>15619</v>
      </c>
      <c r="S10" s="28">
        <f t="shared" si="7"/>
        <v>15843</v>
      </c>
      <c r="T10" s="28">
        <f t="shared" si="7"/>
        <v>16564</v>
      </c>
      <c r="U10" s="28">
        <f t="shared" si="7"/>
        <v>16180</v>
      </c>
      <c r="V10" s="28">
        <f t="shared" si="7"/>
        <v>15251</v>
      </c>
      <c r="W10" s="28">
        <f t="shared" ref="W10" si="8">SUM(W11:W12)</f>
        <v>16326</v>
      </c>
      <c r="DA10" s="173" t="s">
        <v>383</v>
      </c>
    </row>
    <row r="11" spans="1:105" ht="11.45" customHeight="1" x14ac:dyDescent="0.25">
      <c r="A11" s="83" t="s">
        <v>90</v>
      </c>
      <c r="B11" s="84">
        <v>5087.6508531101645</v>
      </c>
      <c r="C11" s="84">
        <v>4057.5749215453097</v>
      </c>
      <c r="D11" s="84">
        <v>3837.1053782017188</v>
      </c>
      <c r="E11" s="84">
        <v>3508.2952206175687</v>
      </c>
      <c r="F11" s="84">
        <v>3298.3849961961255</v>
      </c>
      <c r="G11" s="84">
        <v>3158.6270361477063</v>
      </c>
      <c r="H11" s="84">
        <v>3688.876901296594</v>
      </c>
      <c r="I11" s="84">
        <v>3710.4296755947876</v>
      </c>
      <c r="J11" s="84">
        <v>3731.6279334956994</v>
      </c>
      <c r="K11" s="84">
        <v>3694.1434796242338</v>
      </c>
      <c r="L11" s="84">
        <v>3726.4603335099828</v>
      </c>
      <c r="M11" s="84">
        <v>3553.9064431391848</v>
      </c>
      <c r="N11" s="84">
        <v>2797.1055697221846</v>
      </c>
      <c r="O11" s="84">
        <v>2796.6484632969268</v>
      </c>
      <c r="P11" s="84">
        <v>3636.0144645221362</v>
      </c>
      <c r="Q11" s="84">
        <v>3549.9878352894475</v>
      </c>
      <c r="R11" s="84">
        <v>3654.9486519207489</v>
      </c>
      <c r="S11" s="84">
        <v>3522.9552615478747</v>
      </c>
      <c r="T11" s="84">
        <v>3553.5798509552092</v>
      </c>
      <c r="U11" s="84">
        <v>3475.7832588038018</v>
      </c>
      <c r="V11" s="84">
        <v>3327.7624786282231</v>
      </c>
      <c r="W11" s="84">
        <v>3429.4005101874391</v>
      </c>
      <c r="DA11" s="171" t="s">
        <v>1031</v>
      </c>
    </row>
    <row r="12" spans="1:105" ht="11.45" customHeight="1" x14ac:dyDescent="0.25">
      <c r="A12" s="85" t="s">
        <v>93</v>
      </c>
      <c r="B12" s="86">
        <v>12408.349146889836</v>
      </c>
      <c r="C12" s="86">
        <v>12842.425078454689</v>
      </c>
      <c r="D12" s="86">
        <v>11972.894621798281</v>
      </c>
      <c r="E12" s="86">
        <v>12353.704779382431</v>
      </c>
      <c r="F12" s="86">
        <v>11793.615003803874</v>
      </c>
      <c r="G12" s="86">
        <v>11707.372963852293</v>
      </c>
      <c r="H12" s="86">
        <v>12090.123098703407</v>
      </c>
      <c r="I12" s="86">
        <v>12593.570324405211</v>
      </c>
      <c r="J12" s="86">
        <v>11705.3720665043</v>
      </c>
      <c r="K12" s="86">
        <v>9096.8565203757662</v>
      </c>
      <c r="L12" s="86">
        <v>10043.539666490018</v>
      </c>
      <c r="M12" s="86">
        <v>10762.093556860815</v>
      </c>
      <c r="N12" s="86">
        <v>11469.894430277815</v>
      </c>
      <c r="O12" s="86">
        <v>11168.351536703074</v>
      </c>
      <c r="P12" s="86">
        <v>10938.985535477863</v>
      </c>
      <c r="Q12" s="86">
        <v>11711.012164710552</v>
      </c>
      <c r="R12" s="86">
        <v>11964.051348079251</v>
      </c>
      <c r="S12" s="86">
        <v>12320.044738452125</v>
      </c>
      <c r="T12" s="86">
        <v>13010.42014904479</v>
      </c>
      <c r="U12" s="86">
        <v>12704.216741196198</v>
      </c>
      <c r="V12" s="86">
        <v>11923.237521371777</v>
      </c>
      <c r="W12" s="86">
        <v>12896.599489812561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165.90310917617691</v>
      </c>
      <c r="C14" s="62">
        <f t="shared" ref="C14:V14" si="10">C15+C21</f>
        <v>166.60546503294003</v>
      </c>
      <c r="D14" s="62">
        <f t="shared" si="10"/>
        <v>165.04549948898665</v>
      </c>
      <c r="E14" s="62">
        <f t="shared" si="10"/>
        <v>173.20567673878207</v>
      </c>
      <c r="F14" s="62">
        <f t="shared" si="10"/>
        <v>204.71645944374052</v>
      </c>
      <c r="G14" s="62">
        <f t="shared" si="10"/>
        <v>201.94538528172862</v>
      </c>
      <c r="H14" s="62">
        <f t="shared" si="10"/>
        <v>203.99910655921127</v>
      </c>
      <c r="I14" s="62">
        <f t="shared" si="10"/>
        <v>204.18232374531544</v>
      </c>
      <c r="J14" s="62">
        <f t="shared" si="10"/>
        <v>225.14202866544201</v>
      </c>
      <c r="K14" s="62">
        <f t="shared" si="10"/>
        <v>220.46639113510781</v>
      </c>
      <c r="L14" s="62">
        <f t="shared" si="10"/>
        <v>218.17238743300476</v>
      </c>
      <c r="M14" s="62">
        <f t="shared" si="10"/>
        <v>217.13865468013773</v>
      </c>
      <c r="N14" s="62">
        <f t="shared" si="10"/>
        <v>225.69628564585182</v>
      </c>
      <c r="O14" s="62">
        <f t="shared" si="10"/>
        <v>226.56999943538668</v>
      </c>
      <c r="P14" s="62">
        <f t="shared" si="10"/>
        <v>223.8284369126377</v>
      </c>
      <c r="Q14" s="62">
        <f t="shared" si="10"/>
        <v>230.44444907685818</v>
      </c>
      <c r="R14" s="62">
        <f t="shared" si="10"/>
        <v>243.07991763475269</v>
      </c>
      <c r="S14" s="62">
        <f t="shared" si="10"/>
        <v>252.53568915398628</v>
      </c>
      <c r="T14" s="62">
        <f t="shared" si="10"/>
        <v>256.00267126115108</v>
      </c>
      <c r="U14" s="62">
        <f t="shared" si="10"/>
        <v>258.55251191226199</v>
      </c>
      <c r="V14" s="62">
        <f t="shared" si="10"/>
        <v>230.2529082628744</v>
      </c>
      <c r="W14" s="62">
        <f t="shared" ref="W14" si="11">W15+W21</f>
        <v>235.12692075474922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141.03929246924099</v>
      </c>
      <c r="C15" s="29">
        <f t="shared" ref="C15:V15" si="13">SUM(C16,C17,C20)</f>
        <v>142.23421834386897</v>
      </c>
      <c r="D15" s="29">
        <f t="shared" si="13"/>
        <v>143.20833913745767</v>
      </c>
      <c r="E15" s="29">
        <f t="shared" si="13"/>
        <v>150.98056186887152</v>
      </c>
      <c r="F15" s="29">
        <f t="shared" si="13"/>
        <v>173.96387748640646</v>
      </c>
      <c r="G15" s="29">
        <f t="shared" si="13"/>
        <v>171.65122863296679</v>
      </c>
      <c r="H15" s="29">
        <f t="shared" si="13"/>
        <v>172.58745952245152</v>
      </c>
      <c r="I15" s="29">
        <f t="shared" si="13"/>
        <v>169.76779213916629</v>
      </c>
      <c r="J15" s="29">
        <f t="shared" si="13"/>
        <v>195.09417619009187</v>
      </c>
      <c r="K15" s="29">
        <f t="shared" si="13"/>
        <v>195.37723700361943</v>
      </c>
      <c r="L15" s="29">
        <f t="shared" si="13"/>
        <v>193.78092848629939</v>
      </c>
      <c r="M15" s="29">
        <f t="shared" si="13"/>
        <v>190.85651147849919</v>
      </c>
      <c r="N15" s="29">
        <f t="shared" si="13"/>
        <v>201.51334655153562</v>
      </c>
      <c r="O15" s="29">
        <f t="shared" si="13"/>
        <v>203.64931693988595</v>
      </c>
      <c r="P15" s="29">
        <f t="shared" si="13"/>
        <v>198.35995909841694</v>
      </c>
      <c r="Q15" s="29">
        <f t="shared" si="13"/>
        <v>202.99831223291679</v>
      </c>
      <c r="R15" s="29">
        <f t="shared" si="13"/>
        <v>215.55293554978303</v>
      </c>
      <c r="S15" s="29">
        <f t="shared" si="13"/>
        <v>225.21254147115798</v>
      </c>
      <c r="T15" s="29">
        <f t="shared" si="13"/>
        <v>228.73788538904537</v>
      </c>
      <c r="U15" s="29">
        <f t="shared" si="13"/>
        <v>230.29050175257868</v>
      </c>
      <c r="V15" s="29">
        <f t="shared" si="13"/>
        <v>201.11517518469614</v>
      </c>
      <c r="W15" s="29">
        <f t="shared" ref="W15" si="14">SUM(W16,W17,W20)</f>
        <v>204.46138892399509</v>
      </c>
      <c r="DA15" s="173" t="s">
        <v>1034</v>
      </c>
    </row>
    <row r="16" spans="1:105" ht="11.45" customHeight="1" x14ac:dyDescent="0.25">
      <c r="A16" s="107" t="s">
        <v>23</v>
      </c>
      <c r="B16" s="115">
        <v>99.611398372530431</v>
      </c>
      <c r="C16" s="115">
        <v>102.23095522630359</v>
      </c>
      <c r="D16" s="115">
        <v>104.20949960517272</v>
      </c>
      <c r="E16" s="115">
        <v>110.386524844425</v>
      </c>
      <c r="F16" s="115">
        <v>115.76075664961458</v>
      </c>
      <c r="G16" s="115">
        <v>107.95660694043468</v>
      </c>
      <c r="H16" s="115">
        <v>105.68246033679908</v>
      </c>
      <c r="I16" s="115">
        <v>105.63197683444346</v>
      </c>
      <c r="J16" s="115">
        <v>126.08164526194237</v>
      </c>
      <c r="K16" s="115">
        <v>126.38789448337577</v>
      </c>
      <c r="L16" s="115">
        <v>125.31095286308079</v>
      </c>
      <c r="M16" s="115">
        <v>120.74287299258083</v>
      </c>
      <c r="N16" s="115">
        <v>129.9327236262304</v>
      </c>
      <c r="O16" s="115">
        <v>129.88009742204116</v>
      </c>
      <c r="P16" s="115">
        <v>124.17431465972649</v>
      </c>
      <c r="Q16" s="115">
        <v>124.95504589356362</v>
      </c>
      <c r="R16" s="115">
        <v>135.79461550088388</v>
      </c>
      <c r="S16" s="115">
        <v>139.22157339180578</v>
      </c>
      <c r="T16" s="115">
        <v>137.07063719576911</v>
      </c>
      <c r="U16" s="115">
        <v>139.73896293294027</v>
      </c>
      <c r="V16" s="115">
        <v>119.93172220350989</v>
      </c>
      <c r="W16" s="115">
        <v>120.53291375394946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41.427894096710574</v>
      </c>
      <c r="C17" s="116">
        <f t="shared" ref="C17:V17" si="16">SUM(C18:C19)</f>
        <v>40.003263117565368</v>
      </c>
      <c r="D17" s="116">
        <f t="shared" si="16"/>
        <v>38.998839532284954</v>
      </c>
      <c r="E17" s="116">
        <f t="shared" si="16"/>
        <v>40.594037024446507</v>
      </c>
      <c r="F17" s="116">
        <f t="shared" si="16"/>
        <v>58.170954170125228</v>
      </c>
      <c r="G17" s="116">
        <f t="shared" si="16"/>
        <v>63.501621692532112</v>
      </c>
      <c r="H17" s="116">
        <f t="shared" si="16"/>
        <v>64.995999185652437</v>
      </c>
      <c r="I17" s="116">
        <f t="shared" si="16"/>
        <v>61.862815304722844</v>
      </c>
      <c r="J17" s="116">
        <f t="shared" si="16"/>
        <v>67.021102356720931</v>
      </c>
      <c r="K17" s="116">
        <f t="shared" si="16"/>
        <v>66.974342520243667</v>
      </c>
      <c r="L17" s="116">
        <f t="shared" si="16"/>
        <v>66.479975623218593</v>
      </c>
      <c r="M17" s="116">
        <f t="shared" si="16"/>
        <v>67.994638485918358</v>
      </c>
      <c r="N17" s="116">
        <f t="shared" si="16"/>
        <v>69.591532016214302</v>
      </c>
      <c r="O17" s="116">
        <f t="shared" si="16"/>
        <v>71.864589888215164</v>
      </c>
      <c r="P17" s="116">
        <f t="shared" si="16"/>
        <v>71.864075811239474</v>
      </c>
      <c r="Q17" s="116">
        <f t="shared" si="16"/>
        <v>74.760266339353194</v>
      </c>
      <c r="R17" s="116">
        <f t="shared" si="16"/>
        <v>75.560320048899158</v>
      </c>
      <c r="S17" s="116">
        <f t="shared" si="16"/>
        <v>81.365968079352214</v>
      </c>
      <c r="T17" s="116">
        <f t="shared" si="16"/>
        <v>86.892248193276259</v>
      </c>
      <c r="U17" s="116">
        <f t="shared" si="16"/>
        <v>86.314831119638399</v>
      </c>
      <c r="V17" s="116">
        <f t="shared" si="16"/>
        <v>77.064199362138623</v>
      </c>
      <c r="W17" s="116">
        <f t="shared" ref="W17" si="17">SUM(W18:W19)</f>
        <v>79.678650961607289</v>
      </c>
      <c r="DA17" s="176" t="s">
        <v>1036</v>
      </c>
    </row>
    <row r="18" spans="1:105" ht="11.45" customHeight="1" x14ac:dyDescent="0.25">
      <c r="A18" s="111" t="s">
        <v>92</v>
      </c>
      <c r="B18" s="87">
        <v>28.688861381156876</v>
      </c>
      <c r="C18" s="87">
        <v>27.91466733656484</v>
      </c>
      <c r="D18" s="87">
        <v>27.651592714866897</v>
      </c>
      <c r="E18" s="87">
        <v>28.284673770758765</v>
      </c>
      <c r="F18" s="87">
        <v>29.386141004482784</v>
      </c>
      <c r="G18" s="87">
        <v>30.535002641445054</v>
      </c>
      <c r="H18" s="87">
        <v>32.614749740593417</v>
      </c>
      <c r="I18" s="87">
        <v>32.593644872748939</v>
      </c>
      <c r="J18" s="87">
        <v>36.360202333595886</v>
      </c>
      <c r="K18" s="87">
        <v>33.840441502656475</v>
      </c>
      <c r="L18" s="87">
        <v>33.499470992955118</v>
      </c>
      <c r="M18" s="87">
        <v>33.947570076844642</v>
      </c>
      <c r="N18" s="87">
        <v>34.982077527127664</v>
      </c>
      <c r="O18" s="87">
        <v>34.98223194974527</v>
      </c>
      <c r="P18" s="87">
        <v>34.963511644502901</v>
      </c>
      <c r="Q18" s="87">
        <v>35.452822402501802</v>
      </c>
      <c r="R18" s="87">
        <v>35.75494179853662</v>
      </c>
      <c r="S18" s="87">
        <v>37.826904379683391</v>
      </c>
      <c r="T18" s="87">
        <v>38.483239136534301</v>
      </c>
      <c r="U18" s="87">
        <v>37.485492479271237</v>
      </c>
      <c r="V18" s="87">
        <v>32.654668689246002</v>
      </c>
      <c r="W18" s="87">
        <v>32.284163101697743</v>
      </c>
      <c r="DA18" s="171" t="s">
        <v>1037</v>
      </c>
    </row>
    <row r="19" spans="1:105" ht="11.45" customHeight="1" x14ac:dyDescent="0.25">
      <c r="A19" s="111" t="s">
        <v>93</v>
      </c>
      <c r="B19" s="87">
        <v>12.739032715553698</v>
      </c>
      <c r="C19" s="87">
        <v>12.088595781000528</v>
      </c>
      <c r="D19" s="87">
        <v>11.347246817418057</v>
      </c>
      <c r="E19" s="87">
        <v>12.309363253687742</v>
      </c>
      <c r="F19" s="87">
        <v>28.784813165642444</v>
      </c>
      <c r="G19" s="87">
        <v>32.966619051087058</v>
      </c>
      <c r="H19" s="87">
        <v>32.381249445059019</v>
      </c>
      <c r="I19" s="87">
        <v>29.269170431973905</v>
      </c>
      <c r="J19" s="87">
        <v>30.660900023125045</v>
      </c>
      <c r="K19" s="87">
        <v>33.133901017587192</v>
      </c>
      <c r="L19" s="87">
        <v>32.980504630263475</v>
      </c>
      <c r="M19" s="87">
        <v>34.047068409073717</v>
      </c>
      <c r="N19" s="87">
        <v>34.609454489086637</v>
      </c>
      <c r="O19" s="87">
        <v>36.882357938469895</v>
      </c>
      <c r="P19" s="87">
        <v>36.900564166736572</v>
      </c>
      <c r="Q19" s="87">
        <v>39.307443936851392</v>
      </c>
      <c r="R19" s="87">
        <v>39.805378250362537</v>
      </c>
      <c r="S19" s="87">
        <v>43.539063699668823</v>
      </c>
      <c r="T19" s="87">
        <v>48.409009056741958</v>
      </c>
      <c r="U19" s="87">
        <v>48.829338640367162</v>
      </c>
      <c r="V19" s="87">
        <v>44.409530672892615</v>
      </c>
      <c r="W19" s="87">
        <v>47.394487859909546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3.2166666666666663E-2</v>
      </c>
      <c r="G20" s="117">
        <v>0.193</v>
      </c>
      <c r="H20" s="117">
        <v>1.909</v>
      </c>
      <c r="I20" s="117">
        <v>2.2730000000000001</v>
      </c>
      <c r="J20" s="117">
        <v>1.9914285714285713</v>
      </c>
      <c r="K20" s="117">
        <v>2.0150000000000001</v>
      </c>
      <c r="L20" s="117">
        <v>1.9899999999999998</v>
      </c>
      <c r="M20" s="117">
        <v>2.1190000000000002</v>
      </c>
      <c r="N20" s="117">
        <v>1.989090909090909</v>
      </c>
      <c r="O20" s="117">
        <v>1.9046296296296297</v>
      </c>
      <c r="P20" s="117">
        <v>2.3215686274509801</v>
      </c>
      <c r="Q20" s="117">
        <v>3.2829999999999999</v>
      </c>
      <c r="R20" s="117">
        <v>4.1980000000000004</v>
      </c>
      <c r="S20" s="117">
        <v>4.625</v>
      </c>
      <c r="T20" s="117">
        <v>4.7750000000000004</v>
      </c>
      <c r="U20" s="117">
        <v>4.2367077000000002</v>
      </c>
      <c r="V20" s="117">
        <v>4.119253619047619</v>
      </c>
      <c r="W20" s="117">
        <v>4.2498242084383522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24.863816706935921</v>
      </c>
      <c r="C21" s="29">
        <f t="shared" ref="C21:V21" si="19">SUM(C22:C23)</f>
        <v>24.371246689071061</v>
      </c>
      <c r="D21" s="29">
        <f t="shared" si="19"/>
        <v>21.837160351528976</v>
      </c>
      <c r="E21" s="29">
        <f t="shared" si="19"/>
        <v>22.225114869910541</v>
      </c>
      <c r="F21" s="29">
        <f t="shared" si="19"/>
        <v>30.752581957334051</v>
      </c>
      <c r="G21" s="29">
        <f t="shared" si="19"/>
        <v>30.29415664876182</v>
      </c>
      <c r="H21" s="29">
        <f t="shared" si="19"/>
        <v>31.411647036759732</v>
      </c>
      <c r="I21" s="29">
        <f t="shared" si="19"/>
        <v>34.414531606149161</v>
      </c>
      <c r="J21" s="29">
        <f t="shared" si="19"/>
        <v>30.04785247535014</v>
      </c>
      <c r="K21" s="29">
        <f t="shared" si="19"/>
        <v>25.089154131488392</v>
      </c>
      <c r="L21" s="29">
        <f t="shared" si="19"/>
        <v>24.391458946705356</v>
      </c>
      <c r="M21" s="29">
        <f t="shared" si="19"/>
        <v>26.282143201638544</v>
      </c>
      <c r="N21" s="29">
        <f t="shared" si="19"/>
        <v>24.18293909431619</v>
      </c>
      <c r="O21" s="29">
        <f t="shared" si="19"/>
        <v>22.920682495500731</v>
      </c>
      <c r="P21" s="29">
        <f t="shared" si="19"/>
        <v>25.468477814220773</v>
      </c>
      <c r="Q21" s="29">
        <f t="shared" si="19"/>
        <v>27.446136843941382</v>
      </c>
      <c r="R21" s="29">
        <f t="shared" si="19"/>
        <v>27.526982084969667</v>
      </c>
      <c r="S21" s="29">
        <f t="shared" si="19"/>
        <v>27.323147682828314</v>
      </c>
      <c r="T21" s="29">
        <f t="shared" si="19"/>
        <v>27.264785872105694</v>
      </c>
      <c r="U21" s="29">
        <f t="shared" si="19"/>
        <v>28.2620101596833</v>
      </c>
      <c r="V21" s="29">
        <f t="shared" si="19"/>
        <v>29.137733078178247</v>
      </c>
      <c r="W21" s="29">
        <f t="shared" ref="W21" si="20">SUM(W22:W23)</f>
        <v>30.665531830754148</v>
      </c>
      <c r="DA21" s="173" t="s">
        <v>1040</v>
      </c>
    </row>
    <row r="22" spans="1:105" ht="11.45" customHeight="1" x14ac:dyDescent="0.25">
      <c r="A22" s="83" t="s">
        <v>92</v>
      </c>
      <c r="B22" s="87">
        <v>7.3954657008601981</v>
      </c>
      <c r="C22" s="87">
        <v>5.9782270893858618</v>
      </c>
      <c r="D22" s="87">
        <v>5.8840833020774097</v>
      </c>
      <c r="E22" s="87">
        <v>5.2669039325786287</v>
      </c>
      <c r="F22" s="87">
        <v>4.9815100609056593</v>
      </c>
      <c r="G22" s="87">
        <v>4.9087453988991978</v>
      </c>
      <c r="H22" s="87">
        <v>6.1041275029043973</v>
      </c>
      <c r="I22" s="87">
        <v>6.0766081808035892</v>
      </c>
      <c r="J22" s="87">
        <v>6.9687466123325645</v>
      </c>
      <c r="K22" s="87">
        <v>6.089389208229564</v>
      </c>
      <c r="L22" s="87">
        <v>5.9071402067436205</v>
      </c>
      <c r="M22" s="87">
        <v>5.517370590001744</v>
      </c>
      <c r="N22" s="87">
        <v>4.4563720917046084</v>
      </c>
      <c r="O22" s="87">
        <v>4.380155641816768</v>
      </c>
      <c r="P22" s="87">
        <v>5.539323879513006</v>
      </c>
      <c r="Q22" s="87">
        <v>5.4543944520268379</v>
      </c>
      <c r="R22" s="87">
        <v>5.7205067249629433</v>
      </c>
      <c r="S22" s="87">
        <v>5.242468560032135</v>
      </c>
      <c r="T22" s="87">
        <v>4.7517608424160338</v>
      </c>
      <c r="U22" s="87">
        <v>4.4772763864928908</v>
      </c>
      <c r="V22" s="87">
        <v>4.662188039572265</v>
      </c>
      <c r="W22" s="87">
        <v>4.83970767021132</v>
      </c>
      <c r="DA22" s="171" t="s">
        <v>1041</v>
      </c>
    </row>
    <row r="23" spans="1:105" ht="11.45" customHeight="1" x14ac:dyDescent="0.25">
      <c r="A23" s="85" t="s">
        <v>93</v>
      </c>
      <c r="B23" s="88">
        <v>17.468351006075721</v>
      </c>
      <c r="C23" s="88">
        <v>18.3930195996852</v>
      </c>
      <c r="D23" s="88">
        <v>15.953077049451565</v>
      </c>
      <c r="E23" s="88">
        <v>16.958210937331913</v>
      </c>
      <c r="F23" s="88">
        <v>25.771071896428392</v>
      </c>
      <c r="G23" s="88">
        <v>25.385411249862621</v>
      </c>
      <c r="H23" s="88">
        <v>25.307519533855334</v>
      </c>
      <c r="I23" s="88">
        <v>28.337923425345572</v>
      </c>
      <c r="J23" s="88">
        <v>23.079105863017574</v>
      </c>
      <c r="K23" s="88">
        <v>18.99976492325883</v>
      </c>
      <c r="L23" s="88">
        <v>18.484318739961736</v>
      </c>
      <c r="M23" s="88">
        <v>20.764772611636801</v>
      </c>
      <c r="N23" s="88">
        <v>19.726567002611581</v>
      </c>
      <c r="O23" s="88">
        <v>18.540526853683964</v>
      </c>
      <c r="P23" s="88">
        <v>19.929153934707767</v>
      </c>
      <c r="Q23" s="88">
        <v>21.991742391914542</v>
      </c>
      <c r="R23" s="88">
        <v>21.806475360006722</v>
      </c>
      <c r="S23" s="88">
        <v>22.08067912279618</v>
      </c>
      <c r="T23" s="88">
        <v>22.513025029689661</v>
      </c>
      <c r="U23" s="88">
        <v>23.78473377319041</v>
      </c>
      <c r="V23" s="88">
        <v>24.475545038605983</v>
      </c>
      <c r="W23" s="88">
        <v>25.82582416054283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1306.0632140000002</v>
      </c>
      <c r="C25" s="62">
        <f t="shared" ref="C25:V25" si="22">C26+C32</f>
        <v>1321.3054380000001</v>
      </c>
      <c r="D25" s="62">
        <f t="shared" si="22"/>
        <v>1320.164141</v>
      </c>
      <c r="E25" s="62">
        <f t="shared" si="22"/>
        <v>1385.2663520000001</v>
      </c>
      <c r="F25" s="62">
        <f t="shared" si="22"/>
        <v>1594.0112700000002</v>
      </c>
      <c r="G25" s="62">
        <f t="shared" si="22"/>
        <v>1556.6675190000001</v>
      </c>
      <c r="H25" s="62">
        <f t="shared" si="22"/>
        <v>1555.356761</v>
      </c>
      <c r="I25" s="62">
        <f t="shared" si="22"/>
        <v>1562.087745</v>
      </c>
      <c r="J25" s="62">
        <f t="shared" si="22"/>
        <v>1765.8544150000002</v>
      </c>
      <c r="K25" s="62">
        <f t="shared" si="22"/>
        <v>1755.8948590000002</v>
      </c>
      <c r="L25" s="62">
        <f t="shared" si="22"/>
        <v>1732.4642260000003</v>
      </c>
      <c r="M25" s="62">
        <f t="shared" si="22"/>
        <v>1690.3509560000002</v>
      </c>
      <c r="N25" s="62">
        <f t="shared" si="22"/>
        <v>1772.7231960000001</v>
      </c>
      <c r="O25" s="62">
        <f t="shared" si="22"/>
        <v>1779.4799519999999</v>
      </c>
      <c r="P25" s="62">
        <f t="shared" si="22"/>
        <v>1740.4526780000001</v>
      </c>
      <c r="Q25" s="62">
        <f t="shared" si="22"/>
        <v>1778.8829810000002</v>
      </c>
      <c r="R25" s="62">
        <f t="shared" si="22"/>
        <v>1885.1957729999999</v>
      </c>
      <c r="S25" s="62">
        <f t="shared" si="22"/>
        <v>1954.9839730000003</v>
      </c>
      <c r="T25" s="62">
        <f t="shared" si="22"/>
        <v>1972.3134009999999</v>
      </c>
      <c r="U25" s="62">
        <f t="shared" si="22"/>
        <v>1997.7075810000001</v>
      </c>
      <c r="V25" s="62">
        <f t="shared" si="22"/>
        <v>1883.9117860000001</v>
      </c>
      <c r="W25" s="62">
        <f t="shared" ref="W25" si="23">W26+W32</f>
        <v>1790.883542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1181.7441290000002</v>
      </c>
      <c r="C26" s="29">
        <f t="shared" ref="C26:V26" si="25">SUM(C27,C28,C31)</f>
        <v>1196.060743</v>
      </c>
      <c r="D26" s="29">
        <f t="shared" si="25"/>
        <v>1207.351353</v>
      </c>
      <c r="E26" s="29">
        <f t="shared" si="25"/>
        <v>1274.1407770000001</v>
      </c>
      <c r="F26" s="29">
        <f t="shared" si="25"/>
        <v>1440.2483590000002</v>
      </c>
      <c r="G26" s="29">
        <f t="shared" si="25"/>
        <v>1405.1967350000002</v>
      </c>
      <c r="H26" s="29">
        <f t="shared" si="25"/>
        <v>1398.2985249999999</v>
      </c>
      <c r="I26" s="29">
        <f t="shared" si="25"/>
        <v>1390.0150860000001</v>
      </c>
      <c r="J26" s="29">
        <f t="shared" si="25"/>
        <v>1598.0552380000001</v>
      </c>
      <c r="K26" s="29">
        <f t="shared" si="25"/>
        <v>1600.5275890000003</v>
      </c>
      <c r="L26" s="29">
        <f t="shared" si="25"/>
        <v>1587.4414310000002</v>
      </c>
      <c r="M26" s="29">
        <f t="shared" si="25"/>
        <v>1556.0111850000003</v>
      </c>
      <c r="N26" s="29">
        <f t="shared" si="25"/>
        <v>1650.2012390000002</v>
      </c>
      <c r="O26" s="29">
        <f t="shared" si="25"/>
        <v>1664.876538</v>
      </c>
      <c r="P26" s="29">
        <f t="shared" si="25"/>
        <v>1613.1102880000001</v>
      </c>
      <c r="Q26" s="29">
        <f t="shared" si="25"/>
        <v>1641.6522960000002</v>
      </c>
      <c r="R26" s="29">
        <f t="shared" si="25"/>
        <v>1747.5608619999998</v>
      </c>
      <c r="S26" s="29">
        <f t="shared" si="25"/>
        <v>1818.3682340000003</v>
      </c>
      <c r="T26" s="29">
        <f t="shared" si="25"/>
        <v>1835.98947</v>
      </c>
      <c r="U26" s="29">
        <f t="shared" si="25"/>
        <v>1856.3975300000002</v>
      </c>
      <c r="V26" s="29">
        <f t="shared" si="25"/>
        <v>1738.223119</v>
      </c>
      <c r="W26" s="29">
        <f t="shared" ref="W26" si="26">SUM(W27,W28,W31)</f>
        <v>1637.5558820000001</v>
      </c>
      <c r="DA26" s="173" t="s">
        <v>1044</v>
      </c>
    </row>
    <row r="27" spans="1:105" ht="11.45" customHeight="1" x14ac:dyDescent="0.25">
      <c r="A27" s="107" t="s">
        <v>23</v>
      </c>
      <c r="B27" s="115">
        <v>905.55816800000002</v>
      </c>
      <c r="C27" s="115">
        <v>929.37232099999994</v>
      </c>
      <c r="D27" s="115">
        <v>947.35908800000004</v>
      </c>
      <c r="E27" s="115">
        <v>1003.513863</v>
      </c>
      <c r="F27" s="115">
        <v>1052.3705150000001</v>
      </c>
      <c r="G27" s="115">
        <v>981.42370000000005</v>
      </c>
      <c r="H27" s="115">
        <v>960.74964</v>
      </c>
      <c r="I27" s="115">
        <v>960.29069900000002</v>
      </c>
      <c r="J27" s="115">
        <v>1146.196776</v>
      </c>
      <c r="K27" s="115">
        <v>1148.980859</v>
      </c>
      <c r="L27" s="115">
        <v>1139.1904810000001</v>
      </c>
      <c r="M27" s="115">
        <v>1097.6624820000002</v>
      </c>
      <c r="N27" s="115">
        <v>1181.2065790000001</v>
      </c>
      <c r="O27" s="115">
        <v>1180.728159</v>
      </c>
      <c r="P27" s="115">
        <v>1128.8574060000001</v>
      </c>
      <c r="Q27" s="115">
        <v>1135.9549630000001</v>
      </c>
      <c r="R27" s="115">
        <v>1234.4965050000001</v>
      </c>
      <c r="S27" s="115">
        <v>1265.6506680000002</v>
      </c>
      <c r="T27" s="115">
        <v>1246.0967020000001</v>
      </c>
      <c r="U27" s="115">
        <v>1270.3542090000001</v>
      </c>
      <c r="V27" s="115">
        <v>1179.798393</v>
      </c>
      <c r="W27" s="115">
        <v>1095.7537620000001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276.18596100000002</v>
      </c>
      <c r="C28" s="116">
        <f t="shared" ref="C28:V28" si="28">SUM(C29:C30)</f>
        <v>266.688422</v>
      </c>
      <c r="D28" s="116">
        <f t="shared" si="28"/>
        <v>259.99226499999997</v>
      </c>
      <c r="E28" s="116">
        <f t="shared" si="28"/>
        <v>270.626914</v>
      </c>
      <c r="F28" s="116">
        <f t="shared" si="28"/>
        <v>387.80636199999998</v>
      </c>
      <c r="G28" s="116">
        <f t="shared" si="28"/>
        <v>423.34414600000002</v>
      </c>
      <c r="H28" s="116">
        <f t="shared" si="28"/>
        <v>433.30666200000002</v>
      </c>
      <c r="I28" s="116">
        <f t="shared" si="28"/>
        <v>424.67327499999999</v>
      </c>
      <c r="J28" s="116">
        <f t="shared" si="28"/>
        <v>446.80735000000004</v>
      </c>
      <c r="K28" s="116">
        <f t="shared" si="28"/>
        <v>446.49561800000004</v>
      </c>
      <c r="L28" s="116">
        <f t="shared" si="28"/>
        <v>443.199838</v>
      </c>
      <c r="M28" s="116">
        <f t="shared" si="28"/>
        <v>453.29759100000001</v>
      </c>
      <c r="N28" s="116">
        <f t="shared" si="28"/>
        <v>463.94354799999996</v>
      </c>
      <c r="O28" s="116">
        <f t="shared" si="28"/>
        <v>479.09726699999999</v>
      </c>
      <c r="P28" s="116">
        <f t="shared" si="28"/>
        <v>479.09384</v>
      </c>
      <c r="Q28" s="116">
        <f t="shared" si="28"/>
        <v>498.40177699999998</v>
      </c>
      <c r="R28" s="116">
        <f t="shared" si="28"/>
        <v>503.73546799999997</v>
      </c>
      <c r="S28" s="116">
        <f t="shared" si="28"/>
        <v>542.43978800000002</v>
      </c>
      <c r="T28" s="116">
        <f t="shared" si="28"/>
        <v>579.281656</v>
      </c>
      <c r="U28" s="116">
        <f t="shared" si="28"/>
        <v>575.43220900000006</v>
      </c>
      <c r="V28" s="116">
        <f t="shared" si="28"/>
        <v>547.81361399999992</v>
      </c>
      <c r="W28" s="116">
        <f t="shared" ref="W28" si="29">SUM(W29:W30)</f>
        <v>531.19100800000001</v>
      </c>
      <c r="DA28" s="176" t="s">
        <v>1046</v>
      </c>
    </row>
    <row r="29" spans="1:105" ht="11.45" customHeight="1" x14ac:dyDescent="0.25">
      <c r="A29" s="111" t="s">
        <v>92</v>
      </c>
      <c r="B29" s="87">
        <v>191.25907599999999</v>
      </c>
      <c r="C29" s="87">
        <v>186.09778299999999</v>
      </c>
      <c r="D29" s="87">
        <v>184.343952</v>
      </c>
      <c r="E29" s="87">
        <v>188.564492</v>
      </c>
      <c r="F29" s="87">
        <v>195.90760699999998</v>
      </c>
      <c r="G29" s="87">
        <v>203.56668500000001</v>
      </c>
      <c r="H29" s="87">
        <v>217.43166500000001</v>
      </c>
      <c r="I29" s="87">
        <v>217.290966</v>
      </c>
      <c r="J29" s="87">
        <v>242.40134900000001</v>
      </c>
      <c r="K29" s="87">
        <v>225.60294400000001</v>
      </c>
      <c r="L29" s="87">
        <v>223.32980699999999</v>
      </c>
      <c r="M29" s="87">
        <v>226.31713400000001</v>
      </c>
      <c r="N29" s="87">
        <v>233.21385100000001</v>
      </c>
      <c r="O29" s="87">
        <v>233.21487999999999</v>
      </c>
      <c r="P29" s="87">
        <v>233.09007800000001</v>
      </c>
      <c r="Q29" s="87">
        <v>236.35214999999999</v>
      </c>
      <c r="R29" s="87">
        <v>238.36627899999999</v>
      </c>
      <c r="S29" s="87">
        <v>252.179363</v>
      </c>
      <c r="T29" s="87">
        <v>256.55492800000002</v>
      </c>
      <c r="U29" s="87">
        <v>249.90328399999999</v>
      </c>
      <c r="V29" s="87">
        <v>230.777377</v>
      </c>
      <c r="W29" s="87">
        <v>215.227755</v>
      </c>
      <c r="DA29" s="171" t="s">
        <v>1047</v>
      </c>
    </row>
    <row r="30" spans="1:105" ht="11.45" customHeight="1" x14ac:dyDescent="0.25">
      <c r="A30" s="111" t="s">
        <v>93</v>
      </c>
      <c r="B30" s="87">
        <v>84.926884999999999</v>
      </c>
      <c r="C30" s="87">
        <v>80.590638999999996</v>
      </c>
      <c r="D30" s="87">
        <v>75.648313000000002</v>
      </c>
      <c r="E30" s="87">
        <v>82.062421999999998</v>
      </c>
      <c r="F30" s="87">
        <v>191.89875499999999</v>
      </c>
      <c r="G30" s="87">
        <v>219.77746099999999</v>
      </c>
      <c r="H30" s="87">
        <v>215.87499700000001</v>
      </c>
      <c r="I30" s="87">
        <v>207.38230899999999</v>
      </c>
      <c r="J30" s="87">
        <v>204.406001</v>
      </c>
      <c r="K30" s="87">
        <v>220.892674</v>
      </c>
      <c r="L30" s="87">
        <v>219.87003100000001</v>
      </c>
      <c r="M30" s="87">
        <v>226.980457</v>
      </c>
      <c r="N30" s="87">
        <v>230.72969699999999</v>
      </c>
      <c r="O30" s="87">
        <v>245.88238699999999</v>
      </c>
      <c r="P30" s="87">
        <v>246.00376199999999</v>
      </c>
      <c r="Q30" s="87">
        <v>262.04962699999999</v>
      </c>
      <c r="R30" s="87">
        <v>265.36918900000001</v>
      </c>
      <c r="S30" s="87">
        <v>290.260425</v>
      </c>
      <c r="T30" s="87">
        <v>322.72672799999998</v>
      </c>
      <c r="U30" s="87">
        <v>325.52892500000002</v>
      </c>
      <c r="V30" s="87">
        <v>317.03623699999997</v>
      </c>
      <c r="W30" s="87">
        <v>315.96325300000001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7.1482000000000004E-2</v>
      </c>
      <c r="G31" s="117">
        <v>0.42888899999999996</v>
      </c>
      <c r="H31" s="117">
        <v>4.2422230000000001</v>
      </c>
      <c r="I31" s="117">
        <v>5.0511119999999998</v>
      </c>
      <c r="J31" s="117">
        <v>5.0511119999999998</v>
      </c>
      <c r="K31" s="117">
        <v>5.0511119999999998</v>
      </c>
      <c r="L31" s="117">
        <v>5.0511119999999998</v>
      </c>
      <c r="M31" s="117">
        <v>5.0511119999999998</v>
      </c>
      <c r="N31" s="117">
        <v>5.0511119999999998</v>
      </c>
      <c r="O31" s="117">
        <v>5.0511119999999998</v>
      </c>
      <c r="P31" s="117">
        <v>5.1590420000000003</v>
      </c>
      <c r="Q31" s="117">
        <v>7.2955560000000004</v>
      </c>
      <c r="R31" s="117">
        <v>9.3288889999999984</v>
      </c>
      <c r="S31" s="117">
        <v>10.277778</v>
      </c>
      <c r="T31" s="117">
        <v>10.611111999999999</v>
      </c>
      <c r="U31" s="117">
        <v>10.611112</v>
      </c>
      <c r="V31" s="117">
        <v>10.611112</v>
      </c>
      <c r="W31" s="117">
        <v>10.611112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124.319085</v>
      </c>
      <c r="C32" s="29">
        <f t="shared" ref="C32:V32" si="31">SUM(C33:C34)</f>
        <v>125.24469499999999</v>
      </c>
      <c r="D32" s="29">
        <f t="shared" si="31"/>
        <v>112.81278800000001</v>
      </c>
      <c r="E32" s="29">
        <f t="shared" si="31"/>
        <v>111.125575</v>
      </c>
      <c r="F32" s="29">
        <f t="shared" si="31"/>
        <v>153.762911</v>
      </c>
      <c r="G32" s="29">
        <f t="shared" si="31"/>
        <v>151.47078399999998</v>
      </c>
      <c r="H32" s="29">
        <f t="shared" si="31"/>
        <v>157.05823599999999</v>
      </c>
      <c r="I32" s="29">
        <f t="shared" si="31"/>
        <v>172.07265899999999</v>
      </c>
      <c r="J32" s="29">
        <f t="shared" si="31"/>
        <v>167.79917699999999</v>
      </c>
      <c r="K32" s="29">
        <f t="shared" si="31"/>
        <v>155.36726999999999</v>
      </c>
      <c r="L32" s="29">
        <f t="shared" si="31"/>
        <v>145.022795</v>
      </c>
      <c r="M32" s="29">
        <f t="shared" si="31"/>
        <v>134.33977099999998</v>
      </c>
      <c r="N32" s="29">
        <f t="shared" si="31"/>
        <v>122.521957</v>
      </c>
      <c r="O32" s="29">
        <f t="shared" si="31"/>
        <v>114.603414</v>
      </c>
      <c r="P32" s="29">
        <f t="shared" si="31"/>
        <v>127.34238999999999</v>
      </c>
      <c r="Q32" s="29">
        <f t="shared" si="31"/>
        <v>137.23068499999999</v>
      </c>
      <c r="R32" s="29">
        <f t="shared" si="31"/>
        <v>137.63491099999999</v>
      </c>
      <c r="S32" s="29">
        <f t="shared" si="31"/>
        <v>136.61573899999999</v>
      </c>
      <c r="T32" s="29">
        <f t="shared" si="31"/>
        <v>136.32393099999999</v>
      </c>
      <c r="U32" s="29">
        <f t="shared" si="31"/>
        <v>141.31005100000002</v>
      </c>
      <c r="V32" s="29">
        <f t="shared" si="31"/>
        <v>145.68866700000001</v>
      </c>
      <c r="W32" s="29">
        <f t="shared" ref="W32" si="32">SUM(W33:W34)</f>
        <v>153.32766000000001</v>
      </c>
      <c r="DA32" s="173" t="s">
        <v>1050</v>
      </c>
    </row>
    <row r="33" spans="1:105" ht="11.45" customHeight="1" x14ac:dyDescent="0.25">
      <c r="A33" s="83" t="s">
        <v>92</v>
      </c>
      <c r="B33" s="87">
        <v>36.977328999999997</v>
      </c>
      <c r="C33" s="87">
        <v>33.279596999999995</v>
      </c>
      <c r="D33" s="87">
        <v>29.581865000000001</v>
      </c>
      <c r="E33" s="87">
        <v>26.334520000000001</v>
      </c>
      <c r="F33" s="87">
        <v>24.907551000000002</v>
      </c>
      <c r="G33" s="87">
        <v>24.543727000000001</v>
      </c>
      <c r="H33" s="87">
        <v>30.520638000000002</v>
      </c>
      <c r="I33" s="87">
        <v>30.383041000000002</v>
      </c>
      <c r="J33" s="87">
        <v>34.843733999999998</v>
      </c>
      <c r="K33" s="87">
        <v>31.146001999999999</v>
      </c>
      <c r="L33" s="87">
        <v>29.535702000000001</v>
      </c>
      <c r="M33" s="87">
        <v>27.586853000000001</v>
      </c>
      <c r="N33" s="87">
        <v>23.889120999999999</v>
      </c>
      <c r="O33" s="87">
        <v>21.900779</v>
      </c>
      <c r="P33" s="87">
        <v>27.696619999999999</v>
      </c>
      <c r="Q33" s="87">
        <v>27.271973000000003</v>
      </c>
      <c r="R33" s="87">
        <v>28.602534000000002</v>
      </c>
      <c r="S33" s="87">
        <v>26.212343000000001</v>
      </c>
      <c r="T33" s="87">
        <v>23.758805000000002</v>
      </c>
      <c r="U33" s="87">
        <v>22.386382000000001</v>
      </c>
      <c r="V33" s="87">
        <v>23.310941</v>
      </c>
      <c r="W33" s="87">
        <v>24.198539</v>
      </c>
      <c r="DA33" s="171" t="s">
        <v>1051</v>
      </c>
    </row>
    <row r="34" spans="1:105" ht="11.45" customHeight="1" x14ac:dyDescent="0.25">
      <c r="A34" s="85" t="s">
        <v>93</v>
      </c>
      <c r="B34" s="88">
        <v>87.341756000000004</v>
      </c>
      <c r="C34" s="88">
        <v>91.965097999999998</v>
      </c>
      <c r="D34" s="88">
        <v>83.230923000000004</v>
      </c>
      <c r="E34" s="88">
        <v>84.791055</v>
      </c>
      <c r="F34" s="88">
        <v>128.85535999999999</v>
      </c>
      <c r="G34" s="88">
        <v>126.92705699999999</v>
      </c>
      <c r="H34" s="88">
        <v>126.537598</v>
      </c>
      <c r="I34" s="88">
        <v>141.689618</v>
      </c>
      <c r="J34" s="88">
        <v>132.955443</v>
      </c>
      <c r="K34" s="88">
        <v>124.22126799999999</v>
      </c>
      <c r="L34" s="88">
        <v>115.487093</v>
      </c>
      <c r="M34" s="88">
        <v>106.75291799999999</v>
      </c>
      <c r="N34" s="88">
        <v>98.632835999999998</v>
      </c>
      <c r="O34" s="88">
        <v>92.702635000000001</v>
      </c>
      <c r="P34" s="88">
        <v>99.645769999999999</v>
      </c>
      <c r="Q34" s="88">
        <v>109.95871199999999</v>
      </c>
      <c r="R34" s="88">
        <v>109.032377</v>
      </c>
      <c r="S34" s="88">
        <v>110.403396</v>
      </c>
      <c r="T34" s="88">
        <v>112.56512599999999</v>
      </c>
      <c r="U34" s="88">
        <v>118.923669</v>
      </c>
      <c r="V34" s="88">
        <v>122.377726</v>
      </c>
      <c r="W34" s="88">
        <v>129.129121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63.524043999999876</v>
      </c>
      <c r="D36" s="54">
        <f t="shared" ref="D36:V36" si="34">D37+D43</f>
        <v>53.415274000000068</v>
      </c>
      <c r="E36" s="54">
        <f t="shared" si="34"/>
        <v>110.89998799999992</v>
      </c>
      <c r="F36" s="54">
        <f t="shared" si="34"/>
        <v>252.72231900000011</v>
      </c>
      <c r="G36" s="54">
        <f t="shared" si="34"/>
        <v>46.505602000000032</v>
      </c>
      <c r="H36" s="54">
        <f t="shared" si="34"/>
        <v>44.170731999999923</v>
      </c>
      <c r="I36" s="54">
        <f t="shared" si="34"/>
        <v>56.802697999999964</v>
      </c>
      <c r="J36" s="54">
        <f t="shared" si="34"/>
        <v>253.99067500000007</v>
      </c>
      <c r="K36" s="54">
        <f t="shared" si="34"/>
        <v>52.552424000000087</v>
      </c>
      <c r="L36" s="54">
        <f t="shared" si="34"/>
        <v>26.398770000000155</v>
      </c>
      <c r="M36" s="54">
        <f t="shared" si="34"/>
        <v>18.603603000000021</v>
      </c>
      <c r="N36" s="54">
        <f t="shared" si="34"/>
        <v>133.67498200000003</v>
      </c>
      <c r="O36" s="54">
        <f t="shared" si="34"/>
        <v>54.160226999999935</v>
      </c>
      <c r="P36" s="54">
        <f t="shared" si="34"/>
        <v>25.746017000000023</v>
      </c>
      <c r="Q36" s="54">
        <f t="shared" si="34"/>
        <v>82.311919000000117</v>
      </c>
      <c r="R36" s="54">
        <f t="shared" si="34"/>
        <v>150.19440800000004</v>
      </c>
      <c r="S36" s="54">
        <f t="shared" si="34"/>
        <v>114.72882300000022</v>
      </c>
      <c r="T36" s="54">
        <f t="shared" si="34"/>
        <v>62.33339799999991</v>
      </c>
      <c r="U36" s="54">
        <f t="shared" si="34"/>
        <v>69.765419000000165</v>
      </c>
      <c r="V36" s="54">
        <f t="shared" si="34"/>
        <v>8.7753039999999949</v>
      </c>
      <c r="W36" s="54">
        <f t="shared" ref="W36" si="35">W37+W43</f>
        <v>13.265287000000054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55.835197999999878</v>
      </c>
      <c r="D37" s="28">
        <f t="shared" ref="D37:V37" si="37">SUM(D38,D39,D42)</f>
        <v>53.415274000000068</v>
      </c>
      <c r="E37" s="28">
        <f t="shared" si="37"/>
        <v>106.27435199999992</v>
      </c>
      <c r="F37" s="28">
        <f t="shared" si="37"/>
        <v>205.59251000000012</v>
      </c>
      <c r="G37" s="28">
        <f t="shared" si="37"/>
        <v>44.401041000000028</v>
      </c>
      <c r="H37" s="28">
        <f t="shared" si="37"/>
        <v>34.186591999999905</v>
      </c>
      <c r="I37" s="28">
        <f t="shared" si="37"/>
        <v>37.391586999999966</v>
      </c>
      <c r="J37" s="28">
        <f t="shared" si="37"/>
        <v>248.19879800000007</v>
      </c>
      <c r="K37" s="28">
        <f t="shared" si="37"/>
        <v>52.552424000000087</v>
      </c>
      <c r="L37" s="28">
        <f t="shared" si="37"/>
        <v>26.398770000000155</v>
      </c>
      <c r="M37" s="28">
        <f t="shared" si="37"/>
        <v>18.603603000000021</v>
      </c>
      <c r="N37" s="28">
        <f t="shared" si="37"/>
        <v>133.67498200000003</v>
      </c>
      <c r="O37" s="28">
        <f t="shared" si="37"/>
        <v>54.160226999999935</v>
      </c>
      <c r="P37" s="28">
        <f t="shared" si="37"/>
        <v>8.6103530000000212</v>
      </c>
      <c r="Q37" s="28">
        <f t="shared" si="37"/>
        <v>68.02693600000012</v>
      </c>
      <c r="R37" s="28">
        <f t="shared" si="37"/>
        <v>145.39349400000003</v>
      </c>
      <c r="S37" s="28">
        <f t="shared" si="37"/>
        <v>110.29230000000021</v>
      </c>
      <c r="T37" s="28">
        <f t="shared" si="37"/>
        <v>57.106163999999914</v>
      </c>
      <c r="U37" s="28">
        <f t="shared" si="37"/>
        <v>60.341372000000149</v>
      </c>
      <c r="V37" s="28">
        <f t="shared" si="37"/>
        <v>0</v>
      </c>
      <c r="W37" s="28">
        <f t="shared" ref="W37" si="38">SUM(W38,W39,W42)</f>
        <v>1.2296060000000466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54.793230999999878</v>
      </c>
      <c r="D38" s="108">
        <v>48.965845000000058</v>
      </c>
      <c r="E38" s="108">
        <v>87.133852999999931</v>
      </c>
      <c r="F38" s="108">
        <v>79.835730000000126</v>
      </c>
      <c r="G38" s="108">
        <v>0</v>
      </c>
      <c r="H38" s="108">
        <v>10.305017999999905</v>
      </c>
      <c r="I38" s="108">
        <v>30.520136999999977</v>
      </c>
      <c r="J38" s="108">
        <v>216.88515500000005</v>
      </c>
      <c r="K38" s="108">
        <v>33.763161000000082</v>
      </c>
      <c r="L38" s="108">
        <v>21.188700000000154</v>
      </c>
      <c r="M38" s="108">
        <v>0</v>
      </c>
      <c r="N38" s="108">
        <v>114.52317500000004</v>
      </c>
      <c r="O38" s="108">
        <v>30.50065799999993</v>
      </c>
      <c r="P38" s="108">
        <v>0</v>
      </c>
      <c r="Q38" s="108">
        <v>38.076635000000124</v>
      </c>
      <c r="R38" s="108">
        <v>129.52062000000001</v>
      </c>
      <c r="S38" s="108">
        <v>62.133241000000226</v>
      </c>
      <c r="T38" s="108">
        <v>11.425111999999899</v>
      </c>
      <c r="U38" s="108">
        <v>55.236585000000105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1.0419669999999996</v>
      </c>
      <c r="D39" s="110">
        <f t="shared" ref="D39:V39" si="40">SUM(D40:D41)</f>
        <v>4.4494290000000092</v>
      </c>
      <c r="E39" s="110">
        <f t="shared" si="40"/>
        <v>19.140498999999991</v>
      </c>
      <c r="F39" s="110">
        <f t="shared" si="40"/>
        <v>125.68529799999999</v>
      </c>
      <c r="G39" s="110">
        <f t="shared" si="40"/>
        <v>44.043634000000026</v>
      </c>
      <c r="H39" s="110">
        <f t="shared" si="40"/>
        <v>20.068240000000003</v>
      </c>
      <c r="I39" s="110">
        <f t="shared" si="40"/>
        <v>6.0625609999999881</v>
      </c>
      <c r="J39" s="110">
        <f t="shared" si="40"/>
        <v>31.313643000000013</v>
      </c>
      <c r="K39" s="110">
        <f t="shared" si="40"/>
        <v>18.789263000000005</v>
      </c>
      <c r="L39" s="110">
        <f t="shared" si="40"/>
        <v>5.2100700000000018</v>
      </c>
      <c r="M39" s="110">
        <f t="shared" si="40"/>
        <v>18.603603000000021</v>
      </c>
      <c r="N39" s="110">
        <f t="shared" si="40"/>
        <v>19.151806999999991</v>
      </c>
      <c r="O39" s="110">
        <f t="shared" si="40"/>
        <v>23.659569000000005</v>
      </c>
      <c r="P39" s="110">
        <f t="shared" si="40"/>
        <v>8.5024230000000216</v>
      </c>
      <c r="Q39" s="110">
        <f t="shared" si="40"/>
        <v>27.813786999999991</v>
      </c>
      <c r="R39" s="110">
        <f t="shared" si="40"/>
        <v>13.839541000000025</v>
      </c>
      <c r="S39" s="110">
        <f t="shared" si="40"/>
        <v>47.210169999999977</v>
      </c>
      <c r="T39" s="110">
        <f t="shared" si="40"/>
        <v>45.347718000000015</v>
      </c>
      <c r="U39" s="110">
        <f t="shared" si="40"/>
        <v>5.1047870000000444</v>
      </c>
      <c r="V39" s="110">
        <f t="shared" si="40"/>
        <v>0</v>
      </c>
      <c r="W39" s="110">
        <f t="shared" ref="W39" si="41">SUM(W40:W41)</f>
        <v>1.2296060000000466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1.0419669999999996</v>
      </c>
      <c r="D40" s="84">
        <v>4.4494290000000092</v>
      </c>
      <c r="E40" s="84">
        <v>10.4238</v>
      </c>
      <c r="F40" s="84">
        <v>13.546374999999983</v>
      </c>
      <c r="G40" s="84">
        <v>13.862338000000022</v>
      </c>
      <c r="H40" s="84">
        <v>20.068240000000003</v>
      </c>
      <c r="I40" s="84">
        <v>6.0625609999999881</v>
      </c>
      <c r="J40" s="84">
        <v>31.313643000000013</v>
      </c>
      <c r="K40" s="84">
        <v>0</v>
      </c>
      <c r="L40" s="84">
        <v>3.9301229999999805</v>
      </c>
      <c r="M40" s="84">
        <v>9.190587000000022</v>
      </c>
      <c r="N40" s="84">
        <v>13.099976999999996</v>
      </c>
      <c r="O40" s="84">
        <v>6.2042889999999886</v>
      </c>
      <c r="P40" s="84">
        <v>6.0784580000000119</v>
      </c>
      <c r="Q40" s="84">
        <v>9.4653319999999894</v>
      </c>
      <c r="R40" s="84">
        <v>8.2173889999999972</v>
      </c>
      <c r="S40" s="84">
        <v>20.016343999999975</v>
      </c>
      <c r="T40" s="84">
        <v>10.578825000000023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8.7166989999999913</v>
      </c>
      <c r="F41" s="84">
        <v>112.13892300000001</v>
      </c>
      <c r="G41" s="84">
        <v>30.181296000000003</v>
      </c>
      <c r="H41" s="84">
        <v>0</v>
      </c>
      <c r="I41" s="84">
        <v>0</v>
      </c>
      <c r="J41" s="84">
        <v>0</v>
      </c>
      <c r="K41" s="84">
        <v>18.789263000000005</v>
      </c>
      <c r="L41" s="84">
        <v>1.2799470000000213</v>
      </c>
      <c r="M41" s="84">
        <v>9.4130159999999989</v>
      </c>
      <c r="N41" s="84">
        <v>6.0518299999999954</v>
      </c>
      <c r="O41" s="84">
        <v>17.455280000000016</v>
      </c>
      <c r="P41" s="84">
        <v>2.4239650000000097</v>
      </c>
      <c r="Q41" s="84">
        <v>18.348455000000001</v>
      </c>
      <c r="R41" s="84">
        <v>5.6221520000000282</v>
      </c>
      <c r="S41" s="84">
        <v>27.193826000000001</v>
      </c>
      <c r="T41" s="84">
        <v>34.768892999999991</v>
      </c>
      <c r="U41" s="84">
        <v>5.1047870000000444</v>
      </c>
      <c r="V41" s="84">
        <v>0</v>
      </c>
      <c r="W41" s="84">
        <v>1.2296060000000466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7.1482000000000004E-2</v>
      </c>
      <c r="G42" s="113">
        <v>0.35740699999999997</v>
      </c>
      <c r="H42" s="113">
        <v>3.8133340000000002</v>
      </c>
      <c r="I42" s="113">
        <v>0.80888899999999975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0.10793000000000053</v>
      </c>
      <c r="Q42" s="113">
        <v>2.136514</v>
      </c>
      <c r="R42" s="113">
        <v>2.0333329999999981</v>
      </c>
      <c r="S42" s="113">
        <v>0.9488890000000012</v>
      </c>
      <c r="T42" s="113">
        <v>0.33333399999999891</v>
      </c>
      <c r="U42" s="113">
        <v>1.7763568394002505E-15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7.6888459999999981</v>
      </c>
      <c r="D43" s="28">
        <f t="shared" ref="D43:V43" si="43">SUM(D44:D45)</f>
        <v>0</v>
      </c>
      <c r="E43" s="28">
        <f t="shared" si="43"/>
        <v>4.6256360000000001</v>
      </c>
      <c r="F43" s="28">
        <f t="shared" si="43"/>
        <v>47.129808999999995</v>
      </c>
      <c r="G43" s="28">
        <f t="shared" si="43"/>
        <v>2.1045610000000039</v>
      </c>
      <c r="H43" s="28">
        <f t="shared" si="43"/>
        <v>9.9841400000000178</v>
      </c>
      <c r="I43" s="28">
        <f t="shared" si="43"/>
        <v>19.411110999999998</v>
      </c>
      <c r="J43" s="28">
        <f t="shared" si="43"/>
        <v>5.7918769999999959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17.135664000000002</v>
      </c>
      <c r="Q43" s="28">
        <f t="shared" si="43"/>
        <v>14.284983</v>
      </c>
      <c r="R43" s="28">
        <f t="shared" si="43"/>
        <v>4.8009140000000095</v>
      </c>
      <c r="S43" s="28">
        <f t="shared" si="43"/>
        <v>4.4365230000000082</v>
      </c>
      <c r="T43" s="28">
        <f t="shared" si="43"/>
        <v>5.2272339999999957</v>
      </c>
      <c r="U43" s="28">
        <f t="shared" si="43"/>
        <v>9.4240470000000158</v>
      </c>
      <c r="V43" s="28">
        <f t="shared" si="43"/>
        <v>8.7753039999999949</v>
      </c>
      <c r="W43" s="28">
        <f t="shared" ref="W43" si="44">SUM(W44:W45)</f>
        <v>12.035681000000007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0.96735999999999933</v>
      </c>
      <c r="H44" s="84">
        <v>7.3080950000000016</v>
      </c>
      <c r="I44" s="84">
        <v>1.1935870000000008</v>
      </c>
      <c r="J44" s="84">
        <v>5.7918769999999959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7.1270249999999997</v>
      </c>
      <c r="Q44" s="84">
        <v>0.9065370000000037</v>
      </c>
      <c r="R44" s="84">
        <v>2.6617449999999998</v>
      </c>
      <c r="S44" s="84">
        <v>0</v>
      </c>
      <c r="T44" s="84">
        <v>0</v>
      </c>
      <c r="U44" s="84">
        <v>0</v>
      </c>
      <c r="V44" s="84">
        <v>2.2557429999999989</v>
      </c>
      <c r="W44" s="84">
        <v>2.2187820000000009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7.6888459999999981</v>
      </c>
      <c r="D45" s="86">
        <v>0</v>
      </c>
      <c r="E45" s="86">
        <v>4.6256360000000001</v>
      </c>
      <c r="F45" s="86">
        <v>47.129808999999995</v>
      </c>
      <c r="G45" s="86">
        <v>1.1372010000000046</v>
      </c>
      <c r="H45" s="86">
        <v>2.6760450000000162</v>
      </c>
      <c r="I45" s="86">
        <v>18.217523999999997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10.008639000000002</v>
      </c>
      <c r="Q45" s="86">
        <v>13.378445999999997</v>
      </c>
      <c r="R45" s="86">
        <v>2.1391690000000096</v>
      </c>
      <c r="S45" s="86">
        <v>4.4365230000000082</v>
      </c>
      <c r="T45" s="86">
        <v>5.2272339999999957</v>
      </c>
      <c r="U45" s="86">
        <v>9.4240470000000158</v>
      </c>
      <c r="V45" s="86">
        <v>6.5195609999999959</v>
      </c>
      <c r="W45" s="86">
        <v>9.8168990000000065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108.96254321008864</v>
      </c>
      <c r="C50" s="29">
        <f t="shared" si="45"/>
        <v>109.15798027211677</v>
      </c>
      <c r="D50" s="29">
        <f t="shared" si="45"/>
        <v>104.07215173199155</v>
      </c>
      <c r="E50" s="29">
        <f t="shared" si="45"/>
        <v>99.889679925144151</v>
      </c>
      <c r="F50" s="29">
        <f t="shared" si="45"/>
        <v>87.980908572217658</v>
      </c>
      <c r="G50" s="29">
        <f t="shared" si="45"/>
        <v>85.063183737653361</v>
      </c>
      <c r="H50" s="29">
        <f t="shared" si="45"/>
        <v>85.29472558859355</v>
      </c>
      <c r="I50" s="29">
        <f t="shared" si="45"/>
        <v>86.284917859991069</v>
      </c>
      <c r="J50" s="29">
        <f t="shared" si="45"/>
        <v>81.580087682844464</v>
      </c>
      <c r="K50" s="29">
        <f t="shared" ref="K50:V50" si="46">IF(K4=0,0,K4/K15)</f>
        <v>79.122318633841786</v>
      </c>
      <c r="L50" s="29">
        <f t="shared" si="46"/>
        <v>80.276217693424016</v>
      </c>
      <c r="M50" s="29">
        <f t="shared" si="46"/>
        <v>80.610296608786072</v>
      </c>
      <c r="N50" s="29">
        <f t="shared" si="46"/>
        <v>82.862997839845832</v>
      </c>
      <c r="O50" s="29">
        <f t="shared" si="46"/>
        <v>83.933009237863317</v>
      </c>
      <c r="P50" s="29">
        <f t="shared" si="46"/>
        <v>85.037323443038659</v>
      </c>
      <c r="Q50" s="29">
        <f t="shared" si="46"/>
        <v>86.457369063554694</v>
      </c>
      <c r="R50" s="29">
        <f t="shared" si="46"/>
        <v>88.634376290308111</v>
      </c>
      <c r="S50" s="29">
        <f t="shared" si="46"/>
        <v>89.454165688992234</v>
      </c>
      <c r="T50" s="29">
        <f t="shared" si="46"/>
        <v>91.610534758417231</v>
      </c>
      <c r="U50" s="29">
        <f t="shared" si="46"/>
        <v>95.335238895731663</v>
      </c>
      <c r="V50" s="29">
        <f t="shared" si="46"/>
        <v>51.599785995610318</v>
      </c>
      <c r="W50" s="29">
        <f t="shared" ref="W50" si="47">IF(W4=0,0,W4/W15)</f>
        <v>50.698569810915949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80.994746904636273</v>
      </c>
      <c r="C51" s="115">
        <f t="shared" si="48"/>
        <v>80.474646664391415</v>
      </c>
      <c r="D51" s="115">
        <f t="shared" si="48"/>
        <v>79.714421731928738</v>
      </c>
      <c r="E51" s="115">
        <f t="shared" si="48"/>
        <v>77.576497784208385</v>
      </c>
      <c r="F51" s="115">
        <f t="shared" si="48"/>
        <v>75.375284790254099</v>
      </c>
      <c r="G51" s="115">
        <f t="shared" si="48"/>
        <v>73.494343930035839</v>
      </c>
      <c r="H51" s="115">
        <f t="shared" si="48"/>
        <v>73.794648375388221</v>
      </c>
      <c r="I51" s="115">
        <f t="shared" si="48"/>
        <v>73.371721634511943</v>
      </c>
      <c r="J51" s="115">
        <f t="shared" si="48"/>
        <v>72.514916671695332</v>
      </c>
      <c r="K51" s="115">
        <f t="shared" ref="K51:V51" si="49">IF(K5=0,0,K5/K16)</f>
        <v>71.104119874249918</v>
      </c>
      <c r="L51" s="115">
        <f t="shared" si="49"/>
        <v>71.797395155317687</v>
      </c>
      <c r="M51" s="115">
        <f t="shared" si="49"/>
        <v>72.18645526627121</v>
      </c>
      <c r="N51" s="115">
        <f t="shared" si="49"/>
        <v>73.130153319450358</v>
      </c>
      <c r="O51" s="115">
        <f t="shared" si="49"/>
        <v>73.767268351109848</v>
      </c>
      <c r="P51" s="115">
        <f t="shared" si="49"/>
        <v>74.282672912481345</v>
      </c>
      <c r="Q51" s="115">
        <f t="shared" si="49"/>
        <v>75.432728087097701</v>
      </c>
      <c r="R51" s="115">
        <f t="shared" si="49"/>
        <v>76.346178836026965</v>
      </c>
      <c r="S51" s="115">
        <f t="shared" si="49"/>
        <v>77.166201604156825</v>
      </c>
      <c r="T51" s="115">
        <f t="shared" si="49"/>
        <v>78.31582474274326</v>
      </c>
      <c r="U51" s="115">
        <f t="shared" si="49"/>
        <v>79.425235217512196</v>
      </c>
      <c r="V51" s="115">
        <f t="shared" si="49"/>
        <v>31.305312147765704</v>
      </c>
      <c r="W51" s="115">
        <f t="shared" ref="W51" si="50">IF(W5=0,0,W5/W16)</f>
        <v>29.982681804052753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176.20977747405291</v>
      </c>
      <c r="C52" s="116">
        <f t="shared" si="51"/>
        <v>182.46011527982128</v>
      </c>
      <c r="D52" s="116">
        <f t="shared" si="51"/>
        <v>169.1588795748323</v>
      </c>
      <c r="E52" s="116">
        <f t="shared" si="51"/>
        <v>160.56545438126136</v>
      </c>
      <c r="F52" s="116">
        <f t="shared" si="51"/>
        <v>113.09768068715584</v>
      </c>
      <c r="G52" s="116">
        <f t="shared" si="51"/>
        <v>104.89495893903043</v>
      </c>
      <c r="H52" s="116">
        <f t="shared" si="51"/>
        <v>104.22179957032384</v>
      </c>
      <c r="I52" s="116">
        <f t="shared" si="51"/>
        <v>106.18656728832219</v>
      </c>
      <c r="J52" s="116">
        <f t="shared" si="51"/>
        <v>97.28279259414731</v>
      </c>
      <c r="K52" s="116">
        <f t="shared" ref="K52:V52" si="52">IF(K6=0,0,K6/K17)</f>
        <v>93.125214302996767</v>
      </c>
      <c r="L52" s="116">
        <f t="shared" si="52"/>
        <v>94.58487222735792</v>
      </c>
      <c r="M52" s="116">
        <f t="shared" si="52"/>
        <v>93.889755753641097</v>
      </c>
      <c r="N52" s="116">
        <f t="shared" si="52"/>
        <v>99.509233370326257</v>
      </c>
      <c r="O52" s="116">
        <f t="shared" si="52"/>
        <v>101.10681785427579</v>
      </c>
      <c r="P52" s="116">
        <f t="shared" si="52"/>
        <v>102.94434203024927</v>
      </c>
      <c r="Q52" s="116">
        <f t="shared" si="52"/>
        <v>101.09648306618632</v>
      </c>
      <c r="R52" s="116">
        <f t="shared" si="52"/>
        <v>106.40505485944054</v>
      </c>
      <c r="S52" s="116">
        <f t="shared" si="52"/>
        <v>106.1131601307771</v>
      </c>
      <c r="T52" s="116">
        <f t="shared" si="52"/>
        <v>108.47918192925046</v>
      </c>
      <c r="U52" s="116">
        <f t="shared" si="52"/>
        <v>115.56530749824387</v>
      </c>
      <c r="V52" s="116">
        <f t="shared" si="52"/>
        <v>78.966911764675913</v>
      </c>
      <c r="W52" s="116">
        <f t="shared" ref="W52" si="53">IF(W6=0,0,W6/W17)</f>
        <v>77.863429956991155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138.97206896159028</v>
      </c>
      <c r="C53" s="87">
        <f t="shared" si="54"/>
        <v>142.83632009943497</v>
      </c>
      <c r="D53" s="87">
        <f t="shared" si="54"/>
        <v>129.52060484626622</v>
      </c>
      <c r="E53" s="87">
        <f t="shared" si="54"/>
        <v>122.1764448789535</v>
      </c>
      <c r="F53" s="87">
        <f t="shared" si="54"/>
        <v>117.39207849528437</v>
      </c>
      <c r="G53" s="87">
        <f t="shared" si="54"/>
        <v>113.5270577029037</v>
      </c>
      <c r="H53" s="87">
        <f t="shared" si="54"/>
        <v>105.60004106660801</v>
      </c>
      <c r="I53" s="87">
        <f t="shared" si="54"/>
        <v>100.88297252598595</v>
      </c>
      <c r="J53" s="87">
        <f t="shared" si="54"/>
        <v>87.270301210260982</v>
      </c>
      <c r="K53" s="87">
        <f t="shared" ref="K53:V53" si="55">IF(K7=0,0,K7/K18)</f>
        <v>88.272865670470637</v>
      </c>
      <c r="L53" s="87">
        <f t="shared" si="55"/>
        <v>89.643375943228676</v>
      </c>
      <c r="M53" s="87">
        <f t="shared" si="55"/>
        <v>88.941378187754239</v>
      </c>
      <c r="N53" s="87">
        <f t="shared" si="55"/>
        <v>91.602175691470208</v>
      </c>
      <c r="O53" s="87">
        <f t="shared" si="55"/>
        <v>95.652416573711747</v>
      </c>
      <c r="P53" s="87">
        <f t="shared" si="55"/>
        <v>97.3880139352529</v>
      </c>
      <c r="Q53" s="87">
        <f t="shared" si="55"/>
        <v>95.516320342200146</v>
      </c>
      <c r="R53" s="87">
        <f t="shared" si="55"/>
        <v>101.22616766108422</v>
      </c>
      <c r="S53" s="87">
        <f t="shared" si="55"/>
        <v>102.46705394388884</v>
      </c>
      <c r="T53" s="87">
        <f t="shared" si="55"/>
        <v>108.35781320674901</v>
      </c>
      <c r="U53" s="87">
        <f t="shared" si="55"/>
        <v>117.61948962591306</v>
      </c>
      <c r="V53" s="87">
        <f t="shared" si="55"/>
        <v>85.033387511745872</v>
      </c>
      <c r="W53" s="87">
        <f t="shared" ref="W53" si="56">IF(W7=0,0,W7/W18)</f>
        <v>88.141720076704232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260.07073313056969</v>
      </c>
      <c r="C54" s="87">
        <f t="shared" si="57"/>
        <v>273.95834064120555</v>
      </c>
      <c r="D54" s="87">
        <f t="shared" si="57"/>
        <v>265.75159905563646</v>
      </c>
      <c r="E54" s="87">
        <f t="shared" si="57"/>
        <v>248.77640305320315</v>
      </c>
      <c r="F54" s="87">
        <f t="shared" si="57"/>
        <v>108.71357095565223</v>
      </c>
      <c r="G54" s="87">
        <f t="shared" si="57"/>
        <v>96.89956341037086</v>
      </c>
      <c r="H54" s="87">
        <f t="shared" si="57"/>
        <v>102.83361961267035</v>
      </c>
      <c r="I54" s="87">
        <f t="shared" si="57"/>
        <v>112.09255921365947</v>
      </c>
      <c r="J54" s="87">
        <f t="shared" si="57"/>
        <v>109.15642358041694</v>
      </c>
      <c r="K54" s="87">
        <f t="shared" ref="K54:V54" si="58">IF(K8=0,0,K8/K19)</f>
        <v>98.081033418963116</v>
      </c>
      <c r="L54" s="87">
        <f t="shared" si="58"/>
        <v>99.604125670802304</v>
      </c>
      <c r="M54" s="87">
        <f t="shared" si="58"/>
        <v>98.823672300178828</v>
      </c>
      <c r="N54" s="87">
        <f t="shared" si="58"/>
        <v>107.50142246479562</v>
      </c>
      <c r="O54" s="87">
        <f t="shared" si="58"/>
        <v>106.28021623249224</v>
      </c>
      <c r="P54" s="87">
        <f t="shared" si="58"/>
        <v>108.20899709547467</v>
      </c>
      <c r="Q54" s="87">
        <f t="shared" si="58"/>
        <v>106.1294360699066</v>
      </c>
      <c r="R54" s="87">
        <f t="shared" si="58"/>
        <v>111.05695916226502</v>
      </c>
      <c r="S54" s="87">
        <f t="shared" si="58"/>
        <v>109.28091107372272</v>
      </c>
      <c r="T54" s="87">
        <f t="shared" si="58"/>
        <v>108.57566524222727</v>
      </c>
      <c r="U54" s="87">
        <f t="shared" si="58"/>
        <v>113.98834514647162</v>
      </c>
      <c r="V54" s="87">
        <f t="shared" si="58"/>
        <v>74.506185595533267</v>
      </c>
      <c r="W54" s="87">
        <f t="shared" ref="W54" si="59">IF(W8=0,0,W8/W19)</f>
        <v>70.862067359462728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31.088082901554408</v>
      </c>
      <c r="G55" s="117">
        <f t="shared" si="60"/>
        <v>31.088082901554404</v>
      </c>
      <c r="H55" s="117">
        <f t="shared" si="60"/>
        <v>77.527501309586171</v>
      </c>
      <c r="I55" s="117">
        <f t="shared" si="60"/>
        <v>144.74263088429387</v>
      </c>
      <c r="J55" s="117">
        <f t="shared" si="60"/>
        <v>127.04447632711621</v>
      </c>
      <c r="K55" s="117">
        <f t="shared" ref="K55:V55" si="61">IF(K9=0,0,K9/K20)</f>
        <v>116.62531017369726</v>
      </c>
      <c r="L55" s="117">
        <f t="shared" si="61"/>
        <v>136.18090452261308</v>
      </c>
      <c r="M55" s="117">
        <f t="shared" si="61"/>
        <v>134.49740443605472</v>
      </c>
      <c r="N55" s="117">
        <f t="shared" si="61"/>
        <v>136.24314442413163</v>
      </c>
      <c r="O55" s="117">
        <f t="shared" si="61"/>
        <v>129.15896937287312</v>
      </c>
      <c r="P55" s="117">
        <f t="shared" si="61"/>
        <v>105.96283783783785</v>
      </c>
      <c r="Q55" s="117">
        <f t="shared" si="61"/>
        <v>172.70788912579957</v>
      </c>
      <c r="R55" s="117">
        <f t="shared" si="61"/>
        <v>166.26965221534061</v>
      </c>
      <c r="S55" s="117">
        <f t="shared" si="61"/>
        <v>166.27027027027026</v>
      </c>
      <c r="T55" s="117">
        <f t="shared" si="61"/>
        <v>166.282722513089</v>
      </c>
      <c r="U55" s="117">
        <f t="shared" si="61"/>
        <v>207.94448481777488</v>
      </c>
      <c r="V55" s="117">
        <f t="shared" si="61"/>
        <v>130.47950392500277</v>
      </c>
      <c r="W55" s="117">
        <f t="shared" ref="W55" si="62">IF(W9=0,0,W9/W20)</f>
        <v>128.93402524635133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703.67314102341254</v>
      </c>
      <c r="C56" s="29">
        <f t="shared" si="63"/>
        <v>693.44011061931292</v>
      </c>
      <c r="D56" s="29">
        <f t="shared" si="63"/>
        <v>723.99523314820692</v>
      </c>
      <c r="E56" s="29">
        <f t="shared" si="63"/>
        <v>713.69709865818334</v>
      </c>
      <c r="F56" s="29">
        <f t="shared" si="63"/>
        <v>490.755541142482</v>
      </c>
      <c r="G56" s="29">
        <f t="shared" si="63"/>
        <v>490.72169832486827</v>
      </c>
      <c r="H56" s="29">
        <f t="shared" si="63"/>
        <v>502.3295970929031</v>
      </c>
      <c r="I56" s="29">
        <f t="shared" si="63"/>
        <v>473.75336054513707</v>
      </c>
      <c r="J56" s="29">
        <f t="shared" si="63"/>
        <v>513.74719749651979</v>
      </c>
      <c r="K56" s="29">
        <f t="shared" ref="K56:V56" si="64">IF(K10=0,0,K10/K21)</f>
        <v>509.82189088417806</v>
      </c>
      <c r="L56" s="29">
        <f t="shared" si="64"/>
        <v>564.54187632183289</v>
      </c>
      <c r="M56" s="29">
        <f t="shared" si="64"/>
        <v>544.70443639875907</v>
      </c>
      <c r="N56" s="29">
        <f t="shared" si="64"/>
        <v>589.96137501554676</v>
      </c>
      <c r="O56" s="29">
        <f t="shared" si="64"/>
        <v>609.27505115701911</v>
      </c>
      <c r="P56" s="29">
        <f t="shared" si="64"/>
        <v>572.27605459254391</v>
      </c>
      <c r="Q56" s="29">
        <f t="shared" si="64"/>
        <v>556.03453727473493</v>
      </c>
      <c r="R56" s="29">
        <f t="shared" si="64"/>
        <v>567.40691557787272</v>
      </c>
      <c r="S56" s="29">
        <f t="shared" si="64"/>
        <v>579.83802539547071</v>
      </c>
      <c r="T56" s="29">
        <f t="shared" si="64"/>
        <v>607.52356822821957</v>
      </c>
      <c r="U56" s="29">
        <f t="shared" si="64"/>
        <v>572.49997111250457</v>
      </c>
      <c r="V56" s="29">
        <f t="shared" si="64"/>
        <v>523.41065652158568</v>
      </c>
      <c r="W56" s="29">
        <f t="shared" ref="W56" si="65">IF(W10=0,0,W10/W21)</f>
        <v>532.38926655844989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687.94191723698998</v>
      </c>
      <c r="C57" s="87">
        <f t="shared" si="66"/>
        <v>678.72545838036092</v>
      </c>
      <c r="D57" s="87">
        <f t="shared" si="66"/>
        <v>652.11608694373967</v>
      </c>
      <c r="E57" s="87">
        <f t="shared" si="66"/>
        <v>666.10199569369001</v>
      </c>
      <c r="F57" s="87">
        <f t="shared" si="66"/>
        <v>662.12553138886267</v>
      </c>
      <c r="G57" s="87">
        <f t="shared" si="66"/>
        <v>643.46931434986197</v>
      </c>
      <c r="H57" s="87">
        <f t="shared" si="66"/>
        <v>604.32500788055199</v>
      </c>
      <c r="I57" s="87">
        <f t="shared" si="66"/>
        <v>610.60867595779541</v>
      </c>
      <c r="J57" s="87">
        <f t="shared" si="66"/>
        <v>535.48050188707555</v>
      </c>
      <c r="K57" s="87">
        <f t="shared" ref="K57:V57" si="67">IF(K11=0,0,K11/K22)</f>
        <v>606.65254811299428</v>
      </c>
      <c r="L57" s="87">
        <f t="shared" si="67"/>
        <v>630.84000092901761</v>
      </c>
      <c r="M57" s="87">
        <f t="shared" si="67"/>
        <v>644.13045764577896</v>
      </c>
      <c r="N57" s="87">
        <f t="shared" si="67"/>
        <v>627.66427761472289</v>
      </c>
      <c r="O57" s="87">
        <f t="shared" si="67"/>
        <v>638.48152713974196</v>
      </c>
      <c r="P57" s="87">
        <f t="shared" si="67"/>
        <v>656.40040979907451</v>
      </c>
      <c r="Q57" s="87">
        <f t="shared" si="67"/>
        <v>650.84912111009533</v>
      </c>
      <c r="R57" s="87">
        <f t="shared" si="67"/>
        <v>638.92043618643334</v>
      </c>
      <c r="S57" s="87">
        <f t="shared" si="67"/>
        <v>672.00312623835362</v>
      </c>
      <c r="T57" s="87">
        <f t="shared" si="67"/>
        <v>747.84484505924559</v>
      </c>
      <c r="U57" s="87">
        <f t="shared" si="67"/>
        <v>776.31643855840412</v>
      </c>
      <c r="V57" s="87">
        <f t="shared" si="67"/>
        <v>713.7769756136928</v>
      </c>
      <c r="W57" s="87">
        <f t="shared" ref="W57" si="68">IF(W11=0,0,W11/W22)</f>
        <v>708.5966227455425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710.33317011857901</v>
      </c>
      <c r="C58" s="88">
        <f t="shared" si="69"/>
        <v>698.22276917893839</v>
      </c>
      <c r="D58" s="88">
        <f t="shared" si="69"/>
        <v>750.50691378751196</v>
      </c>
      <c r="E58" s="88">
        <f t="shared" si="69"/>
        <v>728.47924967054792</v>
      </c>
      <c r="F58" s="88">
        <f t="shared" si="69"/>
        <v>457.62997562543563</v>
      </c>
      <c r="G58" s="88">
        <f t="shared" si="69"/>
        <v>461.18508180227531</v>
      </c>
      <c r="H58" s="88">
        <f t="shared" si="69"/>
        <v>477.72849024297892</v>
      </c>
      <c r="I58" s="88">
        <f t="shared" si="69"/>
        <v>444.40695725578337</v>
      </c>
      <c r="J58" s="88">
        <f t="shared" si="69"/>
        <v>507.18481625673485</v>
      </c>
      <c r="K58" s="88">
        <f t="shared" ref="K58:V58" si="70">IF(K12=0,0,K12/K23)</f>
        <v>478.78784590854178</v>
      </c>
      <c r="L58" s="88">
        <f t="shared" si="70"/>
        <v>543.35460277346465</v>
      </c>
      <c r="M58" s="88">
        <f t="shared" si="70"/>
        <v>518.28612613025302</v>
      </c>
      <c r="N58" s="88">
        <f t="shared" si="70"/>
        <v>581.44402058195556</v>
      </c>
      <c r="O58" s="88">
        <f t="shared" si="70"/>
        <v>602.37509024636734</v>
      </c>
      <c r="P58" s="88">
        <f t="shared" si="70"/>
        <v>548.89362445171298</v>
      </c>
      <c r="Q58" s="88">
        <f t="shared" si="70"/>
        <v>532.51861339628135</v>
      </c>
      <c r="R58" s="88">
        <f t="shared" si="70"/>
        <v>548.64672766060266</v>
      </c>
      <c r="S58" s="88">
        <f t="shared" si="70"/>
        <v>557.95587943365661</v>
      </c>
      <c r="T58" s="88">
        <f t="shared" si="70"/>
        <v>577.90635118501166</v>
      </c>
      <c r="U58" s="88">
        <f t="shared" si="70"/>
        <v>534.13323278463986</v>
      </c>
      <c r="V58" s="88">
        <f t="shared" si="70"/>
        <v>487.14900945269699</v>
      </c>
      <c r="W58" s="88">
        <f t="shared" ref="W58" si="71">IF(W12=0,0,W12/W23)</f>
        <v>499.36836128220153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381.30316340247282</v>
      </c>
      <c r="C61" s="29">
        <f t="shared" ref="C61" si="73">IF(C26=0,0,(C62*C27+C64*C29+C65*C30+C66*C31)/(C27+C29+C30+C31))</f>
        <v>382.16221551884843</v>
      </c>
      <c r="D61" s="29">
        <f t="shared" ref="D61" si="74">IF(D26=0,0,(D62*D27+D64*D29+D65*D30+D66*D31)/(D27+D29+D30+D31))</f>
        <v>382.77271885411142</v>
      </c>
      <c r="E61" s="29">
        <f t="shared" ref="E61" si="75">IF(E26=0,0,(E62*E27+E64*E29+E65*E30+E66*E31)/(E27+E29+E30+E31))</f>
        <v>383.00803685839497</v>
      </c>
      <c r="F61" s="29">
        <f t="shared" ref="F61" si="76">IF(F26=0,0,(F62*F27+F64*F29+F65*F30+F66*F31)/(F27+F29+F30+F31))</f>
        <v>378.46685840938352</v>
      </c>
      <c r="G61" s="29">
        <f t="shared" ref="G61" si="77">IF(G26=0,0,(G62*G27+G64*G29+G65*G30+G66*G31)/(G27+G29+G30+G31))</f>
        <v>375.94720468803257</v>
      </c>
      <c r="H61" s="29">
        <f t="shared" ref="H61" si="78">IF(H26=0,0,(H62*H27+H64*H29+H65*H30+H66*H31)/(H27+H29+H30+H31))</f>
        <v>375.69490586425394</v>
      </c>
      <c r="I61" s="29">
        <f t="shared" ref="I61" si="79">IF(I26=0,0,(I62*I27+I64*I29+I65*I30+I66*I31)/(I27+I29+I30+I31))</f>
        <v>376.14005458355143</v>
      </c>
      <c r="J61" s="29">
        <f t="shared" ref="J61" si="80">IF(J26=0,0,(J62*J27+J64*J29+J65*J30+J66*J31)/(J27+J29+J30+J31))</f>
        <v>378.13817116627104</v>
      </c>
      <c r="K61" s="29">
        <f t="shared" ref="K61" si="81">IF(K26=0,0,(K62*K27+K64*K29+K65*K30+K66*K31)/(K27+K29+K30+K31))</f>
        <v>378.18752281439112</v>
      </c>
      <c r="L61" s="29">
        <f t="shared" ref="L61" si="82">IF(L26=0,0,(L62*L27+L64*L29+L65*L30+L66*L31)/(L27+L29+L30+L31))</f>
        <v>378.17380317573429</v>
      </c>
      <c r="M61" s="29">
        <f t="shared" ref="M61" si="83">IF(M26=0,0,(M62*M27+M64*M29+M65*M30+M66*M31)/(M27+M29+M30+M31))</f>
        <v>377.2137696041047</v>
      </c>
      <c r="N61" s="29">
        <f t="shared" ref="N61" si="84">IF(N26=0,0,(N62*N27+N64*N29+N65*N30+N66*N31)/(N27+N29+N30+N31))</f>
        <v>377.99825556911969</v>
      </c>
      <c r="O61" s="29">
        <f t="shared" ref="O61" si="85">IF(O26=0,0,(O62*O27+O64*O29+O65*O30+O66*O31)/(O27+O29+O30+O31))</f>
        <v>377.46403256720049</v>
      </c>
      <c r="P61" s="29">
        <f t="shared" ref="P61" si="86">IF(P26=0,0,(P62*P27+P64*P29+P65*P30+P66*P31)/(P27+P29+P30+P31))</f>
        <v>376.75170708476685</v>
      </c>
      <c r="Q61" s="29">
        <f t="shared" ref="Q61" si="87">IF(Q26=0,0,(Q62*Q27+Q64*Q29+Q65*Q30+Q66*Q31)/(Q27+Q29+Q30+Q31))</f>
        <v>376.4232332910525</v>
      </c>
      <c r="R61" s="29">
        <f t="shared" ref="R61" si="88">IF(R26=0,0,(R62*R27+R64*R29+R65*R30+R66*R31)/(R27+R29+R30+R31))</f>
        <v>377.79406941192991</v>
      </c>
      <c r="S61" s="29">
        <f t="shared" ref="S61" si="89">IF(S26=0,0,(S62*S27+S64*S29+S65*S30+S66*S31)/(S27+S29+S30+S31))</f>
        <v>377.03944790755736</v>
      </c>
      <c r="T61" s="29">
        <f t="shared" ref="T61" si="90">IF(T26=0,0,(T62*T27+T64*T29+T65*T30+T66*T31)/(T27+T29+T30+T31))</f>
        <v>375.6835454181554</v>
      </c>
      <c r="U61" s="29">
        <f t="shared" ref="U61" si="91">IF(U26=0,0,(U62*U27+U64*U29+U65*U30+U66*U31)/(U27+U29+U30+U31))</f>
        <v>376.11675404459305</v>
      </c>
      <c r="V61" s="29">
        <f t="shared" ref="V61" si="92">IF(V26=0,0,(V62*V27+V64*V29+V65*V30+V66*V31)/(V27+V29+V30+V31))</f>
        <v>375.76415205877828</v>
      </c>
      <c r="W61" s="29">
        <f t="shared" ref="W61" si="93">IF(W26=0,0,(W62*W27+W64*W29+W65*W30+W66*W31)/(W27+W29+W30+W31))</f>
        <v>375.08634473580662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319.99999999999994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319.99999999999994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2100.0000000000005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2100.0000000000005</v>
      </c>
      <c r="U67" s="29">
        <f t="shared" ref="U67" si="135">IF(U32=0,0,(U68*U33+U69*U34)/(U33+U34))</f>
        <v>2100</v>
      </c>
      <c r="V67" s="29">
        <f t="shared" ref="V67" si="136">IF(V32=0,0,(V68*V33+V69*V34)/(V33+V34))</f>
        <v>2099.9999999999995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0.28576354373193746</v>
      </c>
      <c r="C72" s="30">
        <f t="shared" ref="C72:J72" si="138">IF(C50=0,0,C50/C61)</f>
        <v>0.2856325817661402</v>
      </c>
      <c r="D72" s="30">
        <f t="shared" si="138"/>
        <v>0.27189020169344208</v>
      </c>
      <c r="E72" s="30">
        <f t="shared" si="138"/>
        <v>0.26080309109042321</v>
      </c>
      <c r="F72" s="30">
        <f t="shared" si="138"/>
        <v>0.23246661264339732</v>
      </c>
      <c r="G72" s="30">
        <f t="shared" si="138"/>
        <v>0.22626364201388396</v>
      </c>
      <c r="H72" s="30">
        <f t="shared" si="138"/>
        <v>0.22703189278646285</v>
      </c>
      <c r="I72" s="30">
        <f t="shared" si="138"/>
        <v>0.22939571792087549</v>
      </c>
      <c r="J72" s="30">
        <f t="shared" si="138"/>
        <v>0.21574147733150406</v>
      </c>
      <c r="K72" s="30">
        <f t="shared" ref="K72:V72" si="139">IF(K50=0,0,K50/K61)</f>
        <v>0.20921451359640403</v>
      </c>
      <c r="L72" s="30">
        <f t="shared" si="139"/>
        <v>0.21227334368298459</v>
      </c>
      <c r="M72" s="30">
        <f t="shared" si="139"/>
        <v>0.21369924192690154</v>
      </c>
      <c r="N72" s="30">
        <f t="shared" si="139"/>
        <v>0.21921529165547626</v>
      </c>
      <c r="O72" s="30">
        <f t="shared" si="139"/>
        <v>0.22236028335473421</v>
      </c>
      <c r="P72" s="30">
        <f t="shared" si="139"/>
        <v>0.22571184640685854</v>
      </c>
      <c r="Q72" s="30">
        <f t="shared" si="139"/>
        <v>0.22968127739529134</v>
      </c>
      <c r="R72" s="30">
        <f t="shared" si="139"/>
        <v>0.23461029027871033</v>
      </c>
      <c r="S72" s="30">
        <f t="shared" si="139"/>
        <v>0.23725412867389045</v>
      </c>
      <c r="T72" s="30">
        <f t="shared" si="139"/>
        <v>0.24385027205929374</v>
      </c>
      <c r="U72" s="30">
        <f t="shared" si="139"/>
        <v>0.25347246000221663</v>
      </c>
      <c r="V72" s="30">
        <f t="shared" si="139"/>
        <v>0.13731960782554614</v>
      </c>
      <c r="W72" s="30">
        <f t="shared" ref="W72" si="140">IF(W50=0,0,W50/W61)</f>
        <v>0.13516506405112044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0.20248686726159068</v>
      </c>
      <c r="C73" s="118">
        <f t="shared" si="141"/>
        <v>0.20118661666097853</v>
      </c>
      <c r="D73" s="118">
        <f t="shared" si="141"/>
        <v>0.19928605432982185</v>
      </c>
      <c r="E73" s="118">
        <f t="shared" si="141"/>
        <v>0.19394124446052097</v>
      </c>
      <c r="F73" s="118">
        <f t="shared" si="141"/>
        <v>0.18843821197563526</v>
      </c>
      <c r="G73" s="118">
        <f t="shared" si="141"/>
        <v>0.18373585982508961</v>
      </c>
      <c r="H73" s="118">
        <f t="shared" si="141"/>
        <v>0.18448662093847054</v>
      </c>
      <c r="I73" s="118">
        <f t="shared" si="141"/>
        <v>0.18342930408627986</v>
      </c>
      <c r="J73" s="118">
        <f t="shared" si="141"/>
        <v>0.18128729167923832</v>
      </c>
      <c r="K73" s="118">
        <f t="shared" ref="K73:V73" si="142">IF(K51=0,0,K51/K62)</f>
        <v>0.17776029968562479</v>
      </c>
      <c r="L73" s="118">
        <f t="shared" si="142"/>
        <v>0.17949348788829422</v>
      </c>
      <c r="M73" s="118">
        <f t="shared" si="142"/>
        <v>0.18046613816567803</v>
      </c>
      <c r="N73" s="118">
        <f t="shared" si="142"/>
        <v>0.18282538329862588</v>
      </c>
      <c r="O73" s="118">
        <f t="shared" si="142"/>
        <v>0.18441817087777462</v>
      </c>
      <c r="P73" s="118">
        <f t="shared" si="142"/>
        <v>0.18570668228120335</v>
      </c>
      <c r="Q73" s="118">
        <f t="shared" si="142"/>
        <v>0.18858182021774425</v>
      </c>
      <c r="R73" s="118">
        <f t="shared" si="142"/>
        <v>0.19086544709006742</v>
      </c>
      <c r="S73" s="118">
        <f t="shared" si="142"/>
        <v>0.19291550401039206</v>
      </c>
      <c r="T73" s="118">
        <f t="shared" si="142"/>
        <v>0.19578956185685814</v>
      </c>
      <c r="U73" s="118">
        <f t="shared" si="142"/>
        <v>0.19856308804378048</v>
      </c>
      <c r="V73" s="118">
        <f t="shared" si="142"/>
        <v>7.8263280369414268E-2</v>
      </c>
      <c r="W73" s="118">
        <f t="shared" ref="W73" si="143">IF(W51=0,0,W51/W62)</f>
        <v>7.495670451013188E-2</v>
      </c>
      <c r="DA73" s="203"/>
    </row>
    <row r="74" spans="1:105" ht="11.45" customHeight="1" x14ac:dyDescent="0.25">
      <c r="A74" s="109" t="s">
        <v>24</v>
      </c>
      <c r="B74" s="119">
        <f t="shared" si="141"/>
        <v>0.55065555460641535</v>
      </c>
      <c r="C74" s="119">
        <f t="shared" si="141"/>
        <v>0.57018786024944146</v>
      </c>
      <c r="D74" s="119">
        <f t="shared" si="141"/>
        <v>0.52862149867135089</v>
      </c>
      <c r="E74" s="119">
        <f t="shared" si="141"/>
        <v>0.50176704494144175</v>
      </c>
      <c r="F74" s="119">
        <f t="shared" si="141"/>
        <v>0.35343025214736201</v>
      </c>
      <c r="G74" s="119">
        <f t="shared" si="141"/>
        <v>0.32779674668447012</v>
      </c>
      <c r="H74" s="119">
        <f t="shared" si="141"/>
        <v>0.32569312365726205</v>
      </c>
      <c r="I74" s="119">
        <f t="shared" si="141"/>
        <v>0.3318330227760069</v>
      </c>
      <c r="J74" s="119">
        <f t="shared" si="141"/>
        <v>0.30400872685671032</v>
      </c>
      <c r="K74" s="119">
        <f t="shared" ref="K74:V74" si="144">IF(K52=0,0,K52/K63)</f>
        <v>0.29101629469686491</v>
      </c>
      <c r="L74" s="119">
        <f t="shared" si="144"/>
        <v>0.29557772571049351</v>
      </c>
      <c r="M74" s="119">
        <f t="shared" si="144"/>
        <v>0.29340548673012845</v>
      </c>
      <c r="N74" s="119">
        <f t="shared" si="144"/>
        <v>0.31096635428226949</v>
      </c>
      <c r="O74" s="119">
        <f t="shared" si="144"/>
        <v>0.31595880579461183</v>
      </c>
      <c r="P74" s="119">
        <f t="shared" si="144"/>
        <v>0.32170106884452898</v>
      </c>
      <c r="Q74" s="119">
        <f t="shared" si="144"/>
        <v>0.31592650958183227</v>
      </c>
      <c r="R74" s="119">
        <f t="shared" si="144"/>
        <v>0.33251579643575163</v>
      </c>
      <c r="S74" s="119">
        <f t="shared" si="144"/>
        <v>0.33160362540867844</v>
      </c>
      <c r="T74" s="119">
        <f t="shared" si="144"/>
        <v>0.3389974435289077</v>
      </c>
      <c r="U74" s="119">
        <f t="shared" si="144"/>
        <v>0.36114158593201218</v>
      </c>
      <c r="V74" s="119">
        <f t="shared" si="144"/>
        <v>0.24677159926461223</v>
      </c>
      <c r="W74" s="119">
        <f t="shared" ref="W74" si="145">IF(W52=0,0,W52/W63)</f>
        <v>0.24332321861559736</v>
      </c>
      <c r="DA74" s="176"/>
    </row>
    <row r="75" spans="1:105" ht="11.45" customHeight="1" x14ac:dyDescent="0.25">
      <c r="A75" s="111" t="s">
        <v>92</v>
      </c>
      <c r="B75" s="120">
        <f t="shared" si="141"/>
        <v>0.43428771550496964</v>
      </c>
      <c r="C75" s="120">
        <f t="shared" si="141"/>
        <v>0.4463635003107343</v>
      </c>
      <c r="D75" s="120">
        <f t="shared" si="141"/>
        <v>0.40475189014458196</v>
      </c>
      <c r="E75" s="120">
        <f t="shared" si="141"/>
        <v>0.38180139024672971</v>
      </c>
      <c r="F75" s="120">
        <f t="shared" si="141"/>
        <v>0.36685024529776367</v>
      </c>
      <c r="G75" s="120">
        <f t="shared" si="141"/>
        <v>0.35477205532157408</v>
      </c>
      <c r="H75" s="120">
        <f t="shared" si="141"/>
        <v>0.33000012833315007</v>
      </c>
      <c r="I75" s="120">
        <f t="shared" si="141"/>
        <v>0.3152592891437061</v>
      </c>
      <c r="J75" s="120">
        <f t="shared" si="141"/>
        <v>0.27271969128206558</v>
      </c>
      <c r="K75" s="120">
        <f t="shared" ref="K75:V75" si="146">IF(K53=0,0,K53/K64)</f>
        <v>0.27585270522022076</v>
      </c>
      <c r="L75" s="120">
        <f t="shared" si="146"/>
        <v>0.28013554982258959</v>
      </c>
      <c r="M75" s="120">
        <f t="shared" si="146"/>
        <v>0.27794180683673197</v>
      </c>
      <c r="N75" s="120">
        <f t="shared" si="146"/>
        <v>0.28625679903584439</v>
      </c>
      <c r="O75" s="120">
        <f t="shared" si="146"/>
        <v>0.29891380179284921</v>
      </c>
      <c r="P75" s="120">
        <f t="shared" si="146"/>
        <v>0.30433754354766529</v>
      </c>
      <c r="Q75" s="120">
        <f t="shared" si="146"/>
        <v>0.29848850106937547</v>
      </c>
      <c r="R75" s="120">
        <f t="shared" si="146"/>
        <v>0.31633177394088818</v>
      </c>
      <c r="S75" s="120">
        <f t="shared" si="146"/>
        <v>0.32020954357465264</v>
      </c>
      <c r="T75" s="120">
        <f t="shared" si="146"/>
        <v>0.33861816627109065</v>
      </c>
      <c r="U75" s="120">
        <f t="shared" si="146"/>
        <v>0.36756090508097833</v>
      </c>
      <c r="V75" s="120">
        <f t="shared" si="146"/>
        <v>0.26572933597420584</v>
      </c>
      <c r="W75" s="120">
        <f t="shared" ref="W75" si="147">IF(W53=0,0,W53/W64)</f>
        <v>0.27544287523970074</v>
      </c>
      <c r="DA75" s="171"/>
    </row>
    <row r="76" spans="1:105" ht="11.45" customHeight="1" x14ac:dyDescent="0.25">
      <c r="A76" s="111" t="s">
        <v>93</v>
      </c>
      <c r="B76" s="120">
        <f t="shared" si="141"/>
        <v>0.81272104103303033</v>
      </c>
      <c r="C76" s="120">
        <f t="shared" si="141"/>
        <v>0.8561198145037674</v>
      </c>
      <c r="D76" s="120">
        <f t="shared" si="141"/>
        <v>0.8304737470488639</v>
      </c>
      <c r="E76" s="120">
        <f t="shared" si="141"/>
        <v>0.77742625954125988</v>
      </c>
      <c r="F76" s="120">
        <f t="shared" si="141"/>
        <v>0.33972990923641322</v>
      </c>
      <c r="G76" s="120">
        <f t="shared" si="141"/>
        <v>0.30281113565740891</v>
      </c>
      <c r="H76" s="120">
        <f t="shared" si="141"/>
        <v>0.32135506128959485</v>
      </c>
      <c r="I76" s="120">
        <f t="shared" si="141"/>
        <v>0.35028924754268587</v>
      </c>
      <c r="J76" s="120">
        <f t="shared" si="141"/>
        <v>0.34111382368880294</v>
      </c>
      <c r="K76" s="120">
        <f t="shared" ref="K76:V76" si="148">IF(K54=0,0,K54/K65)</f>
        <v>0.30650322943425973</v>
      </c>
      <c r="L76" s="120">
        <f t="shared" si="148"/>
        <v>0.31126289272125718</v>
      </c>
      <c r="M76" s="120">
        <f t="shared" si="148"/>
        <v>0.30882397593805883</v>
      </c>
      <c r="N76" s="120">
        <f t="shared" si="148"/>
        <v>0.33594194520248633</v>
      </c>
      <c r="O76" s="120">
        <f t="shared" si="148"/>
        <v>0.33212567572653823</v>
      </c>
      <c r="P76" s="120">
        <f t="shared" si="148"/>
        <v>0.33815311592335834</v>
      </c>
      <c r="Q76" s="120">
        <f t="shared" si="148"/>
        <v>0.33165448771845812</v>
      </c>
      <c r="R76" s="120">
        <f t="shared" si="148"/>
        <v>0.34705299738207818</v>
      </c>
      <c r="S76" s="120">
        <f t="shared" si="148"/>
        <v>0.34150284710538348</v>
      </c>
      <c r="T76" s="120">
        <f t="shared" si="148"/>
        <v>0.33929895388196024</v>
      </c>
      <c r="U76" s="120">
        <f t="shared" si="148"/>
        <v>0.35621357858272379</v>
      </c>
      <c r="V76" s="120">
        <f t="shared" si="148"/>
        <v>0.23283182998604146</v>
      </c>
      <c r="W76" s="120">
        <f t="shared" ref="W76" si="149">IF(W54=0,0,W54/W65)</f>
        <v>0.22144396049832102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5.5514433752775726E-2</v>
      </c>
      <c r="G77" s="121">
        <f t="shared" si="141"/>
        <v>5.5514433752775726E-2</v>
      </c>
      <c r="H77" s="121">
        <f t="shared" si="141"/>
        <v>0.13844196662426103</v>
      </c>
      <c r="I77" s="121">
        <f t="shared" si="141"/>
        <v>0.25846898372195337</v>
      </c>
      <c r="J77" s="121">
        <f t="shared" si="141"/>
        <v>0.22686513629842181</v>
      </c>
      <c r="K77" s="121">
        <f t="shared" ref="K77:V77" si="150">IF(K55=0,0,K55/K66)</f>
        <v>0.20825948245303083</v>
      </c>
      <c r="L77" s="121">
        <f t="shared" si="150"/>
        <v>0.24318018664752336</v>
      </c>
      <c r="M77" s="121">
        <f t="shared" si="150"/>
        <v>0.24017393649295485</v>
      </c>
      <c r="N77" s="121">
        <f t="shared" si="150"/>
        <v>0.24329132932880648</v>
      </c>
      <c r="O77" s="121">
        <f t="shared" si="150"/>
        <v>0.23064101673727341</v>
      </c>
      <c r="P77" s="121">
        <f t="shared" si="150"/>
        <v>0.1892193532818533</v>
      </c>
      <c r="Q77" s="121">
        <f t="shared" si="150"/>
        <v>0.30840694486749926</v>
      </c>
      <c r="R77" s="121">
        <f t="shared" si="150"/>
        <v>0.29691009324167966</v>
      </c>
      <c r="S77" s="121">
        <f t="shared" si="150"/>
        <v>0.29691119691119688</v>
      </c>
      <c r="T77" s="121">
        <f t="shared" si="150"/>
        <v>0.29693343305908748</v>
      </c>
      <c r="U77" s="121">
        <f t="shared" si="150"/>
        <v>0.37132943717459799</v>
      </c>
      <c r="V77" s="121">
        <f t="shared" si="150"/>
        <v>0.23299911415179067</v>
      </c>
      <c r="W77" s="121">
        <f t="shared" ref="W77" si="151">IF(W55=0,0,W55/W66)</f>
        <v>0.23023933079705594</v>
      </c>
      <c r="DA77" s="204"/>
    </row>
    <row r="78" spans="1:105" ht="11.45" customHeight="1" x14ac:dyDescent="0.25">
      <c r="A78" s="27" t="s">
        <v>34</v>
      </c>
      <c r="B78" s="30">
        <f t="shared" si="141"/>
        <v>0.33508244810638693</v>
      </c>
      <c r="C78" s="30">
        <f t="shared" si="141"/>
        <v>0.33020957648538701</v>
      </c>
      <c r="D78" s="30">
        <f t="shared" si="141"/>
        <v>0.34475963483247951</v>
      </c>
      <c r="E78" s="30">
        <f t="shared" si="141"/>
        <v>0.33985576126580158</v>
      </c>
      <c r="F78" s="30">
        <f t="shared" si="141"/>
        <v>0.23369311482975333</v>
      </c>
      <c r="G78" s="30">
        <f t="shared" si="141"/>
        <v>0.23367699920231821</v>
      </c>
      <c r="H78" s="30">
        <f t="shared" si="141"/>
        <v>0.23920457004423956</v>
      </c>
      <c r="I78" s="30">
        <f t="shared" si="141"/>
        <v>0.22559683835482719</v>
      </c>
      <c r="J78" s="30">
        <f t="shared" si="141"/>
        <v>0.24464152261739039</v>
      </c>
      <c r="K78" s="30">
        <f t="shared" ref="K78:V78" si="152">IF(K56=0,0,K56/K67)</f>
        <v>0.24277232899246573</v>
      </c>
      <c r="L78" s="30">
        <f t="shared" si="152"/>
        <v>0.26882946491515852</v>
      </c>
      <c r="M78" s="30">
        <f t="shared" si="152"/>
        <v>0.25938306495179003</v>
      </c>
      <c r="N78" s="30">
        <f t="shared" si="152"/>
        <v>0.28093398810264136</v>
      </c>
      <c r="O78" s="30">
        <f t="shared" si="152"/>
        <v>0.29013097674143767</v>
      </c>
      <c r="P78" s="30">
        <f t="shared" si="152"/>
        <v>0.27251240694883044</v>
      </c>
      <c r="Q78" s="30">
        <f t="shared" si="152"/>
        <v>0.26477835108320713</v>
      </c>
      <c r="R78" s="30">
        <f t="shared" si="152"/>
        <v>0.27019376932279654</v>
      </c>
      <c r="S78" s="30">
        <f t="shared" si="152"/>
        <v>0.27611334542641464</v>
      </c>
      <c r="T78" s="30">
        <f t="shared" si="152"/>
        <v>0.28929693725153305</v>
      </c>
      <c r="U78" s="30">
        <f t="shared" si="152"/>
        <v>0.27261903386309744</v>
      </c>
      <c r="V78" s="30">
        <f t="shared" si="152"/>
        <v>0.24924316977218372</v>
      </c>
      <c r="W78" s="30">
        <f t="shared" ref="W78" si="153">IF(W56=0,0,W56/W67)</f>
        <v>0.25351869836116664</v>
      </c>
      <c r="DA78" s="173"/>
    </row>
    <row r="79" spans="1:105" ht="11.45" customHeight="1" x14ac:dyDescent="0.25">
      <c r="A79" s="83" t="s">
        <v>92</v>
      </c>
      <c r="B79" s="120">
        <f t="shared" si="141"/>
        <v>0.32759138916047142</v>
      </c>
      <c r="C79" s="120">
        <f t="shared" si="141"/>
        <v>0.32320259922874328</v>
      </c>
      <c r="D79" s="120">
        <f t="shared" si="141"/>
        <v>0.31053146997320935</v>
      </c>
      <c r="E79" s="120">
        <f t="shared" si="141"/>
        <v>0.31719142652080479</v>
      </c>
      <c r="F79" s="120">
        <f t="shared" si="141"/>
        <v>0.31529787208993459</v>
      </c>
      <c r="G79" s="120">
        <f t="shared" si="141"/>
        <v>0.30641395921421999</v>
      </c>
      <c r="H79" s="120">
        <f t="shared" si="141"/>
        <v>0.28777381327645335</v>
      </c>
      <c r="I79" s="120">
        <f t="shared" si="141"/>
        <v>0.29076603617037877</v>
      </c>
      <c r="J79" s="120">
        <f t="shared" si="141"/>
        <v>0.2549907151843217</v>
      </c>
      <c r="K79" s="120">
        <f t="shared" ref="K79:V79" si="154">IF(K57=0,0,K57/K68)</f>
        <v>0.2888821657680925</v>
      </c>
      <c r="L79" s="120">
        <f t="shared" si="154"/>
        <v>0.30040000044238935</v>
      </c>
      <c r="M79" s="120">
        <f t="shared" si="154"/>
        <v>0.30672878935513281</v>
      </c>
      <c r="N79" s="120">
        <f t="shared" si="154"/>
        <v>0.29888775124510614</v>
      </c>
      <c r="O79" s="120">
        <f t="shared" si="154"/>
        <v>0.30403882244749619</v>
      </c>
      <c r="P79" s="120">
        <f t="shared" si="154"/>
        <v>0.312571623713845</v>
      </c>
      <c r="Q79" s="120">
        <f t="shared" si="154"/>
        <v>0.30992815290956921</v>
      </c>
      <c r="R79" s="120">
        <f t="shared" si="154"/>
        <v>0.30424782675544443</v>
      </c>
      <c r="S79" s="120">
        <f t="shared" si="154"/>
        <v>0.32000148868493028</v>
      </c>
      <c r="T79" s="120">
        <f t="shared" si="154"/>
        <v>0.35611659288535502</v>
      </c>
      <c r="U79" s="120">
        <f t="shared" si="154"/>
        <v>0.36967449455162099</v>
      </c>
      <c r="V79" s="120">
        <f t="shared" si="154"/>
        <v>0.33989379791128227</v>
      </c>
      <c r="W79" s="120">
        <f t="shared" ref="W79" si="155">IF(W57=0,0,W57/W68)</f>
        <v>0.33742696321216309</v>
      </c>
      <c r="DA79" s="171"/>
    </row>
    <row r="80" spans="1:105" ht="11.45" customHeight="1" x14ac:dyDescent="0.25">
      <c r="A80" s="85" t="s">
        <v>93</v>
      </c>
      <c r="B80" s="122">
        <f t="shared" si="141"/>
        <v>0.33825389053265664</v>
      </c>
      <c r="C80" s="122">
        <f t="shared" si="141"/>
        <v>0.3324870329423516</v>
      </c>
      <c r="D80" s="122">
        <f t="shared" si="141"/>
        <v>0.35738424466072</v>
      </c>
      <c r="E80" s="122">
        <f t="shared" si="141"/>
        <v>0.34689488079549902</v>
      </c>
      <c r="F80" s="122">
        <f t="shared" si="141"/>
        <v>0.21791903601211221</v>
      </c>
      <c r="G80" s="122">
        <f t="shared" si="141"/>
        <v>0.21961194371536918</v>
      </c>
      <c r="H80" s="122">
        <f t="shared" si="141"/>
        <v>0.22748975725856138</v>
      </c>
      <c r="I80" s="122">
        <f t="shared" si="141"/>
        <v>0.21162236059799208</v>
      </c>
      <c r="J80" s="122">
        <f t="shared" si="141"/>
        <v>0.24151657916987374</v>
      </c>
      <c r="K80" s="122">
        <f t="shared" ref="K80:V80" si="156">IF(K58=0,0,K58/K69)</f>
        <v>0.22799421233740086</v>
      </c>
      <c r="L80" s="122">
        <f t="shared" si="156"/>
        <v>0.25874028703498314</v>
      </c>
      <c r="M80" s="122">
        <f t="shared" si="156"/>
        <v>0.2468029172048824</v>
      </c>
      <c r="N80" s="122">
        <f t="shared" si="156"/>
        <v>0.27687810503902643</v>
      </c>
      <c r="O80" s="122">
        <f t="shared" si="156"/>
        <v>0.28684528106969875</v>
      </c>
      <c r="P80" s="122">
        <f t="shared" si="156"/>
        <v>0.26137791640557761</v>
      </c>
      <c r="Q80" s="122">
        <f t="shared" si="156"/>
        <v>0.25358029209346733</v>
      </c>
      <c r="R80" s="122">
        <f t="shared" si="156"/>
        <v>0.26126034650504887</v>
      </c>
      <c r="S80" s="122">
        <f t="shared" si="156"/>
        <v>0.26569327592078884</v>
      </c>
      <c r="T80" s="122">
        <f t="shared" si="156"/>
        <v>0.27519350056429126</v>
      </c>
      <c r="U80" s="122">
        <f t="shared" si="156"/>
        <v>0.25434915846887612</v>
      </c>
      <c r="V80" s="122">
        <f t="shared" si="156"/>
        <v>0.23197571878699857</v>
      </c>
      <c r="W80" s="122">
        <f t="shared" ref="W80" si="157">IF(W58=0,0,W58/W69)</f>
        <v>0.23779445775342931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127025.32878793482</v>
      </c>
      <c r="C82" s="54">
        <f t="shared" si="158"/>
        <v>126091.56084691752</v>
      </c>
      <c r="D82" s="54">
        <f t="shared" si="158"/>
        <v>125018.92330143716</v>
      </c>
      <c r="E82" s="54">
        <f t="shared" si="158"/>
        <v>125034.20478575378</v>
      </c>
      <c r="F82" s="54">
        <f t="shared" si="158"/>
        <v>128428.48936930067</v>
      </c>
      <c r="G82" s="54">
        <f t="shared" si="158"/>
        <v>129729.29852834463</v>
      </c>
      <c r="H82" s="54">
        <f t="shared" si="158"/>
        <v>131159.04445488908</v>
      </c>
      <c r="I82" s="54">
        <f t="shared" si="158"/>
        <v>130711.17445154492</v>
      </c>
      <c r="J82" s="54">
        <f t="shared" si="158"/>
        <v>127497.50305176886</v>
      </c>
      <c r="K82" s="54">
        <f t="shared" ref="K82:V82" si="159">IF(K14=0,0,K14/K25*1000000)</f>
        <v>125557.8544495914</v>
      </c>
      <c r="L82" s="54">
        <f t="shared" si="159"/>
        <v>125931.8282933507</v>
      </c>
      <c r="M82" s="54">
        <f t="shared" si="159"/>
        <v>128457.73471443389</v>
      </c>
      <c r="N82" s="54">
        <f t="shared" si="159"/>
        <v>127316.14622921187</v>
      </c>
      <c r="O82" s="54">
        <f t="shared" si="159"/>
        <v>127323.71566239858</v>
      </c>
      <c r="P82" s="54">
        <f t="shared" si="159"/>
        <v>128603.57523184418</v>
      </c>
      <c r="Q82" s="54">
        <f t="shared" si="159"/>
        <v>129544.46781390517</v>
      </c>
      <c r="R82" s="54">
        <f t="shared" si="159"/>
        <v>128941.47181750162</v>
      </c>
      <c r="S82" s="54">
        <f t="shared" si="159"/>
        <v>129175.32452527489</v>
      </c>
      <c r="T82" s="54">
        <f t="shared" si="159"/>
        <v>129798.17058047313</v>
      </c>
      <c r="U82" s="54">
        <f t="shared" si="159"/>
        <v>129424.60366638713</v>
      </c>
      <c r="V82" s="54">
        <f t="shared" si="159"/>
        <v>122220.64216273998</v>
      </c>
      <c r="W82" s="54">
        <f t="shared" ref="W82" si="160">IF(W14=0,0,W14/W25*1000000)</f>
        <v>131291.01655162187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119348.41816272817</v>
      </c>
      <c r="C83" s="28">
        <f t="shared" si="161"/>
        <v>118918.8920180695</v>
      </c>
      <c r="D83" s="28">
        <f t="shared" si="161"/>
        <v>118613.64033064339</v>
      </c>
      <c r="E83" s="28">
        <f t="shared" si="161"/>
        <v>118495.981444342</v>
      </c>
      <c r="F83" s="28">
        <f t="shared" si="161"/>
        <v>120787.41586429847</v>
      </c>
      <c r="G83" s="28">
        <f t="shared" si="161"/>
        <v>122154.58829184283</v>
      </c>
      <c r="H83" s="28">
        <f t="shared" si="161"/>
        <v>123426.76219475491</v>
      </c>
      <c r="I83" s="28">
        <f t="shared" si="161"/>
        <v>122133.77671151857</v>
      </c>
      <c r="J83" s="28">
        <f t="shared" si="161"/>
        <v>122082.24819203142</v>
      </c>
      <c r="K83" s="28">
        <f t="shared" ref="K83:V83" si="162">IF(K15=0,0,K15/K26*1000000)</f>
        <v>122070.52121212726</v>
      </c>
      <c r="L83" s="28">
        <f t="shared" si="162"/>
        <v>122071.23028421158</v>
      </c>
      <c r="M83" s="28">
        <f t="shared" si="162"/>
        <v>122657.54470042523</v>
      </c>
      <c r="N83" s="28">
        <f t="shared" si="162"/>
        <v>122114.40749714259</v>
      </c>
      <c r="O83" s="28">
        <f t="shared" si="162"/>
        <v>122320.97233139456</v>
      </c>
      <c r="P83" s="28">
        <f t="shared" si="162"/>
        <v>122967.3882647861</v>
      </c>
      <c r="Q83" s="28">
        <f t="shared" si="162"/>
        <v>123654.87669193793</v>
      </c>
      <c r="R83" s="28">
        <f t="shared" si="162"/>
        <v>123345.02347637438</v>
      </c>
      <c r="S83" s="28">
        <f t="shared" si="162"/>
        <v>123854.19919910344</v>
      </c>
      <c r="T83" s="28">
        <f t="shared" si="162"/>
        <v>124585.61943116448</v>
      </c>
      <c r="U83" s="28">
        <f t="shared" si="162"/>
        <v>124052.36380193775</v>
      </c>
      <c r="V83" s="28">
        <f t="shared" si="162"/>
        <v>115701.58801040325</v>
      </c>
      <c r="W83" s="28">
        <f t="shared" ref="W83" si="163">IF(W15=0,0,W15/W26*1000000)</f>
        <v>124857.65595631445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109999.99988132229</v>
      </c>
      <c r="C84" s="108">
        <f t="shared" si="161"/>
        <v>109999.9999099431</v>
      </c>
      <c r="D84" s="108">
        <f t="shared" si="161"/>
        <v>109999.99992101488</v>
      </c>
      <c r="E84" s="108">
        <f t="shared" si="161"/>
        <v>109999.99991472464</v>
      </c>
      <c r="F84" s="108">
        <f t="shared" si="161"/>
        <v>109999.99999963376</v>
      </c>
      <c r="G84" s="108">
        <f t="shared" si="161"/>
        <v>109999.99993930724</v>
      </c>
      <c r="H84" s="108">
        <f t="shared" si="161"/>
        <v>109999.99993421708</v>
      </c>
      <c r="I84" s="108">
        <f t="shared" si="161"/>
        <v>109999.99994214613</v>
      </c>
      <c r="J84" s="108">
        <f t="shared" si="161"/>
        <v>109999.99991444957</v>
      </c>
      <c r="K84" s="108">
        <f t="shared" ref="K84:V84" si="164">IF(K16=0,0,K16/K27*1000000)</f>
        <v>109999.99999423469</v>
      </c>
      <c r="L84" s="108">
        <f t="shared" si="164"/>
        <v>109999.99995881354</v>
      </c>
      <c r="M84" s="108">
        <f t="shared" si="164"/>
        <v>109999.99997502039</v>
      </c>
      <c r="N84" s="108">
        <f t="shared" si="164"/>
        <v>109999.99994601315</v>
      </c>
      <c r="O84" s="108">
        <f t="shared" si="164"/>
        <v>109999.99994244328</v>
      </c>
      <c r="P84" s="108">
        <f t="shared" si="164"/>
        <v>109999.99999975771</v>
      </c>
      <c r="Q84" s="108">
        <f t="shared" si="164"/>
        <v>109999.99996792444</v>
      </c>
      <c r="R84" s="108">
        <f t="shared" si="164"/>
        <v>109999.99996021364</v>
      </c>
      <c r="S84" s="108">
        <f t="shared" si="164"/>
        <v>109999.99993031708</v>
      </c>
      <c r="T84" s="108">
        <f t="shared" si="164"/>
        <v>109999.99998055455</v>
      </c>
      <c r="U84" s="108">
        <f t="shared" si="164"/>
        <v>109999.99995508359</v>
      </c>
      <c r="V84" s="108">
        <f t="shared" si="164"/>
        <v>101654.42071720968</v>
      </c>
      <c r="W84" s="108">
        <f t="shared" ref="W84" si="165">IF(W16=0,0,W16/W27*1000000)</f>
        <v>109999.99993972135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149999.99980705237</v>
      </c>
      <c r="C85" s="110">
        <f t="shared" si="161"/>
        <v>149999.99931592596</v>
      </c>
      <c r="D85" s="110">
        <f t="shared" si="161"/>
        <v>149999.99916260954</v>
      </c>
      <c r="E85" s="110">
        <f t="shared" si="161"/>
        <v>149999.99972082049</v>
      </c>
      <c r="F85" s="110">
        <f t="shared" si="161"/>
        <v>149999.99966510409</v>
      </c>
      <c r="G85" s="110">
        <f t="shared" si="161"/>
        <v>149999.99950993087</v>
      </c>
      <c r="H85" s="110">
        <f t="shared" si="161"/>
        <v>149999.99973610474</v>
      </c>
      <c r="I85" s="110">
        <f t="shared" si="161"/>
        <v>145671.55257114506</v>
      </c>
      <c r="J85" s="110">
        <f t="shared" si="161"/>
        <v>149999.99967932695</v>
      </c>
      <c r="K85" s="110">
        <f t="shared" ref="K85:V85" si="166">IF(K17=0,0,K17/K28*1000000)</f>
        <v>149999.99959740625</v>
      </c>
      <c r="L85" s="110">
        <f t="shared" si="166"/>
        <v>149999.99982675668</v>
      </c>
      <c r="M85" s="110">
        <f t="shared" si="166"/>
        <v>149999.99963802667</v>
      </c>
      <c r="N85" s="110">
        <f t="shared" si="166"/>
        <v>149999.99960386194</v>
      </c>
      <c r="O85" s="110">
        <f t="shared" si="166"/>
        <v>149999.99966231317</v>
      </c>
      <c r="P85" s="110">
        <f t="shared" si="166"/>
        <v>149999.99960600509</v>
      </c>
      <c r="Q85" s="110">
        <f t="shared" si="166"/>
        <v>149999.99957735543</v>
      </c>
      <c r="R85" s="110">
        <f t="shared" si="166"/>
        <v>149999.99970003931</v>
      </c>
      <c r="S85" s="110">
        <f t="shared" si="166"/>
        <v>149999.99977758309</v>
      </c>
      <c r="T85" s="110">
        <f t="shared" si="166"/>
        <v>149999.99964313779</v>
      </c>
      <c r="U85" s="110">
        <f t="shared" si="166"/>
        <v>149999.99959967204</v>
      </c>
      <c r="V85" s="110">
        <f t="shared" si="166"/>
        <v>140675.94779077295</v>
      </c>
      <c r="W85" s="110">
        <f t="shared" ref="W85" si="167">IF(W17=0,0,W17/W28*1000000)</f>
        <v>149999.99955121093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149999.99990147856</v>
      </c>
      <c r="C86" s="84">
        <f t="shared" si="161"/>
        <v>149999.999390454</v>
      </c>
      <c r="D86" s="84">
        <f t="shared" si="161"/>
        <v>149999.99953818339</v>
      </c>
      <c r="E86" s="84">
        <f t="shared" si="161"/>
        <v>149999.99984492714</v>
      </c>
      <c r="F86" s="84">
        <f t="shared" si="161"/>
        <v>149999.99976765978</v>
      </c>
      <c r="G86" s="84">
        <f t="shared" si="161"/>
        <v>149999.9994667352</v>
      </c>
      <c r="H86" s="84">
        <f t="shared" si="161"/>
        <v>149999.99995673774</v>
      </c>
      <c r="I86" s="84">
        <f t="shared" si="161"/>
        <v>149999.99987458723</v>
      </c>
      <c r="J86" s="84">
        <f t="shared" si="161"/>
        <v>149999.99993232664</v>
      </c>
      <c r="K86" s="84">
        <f t="shared" ref="K86:V86" si="168">IF(K18=0,0,K18/K29*1000000)</f>
        <v>149999.99956851837</v>
      </c>
      <c r="L86" s="84">
        <f t="shared" si="168"/>
        <v>149999.99974457113</v>
      </c>
      <c r="M86" s="84">
        <f t="shared" si="168"/>
        <v>149999.99989768621</v>
      </c>
      <c r="N86" s="84">
        <f t="shared" si="168"/>
        <v>149999.99947313446</v>
      </c>
      <c r="O86" s="84">
        <f t="shared" si="168"/>
        <v>149999.9997845132</v>
      </c>
      <c r="P86" s="84">
        <f t="shared" si="168"/>
        <v>149999.99976190706</v>
      </c>
      <c r="Q86" s="84">
        <f t="shared" si="168"/>
        <v>149999.99958748757</v>
      </c>
      <c r="R86" s="84">
        <f t="shared" si="168"/>
        <v>149999.99978409958</v>
      </c>
      <c r="S86" s="84">
        <f t="shared" si="168"/>
        <v>149999.99972116432</v>
      </c>
      <c r="T86" s="84">
        <f t="shared" si="168"/>
        <v>149999.99975262335</v>
      </c>
      <c r="U86" s="84">
        <f t="shared" si="168"/>
        <v>149999.99951689807</v>
      </c>
      <c r="V86" s="84">
        <f t="shared" si="168"/>
        <v>141498.56937340094</v>
      </c>
      <c r="W86" s="84">
        <f t="shared" ref="W86" si="169">IF(W18=0,0,W18/W29*1000000)</f>
        <v>149999.99931095197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149999.99959440049</v>
      </c>
      <c r="C87" s="84">
        <f t="shared" si="161"/>
        <v>149999.99914382774</v>
      </c>
      <c r="D87" s="84">
        <f t="shared" si="161"/>
        <v>149999.99824739061</v>
      </c>
      <c r="E87" s="84">
        <f t="shared" si="161"/>
        <v>149999.99943564599</v>
      </c>
      <c r="F87" s="84">
        <f t="shared" si="161"/>
        <v>149999.99956040594</v>
      </c>
      <c r="G87" s="84">
        <f t="shared" si="161"/>
        <v>149999.99954994049</v>
      </c>
      <c r="H87" s="84">
        <f t="shared" si="161"/>
        <v>149999.99951388079</v>
      </c>
      <c r="I87" s="84">
        <f t="shared" si="161"/>
        <v>141136.29351081199</v>
      </c>
      <c r="J87" s="84">
        <f t="shared" si="161"/>
        <v>149999.99937929926</v>
      </c>
      <c r="K87" s="84">
        <f t="shared" ref="K87:V87" si="170">IF(K19=0,0,K19/K30*1000000)</f>
        <v>149999.9996269102</v>
      </c>
      <c r="L87" s="84">
        <f t="shared" si="170"/>
        <v>149999.99991023549</v>
      </c>
      <c r="M87" s="84">
        <f t="shared" si="170"/>
        <v>149999.99937912592</v>
      </c>
      <c r="N87" s="84">
        <f t="shared" si="170"/>
        <v>149999.99973599688</v>
      </c>
      <c r="O87" s="84">
        <f t="shared" si="170"/>
        <v>149999.99954640871</v>
      </c>
      <c r="P87" s="84">
        <f t="shared" si="170"/>
        <v>149999.99945828703</v>
      </c>
      <c r="Q87" s="84">
        <f t="shared" si="170"/>
        <v>149999.99956821688</v>
      </c>
      <c r="R87" s="84">
        <f t="shared" si="170"/>
        <v>149999.99962453268</v>
      </c>
      <c r="S87" s="84">
        <f t="shared" si="170"/>
        <v>149999.99982659993</v>
      </c>
      <c r="T87" s="84">
        <f t="shared" si="170"/>
        <v>149999.9995561011</v>
      </c>
      <c r="U87" s="84">
        <f t="shared" si="170"/>
        <v>149999.99966321629</v>
      </c>
      <c r="V87" s="84">
        <f t="shared" si="170"/>
        <v>140077.14415589857</v>
      </c>
      <c r="W87" s="84">
        <f t="shared" ref="W87" si="171">IF(W19=0,0,W19/W30*1000000)</f>
        <v>149999.99971487047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449996.73577497358</v>
      </c>
      <c r="G88" s="113">
        <f t="shared" si="161"/>
        <v>449999.88341971935</v>
      </c>
      <c r="H88" s="113">
        <f t="shared" si="161"/>
        <v>449999.91749608639</v>
      </c>
      <c r="I88" s="113">
        <f t="shared" si="161"/>
        <v>449999.92080951686</v>
      </c>
      <c r="J88" s="113">
        <f t="shared" si="161"/>
        <v>394255.47709664155</v>
      </c>
      <c r="K88" s="113">
        <f t="shared" ref="K88:V88" si="172">IF(K20=0,0,K20/K31*1000000)</f>
        <v>398922.05914262054</v>
      </c>
      <c r="L88" s="113">
        <f t="shared" si="172"/>
        <v>393972.65394233976</v>
      </c>
      <c r="M88" s="113">
        <f t="shared" si="172"/>
        <v>419511.58477578801</v>
      </c>
      <c r="N88" s="113">
        <f t="shared" si="172"/>
        <v>393792.67557142052</v>
      </c>
      <c r="O88" s="113">
        <f t="shared" si="172"/>
        <v>377071.35173989995</v>
      </c>
      <c r="P88" s="113">
        <f t="shared" si="172"/>
        <v>449999.94717061426</v>
      </c>
      <c r="Q88" s="113">
        <f t="shared" si="172"/>
        <v>449999.97258605098</v>
      </c>
      <c r="R88" s="113">
        <f t="shared" si="172"/>
        <v>449999.99464030511</v>
      </c>
      <c r="S88" s="113">
        <f t="shared" si="172"/>
        <v>449999.9902702705</v>
      </c>
      <c r="T88" s="113">
        <f t="shared" si="172"/>
        <v>449999.9623036682</v>
      </c>
      <c r="U88" s="113">
        <f t="shared" si="172"/>
        <v>399270.84927574033</v>
      </c>
      <c r="V88" s="113">
        <f t="shared" si="172"/>
        <v>388201.87922317837</v>
      </c>
      <c r="W88" s="113">
        <f t="shared" ref="W88" si="173">IF(W20=0,0,W20/W31*1000000)</f>
        <v>400506.95991507318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199999.99764264611</v>
      </c>
      <c r="C89" s="28">
        <f t="shared" si="161"/>
        <v>194589.0537644813</v>
      </c>
      <c r="D89" s="28">
        <f t="shared" si="161"/>
        <v>193569.90230158102</v>
      </c>
      <c r="E89" s="28">
        <f t="shared" si="161"/>
        <v>199999.99882934726</v>
      </c>
      <c r="F89" s="28">
        <f t="shared" si="161"/>
        <v>199999.99842181741</v>
      </c>
      <c r="G89" s="28">
        <f t="shared" si="161"/>
        <v>199999.99900153567</v>
      </c>
      <c r="H89" s="28">
        <f t="shared" si="161"/>
        <v>199999.99896063862</v>
      </c>
      <c r="I89" s="28">
        <f t="shared" si="161"/>
        <v>199999.99887343618</v>
      </c>
      <c r="J89" s="28">
        <f t="shared" si="161"/>
        <v>179070.32091909568</v>
      </c>
      <c r="K89" s="28">
        <f t="shared" ref="K89:V89" si="174">IF(K21=0,0,K21/K32*1000000)</f>
        <v>161482.87944744344</v>
      </c>
      <c r="L89" s="28">
        <f t="shared" si="174"/>
        <v>168190.51754384791</v>
      </c>
      <c r="M89" s="28">
        <f t="shared" si="174"/>
        <v>195639.3330582538</v>
      </c>
      <c r="N89" s="28">
        <f t="shared" si="174"/>
        <v>197376.3698070558</v>
      </c>
      <c r="O89" s="28">
        <f t="shared" si="174"/>
        <v>199999.99734301746</v>
      </c>
      <c r="P89" s="28">
        <f t="shared" si="174"/>
        <v>199999.99854110461</v>
      </c>
      <c r="Q89" s="28">
        <f t="shared" si="174"/>
        <v>199999.99886280086</v>
      </c>
      <c r="R89" s="28">
        <f t="shared" si="174"/>
        <v>199999.99916423581</v>
      </c>
      <c r="S89" s="28">
        <f t="shared" si="174"/>
        <v>199999.99914232662</v>
      </c>
      <c r="T89" s="28">
        <f t="shared" si="174"/>
        <v>199999.99759474144</v>
      </c>
      <c r="U89" s="28">
        <f t="shared" si="174"/>
        <v>199999.99971469332</v>
      </c>
      <c r="V89" s="28">
        <f t="shared" si="174"/>
        <v>199999.99779103094</v>
      </c>
      <c r="W89" s="28">
        <f t="shared" ref="W89" si="175">IF(W21=0,0,W21/W32*1000000)</f>
        <v>199999.99889618187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199999.9973189031</v>
      </c>
      <c r="C90" s="84">
        <f t="shared" si="161"/>
        <v>179636.40273005297</v>
      </c>
      <c r="D90" s="84">
        <f t="shared" si="161"/>
        <v>198908.46307619245</v>
      </c>
      <c r="E90" s="84">
        <f t="shared" si="161"/>
        <v>199999.9974398101</v>
      </c>
      <c r="F90" s="84">
        <f t="shared" si="161"/>
        <v>199999.99441557541</v>
      </c>
      <c r="G90" s="84">
        <f t="shared" si="161"/>
        <v>199999.99995514934</v>
      </c>
      <c r="H90" s="84">
        <f t="shared" si="161"/>
        <v>199999.99681869027</v>
      </c>
      <c r="I90" s="84">
        <f t="shared" si="161"/>
        <v>199999.99936818663</v>
      </c>
      <c r="J90" s="84">
        <f t="shared" si="161"/>
        <v>199999.99461402628</v>
      </c>
      <c r="K90" s="84">
        <f t="shared" ref="K90:V90" si="176">IF(K22=0,0,K22/K33*1000000)</f>
        <v>195511.10310175808</v>
      </c>
      <c r="L90" s="84">
        <f t="shared" si="176"/>
        <v>199999.99345685504</v>
      </c>
      <c r="M90" s="84">
        <f t="shared" si="176"/>
        <v>199999.99963757169</v>
      </c>
      <c r="N90" s="84">
        <f t="shared" si="176"/>
        <v>186543.99597643665</v>
      </c>
      <c r="O90" s="84">
        <f t="shared" si="176"/>
        <v>199999.9927772783</v>
      </c>
      <c r="P90" s="84">
        <f t="shared" si="176"/>
        <v>199999.9956497582</v>
      </c>
      <c r="Q90" s="84">
        <f t="shared" si="176"/>
        <v>199999.9945741673</v>
      </c>
      <c r="R90" s="84">
        <f t="shared" si="176"/>
        <v>199999.9973765591</v>
      </c>
      <c r="S90" s="84">
        <f t="shared" si="176"/>
        <v>199999.99847522727</v>
      </c>
      <c r="T90" s="84">
        <f t="shared" si="176"/>
        <v>199999.99336734458</v>
      </c>
      <c r="U90" s="84">
        <f t="shared" si="176"/>
        <v>199999.99939663723</v>
      </c>
      <c r="V90" s="84">
        <f t="shared" si="176"/>
        <v>199999.99311792111</v>
      </c>
      <c r="W90" s="84">
        <f t="shared" ref="W90" si="177">IF(W22=0,0,W22/W33*1000000)</f>
        <v>199999.99463650762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199999.9977797071</v>
      </c>
      <c r="C91" s="86">
        <f t="shared" si="161"/>
        <v>199999.99999657698</v>
      </c>
      <c r="D91" s="86">
        <f t="shared" si="161"/>
        <v>191672.47549869854</v>
      </c>
      <c r="E91" s="86">
        <f t="shared" si="161"/>
        <v>199999.99926091157</v>
      </c>
      <c r="F91" s="86">
        <f t="shared" si="161"/>
        <v>199999.99919621812</v>
      </c>
      <c r="G91" s="86">
        <f t="shared" si="161"/>
        <v>199999.99881713654</v>
      </c>
      <c r="H91" s="86">
        <f t="shared" si="161"/>
        <v>199999.99947727262</v>
      </c>
      <c r="I91" s="86">
        <f t="shared" si="161"/>
        <v>199999.99876734492</v>
      </c>
      <c r="J91" s="86">
        <f t="shared" si="161"/>
        <v>173585.26542623437</v>
      </c>
      <c r="K91" s="86">
        <f t="shared" ref="K91:V91" si="178">IF(K23=0,0,K23/K34*1000000)</f>
        <v>152950.98197885754</v>
      </c>
      <c r="L91" s="86">
        <f t="shared" si="178"/>
        <v>160055.27769204247</v>
      </c>
      <c r="M91" s="86">
        <f t="shared" si="178"/>
        <v>194512.45924384758</v>
      </c>
      <c r="N91" s="86">
        <f t="shared" si="178"/>
        <v>199999.99799875554</v>
      </c>
      <c r="O91" s="86">
        <f t="shared" si="178"/>
        <v>199999.9984216626</v>
      </c>
      <c r="P91" s="86">
        <f t="shared" si="178"/>
        <v>199999.99934475659</v>
      </c>
      <c r="Q91" s="86">
        <f t="shared" si="178"/>
        <v>199999.99992646824</v>
      </c>
      <c r="R91" s="86">
        <f t="shared" si="178"/>
        <v>199999.99963319814</v>
      </c>
      <c r="S91" s="86">
        <f t="shared" si="178"/>
        <v>199999.99930071156</v>
      </c>
      <c r="T91" s="86">
        <f t="shared" si="178"/>
        <v>199999.9984870062</v>
      </c>
      <c r="U91" s="86">
        <f t="shared" si="178"/>
        <v>199999.99977456473</v>
      </c>
      <c r="V91" s="86">
        <f t="shared" si="178"/>
        <v>199999.99868118143</v>
      </c>
      <c r="W91" s="86">
        <f t="shared" ref="W91" si="179">IF(W23=0,0,W23/W34*1000000)</f>
        <v>199999.99969443632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13004507.171111993</v>
      </c>
      <c r="C94" s="28">
        <f t="shared" si="180"/>
        <v>12980946.068890417</v>
      </c>
      <c r="D94" s="28">
        <f t="shared" si="180"/>
        <v>12344376.773974594</v>
      </c>
      <c r="E94" s="28">
        <f t="shared" si="180"/>
        <v>11836525.658891145</v>
      </c>
      <c r="F94" s="28">
        <f t="shared" si="180"/>
        <v>10626986.591831276</v>
      </c>
      <c r="G94" s="28">
        <f t="shared" si="180"/>
        <v>10390858.188266426</v>
      </c>
      <c r="H94" s="28">
        <f t="shared" si="180"/>
        <v>10527651.811690211</v>
      </c>
      <c r="I94" s="28">
        <f t="shared" si="180"/>
        <v>10538302.891483868</v>
      </c>
      <c r="J94" s="28">
        <f t="shared" si="180"/>
        <v>9959480.5120247044</v>
      </c>
      <c r="K94" s="28">
        <f t="shared" ref="K94:V94" si="181">IF(K4=0,0,K4/K26*1000000)</f>
        <v>9658502.6751450766</v>
      </c>
      <c r="L94" s="28">
        <f t="shared" si="181"/>
        <v>9799416.6563994624</v>
      </c>
      <c r="M94" s="28">
        <f t="shared" si="181"/>
        <v>9887461.0596067142</v>
      </c>
      <c r="N94" s="28">
        <f t="shared" si="181"/>
        <v>10118765.88464978</v>
      </c>
      <c r="O94" s="28">
        <f t="shared" si="181"/>
        <v>10266767.300675362</v>
      </c>
      <c r="P94" s="28">
        <f t="shared" si="181"/>
        <v>10456817.568818333</v>
      </c>
      <c r="Q94" s="28">
        <f t="shared" si="181"/>
        <v>10690875.310663223</v>
      </c>
      <c r="R94" s="28">
        <f t="shared" si="181"/>
        <v>10932609.224341854</v>
      </c>
      <c r="S94" s="28">
        <f t="shared" si="181"/>
        <v>11079274.056434048</v>
      </c>
      <c r="T94" s="28">
        <f t="shared" si="181"/>
        <v>11413355.219297634</v>
      </c>
      <c r="U94" s="28">
        <f t="shared" si="181"/>
        <v>11826561.73863795</v>
      </c>
      <c r="V94" s="28">
        <f t="shared" si="181"/>
        <v>5970177.1806890806</v>
      </c>
      <c r="W94" s="28">
        <f t="shared" ref="W94" si="182">IF(W4=0,0,W4/W26*1000000)</f>
        <v>6330104.5869285334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8909422.1498977188</v>
      </c>
      <c r="C95" s="108">
        <f t="shared" si="180"/>
        <v>8852211.1258357558</v>
      </c>
      <c r="D95" s="108">
        <f t="shared" si="180"/>
        <v>8768586.3842159081</v>
      </c>
      <c r="E95" s="108">
        <f t="shared" si="180"/>
        <v>8533414.7496475596</v>
      </c>
      <c r="F95" s="108">
        <f t="shared" si="180"/>
        <v>8291281.3269003443</v>
      </c>
      <c r="G95" s="108">
        <f t="shared" si="180"/>
        <v>8084377.8278433671</v>
      </c>
      <c r="H95" s="108">
        <f t="shared" si="180"/>
        <v>8117411.3164382773</v>
      </c>
      <c r="I95" s="108">
        <f t="shared" si="180"/>
        <v>8070889.3755514752</v>
      </c>
      <c r="J95" s="108">
        <f t="shared" si="180"/>
        <v>7976640.8276828034</v>
      </c>
      <c r="K95" s="108">
        <f t="shared" ref="K95:V95" si="183">IF(K5=0,0,K5/K27*1000000)</f>
        <v>7821453.1857575532</v>
      </c>
      <c r="L95" s="108">
        <f t="shared" si="183"/>
        <v>7897713.4641278656</v>
      </c>
      <c r="M95" s="108">
        <f t="shared" si="183"/>
        <v>7940510.0774866426</v>
      </c>
      <c r="N95" s="108">
        <f t="shared" si="183"/>
        <v>8044316.861191472</v>
      </c>
      <c r="O95" s="108">
        <f t="shared" si="183"/>
        <v>8114399.5143762827</v>
      </c>
      <c r="P95" s="108">
        <f t="shared" si="183"/>
        <v>8171094.0203549499</v>
      </c>
      <c r="Q95" s="108">
        <f t="shared" si="183"/>
        <v>8297600.0871612001</v>
      </c>
      <c r="R95" s="108">
        <f t="shared" si="183"/>
        <v>8398079.6689254288</v>
      </c>
      <c r="S95" s="108">
        <f t="shared" si="183"/>
        <v>8488282.1710800827</v>
      </c>
      <c r="T95" s="108">
        <f t="shared" si="183"/>
        <v>8614740.7201788742</v>
      </c>
      <c r="U95" s="108">
        <f t="shared" si="183"/>
        <v>8736775.8703588452</v>
      </c>
      <c r="V95" s="108">
        <f t="shared" si="183"/>
        <v>3182323.3717525499</v>
      </c>
      <c r="W95" s="108">
        <f t="shared" ref="W95" si="184">IF(W5=0,0,W5/W27*1000000)</f>
        <v>3298094.9966384876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26431466.587108672</v>
      </c>
      <c r="C96" s="110">
        <f t="shared" si="180"/>
        <v>27369017.167156961</v>
      </c>
      <c r="D96" s="110">
        <f t="shared" si="180"/>
        <v>25373831.794572815</v>
      </c>
      <c r="E96" s="110">
        <f t="shared" si="180"/>
        <v>24084818.112362616</v>
      </c>
      <c r="F96" s="110">
        <f t="shared" si="180"/>
        <v>16964652.065197427</v>
      </c>
      <c r="G96" s="110">
        <f t="shared" si="180"/>
        <v>15734243.789448785</v>
      </c>
      <c r="H96" s="110">
        <f t="shared" si="180"/>
        <v>15633269.90804494</v>
      </c>
      <c r="I96" s="110">
        <f t="shared" si="180"/>
        <v>15468362.119090259</v>
      </c>
      <c r="J96" s="110">
        <f t="shared" si="180"/>
        <v>14592418.857926127</v>
      </c>
      <c r="K96" s="110">
        <f t="shared" ref="K96:V96" si="185">IF(K6=0,0,K6/K28*1000000)</f>
        <v>13968782.107957887</v>
      </c>
      <c r="L96" s="110">
        <f t="shared" si="185"/>
        <v>14187730.817717493</v>
      </c>
      <c r="M96" s="110">
        <f t="shared" si="185"/>
        <v>14083463.329060577</v>
      </c>
      <c r="N96" s="110">
        <f t="shared" si="185"/>
        <v>14926384.966129545</v>
      </c>
      <c r="O96" s="110">
        <f t="shared" si="185"/>
        <v>15166022.643998927</v>
      </c>
      <c r="P96" s="110">
        <f t="shared" si="185"/>
        <v>15441651.263977846</v>
      </c>
      <c r="Q96" s="110">
        <f t="shared" si="185"/>
        <v>15164472.41720007</v>
      </c>
      <c r="R96" s="110">
        <f t="shared" si="185"/>
        <v>15960758.196998749</v>
      </c>
      <c r="S96" s="110">
        <f t="shared" si="185"/>
        <v>15916973.996015204</v>
      </c>
      <c r="T96" s="110">
        <f t="shared" si="185"/>
        <v>16271877.250675449</v>
      </c>
      <c r="U96" s="110">
        <f t="shared" si="185"/>
        <v>17334796.078472555</v>
      </c>
      <c r="V96" s="110">
        <f t="shared" si="185"/>
        <v>11108745.156606121</v>
      </c>
      <c r="W96" s="110">
        <f t="shared" ref="W96" si="186">IF(W6=0,0,W6/W28*1000000)</f>
        <v>11679514.458604418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20845810.330546811</v>
      </c>
      <c r="C97" s="84">
        <f t="shared" si="180"/>
        <v>21425447.927849937</v>
      </c>
      <c r="D97" s="84">
        <f t="shared" si="180"/>
        <v>19428090.667125165</v>
      </c>
      <c r="E97" s="84">
        <f t="shared" si="180"/>
        <v>18326466.712896775</v>
      </c>
      <c r="F97" s="84">
        <f t="shared" si="180"/>
        <v>17608811.747017752</v>
      </c>
      <c r="G97" s="84">
        <f t="shared" si="180"/>
        <v>17029058.594895575</v>
      </c>
      <c r="H97" s="84">
        <f t="shared" si="180"/>
        <v>15840006.155422706</v>
      </c>
      <c r="I97" s="84">
        <f t="shared" si="180"/>
        <v>15132445.866245881</v>
      </c>
      <c r="J97" s="84">
        <f t="shared" si="180"/>
        <v>13090545.175633272</v>
      </c>
      <c r="K97" s="84">
        <f t="shared" ref="K97:V97" si="187">IF(K7=0,0,K7/K29*1000000)</f>
        <v>13240929.812482476</v>
      </c>
      <c r="L97" s="84">
        <f t="shared" si="187"/>
        <v>13446506.368586795</v>
      </c>
      <c r="M97" s="84">
        <f t="shared" si="187"/>
        <v>13341206.719063208</v>
      </c>
      <c r="N97" s="84">
        <f t="shared" si="187"/>
        <v>13740326.305458503</v>
      </c>
      <c r="O97" s="84">
        <f t="shared" si="187"/>
        <v>14347862.465444928</v>
      </c>
      <c r="P97" s="84">
        <f t="shared" si="187"/>
        <v>14608202.067100538</v>
      </c>
      <c r="Q97" s="84">
        <f t="shared" si="187"/>
        <v>14327448.011928353</v>
      </c>
      <c r="R97" s="84">
        <f t="shared" si="187"/>
        <v>15183925.12730786</v>
      </c>
      <c r="S97" s="84">
        <f t="shared" si="187"/>
        <v>15370058.063011853</v>
      </c>
      <c r="T97" s="84">
        <f t="shared" si="187"/>
        <v>16253671.954207156</v>
      </c>
      <c r="U97" s="84">
        <f t="shared" si="187"/>
        <v>17642923.387064755</v>
      </c>
      <c r="V97" s="84">
        <f t="shared" si="187"/>
        <v>12032102.681886058</v>
      </c>
      <c r="W97" s="84">
        <f t="shared" ref="W97" si="188">IF(W7=0,0,W7/W29*1000000)</f>
        <v>13221257.950771758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39010609.864100903</v>
      </c>
      <c r="C98" s="84">
        <f t="shared" si="180"/>
        <v>41093750.861625299</v>
      </c>
      <c r="D98" s="84">
        <f t="shared" si="180"/>
        <v>39862739.392586723</v>
      </c>
      <c r="E98" s="84">
        <f t="shared" si="180"/>
        <v>37316460.31758251</v>
      </c>
      <c r="F98" s="84">
        <f t="shared" si="180"/>
        <v>16307035.595557995</v>
      </c>
      <c r="G98" s="84">
        <f t="shared" si="180"/>
        <v>14534934.467945056</v>
      </c>
      <c r="H98" s="84">
        <f t="shared" si="180"/>
        <v>15425042.891911155</v>
      </c>
      <c r="I98" s="84">
        <f t="shared" si="180"/>
        <v>15820328.337557117</v>
      </c>
      <c r="J98" s="84">
        <f t="shared" si="180"/>
        <v>16373463.469309069</v>
      </c>
      <c r="K98" s="84">
        <f t="shared" ref="K98:V98" si="189">IF(K8=0,0,K8/K30*1000000)</f>
        <v>14712154.976251433</v>
      </c>
      <c r="L98" s="84">
        <f t="shared" si="189"/>
        <v>14940618.84167943</v>
      </c>
      <c r="M98" s="84">
        <f t="shared" si="189"/>
        <v>14823550.783669766</v>
      </c>
      <c r="N98" s="84">
        <f t="shared" si="189"/>
        <v>16125213.341338633</v>
      </c>
      <c r="O98" s="84">
        <f t="shared" si="189"/>
        <v>15942032.386666058</v>
      </c>
      <c r="P98" s="84">
        <f t="shared" si="189"/>
        <v>16231349.505702984</v>
      </c>
      <c r="Q98" s="84">
        <f t="shared" si="189"/>
        <v>15919415.36466109</v>
      </c>
      <c r="R98" s="84">
        <f t="shared" si="189"/>
        <v>16658543.832641492</v>
      </c>
      <c r="S98" s="84">
        <f t="shared" si="189"/>
        <v>16392136.64210909</v>
      </c>
      <c r="T98" s="84">
        <f t="shared" si="189"/>
        <v>16286349.738137474</v>
      </c>
      <c r="U98" s="84">
        <f t="shared" si="189"/>
        <v>17098251.733581323</v>
      </c>
      <c r="V98" s="84">
        <f t="shared" si="189"/>
        <v>10436613.700171644</v>
      </c>
      <c r="W98" s="84">
        <f t="shared" ref="W98" si="190">IF(W8=0,0,W8/W30*1000000)</f>
        <v>10629310.083714541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13989535.827201253</v>
      </c>
      <c r="G99" s="113">
        <f t="shared" si="180"/>
        <v>13989633.681442052</v>
      </c>
      <c r="H99" s="113">
        <f t="shared" si="180"/>
        <v>34887369.19299151</v>
      </c>
      <c r="I99" s="113">
        <f t="shared" si="180"/>
        <v>65134172.435693376</v>
      </c>
      <c r="J99" s="113">
        <f t="shared" si="180"/>
        <v>50087980.626840189</v>
      </c>
      <c r="K99" s="113">
        <f t="shared" ref="K99:V99" si="191">IF(K9=0,0,K9/K31*1000000)</f>
        <v>46524408.882638119</v>
      </c>
      <c r="L99" s="113">
        <f t="shared" si="191"/>
        <v>53651552.371042259</v>
      </c>
      <c r="M99" s="113">
        <f t="shared" si="191"/>
        <v>56423219.283199422</v>
      </c>
      <c r="N99" s="113">
        <f t="shared" si="191"/>
        <v>53651552.371042259</v>
      </c>
      <c r="O99" s="113">
        <f t="shared" si="191"/>
        <v>48702147.170761608</v>
      </c>
      <c r="P99" s="113">
        <f t="shared" si="191"/>
        <v>47683271.429075398</v>
      </c>
      <c r="Q99" s="113">
        <f t="shared" si="191"/>
        <v>77718545.372004539</v>
      </c>
      <c r="R99" s="113">
        <f t="shared" si="191"/>
        <v>74821342.605748668</v>
      </c>
      <c r="S99" s="113">
        <f t="shared" si="191"/>
        <v>74821620.003856868</v>
      </c>
      <c r="T99" s="113">
        <f t="shared" si="191"/>
        <v>74827218.862641364</v>
      </c>
      <c r="U99" s="113">
        <f t="shared" si="191"/>
        <v>83026171.055399269</v>
      </c>
      <c r="V99" s="113">
        <f t="shared" si="191"/>
        <v>50652388.623794161</v>
      </c>
      <c r="W99" s="113">
        <f t="shared" ref="W99" si="192">IF(W9=0,0,W9/W31*1000000)</f>
        <v>51638974.481029466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140734626.54587588</v>
      </c>
      <c r="C100" s="28">
        <f t="shared" si="180"/>
        <v>134935854.96774936</v>
      </c>
      <c r="D100" s="28">
        <f t="shared" si="180"/>
        <v>140143686.5473088</v>
      </c>
      <c r="E100" s="28">
        <f t="shared" si="180"/>
        <v>142739418.89614519</v>
      </c>
      <c r="F100" s="28">
        <f t="shared" si="180"/>
        <v>98151107.453994542</v>
      </c>
      <c r="G100" s="28">
        <f t="shared" si="180"/>
        <v>98144339.17500554</v>
      </c>
      <c r="H100" s="28">
        <f t="shared" si="180"/>
        <v>100465918.89647862</v>
      </c>
      <c r="I100" s="28">
        <f t="shared" si="180"/>
        <v>94750671.575314</v>
      </c>
      <c r="J100" s="28">
        <f t="shared" si="180"/>
        <v>91996875.526987836</v>
      </c>
      <c r="K100" s="28">
        <f t="shared" ref="K100:V100" si="193">IF(K10=0,0,K10/K32*1000000)</f>
        <v>82327506.945317388</v>
      </c>
      <c r="L100" s="28">
        <f t="shared" si="193"/>
        <v>94950590.353744045</v>
      </c>
      <c r="M100" s="28">
        <f t="shared" si="193"/>
        <v>106565612.65092526</v>
      </c>
      <c r="N100" s="28">
        <f t="shared" si="193"/>
        <v>116444434.52694769</v>
      </c>
      <c r="O100" s="28">
        <f t="shared" si="193"/>
        <v>121855008.61257066</v>
      </c>
      <c r="P100" s="28">
        <f t="shared" si="193"/>
        <v>114455210.08361788</v>
      </c>
      <c r="Q100" s="28">
        <f t="shared" si="193"/>
        <v>111206906.82262498</v>
      </c>
      <c r="R100" s="28">
        <f t="shared" si="193"/>
        <v>113481382.64135617</v>
      </c>
      <c r="S100" s="28">
        <f t="shared" si="193"/>
        <v>115967604.58178249</v>
      </c>
      <c r="T100" s="28">
        <f t="shared" si="193"/>
        <v>121504712.18439265</v>
      </c>
      <c r="U100" s="28">
        <f t="shared" si="193"/>
        <v>114499994.05916284</v>
      </c>
      <c r="V100" s="28">
        <f t="shared" si="193"/>
        <v>104682130.1481192</v>
      </c>
      <c r="W100" s="28">
        <f t="shared" ref="W100" si="194">IF(W10=0,0,W10/W32*1000000)</f>
        <v>106477852.72402905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137588381.60295907</v>
      </c>
      <c r="C101" s="84">
        <f t="shared" si="180"/>
        <v>121923799.78475431</v>
      </c>
      <c r="D101" s="84">
        <f t="shared" si="180"/>
        <v>129711408.60123995</v>
      </c>
      <c r="E101" s="84">
        <f t="shared" si="180"/>
        <v>133220397.43339042</v>
      </c>
      <c r="F101" s="84">
        <f t="shared" si="180"/>
        <v>132425102.58018242</v>
      </c>
      <c r="G101" s="84">
        <f t="shared" si="180"/>
        <v>128693862.84111238</v>
      </c>
      <c r="H101" s="84">
        <f t="shared" si="180"/>
        <v>120864999.65356536</v>
      </c>
      <c r="I101" s="84">
        <f t="shared" si="180"/>
        <v>122121734.80576837</v>
      </c>
      <c r="J101" s="84">
        <f t="shared" si="180"/>
        <v>107096097.49333121</v>
      </c>
      <c r="K101" s="84">
        <f t="shared" ref="K101:V101" si="195">IF(K11=0,0,K11/K33*1000000)</f>
        <v>118607308.88106389</v>
      </c>
      <c r="L101" s="84">
        <f t="shared" si="195"/>
        <v>126167996.05812596</v>
      </c>
      <c r="M101" s="84">
        <f t="shared" si="195"/>
        <v>128826091.29570469</v>
      </c>
      <c r="N101" s="84">
        <f t="shared" si="195"/>
        <v>117087002.47791389</v>
      </c>
      <c r="O101" s="84">
        <f t="shared" si="195"/>
        <v>127696300.816374</v>
      </c>
      <c r="P101" s="84">
        <f t="shared" si="195"/>
        <v>131280079.10431442</v>
      </c>
      <c r="Q101" s="84">
        <f t="shared" si="195"/>
        <v>130169820.69062065</v>
      </c>
      <c r="R101" s="84">
        <f t="shared" si="195"/>
        <v>127784085.56111667</v>
      </c>
      <c r="S101" s="84">
        <f t="shared" si="195"/>
        <v>134400624.22301871</v>
      </c>
      <c r="T101" s="84">
        <f t="shared" si="195"/>
        <v>149568964.05165195</v>
      </c>
      <c r="U101" s="84">
        <f t="shared" si="195"/>
        <v>155263287.24328038</v>
      </c>
      <c r="V101" s="84">
        <f t="shared" si="195"/>
        <v>142755390.21046913</v>
      </c>
      <c r="W101" s="84">
        <f t="shared" ref="W101" si="196">IF(W11=0,0,W11/W33*1000000)</f>
        <v>141719320.7485559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142066632.44656813</v>
      </c>
      <c r="C102" s="86">
        <f t="shared" si="180"/>
        <v>139644553.83339766</v>
      </c>
      <c r="D102" s="86">
        <f t="shared" si="180"/>
        <v>143851518.04454073</v>
      </c>
      <c r="E102" s="86">
        <f t="shared" si="180"/>
        <v>145695849.39569902</v>
      </c>
      <c r="F102" s="86">
        <f t="shared" si="180"/>
        <v>91525994.75725244</v>
      </c>
      <c r="G102" s="86">
        <f t="shared" si="180"/>
        <v>92237015.814936087</v>
      </c>
      <c r="H102" s="86">
        <f t="shared" si="180"/>
        <v>95545697.798874035</v>
      </c>
      <c r="I102" s="86">
        <f t="shared" si="180"/>
        <v>88881390.90335618</v>
      </c>
      <c r="J102" s="86">
        <f t="shared" si="180"/>
        <v>88039810.950081214</v>
      </c>
      <c r="K102" s="86">
        <f t="shared" ref="K102:V102" si="197">IF(K12=0,0,K12/K34*1000000)</f>
        <v>73231071.191253394</v>
      </c>
      <c r="L102" s="86">
        <f t="shared" si="197"/>
        <v>86966771.83215633</v>
      </c>
      <c r="M102" s="86">
        <f t="shared" si="197"/>
        <v>100813108.98556249</v>
      </c>
      <c r="N102" s="86">
        <f t="shared" si="197"/>
        <v>116288802.95277949</v>
      </c>
      <c r="O102" s="86">
        <f t="shared" si="197"/>
        <v>120475017.09852234</v>
      </c>
      <c r="P102" s="86">
        <f t="shared" si="197"/>
        <v>109778724.53068368</v>
      </c>
      <c r="Q102" s="86">
        <f t="shared" si="197"/>
        <v>106503722.64009924</v>
      </c>
      <c r="R102" s="86">
        <f t="shared" si="197"/>
        <v>109729345.3308759</v>
      </c>
      <c r="S102" s="86">
        <f t="shared" si="197"/>
        <v>111591175.49655923</v>
      </c>
      <c r="T102" s="86">
        <f t="shared" si="197"/>
        <v>115581269.3626336</v>
      </c>
      <c r="U102" s="86">
        <f t="shared" si="197"/>
        <v>106826646.4365155</v>
      </c>
      <c r="V102" s="86">
        <f t="shared" si="197"/>
        <v>97429801.248078242</v>
      </c>
      <c r="W102" s="86">
        <f t="shared" ref="W102" si="198">IF(W12=0,0,W12/W34*1000000)</f>
        <v>99873672.103851482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0.52498698594482041</v>
      </c>
      <c r="C106" s="123">
        <f t="shared" si="199"/>
        <v>0.52988535360041222</v>
      </c>
      <c r="D106" s="123">
        <f t="shared" si="199"/>
        <v>0.55736714975845414</v>
      </c>
      <c r="E106" s="123">
        <f t="shared" si="199"/>
        <v>0.56781200684286603</v>
      </c>
      <c r="F106" s="123">
        <f t="shared" si="199"/>
        <v>0.57008918362680083</v>
      </c>
      <c r="G106" s="123">
        <f t="shared" si="199"/>
        <v>0.54339369366901358</v>
      </c>
      <c r="H106" s="123">
        <f t="shared" si="199"/>
        <v>0.52978099016357816</v>
      </c>
      <c r="I106" s="123">
        <f t="shared" si="199"/>
        <v>0.52909532781737256</v>
      </c>
      <c r="J106" s="123">
        <f t="shared" si="199"/>
        <v>0.57444803277246514</v>
      </c>
      <c r="K106" s="123">
        <f t="shared" ref="K106:V106" si="202">IF(K5=0,0,K5/K$4)</f>
        <v>0.58133607612541804</v>
      </c>
      <c r="L106" s="123">
        <f t="shared" si="202"/>
        <v>0.57836204679866288</v>
      </c>
      <c r="M106" s="123">
        <f t="shared" si="202"/>
        <v>0.56652583685407865</v>
      </c>
      <c r="N106" s="123">
        <f t="shared" si="202"/>
        <v>0.56905018565097609</v>
      </c>
      <c r="O106" s="123">
        <f t="shared" si="202"/>
        <v>0.56051927993494377</v>
      </c>
      <c r="P106" s="123">
        <f t="shared" si="202"/>
        <v>0.5468342423523832</v>
      </c>
      <c r="Q106" s="123">
        <f t="shared" si="202"/>
        <v>0.53705550205974695</v>
      </c>
      <c r="R106" s="123">
        <f t="shared" si="202"/>
        <v>0.54264239429690031</v>
      </c>
      <c r="S106" s="123">
        <f t="shared" si="202"/>
        <v>0.53326185583385455</v>
      </c>
      <c r="T106" s="123">
        <f t="shared" si="202"/>
        <v>0.51228358180464617</v>
      </c>
      <c r="U106" s="123">
        <f t="shared" si="202"/>
        <v>0.5055295425146209</v>
      </c>
      <c r="V106" s="123">
        <f t="shared" si="202"/>
        <v>0.36179233919537462</v>
      </c>
      <c r="W106" s="123">
        <f t="shared" ref="W106" si="203">IF(W5=0,0,W5/W$4)</f>
        <v>0.34863350022670481</v>
      </c>
      <c r="DA106" s="203"/>
    </row>
    <row r="107" spans="1:105" ht="11.45" customHeight="1" x14ac:dyDescent="0.25">
      <c r="A107" s="109" t="s">
        <v>24</v>
      </c>
      <c r="B107" s="124">
        <f t="shared" si="199"/>
        <v>0.47501301405517959</v>
      </c>
      <c r="C107" s="124">
        <f t="shared" si="199"/>
        <v>0.47011464639958778</v>
      </c>
      <c r="D107" s="124">
        <f t="shared" si="199"/>
        <v>0.44263285024154592</v>
      </c>
      <c r="E107" s="124">
        <f t="shared" si="199"/>
        <v>0.43218799315713397</v>
      </c>
      <c r="F107" s="124">
        <f t="shared" si="199"/>
        <v>0.42984548038286891</v>
      </c>
      <c r="G107" s="124">
        <f t="shared" si="199"/>
        <v>0.45619538120154507</v>
      </c>
      <c r="H107" s="124">
        <f t="shared" si="199"/>
        <v>0.46016520841258629</v>
      </c>
      <c r="I107" s="124">
        <f t="shared" si="199"/>
        <v>0.4484448813522296</v>
      </c>
      <c r="J107" s="124">
        <f t="shared" si="199"/>
        <v>0.40965581371969989</v>
      </c>
      <c r="K107" s="124">
        <f t="shared" ref="K107:V107" si="204">IF(K6=0,0,K6/K$4)</f>
        <v>0.40346212812202836</v>
      </c>
      <c r="L107" s="124">
        <f t="shared" si="204"/>
        <v>0.40421702237078938</v>
      </c>
      <c r="M107" s="124">
        <f t="shared" si="204"/>
        <v>0.41494962625934345</v>
      </c>
      <c r="N107" s="124">
        <f t="shared" si="204"/>
        <v>0.41472032578751944</v>
      </c>
      <c r="O107" s="124">
        <f t="shared" si="204"/>
        <v>0.42508877955174368</v>
      </c>
      <c r="P107" s="124">
        <f t="shared" si="204"/>
        <v>0.43858193028219111</v>
      </c>
      <c r="Q107" s="124">
        <f t="shared" si="204"/>
        <v>0.43063809420706872</v>
      </c>
      <c r="R107" s="124">
        <f t="shared" si="204"/>
        <v>0.42082343211866796</v>
      </c>
      <c r="S107" s="124">
        <f t="shared" si="204"/>
        <v>0.42856717395836436</v>
      </c>
      <c r="T107" s="124">
        <f t="shared" si="204"/>
        <v>0.44982533834729993</v>
      </c>
      <c r="U107" s="124">
        <f t="shared" si="204"/>
        <v>0.45434255834714959</v>
      </c>
      <c r="V107" s="124">
        <f t="shared" si="204"/>
        <v>0.58641501626069814</v>
      </c>
      <c r="W107" s="124">
        <f t="shared" ref="W107" si="205">IF(W6=0,0,W6/W$4)</f>
        <v>0.5985059722953775</v>
      </c>
      <c r="DA107" s="176"/>
    </row>
    <row r="108" spans="1:105" ht="11.45" customHeight="1" x14ac:dyDescent="0.25">
      <c r="A108" s="111" t="s">
        <v>92</v>
      </c>
      <c r="B108" s="125">
        <f t="shared" si="199"/>
        <v>0.25943196397004409</v>
      </c>
      <c r="C108" s="125">
        <f t="shared" si="199"/>
        <v>0.25680976163563168</v>
      </c>
      <c r="D108" s="125">
        <f t="shared" si="199"/>
        <v>0.24030132940097756</v>
      </c>
      <c r="E108" s="125">
        <f t="shared" si="199"/>
        <v>0.22913793718569167</v>
      </c>
      <c r="F108" s="125">
        <f t="shared" si="199"/>
        <v>0.22538957704562004</v>
      </c>
      <c r="G108" s="125">
        <f t="shared" si="199"/>
        <v>0.23741534989135479</v>
      </c>
      <c r="H108" s="125">
        <f t="shared" si="199"/>
        <v>0.23396275419704149</v>
      </c>
      <c r="I108" s="125">
        <f t="shared" si="199"/>
        <v>0.22447119004254895</v>
      </c>
      <c r="J108" s="125">
        <f t="shared" si="199"/>
        <v>0.19937205856563583</v>
      </c>
      <c r="K108" s="125">
        <f t="shared" ref="K108:V108" si="206">IF(K7=0,0,K7/K$4)</f>
        <v>0.19323699580129081</v>
      </c>
      <c r="L108" s="125">
        <f t="shared" si="206"/>
        <v>0.19304484906921829</v>
      </c>
      <c r="M108" s="125">
        <f t="shared" si="206"/>
        <v>0.19625243215859134</v>
      </c>
      <c r="N108" s="125">
        <f t="shared" si="206"/>
        <v>0.19190528276994728</v>
      </c>
      <c r="O108" s="125">
        <f t="shared" si="206"/>
        <v>0.19576169187997605</v>
      </c>
      <c r="P108" s="125">
        <f t="shared" si="206"/>
        <v>0.20186311117264794</v>
      </c>
      <c r="Q108" s="125">
        <f t="shared" si="206"/>
        <v>0.19294518974357106</v>
      </c>
      <c r="R108" s="125">
        <f t="shared" si="206"/>
        <v>0.18944045836313167</v>
      </c>
      <c r="S108" s="125">
        <f t="shared" si="206"/>
        <v>0.19239417118877719</v>
      </c>
      <c r="T108" s="125">
        <f t="shared" si="206"/>
        <v>0.19899782569851476</v>
      </c>
      <c r="U108" s="125">
        <f t="shared" si="206"/>
        <v>0.20082280384188811</v>
      </c>
      <c r="V108" s="125">
        <f t="shared" si="206"/>
        <v>0.267572835145298</v>
      </c>
      <c r="W108" s="125">
        <f t="shared" ref="W108" si="207">IF(W7=0,0,W7/W$4)</f>
        <v>0.2745137100512744</v>
      </c>
      <c r="DA108" s="171"/>
    </row>
    <row r="109" spans="1:105" ht="11.45" customHeight="1" x14ac:dyDescent="0.25">
      <c r="A109" s="111" t="s">
        <v>93</v>
      </c>
      <c r="B109" s="125">
        <f t="shared" si="199"/>
        <v>0.21558105008513551</v>
      </c>
      <c r="C109" s="125">
        <f t="shared" si="199"/>
        <v>0.21330488476395612</v>
      </c>
      <c r="D109" s="125">
        <f t="shared" si="199"/>
        <v>0.20233152084056835</v>
      </c>
      <c r="E109" s="125">
        <f t="shared" si="199"/>
        <v>0.20305005597144229</v>
      </c>
      <c r="F109" s="125">
        <f t="shared" si="199"/>
        <v>0.20445590333724886</v>
      </c>
      <c r="G109" s="125">
        <f t="shared" si="199"/>
        <v>0.21878003131019025</v>
      </c>
      <c r="H109" s="125">
        <f t="shared" si="199"/>
        <v>0.2262024542155448</v>
      </c>
      <c r="I109" s="125">
        <f t="shared" si="199"/>
        <v>0.22397369130968064</v>
      </c>
      <c r="J109" s="125">
        <f t="shared" si="199"/>
        <v>0.21028375515406406</v>
      </c>
      <c r="K109" s="125">
        <f t="shared" ref="K109:V109" si="208">IF(K8=0,0,K8/K$4)</f>
        <v>0.21022513232073753</v>
      </c>
      <c r="L109" s="125">
        <f t="shared" si="208"/>
        <v>0.21117217330157112</v>
      </c>
      <c r="M109" s="125">
        <f t="shared" si="208"/>
        <v>0.21869719410075211</v>
      </c>
      <c r="N109" s="125">
        <f t="shared" si="208"/>
        <v>0.22281504301757216</v>
      </c>
      <c r="O109" s="125">
        <f t="shared" si="208"/>
        <v>0.2293270876717676</v>
      </c>
      <c r="P109" s="125">
        <f t="shared" si="208"/>
        <v>0.2367188191095432</v>
      </c>
      <c r="Q109" s="125">
        <f t="shared" si="208"/>
        <v>0.23769290446349764</v>
      </c>
      <c r="R109" s="125">
        <f t="shared" si="208"/>
        <v>0.23138297375553635</v>
      </c>
      <c r="S109" s="125">
        <f t="shared" si="208"/>
        <v>0.23617300276958716</v>
      </c>
      <c r="T109" s="125">
        <f t="shared" si="208"/>
        <v>0.25082751264878517</v>
      </c>
      <c r="U109" s="125">
        <f t="shared" si="208"/>
        <v>0.25351975450526149</v>
      </c>
      <c r="V109" s="125">
        <f t="shared" si="208"/>
        <v>0.31884218111540008</v>
      </c>
      <c r="W109" s="125">
        <f t="shared" ref="W109" si="209">IF(W8=0,0,W8/W$4)</f>
        <v>0.3239922622441031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6.5335990330273432E-5</v>
      </c>
      <c r="G110" s="126">
        <f t="shared" si="199"/>
        <v>4.1092512944141573E-4</v>
      </c>
      <c r="H110" s="126">
        <f t="shared" si="199"/>
        <v>1.0053801423835662E-2</v>
      </c>
      <c r="I110" s="126">
        <f t="shared" si="199"/>
        <v>2.2459790830397858E-2</v>
      </c>
      <c r="J110" s="126">
        <f t="shared" si="199"/>
        <v>1.5896153507834982E-2</v>
      </c>
      <c r="K110" s="126">
        <f t="shared" ref="K110:V110" si="210">IF(K9=0,0,K9/K$4)</f>
        <v>1.5201795752553577E-2</v>
      </c>
      <c r="L110" s="126">
        <f t="shared" si="210"/>
        <v>1.7420930830547698E-2</v>
      </c>
      <c r="M110" s="126">
        <f t="shared" si="210"/>
        <v>1.8524536886577833E-2</v>
      </c>
      <c r="N110" s="126">
        <f t="shared" si="210"/>
        <v>1.6229488561504371E-2</v>
      </c>
      <c r="O110" s="126">
        <f t="shared" si="210"/>
        <v>1.4391940513312544E-2</v>
      </c>
      <c r="P110" s="126">
        <f t="shared" si="210"/>
        <v>1.4583827365425657E-2</v>
      </c>
      <c r="Q110" s="126">
        <f t="shared" si="210"/>
        <v>3.2306403733184434E-2</v>
      </c>
      <c r="R110" s="126">
        <f t="shared" si="210"/>
        <v>3.6534173584431624E-2</v>
      </c>
      <c r="S110" s="126">
        <f t="shared" si="210"/>
        <v>3.8170970207781117E-2</v>
      </c>
      <c r="T110" s="126">
        <f t="shared" si="210"/>
        <v>3.7891079848053906E-2</v>
      </c>
      <c r="U110" s="126">
        <f t="shared" si="210"/>
        <v>4.0127899138229457E-2</v>
      </c>
      <c r="V110" s="126">
        <f t="shared" si="210"/>
        <v>5.1792644543927312E-2</v>
      </c>
      <c r="W110" s="126">
        <f t="shared" ref="W110" si="211">IF(W9=0,0,W9/W$4)</f>
        <v>5.2860527477917543E-2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0.29078937203418864</v>
      </c>
      <c r="C112" s="125">
        <f t="shared" si="212"/>
        <v>0.24009319062398282</v>
      </c>
      <c r="D112" s="125">
        <f t="shared" si="212"/>
        <v>0.24270116244160145</v>
      </c>
      <c r="E112" s="125">
        <f t="shared" si="212"/>
        <v>0.22117609510891242</v>
      </c>
      <c r="F112" s="125">
        <f t="shared" si="212"/>
        <v>0.21855188153963195</v>
      </c>
      <c r="G112" s="125">
        <f t="shared" si="212"/>
        <v>0.21247322993056009</v>
      </c>
      <c r="H112" s="125">
        <f t="shared" si="212"/>
        <v>0.23378394710036085</v>
      </c>
      <c r="I112" s="125">
        <f t="shared" si="212"/>
        <v>0.22757787509781574</v>
      </c>
      <c r="J112" s="125">
        <f t="shared" si="212"/>
        <v>0.24173271577998959</v>
      </c>
      <c r="K112" s="125">
        <f t="shared" ref="K112:V112" si="215">IF(K11=0,0,K11/K$10)</f>
        <v>0.28880802748997214</v>
      </c>
      <c r="L112" s="125">
        <f t="shared" si="215"/>
        <v>0.27062166546913458</v>
      </c>
      <c r="M112" s="125">
        <f t="shared" si="215"/>
        <v>0.24824716702564856</v>
      </c>
      <c r="N112" s="125">
        <f t="shared" si="215"/>
        <v>0.19605422090994495</v>
      </c>
      <c r="O112" s="125">
        <f t="shared" si="215"/>
        <v>0.20026125766537248</v>
      </c>
      <c r="P112" s="125">
        <f t="shared" si="215"/>
        <v>0.24946926000151878</v>
      </c>
      <c r="Q112" s="125">
        <f t="shared" si="215"/>
        <v>0.23261829731272179</v>
      </c>
      <c r="R112" s="125">
        <f t="shared" si="215"/>
        <v>0.23400657224667065</v>
      </c>
      <c r="S112" s="125">
        <f t="shared" si="215"/>
        <v>0.22236667686346492</v>
      </c>
      <c r="T112" s="125">
        <f t="shared" si="215"/>
        <v>0.21453633488017443</v>
      </c>
      <c r="U112" s="125">
        <f t="shared" si="215"/>
        <v>0.21481973169368368</v>
      </c>
      <c r="V112" s="125">
        <f t="shared" si="215"/>
        <v>0.21819962485268002</v>
      </c>
      <c r="W112" s="125">
        <f t="shared" ref="W112" si="216">IF(W11=0,0,W11/W$10)</f>
        <v>0.21005760812124458</v>
      </c>
      <c r="DA112" s="171"/>
    </row>
    <row r="113" spans="1:105" ht="11.45" customHeight="1" x14ac:dyDescent="0.25">
      <c r="A113" s="85" t="s">
        <v>93</v>
      </c>
      <c r="B113" s="127">
        <f t="shared" si="212"/>
        <v>0.70921062796581136</v>
      </c>
      <c r="C113" s="127">
        <f t="shared" si="212"/>
        <v>0.75990680937601707</v>
      </c>
      <c r="D113" s="127">
        <f t="shared" si="212"/>
        <v>0.75729883755839855</v>
      </c>
      <c r="E113" s="127">
        <f t="shared" si="212"/>
        <v>0.77882390489108755</v>
      </c>
      <c r="F113" s="127">
        <f t="shared" si="212"/>
        <v>0.78144811846036799</v>
      </c>
      <c r="G113" s="127">
        <f t="shared" si="212"/>
        <v>0.78752677006943983</v>
      </c>
      <c r="H113" s="127">
        <f t="shared" si="212"/>
        <v>0.76621605289963923</v>
      </c>
      <c r="I113" s="127">
        <f t="shared" si="212"/>
        <v>0.77242212490218431</v>
      </c>
      <c r="J113" s="127">
        <f t="shared" si="212"/>
        <v>0.75826728422001033</v>
      </c>
      <c r="K113" s="127">
        <f t="shared" ref="K113:V113" si="217">IF(K12=0,0,K12/K$10)</f>
        <v>0.71119197251002786</v>
      </c>
      <c r="L113" s="127">
        <f t="shared" si="217"/>
        <v>0.72937833453086554</v>
      </c>
      <c r="M113" s="127">
        <f t="shared" si="217"/>
        <v>0.75175283297435136</v>
      </c>
      <c r="N113" s="127">
        <f t="shared" si="217"/>
        <v>0.80394577909005493</v>
      </c>
      <c r="O113" s="127">
        <f t="shared" si="217"/>
        <v>0.79973874233462761</v>
      </c>
      <c r="P113" s="127">
        <f t="shared" si="217"/>
        <v>0.75053073999848119</v>
      </c>
      <c r="Q113" s="127">
        <f t="shared" si="217"/>
        <v>0.76738170268727812</v>
      </c>
      <c r="R113" s="127">
        <f t="shared" si="217"/>
        <v>0.76599342775332935</v>
      </c>
      <c r="S113" s="127">
        <f t="shared" si="217"/>
        <v>0.7776333231365351</v>
      </c>
      <c r="T113" s="127">
        <f t="shared" si="217"/>
        <v>0.78546366511982557</v>
      </c>
      <c r="U113" s="127">
        <f t="shared" si="217"/>
        <v>0.78518026830631638</v>
      </c>
      <c r="V113" s="127">
        <f t="shared" si="217"/>
        <v>0.78180037514731993</v>
      </c>
      <c r="W113" s="127">
        <f t="shared" ref="W113" si="218">IF(W12=0,0,W12/W$10)</f>
        <v>0.78994239187875537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0.70626700282302179</v>
      </c>
      <c r="C117" s="123">
        <f t="shared" si="219"/>
        <v>0.71875077893807171</v>
      </c>
      <c r="D117" s="123">
        <f t="shared" si="219"/>
        <v>0.72767759358725514</v>
      </c>
      <c r="E117" s="123">
        <f t="shared" si="219"/>
        <v>0.73113070635077548</v>
      </c>
      <c r="F117" s="123">
        <f t="shared" si="219"/>
        <v>0.66542984855381904</v>
      </c>
      <c r="G117" s="123">
        <f t="shared" si="219"/>
        <v>0.62892999834724672</v>
      </c>
      <c r="H117" s="123">
        <f t="shared" si="219"/>
        <v>0.61234147967194041</v>
      </c>
      <c r="I117" s="123">
        <f t="shared" si="219"/>
        <v>0.62221447015021658</v>
      </c>
      <c r="J117" s="123">
        <f t="shared" si="219"/>
        <v>0.646260425216863</v>
      </c>
      <c r="K117" s="123">
        <f t="shared" ref="K117:V117" si="222">IF(K16=0,0,K16/K$15)</f>
        <v>0.64689160529501399</v>
      </c>
      <c r="L117" s="123">
        <f t="shared" si="222"/>
        <v>0.64666298093385621</v>
      </c>
      <c r="M117" s="123">
        <f t="shared" si="222"/>
        <v>0.6326369064237195</v>
      </c>
      <c r="N117" s="123">
        <f t="shared" si="222"/>
        <v>0.64478470458531645</v>
      </c>
      <c r="O117" s="123">
        <f t="shared" si="222"/>
        <v>0.63776348172274844</v>
      </c>
      <c r="P117" s="123">
        <f t="shared" si="222"/>
        <v>0.62600494184472488</v>
      </c>
      <c r="Q117" s="123">
        <f t="shared" si="222"/>
        <v>0.61554721573346061</v>
      </c>
      <c r="R117" s="123">
        <f t="shared" si="222"/>
        <v>0.62998267759392879</v>
      </c>
      <c r="S117" s="123">
        <f t="shared" si="222"/>
        <v>0.6181785991240426</v>
      </c>
      <c r="T117" s="123">
        <f t="shared" si="222"/>
        <v>0.59924763649289925</v>
      </c>
      <c r="U117" s="123">
        <f t="shared" si="222"/>
        <v>0.60679429620190817</v>
      </c>
      <c r="V117" s="123">
        <f t="shared" si="222"/>
        <v>0.59633352924944316</v>
      </c>
      <c r="W117" s="123">
        <f t="shared" ref="W117" si="223">IF(W16=0,0,W16/W$15)</f>
        <v>0.5895143057976362</v>
      </c>
      <c r="DA117" s="203"/>
    </row>
    <row r="118" spans="1:105" ht="11.45" customHeight="1" x14ac:dyDescent="0.25">
      <c r="A118" s="109" t="s">
        <v>24</v>
      </c>
      <c r="B118" s="124">
        <f t="shared" si="219"/>
        <v>0.29373299717697826</v>
      </c>
      <c r="C118" s="124">
        <f t="shared" si="219"/>
        <v>0.28124922106192818</v>
      </c>
      <c r="D118" s="124">
        <f t="shared" si="219"/>
        <v>0.27232240641274491</v>
      </c>
      <c r="E118" s="124">
        <f t="shared" si="219"/>
        <v>0.26886929364922441</v>
      </c>
      <c r="F118" s="124">
        <f t="shared" si="219"/>
        <v>0.33438524715954726</v>
      </c>
      <c r="G118" s="124">
        <f t="shared" si="219"/>
        <v>0.36994562869290287</v>
      </c>
      <c r="H118" s="124">
        <f t="shared" si="219"/>
        <v>0.37659746174777692</v>
      </c>
      <c r="I118" s="124">
        <f t="shared" si="219"/>
        <v>0.36439665336526916</v>
      </c>
      <c r="J118" s="124">
        <f t="shared" si="219"/>
        <v>0.343532050343821</v>
      </c>
      <c r="K118" s="124">
        <f t="shared" ref="K118:V118" si="224">IF(K17=0,0,K17/K$15)</f>
        <v>0.34279501311098459</v>
      </c>
      <c r="L118" s="124">
        <f t="shared" si="224"/>
        <v>0.34306769062631892</v>
      </c>
      <c r="M118" s="124">
        <f t="shared" si="224"/>
        <v>0.35626051193741037</v>
      </c>
      <c r="N118" s="124">
        <f t="shared" si="224"/>
        <v>0.34534453031088319</v>
      </c>
      <c r="O118" s="124">
        <f t="shared" si="224"/>
        <v>0.35288402125811424</v>
      </c>
      <c r="P118" s="124">
        <f t="shared" si="224"/>
        <v>0.3622912413265012</v>
      </c>
      <c r="Q118" s="124">
        <f t="shared" si="224"/>
        <v>0.36828023601287158</v>
      </c>
      <c r="R118" s="124">
        <f t="shared" si="224"/>
        <v>0.3505418279559831</v>
      </c>
      <c r="S118" s="124">
        <f t="shared" si="224"/>
        <v>0.36128524436447695</v>
      </c>
      <c r="T118" s="124">
        <f t="shared" si="224"/>
        <v>0.37987694100383457</v>
      </c>
      <c r="U118" s="124">
        <f t="shared" si="224"/>
        <v>0.3748084721808197</v>
      </c>
      <c r="V118" s="124">
        <f t="shared" si="224"/>
        <v>0.3831844080953411</v>
      </c>
      <c r="W118" s="124">
        <f t="shared" ref="W118" si="225">IF(W17=0,0,W17/W$15)</f>
        <v>0.38970023328573994</v>
      </c>
      <c r="DA118" s="176"/>
    </row>
    <row r="119" spans="1:105" ht="11.45" customHeight="1" x14ac:dyDescent="0.25">
      <c r="A119" s="111" t="s">
        <v>92</v>
      </c>
      <c r="B119" s="125">
        <f t="shared" si="219"/>
        <v>0.20341041761403886</v>
      </c>
      <c r="C119" s="125">
        <f t="shared" si="219"/>
        <v>0.19625845075534248</v>
      </c>
      <c r="D119" s="125">
        <f t="shared" si="219"/>
        <v>0.19308647025314413</v>
      </c>
      <c r="E119" s="125">
        <f t="shared" si="219"/>
        <v>0.18733983647063357</v>
      </c>
      <c r="F119" s="125">
        <f t="shared" si="219"/>
        <v>0.16892093593843363</v>
      </c>
      <c r="G119" s="125">
        <f t="shared" si="219"/>
        <v>0.1778897994766849</v>
      </c>
      <c r="H119" s="125">
        <f t="shared" si="219"/>
        <v>0.18897520034675888</v>
      </c>
      <c r="I119" s="125">
        <f t="shared" si="219"/>
        <v>0.19198956681977972</v>
      </c>
      <c r="J119" s="125">
        <f t="shared" si="219"/>
        <v>0.18637256654021275</v>
      </c>
      <c r="K119" s="125">
        <f t="shared" ref="K119:V119" si="226">IF(K18=0,0,K18/K$15)</f>
        <v>0.17320565088157927</v>
      </c>
      <c r="L119" s="125">
        <f t="shared" si="226"/>
        <v>0.17287289959147648</v>
      </c>
      <c r="M119" s="125">
        <f t="shared" si="226"/>
        <v>0.17786959330789709</v>
      </c>
      <c r="N119" s="125">
        <f t="shared" si="226"/>
        <v>0.17359682683936395</v>
      </c>
      <c r="O119" s="125">
        <f t="shared" si="226"/>
        <v>0.17177681946299614</v>
      </c>
      <c r="P119" s="125">
        <f t="shared" si="226"/>
        <v>0.17626295046348361</v>
      </c>
      <c r="Q119" s="125">
        <f t="shared" si="226"/>
        <v>0.17464589736009153</v>
      </c>
      <c r="R119" s="125">
        <f t="shared" si="226"/>
        <v>0.1658754574941933</v>
      </c>
      <c r="S119" s="125">
        <f t="shared" si="226"/>
        <v>0.16796091431048357</v>
      </c>
      <c r="T119" s="125">
        <f t="shared" si="226"/>
        <v>0.16824164948049888</v>
      </c>
      <c r="U119" s="125">
        <f t="shared" si="226"/>
        <v>0.16277480918229617</v>
      </c>
      <c r="V119" s="125">
        <f t="shared" si="226"/>
        <v>0.16236799962636961</v>
      </c>
      <c r="W119" s="125">
        <f t="shared" ref="W119" si="227">IF(W18=0,0,W18/W$15)</f>
        <v>0.15789858061513418</v>
      </c>
      <c r="DA119" s="171"/>
    </row>
    <row r="120" spans="1:105" ht="11.45" customHeight="1" x14ac:dyDescent="0.25">
      <c r="A120" s="111" t="s">
        <v>93</v>
      </c>
      <c r="B120" s="125">
        <f t="shared" si="219"/>
        <v>9.032257956293939E-2</v>
      </c>
      <c r="C120" s="125">
        <f t="shared" si="219"/>
        <v>8.4990770306585708E-2</v>
      </c>
      <c r="D120" s="125">
        <f t="shared" si="219"/>
        <v>7.9235936159600798E-2</v>
      </c>
      <c r="E120" s="125">
        <f t="shared" si="219"/>
        <v>8.1529457178590822E-2</v>
      </c>
      <c r="F120" s="125">
        <f t="shared" si="219"/>
        <v>0.16546431122111363</v>
      </c>
      <c r="G120" s="125">
        <f t="shared" si="219"/>
        <v>0.192055829216218</v>
      </c>
      <c r="H120" s="125">
        <f t="shared" si="219"/>
        <v>0.18762226140101804</v>
      </c>
      <c r="I120" s="125">
        <f t="shared" si="219"/>
        <v>0.17240708654548945</v>
      </c>
      <c r="J120" s="125">
        <f t="shared" si="219"/>
        <v>0.15715948380360828</v>
      </c>
      <c r="K120" s="125">
        <f t="shared" ref="K120:V120" si="228">IF(K19=0,0,K19/K$15)</f>
        <v>0.16958936222940535</v>
      </c>
      <c r="L120" s="125">
        <f t="shared" si="228"/>
        <v>0.17019479103484247</v>
      </c>
      <c r="M120" s="125">
        <f t="shared" si="228"/>
        <v>0.17839091862951328</v>
      </c>
      <c r="N120" s="125">
        <f t="shared" si="228"/>
        <v>0.17174770347151927</v>
      </c>
      <c r="O120" s="125">
        <f t="shared" si="228"/>
        <v>0.18110720179511813</v>
      </c>
      <c r="P120" s="125">
        <f t="shared" si="228"/>
        <v>0.18602829086301756</v>
      </c>
      <c r="Q120" s="125">
        <f t="shared" si="228"/>
        <v>0.19363433865278004</v>
      </c>
      <c r="R120" s="125">
        <f t="shared" si="228"/>
        <v>0.18466637046178982</v>
      </c>
      <c r="S120" s="125">
        <f t="shared" si="228"/>
        <v>0.19332433005399341</v>
      </c>
      <c r="T120" s="125">
        <f t="shared" si="228"/>
        <v>0.21163529152333566</v>
      </c>
      <c r="U120" s="125">
        <f t="shared" si="228"/>
        <v>0.21203366299852355</v>
      </c>
      <c r="V120" s="125">
        <f t="shared" si="228"/>
        <v>0.22081640846897146</v>
      </c>
      <c r="W120" s="125">
        <f t="shared" ref="W120" si="229">IF(W19=0,0,W19/W$15)</f>
        <v>0.23180165267060573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1.8490428663375916E-4</v>
      </c>
      <c r="G121" s="126">
        <f t="shared" si="219"/>
        <v>1.1243729598503615E-3</v>
      </c>
      <c r="H121" s="126">
        <f t="shared" si="219"/>
        <v>1.1061058580282668E-2</v>
      </c>
      <c r="I121" s="126">
        <f t="shared" si="219"/>
        <v>1.3388876484514329E-2</v>
      </c>
      <c r="J121" s="126">
        <f t="shared" si="219"/>
        <v>1.0207524439315933E-2</v>
      </c>
      <c r="K121" s="126">
        <f t="shared" ref="K121:V121" si="230">IF(K20=0,0,K20/K$15)</f>
        <v>1.0313381594001515E-2</v>
      </c>
      <c r="L121" s="126">
        <f t="shared" si="230"/>
        <v>1.0269328439824747E-2</v>
      </c>
      <c r="M121" s="126">
        <f t="shared" si="230"/>
        <v>1.1102581638870178E-2</v>
      </c>
      <c r="N121" s="126">
        <f t="shared" si="230"/>
        <v>9.870765103800274E-3</v>
      </c>
      <c r="O121" s="126">
        <f t="shared" si="230"/>
        <v>9.3524970191372955E-3</v>
      </c>
      <c r="P121" s="126">
        <f t="shared" si="230"/>
        <v>1.1703816828774029E-2</v>
      </c>
      <c r="Q121" s="126">
        <f t="shared" si="230"/>
        <v>1.617254825366795E-2</v>
      </c>
      <c r="R121" s="126">
        <f t="shared" si="230"/>
        <v>1.9475494450088116E-2</v>
      </c>
      <c r="S121" s="126">
        <f t="shared" si="230"/>
        <v>2.0536156511480531E-2</v>
      </c>
      <c r="T121" s="126">
        <f t="shared" si="230"/>
        <v>2.087542250326619E-2</v>
      </c>
      <c r="U121" s="126">
        <f t="shared" si="230"/>
        <v>1.8397231617272115E-2</v>
      </c>
      <c r="V121" s="126">
        <f t="shared" si="230"/>
        <v>2.0482062655215655E-2</v>
      </c>
      <c r="W121" s="126">
        <f t="shared" ref="W121" si="231">IF(W20=0,0,W20/W$15)</f>
        <v>2.0785460916623966E-2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0.29743887626058574</v>
      </c>
      <c r="C123" s="125">
        <f t="shared" si="232"/>
        <v>0.24529837006929617</v>
      </c>
      <c r="D123" s="125">
        <f t="shared" si="232"/>
        <v>0.26945276800449114</v>
      </c>
      <c r="E123" s="125">
        <f t="shared" si="232"/>
        <v>0.23697982950401861</v>
      </c>
      <c r="F123" s="125">
        <f t="shared" si="232"/>
        <v>0.16198672579157666</v>
      </c>
      <c r="G123" s="125">
        <f t="shared" si="232"/>
        <v>0.16203604727513771</v>
      </c>
      <c r="H123" s="125">
        <f t="shared" si="232"/>
        <v>0.19432688441204604</v>
      </c>
      <c r="I123" s="125">
        <f t="shared" si="232"/>
        <v>0.17657099769208615</v>
      </c>
      <c r="J123" s="125">
        <f t="shared" si="232"/>
        <v>0.23192161962487667</v>
      </c>
      <c r="K123" s="125">
        <f t="shared" ref="K123:V123" si="235">IF(K22=0,0,K22/K$21)</f>
        <v>0.24271002427248098</v>
      </c>
      <c r="L123" s="125">
        <f t="shared" si="235"/>
        <v>0.24218068380618615</v>
      </c>
      <c r="M123" s="125">
        <f t="shared" si="235"/>
        <v>0.20992848823903246</v>
      </c>
      <c r="N123" s="125">
        <f t="shared" si="235"/>
        <v>0.1842775220300665</v>
      </c>
      <c r="O123" s="125">
        <f t="shared" si="235"/>
        <v>0.19110057663756658</v>
      </c>
      <c r="P123" s="125">
        <f t="shared" si="235"/>
        <v>0.21749724973433737</v>
      </c>
      <c r="Q123" s="125">
        <f t="shared" si="235"/>
        <v>0.19873086267260495</v>
      </c>
      <c r="R123" s="125">
        <f t="shared" si="235"/>
        <v>0.2078145256644921</v>
      </c>
      <c r="S123" s="125">
        <f t="shared" si="235"/>
        <v>0.19186912946076309</v>
      </c>
      <c r="T123" s="125">
        <f t="shared" si="235"/>
        <v>0.17428197913255972</v>
      </c>
      <c r="U123" s="125">
        <f t="shared" si="235"/>
        <v>0.15842030914276137</v>
      </c>
      <c r="V123" s="125">
        <f t="shared" si="235"/>
        <v>0.16000517360301644</v>
      </c>
      <c r="W123" s="125">
        <f t="shared" ref="W123" si="236">IF(W22=0,0,W22/W$21)</f>
        <v>0.15782239476302273</v>
      </c>
      <c r="DA123" s="171"/>
    </row>
    <row r="124" spans="1:105" ht="11.45" customHeight="1" x14ac:dyDescent="0.25">
      <c r="A124" s="85" t="s">
        <v>93</v>
      </c>
      <c r="B124" s="127">
        <f t="shared" si="232"/>
        <v>0.70256112373941415</v>
      </c>
      <c r="C124" s="127">
        <f t="shared" si="232"/>
        <v>0.75470162993070389</v>
      </c>
      <c r="D124" s="127">
        <f t="shared" si="232"/>
        <v>0.73054723199550875</v>
      </c>
      <c r="E124" s="127">
        <f t="shared" si="232"/>
        <v>0.76302017049598136</v>
      </c>
      <c r="F124" s="127">
        <f t="shared" si="232"/>
        <v>0.83801327420842331</v>
      </c>
      <c r="G124" s="127">
        <f t="shared" si="232"/>
        <v>0.83796395272486224</v>
      </c>
      <c r="H124" s="127">
        <f t="shared" si="232"/>
        <v>0.80567311558795396</v>
      </c>
      <c r="I124" s="127">
        <f t="shared" si="232"/>
        <v>0.82342900230791383</v>
      </c>
      <c r="J124" s="127">
        <f t="shared" si="232"/>
        <v>0.76807838037512322</v>
      </c>
      <c r="K124" s="127">
        <f t="shared" ref="K124:V124" si="237">IF(K23=0,0,K23/K$21)</f>
        <v>0.7572899757275191</v>
      </c>
      <c r="L124" s="127">
        <f t="shared" si="237"/>
        <v>0.75781931619381382</v>
      </c>
      <c r="M124" s="127">
        <f t="shared" si="237"/>
        <v>0.79007151176096757</v>
      </c>
      <c r="N124" s="127">
        <f t="shared" si="237"/>
        <v>0.81572247796993347</v>
      </c>
      <c r="O124" s="127">
        <f t="shared" si="237"/>
        <v>0.80889942336243348</v>
      </c>
      <c r="P124" s="127">
        <f t="shared" si="237"/>
        <v>0.78250275026566263</v>
      </c>
      <c r="Q124" s="127">
        <f t="shared" si="237"/>
        <v>0.80126913732739502</v>
      </c>
      <c r="R124" s="127">
        <f t="shared" si="237"/>
        <v>0.79218547433550779</v>
      </c>
      <c r="S124" s="127">
        <f t="shared" si="237"/>
        <v>0.80813087053923693</v>
      </c>
      <c r="T124" s="127">
        <f t="shared" si="237"/>
        <v>0.82571802086744028</v>
      </c>
      <c r="U124" s="127">
        <f t="shared" si="237"/>
        <v>0.84157969085723872</v>
      </c>
      <c r="V124" s="127">
        <f t="shared" si="237"/>
        <v>0.83999482639698364</v>
      </c>
      <c r="W124" s="127">
        <f t="shared" ref="W124" si="238">IF(W23=0,0,W23/W$21)</f>
        <v>0.84217760523697738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209.48374892519342</v>
      </c>
      <c r="C4" s="146">
        <f t="shared" ref="C4:V4" si="0">SUM(C5,C8)</f>
        <v>202.27953568357694</v>
      </c>
      <c r="D4" s="146">
        <f t="shared" si="0"/>
        <v>193.04385210662079</v>
      </c>
      <c r="E4" s="146">
        <f t="shared" si="0"/>
        <v>195.14350816852959</v>
      </c>
      <c r="F4" s="146">
        <f t="shared" si="0"/>
        <v>238.04436801375749</v>
      </c>
      <c r="G4" s="146">
        <f t="shared" si="0"/>
        <v>237.29690455717969</v>
      </c>
      <c r="H4" s="146">
        <f t="shared" si="0"/>
        <v>242.84832330180572</v>
      </c>
      <c r="I4" s="146">
        <f t="shared" si="0"/>
        <v>240.29389509888219</v>
      </c>
      <c r="J4" s="146">
        <f t="shared" si="0"/>
        <v>247.51607910576095</v>
      </c>
      <c r="K4" s="146">
        <f t="shared" si="0"/>
        <v>231.72304385210657</v>
      </c>
      <c r="L4" s="146">
        <f t="shared" si="0"/>
        <v>225.63430782459159</v>
      </c>
      <c r="M4" s="146">
        <f t="shared" si="0"/>
        <v>221.99604471195181</v>
      </c>
      <c r="N4" s="146">
        <f t="shared" si="0"/>
        <v>219.4641444539983</v>
      </c>
      <c r="O4" s="146">
        <f t="shared" si="0"/>
        <v>215.79535683576952</v>
      </c>
      <c r="P4" s="146">
        <f t="shared" si="0"/>
        <v>214.70963026655207</v>
      </c>
      <c r="Q4" s="146">
        <f t="shared" si="0"/>
        <v>216.4071367153912</v>
      </c>
      <c r="R4" s="146">
        <f t="shared" si="0"/>
        <v>219.12613929492696</v>
      </c>
      <c r="S4" s="146">
        <f t="shared" si="0"/>
        <v>225.92072226999142</v>
      </c>
      <c r="T4" s="146">
        <f t="shared" si="0"/>
        <v>228.85674978503872</v>
      </c>
      <c r="U4" s="146">
        <f t="shared" si="0"/>
        <v>225.57489251934646</v>
      </c>
      <c r="V4" s="146">
        <f t="shared" si="0"/>
        <v>205.08950988822016</v>
      </c>
      <c r="W4" s="146">
        <f t="shared" ref="W4" si="1">SUM(W5,W8)</f>
        <v>209.38882201203785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106.04436801375751</v>
      </c>
      <c r="C5" s="101">
        <f t="shared" ref="C5:V5" si="2">SUM(C6:C7)</f>
        <v>97.120464316423039</v>
      </c>
      <c r="D5" s="101">
        <f t="shared" si="2"/>
        <v>94.161650902837479</v>
      </c>
      <c r="E5" s="101">
        <f t="shared" si="2"/>
        <v>92.134049871023208</v>
      </c>
      <c r="F5" s="101">
        <f t="shared" si="2"/>
        <v>91.010834049871008</v>
      </c>
      <c r="G5" s="101">
        <f t="shared" si="2"/>
        <v>92.241014617368862</v>
      </c>
      <c r="H5" s="101">
        <f t="shared" si="2"/>
        <v>98.996216680997406</v>
      </c>
      <c r="I5" s="101">
        <f t="shared" si="2"/>
        <v>97.817540842648299</v>
      </c>
      <c r="J5" s="101">
        <f t="shared" si="2"/>
        <v>108.39312123817714</v>
      </c>
      <c r="K5" s="101">
        <f t="shared" si="2"/>
        <v>97.845141874462584</v>
      </c>
      <c r="L5" s="101">
        <f t="shared" si="2"/>
        <v>94.937833190025785</v>
      </c>
      <c r="M5" s="101">
        <f t="shared" si="2"/>
        <v>92.761306964746339</v>
      </c>
      <c r="N5" s="101">
        <f t="shared" si="2"/>
        <v>89.627515047291482</v>
      </c>
      <c r="O5" s="101">
        <f t="shared" si="2"/>
        <v>87.592433361994836</v>
      </c>
      <c r="P5" s="101">
        <f t="shared" si="2"/>
        <v>89.344196044711964</v>
      </c>
      <c r="Q5" s="101">
        <f t="shared" si="2"/>
        <v>87.172398968185718</v>
      </c>
      <c r="R5" s="101">
        <f t="shared" si="2"/>
        <v>87.053912295786745</v>
      </c>
      <c r="S5" s="101">
        <f t="shared" si="2"/>
        <v>89.232502149613069</v>
      </c>
      <c r="T5" s="101">
        <f t="shared" si="2"/>
        <v>87.99888220120377</v>
      </c>
      <c r="U5" s="101">
        <f t="shared" si="2"/>
        <v>83.735855546001716</v>
      </c>
      <c r="V5" s="101">
        <f t="shared" si="2"/>
        <v>74.516079105760966</v>
      </c>
      <c r="W5" s="101">
        <f t="shared" ref="W5" si="3">SUM(W6:W7)</f>
        <v>73.694067067927776</v>
      </c>
      <c r="DA5" s="175"/>
    </row>
    <row r="6" spans="1:105" ht="11.45" customHeight="1" x14ac:dyDescent="0.25">
      <c r="A6" s="164" t="s">
        <v>182</v>
      </c>
      <c r="B6" s="165">
        <v>106.04436801375751</v>
      </c>
      <c r="C6" s="165">
        <v>97.120464316423039</v>
      </c>
      <c r="D6" s="165">
        <v>94.161650902837479</v>
      </c>
      <c r="E6" s="165">
        <v>92.134049871023208</v>
      </c>
      <c r="F6" s="165">
        <v>91.010834049871008</v>
      </c>
      <c r="G6" s="165">
        <v>92.241014617368862</v>
      </c>
      <c r="H6" s="165">
        <v>98.996216680997406</v>
      </c>
      <c r="I6" s="165">
        <v>97.817540842648299</v>
      </c>
      <c r="J6" s="165">
        <v>108.39312123817714</v>
      </c>
      <c r="K6" s="165">
        <v>97.845141874462584</v>
      </c>
      <c r="L6" s="165">
        <v>94.937833190025785</v>
      </c>
      <c r="M6" s="165">
        <v>92.761306964746339</v>
      </c>
      <c r="N6" s="165">
        <v>89.627515047291482</v>
      </c>
      <c r="O6" s="165">
        <v>87.592433361994836</v>
      </c>
      <c r="P6" s="165">
        <v>89.344196044711964</v>
      </c>
      <c r="Q6" s="165">
        <v>87.172398968185718</v>
      </c>
      <c r="R6" s="165">
        <v>79.984092863284602</v>
      </c>
      <c r="S6" s="165">
        <v>83.046431642304384</v>
      </c>
      <c r="T6" s="165">
        <v>82.69647463456576</v>
      </c>
      <c r="U6" s="165">
        <v>79.317196904557179</v>
      </c>
      <c r="V6" s="165">
        <v>70.097420464316428</v>
      </c>
      <c r="W6" s="165">
        <v>68.391659501289766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7.0698194325021486</v>
      </c>
      <c r="S7" s="167">
        <v>6.1860705073086839</v>
      </c>
      <c r="T7" s="167">
        <v>5.3024075666380046</v>
      </c>
      <c r="U7" s="167">
        <v>4.4186586414445399</v>
      </c>
      <c r="V7" s="167">
        <v>4.4186586414445399</v>
      </c>
      <c r="W7" s="167">
        <v>5.3024075666380046</v>
      </c>
      <c r="DA7" s="177" t="s">
        <v>1103</v>
      </c>
    </row>
    <row r="8" spans="1:105" ht="11.45" customHeight="1" x14ac:dyDescent="0.25">
      <c r="A8" s="85" t="s">
        <v>91</v>
      </c>
      <c r="B8" s="88">
        <v>103.4393809114359</v>
      </c>
      <c r="C8" s="88">
        <v>105.1590713671539</v>
      </c>
      <c r="D8" s="88">
        <v>98.88220120378331</v>
      </c>
      <c r="E8" s="88">
        <v>103.0094582975064</v>
      </c>
      <c r="F8" s="88">
        <v>147.0335339638865</v>
      </c>
      <c r="G8" s="88">
        <v>145.05588993981081</v>
      </c>
      <c r="H8" s="88">
        <v>143.85210662080831</v>
      </c>
      <c r="I8" s="88">
        <v>142.47635425623389</v>
      </c>
      <c r="J8" s="88">
        <v>139.12295786758381</v>
      </c>
      <c r="K8" s="88">
        <v>133.877901977644</v>
      </c>
      <c r="L8" s="88">
        <v>130.69647463456579</v>
      </c>
      <c r="M8" s="88">
        <v>129.23473774720549</v>
      </c>
      <c r="N8" s="88">
        <v>129.83662940670681</v>
      </c>
      <c r="O8" s="88">
        <v>128.20292347377469</v>
      </c>
      <c r="P8" s="88">
        <v>125.3654342218401</v>
      </c>
      <c r="Q8" s="88">
        <v>129.23473774720549</v>
      </c>
      <c r="R8" s="88">
        <v>132.07222699914021</v>
      </c>
      <c r="S8" s="88">
        <v>136.68822012037833</v>
      </c>
      <c r="T8" s="88">
        <v>140.85786758383495</v>
      </c>
      <c r="U8" s="88">
        <v>141.83903697334475</v>
      </c>
      <c r="V8" s="88">
        <v>130.57343078245918</v>
      </c>
      <c r="W8" s="88">
        <v>135.69475494411006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209.48374892519342</v>
      </c>
      <c r="C10" s="62">
        <f t="shared" ref="C10:V10" si="5">SUM(C11,C17)</f>
        <v>202.27953568357694</v>
      </c>
      <c r="D10" s="62">
        <f t="shared" si="5"/>
        <v>193.04385210662076</v>
      </c>
      <c r="E10" s="62">
        <f t="shared" si="5"/>
        <v>195.14350816852959</v>
      </c>
      <c r="F10" s="62">
        <f t="shared" si="5"/>
        <v>238.04436801375752</v>
      </c>
      <c r="G10" s="62">
        <f t="shared" si="5"/>
        <v>237.29690455717966</v>
      </c>
      <c r="H10" s="62">
        <f t="shared" si="5"/>
        <v>242.84832330180569</v>
      </c>
      <c r="I10" s="62">
        <f t="shared" si="5"/>
        <v>240.29389509888222</v>
      </c>
      <c r="J10" s="62">
        <f t="shared" si="5"/>
        <v>247.51607910576098</v>
      </c>
      <c r="K10" s="62">
        <f t="shared" si="5"/>
        <v>231.72304385210657</v>
      </c>
      <c r="L10" s="62">
        <f t="shared" si="5"/>
        <v>225.63430782459162</v>
      </c>
      <c r="M10" s="62">
        <f t="shared" si="5"/>
        <v>221.99604471195184</v>
      </c>
      <c r="N10" s="62">
        <f t="shared" si="5"/>
        <v>219.4641444539983</v>
      </c>
      <c r="O10" s="62">
        <f t="shared" si="5"/>
        <v>215.79535683576952</v>
      </c>
      <c r="P10" s="62">
        <f t="shared" si="5"/>
        <v>214.70963026655204</v>
      </c>
      <c r="Q10" s="62">
        <f t="shared" si="5"/>
        <v>216.4071367153912</v>
      </c>
      <c r="R10" s="62">
        <f t="shared" si="5"/>
        <v>219.12613929492696</v>
      </c>
      <c r="S10" s="62">
        <f t="shared" si="5"/>
        <v>225.92072226999142</v>
      </c>
      <c r="T10" s="62">
        <f t="shared" si="5"/>
        <v>228.85674978503874</v>
      </c>
      <c r="U10" s="62">
        <f t="shared" si="5"/>
        <v>225.57489251934646</v>
      </c>
      <c r="V10" s="62">
        <f t="shared" si="5"/>
        <v>205.08950988822016</v>
      </c>
      <c r="W10" s="62">
        <f t="shared" ref="W10" si="6">SUM(W11,W17)</f>
        <v>209.38882201203782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142.14235127136692</v>
      </c>
      <c r="C11" s="29">
        <f t="shared" ref="C11:V11" si="8">SUM(C12,C13,C16)</f>
        <v>138.19239941498515</v>
      </c>
      <c r="D11" s="29">
        <f t="shared" si="8"/>
        <v>135.25436001613201</v>
      </c>
      <c r="E11" s="29">
        <f t="shared" si="8"/>
        <v>138.96329017749892</v>
      </c>
      <c r="F11" s="29">
        <f t="shared" si="8"/>
        <v>165.80243957070283</v>
      </c>
      <c r="G11" s="29">
        <f t="shared" si="8"/>
        <v>168.8155247091494</v>
      </c>
      <c r="H11" s="29">
        <f t="shared" si="8"/>
        <v>172.62037040523211</v>
      </c>
      <c r="I11" s="29">
        <f t="shared" si="8"/>
        <v>166.65418884778251</v>
      </c>
      <c r="J11" s="29">
        <f t="shared" si="8"/>
        <v>181.67426389806246</v>
      </c>
      <c r="K11" s="29">
        <f t="shared" si="8"/>
        <v>176.96157004899993</v>
      </c>
      <c r="L11" s="29">
        <f t="shared" si="8"/>
        <v>173.02025893058735</v>
      </c>
      <c r="M11" s="29">
        <f t="shared" si="8"/>
        <v>167.84329529861606</v>
      </c>
      <c r="N11" s="29">
        <f t="shared" si="8"/>
        <v>171.25624999119685</v>
      </c>
      <c r="O11" s="29">
        <f t="shared" si="8"/>
        <v>170.64139300814597</v>
      </c>
      <c r="P11" s="29">
        <f t="shared" si="8"/>
        <v>164.35180547818624</v>
      </c>
      <c r="Q11" s="29">
        <f t="shared" si="8"/>
        <v>164.48968895297631</v>
      </c>
      <c r="R11" s="29">
        <f t="shared" si="8"/>
        <v>167.29829006765746</v>
      </c>
      <c r="S11" s="29">
        <f t="shared" si="8"/>
        <v>175.56607159529554</v>
      </c>
      <c r="T11" s="29">
        <f t="shared" si="8"/>
        <v>179.73337549927334</v>
      </c>
      <c r="U11" s="29">
        <f t="shared" si="8"/>
        <v>175.68142374302803</v>
      </c>
      <c r="V11" s="29">
        <f t="shared" si="8"/>
        <v>153.65969491421558</v>
      </c>
      <c r="W11" s="29">
        <f t="shared" ref="W11" si="9">SUM(W12,W13,W16)</f>
        <v>155.47662318276403</v>
      </c>
      <c r="DA11" s="173" t="s">
        <v>394</v>
      </c>
    </row>
    <row r="12" spans="1:105" ht="11.45" customHeight="1" x14ac:dyDescent="0.25">
      <c r="A12" s="107" t="s">
        <v>23</v>
      </c>
      <c r="B12" s="115">
        <v>44.643565152334965</v>
      </c>
      <c r="C12" s="115">
        <v>45.185376561423176</v>
      </c>
      <c r="D12" s="115">
        <v>46.021134100874967</v>
      </c>
      <c r="E12" s="115">
        <v>48.03086478145341</v>
      </c>
      <c r="F12" s="115">
        <v>50.343549614081248</v>
      </c>
      <c r="G12" s="115">
        <v>46.918389002663304</v>
      </c>
      <c r="H12" s="115">
        <v>45.912842769806147</v>
      </c>
      <c r="I12" s="115">
        <v>45.86881156153553</v>
      </c>
      <c r="J12" s="115">
        <v>53.209935748960632</v>
      </c>
      <c r="K12" s="115">
        <v>52.79190348019614</v>
      </c>
      <c r="L12" s="115">
        <v>51.707071897127292</v>
      </c>
      <c r="M12" s="115">
        <v>48.814391453315757</v>
      </c>
      <c r="N12" s="115">
        <v>51.75528454760417</v>
      </c>
      <c r="O12" s="115">
        <v>50.630678920849739</v>
      </c>
      <c r="P12" s="115">
        <v>46.100141056557057</v>
      </c>
      <c r="Q12" s="115">
        <v>44.173212115712204</v>
      </c>
      <c r="R12" s="115">
        <v>46.274182707014219</v>
      </c>
      <c r="S12" s="115">
        <v>46.153114514079675</v>
      </c>
      <c r="T12" s="115">
        <v>44.511026411851752</v>
      </c>
      <c r="U12" s="115">
        <v>44.679902773989582</v>
      </c>
      <c r="V12" s="115">
        <v>37.903770890777679</v>
      </c>
      <c r="W12" s="115">
        <v>37.763238973464908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97.498786119031962</v>
      </c>
      <c r="C13" s="116">
        <f t="shared" ref="C13:V13" si="11">SUM(C14:C15)</f>
        <v>93.007022853561963</v>
      </c>
      <c r="D13" s="116">
        <f t="shared" si="11"/>
        <v>89.233225915257051</v>
      </c>
      <c r="E13" s="116">
        <f t="shared" si="11"/>
        <v>90.932425396045517</v>
      </c>
      <c r="F13" s="116">
        <f t="shared" si="11"/>
        <v>115.38551363071042</v>
      </c>
      <c r="G13" s="116">
        <f t="shared" si="11"/>
        <v>121.46164210057997</v>
      </c>
      <c r="H13" s="116">
        <f t="shared" si="11"/>
        <v>122.4448607747722</v>
      </c>
      <c r="I13" s="116">
        <f t="shared" si="11"/>
        <v>115.75692460110407</v>
      </c>
      <c r="J13" s="116">
        <f t="shared" si="11"/>
        <v>124.04808038755117</v>
      </c>
      <c r="K13" s="116">
        <f t="shared" si="11"/>
        <v>119.74339572255752</v>
      </c>
      <c r="L13" s="116">
        <f t="shared" si="11"/>
        <v>116.91895158454753</v>
      </c>
      <c r="M13" s="116">
        <f t="shared" si="11"/>
        <v>114.40023920079989</v>
      </c>
      <c r="N13" s="116">
        <f t="shared" si="11"/>
        <v>115.25151811416852</v>
      </c>
      <c r="O13" s="116">
        <f t="shared" si="11"/>
        <v>116.0139925867214</v>
      </c>
      <c r="P13" s="116">
        <f t="shared" si="11"/>
        <v>113.47920941973868</v>
      </c>
      <c r="Q13" s="116">
        <f t="shared" si="11"/>
        <v>113.70713037268929</v>
      </c>
      <c r="R13" s="116">
        <f t="shared" si="11"/>
        <v>112.70406457539126</v>
      </c>
      <c r="S13" s="116">
        <f t="shared" si="11"/>
        <v>120.35372303656646</v>
      </c>
      <c r="T13" s="116">
        <f t="shared" si="11"/>
        <v>125.95137042349953</v>
      </c>
      <c r="U13" s="116">
        <f t="shared" si="11"/>
        <v>122.82986536356873</v>
      </c>
      <c r="V13" s="116">
        <f t="shared" si="11"/>
        <v>107.85010087064282</v>
      </c>
      <c r="W13" s="116">
        <f t="shared" ref="W13" si="12">SUM(W14:W15)</f>
        <v>109.58723509669892</v>
      </c>
      <c r="DA13" s="176" t="s">
        <v>396</v>
      </c>
    </row>
    <row r="14" spans="1:105" ht="11.45" customHeight="1" x14ac:dyDescent="0.25">
      <c r="A14" s="111" t="s">
        <v>95</v>
      </c>
      <c r="B14" s="87">
        <v>77.371232510908555</v>
      </c>
      <c r="C14" s="87">
        <v>74.06162489908364</v>
      </c>
      <c r="D14" s="87">
        <v>71.732208458528632</v>
      </c>
      <c r="E14" s="87">
        <v>72.201379380168305</v>
      </c>
      <c r="F14" s="87">
        <v>72.330433725208195</v>
      </c>
      <c r="G14" s="87">
        <v>74.158367548221122</v>
      </c>
      <c r="H14" s="87">
        <v>76.868661490737139</v>
      </c>
      <c r="I14" s="87">
        <v>75.926561329279735</v>
      </c>
      <c r="J14" s="87">
        <v>83.421133823259723</v>
      </c>
      <c r="K14" s="87">
        <v>76.090927341527191</v>
      </c>
      <c r="L14" s="87">
        <v>73.879437506182384</v>
      </c>
      <c r="M14" s="87">
        <v>73.326989353534032</v>
      </c>
      <c r="N14" s="87">
        <v>74.030095732166089</v>
      </c>
      <c r="O14" s="87">
        <v>72.308203346794784</v>
      </c>
      <c r="P14" s="87">
        <v>70.138071352675709</v>
      </c>
      <c r="Q14" s="87">
        <v>68.297231369206955</v>
      </c>
      <c r="R14" s="87">
        <v>67.286503591362575</v>
      </c>
      <c r="S14" s="87">
        <v>71.136639097685745</v>
      </c>
      <c r="T14" s="87">
        <v>71.610193370428505</v>
      </c>
      <c r="U14" s="87">
        <v>68.303288716688655</v>
      </c>
      <c r="V14" s="87">
        <v>58.45350968900604</v>
      </c>
      <c r="W14" s="87">
        <v>57.025621961367982</v>
      </c>
      <c r="DA14" s="171" t="s">
        <v>1106</v>
      </c>
    </row>
    <row r="15" spans="1:105" ht="11.45" customHeight="1" x14ac:dyDescent="0.25">
      <c r="A15" s="111" t="s">
        <v>93</v>
      </c>
      <c r="B15" s="87">
        <v>20.127553608123399</v>
      </c>
      <c r="C15" s="87">
        <v>18.945397954478327</v>
      </c>
      <c r="D15" s="87">
        <v>17.501017456728423</v>
      </c>
      <c r="E15" s="87">
        <v>18.731046015877208</v>
      </c>
      <c r="F15" s="87">
        <v>43.055079905502218</v>
      </c>
      <c r="G15" s="87">
        <v>47.303274552358843</v>
      </c>
      <c r="H15" s="87">
        <v>45.576199284035063</v>
      </c>
      <c r="I15" s="87">
        <v>39.830363271824339</v>
      </c>
      <c r="J15" s="87">
        <v>40.626946564291444</v>
      </c>
      <c r="K15" s="87">
        <v>43.652468381030332</v>
      </c>
      <c r="L15" s="87">
        <v>43.039514078365137</v>
      </c>
      <c r="M15" s="87">
        <v>41.073249847265856</v>
      </c>
      <c r="N15" s="87">
        <v>41.22142238200243</v>
      </c>
      <c r="O15" s="87">
        <v>43.705789239926609</v>
      </c>
      <c r="P15" s="87">
        <v>43.341138067062978</v>
      </c>
      <c r="Q15" s="87">
        <v>45.409899003482337</v>
      </c>
      <c r="R15" s="87">
        <v>45.417560984028682</v>
      </c>
      <c r="S15" s="87">
        <v>49.217083938880712</v>
      </c>
      <c r="T15" s="87">
        <v>54.341177053071029</v>
      </c>
      <c r="U15" s="87">
        <v>54.526576646880066</v>
      </c>
      <c r="V15" s="87">
        <v>49.396591181636779</v>
      </c>
      <c r="W15" s="87">
        <v>52.561613135330944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7.3376325911176044E-2</v>
      </c>
      <c r="G16" s="117">
        <v>0.43549360590615649</v>
      </c>
      <c r="H16" s="117">
        <v>4.262666860653777</v>
      </c>
      <c r="I16" s="117">
        <v>5.0284526851428817</v>
      </c>
      <c r="J16" s="117">
        <v>4.4162477615506557</v>
      </c>
      <c r="K16" s="117">
        <v>4.4262708462462799</v>
      </c>
      <c r="L16" s="117">
        <v>4.3942354489125117</v>
      </c>
      <c r="M16" s="117">
        <v>4.6286646445004065</v>
      </c>
      <c r="N16" s="117">
        <v>4.249447329424159</v>
      </c>
      <c r="O16" s="117">
        <v>3.9967215005748349</v>
      </c>
      <c r="P16" s="117">
        <v>4.7724550018905161</v>
      </c>
      <c r="Q16" s="117">
        <v>6.609346464574835</v>
      </c>
      <c r="R16" s="117">
        <v>8.3200427852519798</v>
      </c>
      <c r="S16" s="117">
        <v>9.0592340446494042</v>
      </c>
      <c r="T16" s="117">
        <v>9.2709786639220386</v>
      </c>
      <c r="U16" s="117">
        <v>8.1716556054697449</v>
      </c>
      <c r="V16" s="117">
        <v>7.9058231527950698</v>
      </c>
      <c r="W16" s="117">
        <v>8.126149112600201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67.34139765382649</v>
      </c>
      <c r="C17" s="29">
        <f t="shared" si="13"/>
        <v>64.087136268591792</v>
      </c>
      <c r="D17" s="29">
        <f t="shared" si="13"/>
        <v>57.789492090488764</v>
      </c>
      <c r="E17" s="29">
        <f t="shared" si="13"/>
        <v>56.180217991030673</v>
      </c>
      <c r="F17" s="29">
        <f t="shared" si="13"/>
        <v>72.24192844305469</v>
      </c>
      <c r="G17" s="29">
        <f t="shared" si="13"/>
        <v>68.481379848030258</v>
      </c>
      <c r="H17" s="29">
        <f t="shared" si="13"/>
        <v>70.227952896573598</v>
      </c>
      <c r="I17" s="29">
        <f t="shared" si="13"/>
        <v>73.639706251099696</v>
      </c>
      <c r="J17" s="29">
        <f t="shared" si="13"/>
        <v>65.841815207698517</v>
      </c>
      <c r="K17" s="29">
        <f t="shared" si="13"/>
        <v>54.761473803106625</v>
      </c>
      <c r="L17" s="29">
        <f t="shared" si="13"/>
        <v>52.61404889400427</v>
      </c>
      <c r="M17" s="29">
        <f t="shared" si="13"/>
        <v>54.152749413335783</v>
      </c>
      <c r="N17" s="29">
        <f t="shared" si="13"/>
        <v>48.207894462801448</v>
      </c>
      <c r="O17" s="29">
        <f t="shared" si="13"/>
        <v>45.153963827623556</v>
      </c>
      <c r="P17" s="29">
        <f t="shared" si="13"/>
        <v>50.357824788365789</v>
      </c>
      <c r="Q17" s="29">
        <f t="shared" si="13"/>
        <v>51.917447762414888</v>
      </c>
      <c r="R17" s="29">
        <f t="shared" si="13"/>
        <v>51.827849227269496</v>
      </c>
      <c r="S17" s="29">
        <f t="shared" si="13"/>
        <v>50.354650674695876</v>
      </c>
      <c r="T17" s="29">
        <f t="shared" si="13"/>
        <v>49.123374285765401</v>
      </c>
      <c r="U17" s="29">
        <f t="shared" si="13"/>
        <v>49.893468776318414</v>
      </c>
      <c r="V17" s="29">
        <f t="shared" si="13"/>
        <v>51.429814974004586</v>
      </c>
      <c r="W17" s="29">
        <f t="shared" si="13"/>
        <v>53.912198829273791</v>
      </c>
      <c r="DA17" s="173" t="s">
        <v>401</v>
      </c>
    </row>
    <row r="18" spans="1:105" ht="11.45" customHeight="1" x14ac:dyDescent="0.25">
      <c r="A18" s="83" t="s">
        <v>95</v>
      </c>
      <c r="B18" s="87">
        <v>28.67313550284895</v>
      </c>
      <c r="C18" s="87">
        <v>23.058839417339392</v>
      </c>
      <c r="D18" s="87">
        <v>22.429442444308847</v>
      </c>
      <c r="E18" s="87">
        <v>19.9326704908549</v>
      </c>
      <c r="F18" s="87">
        <v>18.680400324662823</v>
      </c>
      <c r="G18" s="87">
        <v>18.08264706914774</v>
      </c>
      <c r="H18" s="87">
        <v>22.127555190260271</v>
      </c>
      <c r="I18" s="87">
        <v>21.890979513368556</v>
      </c>
      <c r="J18" s="87">
        <v>24.971987414917418</v>
      </c>
      <c r="K18" s="87">
        <v>21.754214532935389</v>
      </c>
      <c r="L18" s="87">
        <v>21.058395683843397</v>
      </c>
      <c r="M18" s="87">
        <v>19.434317611212307</v>
      </c>
      <c r="N18" s="87">
        <v>15.5974193151254</v>
      </c>
      <c r="O18" s="87">
        <v>15.284230015200045</v>
      </c>
      <c r="P18" s="87">
        <v>19.206124692036248</v>
      </c>
      <c r="Q18" s="87">
        <v>18.87516759897877</v>
      </c>
      <c r="R18" s="87">
        <v>19.76740870442417</v>
      </c>
      <c r="S18" s="87">
        <v>18.095863051927328</v>
      </c>
      <c r="T18" s="87">
        <v>16.388688830775266</v>
      </c>
      <c r="U18" s="87">
        <v>15.432566829313055</v>
      </c>
      <c r="V18" s="87">
        <v>16.062569416754929</v>
      </c>
      <c r="W18" s="87">
        <v>16.668445106559791</v>
      </c>
      <c r="DA18" s="171" t="s">
        <v>1108</v>
      </c>
    </row>
    <row r="19" spans="1:105" ht="11.45" customHeight="1" x14ac:dyDescent="0.25">
      <c r="A19" s="85" t="s">
        <v>93</v>
      </c>
      <c r="B19" s="88">
        <v>38.66826215097754</v>
      </c>
      <c r="C19" s="88">
        <v>41.028296851252399</v>
      </c>
      <c r="D19" s="88">
        <v>35.360049646179917</v>
      </c>
      <c r="E19" s="88">
        <v>36.24754750017577</v>
      </c>
      <c r="F19" s="88">
        <v>53.56152811839187</v>
      </c>
      <c r="G19" s="88">
        <v>50.398732778882511</v>
      </c>
      <c r="H19" s="88">
        <v>48.100397706313323</v>
      </c>
      <c r="I19" s="88">
        <v>51.74872673773114</v>
      </c>
      <c r="J19" s="88">
        <v>40.869827792781095</v>
      </c>
      <c r="K19" s="88">
        <v>33.007259270171232</v>
      </c>
      <c r="L19" s="88">
        <v>31.55565321016087</v>
      </c>
      <c r="M19" s="88">
        <v>34.718431802123476</v>
      </c>
      <c r="N19" s="88">
        <v>32.610475147676048</v>
      </c>
      <c r="O19" s="88">
        <v>29.869733812423512</v>
      </c>
      <c r="P19" s="88">
        <v>31.151700096329542</v>
      </c>
      <c r="Q19" s="88">
        <v>33.042280163436118</v>
      </c>
      <c r="R19" s="88">
        <v>32.060440522845326</v>
      </c>
      <c r="S19" s="88">
        <v>32.258787622768544</v>
      </c>
      <c r="T19" s="88">
        <v>32.734685454990135</v>
      </c>
      <c r="U19" s="88">
        <v>34.460901947005361</v>
      </c>
      <c r="V19" s="88">
        <v>35.36724555724966</v>
      </c>
      <c r="W19" s="88">
        <v>37.243753722713997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126.2687299625814</v>
      </c>
      <c r="C23" s="62">
        <f>IF(C10=0,0,C10/TrRail_act!C14*100)</f>
        <v>121.41230519874225</v>
      </c>
      <c r="D23" s="62">
        <f>IF(D10=0,0,D10/TrRail_act!D14*100)</f>
        <v>116.96402065147036</v>
      </c>
      <c r="E23" s="62">
        <f>IF(E10=0,0,E10/TrRail_act!E14*100)</f>
        <v>112.66576929971689</v>
      </c>
      <c r="F23" s="62">
        <f>IF(F10=0,0,F10/TrRail_act!F14*100)</f>
        <v>116.28003369175894</v>
      </c>
      <c r="G23" s="62">
        <f>IF(G10=0,0,G10/TrRail_act!G14*100)</f>
        <v>117.505485072676</v>
      </c>
      <c r="H23" s="62">
        <f>IF(H10=0,0,H10/TrRail_act!H14*100)</f>
        <v>119.04381710187457</v>
      </c>
      <c r="I23" s="62">
        <f>IF(I10=0,0,I10/TrRail_act!I14*100)</f>
        <v>117.68594395987486</v>
      </c>
      <c r="J23" s="62">
        <f>IF(J10=0,0,J10/TrRail_act!J14*100)</f>
        <v>109.93774932781054</v>
      </c>
      <c r="K23" s="62">
        <f>IF(K10=0,0,K10/TrRail_act!K14*100)</f>
        <v>105.10583615899097</v>
      </c>
      <c r="L23" s="62">
        <f>IF(L10=0,0,L10/TrRail_act!L14*100)</f>
        <v>103.42019468154659</v>
      </c>
      <c r="M23" s="62">
        <f>IF(M10=0,0,M10/TrRail_act!M14*100)</f>
        <v>102.23699922934929</v>
      </c>
      <c r="N23" s="62">
        <f>IF(N10=0,0,N10/TrRail_act!N14*100)</f>
        <v>97.2387045830109</v>
      </c>
      <c r="O23" s="62">
        <f>IF(O10=0,0,O10/TrRail_act!O14*100)</f>
        <v>95.244453093318796</v>
      </c>
      <c r="P23" s="62">
        <f>IF(P10=0,0,P10/TrRail_act!P14*100)</f>
        <v>95.925983859841352</v>
      </c>
      <c r="Q23" s="62">
        <f>IF(Q10=0,0,Q10/TrRail_act!Q14*100)</f>
        <v>93.908591672440238</v>
      </c>
      <c r="R23" s="62">
        <f>IF(R10=0,0,R10/TrRail_act!R14*100)</f>
        <v>90.14571891709366</v>
      </c>
      <c r="S23" s="62">
        <f>IF(S10=0,0,S10/TrRail_act!S14*100)</f>
        <v>89.460908684567713</v>
      </c>
      <c r="T23" s="62">
        <f>IF(T10=0,0,T10/TrRail_act!T14*100)</f>
        <v>89.396235069586254</v>
      </c>
      <c r="U23" s="62">
        <f>IF(U10=0,0,U10/TrRail_act!U14*100)</f>
        <v>87.245291430737964</v>
      </c>
      <c r="V23" s="62">
        <f>IF(V10=0,0,V10/TrRail_act!V14*100)</f>
        <v>89.071409102061907</v>
      </c>
      <c r="W23" s="62">
        <f>IF(W10=0,0,W10/TrRail_act!W14*100)</f>
        <v>89.053529617071064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100.78209326125661</v>
      </c>
      <c r="C24" s="29">
        <f>IF(C11=0,0,C11/TrRail_act!C15*100)</f>
        <v>97.158335753558106</v>
      </c>
      <c r="D24" s="29">
        <f>IF(D11=0,0,D11/TrRail_act!D15*100)</f>
        <v>94.44586874672774</v>
      </c>
      <c r="E24" s="29">
        <f>IF(E11=0,0,E11/TrRail_act!E15*100)</f>
        <v>92.040517307247967</v>
      </c>
      <c r="F24" s="29">
        <f>IF(F11=0,0,F11/TrRail_act!F15*100)</f>
        <v>95.308544490024161</v>
      </c>
      <c r="G24" s="29">
        <f>IF(G11=0,0,G11/TrRail_act!G15*100)</f>
        <v>98.347985070423917</v>
      </c>
      <c r="H24" s="29">
        <f>IF(H11=0,0,H11/TrRail_act!H15*100)</f>
        <v>100.01906910436693</v>
      </c>
      <c r="I24" s="29">
        <f>IF(I11=0,0,I11/TrRail_act!I15*100)</f>
        <v>98.165963489216239</v>
      </c>
      <c r="J24" s="29">
        <f>IF(J11=0,0,J11/TrRail_act!J15*100)</f>
        <v>93.121315790096375</v>
      </c>
      <c r="K24" s="29">
        <f>IF(K11=0,0,K11/TrRail_act!K15*100)</f>
        <v>90.574302699204239</v>
      </c>
      <c r="L24" s="29">
        <f>IF(L11=0,0,L11/TrRail_act!L15*100)</f>
        <v>89.286525914659421</v>
      </c>
      <c r="M24" s="29">
        <f>IF(M11=0,0,M11/TrRail_act!M15*100)</f>
        <v>87.942137262382232</v>
      </c>
      <c r="N24" s="29">
        <f>IF(N11=0,0,N11/TrRail_act!N15*100)</f>
        <v>84.985065714939765</v>
      </c>
      <c r="O24" s="29">
        <f>IF(O11=0,0,O11/TrRail_act!O15*100)</f>
        <v>83.79178264492613</v>
      </c>
      <c r="P24" s="29">
        <f>IF(P11=0,0,P11/TrRail_act!P15*100)</f>
        <v>82.855333417689678</v>
      </c>
      <c r="Q24" s="29">
        <f>IF(Q11=0,0,Q11/TrRail_act!Q15*100)</f>
        <v>81.030077119184938</v>
      </c>
      <c r="R24" s="29">
        <f>IF(R11=0,0,R11/TrRail_act!R15*100)</f>
        <v>77.613552161074182</v>
      </c>
      <c r="S24" s="29">
        <f>IF(S11=0,0,S11/TrRail_act!S15*100)</f>
        <v>77.955725932687258</v>
      </c>
      <c r="T24" s="29">
        <f>IF(T11=0,0,T11/TrRail_act!T15*100)</f>
        <v>78.576128826921931</v>
      </c>
      <c r="U24" s="29">
        <f>IF(U11=0,0,U11/TrRail_act!U15*100)</f>
        <v>76.286873495016323</v>
      </c>
      <c r="V24" s="29">
        <f>IF(V11=0,0,V11/TrRail_act!V15*100)</f>
        <v>76.403829185490679</v>
      </c>
      <c r="W24" s="29">
        <f>IF(W11=0,0,W11/TrRail_act!W15*100)</f>
        <v>76.042045885034909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44.817727571071025</v>
      </c>
      <c r="C25" s="115">
        <f>IF(C12=0,0,C12/TrRail_act!C16*100)</f>
        <v>44.199309750553098</v>
      </c>
      <c r="D25" s="115">
        <f>IF(D12=0,0,D12/TrRail_act!D16*100)</f>
        <v>44.162129436605198</v>
      </c>
      <c r="E25" s="115">
        <f>IF(E12=0,0,E12/TrRail_act!E16*100)</f>
        <v>43.511529010580297</v>
      </c>
      <c r="F25" s="115">
        <f>IF(F12=0,0,F12/TrRail_act!F16*100)</f>
        <v>43.489305936779104</v>
      </c>
      <c r="G25" s="115">
        <f>IF(G12=0,0,G12/TrRail_act!G16*100)</f>
        <v>43.460414635438326</v>
      </c>
      <c r="H25" s="115">
        <f>IF(H12=0,0,H12/TrRail_act!H16*100)</f>
        <v>43.444146382934932</v>
      </c>
      <c r="I25" s="115">
        <f>IF(I12=0,0,I12/TrRail_act!I16*100)</f>
        <v>43.423225557375986</v>
      </c>
      <c r="J25" s="115">
        <f>IF(J12=0,0,J12/TrRail_act!J16*100)</f>
        <v>42.202761265062591</v>
      </c>
      <c r="K25" s="115">
        <f>IF(K12=0,0,K12/TrRail_act!K16*100)</f>
        <v>41.769746775186633</v>
      </c>
      <c r="L25" s="115">
        <f>IF(L12=0,0,L12/TrRail_act!L16*100)</f>
        <v>41.263010707152063</v>
      </c>
      <c r="M25" s="115">
        <f>IF(M12=0,0,M12/TrRail_act!M16*100)</f>
        <v>40.428383260612996</v>
      </c>
      <c r="N25" s="115">
        <f>IF(N12=0,0,N12/TrRail_act!N16*100)</f>
        <v>39.832371017239247</v>
      </c>
      <c r="O25" s="115">
        <f>IF(O12=0,0,O12/TrRail_act!O16*100)</f>
        <v>38.982630846300488</v>
      </c>
      <c r="P25" s="115">
        <f>IF(P12=0,0,P12/TrRail_act!P16*100)</f>
        <v>37.125343661356027</v>
      </c>
      <c r="Q25" s="115">
        <f>IF(Q12=0,0,Q12/TrRail_act!Q16*100)</f>
        <v>35.351283175341983</v>
      </c>
      <c r="R25" s="115">
        <f>IF(R12=0,0,R12/TrRail_act!R16*100)</f>
        <v>34.076596142144552</v>
      </c>
      <c r="S25" s="115">
        <f>IF(S12=0,0,S12/TrRail_act!S16*100)</f>
        <v>33.150835312134269</v>
      </c>
      <c r="T25" s="115">
        <f>IF(T12=0,0,T12/TrRail_act!T16*100)</f>
        <v>32.473057193335677</v>
      </c>
      <c r="U25" s="115">
        <f>IF(U12=0,0,U12/TrRail_act!U16*100)</f>
        <v>31.973833092944272</v>
      </c>
      <c r="V25" s="115">
        <f>IF(V12=0,0,V12/TrRail_act!V16*100)</f>
        <v>31.604458098633387</v>
      </c>
      <c r="W25" s="115">
        <f>IF(W12=0,0,W12/TrRail_act!W16*100)</f>
        <v>31.330229891026367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235.34574528801232</v>
      </c>
      <c r="C26" s="116">
        <f>IF(C13=0,0,C13/TrRail_act!C17*100)</f>
        <v>232.49859037805027</v>
      </c>
      <c r="D26" s="116">
        <f>IF(D13=0,0,D13/TrRail_act!D17*100)</f>
        <v>228.80995174583555</v>
      </c>
      <c r="E26" s="116">
        <f>IF(E13=0,0,E13/TrRail_act!E17*100)</f>
        <v>224.00439094363605</v>
      </c>
      <c r="F26" s="116">
        <f>IF(F13=0,0,F13/TrRail_act!F17*100)</f>
        <v>198.35588959613247</v>
      </c>
      <c r="G26" s="116">
        <f>IF(G13=0,0,G13/TrRail_act!G17*100)</f>
        <v>191.27329171006673</v>
      </c>
      <c r="H26" s="116">
        <f>IF(H13=0,0,H13/TrRail_act!H17*100)</f>
        <v>188.38830437089632</v>
      </c>
      <c r="I26" s="116">
        <f>IF(I13=0,0,I13/TrRail_act!I17*100)</f>
        <v>187.11874658615278</v>
      </c>
      <c r="J26" s="116">
        <f>IF(J13=0,0,J13/TrRail_act!J17*100)</f>
        <v>185.08809319086276</v>
      </c>
      <c r="K26" s="116">
        <f>IF(K13=0,0,K13/TrRail_act!K17*100)</f>
        <v>178.78995331139515</v>
      </c>
      <c r="L26" s="116">
        <f>IF(L13=0,0,L13/TrRail_act!L17*100)</f>
        <v>175.87093028913924</v>
      </c>
      <c r="M26" s="116">
        <f>IF(M13=0,0,M13/TrRail_act!M17*100)</f>
        <v>168.24891160277599</v>
      </c>
      <c r="N26" s="116">
        <f>IF(N13=0,0,N13/TrRail_act!N17*100)</f>
        <v>165.61141100804591</v>
      </c>
      <c r="O26" s="116">
        <f>IF(O13=0,0,O13/TrRail_act!O17*100)</f>
        <v>161.4341538262172</v>
      </c>
      <c r="P26" s="116">
        <f>IF(P13=0,0,P13/TrRail_act!P17*100)</f>
        <v>157.90811770516171</v>
      </c>
      <c r="Q26" s="116">
        <f>IF(Q13=0,0,Q13/TrRail_act!Q17*100)</f>
        <v>152.09567319697305</v>
      </c>
      <c r="R26" s="116">
        <f>IF(R13=0,0,R13/TrRail_act!R17*100)</f>
        <v>149.15773848291587</v>
      </c>
      <c r="S26" s="116">
        <f>IF(S13=0,0,S13/TrRail_act!S17*100)</f>
        <v>147.91653793044216</v>
      </c>
      <c r="T26" s="116">
        <f>IF(T13=0,0,T13/TrRail_act!T17*100)</f>
        <v>144.95121606629772</v>
      </c>
      <c r="U26" s="116">
        <f>IF(U13=0,0,U13/TrRail_act!U17*100)</f>
        <v>142.30447278905979</v>
      </c>
      <c r="V26" s="116">
        <f>IF(V13=0,0,V13/TrRail_act!V17*100)</f>
        <v>139.94838298888394</v>
      </c>
      <c r="W26" s="116">
        <f>IF(W13=0,0,W13/TrRail_act!W17*100)</f>
        <v>137.53650918299672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269.69084441157617</v>
      </c>
      <c r="C27" s="87">
        <f>IF(C14=0,0,C14/TrRail_act!C18*100)</f>
        <v>265.31437400320323</v>
      </c>
      <c r="D27" s="87">
        <f>IF(D14=0,0,D14/TrRail_act!D18*100)</f>
        <v>259.41438237646889</v>
      </c>
      <c r="E27" s="87">
        <f>IF(E14=0,0,E14/TrRail_act!E18*100)</f>
        <v>255.26679206323908</v>
      </c>
      <c r="F27" s="87">
        <f>IF(F14=0,0,F14/TrRail_act!F18*100)</f>
        <v>246.13791145347855</v>
      </c>
      <c r="G27" s="87">
        <f>IF(G14=0,0,G14/TrRail_act!G18*100)</f>
        <v>242.8634718621777</v>
      </c>
      <c r="H27" s="87">
        <f>IF(H14=0,0,H14/TrRail_act!H18*100)</f>
        <v>235.68680459646089</v>
      </c>
      <c r="I27" s="87">
        <f>IF(I14=0,0,I14/TrRail_act!I18*100)</f>
        <v>232.94897402763567</v>
      </c>
      <c r="J27" s="87">
        <f>IF(J14=0,0,J14/TrRail_act!J18*100)</f>
        <v>229.42978440518948</v>
      </c>
      <c r="K27" s="87">
        <f>IF(K14=0,0,K14/TrRail_act!K18*100)</f>
        <v>224.85205264108052</v>
      </c>
      <c r="L27" s="87">
        <f>IF(L14=0,0,L14/TrRail_act!L18*100)</f>
        <v>220.53911693626179</v>
      </c>
      <c r="M27" s="87">
        <f>IF(M14=0,0,M14/TrRail_act!M18*100)</f>
        <v>216.00070104443137</v>
      </c>
      <c r="N27" s="87">
        <f>IF(N14=0,0,N14/TrRail_act!N18*100)</f>
        <v>211.62292512432325</v>
      </c>
      <c r="O27" s="87">
        <f>IF(O14=0,0,O14/TrRail_act!O18*100)</f>
        <v>206.69979963162791</v>
      </c>
      <c r="P27" s="87">
        <f>IF(P14=0,0,P14/TrRail_act!P18*100)</f>
        <v>200.60362376015252</v>
      </c>
      <c r="Q27" s="87">
        <f>IF(Q14=0,0,Q14/TrRail_act!Q18*100)</f>
        <v>192.64257890053747</v>
      </c>
      <c r="R27" s="87">
        <f>IF(R14=0,0,R14/TrRail_act!R18*100)</f>
        <v>188.18798243468677</v>
      </c>
      <c r="S27" s="87">
        <f>IF(S14=0,0,S14/TrRail_act!S18*100)</f>
        <v>188.0583152765015</v>
      </c>
      <c r="T27" s="87">
        <f>IF(T14=0,0,T14/TrRail_act!T18*100)</f>
        <v>186.08151230815943</v>
      </c>
      <c r="U27" s="87">
        <f>IF(U14=0,0,U14/TrRail_act!U18*100)</f>
        <v>182.21259532460209</v>
      </c>
      <c r="V27" s="87">
        <f>IF(V14=0,0,V14/TrRail_act!V18*100)</f>
        <v>179.00506125256214</v>
      </c>
      <c r="W27" s="87">
        <f>IF(W14=0,0,W14/TrRail_act!W18*100)</f>
        <v>176.63651921758861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157.99907306579644</v>
      </c>
      <c r="C28" s="87">
        <f>IF(C15=0,0,C15/TrRail_act!C19*100)</f>
        <v>156.72124618687752</v>
      </c>
      <c r="D28" s="87">
        <f>IF(D15=0,0,D15/TrRail_act!D19*100)</f>
        <v>154.23139849099175</v>
      </c>
      <c r="E28" s="87">
        <f>IF(E15=0,0,E15/TrRail_act!E19*100)</f>
        <v>152.16908973959806</v>
      </c>
      <c r="F28" s="87">
        <f>IF(F15=0,0,F15/TrRail_act!F19*100)</f>
        <v>149.57567957013097</v>
      </c>
      <c r="G28" s="87">
        <f>IF(G15=0,0,G15/TrRail_act!G19*100)</f>
        <v>143.48840103698484</v>
      </c>
      <c r="H28" s="87">
        <f>IF(H15=0,0,H15/TrRail_act!H19*100)</f>
        <v>140.74873596636164</v>
      </c>
      <c r="I28" s="87">
        <f>IF(I15=0,0,I15/TrRail_act!I19*100)</f>
        <v>136.08299341587519</v>
      </c>
      <c r="J28" s="87">
        <f>IF(J15=0,0,J15/TrRail_act!J19*100)</f>
        <v>132.504090009262</v>
      </c>
      <c r="K28" s="87">
        <f>IF(K15=0,0,K15/TrRail_act!K19*100)</f>
        <v>131.74563525695322</v>
      </c>
      <c r="L28" s="87">
        <f>IF(L15=0,0,L15/TrRail_act!L19*100)</f>
        <v>130.49986518056895</v>
      </c>
      <c r="M28" s="87">
        <f>IF(M15=0,0,M15/TrRail_act!M19*100)</f>
        <v>120.63667083982956</v>
      </c>
      <c r="N28" s="87">
        <f>IF(N15=0,0,N15/TrRail_act!N19*100)</f>
        <v>119.10451346466826</v>
      </c>
      <c r="O28" s="87">
        <f>IF(O15=0,0,O15/TrRail_act!O19*100)</f>
        <v>118.50052893266778</v>
      </c>
      <c r="P28" s="87">
        <f>IF(P15=0,0,P15/TrRail_act!P19*100)</f>
        <v>117.45386295782481</v>
      </c>
      <c r="Q28" s="87">
        <f>IF(Q15=0,0,Q15/TrRail_act!Q19*100)</f>
        <v>115.52493486077276</v>
      </c>
      <c r="R28" s="87">
        <f>IF(R15=0,0,R15/TrRail_act!R19*100)</f>
        <v>114.09905640983334</v>
      </c>
      <c r="S28" s="87">
        <f>IF(S15=0,0,S15/TrRail_act!S19*100)</f>
        <v>113.04120887481344</v>
      </c>
      <c r="T28" s="87">
        <f>IF(T15=0,0,T15/TrRail_act!T19*100)</f>
        <v>112.25426446836737</v>
      </c>
      <c r="U28" s="87">
        <f>IF(U15=0,0,U15/TrRail_act!U19*100)</f>
        <v>111.66765343367359</v>
      </c>
      <c r="V28" s="87">
        <f>IF(V15=0,0,V15/TrRail_act!V19*100)</f>
        <v>111.22970775232319</v>
      </c>
      <c r="W28" s="87">
        <f>IF(W15=0,0,W15/TrRail_act!W19*100)</f>
        <v>110.90237601194171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228.11293029381153</v>
      </c>
      <c r="G29" s="117">
        <f>IF(G16=0,0,G16/TrRail_act!G20*100)</f>
        <v>225.64435539179092</v>
      </c>
      <c r="H29" s="117">
        <f>IF(H16=0,0,H16/TrRail_act!H20*100)</f>
        <v>223.29318285247655</v>
      </c>
      <c r="I29" s="117">
        <f>IF(I16=0,0,I16/TrRail_act!I20*100)</f>
        <v>221.22537110175458</v>
      </c>
      <c r="J29" s="117">
        <f>IF(J16=0,0,J16/TrRail_act!J20*100)</f>
        <v>221.7628000778665</v>
      </c>
      <c r="K29" s="117">
        <f>IF(K16=0,0,K16/TrRail_act!K20*100)</f>
        <v>219.66604696011314</v>
      </c>
      <c r="L29" s="117">
        <f>IF(L16=0,0,L16/TrRail_act!L20*100)</f>
        <v>220.81585170414635</v>
      </c>
      <c r="M29" s="117">
        <f>IF(M16=0,0,M16/TrRail_act!M20*100)</f>
        <v>218.43627392639954</v>
      </c>
      <c r="N29" s="117">
        <f>IF(N16=0,0,N16/TrRail_act!N20*100)</f>
        <v>213.63766281382883</v>
      </c>
      <c r="O29" s="117">
        <f>IF(O16=0,0,O16/TrRail_act!O20*100)</f>
        <v>209.8424511726214</v>
      </c>
      <c r="P29" s="117">
        <f>IF(P16=0,0,P16/TrRail_act!P20*100)</f>
        <v>205.57027457467595</v>
      </c>
      <c r="Q29" s="117">
        <f>IF(Q16=0,0,Q16/TrRail_act!Q20*100)</f>
        <v>201.32033093435376</v>
      </c>
      <c r="R29" s="117">
        <f>IF(R16=0,0,R16/TrRail_act!R20*100)</f>
        <v>198.19063328375367</v>
      </c>
      <c r="S29" s="117">
        <f>IF(S16=0,0,S16/TrRail_act!S20*100)</f>
        <v>195.87533069512227</v>
      </c>
      <c r="T29" s="117">
        <f>IF(T16=0,0,T16/TrRail_act!T20*100)</f>
        <v>194.15662123396936</v>
      </c>
      <c r="U29" s="117">
        <f>IF(U16=0,0,U16/TrRail_act!U20*100)</f>
        <v>192.87749318815989</v>
      </c>
      <c r="V29" s="117">
        <f>IF(V16=0,0,V16/TrRail_act!V20*100)</f>
        <v>191.92368045119093</v>
      </c>
      <c r="W29" s="117">
        <f>IF(W16=0,0,W16/TrRail_act!W20*100)</f>
        <v>191.21141755616875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270.8409511201117</v>
      </c>
      <c r="C30" s="29">
        <f>IF(C17=0,0,C17/TrRail_act!C21*100)</f>
        <v>262.96207611459926</v>
      </c>
      <c r="D30" s="29">
        <f>IF(D17=0,0,D17/TrRail_act!D21*100)</f>
        <v>264.63830992770318</v>
      </c>
      <c r="E30" s="29">
        <f>IF(E17=0,0,E17/TrRail_act!E21*100)</f>
        <v>252.77807705322698</v>
      </c>
      <c r="F30" s="29">
        <f>IF(F17=0,0,F17/TrRail_act!F21*100)</f>
        <v>234.91337586965125</v>
      </c>
      <c r="G30" s="29">
        <f>IF(G17=0,0,G17/TrRail_act!G21*100)</f>
        <v>226.05474924428773</v>
      </c>
      <c r="H30" s="29">
        <f>IF(H17=0,0,H17/TrRail_act!H21*100)</f>
        <v>223.57297219846123</v>
      </c>
      <c r="I30" s="29">
        <f>IF(I17=0,0,I17/TrRail_act!I21*100)</f>
        <v>213.97852248537305</v>
      </c>
      <c r="J30" s="29">
        <f>IF(J17=0,0,J17/TrRail_act!J21*100)</f>
        <v>219.12319777831738</v>
      </c>
      <c r="K30" s="29">
        <f>IF(K17=0,0,K17/TrRail_act!K21*100)</f>
        <v>218.26751717539051</v>
      </c>
      <c r="L30" s="29">
        <f>IF(L17=0,0,L17/TrRail_act!L21*100)</f>
        <v>215.70685463696316</v>
      </c>
      <c r="M30" s="29">
        <f>IF(M17=0,0,M17/TrRail_act!M21*100)</f>
        <v>206.04388690021165</v>
      </c>
      <c r="N30" s="29">
        <f>IF(N17=0,0,N17/TrRail_act!N21*100)</f>
        <v>199.3467141226516</v>
      </c>
      <c r="O30" s="29">
        <f>IF(O17=0,0,O17/TrRail_act!O21*100)</f>
        <v>197.00095682790928</v>
      </c>
      <c r="P30" s="29">
        <f>IF(P17=0,0,P17/TrRail_act!P21*100)</f>
        <v>197.72608773755456</v>
      </c>
      <c r="Q30" s="29">
        <f>IF(Q17=0,0,Q17/TrRail_act!Q21*100)</f>
        <v>189.16122169621642</v>
      </c>
      <c r="R30" s="29">
        <f>IF(R17=0,0,R17/TrRail_act!R21*100)</f>
        <v>188.28017204097586</v>
      </c>
      <c r="S30" s="29">
        <f>IF(S17=0,0,S17/TrRail_act!S21*100)</f>
        <v>184.29300774281617</v>
      </c>
      <c r="T30" s="29">
        <f>IF(T17=0,0,T17/TrRail_act!T21*100)</f>
        <v>180.17150223073267</v>
      </c>
      <c r="U30" s="29">
        <f>IF(U17=0,0,U17/TrRail_act!U21*100)</f>
        <v>176.53899526047553</v>
      </c>
      <c r="V30" s="29">
        <f>IF(V17=0,0,V17/TrRail_act!V21*100)</f>
        <v>176.50588958315794</v>
      </c>
      <c r="W30" s="29">
        <f>IF(W17=0,0,W17/TrRail_act!W21*100)</f>
        <v>175.80715419129237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387.71237218386199</v>
      </c>
      <c r="C31" s="87">
        <f>IF(C18=0,0,C18/TrRail_act!C22*100)</f>
        <v>385.71367518439661</v>
      </c>
      <c r="D31" s="87">
        <f>IF(D18=0,0,D18/TrRail_act!D22*100)</f>
        <v>381.18839066044495</v>
      </c>
      <c r="E31" s="87">
        <f>IF(E18=0,0,E18/TrRail_act!E22*100)</f>
        <v>378.45137762169213</v>
      </c>
      <c r="F31" s="87">
        <f>IF(F18=0,0,F18/TrRail_act!F22*100)</f>
        <v>374.99473244598141</v>
      </c>
      <c r="G31" s="87">
        <f>IF(G18=0,0,G18/TrRail_act!G22*100)</f>
        <v>368.37614501666417</v>
      </c>
      <c r="H31" s="87">
        <f>IF(H18=0,0,H18/TrRail_act!H22*100)</f>
        <v>362.50152343200216</v>
      </c>
      <c r="I31" s="87">
        <f>IF(I18=0,0,I18/TrRail_act!I22*100)</f>
        <v>360.24997600674044</v>
      </c>
      <c r="J31" s="87">
        <f>IF(J18=0,0,J18/TrRail_act!J22*100)</f>
        <v>358.34259450221055</v>
      </c>
      <c r="K31" s="87">
        <f>IF(K18=0,0,K18/TrRail_act!K22*100)</f>
        <v>357.24789119301892</v>
      </c>
      <c r="L31" s="87">
        <f>IF(L18=0,0,L18/TrRail_act!L22*100)</f>
        <v>356.49053428261323</v>
      </c>
      <c r="M31" s="87">
        <f>IF(M18=0,0,M18/TrRail_act!M22*100)</f>
        <v>352.2387574695461</v>
      </c>
      <c r="N31" s="87">
        <f>IF(N18=0,0,N18/TrRail_act!N22*100)</f>
        <v>350.00262532295022</v>
      </c>
      <c r="O31" s="87">
        <f>IF(O18=0,0,O18/TrRail_act!O22*100)</f>
        <v>348.9426236201179</v>
      </c>
      <c r="P31" s="87">
        <f>IF(P18=0,0,P18/TrRail_act!P22*100)</f>
        <v>346.72326640927105</v>
      </c>
      <c r="Q31" s="87">
        <f>IF(Q18=0,0,Q18/TrRail_act!Q22*100)</f>
        <v>346.05431941147583</v>
      </c>
      <c r="R31" s="87">
        <f>IF(R18=0,0,R18/TrRail_act!R22*100)</f>
        <v>345.5534562727434</v>
      </c>
      <c r="S31" s="87">
        <f>IF(S18=0,0,S18/TrRail_act!S22*100)</f>
        <v>345.17828470899605</v>
      </c>
      <c r="T31" s="87">
        <f>IF(T18=0,0,T18/TrRail_act!T22*100)</f>
        <v>344.89717336957625</v>
      </c>
      <c r="U31" s="87">
        <f>IF(U18=0,0,U18/TrRail_act!U22*100)</f>
        <v>344.68649011417381</v>
      </c>
      <c r="V31" s="87">
        <f>IF(V18=0,0,V18/TrRail_act!V22*100)</f>
        <v>344.52856213471387</v>
      </c>
      <c r="W31" s="87">
        <f>IF(W18=0,0,W18/TrRail_act!W22*100)</f>
        <v>344.41016363767238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221.36183396777528</v>
      </c>
      <c r="C32" s="88">
        <f>IF(C19=0,0,C19/TrRail_act!C23*100)</f>
        <v>223.06449807705641</v>
      </c>
      <c r="D32" s="88">
        <f>IF(D19=0,0,D19/TrRail_act!D23*100)</f>
        <v>221.65034078736255</v>
      </c>
      <c r="E32" s="88">
        <f>IF(E19=0,0,E19/TrRail_act!E23*100)</f>
        <v>213.74629454797139</v>
      </c>
      <c r="F32" s="88">
        <f>IF(F19=0,0,F19/TrRail_act!F23*100)</f>
        <v>207.83585693932642</v>
      </c>
      <c r="G32" s="88">
        <f>IF(G19=0,0,G19/TrRail_act!G23*100)</f>
        <v>198.53423796376455</v>
      </c>
      <c r="H32" s="88">
        <f>IF(H19=0,0,H19/TrRail_act!H23*100)</f>
        <v>190.0636593087151</v>
      </c>
      <c r="I32" s="88">
        <f>IF(I19=0,0,I19/TrRail_act!I23*100)</f>
        <v>182.61298106073235</v>
      </c>
      <c r="J32" s="88">
        <f>IF(J19=0,0,J19/TrRail_act!J23*100)</f>
        <v>177.08583701360689</v>
      </c>
      <c r="K32" s="88">
        <f>IF(K19=0,0,K19/TrRail_act!K23*100)</f>
        <v>173.72456661168965</v>
      </c>
      <c r="L32" s="88">
        <f>IF(L19=0,0,L19/TrRail_act!L23*100)</f>
        <v>170.71580323888199</v>
      </c>
      <c r="M32" s="88">
        <f>IF(M19=0,0,M19/TrRail_act!M23*100)</f>
        <v>167.19870933075808</v>
      </c>
      <c r="N32" s="88">
        <f>IF(N19=0,0,N19/TrRail_act!N23*100)</f>
        <v>165.31246994653847</v>
      </c>
      <c r="O32" s="88">
        <f>IF(O19=0,0,O19/TrRail_act!O23*100)</f>
        <v>161.10509721835902</v>
      </c>
      <c r="P32" s="88">
        <f>IF(P19=0,0,P19/TrRail_act!P23*100)</f>
        <v>156.31220571826216</v>
      </c>
      <c r="Q32" s="88">
        <f>IF(Q19=0,0,Q19/TrRail_act!Q23*100)</f>
        <v>150.24857773699824</v>
      </c>
      <c r="R32" s="88">
        <f>IF(R19=0,0,R19/TrRail_act!R23*100)</f>
        <v>147.02257010156018</v>
      </c>
      <c r="S32" s="88">
        <f>IF(S19=0,0,S19/TrRail_act!S23*100)</f>
        <v>146.09508812373639</v>
      </c>
      <c r="T32" s="88">
        <f>IF(T19=0,0,T19/TrRail_act!T23*100)</f>
        <v>145.40331835379911</v>
      </c>
      <c r="U32" s="88">
        <f>IF(U19=0,0,U19/TrRail_act!U23*100)</f>
        <v>144.88664147188763</v>
      </c>
      <c r="V32" s="88">
        <f>IF(V19=0,0,V19/TrRail_act!V23*100)</f>
        <v>144.50033901783959</v>
      </c>
      <c r="W32" s="88">
        <f>IF(W19=0,0,W19/TrRail_act!W23*100)</f>
        <v>144.21128824851093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9.2492420140139853</v>
      </c>
      <c r="C35" s="29">
        <f>IF(C11=0,0,C11/TrRail_act!C4*1000)</f>
        <v>8.900708451306528</v>
      </c>
      <c r="D35" s="29">
        <f>IF(D11=0,0,D11/TrRail_act!D4*1000)</f>
        <v>9.0750375748880838</v>
      </c>
      <c r="E35" s="29">
        <f>IF(E11=0,0,E11/TrRail_act!E4*1000)</f>
        <v>9.2142168616639655</v>
      </c>
      <c r="F35" s="29">
        <f>IF(F11=0,0,F11/TrRail_act!F4*1000)</f>
        <v>10.832866588527185</v>
      </c>
      <c r="G35" s="29">
        <f>IF(G11=0,0,G11/TrRail_act!G4*1000)</f>
        <v>11.56175689047129</v>
      </c>
      <c r="H35" s="29">
        <f>IF(H11=0,0,H11/TrRail_act!H4*1000)</f>
        <v>11.726290038940284</v>
      </c>
      <c r="I35" s="29">
        <f>IF(I11=0,0,I11/TrRail_act!I4*1000)</f>
        <v>11.376955083680301</v>
      </c>
      <c r="J35" s="29">
        <f>IF(J11=0,0,J11/TrRail_act!J4*1000)</f>
        <v>11.414711412436851</v>
      </c>
      <c r="K35" s="29">
        <f>IF(K11=0,0,K11/TrRail_act!K4*1000)</f>
        <v>11.447377208238722</v>
      </c>
      <c r="L35" s="29">
        <f>IF(L11=0,0,L11/TrRail_act!L4*1000)</f>
        <v>11.122413148019243</v>
      </c>
      <c r="M35" s="29">
        <f>IF(M11=0,0,M11/TrRail_act!M4*1000)</f>
        <v>10.909541455873645</v>
      </c>
      <c r="N35" s="29">
        <f>IF(N11=0,0,N11/TrRail_act!N4*1000)</f>
        <v>10.256093543609826</v>
      </c>
      <c r="O35" s="29">
        <f>IF(O11=0,0,O11/TrRail_act!O4*1000)</f>
        <v>9.9831738913903418</v>
      </c>
      <c r="P35" s="29">
        <f>IF(P11=0,0,P11/TrRail_act!P4*1000)</f>
        <v>9.7434079605279962</v>
      </c>
      <c r="Q35" s="29">
        <f>IF(Q11=0,0,Q11/TrRail_act!Q4*1000)</f>
        <v>9.3722580269149578</v>
      </c>
      <c r="R35" s="29">
        <f>IF(R11=0,0,R11/TrRail_act!R4*1000)</f>
        <v>8.7565970912756299</v>
      </c>
      <c r="S35" s="29">
        <f>IF(S11=0,0,S11/TrRail_act!S4*1000)</f>
        <v>8.7145998548259982</v>
      </c>
      <c r="T35" s="29">
        <f>IF(T11=0,0,T11/TrRail_act!T4*1000)</f>
        <v>8.5771935546640083</v>
      </c>
      <c r="U35" s="29">
        <f>IF(U11=0,0,U11/TrRail_act!U4*1000)</f>
        <v>8.0019596508748894</v>
      </c>
      <c r="V35" s="29">
        <f>IF(V11=0,0,V11/TrRail_act!V4*1000)</f>
        <v>14.807005050755537</v>
      </c>
      <c r="W35" s="29">
        <f>IF(W11=0,0,W11/TrRail_act!W4*1000)</f>
        <v>14.998854241577094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5.5334116450588704</v>
      </c>
      <c r="C36" s="115">
        <f>IF(C12=0,0,C12/TrRail_act!C5*1000)</f>
        <v>5.4923272835083479</v>
      </c>
      <c r="D36" s="115">
        <f>IF(D12=0,0,D12/TrRail_act!D5*1000)</f>
        <v>5.5400426268057021</v>
      </c>
      <c r="E36" s="115">
        <f>IF(E12=0,0,E12/TrRail_act!E5*1000)</f>
        <v>5.6088545182349785</v>
      </c>
      <c r="F36" s="115">
        <f>IF(F12=0,0,F12/TrRail_act!F5*1000)</f>
        <v>5.769703697677067</v>
      </c>
      <c r="G36" s="115">
        <f>IF(G12=0,0,G12/TrRail_act!G5*1000)</f>
        <v>5.9134366417109847</v>
      </c>
      <c r="H36" s="115">
        <f>IF(H12=0,0,H12/TrRail_act!H5*1000)</f>
        <v>5.8871676116589917</v>
      </c>
      <c r="I36" s="115">
        <f>IF(I12=0,0,I12/TrRail_act!I5*1000)</f>
        <v>5.9182508724111704</v>
      </c>
      <c r="J36" s="115">
        <f>IF(J12=0,0,J12/TrRail_act!J5*1000)</f>
        <v>5.819873096749423</v>
      </c>
      <c r="K36" s="115">
        <f>IF(K12=0,0,K12/TrRail_act!K5*1000)</f>
        <v>5.8744481823356889</v>
      </c>
      <c r="L36" s="115">
        <f>IF(L12=0,0,L12/TrRail_act!L5*1000)</f>
        <v>5.7471459261006217</v>
      </c>
      <c r="M36" s="115">
        <f>IF(M12=0,0,M12/TrRail_act!M5*1000)</f>
        <v>5.6005497307613297</v>
      </c>
      <c r="N36" s="115">
        <f>IF(N12=0,0,N12/TrRail_act!N5*1000)</f>
        <v>5.4467779991164154</v>
      </c>
      <c r="O36" s="115">
        <f>IF(O12=0,0,O12/TrRail_act!O5*1000)</f>
        <v>5.2845430931175281</v>
      </c>
      <c r="P36" s="115">
        <f>IF(P12=0,0,P12/TrRail_act!P5*1000)</f>
        <v>4.9978470356198024</v>
      </c>
      <c r="Q36" s="115">
        <f>IF(Q12=0,0,Q12/TrRail_act!Q5*1000)</f>
        <v>4.6864648902163459</v>
      </c>
      <c r="R36" s="115">
        <f>IF(R12=0,0,R12/TrRail_act!R5*1000)</f>
        <v>4.4634317868524631</v>
      </c>
      <c r="S36" s="115">
        <f>IF(S12=0,0,S12/TrRail_act!S5*1000)</f>
        <v>4.2960304670935736</v>
      </c>
      <c r="T36" s="115">
        <f>IF(T12=0,0,T12/TrRail_act!T5*1000)</f>
        <v>4.1464234463475567</v>
      </c>
      <c r="U36" s="115">
        <f>IF(U12=0,0,U12/TrRail_act!U5*1000)</f>
        <v>4.0256516717113184</v>
      </c>
      <c r="V36" s="115">
        <f>IF(V12=0,0,V12/TrRail_act!V5*1000)</f>
        <v>10.095557568458565</v>
      </c>
      <c r="W36" s="115">
        <f>IF(W12=0,0,W12/TrRail_act!W5*1000)</f>
        <v>10.449442146563245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13.355998098497528</v>
      </c>
      <c r="C37" s="116">
        <f>IF(C13=0,0,C13/TrRail_act!C6*1000)</f>
        <v>12.742433600981226</v>
      </c>
      <c r="D37" s="116">
        <f>IF(D13=0,0,D13/TrRail_act!D6*1000)</f>
        <v>13.52633407840792</v>
      </c>
      <c r="E37" s="116">
        <f>IF(E13=0,0,E13/TrRail_act!E6*1000)</f>
        <v>13.950970450451905</v>
      </c>
      <c r="F37" s="116">
        <f>IF(F13=0,0,F13/TrRail_act!F6*1000)</f>
        <v>17.538457764205869</v>
      </c>
      <c r="G37" s="116">
        <f>IF(G13=0,0,G13/TrRail_act!G6*1000)</f>
        <v>18.234745849058694</v>
      </c>
      <c r="H37" s="116">
        <f>IF(H13=0,0,H13/TrRail_act!H6*1000)</f>
        <v>18.075710182281107</v>
      </c>
      <c r="I37" s="116">
        <f>IF(I13=0,0,I13/TrRail_act!I6*1000)</f>
        <v>17.62169654454317</v>
      </c>
      <c r="J37" s="116">
        <f>IF(J13=0,0,J13/TrRail_act!J6*1000)</f>
        <v>19.025779200544658</v>
      </c>
      <c r="K37" s="116">
        <f>IF(K13=0,0,K13/TrRail_act!K6*1000)</f>
        <v>19.198876979727036</v>
      </c>
      <c r="L37" s="116">
        <f>IF(L13=0,0,L13/TrRail_act!L6*1000)</f>
        <v>18.593980849959848</v>
      </c>
      <c r="M37" s="116">
        <f>IF(M13=0,0,M13/TrRail_act!M6*1000)</f>
        <v>17.919836967543841</v>
      </c>
      <c r="N37" s="116">
        <f>IF(N13=0,0,N13/TrRail_act!N6*1000)</f>
        <v>16.642818500240942</v>
      </c>
      <c r="O37" s="116">
        <f>IF(O13=0,0,O13/TrRail_act!O6*1000)</f>
        <v>15.966693171858161</v>
      </c>
      <c r="P37" s="116">
        <f>IF(P13=0,0,P13/TrRail_act!P6*1000)</f>
        <v>15.339174022673516</v>
      </c>
      <c r="Q37" s="116">
        <f>IF(Q13=0,0,Q13/TrRail_act!Q6*1000)</f>
        <v>15.0446057651084</v>
      </c>
      <c r="R37" s="116">
        <f>IF(R13=0,0,R13/TrRail_act!R6*1000)</f>
        <v>14.017918479526275</v>
      </c>
      <c r="S37" s="116">
        <f>IF(S13=0,0,S13/TrRail_act!S6*1000)</f>
        <v>13.939509269928939</v>
      </c>
      <c r="T37" s="116">
        <f>IF(T13=0,0,T13/TrRail_act!T6*1000)</f>
        <v>13.362122896615693</v>
      </c>
      <c r="U37" s="116">
        <f>IF(U13=0,0,U13/TrRail_act!U6*1000)</f>
        <v>12.31377096376629</v>
      </c>
      <c r="V37" s="116">
        <f>IF(V13=0,0,V13/TrRail_act!V6*1000)</f>
        <v>17.722408013869771</v>
      </c>
      <c r="W37" s="116">
        <f>IF(W13=0,0,W13/TrRail_act!W6*1000)</f>
        <v>17.663813327895618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19.406118540705798</v>
      </c>
      <c r="C38" s="87">
        <f>IF(C14=0,0,C14/TrRail_act!C7*1000)</f>
        <v>18.574713617552288</v>
      </c>
      <c r="D38" s="87">
        <f>IF(D14=0,0,D14/TrRail_act!D7*1000)</f>
        <v>20.028811839195729</v>
      </c>
      <c r="E38" s="87">
        <f>IF(E14=0,0,E14/TrRail_act!E7*1000)</f>
        <v>20.893290217778482</v>
      </c>
      <c r="F38" s="87">
        <f>IF(F14=0,0,F14/TrRail_act!F7*1000)</f>
        <v>20.967165298412016</v>
      </c>
      <c r="G38" s="87">
        <f>IF(G14=0,0,G14/TrRail_act!G7*1000)</f>
        <v>21.392562863537147</v>
      </c>
      <c r="H38" s="87">
        <f>IF(H14=0,0,H14/TrRail_act!H7*1000)</f>
        <v>22.318817513318926</v>
      </c>
      <c r="I38" s="87">
        <f>IF(I14=0,0,I14/TrRail_act!I7*1000)</f>
        <v>23.091010127366289</v>
      </c>
      <c r="J38" s="87">
        <f>IF(J14=0,0,J14/TrRail_act!J7*1000)</f>
        <v>26.28956027691742</v>
      </c>
      <c r="K38" s="87">
        <f>IF(K14=0,0,K14/TrRail_act!K7*1000)</f>
        <v>25.472386212142521</v>
      </c>
      <c r="L38" s="87">
        <f>IF(L14=0,0,L14/TrRail_act!L7*1000)</f>
        <v>24.601830823052627</v>
      </c>
      <c r="M38" s="87">
        <f>IF(M14=0,0,M14/TrRail_act!M7*1000)</f>
        <v>24.285738027181942</v>
      </c>
      <c r="N38" s="87">
        <f>IF(N14=0,0,N14/TrRail_act!N7*1000)</f>
        <v>23.102390693983171</v>
      </c>
      <c r="O38" s="87">
        <f>IF(O14=0,0,O14/TrRail_act!O7*1000)</f>
        <v>21.609469685728296</v>
      </c>
      <c r="P38" s="87">
        <f>IF(P14=0,0,P14/TrRail_act!P7*1000)</f>
        <v>20.598389437690056</v>
      </c>
      <c r="Q38" s="87">
        <f>IF(Q14=0,0,Q14/TrRail_act!Q7*1000)</f>
        <v>20.168551113607531</v>
      </c>
      <c r="R38" s="87">
        <f>IF(R14=0,0,R14/TrRail_act!R7*1000)</f>
        <v>18.590843334577261</v>
      </c>
      <c r="S38" s="87">
        <f>IF(S14=0,0,S14/TrRail_act!S7*1000)</f>
        <v>18.353051838445808</v>
      </c>
      <c r="T38" s="87">
        <f>IF(T14=0,0,T14/TrRail_act!T7*1000)</f>
        <v>17.172874461125563</v>
      </c>
      <c r="U38" s="87">
        <f>IF(U14=0,0,U14/TrRail_act!U7*1000)</f>
        <v>15.491700899581048</v>
      </c>
      <c r="V38" s="87">
        <f>IF(V14=0,0,V14/TrRail_act!V7*1000)</f>
        <v>21.051150200012405</v>
      </c>
      <c r="W38" s="87">
        <f>IF(W14=0,0,W14/TrRail_act!W7*1000)</f>
        <v>20.040058109130715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6.0752346549687424</v>
      </c>
      <c r="C39" s="87">
        <f>IF(C15=0,0,C15/TrRail_act!C8*1000)</f>
        <v>5.7206232823599379</v>
      </c>
      <c r="D39" s="87">
        <f>IF(D15=0,0,D15/TrRail_act!D8*1000)</f>
        <v>5.8035924915997441</v>
      </c>
      <c r="E39" s="87">
        <f>IF(E15=0,0,E15/TrRail_act!E8*1000)</f>
        <v>6.1167010967296314</v>
      </c>
      <c r="F39" s="87">
        <f>IF(F15=0,0,F15/TrRail_act!F8*1000)</f>
        <v>13.758694361272312</v>
      </c>
      <c r="G39" s="87">
        <f>IF(G15=0,0,G15/TrRail_act!G8*1000)</f>
        <v>14.807951242185652</v>
      </c>
      <c r="H39" s="87">
        <f>IF(H15=0,0,H15/TrRail_act!H8*1000)</f>
        <v>13.687035086044924</v>
      </c>
      <c r="I39" s="87">
        <f>IF(I15=0,0,I15/TrRail_act!I8*1000)</f>
        <v>12.140234318005675</v>
      </c>
      <c r="J39" s="87">
        <f>IF(J15=0,0,J15/TrRail_act!J8*1000)</f>
        <v>12.13891822973153</v>
      </c>
      <c r="K39" s="87">
        <f>IF(K15=0,0,K15/TrRail_act!K8*1000)</f>
        <v>13.432325360417881</v>
      </c>
      <c r="L39" s="87">
        <f>IF(L15=0,0,L15/TrRail_act!L8*1000)</f>
        <v>13.101853392286076</v>
      </c>
      <c r="M39" s="87">
        <f>IF(M15=0,0,M15/TrRail_act!M8*1000)</f>
        <v>12.207264517897425</v>
      </c>
      <c r="N39" s="87">
        <f>IF(N15=0,0,N15/TrRail_act!N8*1000)</f>
        <v>11.079343020197932</v>
      </c>
      <c r="O39" s="87">
        <f>IF(O15=0,0,O15/TrRail_act!O8*1000)</f>
        <v>11.149820082548866</v>
      </c>
      <c r="P39" s="87">
        <f>IF(P15=0,0,P15/TrRail_act!P8*1000)</f>
        <v>10.854352790479448</v>
      </c>
      <c r="Q39" s="87">
        <f>IF(Q15=0,0,Q15/TrRail_act!Q8*1000)</f>
        <v>10.885286791185568</v>
      </c>
      <c r="R39" s="87">
        <f>IF(R15=0,0,R15/TrRail_act!R8*1000)</f>
        <v>10.273922253095686</v>
      </c>
      <c r="S39" s="87">
        <f>IF(S15=0,0,S15/TrRail_act!S8*1000)</f>
        <v>10.344094660645167</v>
      </c>
      <c r="T39" s="87">
        <f>IF(T15=0,0,T15/TrRail_act!T8*1000)</f>
        <v>10.338805128933203</v>
      </c>
      <c r="U39" s="87">
        <f>IF(U15=0,0,U15/TrRail_act!U8*1000)</f>
        <v>9.7964097373449892</v>
      </c>
      <c r="V39" s="87">
        <f>IF(V15=0,0,V15/TrRail_act!V8*1000)</f>
        <v>14.928922593910317</v>
      </c>
      <c r="W39" s="87">
        <f>IF(W15=0,0,W15/TrRail_act!W8*1000)</f>
        <v>15.650457310166534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73.376325911176039</v>
      </c>
      <c r="G40" s="117">
        <f>IF(G16=0,0,G16/TrRail_act!G9*1000)</f>
        <v>72.582267651026086</v>
      </c>
      <c r="H40" s="117">
        <f>IF(H16=0,0,H16/TrRail_act!H9*1000)</f>
        <v>28.801803112525523</v>
      </c>
      <c r="I40" s="117">
        <f>IF(I16=0,0,I16/TrRail_act!I9*1000)</f>
        <v>15.284050714720006</v>
      </c>
      <c r="J40" s="117">
        <f>IF(J16=0,0,J16/TrRail_act!J9*1000)</f>
        <v>17.455524749212078</v>
      </c>
      <c r="K40" s="117">
        <f>IF(K16=0,0,K16/TrRail_act!K9*1000)</f>
        <v>18.835195090409702</v>
      </c>
      <c r="L40" s="117">
        <f>IF(L16=0,0,L16/TrRail_act!L9*1000)</f>
        <v>16.214890955396722</v>
      </c>
      <c r="M40" s="117">
        <f>IF(M16=0,0,M16/TrRail_act!M9*1000)</f>
        <v>16.24092857719441</v>
      </c>
      <c r="N40" s="117">
        <f>IF(N16=0,0,N16/TrRail_act!N9*1000)</f>
        <v>15.680617451749663</v>
      </c>
      <c r="O40" s="117">
        <f>IF(O16=0,0,O16/TrRail_act!O9*1000)</f>
        <v>16.246835368190386</v>
      </c>
      <c r="P40" s="117">
        <f>IF(P16=0,0,P16/TrRail_act!P9*1000)</f>
        <v>19.400223584920798</v>
      </c>
      <c r="Q40" s="117">
        <f>IF(Q16=0,0,Q16/TrRail_act!Q9*1000)</f>
        <v>11.656695704717523</v>
      </c>
      <c r="R40" s="117">
        <f>IF(R16=0,0,R16/TrRail_act!R9*1000)</f>
        <v>11.919832070561576</v>
      </c>
      <c r="S40" s="117">
        <f>IF(S16=0,0,S16/TrRail_act!S9*1000)</f>
        <v>11.780538419570096</v>
      </c>
      <c r="T40" s="117">
        <f>IF(T16=0,0,T16/TrRail_act!T9*1000)</f>
        <v>11.676295546501308</v>
      </c>
      <c r="U40" s="117">
        <f>IF(U16=0,0,U16/TrRail_act!U9*1000)</f>
        <v>9.2754320152891534</v>
      </c>
      <c r="V40" s="117">
        <f>IF(V16=0,0,V16/TrRail_act!V9*1000)</f>
        <v>14.709105620259342</v>
      </c>
      <c r="W40" s="117">
        <f>IF(W16=0,0,W16/TrRail_act!W9*1000)</f>
        <v>14.830175137309599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3.8489596281336587</v>
      </c>
      <c r="C41" s="29">
        <f>IF(C17=0,0,C17/TrRail_act!C10*1000)</f>
        <v>3.7921382407450763</v>
      </c>
      <c r="D41" s="29">
        <f>IF(D17=0,0,D17/TrRail_act!D10*1000)</f>
        <v>3.6552493415868921</v>
      </c>
      <c r="E41" s="29">
        <f>IF(E17=0,0,E17/TrRail_act!E10*1000)</f>
        <v>3.5418117507899809</v>
      </c>
      <c r="F41" s="29">
        <f>IF(F17=0,0,F17/TrRail_act!F10*1000)</f>
        <v>4.7867697086572152</v>
      </c>
      <c r="G41" s="29">
        <f>IF(G17=0,0,G17/TrRail_act!G10*1000)</f>
        <v>4.606577414773998</v>
      </c>
      <c r="H41" s="29">
        <f>IF(H17=0,0,H17/TrRail_act!H10*1000)</f>
        <v>4.4507226628159957</v>
      </c>
      <c r="I41" s="29">
        <f>IF(I17=0,0,I17/TrRail_act!I10*1000)</f>
        <v>4.5166650055875674</v>
      </c>
      <c r="J41" s="29">
        <f>IF(J17=0,0,J17/TrRail_act!J10*1000)</f>
        <v>4.2651949995270142</v>
      </c>
      <c r="K41" s="29">
        <f>IF(K17=0,0,K17/TrRail_act!K10*1000)</f>
        <v>4.2812503950517264</v>
      </c>
      <c r="L41" s="29">
        <f>IF(L17=0,0,L17/TrRail_act!L10*1000)</f>
        <v>3.8209185834425758</v>
      </c>
      <c r="M41" s="29">
        <f>IF(M17=0,0,M17/TrRail_act!M10*1000)</f>
        <v>3.7826731917669592</v>
      </c>
      <c r="N41" s="29">
        <f>IF(N17=0,0,N17/TrRail_act!N10*1000)</f>
        <v>3.3789790749843305</v>
      </c>
      <c r="O41" s="29">
        <f>IF(O17=0,0,O17/TrRail_act!O10*1000)</f>
        <v>3.2333665469118191</v>
      </c>
      <c r="P41" s="29">
        <f>IF(P17=0,0,P17/TrRail_act!P10*1000)</f>
        <v>3.4550823182412205</v>
      </c>
      <c r="Q41" s="29">
        <f>IF(Q17=0,0,Q17/TrRail_act!Q10*1000)</f>
        <v>3.4019689248682843</v>
      </c>
      <c r="R41" s="29">
        <f>IF(R17=0,0,R17/TrRail_act!R10*1000)</f>
        <v>3.3182565610646968</v>
      </c>
      <c r="S41" s="29">
        <f>IF(S17=0,0,S17/TrRail_act!S10*1000)</f>
        <v>3.178353258517697</v>
      </c>
      <c r="T41" s="29">
        <f>IF(T17=0,0,T17/TrRail_act!T10*1000)</f>
        <v>2.9656709904470784</v>
      </c>
      <c r="U41" s="29">
        <f>IF(U17=0,0,U17/TrRail_act!U10*1000)</f>
        <v>3.0836507278317935</v>
      </c>
      <c r="V41" s="29">
        <f>IF(V17=0,0,V17/TrRail_act!V10*1000)</f>
        <v>3.372225753983646</v>
      </c>
      <c r="W41" s="29">
        <f>IF(W17=0,0,W17/TrRail_act!W10*1000)</f>
        <v>3.3022295007517939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5.6358300383998623</v>
      </c>
      <c r="C42" s="87">
        <f>IF(C18=0,0,C18/TrRail_act!C11*1000)</f>
        <v>5.6829115575658999</v>
      </c>
      <c r="D42" s="87">
        <f>IF(D18=0,0,D18/TrRail_act!D11*1000)</f>
        <v>5.8454069496575913</v>
      </c>
      <c r="E42" s="87">
        <f>IF(E18=0,0,E18/TrRail_act!E11*1000)</f>
        <v>5.6815830018279172</v>
      </c>
      <c r="F42" s="87">
        <f>IF(F18=0,0,F18/TrRail_act!F11*1000)</f>
        <v>5.663499059753808</v>
      </c>
      <c r="G42" s="87">
        <f>IF(G18=0,0,G18/TrRail_act!G11*1000)</f>
        <v>5.7248440104538325</v>
      </c>
      <c r="H42" s="87">
        <f>IF(H18=0,0,H18/TrRail_act!H11*1000)</f>
        <v>5.9984531287782232</v>
      </c>
      <c r="I42" s="87">
        <f>IF(I18=0,0,I18/TrRail_act!I11*1000)</f>
        <v>5.8998502673034494</v>
      </c>
      <c r="J42" s="87">
        <f>IF(J18=0,0,J18/TrRail_act!J11*1000)</f>
        <v>6.6919821214662898</v>
      </c>
      <c r="K42" s="87">
        <f>IF(K18=0,0,K18/TrRail_act!K11*1000)</f>
        <v>5.8888385502417506</v>
      </c>
      <c r="L42" s="87">
        <f>IF(L18=0,0,L18/TrRail_act!L11*1000)</f>
        <v>5.651045174015934</v>
      </c>
      <c r="M42" s="87">
        <f>IF(M18=0,0,M18/TrRail_act!M11*1000)</f>
        <v>5.4684381601350962</v>
      </c>
      <c r="N42" s="87">
        <f>IF(N18=0,0,N18/TrRail_act!N11*1000)</f>
        <v>5.576271229789362</v>
      </c>
      <c r="O42" s="87">
        <f>IF(O18=0,0,O18/TrRail_act!O11*1000)</f>
        <v>5.4651952920753208</v>
      </c>
      <c r="P42" s="87">
        <f>IF(P18=0,0,P18/TrRail_act!P11*1000)</f>
        <v>5.2821914982564335</v>
      </c>
      <c r="Q42" s="87">
        <f>IF(Q18=0,0,Q18/TrRail_act!Q11*1000)</f>
        <v>5.316966838969404</v>
      </c>
      <c r="R42" s="87">
        <f>IF(R18=0,0,R18/TrRail_act!R11*1000)</f>
        <v>5.4083957360210793</v>
      </c>
      <c r="S42" s="87">
        <f>IF(S18=0,0,S18/TrRail_act!S11*1000)</f>
        <v>5.1365577217056622</v>
      </c>
      <c r="T42" s="87">
        <f>IF(T18=0,0,T18/TrRail_act!T11*1000)</f>
        <v>4.6118814035851639</v>
      </c>
      <c r="U42" s="87">
        <f>IF(U18=0,0,U18/TrRail_act!U11*1000)</f>
        <v>4.4400256518365895</v>
      </c>
      <c r="V42" s="87">
        <f>IF(V18=0,0,V18/TrRail_act!V11*1000)</f>
        <v>4.8268377084942289</v>
      </c>
      <c r="W42" s="87">
        <f>IF(W18=0,0,W18/TrRail_act!W11*1000)</f>
        <v>4.8604544896532804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3.1163099694587313</v>
      </c>
      <c r="C43" s="88">
        <f>IF(C19=0,0,C19/TrRail_act!C12*1000)</f>
        <v>3.1947468332974127</v>
      </c>
      <c r="D43" s="88">
        <f>IF(D19=0,0,D19/TrRail_act!D12*1000)</f>
        <v>2.9533417576232686</v>
      </c>
      <c r="E43" s="88">
        <f>IF(E19=0,0,E19/TrRail_act!E12*1000)</f>
        <v>2.9341438983284336</v>
      </c>
      <c r="F43" s="88">
        <f>IF(F19=0,0,F19/TrRail_act!F12*1000)</f>
        <v>4.5415700021678092</v>
      </c>
      <c r="G43" s="88">
        <f>IF(G19=0,0,G19/TrRail_act!G12*1000)</f>
        <v>4.3048712067595121</v>
      </c>
      <c r="H43" s="88">
        <f>IF(H19=0,0,H19/TrRail_act!H12*1000)</f>
        <v>3.9784870107295935</v>
      </c>
      <c r="I43" s="88">
        <f>IF(I19=0,0,I19/TrRail_act!I12*1000)</f>
        <v>4.1091386639932246</v>
      </c>
      <c r="J43" s="88">
        <f>IF(J19=0,0,J19/TrRail_act!J12*1000)</f>
        <v>3.4915445284932738</v>
      </c>
      <c r="K43" s="88">
        <f>IF(K19=0,0,K19/TrRail_act!K12*1000)</f>
        <v>3.6284247416939355</v>
      </c>
      <c r="L43" s="88">
        <f>IF(L19=0,0,L19/TrRail_act!L12*1000)</f>
        <v>3.1418856556563819</v>
      </c>
      <c r="M43" s="88">
        <f>IF(M19=0,0,M19/TrRail_act!M12*1000)</f>
        <v>3.2259923795208545</v>
      </c>
      <c r="N43" s="88">
        <f>IF(N19=0,0,N19/TrRail_act!N12*1000)</f>
        <v>2.8431364687709841</v>
      </c>
      <c r="O43" s="88">
        <f>IF(O19=0,0,O19/TrRail_act!O12*1000)</f>
        <v>2.674497996795786</v>
      </c>
      <c r="P43" s="88">
        <f>IF(P19=0,0,P19/TrRail_act!P12*1000)</f>
        <v>2.8477686523395422</v>
      </c>
      <c r="Q43" s="88">
        <f>IF(Q19=0,0,Q19/TrRail_act!Q12*1000)</f>
        <v>2.8214709111996545</v>
      </c>
      <c r="R43" s="88">
        <f>IF(R19=0,0,R19/TrRail_act!R12*1000)</f>
        <v>2.6797311036275699</v>
      </c>
      <c r="S43" s="88">
        <f>IF(S19=0,0,S19/TrRail_act!S12*1000)</f>
        <v>2.618398577895221</v>
      </c>
      <c r="T43" s="88">
        <f>IF(T19=0,0,T19/TrRail_act!T12*1000)</f>
        <v>2.5160359988369385</v>
      </c>
      <c r="U43" s="88">
        <f>IF(U19=0,0,U19/TrRail_act!U12*1000)</f>
        <v>2.7125562046858311</v>
      </c>
      <c r="V43" s="88">
        <f>IF(V19=0,0,V19/TrRail_act!V12*1000)</f>
        <v>2.9662451573119908</v>
      </c>
      <c r="W43" s="88">
        <f>IF(W19=0,0,W19/TrRail_act!W12*1000)</f>
        <v>2.8878739509693263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160393.26939131861</v>
      </c>
      <c r="C45" s="54">
        <f>IF(C10=0,0,1000000*C10/TrRail_act!C25)</f>
        <v>153090.67068531728</v>
      </c>
      <c r="D45" s="54">
        <f>IF(D10=0,0,1000000*D10/TrRail_act!D25)</f>
        <v>146227.15926853885</v>
      </c>
      <c r="E45" s="54">
        <f>IF(E10=0,0,1000000*E10/TrRail_act!E25)</f>
        <v>140870.74870965289</v>
      </c>
      <c r="F45" s="54">
        <f>IF(F10=0,0,1000000*F10/TrRail_act!F25)</f>
        <v>149336.69070843991</v>
      </c>
      <c r="G45" s="54">
        <f>IF(G10=0,0,1000000*G10/TrRail_act!G25)</f>
        <v>152439.0415171113</v>
      </c>
      <c r="H45" s="54">
        <f>IF(H10=0,0,1000000*H10/TrRail_act!H25)</f>
        <v>156136.73299344452</v>
      </c>
      <c r="I45" s="54">
        <f>IF(I10=0,0,1000000*I10/TrRail_act!I25)</f>
        <v>153828.67951433946</v>
      </c>
      <c r="J45" s="54">
        <f>IF(J10=0,0,1000000*J10/TrRail_act!J25)</f>
        <v>140167.88530427121</v>
      </c>
      <c r="K45" s="54">
        <f>IF(K10=0,0,1000000*K10/TrRail_act!K25)</f>
        <v>131968.63278253184</v>
      </c>
      <c r="L45" s="54">
        <f>IF(L10=0,0,1000000*L10/TrRail_act!L25)</f>
        <v>130238.94198701426</v>
      </c>
      <c r="M45" s="54">
        <f>IF(M10=0,0,1000000*M10/TrRail_act!M25)</f>
        <v>131331.33325003533</v>
      </c>
      <c r="N45" s="54">
        <f>IF(N10=0,0,1000000*N10/TrRail_act!N25)</f>
        <v>123800.5713182975</v>
      </c>
      <c r="O45" s="54">
        <f>IF(O10=0,0,1000000*O10/TrRail_act!O25)</f>
        <v>121268.77664074383</v>
      </c>
      <c r="P45" s="54">
        <f>IF(P10=0,0,1000000*P10/TrRail_act!P25)</f>
        <v>123364.24482007779</v>
      </c>
      <c r="Q45" s="54">
        <f>IF(Q10=0,0,1000000*Q10/TrRail_act!Q25)</f>
        <v>121653.38531359594</v>
      </c>
      <c r="R45" s="54">
        <f>IF(R10=0,0,1000000*R10/TrRail_act!R25)</f>
        <v>116235.21675216858</v>
      </c>
      <c r="S45" s="54">
        <f>IF(S10=0,0,1000000*S10/TrRail_act!S25)</f>
        <v>115561.41911655017</v>
      </c>
      <c r="T45" s="54">
        <f>IF(T10=0,0,1000000*T10/TrRail_act!T25)</f>
        <v>116034.6776881423</v>
      </c>
      <c r="U45" s="54">
        <f>IF(U10=0,0,1000000*U10/TrRail_act!U25)</f>
        <v>112916.87265181703</v>
      </c>
      <c r="V45" s="54">
        <f>IF(V10=0,0,1000000*V10/TrRail_act!V25)</f>
        <v>108863.64818794129</v>
      </c>
      <c r="W45" s="54">
        <f>IF(W10=0,0,1000000*W10/TrRail_act!W25)</f>
        <v>116919.28430935227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120281.83409859522</v>
      </c>
      <c r="C46" s="28">
        <f>IF(C11=0,0,1000000*C11/TrRail_act!C26)</f>
        <v>115539.61638132717</v>
      </c>
      <c r="D46" s="28">
        <f>IF(D11=0,0,1000000*D11/TrRail_act!D26)</f>
        <v>112025.68306239517</v>
      </c>
      <c r="E46" s="28">
        <f>IF(E11=0,0,1000000*E11/TrRail_act!E26)</f>
        <v>109064.31430967295</v>
      </c>
      <c r="F46" s="28">
        <f>IF(F11=0,0,1000000*F11/TrRail_act!F26)</f>
        <v>115120.7279873754</v>
      </c>
      <c r="G46" s="28">
        <f>IF(G11=0,0,1000000*G11/TrRail_act!G26)</f>
        <v>120136.57625609938</v>
      </c>
      <c r="H46" s="28">
        <f>IF(H11=0,0,1000000*H11/TrRail_act!H26)</f>
        <v>123450.29857285455</v>
      </c>
      <c r="I46" s="28">
        <f>IF(I11=0,0,1000000*I11/TrRail_act!I26)</f>
        <v>119893.7986546302</v>
      </c>
      <c r="J46" s="28">
        <f>IF(J11=0,0,1000000*J11/TrRail_act!J26)</f>
        <v>113684.59586255081</v>
      </c>
      <c r="K46" s="28">
        <f>IF(K11=0,0,1000000*K11/TrRail_act!K26)</f>
        <v>110564.52338916846</v>
      </c>
      <c r="L46" s="28">
        <f>IF(L11=0,0,1000000*L11/TrRail_act!L26)</f>
        <v>108993.16066205615</v>
      </c>
      <c r="M46" s="28">
        <f>IF(M11=0,0,1000000*M11/TrRail_act!M26)</f>
        <v>107867.6663231158</v>
      </c>
      <c r="N46" s="28">
        <f>IF(N11=0,0,1000000*N11/TrRail_act!N26)</f>
        <v>103779.00945885596</v>
      </c>
      <c r="O46" s="28">
        <f>IF(O11=0,0,1000000*O11/TrRail_act!O26)</f>
        <v>102494.92326508235</v>
      </c>
      <c r="P46" s="28">
        <f>IF(P11=0,0,1000000*P11/TrRail_act!P26)</f>
        <v>101885.03954181354</v>
      </c>
      <c r="Q46" s="28">
        <f>IF(Q11=0,0,1000000*Q11/TrRail_act!Q26)</f>
        <v>100197.64194511034</v>
      </c>
      <c r="R46" s="28">
        <f>IF(R11=0,0,1000000*R11/TrRail_act!R26)</f>
        <v>95732.454133925028</v>
      </c>
      <c r="S46" s="28">
        <f>IF(S11=0,0,1000000*S11/TrRail_act!S26)</f>
        <v>96551.440083777619</v>
      </c>
      <c r="T46" s="28">
        <f>IF(T11=0,0,1000000*T11/TrRail_act!T26)</f>
        <v>97894.55682405048</v>
      </c>
      <c r="U46" s="28">
        <f>IF(U11=0,0,1000000*U11/TrRail_act!U26)</f>
        <v>94635.669841161682</v>
      </c>
      <c r="V46" s="28">
        <f>IF(V11=0,0,1000000*V11/TrRail_act!V26)</f>
        <v>88400.443668368651</v>
      </c>
      <c r="W46" s="28">
        <f>IF(W11=0,0,1000000*W11/TrRail_act!W26)</f>
        <v>94944.316033279654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49299.500274989477</v>
      </c>
      <c r="C47" s="108">
        <f>IF(C12=0,0,1000000*C12/TrRail_act!C27)</f>
        <v>48619.240685803874</v>
      </c>
      <c r="D47" s="108">
        <f>IF(D12=0,0,1000000*D12/TrRail_act!D27)</f>
        <v>48578.342345384212</v>
      </c>
      <c r="E47" s="108">
        <f>IF(E12=0,0,1000000*E12/TrRail_act!E27)</f>
        <v>47862.681874533715</v>
      </c>
      <c r="F47" s="108">
        <f>IF(F12=0,0,1000000*F12/TrRail_act!F27)</f>
        <v>47838.236530297741</v>
      </c>
      <c r="G47" s="108">
        <f>IF(G12=0,0,1000000*G12/TrRail_act!G27)</f>
        <v>47806.456072604837</v>
      </c>
      <c r="H47" s="108">
        <f>IF(H12=0,0,1000000*H12/TrRail_act!H27)</f>
        <v>47788.560992649604</v>
      </c>
      <c r="I47" s="108">
        <f>IF(I12=0,0,1000000*I12/TrRail_act!I27)</f>
        <v>47765.548087991563</v>
      </c>
      <c r="J47" s="108">
        <f>IF(J12=0,0,1000000*J12/TrRail_act!J27)</f>
        <v>46423.037355464199</v>
      </c>
      <c r="K47" s="108">
        <f>IF(K12=0,0,1000000*K12/TrRail_act!K27)</f>
        <v>45946.721450297147</v>
      </c>
      <c r="L47" s="108">
        <f>IF(L12=0,0,1000000*L12/TrRail_act!L27)</f>
        <v>45389.311760872493</v>
      </c>
      <c r="M47" s="108">
        <f>IF(M12=0,0,1000000*M12/TrRail_act!M27)</f>
        <v>44471.221576575437</v>
      </c>
      <c r="N47" s="108">
        <f>IF(N12=0,0,1000000*N12/TrRail_act!N27)</f>
        <v>43815.608097458928</v>
      </c>
      <c r="O47" s="108">
        <f>IF(O12=0,0,1000000*O12/TrRail_act!O27)</f>
        <v>42880.89390849341</v>
      </c>
      <c r="P47" s="108">
        <f>IF(P12=0,0,1000000*P12/TrRail_act!P27)</f>
        <v>40837.878027401675</v>
      </c>
      <c r="Q47" s="108">
        <f>IF(Q12=0,0,1000000*Q12/TrRail_act!Q27)</f>
        <v>38886.411481537056</v>
      </c>
      <c r="R47" s="108">
        <f>IF(R12=0,0,1000000*R12/TrRail_act!R27)</f>
        <v>37484.255742801164</v>
      </c>
      <c r="S47" s="108">
        <f>IF(S12=0,0,1000000*S12/TrRail_act!S27)</f>
        <v>36465.918820247221</v>
      </c>
      <c r="T47" s="108">
        <f>IF(T12=0,0,1000000*T12/TrRail_act!T27)</f>
        <v>35720.36290635472</v>
      </c>
      <c r="U47" s="108">
        <f>IF(U12=0,0,1000000*U12/TrRail_act!U27)</f>
        <v>35171.216387877197</v>
      </c>
      <c r="V47" s="108">
        <f>IF(V12=0,0,1000000*V12/TrRail_act!V27)</f>
        <v>32127.32880097903</v>
      </c>
      <c r="W47" s="108">
        <f>IF(W12=0,0,1000000*W12/TrRail_act!W27)</f>
        <v>34463.252861243571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353018.61747792445</v>
      </c>
      <c r="C48" s="110">
        <f>IF(C13=0,0,1000000*C13/TrRail_act!C28)</f>
        <v>348747.88397661288</v>
      </c>
      <c r="D48" s="110">
        <f>IF(D13=0,0,1000000*D13/TrRail_act!D28)</f>
        <v>343214.92570272065</v>
      </c>
      <c r="E48" s="110">
        <f>IF(E13=0,0,1000000*E13/TrRail_act!E28)</f>
        <v>336006.58579007973</v>
      </c>
      <c r="F48" s="110">
        <f>IF(F13=0,0,1000000*F13/TrRail_act!F28)</f>
        <v>297533.83372991293</v>
      </c>
      <c r="G48" s="110">
        <f>IF(G13=0,0,1000000*G13/TrRail_act!G28)</f>
        <v>286909.93662772875</v>
      </c>
      <c r="H48" s="110">
        <f>IF(H13=0,0,1000000*H13/TrRail_act!H28)</f>
        <v>282582.45605919667</v>
      </c>
      <c r="I48" s="110">
        <f>IF(I13=0,0,1000000*I13/TrRail_act!I28)</f>
        <v>272578.78330371529</v>
      </c>
      <c r="J48" s="110">
        <f>IF(J13=0,0,1000000*J13/TrRail_act!J28)</f>
        <v>277632.13919276657</v>
      </c>
      <c r="K48" s="110">
        <f>IF(K13=0,0,1000000*K13/TrRail_act!K28)</f>
        <v>268184.9292472956</v>
      </c>
      <c r="L48" s="110">
        <f>IF(L13=0,0,1000000*L13/TrRail_act!L28)</f>
        <v>263806.39512902423</v>
      </c>
      <c r="M48" s="110">
        <f>IF(M13=0,0,1000000*M13/TrRail_act!M28)</f>
        <v>252373.36679514777</v>
      </c>
      <c r="N48" s="110">
        <f>IF(N13=0,0,1000000*N13/TrRail_act!N28)</f>
        <v>248417.11585601905</v>
      </c>
      <c r="O48" s="110">
        <f>IF(O13=0,0,1000000*O13/TrRail_act!O28)</f>
        <v>242151.23019418394</v>
      </c>
      <c r="P48" s="110">
        <f>IF(P13=0,0,1000000*P13/TrRail_act!P28)</f>
        <v>236862.17593559265</v>
      </c>
      <c r="Q48" s="110">
        <f>IF(Q13=0,0,1000000*Q13/TrRail_act!Q28)</f>
        <v>228143.5091526355</v>
      </c>
      <c r="R48" s="110">
        <f>IF(R13=0,0,1000000*R13/TrRail_act!R28)</f>
        <v>223736.60727695923</v>
      </c>
      <c r="S48" s="110">
        <f>IF(S13=0,0,1000000*S13/TrRail_act!S28)</f>
        <v>221874.80656667182</v>
      </c>
      <c r="T48" s="110">
        <f>IF(T13=0,0,1000000*T13/TrRail_act!T28)</f>
        <v>217426.82358217041</v>
      </c>
      <c r="U48" s="110">
        <f>IF(U13=0,0,1000000*U13/TrRail_act!U28)</f>
        <v>213456.70861390504</v>
      </c>
      <c r="V48" s="110">
        <f>IF(V13=0,0,1000000*V13/TrRail_act!V28)</f>
        <v>196873.71418747335</v>
      </c>
      <c r="W48" s="110">
        <f>IF(W13=0,0,1000000*W13/TrRail_act!W28)</f>
        <v>206304.76315724629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404536.26635166095</v>
      </c>
      <c r="C49" s="84">
        <f>IF(C14=0,0,1000000*C14/TrRail_act!C29)</f>
        <v>397971.55938759167</v>
      </c>
      <c r="D49" s="84">
        <f>IF(D14=0,0,1000000*D14/TrRail_act!D29)</f>
        <v>389121.57236668462</v>
      </c>
      <c r="E49" s="84">
        <f>IF(E14=0,0,1000000*E14/TrRail_act!E29)</f>
        <v>382900.18769900914</v>
      </c>
      <c r="F49" s="84">
        <f>IF(F14=0,0,1000000*F14/TrRail_act!F29)</f>
        <v>369206.86660834053</v>
      </c>
      <c r="G49" s="84">
        <f>IF(G14=0,0,1000000*G14/TrRail_act!G29)</f>
        <v>364295.20649816113</v>
      </c>
      <c r="H49" s="84">
        <f>IF(H14=0,0,1000000*H14/TrRail_act!H29)</f>
        <v>353530.20679272787</v>
      </c>
      <c r="I49" s="84">
        <f>IF(I14=0,0,1000000*I14/TrRail_act!I29)</f>
        <v>349423.46074930578</v>
      </c>
      <c r="J49" s="84">
        <f>IF(J14=0,0,1000000*J14/TrRail_act!J29)</f>
        <v>344144.67645252141</v>
      </c>
      <c r="K49" s="84">
        <f>IF(K14=0,0,1000000*K14/TrRail_act!K29)</f>
        <v>337278.07799142547</v>
      </c>
      <c r="L49" s="84">
        <f>IF(L14=0,0,1000000*L14/TrRail_act!L29)</f>
        <v>330808.67484107212</v>
      </c>
      <c r="M49" s="84">
        <f>IF(M14=0,0,1000000*M14/TrRail_act!M29)</f>
        <v>324001.05134564854</v>
      </c>
      <c r="N49" s="84">
        <f>IF(N14=0,0,1000000*N14/TrRail_act!N29)</f>
        <v>317434.38657151663</v>
      </c>
      <c r="O49" s="84">
        <f>IF(O14=0,0,1000000*O14/TrRail_act!O29)</f>
        <v>310049.699002031</v>
      </c>
      <c r="P49" s="84">
        <f>IF(P14=0,0,1000000*P14/TrRail_act!P29)</f>
        <v>300905.43516260572</v>
      </c>
      <c r="Q49" s="84">
        <f>IF(Q14=0,0,1000000*Q14/TrRail_act!Q29)</f>
        <v>288963.86755613162</v>
      </c>
      <c r="R49" s="84">
        <f>IF(R14=0,0,1000000*R14/TrRail_act!R29)</f>
        <v>282281.97324573155</v>
      </c>
      <c r="S49" s="84">
        <f>IF(S14=0,0,1000000*S14/TrRail_act!S29)</f>
        <v>282087.47239037853</v>
      </c>
      <c r="T49" s="84">
        <f>IF(T14=0,0,1000000*T14/TrRail_act!T29)</f>
        <v>279122.26800191693</v>
      </c>
      <c r="U49" s="84">
        <f>IF(U14=0,0,1000000*U14/TrRail_act!U29)</f>
        <v>273318.89210663061</v>
      </c>
      <c r="V49" s="84">
        <f>IF(V14=0,0,1000000*V14/TrRail_act!V29)</f>
        <v>253289.6007783555</v>
      </c>
      <c r="W49" s="84">
        <f>IF(W14=0,0,1000000*W14/TrRail_act!W29)</f>
        <v>264954.77760927245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236998.60895785122</v>
      </c>
      <c r="C50" s="84">
        <f>IF(C15=0,0,1000000*C15/TrRail_act!C30)</f>
        <v>235081.86793851241</v>
      </c>
      <c r="D50" s="84">
        <f>IF(D15=0,0,1000000*D15/TrRail_act!D30)</f>
        <v>231347.0950334137</v>
      </c>
      <c r="E50" s="84">
        <f>IF(E15=0,0,1000000*E15/TrRail_act!E30)</f>
        <v>228253.63375062475</v>
      </c>
      <c r="F50" s="84">
        <f>IF(F15=0,0,1000000*F15/TrRail_act!F30)</f>
        <v>224363.51869767063</v>
      </c>
      <c r="G50" s="84">
        <f>IF(G15=0,0,1000000*G15/TrRail_act!G30)</f>
        <v>215232.60090969404</v>
      </c>
      <c r="H50" s="84">
        <f>IF(H15=0,0,1000000*H15/TrRail_act!H30)</f>
        <v>211123.10326533584</v>
      </c>
      <c r="I50" s="84">
        <f>IF(I15=0,0,1000000*I15/TrRail_act!I30)</f>
        <v>192062.49300572855</v>
      </c>
      <c r="J50" s="84">
        <f>IF(J15=0,0,1000000*J15/TrRail_act!J30)</f>
        <v>198756.13419143917</v>
      </c>
      <c r="K50" s="84">
        <f>IF(K15=0,0,1000000*K15/TrRail_act!K30)</f>
        <v>197618.45239390025</v>
      </c>
      <c r="L50" s="84">
        <f>IF(L15=0,0,1000000*L15/TrRail_act!L30)</f>
        <v>195749.79765371088</v>
      </c>
      <c r="M50" s="84">
        <f>IF(M15=0,0,1000000*M15/TrRail_act!M30)</f>
        <v>180955.00551074251</v>
      </c>
      <c r="N50" s="84">
        <f>IF(N15=0,0,1000000*N15/TrRail_act!N30)</f>
        <v>178656.76988256274</v>
      </c>
      <c r="O50" s="84">
        <f>IF(O15=0,0,1000000*O15/TrRail_act!O30)</f>
        <v>177750.7928614936</v>
      </c>
      <c r="P50" s="84">
        <f>IF(P15=0,0,1000000*P15/TrRail_act!P30)</f>
        <v>176180.79380047441</v>
      </c>
      <c r="Q50" s="84">
        <f>IF(Q15=0,0,1000000*Q15/TrRail_act!Q30)</f>
        <v>173287.40179234193</v>
      </c>
      <c r="R50" s="84">
        <f>IF(R15=0,0,1000000*R15/TrRail_act!R30)</f>
        <v>171148.58418634531</v>
      </c>
      <c r="S50" s="84">
        <f>IF(S15=0,0,1000000*S15/TrRail_act!S30)</f>
        <v>169561.81311620664</v>
      </c>
      <c r="T50" s="84">
        <f>IF(T15=0,0,1000000*T15/TrRail_act!T30)</f>
        <v>168381.39620425561</v>
      </c>
      <c r="U50" s="84">
        <f>IF(U15=0,0,1000000*U15/TrRail_act!U30)</f>
        <v>167501.47977443191</v>
      </c>
      <c r="V50" s="84">
        <f>IF(V15=0,0,1000000*V15/TrRail_act!V30)</f>
        <v>155807.39807240642</v>
      </c>
      <c r="W50" s="84">
        <f>IF(W15=0,0,1000000*W15/TrRail_act!W30)</f>
        <v>166353.56370169713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1026500.7402027928</v>
      </c>
      <c r="G51" s="113">
        <f>IF(G16=0,0,1000000*G16/TrRail_act!G31)</f>
        <v>1015399.3362062364</v>
      </c>
      <c r="H51" s="113">
        <f>IF(H16=0,0,1000000*H16/TrRail_act!H31)</f>
        <v>1004819.1386105296</v>
      </c>
      <c r="I51" s="113">
        <f>IF(I16=0,0,1000000*I16/TrRail_act!I31)</f>
        <v>995513.99476845528</v>
      </c>
      <c r="J51" s="113">
        <f>IF(J16=0,0,1000000*J16/TrRail_act!J31)</f>
        <v>874311.98546986398</v>
      </c>
      <c r="K51" s="113">
        <f>IF(K16=0,0,1000000*K16/TrRail_act!K31)</f>
        <v>876296.31777047901</v>
      </c>
      <c r="L51" s="113">
        <f>IF(L16=0,0,1000000*L16/TrRail_act!L31)</f>
        <v>869954.0712842067</v>
      </c>
      <c r="M51" s="113">
        <f>IF(M16=0,0,1000000*M16/TrRail_act!M31)</f>
        <v>916365.47447382018</v>
      </c>
      <c r="N51" s="113">
        <f>IF(N16=0,0,1000000*N16/TrRail_act!N31)</f>
        <v>841289.46842282626</v>
      </c>
      <c r="O51" s="113">
        <f>IF(O16=0,0,1000000*O16/TrRail_act!O31)</f>
        <v>791255.76716074313</v>
      </c>
      <c r="P51" s="113">
        <f>IF(P16=0,0,1000000*P16/TrRail_act!P31)</f>
        <v>925066.1269845285</v>
      </c>
      <c r="Q51" s="113">
        <f>IF(Q16=0,0,1000000*Q16/TrRail_act!Q31)</f>
        <v>905941.43401473924</v>
      </c>
      <c r="R51" s="113">
        <f>IF(R16=0,0,1000000*R16/TrRail_act!R31)</f>
        <v>891857.83915447816</v>
      </c>
      <c r="S51" s="113">
        <f>IF(S16=0,0,1000000*S16/TrRail_act!S31)</f>
        <v>881438.96906991024</v>
      </c>
      <c r="T51" s="113">
        <f>IF(T16=0,0,1000000*T16/TrRail_act!T31)</f>
        <v>873704.72236293799</v>
      </c>
      <c r="U51" s="113">
        <f>IF(U16=0,0,1000000*U16/TrRail_act!U31)</f>
        <v>770103.60511412413</v>
      </c>
      <c r="V51" s="113">
        <f>IF(V16=0,0,1000000*V16/TrRail_act!V31)</f>
        <v>745051.33418581099</v>
      </c>
      <c r="W51" s="113">
        <f>IF(W16=0,0,1000000*W16/TrRail_act!W31)</f>
        <v>765815.03546472802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541681.89585554379</v>
      </c>
      <c r="C52" s="28">
        <f>IF(C17=0,0,1000000*C17/TrRail_act!C32)</f>
        <v>511695.41567083378</v>
      </c>
      <c r="D52" s="28">
        <f>IF(D17=0,0,1000000*D17/TrRail_act!D32)</f>
        <v>512260.11797961022</v>
      </c>
      <c r="E52" s="28">
        <f>IF(E17=0,0,1000000*E17/TrRail_act!E32)</f>
        <v>505556.15114730044</v>
      </c>
      <c r="F52" s="28">
        <f>IF(F17=0,0,1000000*F17/TrRail_act!F32)</f>
        <v>469826.74803194049</v>
      </c>
      <c r="G52" s="28">
        <f>IF(G17=0,0,1000000*G17/TrRail_act!G32)</f>
        <v>452109.49623149942</v>
      </c>
      <c r="H52" s="28">
        <f>IF(H17=0,0,1000000*H17/TrRail_act!H32)</f>
        <v>447145.94207319128</v>
      </c>
      <c r="I52" s="28">
        <f>IF(I17=0,0,1000000*I17/TrRail_act!I32)</f>
        <v>427957.04256014142</v>
      </c>
      <c r="J52" s="28">
        <f>IF(J17=0,0,1000000*J17/TrRail_act!J32)</f>
        <v>392384.61346981768</v>
      </c>
      <c r="K52" s="28">
        <f>IF(K17=0,0,1000000*K17/TrRail_act!K32)</f>
        <v>352464.67163326376</v>
      </c>
      <c r="L52" s="28">
        <f>IF(L17=0,0,1000000*L17/TrRail_act!L32)</f>
        <v>362798.47519146401</v>
      </c>
      <c r="M52" s="28">
        <f>IF(M17=0,0,1000000*M17/TrRail_act!M32)</f>
        <v>403102.88613887684</v>
      </c>
      <c r="N52" s="28">
        <f>IF(N17=0,0,1000000*N17/TrRail_act!N32)</f>
        <v>393463.3076649392</v>
      </c>
      <c r="O52" s="28">
        <f>IF(O17=0,0,1000000*O17/TrRail_act!O32)</f>
        <v>394001.90842153755</v>
      </c>
      <c r="P52" s="28">
        <f>IF(P17=0,0,1000000*P17/TrRail_act!P32)</f>
        <v>395452.17259049235</v>
      </c>
      <c r="Q52" s="28">
        <f>IF(Q17=0,0,1000000*Q17/TrRail_act!Q32)</f>
        <v>378322.44124129298</v>
      </c>
      <c r="R52" s="28">
        <f>IF(R17=0,0,1000000*R17/TrRail_act!R32)</f>
        <v>376560.34250837343</v>
      </c>
      <c r="S52" s="28">
        <f>IF(S17=0,0,1000000*S17/TrRail_act!S32)</f>
        <v>368586.01390500023</v>
      </c>
      <c r="T52" s="28">
        <f>IF(T17=0,0,1000000*T17/TrRail_act!T32)</f>
        <v>360343.0001278749</v>
      </c>
      <c r="U52" s="28">
        <f>IF(U17=0,0,1000000*U17/TrRail_act!U32)</f>
        <v>353077.99001727352</v>
      </c>
      <c r="V52" s="28">
        <f>IF(V17=0,0,1000000*V17/TrRail_act!V32)</f>
        <v>353011.77526735544</v>
      </c>
      <c r="W52" s="28">
        <f>IF(W17=0,0,1000000*W17/TrRail_act!W32)</f>
        <v>351614.30644199351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775424.73397277971</v>
      </c>
      <c r="C53" s="84">
        <f>IF(C18=0,0,1000000*C18/TrRail_act!C33)</f>
        <v>692882.17093913117</v>
      </c>
      <c r="D53" s="84">
        <f>IF(D18=0,0,1000000*D18/TrRail_act!D33)</f>
        <v>758215.96928756335</v>
      </c>
      <c r="E53" s="84">
        <f>IF(E18=0,0,1000000*E18/TrRail_act!E33)</f>
        <v>756902.74555431039</v>
      </c>
      <c r="F53" s="84">
        <f>IF(F18=0,0,1000000*F18/TrRail_act!F33)</f>
        <v>749989.44395066472</v>
      </c>
      <c r="G53" s="84">
        <f>IF(G18=0,0,1000000*G18/TrRail_act!G33)</f>
        <v>736752.28986810928</v>
      </c>
      <c r="H53" s="84">
        <f>IF(H18=0,0,1000000*H18/TrRail_act!H33)</f>
        <v>725003.03533170803</v>
      </c>
      <c r="I53" s="84">
        <f>IF(I18=0,0,1000000*I18/TrRail_act!I33)</f>
        <v>720499.94973737339</v>
      </c>
      <c r="J53" s="84">
        <f>IF(J18=0,0,1000000*J18/TrRail_act!J33)</f>
        <v>716685.16970418324</v>
      </c>
      <c r="K53" s="84">
        <f>IF(K18=0,0,1000000*K18/TrRail_act!K33)</f>
        <v>698459.29287923977</v>
      </c>
      <c r="L53" s="84">
        <f>IF(L18=0,0,1000000*L18/TrRail_act!L33)</f>
        <v>712981.045239534</v>
      </c>
      <c r="M53" s="84">
        <f>IF(M18=0,0,1000000*M18/TrRail_act!M33)</f>
        <v>704477.51366247924</v>
      </c>
      <c r="N53" s="84">
        <f>IF(N18=0,0,1000000*N18/TrRail_act!N33)</f>
        <v>652908.88329986692</v>
      </c>
      <c r="O53" s="84">
        <f>IF(O18=0,0,1000000*O18/TrRail_act!O33)</f>
        <v>697885.22203708114</v>
      </c>
      <c r="P53" s="84">
        <f>IF(P18=0,0,1000000*P18/TrRail_act!P33)</f>
        <v>693446.51773524168</v>
      </c>
      <c r="Q53" s="84">
        <f>IF(Q18=0,0,1000000*Q18/TrRail_act!Q33)</f>
        <v>692108.62004662317</v>
      </c>
      <c r="R53" s="84">
        <f>IF(R18=0,0,1000000*R18/TrRail_act!R33)</f>
        <v>691106.90348009614</v>
      </c>
      <c r="S53" s="84">
        <f>IF(S18=0,0,1000000*S18/TrRail_act!S33)</f>
        <v>690356.56415480783</v>
      </c>
      <c r="T53" s="84">
        <f>IF(T18=0,0,1000000*T18/TrRail_act!T33)</f>
        <v>689794.32386331155</v>
      </c>
      <c r="U53" s="84">
        <f>IF(U18=0,0,1000000*U18/TrRail_act!U33)</f>
        <v>689372.97814863757</v>
      </c>
      <c r="V53" s="84">
        <f>IF(V18=0,0,1000000*V18/TrRail_act!V33)</f>
        <v>689057.10055870027</v>
      </c>
      <c r="W53" s="84">
        <f>IF(W18=0,0,1000000*W18/TrRail_act!W33)</f>
        <v>688820.30880293192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442723.66302066948</v>
      </c>
      <c r="C54" s="86">
        <f>IF(C19=0,0,1000000*C19/TrRail_act!C34)</f>
        <v>446128.99614647724</v>
      </c>
      <c r="D54" s="86">
        <f>IF(D19=0,0,1000000*D19/TrRail_act!D34)</f>
        <v>424842.69513843925</v>
      </c>
      <c r="E54" s="86">
        <f>IF(E19=0,0,1000000*E19/TrRail_act!E34)</f>
        <v>427492.5875161686</v>
      </c>
      <c r="F54" s="86">
        <f>IF(F19=0,0,1000000*F19/TrRail_act!F34)</f>
        <v>415671.71220810583</v>
      </c>
      <c r="G54" s="86">
        <f>IF(G19=0,0,1000000*G19/TrRail_act!G34)</f>
        <v>397068.47357914015</v>
      </c>
      <c r="H54" s="86">
        <f>IF(H19=0,0,1000000*H19/TrRail_act!H34)</f>
        <v>380127.31762391544</v>
      </c>
      <c r="I54" s="86">
        <f>IF(I19=0,0,1000000*I19/TrRail_act!I34)</f>
        <v>365225.95987047645</v>
      </c>
      <c r="J54" s="86">
        <f>IF(J19=0,0,1000000*J19/TrRail_act!J34)</f>
        <v>307394.92021233827</v>
      </c>
      <c r="K54" s="86">
        <f>IF(K19=0,0,1000000*K19/TrRail_act!K34)</f>
        <v>265713.43057109381</v>
      </c>
      <c r="L54" s="86">
        <f>IF(L19=0,0,1000000*L19/TrRail_act!L34)</f>
        <v>273239.65293819347</v>
      </c>
      <c r="M54" s="86">
        <f>IF(M19=0,0,1000000*M19/TrRail_act!M34)</f>
        <v>325222.32134322997</v>
      </c>
      <c r="N54" s="86">
        <f>IF(N19=0,0,1000000*N19/TrRail_act!N34)</f>
        <v>330624.93658477027</v>
      </c>
      <c r="O54" s="86">
        <f>IF(O19=0,0,1000000*O19/TrRail_act!O34)</f>
        <v>322210.19189393602</v>
      </c>
      <c r="P54" s="86">
        <f>IF(P19=0,0,1000000*P19/TrRail_act!P34)</f>
        <v>312624.41041229886</v>
      </c>
      <c r="Q54" s="86">
        <f>IF(Q19=0,0,1000000*Q19/TrRail_act!Q34)</f>
        <v>300497.15536351607</v>
      </c>
      <c r="R54" s="86">
        <f>IF(R19=0,0,1000000*R19/TrRail_act!R34)</f>
        <v>294045.13966383878</v>
      </c>
      <c r="S54" s="86">
        <f>IF(S19=0,0,1000000*S19/TrRail_act!S34)</f>
        <v>292190.1752258467</v>
      </c>
      <c r="T54" s="86">
        <f>IF(T19=0,0,1000000*T19/TrRail_act!T34)</f>
        <v>290806.63450765505</v>
      </c>
      <c r="U54" s="86">
        <f>IF(U19=0,0,1000000*U19/TrRail_act!U34)</f>
        <v>289773.28261714964</v>
      </c>
      <c r="V54" s="86">
        <f>IF(V19=0,0,1000000*V19/TrRail_act!V34)</f>
        <v>289000.67612998188</v>
      </c>
      <c r="W54" s="86">
        <f>IF(W19=0,0,1000000*W19/TrRail_act!W34)</f>
        <v>288422.57605636452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0.67853641153866262</v>
      </c>
      <c r="C57" s="31">
        <f t="shared" ref="C57:V57" si="17">IF(C11=0,0,C11/C$10)</f>
        <v>0.68317538374795161</v>
      </c>
      <c r="D57" s="31">
        <f t="shared" si="17"/>
        <v>0.70064059818610114</v>
      </c>
      <c r="E57" s="31">
        <f t="shared" si="17"/>
        <v>0.71210818890007666</v>
      </c>
      <c r="F57" s="31">
        <f t="shared" si="17"/>
        <v>0.69651906051866963</v>
      </c>
      <c r="G57" s="31">
        <f t="shared" si="17"/>
        <v>0.71141056401126035</v>
      </c>
      <c r="H57" s="31">
        <f t="shared" si="17"/>
        <v>0.7108155743398068</v>
      </c>
      <c r="I57" s="31">
        <f t="shared" si="17"/>
        <v>0.69354316629310708</v>
      </c>
      <c r="J57" s="31">
        <f t="shared" si="17"/>
        <v>0.73398974545178941</v>
      </c>
      <c r="K57" s="31">
        <f t="shared" si="17"/>
        <v>0.76367704785520918</v>
      </c>
      <c r="L57" s="31">
        <f t="shared" si="17"/>
        <v>0.76681715914006088</v>
      </c>
      <c r="M57" s="31">
        <f t="shared" si="17"/>
        <v>0.75606435022929797</v>
      </c>
      <c r="N57" s="31">
        <f t="shared" si="17"/>
        <v>0.78033817513682169</v>
      </c>
      <c r="O57" s="31">
        <f t="shared" si="17"/>
        <v>0.79075562843556524</v>
      </c>
      <c r="P57" s="31">
        <f t="shared" si="17"/>
        <v>0.76546080058985289</v>
      </c>
      <c r="Q57" s="31">
        <f t="shared" si="17"/>
        <v>0.76009364316531591</v>
      </c>
      <c r="R57" s="31">
        <f t="shared" si="17"/>
        <v>0.76347938500612567</v>
      </c>
      <c r="S57" s="31">
        <f t="shared" si="17"/>
        <v>0.77711362566148989</v>
      </c>
      <c r="T57" s="31">
        <f t="shared" si="17"/>
        <v>0.78535317690255513</v>
      </c>
      <c r="U57" s="31">
        <f t="shared" si="17"/>
        <v>0.77881639122563562</v>
      </c>
      <c r="V57" s="31">
        <f t="shared" si="17"/>
        <v>0.74923234736854483</v>
      </c>
      <c r="W57" s="31">
        <f t="shared" ref="W57" si="18">IF(W11=0,0,W11/W$10)</f>
        <v>0.74252589841603689</v>
      </c>
      <c r="DA57" s="173"/>
    </row>
    <row r="58" spans="1:105" ht="11.45" customHeight="1" x14ac:dyDescent="0.25">
      <c r="A58" s="107" t="s">
        <v>23</v>
      </c>
      <c r="B58" s="123">
        <f t="shared" si="14"/>
        <v>0.21311230766772829</v>
      </c>
      <c r="C58" s="123">
        <f t="shared" ref="C58:V58" si="19">IF(C12=0,0,C12/C$10)</f>
        <v>0.22338085960463164</v>
      </c>
      <c r="D58" s="123">
        <f t="shared" si="19"/>
        <v>0.23839730506132287</v>
      </c>
      <c r="E58" s="123">
        <f t="shared" si="19"/>
        <v>0.2461309896098263</v>
      </c>
      <c r="F58" s="123">
        <f t="shared" si="19"/>
        <v>0.21148809372869387</v>
      </c>
      <c r="G58" s="123">
        <f t="shared" si="19"/>
        <v>0.19772018977751871</v>
      </c>
      <c r="H58" s="123">
        <f t="shared" si="19"/>
        <v>0.18905974785235324</v>
      </c>
      <c r="I58" s="123">
        <f t="shared" si="19"/>
        <v>0.19088629589470124</v>
      </c>
      <c r="J58" s="123">
        <f t="shared" si="19"/>
        <v>0.21497567326211803</v>
      </c>
      <c r="K58" s="123">
        <f t="shared" si="19"/>
        <v>0.22782327817983311</v>
      </c>
      <c r="L58" s="123">
        <f t="shared" si="19"/>
        <v>0.22916316404030379</v>
      </c>
      <c r="M58" s="123">
        <f t="shared" si="19"/>
        <v>0.21988856385551486</v>
      </c>
      <c r="N58" s="123">
        <f t="shared" si="19"/>
        <v>0.2358256957024365</v>
      </c>
      <c r="O58" s="123">
        <f t="shared" si="19"/>
        <v>0.23462357885384014</v>
      </c>
      <c r="P58" s="123">
        <f t="shared" si="19"/>
        <v>0.21470923777068532</v>
      </c>
      <c r="Q58" s="123">
        <f t="shared" si="19"/>
        <v>0.20412086581879599</v>
      </c>
      <c r="R58" s="123">
        <f t="shared" si="19"/>
        <v>0.21117600508961973</v>
      </c>
      <c r="S58" s="123">
        <f t="shared" si="19"/>
        <v>0.2042889826588081</v>
      </c>
      <c r="T58" s="123">
        <f t="shared" si="19"/>
        <v>0.19449295882101009</v>
      </c>
      <c r="U58" s="123">
        <f t="shared" si="19"/>
        <v>0.19807125817496557</v>
      </c>
      <c r="V58" s="123">
        <f t="shared" si="19"/>
        <v>0.18481574660467204</v>
      </c>
      <c r="W58" s="123">
        <f t="shared" ref="W58" si="20">IF(W12=0,0,W12/W$10)</f>
        <v>0.18034983248195499</v>
      </c>
      <c r="DA58" s="203"/>
    </row>
    <row r="59" spans="1:105" ht="11.45" customHeight="1" x14ac:dyDescent="0.25">
      <c r="A59" s="109" t="s">
        <v>24</v>
      </c>
      <c r="B59" s="124">
        <f t="shared" si="14"/>
        <v>0.46542410387093436</v>
      </c>
      <c r="C59" s="124">
        <f t="shared" ref="C59:V59" si="21">IF(C13=0,0,C13/C$10)</f>
        <v>0.45979452414331995</v>
      </c>
      <c r="D59" s="124">
        <f t="shared" si="21"/>
        <v>0.4622432931247783</v>
      </c>
      <c r="E59" s="124">
        <f t="shared" si="21"/>
        <v>0.46597719929025039</v>
      </c>
      <c r="F59" s="124">
        <f t="shared" si="21"/>
        <v>0.48472272036296121</v>
      </c>
      <c r="G59" s="124">
        <f t="shared" si="21"/>
        <v>0.51185514757236228</v>
      </c>
      <c r="H59" s="124">
        <f t="shared" si="21"/>
        <v>0.50420303138185907</v>
      </c>
      <c r="I59" s="124">
        <f t="shared" si="21"/>
        <v>0.48173060973300835</v>
      </c>
      <c r="J59" s="124">
        <f t="shared" si="21"/>
        <v>0.50117180603263656</v>
      </c>
      <c r="K59" s="124">
        <f t="shared" si="21"/>
        <v>0.51675221303834495</v>
      </c>
      <c r="L59" s="124">
        <f t="shared" si="21"/>
        <v>0.51817896272866648</v>
      </c>
      <c r="M59" s="124">
        <f t="shared" si="21"/>
        <v>0.51532557415263169</v>
      </c>
      <c r="N59" s="124">
        <f t="shared" si="21"/>
        <v>0.52514964756954319</v>
      </c>
      <c r="O59" s="124">
        <f t="shared" si="21"/>
        <v>0.53761116220407623</v>
      </c>
      <c r="P59" s="124">
        <f t="shared" si="21"/>
        <v>0.52852407821139424</v>
      </c>
      <c r="Q59" s="124">
        <f t="shared" si="21"/>
        <v>0.52543151810298994</v>
      </c>
      <c r="R59" s="124">
        <f t="shared" si="21"/>
        <v>0.51433418640986617</v>
      </c>
      <c r="S59" s="124">
        <f t="shared" si="21"/>
        <v>0.53272547036537521</v>
      </c>
      <c r="T59" s="124">
        <f t="shared" si="21"/>
        <v>0.55035025421711836</v>
      </c>
      <c r="U59" s="124">
        <f t="shared" si="21"/>
        <v>0.54451922371207251</v>
      </c>
      <c r="V59" s="124">
        <f t="shared" si="21"/>
        <v>0.52586844119635523</v>
      </c>
      <c r="W59" s="124">
        <f t="shared" ref="W59" si="22">IF(W13=0,0,W13/W$10)</f>
        <v>0.52336716947764628</v>
      </c>
      <c r="DA59" s="176"/>
    </row>
    <row r="60" spans="1:105" ht="11.45" customHeight="1" x14ac:dyDescent="0.25">
      <c r="A60" s="111" t="s">
        <v>92</v>
      </c>
      <c r="B60" s="125">
        <f t="shared" si="14"/>
        <v>0.36934240917436417</v>
      </c>
      <c r="C60" s="125">
        <f t="shared" ref="C60:V60" si="23">IF(C14=0,0,C14/C$10)</f>
        <v>0.36613503510773926</v>
      </c>
      <c r="D60" s="125">
        <f t="shared" si="23"/>
        <v>0.37158504493015376</v>
      </c>
      <c r="E60" s="125">
        <f t="shared" si="23"/>
        <v>0.36999119293178762</v>
      </c>
      <c r="F60" s="125">
        <f t="shared" si="23"/>
        <v>0.30385274110340615</v>
      </c>
      <c r="G60" s="125">
        <f t="shared" si="23"/>
        <v>0.31251300006044425</v>
      </c>
      <c r="H60" s="125">
        <f t="shared" si="23"/>
        <v>0.31652951293061526</v>
      </c>
      <c r="I60" s="125">
        <f t="shared" si="23"/>
        <v>0.31597374247912352</v>
      </c>
      <c r="J60" s="125">
        <f t="shared" si="23"/>
        <v>0.33703319042806412</v>
      </c>
      <c r="K60" s="125">
        <f t="shared" si="23"/>
        <v>0.32837013564387224</v>
      </c>
      <c r="L60" s="125">
        <f t="shared" si="23"/>
        <v>0.3274299826940163</v>
      </c>
      <c r="M60" s="125">
        <f t="shared" si="23"/>
        <v>0.33030763880806319</v>
      </c>
      <c r="N60" s="125">
        <f t="shared" si="23"/>
        <v>0.33732205284077044</v>
      </c>
      <c r="O60" s="125">
        <f t="shared" si="23"/>
        <v>0.33507766064598299</v>
      </c>
      <c r="P60" s="125">
        <f t="shared" si="23"/>
        <v>0.32666476704190001</v>
      </c>
      <c r="Q60" s="125">
        <f t="shared" si="23"/>
        <v>0.31559602148901567</v>
      </c>
      <c r="R60" s="125">
        <f t="shared" si="23"/>
        <v>0.30706744438553774</v>
      </c>
      <c r="S60" s="125">
        <f t="shared" si="23"/>
        <v>0.31487434345518944</v>
      </c>
      <c r="T60" s="125">
        <f t="shared" si="23"/>
        <v>0.31290400408854335</v>
      </c>
      <c r="U60" s="125">
        <f t="shared" si="23"/>
        <v>0.30279650343103065</v>
      </c>
      <c r="V60" s="125">
        <f t="shared" si="23"/>
        <v>0.2850146246917501</v>
      </c>
      <c r="W60" s="125">
        <f t="shared" ref="W60" si="24">IF(W14=0,0,W14/W$10)</f>
        <v>0.27234320062266537</v>
      </c>
      <c r="DA60" s="171"/>
    </row>
    <row r="61" spans="1:105" ht="11.45" customHeight="1" x14ac:dyDescent="0.25">
      <c r="A61" s="111" t="s">
        <v>93</v>
      </c>
      <c r="B61" s="125">
        <f t="shared" si="14"/>
        <v>9.60816946965702E-2</v>
      </c>
      <c r="C61" s="125">
        <f t="shared" ref="C61:V61" si="25">IF(C15=0,0,C15/C$10)</f>
        <v>9.365948903558069E-2</v>
      </c>
      <c r="D61" s="125">
        <f t="shared" si="25"/>
        <v>9.0658248194624563E-2</v>
      </c>
      <c r="E61" s="125">
        <f t="shared" si="25"/>
        <v>9.5986006358462744E-2</v>
      </c>
      <c r="F61" s="125">
        <f t="shared" si="25"/>
        <v>0.18086997925955509</v>
      </c>
      <c r="G61" s="125">
        <f t="shared" si="25"/>
        <v>0.19934214751191803</v>
      </c>
      <c r="H61" s="125">
        <f t="shared" si="25"/>
        <v>0.18767351845124386</v>
      </c>
      <c r="I61" s="125">
        <f t="shared" si="25"/>
        <v>0.1657568672538848</v>
      </c>
      <c r="J61" s="125">
        <f t="shared" si="25"/>
        <v>0.16413861560457244</v>
      </c>
      <c r="K61" s="125">
        <f t="shared" si="25"/>
        <v>0.18838207739447271</v>
      </c>
      <c r="L61" s="125">
        <f t="shared" si="25"/>
        <v>0.19074898003465018</v>
      </c>
      <c r="M61" s="125">
        <f t="shared" si="25"/>
        <v>0.18501793534456856</v>
      </c>
      <c r="N61" s="125">
        <f t="shared" si="25"/>
        <v>0.18782759472877275</v>
      </c>
      <c r="O61" s="125">
        <f t="shared" si="25"/>
        <v>0.20253350155809322</v>
      </c>
      <c r="P61" s="125">
        <f t="shared" si="25"/>
        <v>0.20185931116949421</v>
      </c>
      <c r="Q61" s="125">
        <f t="shared" si="25"/>
        <v>0.20983549661397427</v>
      </c>
      <c r="R61" s="125">
        <f t="shared" si="25"/>
        <v>0.20726674202432843</v>
      </c>
      <c r="S61" s="125">
        <f t="shared" si="25"/>
        <v>0.21785112691018568</v>
      </c>
      <c r="T61" s="125">
        <f t="shared" si="25"/>
        <v>0.23744625012857506</v>
      </c>
      <c r="U61" s="125">
        <f t="shared" si="25"/>
        <v>0.24172272028104186</v>
      </c>
      <c r="V61" s="125">
        <f t="shared" si="25"/>
        <v>0.24085381650460513</v>
      </c>
      <c r="W61" s="125">
        <f t="shared" ref="W61" si="26">IF(W15=0,0,W15/W$10)</f>
        <v>0.25102396885498102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3.0824642701454436E-4</v>
      </c>
      <c r="G62" s="126">
        <f t="shared" si="27"/>
        <v>1.8352266613794739E-3</v>
      </c>
      <c r="H62" s="126">
        <f t="shared" si="27"/>
        <v>1.7552795105594547E-2</v>
      </c>
      <c r="I62" s="126">
        <f t="shared" si="27"/>
        <v>2.0926260665397458E-2</v>
      </c>
      <c r="J62" s="126">
        <f t="shared" si="27"/>
        <v>1.7842266157034752E-2</v>
      </c>
      <c r="K62" s="126">
        <f t="shared" si="27"/>
        <v>1.9101556637031208E-2</v>
      </c>
      <c r="L62" s="126">
        <f t="shared" si="27"/>
        <v>1.9475032371090464E-2</v>
      </c>
      <c r="M62" s="126">
        <f t="shared" si="27"/>
        <v>2.0850212221151382E-2</v>
      </c>
      <c r="N62" s="126">
        <f t="shared" si="27"/>
        <v>1.9362831864841969E-2</v>
      </c>
      <c r="O62" s="126">
        <f t="shared" si="27"/>
        <v>1.8520887377648856E-2</v>
      </c>
      <c r="P62" s="126">
        <f t="shared" si="27"/>
        <v>2.2227484607773459E-2</v>
      </c>
      <c r="Q62" s="126">
        <f t="shared" si="27"/>
        <v>3.0541259243530152E-2</v>
      </c>
      <c r="R62" s="126">
        <f t="shared" si="27"/>
        <v>3.7969193506639756E-2</v>
      </c>
      <c r="S62" s="126">
        <f t="shared" si="27"/>
        <v>4.0099172637306689E-2</v>
      </c>
      <c r="T62" s="126">
        <f t="shared" si="27"/>
        <v>4.0509963864426596E-2</v>
      </c>
      <c r="U62" s="126">
        <f t="shared" si="27"/>
        <v>3.6225909338597609E-2</v>
      </c>
      <c r="V62" s="126">
        <f t="shared" si="27"/>
        <v>3.8548159567517504E-2</v>
      </c>
      <c r="W62" s="126">
        <f t="shared" ref="W62" si="28">IF(W16=0,0,W16/W$10)</f>
        <v>3.8808896456435607E-2</v>
      </c>
      <c r="DA62" s="204"/>
    </row>
    <row r="63" spans="1:105" ht="11.45" customHeight="1" x14ac:dyDescent="0.25">
      <c r="A63" s="27" t="s">
        <v>34</v>
      </c>
      <c r="B63" s="31">
        <f t="shared" si="14"/>
        <v>0.32146358846133732</v>
      </c>
      <c r="C63" s="31">
        <f t="shared" ref="C63:V63" si="29">IF(C17=0,0,C17/C$10)</f>
        <v>0.31682461625204839</v>
      </c>
      <c r="D63" s="31">
        <f t="shared" si="29"/>
        <v>0.29935940181389892</v>
      </c>
      <c r="E63" s="31">
        <f t="shared" si="29"/>
        <v>0.28789181109992334</v>
      </c>
      <c r="F63" s="31">
        <f t="shared" si="29"/>
        <v>0.30348093948133043</v>
      </c>
      <c r="G63" s="31">
        <f t="shared" si="29"/>
        <v>0.28858943598873965</v>
      </c>
      <c r="H63" s="31">
        <f t="shared" si="29"/>
        <v>0.2891844256601932</v>
      </c>
      <c r="I63" s="31">
        <f t="shared" si="29"/>
        <v>0.30645683370689281</v>
      </c>
      <c r="J63" s="31">
        <f t="shared" si="29"/>
        <v>0.26601025454821065</v>
      </c>
      <c r="K63" s="31">
        <f t="shared" si="29"/>
        <v>0.23632295214479074</v>
      </c>
      <c r="L63" s="31">
        <f t="shared" si="29"/>
        <v>0.23318284085993915</v>
      </c>
      <c r="M63" s="31">
        <f t="shared" si="29"/>
        <v>0.24393564977070198</v>
      </c>
      <c r="N63" s="31">
        <f t="shared" si="29"/>
        <v>0.21966182486317834</v>
      </c>
      <c r="O63" s="31">
        <f t="shared" si="29"/>
        <v>0.20924437156443482</v>
      </c>
      <c r="P63" s="31">
        <f t="shared" si="29"/>
        <v>0.23453919941014703</v>
      </c>
      <c r="Q63" s="31">
        <f t="shared" si="29"/>
        <v>0.239906356834684</v>
      </c>
      <c r="R63" s="31">
        <f t="shared" si="29"/>
        <v>0.23652061499387433</v>
      </c>
      <c r="S63" s="31">
        <f t="shared" si="29"/>
        <v>0.22288637433851008</v>
      </c>
      <c r="T63" s="31">
        <f t="shared" si="29"/>
        <v>0.21464682309744482</v>
      </c>
      <c r="U63" s="31">
        <f t="shared" si="29"/>
        <v>0.22118360877436435</v>
      </c>
      <c r="V63" s="31">
        <f t="shared" si="29"/>
        <v>0.25076765263145517</v>
      </c>
      <c r="W63" s="31">
        <f t="shared" ref="W63" si="30">IF(W17=0,0,W17/W$10)</f>
        <v>0.25747410158396306</v>
      </c>
      <c r="DA63" s="173"/>
    </row>
    <row r="64" spans="1:105" ht="11.45" customHeight="1" x14ac:dyDescent="0.25">
      <c r="A64" s="83" t="s">
        <v>92</v>
      </c>
      <c r="B64" s="125">
        <f t="shared" si="14"/>
        <v>0.13687522612118289</v>
      </c>
      <c r="C64" s="125">
        <f t="shared" ref="C64:V64" si="31">IF(C18=0,0,C18/C$10)</f>
        <v>0.11399491965123953</v>
      </c>
      <c r="D64" s="125">
        <f t="shared" si="31"/>
        <v>0.11618832819353792</v>
      </c>
      <c r="E64" s="125">
        <f t="shared" si="31"/>
        <v>0.10214365150000621</v>
      </c>
      <c r="F64" s="125">
        <f t="shared" si="31"/>
        <v>7.8474447770103137E-2</v>
      </c>
      <c r="G64" s="125">
        <f t="shared" si="31"/>
        <v>7.6202625158098086E-2</v>
      </c>
      <c r="H64" s="125">
        <f t="shared" si="31"/>
        <v>9.1116771528048437E-2</v>
      </c>
      <c r="I64" s="125">
        <f t="shared" si="31"/>
        <v>9.1100855909636416E-2</v>
      </c>
      <c r="J64" s="125">
        <f t="shared" si="31"/>
        <v>0.10089036439627486</v>
      </c>
      <c r="K64" s="125">
        <f t="shared" si="31"/>
        <v>9.3880238112268449E-2</v>
      </c>
      <c r="L64" s="125">
        <f t="shared" si="31"/>
        <v>9.3329759498339313E-2</v>
      </c>
      <c r="M64" s="125">
        <f t="shared" si="31"/>
        <v>8.7543530950873749E-2</v>
      </c>
      <c r="N64" s="125">
        <f t="shared" si="31"/>
        <v>7.1070467360078327E-2</v>
      </c>
      <c r="O64" s="125">
        <f t="shared" si="31"/>
        <v>7.0827427611577704E-2</v>
      </c>
      <c r="P64" s="125">
        <f t="shared" si="31"/>
        <v>8.9451622026421151E-2</v>
      </c>
      <c r="Q64" s="125">
        <f t="shared" si="31"/>
        <v>8.7220633688261995E-2</v>
      </c>
      <c r="R64" s="125">
        <f t="shared" si="31"/>
        <v>9.0210181076657209E-2</v>
      </c>
      <c r="S64" s="125">
        <f t="shared" si="31"/>
        <v>8.0098287886586503E-2</v>
      </c>
      <c r="T64" s="125">
        <f t="shared" si="31"/>
        <v>7.1611122880006303E-2</v>
      </c>
      <c r="U64" s="125">
        <f t="shared" si="31"/>
        <v>6.8414381835467261E-2</v>
      </c>
      <c r="V64" s="125">
        <f t="shared" si="31"/>
        <v>7.8319800098549663E-2</v>
      </c>
      <c r="W64" s="125">
        <f t="shared" ref="W64" si="32">IF(W18=0,0,W18/W$10)</f>
        <v>7.9605228905683972E-2</v>
      </c>
      <c r="DA64" s="171"/>
    </row>
    <row r="65" spans="1:105" ht="11.45" customHeight="1" x14ac:dyDescent="0.25">
      <c r="A65" s="85" t="s">
        <v>93</v>
      </c>
      <c r="B65" s="127">
        <f t="shared" si="14"/>
        <v>0.18458836234015444</v>
      </c>
      <c r="C65" s="127">
        <f t="shared" ref="C65:V65" si="33">IF(C19=0,0,C19/C$10)</f>
        <v>0.20282969660080885</v>
      </c>
      <c r="D65" s="127">
        <f t="shared" si="33"/>
        <v>0.18317107362036103</v>
      </c>
      <c r="E65" s="127">
        <f t="shared" si="33"/>
        <v>0.18574815959991714</v>
      </c>
      <c r="F65" s="127">
        <f t="shared" si="33"/>
        <v>0.2250064917112273</v>
      </c>
      <c r="G65" s="127">
        <f t="shared" si="33"/>
        <v>0.21238681083064151</v>
      </c>
      <c r="H65" s="127">
        <f t="shared" si="33"/>
        <v>0.19806765413214478</v>
      </c>
      <c r="I65" s="127">
        <f t="shared" si="33"/>
        <v>0.2153559777972564</v>
      </c>
      <c r="J65" s="127">
        <f t="shared" si="33"/>
        <v>0.16511989015193576</v>
      </c>
      <c r="K65" s="127">
        <f t="shared" si="33"/>
        <v>0.14244271403252226</v>
      </c>
      <c r="L65" s="127">
        <f t="shared" si="33"/>
        <v>0.13985308136159982</v>
      </c>
      <c r="M65" s="127">
        <f t="shared" si="33"/>
        <v>0.15639211881982826</v>
      </c>
      <c r="N65" s="127">
        <f t="shared" si="33"/>
        <v>0.14859135750310001</v>
      </c>
      <c r="O65" s="127">
        <f t="shared" si="33"/>
        <v>0.13841694395285711</v>
      </c>
      <c r="P65" s="127">
        <f t="shared" si="33"/>
        <v>0.14508757738372588</v>
      </c>
      <c r="Q65" s="127">
        <f t="shared" si="33"/>
        <v>0.15268572314642201</v>
      </c>
      <c r="R65" s="127">
        <f t="shared" si="33"/>
        <v>0.14631043391721713</v>
      </c>
      <c r="S65" s="127">
        <f t="shared" si="33"/>
        <v>0.14278808645192356</v>
      </c>
      <c r="T65" s="127">
        <f t="shared" si="33"/>
        <v>0.1430357002174385</v>
      </c>
      <c r="U65" s="127">
        <f t="shared" si="33"/>
        <v>0.15276922693889711</v>
      </c>
      <c r="V65" s="127">
        <f t="shared" si="33"/>
        <v>0.17244785253290554</v>
      </c>
      <c r="W65" s="127">
        <f t="shared" ref="W65" si="34">IF(W19=0,0,W19/W$10)</f>
        <v>0.17786887267827908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328.99404095999995</v>
      </c>
      <c r="C4" s="26">
        <f t="shared" ref="C4:W4" si="0">SUM(C5:C6)</f>
        <v>301.30835436000001</v>
      </c>
      <c r="D4" s="26">
        <f t="shared" si="0"/>
        <v>292.12887599999999</v>
      </c>
      <c r="E4" s="26">
        <f t="shared" si="0"/>
        <v>285.83840843999997</v>
      </c>
      <c r="F4" s="26">
        <f t="shared" si="0"/>
        <v>282.35372255999994</v>
      </c>
      <c r="G4" s="26">
        <f t="shared" si="0"/>
        <v>286.48570877395707</v>
      </c>
      <c r="H4" s="26">
        <f t="shared" si="0"/>
        <v>307.90088205416703</v>
      </c>
      <c r="I4" s="26">
        <f t="shared" si="0"/>
        <v>304.17100312498917</v>
      </c>
      <c r="J4" s="26">
        <f t="shared" si="0"/>
        <v>337.02702552040648</v>
      </c>
      <c r="K4" s="26">
        <f t="shared" si="0"/>
        <v>303.87566818261644</v>
      </c>
      <c r="L4" s="26">
        <f t="shared" si="0"/>
        <v>294.88535801771712</v>
      </c>
      <c r="M4" s="26">
        <f t="shared" si="0"/>
        <v>288.1344391231894</v>
      </c>
      <c r="N4" s="26">
        <f t="shared" si="0"/>
        <v>278.41427554070549</v>
      </c>
      <c r="O4" s="26">
        <f t="shared" si="0"/>
        <v>272.10806128484472</v>
      </c>
      <c r="P4" s="26">
        <f t="shared" si="0"/>
        <v>278.03047593715229</v>
      </c>
      <c r="Q4" s="26">
        <f t="shared" si="0"/>
        <v>271.28099544976607</v>
      </c>
      <c r="R4" s="26">
        <f t="shared" si="0"/>
        <v>248.95309586296298</v>
      </c>
      <c r="S4" s="26">
        <f t="shared" si="0"/>
        <v>258.44716371632256</v>
      </c>
      <c r="T4" s="26">
        <f t="shared" si="0"/>
        <v>257.0386712420364</v>
      </c>
      <c r="U4" s="26">
        <f t="shared" si="0"/>
        <v>246.30445557650216</v>
      </c>
      <c r="V4" s="26">
        <f t="shared" si="0"/>
        <v>217.61551300852625</v>
      </c>
      <c r="W4" s="26">
        <f t="shared" si="0"/>
        <v>212.37023397938543</v>
      </c>
      <c r="DA4" s="202" t="s">
        <v>1135</v>
      </c>
    </row>
    <row r="5" spans="1:105" ht="11.45" customHeight="1" x14ac:dyDescent="0.25">
      <c r="A5" s="107" t="s">
        <v>92</v>
      </c>
      <c r="B5" s="129">
        <v>328.99404095999995</v>
      </c>
      <c r="C5" s="129">
        <v>301.30835436000001</v>
      </c>
      <c r="D5" s="129">
        <v>292.12887599999999</v>
      </c>
      <c r="E5" s="129">
        <v>285.83840843999997</v>
      </c>
      <c r="F5" s="129">
        <v>282.35372255999994</v>
      </c>
      <c r="G5" s="129">
        <v>286.48570877395707</v>
      </c>
      <c r="H5" s="129">
        <v>307.90088205416703</v>
      </c>
      <c r="I5" s="129">
        <v>304.17100312498917</v>
      </c>
      <c r="J5" s="129">
        <v>337.02702552040648</v>
      </c>
      <c r="K5" s="129">
        <v>303.87566818261644</v>
      </c>
      <c r="L5" s="129">
        <v>294.88535801771712</v>
      </c>
      <c r="M5" s="129">
        <v>288.1344391231894</v>
      </c>
      <c r="N5" s="129">
        <v>278.41427554070549</v>
      </c>
      <c r="O5" s="129">
        <v>272.10806128484472</v>
      </c>
      <c r="P5" s="129">
        <v>278.03047593715229</v>
      </c>
      <c r="Q5" s="129">
        <v>271.28099544976607</v>
      </c>
      <c r="R5" s="129">
        <v>248.95309586296298</v>
      </c>
      <c r="S5" s="129">
        <v>258.44716371632256</v>
      </c>
      <c r="T5" s="129">
        <v>257.0386712420364</v>
      </c>
      <c r="U5" s="129">
        <v>246.30445557650216</v>
      </c>
      <c r="V5" s="129">
        <v>217.61551300852625</v>
      </c>
      <c r="W5" s="129">
        <v>212.37023397938543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328.99404095999995</v>
      </c>
      <c r="C8" s="79">
        <f t="shared" si="1"/>
        <v>301.30835435999995</v>
      </c>
      <c r="D8" s="79">
        <f t="shared" si="1"/>
        <v>292.12887599999999</v>
      </c>
      <c r="E8" s="79">
        <f t="shared" si="1"/>
        <v>285.83840843999997</v>
      </c>
      <c r="F8" s="79">
        <f t="shared" si="1"/>
        <v>282.35372255999994</v>
      </c>
      <c r="G8" s="79">
        <f t="shared" si="1"/>
        <v>286.48570877395707</v>
      </c>
      <c r="H8" s="79">
        <f t="shared" si="1"/>
        <v>307.90088205416703</v>
      </c>
      <c r="I8" s="79">
        <f t="shared" si="1"/>
        <v>304.17100312498917</v>
      </c>
      <c r="J8" s="79">
        <f t="shared" si="1"/>
        <v>337.02702552040643</v>
      </c>
      <c r="K8" s="79">
        <f t="shared" si="1"/>
        <v>303.87566818261649</v>
      </c>
      <c r="L8" s="79">
        <f t="shared" si="1"/>
        <v>294.88535801771712</v>
      </c>
      <c r="M8" s="79">
        <f t="shared" si="1"/>
        <v>288.1344391231894</v>
      </c>
      <c r="N8" s="79">
        <f t="shared" si="1"/>
        <v>278.41427554070555</v>
      </c>
      <c r="O8" s="79">
        <f t="shared" si="1"/>
        <v>272.10806128484472</v>
      </c>
      <c r="P8" s="79">
        <f t="shared" si="1"/>
        <v>278.03047593715229</v>
      </c>
      <c r="Q8" s="79">
        <f t="shared" si="1"/>
        <v>271.28099544976601</v>
      </c>
      <c r="R8" s="79">
        <f t="shared" si="1"/>
        <v>248.95309586296298</v>
      </c>
      <c r="S8" s="79">
        <f t="shared" si="1"/>
        <v>258.44716371632251</v>
      </c>
      <c r="T8" s="79">
        <f t="shared" si="1"/>
        <v>257.03867124203634</v>
      </c>
      <c r="U8" s="79">
        <f t="shared" si="1"/>
        <v>246.30445557650216</v>
      </c>
      <c r="V8" s="79">
        <f t="shared" si="1"/>
        <v>217.61551300852628</v>
      </c>
      <c r="W8" s="79">
        <f t="shared" si="1"/>
        <v>212.3702339793854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240.03796632101393</v>
      </c>
      <c r="C9" s="32">
        <f t="shared" si="2"/>
        <v>229.77017744546521</v>
      </c>
      <c r="D9" s="32">
        <f t="shared" si="2"/>
        <v>222.54335208725826</v>
      </c>
      <c r="E9" s="32">
        <f t="shared" si="2"/>
        <v>223.99891677496649</v>
      </c>
      <c r="F9" s="32">
        <f t="shared" si="2"/>
        <v>224.39929740123992</v>
      </c>
      <c r="G9" s="32">
        <f t="shared" si="2"/>
        <v>230.3239245220887</v>
      </c>
      <c r="H9" s="32">
        <f t="shared" si="2"/>
        <v>239.07912311020942</v>
      </c>
      <c r="I9" s="32">
        <f t="shared" si="2"/>
        <v>236.09935523229584</v>
      </c>
      <c r="J9" s="32">
        <f t="shared" si="2"/>
        <v>259.3815573980404</v>
      </c>
      <c r="K9" s="32">
        <f t="shared" si="2"/>
        <v>236.31404631420284</v>
      </c>
      <c r="L9" s="32">
        <f t="shared" si="2"/>
        <v>229.47610712319266</v>
      </c>
      <c r="M9" s="32">
        <f t="shared" si="2"/>
        <v>227.76771523931046</v>
      </c>
      <c r="N9" s="32">
        <f t="shared" si="2"/>
        <v>229.9632591688478</v>
      </c>
      <c r="O9" s="32">
        <f t="shared" si="2"/>
        <v>224.62722260920364</v>
      </c>
      <c r="P9" s="32">
        <f t="shared" si="2"/>
        <v>218.26287797966654</v>
      </c>
      <c r="Q9" s="32">
        <f t="shared" si="2"/>
        <v>212.54136781371932</v>
      </c>
      <c r="R9" s="32">
        <f t="shared" si="2"/>
        <v>192.42309664323744</v>
      </c>
      <c r="S9" s="32">
        <f t="shared" si="2"/>
        <v>206.0354934380629</v>
      </c>
      <c r="T9" s="32">
        <f t="shared" si="2"/>
        <v>209.16844044944509</v>
      </c>
      <c r="U9" s="32">
        <f t="shared" si="2"/>
        <v>200.91040130600231</v>
      </c>
      <c r="V9" s="32">
        <f t="shared" si="2"/>
        <v>170.70665352732541</v>
      </c>
      <c r="W9" s="32">
        <f t="shared" si="2"/>
        <v>164.33540935653286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240.03796632101393</v>
      </c>
      <c r="C11" s="130">
        <f t="shared" si="3"/>
        <v>229.77017744546521</v>
      </c>
      <c r="D11" s="130">
        <f t="shared" si="3"/>
        <v>222.54335208725826</v>
      </c>
      <c r="E11" s="130">
        <f t="shared" si="3"/>
        <v>223.99891677496649</v>
      </c>
      <c r="F11" s="130">
        <f t="shared" si="3"/>
        <v>224.39929740123992</v>
      </c>
      <c r="G11" s="130">
        <f t="shared" si="3"/>
        <v>230.3239245220887</v>
      </c>
      <c r="H11" s="130">
        <f t="shared" si="3"/>
        <v>239.07912311020942</v>
      </c>
      <c r="I11" s="130">
        <f t="shared" si="3"/>
        <v>236.09935523229584</v>
      </c>
      <c r="J11" s="130">
        <f t="shared" si="3"/>
        <v>259.3815573980404</v>
      </c>
      <c r="K11" s="130">
        <f t="shared" si="3"/>
        <v>236.31404631420284</v>
      </c>
      <c r="L11" s="130">
        <f t="shared" si="3"/>
        <v>229.47610712319266</v>
      </c>
      <c r="M11" s="130">
        <f t="shared" si="3"/>
        <v>227.76771523931046</v>
      </c>
      <c r="N11" s="130">
        <f t="shared" si="3"/>
        <v>229.9632591688478</v>
      </c>
      <c r="O11" s="130">
        <f t="shared" si="3"/>
        <v>224.62722260920364</v>
      </c>
      <c r="P11" s="130">
        <f t="shared" si="3"/>
        <v>218.26287797966654</v>
      </c>
      <c r="Q11" s="130">
        <f t="shared" si="3"/>
        <v>212.54136781371932</v>
      </c>
      <c r="R11" s="130">
        <f t="shared" si="3"/>
        <v>192.42309664323744</v>
      </c>
      <c r="S11" s="130">
        <f t="shared" si="3"/>
        <v>206.0354934380629</v>
      </c>
      <c r="T11" s="130">
        <f t="shared" si="3"/>
        <v>209.16844044944509</v>
      </c>
      <c r="U11" s="130">
        <f t="shared" si="3"/>
        <v>200.91040130600231</v>
      </c>
      <c r="V11" s="130">
        <f t="shared" si="3"/>
        <v>170.70665352732541</v>
      </c>
      <c r="W11" s="130">
        <f t="shared" si="3"/>
        <v>164.33540935653286</v>
      </c>
      <c r="DA11" s="176" t="s">
        <v>408</v>
      </c>
    </row>
    <row r="12" spans="1:105" ht="11.45" customHeight="1" x14ac:dyDescent="0.25">
      <c r="A12" s="111" t="s">
        <v>92</v>
      </c>
      <c r="B12" s="96">
        <v>240.03796632101393</v>
      </c>
      <c r="C12" s="96">
        <v>229.77017744546521</v>
      </c>
      <c r="D12" s="96">
        <v>222.54335208725826</v>
      </c>
      <c r="E12" s="96">
        <v>223.99891677496649</v>
      </c>
      <c r="F12" s="96">
        <v>224.39929740123992</v>
      </c>
      <c r="G12" s="96">
        <v>230.3239245220887</v>
      </c>
      <c r="H12" s="96">
        <v>239.07912311020942</v>
      </c>
      <c r="I12" s="96">
        <v>236.09935523229584</v>
      </c>
      <c r="J12" s="96">
        <v>259.3815573980404</v>
      </c>
      <c r="K12" s="96">
        <v>236.31404631420284</v>
      </c>
      <c r="L12" s="96">
        <v>229.47610712319266</v>
      </c>
      <c r="M12" s="96">
        <v>227.76771523931046</v>
      </c>
      <c r="N12" s="96">
        <v>229.9632591688478</v>
      </c>
      <c r="O12" s="96">
        <v>224.62722260920364</v>
      </c>
      <c r="P12" s="96">
        <v>218.26287797966654</v>
      </c>
      <c r="Q12" s="96">
        <v>212.54136781371932</v>
      </c>
      <c r="R12" s="96">
        <v>192.42309664323744</v>
      </c>
      <c r="S12" s="96">
        <v>206.0354934380629</v>
      </c>
      <c r="T12" s="96">
        <v>209.16844044944509</v>
      </c>
      <c r="U12" s="96">
        <v>200.91040130600231</v>
      </c>
      <c r="V12" s="96">
        <v>170.70665352732541</v>
      </c>
      <c r="W12" s="96">
        <v>164.33540935653286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88.956074638986038</v>
      </c>
      <c r="C15" s="32">
        <f t="shared" si="4"/>
        <v>71.538176914534773</v>
      </c>
      <c r="D15" s="32">
        <f t="shared" si="4"/>
        <v>69.585523912741721</v>
      </c>
      <c r="E15" s="32">
        <f t="shared" si="4"/>
        <v>61.839491665033464</v>
      </c>
      <c r="F15" s="32">
        <f t="shared" si="4"/>
        <v>57.954425158760039</v>
      </c>
      <c r="G15" s="32">
        <f t="shared" si="4"/>
        <v>56.16178425186839</v>
      </c>
      <c r="H15" s="32">
        <f t="shared" si="4"/>
        <v>68.821758943957605</v>
      </c>
      <c r="I15" s="32">
        <f t="shared" si="4"/>
        <v>68.071647892693306</v>
      </c>
      <c r="J15" s="32">
        <f t="shared" si="4"/>
        <v>77.64546812236604</v>
      </c>
      <c r="K15" s="32">
        <f t="shared" si="4"/>
        <v>67.561621868413653</v>
      </c>
      <c r="L15" s="32">
        <f t="shared" si="4"/>
        <v>65.409250894524462</v>
      </c>
      <c r="M15" s="32">
        <f t="shared" si="4"/>
        <v>60.366723883878961</v>
      </c>
      <c r="N15" s="32">
        <f t="shared" si="4"/>
        <v>48.45101637185774</v>
      </c>
      <c r="O15" s="32">
        <f t="shared" si="4"/>
        <v>47.48083867564106</v>
      </c>
      <c r="P15" s="32">
        <f t="shared" si="4"/>
        <v>59.767597957485727</v>
      </c>
      <c r="Q15" s="32">
        <f t="shared" si="4"/>
        <v>58.739627636046706</v>
      </c>
      <c r="R15" s="32">
        <f t="shared" si="4"/>
        <v>56.529999219725539</v>
      </c>
      <c r="S15" s="32">
        <f t="shared" si="4"/>
        <v>52.411670278259628</v>
      </c>
      <c r="T15" s="32">
        <f t="shared" si="4"/>
        <v>47.870230792591279</v>
      </c>
      <c r="U15" s="32">
        <f t="shared" si="4"/>
        <v>45.394054270499851</v>
      </c>
      <c r="V15" s="32">
        <f t="shared" si="4"/>
        <v>46.908859481200857</v>
      </c>
      <c r="W15" s="32">
        <f t="shared" si="4"/>
        <v>48.034824622852547</v>
      </c>
      <c r="DA15" s="173" t="s">
        <v>413</v>
      </c>
    </row>
    <row r="16" spans="1:105" ht="11.45" customHeight="1" x14ac:dyDescent="0.25">
      <c r="A16" s="83" t="s">
        <v>92</v>
      </c>
      <c r="B16" s="96">
        <v>88.956074638986038</v>
      </c>
      <c r="C16" s="96">
        <v>71.538176914534773</v>
      </c>
      <c r="D16" s="96">
        <v>69.585523912741721</v>
      </c>
      <c r="E16" s="96">
        <v>61.839491665033464</v>
      </c>
      <c r="F16" s="96">
        <v>57.954425158760039</v>
      </c>
      <c r="G16" s="96">
        <v>56.16178425186839</v>
      </c>
      <c r="H16" s="96">
        <v>68.821758943957605</v>
      </c>
      <c r="I16" s="96">
        <v>68.071647892693306</v>
      </c>
      <c r="J16" s="96">
        <v>77.64546812236604</v>
      </c>
      <c r="K16" s="96">
        <v>67.561621868413653</v>
      </c>
      <c r="L16" s="96">
        <v>65.409250894524462</v>
      </c>
      <c r="M16" s="96">
        <v>60.366723883878961</v>
      </c>
      <c r="N16" s="96">
        <v>48.45101637185774</v>
      </c>
      <c r="O16" s="96">
        <v>47.48083867564106</v>
      </c>
      <c r="P16" s="96">
        <v>59.767597957485727</v>
      </c>
      <c r="Q16" s="96">
        <v>58.739627636046706</v>
      </c>
      <c r="R16" s="96">
        <v>56.529999219725539</v>
      </c>
      <c r="S16" s="96">
        <v>52.411670278259628</v>
      </c>
      <c r="T16" s="96">
        <v>47.870230792591279</v>
      </c>
      <c r="U16" s="96">
        <v>45.394054270499851</v>
      </c>
      <c r="V16" s="96">
        <v>46.908859481200857</v>
      </c>
      <c r="W16" s="96">
        <v>48.034824622852547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1.5704991086324487</v>
      </c>
      <c r="C22" s="134">
        <f>IF(C4=0,0,C4/TrRail_ene!C4)</f>
        <v>1.4895641980874055</v>
      </c>
      <c r="D22" s="134">
        <f>IF(D4=0,0,D4/TrRail_ene!D4)</f>
        <v>1.5132772829183556</v>
      </c>
      <c r="E22" s="134">
        <f>IF(E4=0,0,E4/TrRail_ene!E4)</f>
        <v>1.4647600175002724</v>
      </c>
      <c r="F22" s="134">
        <f>IF(F4=0,0,F4/TrRail_ene!F4)</f>
        <v>1.1861390585123259</v>
      </c>
      <c r="G22" s="134">
        <f>IF(G4=0,0,G4/TrRail_ene!G4)</f>
        <v>1.20728801460166</v>
      </c>
      <c r="H22" s="134">
        <f>IF(H4=0,0,H4/TrRail_ene!H4)</f>
        <v>1.2678732052496637</v>
      </c>
      <c r="I22" s="134">
        <f>IF(I4=0,0,I4/TrRail_ene!I4)</f>
        <v>1.2658290923280477</v>
      </c>
      <c r="J22" s="134">
        <f>IF(J4=0,0,J4/TrRail_ene!J4)</f>
        <v>1.3616368954212403</v>
      </c>
      <c r="K22" s="134">
        <f>IF(K4=0,0,K4/TrRail_ene!K4)</f>
        <v>1.3113744025240757</v>
      </c>
      <c r="L22" s="134">
        <f>IF(L4=0,0,L4/TrRail_ene!L4)</f>
        <v>1.3069172009380834</v>
      </c>
      <c r="M22" s="134">
        <f>IF(M4=0,0,M4/TrRail_ene!M4)</f>
        <v>1.2979260035783728</v>
      </c>
      <c r="N22" s="134">
        <f>IF(N4=0,0,N4/TrRail_ene!N4)</f>
        <v>1.2686093950944395</v>
      </c>
      <c r="O22" s="134">
        <f>IF(O4=0,0,O4/TrRail_ene!O4)</f>
        <v>1.2609541988057316</v>
      </c>
      <c r="P22" s="134">
        <f>IF(P4=0,0,P4/TrRail_ene!P4)</f>
        <v>1.2949138592059906</v>
      </c>
      <c r="Q22" s="134">
        <f>IF(Q4=0,0,Q4/TrRail_ene!Q4)</f>
        <v>1.2535676945189773</v>
      </c>
      <c r="R22" s="134">
        <f>IF(R4=0,0,R4/TrRail_ene!R4)</f>
        <v>1.136117747814154</v>
      </c>
      <c r="S22" s="134">
        <f>IF(S4=0,0,S4/TrRail_ene!S4)</f>
        <v>1.1439728109910154</v>
      </c>
      <c r="T22" s="134">
        <f>IF(T4=0,0,T4/TrRail_ene!T4)</f>
        <v>1.1231421904028109</v>
      </c>
      <c r="U22" s="134">
        <f>IF(U4=0,0,U4/TrRail_ene!U4)</f>
        <v>1.0918965884262932</v>
      </c>
      <c r="V22" s="134">
        <f>IF(V4=0,0,V4/TrRail_ene!V4)</f>
        <v>1.0610757865047955</v>
      </c>
      <c r="W22" s="134">
        <f>IF(W4=0,0,W4/TrRail_ene!W4)</f>
        <v>1.0142386395734926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1.5512093999999998</v>
      </c>
      <c r="F23" s="129">
        <f>IF(F5=0,0,F5/SUM(TrRail_ene!F5:F7))</f>
        <v>1.5512093999999998</v>
      </c>
      <c r="G23" s="129">
        <f>IF(G5=0,0,G5/SUM(TrRail_ene!G5:G7))</f>
        <v>1.5529193274941069</v>
      </c>
      <c r="H23" s="129">
        <f>IF(H5=0,0,H5/SUM(TrRail_ene!H5:H7))</f>
        <v>1.5551143891000303</v>
      </c>
      <c r="I23" s="129">
        <f>IF(I5=0,0,I5/SUM(TrRail_ene!I5:I7))</f>
        <v>1.5547876204242659</v>
      </c>
      <c r="J23" s="129">
        <f>IF(J5=0,0,J5/SUM(TrRail_ene!J5:J7))</f>
        <v>1.5546513545810792</v>
      </c>
      <c r="K23" s="129">
        <f>IF(K5=0,0,K5/SUM(TrRail_ene!K5:K7))</f>
        <v>1.5528398363022224</v>
      </c>
      <c r="L23" s="129">
        <f>IF(L5=0,0,L5/SUM(TrRail_ene!L5:L7))</f>
        <v>1.5530444929550906</v>
      </c>
      <c r="M23" s="129">
        <f>IF(M5=0,0,M5/SUM(TrRail_ene!M5:M7))</f>
        <v>1.5530960513131518</v>
      </c>
      <c r="N23" s="129">
        <f>IF(N5=0,0,N5/SUM(TrRail_ene!N5:N7))</f>
        <v>1.5531741306997169</v>
      </c>
      <c r="O23" s="129">
        <f>IF(O5=0,0,O5/SUM(TrRail_ene!O5:O7))</f>
        <v>1.5532623700514108</v>
      </c>
      <c r="P23" s="129">
        <f>IF(P5=0,0,P5/SUM(TrRail_ene!P5:P7))</f>
        <v>1.5559515236894235</v>
      </c>
      <c r="Q23" s="129">
        <f>IF(Q5=0,0,Q5/SUM(TrRail_ene!Q5:Q7))</f>
        <v>1.5560028097240521</v>
      </c>
      <c r="R23" s="129">
        <f>IF(R5=0,0,R5/SUM(TrRail_ene!R5:R7))</f>
        <v>1.4298788491956831</v>
      </c>
      <c r="S23" s="129">
        <f>IF(S5=0,0,S5/SUM(TrRail_ene!S5:S7))</f>
        <v>1.4481671895908126</v>
      </c>
      <c r="T23" s="129">
        <f>IF(T5=0,0,T5/SUM(TrRail_ene!T5:T7))</f>
        <v>1.4604655469050962</v>
      </c>
      <c r="U23" s="129">
        <f>IF(U5=0,0,U5/SUM(TrRail_ene!U5:U7))</f>
        <v>1.4707227505497369</v>
      </c>
      <c r="V23" s="129">
        <f>IF(V5=0,0,V5/SUM(TrRail_ene!V5:V7))</f>
        <v>1.4601916500441714</v>
      </c>
      <c r="W23" s="129">
        <f>IF(W5=0,0,W5/SUM(TrRail_ene!W5:W7))</f>
        <v>1.4408909864048649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1983.0492785438546</v>
      </c>
      <c r="C26" s="54">
        <f>IF(C8=0,0,C8/TrRail_act!C14*1000)</f>
        <v>1808.5142303130779</v>
      </c>
      <c r="D26" s="54">
        <f>IF(D8=0,0,D8/TrRail_act!D14*1000)</f>
        <v>1769.9899537066353</v>
      </c>
      <c r="E26" s="54">
        <f>IF(E8=0,0,E8/TrRail_act!E14*1000)</f>
        <v>1650.2831421113494</v>
      </c>
      <c r="F26" s="54">
        <f>IF(F8=0,0,F8/TrRail_act!F14*1000)</f>
        <v>1379.2428968692448</v>
      </c>
      <c r="G26" s="54">
        <f>IF(G8=0,0,G8/TrRail_act!G14*1000)</f>
        <v>1418.6296377819604</v>
      </c>
      <c r="H26" s="54">
        <f>IF(H8=0,0,H8/TrRail_act!H14*1000)</f>
        <v>1509.3246595410847</v>
      </c>
      <c r="I26" s="54">
        <f>IF(I8=0,0,I8/TrRail_act!I14*1000)</f>
        <v>1489.7029162249789</v>
      </c>
      <c r="J26" s="54">
        <f>IF(J8=0,0,J8/TrRail_act!J14*1000)</f>
        <v>1496.9529568431844</v>
      </c>
      <c r="K26" s="54">
        <f>IF(K8=0,0,K8/TrRail_act!K14*1000)</f>
        <v>1378.3310309479018</v>
      </c>
      <c r="L26" s="54">
        <f>IF(L8=0,0,L8/TrRail_act!L14*1000)</f>
        <v>1351.6163135367851</v>
      </c>
      <c r="M26" s="54">
        <f>IF(M8=0,0,M8/TrRail_act!M14*1000)</f>
        <v>1326.9605982759449</v>
      </c>
      <c r="N26" s="54">
        <f>IF(N8=0,0,N8/TrRail_act!N14*1000)</f>
        <v>1233.5793420082039</v>
      </c>
      <c r="O26" s="54">
        <f>IF(O8=0,0,O8/TrRail_act!O14*1000)</f>
        <v>1200.988930409759</v>
      </c>
      <c r="P26" s="54">
        <f>IF(P8=0,0,P8/TrRail_act!P14*1000)</f>
        <v>1242.1588595807875</v>
      </c>
      <c r="Q26" s="54">
        <f>IF(Q8=0,0,Q8/TrRail_act!Q14*1000)</f>
        <v>1177.2077675834489</v>
      </c>
      <c r="R26" s="54">
        <f>IF(R8=0,0,R8/TrRail_act!R14*1000)</f>
        <v>1024.1615115117622</v>
      </c>
      <c r="S26" s="54">
        <f>IF(S8=0,0,S8/TrRail_act!S14*1000)</f>
        <v>1023.4084718169543</v>
      </c>
      <c r="T26" s="54">
        <f>IF(T8=0,0,T8/TrRail_act!T14*1000)</f>
        <v>1004.0468326981963</v>
      </c>
      <c r="U26" s="54">
        <f>IF(U8=0,0,U8/TrRail_act!U14*1000)</f>
        <v>952.628360694805</v>
      </c>
      <c r="V26" s="54">
        <f>IF(V8=0,0,V8/TrRail_act!V14*1000)</f>
        <v>945.11515468060759</v>
      </c>
      <c r="W26" s="54">
        <f>IF(W8=0,0,W8/TrRail_act!W14*1000)</f>
        <v>903.21530728035884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1701.922649486939</v>
      </c>
      <c r="C27" s="28">
        <f>IF(C9=0,0,C9/TrRail_act!C15*1000)</f>
        <v>1615.4353018622223</v>
      </c>
      <c r="D27" s="28">
        <f>IF(D9=0,0,D9/TrRail_act!D15*1000)</f>
        <v>1553.9831927919458</v>
      </c>
      <c r="E27" s="28">
        <f>IF(E9=0,0,E9/TrRail_act!E15*1000)</f>
        <v>1483.627521332927</v>
      </c>
      <c r="F27" s="28">
        <f>IF(F9=0,0,F9/TrRail_act!F15*1000)</f>
        <v>1289.9189225003017</v>
      </c>
      <c r="G27" s="28">
        <f>IF(G9=0,0,G9/TrRail_act!G15*1000)</f>
        <v>1341.8134338821355</v>
      </c>
      <c r="H27" s="28">
        <f>IF(H9=0,0,H9/TrRail_act!H15*1000)</f>
        <v>1385.263586194153</v>
      </c>
      <c r="I27" s="28">
        <f>IF(I9=0,0,I9/TrRail_act!I15*1000)</f>
        <v>1390.7193599994196</v>
      </c>
      <c r="J27" s="28">
        <f>IF(J9=0,0,J9/TrRail_act!J15*1000)</f>
        <v>1329.5197348449269</v>
      </c>
      <c r="K27" s="28">
        <f>IF(K9=0,0,K9/TrRail_act!K15*1000)</f>
        <v>1209.5270152163378</v>
      </c>
      <c r="L27" s="28">
        <f>IF(L9=0,0,L9/TrRail_act!L15*1000)</f>
        <v>1184.2037754474738</v>
      </c>
      <c r="M27" s="28">
        <f>IF(M9=0,0,M9/TrRail_act!M15*1000)</f>
        <v>1193.3976654758749</v>
      </c>
      <c r="N27" s="28">
        <f>IF(N9=0,0,N9/TrRail_act!N15*1000)</f>
        <v>1141.1812820548655</v>
      </c>
      <c r="O27" s="28">
        <f>IF(O9=0,0,O9/TrRail_act!O15*1000)</f>
        <v>1103.0099485946719</v>
      </c>
      <c r="P27" s="28">
        <f>IF(P9=0,0,P9/TrRail_act!P15*1000)</f>
        <v>1100.3373814539591</v>
      </c>
      <c r="Q27" s="28">
        <f>IF(Q9=0,0,Q9/TrRail_act!Q15*1000)</f>
        <v>1047.0105168650514</v>
      </c>
      <c r="R27" s="28">
        <f>IF(R9=0,0,R9/TrRail_act!R15*1000)</f>
        <v>892.6953193768793</v>
      </c>
      <c r="S27" s="28">
        <f>IF(S9=0,0,S9/TrRail_act!S15*1000)</f>
        <v>914.8491113868497</v>
      </c>
      <c r="T27" s="28">
        <f>IF(T9=0,0,T9/TrRail_act!T15*1000)</f>
        <v>914.44598298040614</v>
      </c>
      <c r="U27" s="28">
        <f>IF(U9=0,0,U9/TrRail_act!U15*1000)</f>
        <v>872.42157091592958</v>
      </c>
      <c r="V27" s="28">
        <f>IF(V9=0,0,V9/TrRail_act!V15*1000)</f>
        <v>848.80046157906907</v>
      </c>
      <c r="W27" s="28">
        <f>IF(W9=0,0,W9/TrRail_act!W15*1000)</f>
        <v>803.74788717502861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5794.1146069520637</v>
      </c>
      <c r="C29" s="110">
        <f>IF(C11=0,0,C11/TrRail_act!C17*1000)</f>
        <v>5743.7858699225335</v>
      </c>
      <c r="D29" s="110">
        <f>IF(D11=0,0,D11/TrRail_act!D17*1000)</f>
        <v>5706.4095946502994</v>
      </c>
      <c r="E29" s="110">
        <f>IF(E11=0,0,E11/TrRail_act!E17*1000)</f>
        <v>5518.0251385214542</v>
      </c>
      <c r="F29" s="110">
        <f>IF(F11=0,0,F11/TrRail_act!F17*1000)</f>
        <v>3857.5832320880913</v>
      </c>
      <c r="G29" s="110">
        <f>IF(G11=0,0,G11/TrRail_act!G17*1000)</f>
        <v>3627.0557882331241</v>
      </c>
      <c r="H29" s="110">
        <f>IF(H11=0,0,H11/TrRail_act!H17*1000)</f>
        <v>3678.3667626573701</v>
      </c>
      <c r="I29" s="110">
        <f>IF(I11=0,0,I11/TrRail_act!I17*1000)</f>
        <v>3816.4987168676607</v>
      </c>
      <c r="J29" s="110">
        <f>IF(J11=0,0,J11/TrRail_act!J17*1000)</f>
        <v>3870.1475845246136</v>
      </c>
      <c r="K29" s="110">
        <f>IF(K11=0,0,K11/TrRail_act!K17*1000)</f>
        <v>3528.4265200927434</v>
      </c>
      <c r="L29" s="110">
        <f>IF(L11=0,0,L11/TrRail_act!L17*1000)</f>
        <v>3451.807931214802</v>
      </c>
      <c r="M29" s="110">
        <f>IF(M11=0,0,M11/TrRail_act!M17*1000)</f>
        <v>3349.7893409122398</v>
      </c>
      <c r="N29" s="110">
        <f>IF(N11=0,0,N11/TrRail_act!N17*1000)</f>
        <v>3304.4718589507142</v>
      </c>
      <c r="O29" s="110">
        <f>IF(O11=0,0,O11/TrRail_act!O17*1000)</f>
        <v>3125.701029653263</v>
      </c>
      <c r="P29" s="110">
        <f>IF(P11=0,0,P11/TrRail_act!P17*1000)</f>
        <v>3037.1625254454384</v>
      </c>
      <c r="Q29" s="110">
        <f>IF(Q11=0,0,Q11/TrRail_act!Q17*1000)</f>
        <v>2842.9723196670752</v>
      </c>
      <c r="R29" s="110">
        <f>IF(R11=0,0,R11/TrRail_act!R17*1000)</f>
        <v>2546.6156908640683</v>
      </c>
      <c r="S29" s="110">
        <f>IF(S11=0,0,S11/TrRail_act!S17*1000)</f>
        <v>2532.2072397286129</v>
      </c>
      <c r="T29" s="110">
        <f>IF(T11=0,0,T11/TrRail_act!T17*1000)</f>
        <v>2407.2163489680611</v>
      </c>
      <c r="U29" s="110">
        <f>IF(U11=0,0,U11/TrRail_act!U17*1000)</f>
        <v>2327.6463465186698</v>
      </c>
      <c r="V29" s="110">
        <f>IF(V11=0,0,V11/TrRail_act!V17*1000)</f>
        <v>2215.1226502093918</v>
      </c>
      <c r="W29" s="110">
        <f>IF(W11=0,0,W11/TrRail_act!W17*1000)</f>
        <v>2062.4773056928002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8366.9394589034891</v>
      </c>
      <c r="C30" s="84">
        <f>IF(C12=0,0,C12/TrRail_act!C18*1000)</f>
        <v>8231.1630181776891</v>
      </c>
      <c r="D30" s="84">
        <f>IF(D12=0,0,D12/TrRail_act!D18*1000)</f>
        <v>8048.1205687514594</v>
      </c>
      <c r="E30" s="84">
        <f>IF(E12=0,0,E12/TrRail_act!E18*1000)</f>
        <v>7919.4449471268372</v>
      </c>
      <c r="F30" s="84">
        <f>IF(F12=0,0,F12/TrRail_act!F18*1000)</f>
        <v>7636.2288388600718</v>
      </c>
      <c r="G30" s="84">
        <f>IF(G12=0,0,G12/TrRail_act!G18*1000)</f>
        <v>7542.9475879419388</v>
      </c>
      <c r="H30" s="84">
        <f>IF(H12=0,0,H12/TrRail_act!H18*1000)</f>
        <v>7330.3988229792694</v>
      </c>
      <c r="I30" s="84">
        <f>IF(I12=0,0,I12/TrRail_act!I18*1000)</f>
        <v>7243.7236201740361</v>
      </c>
      <c r="J30" s="84">
        <f>IF(J12=0,0,J12/TrRail_act!J18*1000)</f>
        <v>7133.6665021354556</v>
      </c>
      <c r="K30" s="84">
        <f>IF(K12=0,0,K12/TrRail_act!K18*1000)</f>
        <v>6983.1844923078843</v>
      </c>
      <c r="L30" s="84">
        <f>IF(L12=0,0,L12/TrRail_act!L18*1000)</f>
        <v>6850.1412207808035</v>
      </c>
      <c r="M30" s="84">
        <f>IF(M12=0,0,M12/TrRail_act!M18*1000)</f>
        <v>6709.3967174595791</v>
      </c>
      <c r="N30" s="84">
        <f>IF(N12=0,0,N12/TrRail_act!N18*1000)</f>
        <v>6573.7450553220415</v>
      </c>
      <c r="O30" s="84">
        <f>IF(O12=0,0,O12/TrRail_act!O18*1000)</f>
        <v>6421.1804132994812</v>
      </c>
      <c r="P30" s="84">
        <f>IF(P12=0,0,P12/TrRail_act!P18*1000)</f>
        <v>6242.5902809445824</v>
      </c>
      <c r="Q30" s="84">
        <f>IF(Q12=0,0,Q12/TrRail_act!Q18*1000)</f>
        <v>5995.0478808344715</v>
      </c>
      <c r="R30" s="84">
        <f>IF(R12=0,0,R12/TrRail_act!R18*1000)</f>
        <v>5381.7203151233471</v>
      </c>
      <c r="S30" s="84">
        <f>IF(S12=0,0,S12/TrRail_act!S18*1000)</f>
        <v>5446.7976382630814</v>
      </c>
      <c r="T30" s="84">
        <f>IF(T12=0,0,T12/TrRail_act!T18*1000)</f>
        <v>5435.3127528412679</v>
      </c>
      <c r="U30" s="84">
        <f>IF(U12=0,0,U12/TrRail_act!U18*1000)</f>
        <v>5359.6841876120989</v>
      </c>
      <c r="V30" s="84">
        <f>IF(V12=0,0,V12/TrRail_act!V18*1000)</f>
        <v>5227.6339151327347</v>
      </c>
      <c r="W30" s="84">
        <f>IF(W12=0,0,W12/TrRail_act!W18*1000)</f>
        <v>5090.2793682110623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3577.7320790082554</v>
      </c>
      <c r="C33" s="28">
        <f>IF(C15=0,0,C15/TrRail_act!C21*1000)</f>
        <v>2935.3515569892884</v>
      </c>
      <c r="D33" s="28">
        <f>IF(D15=0,0,D15/TrRail_act!D21*1000)</f>
        <v>3186.5646811477272</v>
      </c>
      <c r="E33" s="28">
        <f>IF(E15=0,0,E15/TrRail_act!E21*1000)</f>
        <v>2782.4149403499741</v>
      </c>
      <c r="F33" s="28">
        <f>IF(F15=0,0,F15/TrRail_act!F21*1000)</f>
        <v>1884.5385157957032</v>
      </c>
      <c r="G33" s="28">
        <f>IF(G15=0,0,G15/TrRail_act!G21*1000)</f>
        <v>1853.8817536009483</v>
      </c>
      <c r="H33" s="28">
        <f>IF(H15=0,0,H15/TrRail_act!H21*1000)</f>
        <v>2190.9630801408912</v>
      </c>
      <c r="I33" s="28">
        <f>IF(I15=0,0,I15/TrRail_act!I21*1000)</f>
        <v>1977.9914098999479</v>
      </c>
      <c r="J33" s="28">
        <f>IF(J15=0,0,J15/TrRail_act!J21*1000)</f>
        <v>2584.0604810630898</v>
      </c>
      <c r="K33" s="28">
        <f>IF(K15=0,0,K15/TrRail_act!K21*1000)</f>
        <v>2692.8616849469536</v>
      </c>
      <c r="L33" s="28">
        <f>IF(L15=0,0,L15/TrRail_act!L21*1000)</f>
        <v>2681.6456956282041</v>
      </c>
      <c r="M33" s="28">
        <f>IF(M15=0,0,M15/TrRail_act!M21*1000)</f>
        <v>2296.872192680064</v>
      </c>
      <c r="N33" s="28">
        <f>IF(N15=0,0,N15/TrRail_act!N21*1000)</f>
        <v>2003.5205887461948</v>
      </c>
      <c r="O33" s="28">
        <f>IF(O15=0,0,O15/TrRail_act!O21*1000)</f>
        <v>2071.5281355588527</v>
      </c>
      <c r="P33" s="28">
        <f>IF(P15=0,0,P15/TrRail_act!P21*1000)</f>
        <v>2346.7283122870199</v>
      </c>
      <c r="Q33" s="28">
        <f>IF(Q15=0,0,Q15/TrRail_act!Q21*1000)</f>
        <v>2140.1783416748221</v>
      </c>
      <c r="R33" s="28">
        <f>IF(R15=0,0,R15/TrRail_act!R21*1000)</f>
        <v>2053.6213902864474</v>
      </c>
      <c r="S33" s="28">
        <f>IF(S15=0,0,S15/TrRail_act!S21*1000)</f>
        <v>1918.2149467793058</v>
      </c>
      <c r="T33" s="28">
        <f>IF(T15=0,0,T15/TrRail_act!T21*1000)</f>
        <v>1755.7530441332676</v>
      </c>
      <c r="U33" s="28">
        <f>IF(U15=0,0,U15/TrRail_act!U21*1000)</f>
        <v>1606.186326238605</v>
      </c>
      <c r="V33" s="28">
        <f>IF(V15=0,0,V15/TrRail_act!V21*1000)</f>
        <v>1609.9007893078585</v>
      </c>
      <c r="W33" s="28">
        <f>IF(W15=0,0,W15/TrRail_act!W21*1000)</f>
        <v>1566.4109426818718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12028.461524558106</v>
      </c>
      <c r="C34" s="84">
        <f>IF(C16=0,0,C16/TrRail_act!C22*1000)</f>
        <v>11966.453573091656</v>
      </c>
      <c r="D34" s="84">
        <f>IF(D16=0,0,D16/TrRail_act!D22*1000)</f>
        <v>11826.060295267089</v>
      </c>
      <c r="E34" s="84">
        <f>IF(E16=0,0,E16/TrRail_act!E22*1000)</f>
        <v>11741.146688194369</v>
      </c>
      <c r="F34" s="84">
        <f>IF(F16=0,0,F16/TrRail_act!F22*1000)</f>
        <v>11633.907078413826</v>
      </c>
      <c r="G34" s="84">
        <f>IF(G16=0,0,G16/TrRail_act!G22*1000)</f>
        <v>11441.168707682997</v>
      </c>
      <c r="H34" s="84">
        <f>IF(H16=0,0,H16/TrRail_act!H22*1000)</f>
        <v>11274.626703195767</v>
      </c>
      <c r="I34" s="84">
        <f>IF(I16=0,0,I16/TrRail_act!I22*1000)</f>
        <v>11202.244059068376</v>
      </c>
      <c r="J34" s="84">
        <f>IF(J16=0,0,J16/TrRail_act!J22*1000)</f>
        <v>11141.9559989392</v>
      </c>
      <c r="K34" s="84">
        <f>IF(K16=0,0,K16/TrRail_act!K22*1000)</f>
        <v>11094.975137589636</v>
      </c>
      <c r="L34" s="84">
        <f>IF(L16=0,0,L16/TrRail_act!L22*1000)</f>
        <v>11072.913221164607</v>
      </c>
      <c r="M34" s="84">
        <f>IF(M16=0,0,M16/TrRail_act!M22*1000)</f>
        <v>10941.21246690806</v>
      </c>
      <c r="N34" s="84">
        <f>IF(N16=0,0,N16/TrRail_act!N22*1000)</f>
        <v>10872.30046657184</v>
      </c>
      <c r="O34" s="84">
        <f>IF(O16=0,0,O16/TrRail_act!O22*1000)</f>
        <v>10839.988931522834</v>
      </c>
      <c r="P34" s="84">
        <f>IF(P16=0,0,P16/TrRail_act!P22*1000)</f>
        <v>10789.691893361585</v>
      </c>
      <c r="Q34" s="84">
        <f>IF(Q16=0,0,Q16/TrRail_act!Q22*1000)</f>
        <v>10769.229866428019</v>
      </c>
      <c r="R34" s="84">
        <f>IF(R16=0,0,R16/TrRail_act!R22*1000)</f>
        <v>9881.9915678172256</v>
      </c>
      <c r="S34" s="84">
        <f>IF(S16=0,0,S16/TrRail_act!S22*1000)</f>
        <v>9997.5173294960787</v>
      </c>
      <c r="T34" s="84">
        <f>IF(T16=0,0,T16/TrRail_act!T22*1000)</f>
        <v>10074.208778624399</v>
      </c>
      <c r="U34" s="84">
        <f>IF(U16=0,0,U16/TrRail_act!U22*1000)</f>
        <v>10138.765256361046</v>
      </c>
      <c r="V34" s="84">
        <f>IF(V16=0,0,V16/TrRail_act!V22*1000)</f>
        <v>10061.554592616674</v>
      </c>
      <c r="W34" s="84">
        <f>IF(W16=0,0,W16/TrRail_act!W22*1000)</f>
        <v>9925.1500082349321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15.61933669449596</v>
      </c>
      <c r="C38" s="29">
        <f>IF(C9=0,0,C9/TrRail_act!C4*1000)</f>
        <v>14.799058189196522</v>
      </c>
      <c r="D38" s="29">
        <f>IF(D9=0,0,D9/TrRail_act!D4*1000)</f>
        <v>14.931786908699561</v>
      </c>
      <c r="E38" s="29">
        <f>IF(E9=0,0,E9/TrRail_act!E4*1000)</f>
        <v>14.852660679709212</v>
      </c>
      <c r="F38" s="29">
        <f>IF(F9=0,0,F9/TrRail_act!F4*1000)</f>
        <v>14.661350325127565</v>
      </c>
      <c r="G38" s="29">
        <f>IF(G9=0,0,G9/TrRail_act!G4*1000)</f>
        <v>15.774314749615696</v>
      </c>
      <c r="H38" s="29">
        <f>IF(H9=0,0,H9/TrRail_act!H4*1000)</f>
        <v>16.240905596856791</v>
      </c>
      <c r="I38" s="29">
        <f>IF(I9=0,0,I9/TrRail_act!I4*1000)</f>
        <v>16.117757245316611</v>
      </c>
      <c r="J38" s="29">
        <f>IF(J9=0,0,J9/TrRail_act!J4*1000)</f>
        <v>16.297110883401427</v>
      </c>
      <c r="K38" s="29">
        <f>IF(K9=0,0,K9/TrRail_act!K4*1000)</f>
        <v>15.286799427778716</v>
      </c>
      <c r="L38" s="29">
        <f>IF(L9=0,0,L9/TrRail_act!L4*1000)</f>
        <v>14.751613983234293</v>
      </c>
      <c r="M38" s="29">
        <f>IF(M9=0,0,M9/TrRail_act!M4*1000)</f>
        <v>14.804531377270747</v>
      </c>
      <c r="N38" s="29">
        <f>IF(N9=0,0,N9/TrRail_act!N4*1000)</f>
        <v>13.771904369915426</v>
      </c>
      <c r="O38" s="29">
        <f>IF(O9=0,0,O9/TrRail_act!O4*1000)</f>
        <v>13.141551323017371</v>
      </c>
      <c r="P38" s="29">
        <f>IF(P9=0,0,P9/TrRail_act!P4*1000)</f>
        <v>12.939463954213098</v>
      </c>
      <c r="Q38" s="29">
        <f>IF(Q9=0,0,Q9/TrRail_act!Q4*1000)</f>
        <v>12.110136223268549</v>
      </c>
      <c r="R38" s="29">
        <f>IF(R9=0,0,R9/TrRail_act!R4*1000)</f>
        <v>10.071660192575786</v>
      </c>
      <c r="S38" s="29">
        <f>IF(S9=0,0,S9/TrRail_act!S4*1000)</f>
        <v>10.227015190857973</v>
      </c>
      <c r="T38" s="29">
        <f>IF(T9=0,0,T9/TrRail_act!T4*1000)</f>
        <v>9.9818867490715775</v>
      </c>
      <c r="U38" s="29">
        <f>IF(U9=0,0,U9/TrRail_act!U4*1000)</f>
        <v>9.1510923035510388</v>
      </c>
      <c r="V38" s="29">
        <f>IF(V9=0,0,V9/TrRail_act!V4*1000)</f>
        <v>16.449689571411749</v>
      </c>
      <c r="W38" s="29">
        <f>IF(W9=0,0,W9/TrRail_act!W4*1000)</f>
        <v>15.853462734208591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32.88191319465944</v>
      </c>
      <c r="C40" s="116">
        <f>IF(C11=0,0,C11/TrRail_act!C6*1000)</f>
        <v>31.479679058153888</v>
      </c>
      <c r="D40" s="116">
        <f>IF(D11=0,0,D11/TrRail_act!D6*1000)</f>
        <v>33.734023357171175</v>
      </c>
      <c r="E40" s="116">
        <f>IF(E11=0,0,E11/TrRail_act!E6*1000)</f>
        <v>34.366203862375961</v>
      </c>
      <c r="F40" s="116">
        <f>IF(F11=0,0,F11/TrRail_act!F6*1000)</f>
        <v>34.108420337625766</v>
      </c>
      <c r="G40" s="116">
        <f>IF(G11=0,0,G11/TrRail_act!G6*1000)</f>
        <v>34.577979961280391</v>
      </c>
      <c r="H40" s="116">
        <f>IF(H11=0,0,H11/TrRail_act!H6*1000)</f>
        <v>35.293640848864698</v>
      </c>
      <c r="I40" s="116">
        <f>IF(I11=0,0,I11/TrRail_act!I6*1000)</f>
        <v>35.94144546084577</v>
      </c>
      <c r="J40" s="116">
        <f>IF(J11=0,0,J11/TrRail_act!J6*1000)</f>
        <v>39.782447453687176</v>
      </c>
      <c r="K40" s="116">
        <f>IF(K11=0,0,K11/TrRail_act!K6*1000)</f>
        <v>37.8890566481005</v>
      </c>
      <c r="L40" s="116">
        <f>IF(L11=0,0,L11/TrRail_act!L6*1000)</f>
        <v>36.49429184529145</v>
      </c>
      <c r="M40" s="116">
        <f>IF(M11=0,0,M11/TrRail_act!M6*1000)</f>
        <v>35.67790025678422</v>
      </c>
      <c r="N40" s="116">
        <f>IF(N11=0,0,N11/TrRail_act!N6*1000)</f>
        <v>33.207690854707259</v>
      </c>
      <c r="O40" s="116">
        <f>IF(O11=0,0,O11/TrRail_act!O6*1000)</f>
        <v>30.914839335150514</v>
      </c>
      <c r="P40" s="116">
        <f>IF(P11=0,0,P11/TrRail_act!P6*1000)</f>
        <v>29.502957283004399</v>
      </c>
      <c r="Q40" s="116">
        <f>IF(Q11=0,0,Q11/TrRail_act!Q6*1000)</f>
        <v>28.121377059237805</v>
      </c>
      <c r="R40" s="116">
        <f>IF(R11=0,0,R11/TrRail_act!R6*1000)</f>
        <v>23.933220975527046</v>
      </c>
      <c r="S40" s="116">
        <f>IF(S11=0,0,S11/TrRail_act!S6*1000)</f>
        <v>23.863272346312591</v>
      </c>
      <c r="T40" s="116">
        <f>IF(T11=0,0,T11/TrRail_act!T6*1000)</f>
        <v>22.190583540149063</v>
      </c>
      <c r="U40" s="116">
        <f>IF(U11=0,0,U11/TrRail_act!U6*1000)</f>
        <v>20.141393614636826</v>
      </c>
      <c r="V40" s="116">
        <f>IF(V11=0,0,V11/TrRail_act!V6*1000)</f>
        <v>28.051276170081621</v>
      </c>
      <c r="W40" s="116">
        <f>IF(W11=0,0,W11/TrRail_act!W6*1000)</f>
        <v>26.488395217524271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60.205906995714237</v>
      </c>
      <c r="C41" s="87">
        <f>IF(C12=0,0,C12/TrRail_act!C7*1000)</f>
        <v>57.626540731710229</v>
      </c>
      <c r="D41" s="87">
        <f>IF(D12=0,0,D12/TrRail_act!D7*1000)</f>
        <v>62.137762391583415</v>
      </c>
      <c r="E41" s="87">
        <f>IF(E12=0,0,E12/TrRail_act!E7*1000)</f>
        <v>64.819736365492062</v>
      </c>
      <c r="F41" s="87">
        <f>IF(F12=0,0,F12/TrRail_act!F7*1000)</f>
        <v>65.048927804501048</v>
      </c>
      <c r="G41" s="87">
        <f>IF(G12=0,0,G12/TrRail_act!G7*1000)</f>
        <v>66.441848670839036</v>
      </c>
      <c r="H41" s="87">
        <f>IF(H12=0,0,H12/TrRail_act!H7*1000)</f>
        <v>69.416628525320036</v>
      </c>
      <c r="I41" s="87">
        <f>IF(I12=0,0,I12/TrRail_act!I7*1000)</f>
        <v>71.803233378240918</v>
      </c>
      <c r="J41" s="87">
        <f>IF(J12=0,0,J12/TrRail_act!J7*1000)</f>
        <v>81.742200991701182</v>
      </c>
      <c r="K41" s="87">
        <f>IF(K12=0,0,K12/TrRail_act!K7*1000)</f>
        <v>79.109072071780773</v>
      </c>
      <c r="L41" s="87">
        <f>IF(L12=0,0,L12/TrRail_act!L7*1000)</f>
        <v>76.415475752709384</v>
      </c>
      <c r="M41" s="87">
        <f>IF(M12=0,0,M12/TrRail_act!M7*1000)</f>
        <v>75.436167666483868</v>
      </c>
      <c r="N41" s="87">
        <f>IF(N12=0,0,N12/TrRail_act!N7*1000)</f>
        <v>71.764071166425083</v>
      </c>
      <c r="O41" s="87">
        <f>IF(O12=0,0,O12/TrRail_act!O7*1000)</f>
        <v>67.130352199216901</v>
      </c>
      <c r="P41" s="87">
        <f>IF(P12=0,0,P12/TrRail_act!P7*1000)</f>
        <v>64.100190862243934</v>
      </c>
      <c r="Q41" s="87">
        <f>IF(Q12=0,0,Q12/TrRail_act!Q7*1000)</f>
        <v>62.764644401672939</v>
      </c>
      <c r="R41" s="87">
        <f>IF(R12=0,0,R12/TrRail_act!R7*1000)</f>
        <v>53.165307345645147</v>
      </c>
      <c r="S41" s="87">
        <f>IF(S12=0,0,S12/TrRail_act!S7*1000)</f>
        <v>53.156575002593108</v>
      </c>
      <c r="T41" s="87">
        <f>IF(T12=0,0,T12/TrRail_act!T7*1000)</f>
        <v>50.160782983600605</v>
      </c>
      <c r="U41" s="87">
        <f>IF(U12=0,0,U12/TrRail_act!U7*1000)</f>
        <v>45.567993915451346</v>
      </c>
      <c r="V41" s="87">
        <f>IF(V12=0,0,V12/TrRail_act!V7*1000)</f>
        <v>61.477427491767614</v>
      </c>
      <c r="W41" s="87">
        <f>IF(W12=0,0,W12/TrRail_act!W7*1000)</f>
        <v>57.751078192952328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5.0843664059777112</v>
      </c>
      <c r="C44" s="29">
        <f>IF(C15=0,0,C15/TrRail_act!C10*1000)</f>
        <v>4.2330282197949574</v>
      </c>
      <c r="D44" s="29">
        <f>IF(D15=0,0,D15/TrRail_act!D10*1000)</f>
        <v>4.4013614113056114</v>
      </c>
      <c r="E44" s="29">
        <f>IF(E15=0,0,E15/TrRail_act!E10*1000)</f>
        <v>3.8985935988547133</v>
      </c>
      <c r="F44" s="29">
        <f>IF(F15=0,0,F15/TrRail_act!F10*1000)</f>
        <v>3.8400758785290243</v>
      </c>
      <c r="G44" s="29">
        <f>IF(G15=0,0,G15/TrRail_act!G10*1000)</f>
        <v>3.777867903394887</v>
      </c>
      <c r="H44" s="29">
        <f>IF(H15=0,0,H15/TrRail_act!H10*1000)</f>
        <v>4.3616045975003237</v>
      </c>
      <c r="I44" s="29">
        <f>IF(I15=0,0,I15/TrRail_act!I10*1000)</f>
        <v>4.1751501406215228</v>
      </c>
      <c r="J44" s="29">
        <f>IF(J15=0,0,J15/TrRail_act!J10*1000)</f>
        <v>5.0298288606831667</v>
      </c>
      <c r="K44" s="29">
        <f>IF(K15=0,0,K15/TrRail_act!K10*1000)</f>
        <v>5.2819655905256546</v>
      </c>
      <c r="L44" s="29">
        <f>IF(L15=0,0,L15/TrRail_act!L10*1000)</f>
        <v>4.7501271528340201</v>
      </c>
      <c r="M44" s="29">
        <f>IF(M15=0,0,M15/TrRail_act!M10*1000)</f>
        <v>4.2167312017238725</v>
      </c>
      <c r="N44" s="29">
        <f>IF(N15=0,0,N15/TrRail_act!N10*1000)</f>
        <v>3.3960199321411464</v>
      </c>
      <c r="O44" s="29">
        <f>IF(O15=0,0,O15/TrRail_act!O10*1000)</f>
        <v>3.3999884479513827</v>
      </c>
      <c r="P44" s="29">
        <f>IF(P15=0,0,P15/TrRail_act!P10*1000)</f>
        <v>4.1006928272717484</v>
      </c>
      <c r="Q44" s="29">
        <f>IF(Q15=0,0,Q15/TrRail_act!Q10*1000)</f>
        <v>3.8490025316851257</v>
      </c>
      <c r="R44" s="29">
        <f>IF(R15=0,0,R15/TrRail_act!R10*1000)</f>
        <v>3.6193097650121993</v>
      </c>
      <c r="S44" s="29">
        <f>IF(S15=0,0,S15/TrRail_act!S10*1000)</f>
        <v>3.3081910167430175</v>
      </c>
      <c r="T44" s="29">
        <f>IF(T15=0,0,T15/TrRail_act!T10*1000)</f>
        <v>2.890016348260763</v>
      </c>
      <c r="U44" s="29">
        <f>IF(U15=0,0,U15/TrRail_act!U10*1000)</f>
        <v>2.8055657769159366</v>
      </c>
      <c r="V44" s="29">
        <f>IF(V15=0,0,V15/TrRail_act!V10*1000)</f>
        <v>3.0757890945643469</v>
      </c>
      <c r="W44" s="29">
        <f>IF(W15=0,0,W15/TrRail_act!W10*1000)</f>
        <v>2.9422286305802126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17.484705064736456</v>
      </c>
      <c r="C45" s="87">
        <f>IF(C16=0,0,C16/TrRail_act!C11*1000)</f>
        <v>17.630771654929731</v>
      </c>
      <c r="D45" s="87">
        <f>IF(D16=0,0,D16/TrRail_act!D11*1000)</f>
        <v>18.134900414268365</v>
      </c>
      <c r="E45" s="87">
        <f>IF(E16=0,0,E16/TrRail_act!E11*1000)</f>
        <v>17.626649918631362</v>
      </c>
      <c r="F45" s="87">
        <f>IF(F16=0,0,F16/TrRail_act!F11*1000)</f>
        <v>17.570545956762533</v>
      </c>
      <c r="G45" s="87">
        <f>IF(G16=0,0,G16/TrRail_act!G11*1000)</f>
        <v>17.780441821445265</v>
      </c>
      <c r="H45" s="87">
        <f>IF(H16=0,0,H16/TrRail_act!H11*1000)</f>
        <v>18.656561545810224</v>
      </c>
      <c r="I45" s="87">
        <f>IF(I16=0,0,I16/TrRail_act!I11*1000)</f>
        <v>18.346028315920396</v>
      </c>
      <c r="J45" s="87">
        <f>IF(J16=0,0,J16/TrRail_act!J11*1000)</f>
        <v>20.80739813993986</v>
      </c>
      <c r="K45" s="87">
        <f>IF(K16=0,0,K16/TrRail_act!K11*1000)</f>
        <v>18.288846180735238</v>
      </c>
      <c r="L45" s="87">
        <f>IF(L16=0,0,L16/TrRail_act!L11*1000)</f>
        <v>17.552649173891773</v>
      </c>
      <c r="M45" s="87">
        <f>IF(M16=0,0,M16/TrRail_act!M11*1000)</f>
        <v>16.986019426711948</v>
      </c>
      <c r="N45" s="87">
        <f>IF(N16=0,0,N16/TrRail_act!N11*1000)</f>
        <v>17.321840439747866</v>
      </c>
      <c r="O45" s="87">
        <f>IF(O16=0,0,O16/TrRail_act!O11*1000)</f>
        <v>16.97776438432545</v>
      </c>
      <c r="P45" s="87">
        <f>IF(P16=0,0,P16/TrRail_act!P11*1000)</f>
        <v>16.437667820262835</v>
      </c>
      <c r="Q45" s="87">
        <f>IF(Q16=0,0,Q16/TrRail_act!Q11*1000)</f>
        <v>16.546430681292005</v>
      </c>
      <c r="R45" s="87">
        <f>IF(R16=0,0,R16/TrRail_act!R11*1000)</f>
        <v>15.466701342033325</v>
      </c>
      <c r="S45" s="87">
        <f>IF(S16=0,0,S16/TrRail_act!S11*1000)</f>
        <v>14.877188720026947</v>
      </c>
      <c r="T45" s="87">
        <f>IF(T16=0,0,T16/TrRail_act!T11*1000)</f>
        <v>13.470987792696896</v>
      </c>
      <c r="U45" s="87">
        <f>IF(U16=0,0,U16/TrRail_act!U11*1000)</f>
        <v>13.060093478360994</v>
      </c>
      <c r="V45" s="87">
        <f>IF(V16=0,0,V16/TrRail_act!V11*1000)</f>
        <v>14.096216236123233</v>
      </c>
      <c r="W45" s="87">
        <f>IF(W16=0,0,W16/TrRail_act!W11*1000)</f>
        <v>14.006770127944936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251.89748660971009</v>
      </c>
      <c r="C48" s="62">
        <f>IF(C8=0,0,1000000*C8/TrRail_act!C25/1000)</f>
        <v>228.03838211403769</v>
      </c>
      <c r="D48" s="62">
        <f>IF(D8=0,0,1000000*D8/TrRail_act!D25/1000)</f>
        <v>221.28223826676415</v>
      </c>
      <c r="E48" s="62">
        <f>IF(E8=0,0,1000000*E8/TrRail_act!E25/1000)</f>
        <v>206.34184034522767</v>
      </c>
      <c r="F48" s="62">
        <f>IF(F8=0,0,1000000*F8/TrRail_act!F25/1000)</f>
        <v>177.13408171825529</v>
      </c>
      <c r="G48" s="62">
        <f>IF(G8=0,0,1000000*G8/TrRail_act!G25/1000)</f>
        <v>184.03782778097334</v>
      </c>
      <c r="H48" s="62">
        <f>IF(H8=0,0,1000000*H8/TrRail_act!H25/1000)</f>
        <v>197.96158011760943</v>
      </c>
      <c r="I48" s="62">
        <f>IF(I8=0,0,1000000*I8/TrRail_act!I25/1000)</f>
        <v>194.72081776365843</v>
      </c>
      <c r="J48" s="62">
        <f>IF(J8=0,0,1000000*J8/TrRail_act!J25/1000)</f>
        <v>190.8577641834683</v>
      </c>
      <c r="K48" s="62">
        <f>IF(K8=0,0,1000000*K8/TrRail_act!K25/1000)</f>
        <v>173.06028696711186</v>
      </c>
      <c r="L48" s="62">
        <f>IF(L8=0,0,1000000*L8/TrRail_act!L25/1000)</f>
        <v>170.21151351480609</v>
      </c>
      <c r="M48" s="62">
        <f>IF(M8=0,0,1000000*M8/TrRail_act!M25/1000)</f>
        <v>170.45835250983782</v>
      </c>
      <c r="N48" s="62">
        <f>IF(N8=0,0,1000000*N8/TrRail_act!N25/1000)</f>
        <v>157.05456789245144</v>
      </c>
      <c r="O48" s="62">
        <f>IF(O8=0,0,1000000*O8/TrRail_act!O25/1000)</f>
        <v>152.91437308918032</v>
      </c>
      <c r="P48" s="62">
        <f>IF(P8=0,0,1000000*P8/TrRail_act!P25/1000)</f>
        <v>159.74607034799956</v>
      </c>
      <c r="Q48" s="62">
        <f>IF(Q8=0,0,1000000*Q8/TrRail_act!Q25/1000)</f>
        <v>152.50075375799327</v>
      </c>
      <c r="R48" s="62">
        <f>IF(R8=0,0,1000000*R8/TrRail_act!R25/1000)</f>
        <v>132.05689267316376</v>
      </c>
      <c r="S48" s="62">
        <f>IF(S8=0,0,1000000*S8/TrRail_act!S25/1000)</f>
        <v>132.19912146887071</v>
      </c>
      <c r="T48" s="62">
        <f>IF(T8=0,0,1000000*T8/TrRail_act!T25/1000)</f>
        <v>130.32344206134425</v>
      </c>
      <c r="U48" s="62">
        <f>IF(U8=0,0,1000000*U8/TrRail_act!U25/1000)</f>
        <v>123.29354802428522</v>
      </c>
      <c r="V48" s="62">
        <f>IF(V8=0,0,1000000*V8/TrRail_act!V25/1000)</f>
        <v>115.51258112280118</v>
      </c>
      <c r="W48" s="62">
        <f>IF(W8=0,0,1000000*W8/TrRail_act!W25/1000)</f>
        <v>118.58405585782384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203.12177605158544</v>
      </c>
      <c r="C49" s="29">
        <f>IF(C9=0,0,1000000*C9/TrRail_act!C26/1000)</f>
        <v>192.10577622433112</v>
      </c>
      <c r="D49" s="29">
        <f>IF(D9=0,0,1000000*D9/TrRail_act!D26/1000)</f>
        <v>184.32360350968875</v>
      </c>
      <c r="E49" s="29">
        <f>IF(E9=0,0,1000000*E9/TrRail_act!E26/1000)</f>
        <v>175.80389923818166</v>
      </c>
      <c r="F49" s="29">
        <f>IF(F9=0,0,1000000*F9/TrRail_act!F26/1000)</f>
        <v>155.80597332327176</v>
      </c>
      <c r="G49" s="29">
        <f>IF(G9=0,0,1000000*G9/TrRail_act!G26/1000)</f>
        <v>163.90866758033613</v>
      </c>
      <c r="H49" s="29">
        <f>IF(H9=0,0,1000000*H9/TrRail_act!H26/1000)</f>
        <v>170.97859923023907</v>
      </c>
      <c r="I49" s="29">
        <f>IF(I9=0,0,1000000*I9/TrRail_act!I26/1000)</f>
        <v>169.85380778255512</v>
      </c>
      <c r="J49" s="29">
        <f>IF(J9=0,0,1000000*J9/TrRail_act!J26/1000)</f>
        <v>162.31075824554219</v>
      </c>
      <c r="K49" s="29">
        <f>IF(K9=0,0,1000000*K9/TrRail_act!K26/1000)</f>
        <v>147.64759316760694</v>
      </c>
      <c r="L49" s="29">
        <f>IF(L9=0,0,1000000*L9/TrRail_act!L26/1000)</f>
        <v>144.55721177608135</v>
      </c>
      <c r="M49" s="29">
        <f>IF(M9=0,0,1000000*M9/TrRail_act!M26/1000)</f>
        <v>146.37922749849028</v>
      </c>
      <c r="N49" s="29">
        <f>IF(N9=0,0,1000000*N9/TrRail_act!N26/1000)</f>
        <v>139.35467610495945</v>
      </c>
      <c r="O49" s="29">
        <f>IF(O9=0,0,1000000*O9/TrRail_act!O26/1000)</f>
        <v>134.92124940330177</v>
      </c>
      <c r="P49" s="29">
        <f>IF(P9=0,0,1000000*P9/TrRail_act!P26/1000)</f>
        <v>135.30561400750705</v>
      </c>
      <c r="Q49" s="29">
        <f>IF(Q9=0,0,1000000*Q9/TrRail_act!Q26/1000)</f>
        <v>129.46795635811014</v>
      </c>
      <c r="R49" s="29">
        <f>IF(R9=0,0,1000000*R9/TrRail_act!R26/1000)</f>
        <v>110.10952512579071</v>
      </c>
      <c r="S49" s="29">
        <f>IF(S9=0,0,1000000*S9/TrRail_act!S26/1000)</f>
        <v>113.30790407882965</v>
      </c>
      <c r="T49" s="29">
        <f>IF(T9=0,0,1000000*T9/TrRail_act!T26/1000)</f>
        <v>113.92681922595401</v>
      </c>
      <c r="U49" s="29">
        <f>IF(U9=0,0,1000000*U9/TrRail_act!U26/1000)</f>
        <v>108.22595810392093</v>
      </c>
      <c r="V49" s="29">
        <f>IF(V9=0,0,1000000*V9/TrRail_act!V26/1000)</f>
        <v>98.207561308661568</v>
      </c>
      <c r="W49" s="29">
        <f>IF(W9=0,0,1000000*W9/TrRail_act!W26/1000)</f>
        <v>100.35407717251438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869.11718992484884</v>
      </c>
      <c r="C51" s="116">
        <f>IF(C11=0,0,1000000*C11/TrRail_act!C28/1000)</f>
        <v>861.56787655920516</v>
      </c>
      <c r="D51" s="116">
        <f>IF(D11=0,0,1000000*D11/TrRail_act!D28/1000)</f>
        <v>855.96143441905201</v>
      </c>
      <c r="E51" s="116">
        <f>IF(E11=0,0,1000000*E11/TrRail_act!E28/1000)</f>
        <v>827.70376923769857</v>
      </c>
      <c r="F51" s="116">
        <f>IF(F11=0,0,1000000*F11/TrRail_act!F28/1000)</f>
        <v>578.63748352132484</v>
      </c>
      <c r="G51" s="116">
        <f>IF(G11=0,0,1000000*G11/TrRail_act!G28/1000)</f>
        <v>544.05836645746058</v>
      </c>
      <c r="H51" s="116">
        <f>IF(H11=0,0,1000000*H11/TrRail_act!H28/1000)</f>
        <v>551.7550134279021</v>
      </c>
      <c r="I51" s="116">
        <f>IF(I11=0,0,1000000*I11/TrRail_act!I28/1000)</f>
        <v>555.95529347189517</v>
      </c>
      <c r="J51" s="116">
        <f>IF(J11=0,0,1000000*J11/TrRail_act!J28/1000)</f>
        <v>580.52213643764003</v>
      </c>
      <c r="K51" s="116">
        <f>IF(K11=0,0,1000000*K11/TrRail_act!K28/1000)</f>
        <v>529.2639765933892</v>
      </c>
      <c r="L51" s="116">
        <f>IF(L11=0,0,1000000*L11/TrRail_act!L28/1000)</f>
        <v>517.77118908421767</v>
      </c>
      <c r="M51" s="116">
        <f>IF(M11=0,0,1000000*M11/TrRail_act!M28/1000)</f>
        <v>502.46839992430154</v>
      </c>
      <c r="N51" s="116">
        <f>IF(N11=0,0,1000000*N11/TrRail_act!N28/1000)</f>
        <v>495.67077753358001</v>
      </c>
      <c r="O51" s="116">
        <f>IF(O11=0,0,1000000*O11/TrRail_act!O28/1000)</f>
        <v>468.85515339248144</v>
      </c>
      <c r="P51" s="116">
        <f>IF(P11=0,0,1000000*P11/TrRail_act!P28/1000)</f>
        <v>455.5743776201893</v>
      </c>
      <c r="Q51" s="116">
        <f>IF(Q11=0,0,1000000*Q11/TrRail_act!Q28/1000)</f>
        <v>426.44584674849455</v>
      </c>
      <c r="R51" s="116">
        <f>IF(R11=0,0,1000000*R11/TrRail_act!R28/1000)</f>
        <v>381.99235286572565</v>
      </c>
      <c r="S51" s="116">
        <f>IF(S11=0,0,1000000*S11/TrRail_act!S28/1000)</f>
        <v>379.83108539608622</v>
      </c>
      <c r="T51" s="116">
        <f>IF(T11=0,0,1000000*T11/TrRail_act!T28/1000)</f>
        <v>361.08245148616459</v>
      </c>
      <c r="U51" s="116">
        <f>IF(U11=0,0,1000000*U11/TrRail_act!U28/1000)</f>
        <v>349.14695104597854</v>
      </c>
      <c r="V51" s="116">
        <f>IF(V11=0,0,1000000*V11/TrRail_act!V28/1000)</f>
        <v>311.61447829101496</v>
      </c>
      <c r="W51" s="116">
        <f>IF(W11=0,0,1000000*W11/TrRail_act!W28/1000)</f>
        <v>309.37159492830278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1255.0409180112003</v>
      </c>
      <c r="C52" s="87">
        <f>IF(C12=0,0,1000000*C12/TrRail_act!C29/1000)</f>
        <v>1234.674447709381</v>
      </c>
      <c r="D52" s="87">
        <f>IF(D12=0,0,1000000*D12/TrRail_act!D29/1000)</f>
        <v>1207.2180815959628</v>
      </c>
      <c r="E52" s="87">
        <f>IF(E12=0,0,1000000*E12/TrRail_act!E29/1000)</f>
        <v>1187.9167408409344</v>
      </c>
      <c r="F52" s="87">
        <f>IF(F12=0,0,1000000*F12/TrRail_act!F29/1000)</f>
        <v>1145.4343240548078</v>
      </c>
      <c r="G52" s="87">
        <f>IF(G12=0,0,1000000*G12/TrRail_act!G29/1000)</f>
        <v>1131.4421341689024</v>
      </c>
      <c r="H52" s="87">
        <f>IF(H12=0,0,1000000*H12/TrRail_act!H29/1000)</f>
        <v>1099.5598231297608</v>
      </c>
      <c r="I52" s="87">
        <f>IF(I12=0,0,1000000*I12/TrRail_act!I29/1000)</f>
        <v>1086.5585421176499</v>
      </c>
      <c r="J52" s="87">
        <f>IF(J12=0,0,1000000*J12/TrRail_act!J29/1000)</f>
        <v>1070.0499748375594</v>
      </c>
      <c r="K52" s="87">
        <f>IF(K12=0,0,1000000*K12/TrRail_act!K29/1000)</f>
        <v>1047.4776708330669</v>
      </c>
      <c r="L52" s="87">
        <f>IF(L12=0,0,1000000*L12/TrRail_act!L29/1000)</f>
        <v>1027.5211813673966</v>
      </c>
      <c r="M52" s="87">
        <f>IF(M12=0,0,1000000*M12/TrRail_act!M29/1000)</f>
        <v>1006.4095069324732</v>
      </c>
      <c r="N52" s="87">
        <f>IF(N12=0,0,1000000*N12/TrRail_act!N29/1000)</f>
        <v>986.06175483482673</v>
      </c>
      <c r="O52" s="87">
        <f>IF(O12=0,0,1000000*O12/TrRail_act!O29/1000)</f>
        <v>963.17706061124238</v>
      </c>
      <c r="P52" s="87">
        <f>IF(P12=0,0,1000000*P12/TrRail_act!P29/1000)</f>
        <v>936.38854065537066</v>
      </c>
      <c r="Q52" s="87">
        <f>IF(Q12=0,0,1000000*Q12/TrRail_act!Q29/1000)</f>
        <v>899.25717965213903</v>
      </c>
      <c r="R52" s="87">
        <f>IF(R12=0,0,1000000*R12/TrRail_act!R29/1000)</f>
        <v>807.25804610658645</v>
      </c>
      <c r="S52" s="87">
        <f>IF(S12=0,0,1000000*S12/TrRail_act!S29/1000)</f>
        <v>817.01964422070057</v>
      </c>
      <c r="T52" s="87">
        <f>IF(T12=0,0,1000000*T12/TrRail_act!T29/1000)</f>
        <v>815.29691158162086</v>
      </c>
      <c r="U52" s="87">
        <f>IF(U12=0,0,1000000*U12/TrRail_act!U29/1000)</f>
        <v>803.95262555254112</v>
      </c>
      <c r="V52" s="87">
        <f>IF(V12=0,0,1000000*V12/TrRail_act!V29/1000)</f>
        <v>739.70272019915296</v>
      </c>
      <c r="W52" s="87">
        <f>IF(W12=0,0,1000000*W12/TrRail_act!W29/1000)</f>
        <v>763.54190172421249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715.54640736767033</v>
      </c>
      <c r="C55" s="29">
        <f>IF(C15=0,0,1000000*C15/TrRail_act!C32/1000)</f>
        <v>571.18728194064249</v>
      </c>
      <c r="D55" s="29">
        <f>IF(D15=0,0,1000000*D15/TrRail_act!D32/1000)</f>
        <v>616.82301400743427</v>
      </c>
      <c r="E55" s="29">
        <f>IF(E15=0,0,1000000*E15/TrRail_act!E32/1000)</f>
        <v>556.4829848127531</v>
      </c>
      <c r="F55" s="29">
        <f>IF(F15=0,0,1000000*F15/TrRail_act!F32/1000)</f>
        <v>376.90770018499478</v>
      </c>
      <c r="G55" s="29">
        <f>IF(G15=0,0,1000000*G15/TrRail_act!G32/1000)</f>
        <v>370.77634886915479</v>
      </c>
      <c r="H55" s="29">
        <f>IF(H15=0,0,1000000*H15/TrRail_act!H32/1000)</f>
        <v>438.19261375097585</v>
      </c>
      <c r="I55" s="29">
        <f>IF(I15=0,0,1000000*I15/TrRail_act!I32/1000)</f>
        <v>395.59827975165604</v>
      </c>
      <c r="J55" s="29">
        <f>IF(J15=0,0,1000000*J15/TrRail_act!J32/1000)</f>
        <v>462.72853961832038</v>
      </c>
      <c r="K55" s="29">
        <f>IF(K15=0,0,1000000*K15/TrRail_act!K32/1000)</f>
        <v>434.85105883892828</v>
      </c>
      <c r="L55" s="29">
        <f>IF(L15=0,0,1000000*L15/TrRail_act!L32/1000)</f>
        <v>451.0273774169396</v>
      </c>
      <c r="M55" s="29">
        <f>IF(M15=0,0,1000000*M15/TrRail_act!M32/1000)</f>
        <v>449.35854389597677</v>
      </c>
      <c r="N55" s="29">
        <f>IF(N15=0,0,1000000*N15/TrRail_act!N32/1000)</f>
        <v>395.44762064041907</v>
      </c>
      <c r="O55" s="29">
        <f>IF(O15=0,0,1000000*O15/TrRail_act!O32/1000)</f>
        <v>414.30562160775645</v>
      </c>
      <c r="P55" s="29">
        <f>IF(P15=0,0,1000000*P15/TrRail_act!P32/1000)</f>
        <v>469.3456590337729</v>
      </c>
      <c r="Q55" s="29">
        <f>IF(Q15=0,0,1000000*Q15/TrRail_act!Q32/1000)</f>
        <v>428.03566590115548</v>
      </c>
      <c r="R55" s="29">
        <f>IF(R15=0,0,1000000*R15/TrRail_act!R32/1000)</f>
        <v>410.72427634094629</v>
      </c>
      <c r="S55" s="29">
        <f>IF(S15=0,0,1000000*S15/TrRail_act!S32/1000)</f>
        <v>383.64298771065921</v>
      </c>
      <c r="T55" s="29">
        <f>IF(T15=0,0,1000000*T15/TrRail_act!T32/1000)</f>
        <v>351.15060460361349</v>
      </c>
      <c r="U55" s="29">
        <f>IF(U15=0,0,1000000*U15/TrRail_act!U32/1000)</f>
        <v>321.23726478946531</v>
      </c>
      <c r="V55" s="29">
        <f>IF(V15=0,0,1000000*V15/TrRail_act!V32/1000)</f>
        <v>321.98015430535071</v>
      </c>
      <c r="W55" s="29">
        <f>IF(W15=0,0,1000000*W15/TrRail_act!W32/1000)</f>
        <v>313.28218680734153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2405.6922726621501</v>
      </c>
      <c r="C56" s="87">
        <f>IF(C16=0,0,1000000*C16/TrRail_act!C33/1000)</f>
        <v>2149.6106733063739</v>
      </c>
      <c r="D56" s="87">
        <f>IF(D16=0,0,1000000*D16/TrRail_act!D33/1000)</f>
        <v>2352.3034775779593</v>
      </c>
      <c r="E56" s="87">
        <f>IF(E16=0,0,1000000*E16/TrRail_act!E33/1000)</f>
        <v>2348.2293075793091</v>
      </c>
      <c r="F56" s="87">
        <f>IF(F16=0,0,1000000*F16/TrRail_act!F33/1000)</f>
        <v>2326.7813507140881</v>
      </c>
      <c r="G56" s="87">
        <f>IF(G16=0,0,1000000*G16/TrRail_act!G33/1000)</f>
        <v>2288.2337410234554</v>
      </c>
      <c r="H56" s="87">
        <f>IF(H16=0,0,1000000*H16/TrRail_act!H33/1000)</f>
        <v>2254.9253047710736</v>
      </c>
      <c r="I56" s="87">
        <f>IF(I16=0,0,1000000*I16/TrRail_act!I33/1000)</f>
        <v>2240.4488047359482</v>
      </c>
      <c r="J56" s="87">
        <f>IF(J16=0,0,1000000*J16/TrRail_act!J33/1000)</f>
        <v>2228.3911397775578</v>
      </c>
      <c r="K56" s="87">
        <f>IF(K16=0,0,1000000*K16/TrRail_act!K33/1000)</f>
        <v>2169.1908280367302</v>
      </c>
      <c r="L56" s="87">
        <f>IF(L16=0,0,1000000*L16/TrRail_act!L33/1000)</f>
        <v>2214.582571781245</v>
      </c>
      <c r="M56" s="87">
        <f>IF(M16=0,0,1000000*M16/TrRail_act!M33/1000)</f>
        <v>2188.2424894162073</v>
      </c>
      <c r="N56" s="87">
        <f>IF(N16=0,0,1000000*N16/TrRail_act!N33/1000)</f>
        <v>2028.1623744907877</v>
      </c>
      <c r="O56" s="87">
        <f>IF(O16=0,0,1000000*O16/TrRail_act!O33/1000)</f>
        <v>2167.9977080103436</v>
      </c>
      <c r="P56" s="87">
        <f>IF(P16=0,0,1000000*P16/TrRail_act!P33/1000)</f>
        <v>2157.9383317345482</v>
      </c>
      <c r="Q56" s="87">
        <f>IF(Q16=0,0,1000000*Q16/TrRail_act!Q33/1000)</f>
        <v>2153.845914853564</v>
      </c>
      <c r="R56" s="87">
        <f>IF(R16=0,0,1000000*R16/TrRail_act!R33/1000)</f>
        <v>1976.3982876386244</v>
      </c>
      <c r="S56" s="87">
        <f>IF(S16=0,0,1000000*S16/TrRail_act!S33/1000)</f>
        <v>1999.5034506552743</v>
      </c>
      <c r="T56" s="87">
        <f>IF(T16=0,0,1000000*T16/TrRail_act!T33/1000)</f>
        <v>2014.8416889061245</v>
      </c>
      <c r="U56" s="87">
        <f>IF(U16=0,0,1000000*U16/TrRail_act!U33/1000)</f>
        <v>2027.7530451548555</v>
      </c>
      <c r="V56" s="87">
        <f>IF(V16=0,0,1000000*V16/TrRail_act!V33/1000)</f>
        <v>2012.3108492789227</v>
      </c>
      <c r="W56" s="87">
        <f>IF(W16=0,0,1000000*W16/TrRail_act!W33/1000)</f>
        <v>1985.0299484135198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0.72961189698326001</v>
      </c>
      <c r="C60" s="31">
        <f t="shared" ref="C60:V60" si="8">IF(C9=0,0,C9/C$8)</f>
        <v>0.76257486432300614</v>
      </c>
      <c r="D60" s="31">
        <f t="shared" si="8"/>
        <v>0.76179854293917271</v>
      </c>
      <c r="E60" s="31">
        <f t="shared" si="8"/>
        <v>0.7836557654986589</v>
      </c>
      <c r="F60" s="31">
        <f t="shared" si="8"/>
        <v>0.79474531225121448</v>
      </c>
      <c r="G60" s="31">
        <f t="shared" si="8"/>
        <v>0.80396305109871591</v>
      </c>
      <c r="H60" s="31">
        <f t="shared" si="8"/>
        <v>0.77648079964951111</v>
      </c>
      <c r="I60" s="31">
        <f t="shared" si="8"/>
        <v>0.77620599204612051</v>
      </c>
      <c r="J60" s="31">
        <f t="shared" si="8"/>
        <v>0.76961649291337109</v>
      </c>
      <c r="K60" s="31">
        <f t="shared" si="8"/>
        <v>0.77766689161893687</v>
      </c>
      <c r="L60" s="31">
        <f t="shared" si="8"/>
        <v>0.77818752570755112</v>
      </c>
      <c r="M60" s="31">
        <f t="shared" si="8"/>
        <v>0.79049111911933001</v>
      </c>
      <c r="N60" s="31">
        <f t="shared" si="8"/>
        <v>0.82597510031494792</v>
      </c>
      <c r="O60" s="31">
        <f t="shared" si="8"/>
        <v>0.82550741623954393</v>
      </c>
      <c r="P60" s="31">
        <f t="shared" si="8"/>
        <v>0.78503220642978733</v>
      </c>
      <c r="Q60" s="31">
        <f t="shared" si="8"/>
        <v>0.7834731196755591</v>
      </c>
      <c r="R60" s="31">
        <f t="shared" si="8"/>
        <v>0.77292911733524838</v>
      </c>
      <c r="S60" s="31">
        <f t="shared" si="8"/>
        <v>0.79720547316283241</v>
      </c>
      <c r="T60" s="31">
        <f t="shared" si="8"/>
        <v>0.81376253401374365</v>
      </c>
      <c r="U60" s="31">
        <f t="shared" si="8"/>
        <v>0.81569941898026099</v>
      </c>
      <c r="V60" s="31">
        <f t="shared" si="8"/>
        <v>0.7844415646996501</v>
      </c>
      <c r="W60" s="31">
        <f t="shared" ref="W60" si="9">IF(W9=0,0,W9/W$8)</f>
        <v>0.77381564392157121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0.72961189698326001</v>
      </c>
      <c r="C62" s="124">
        <f t="shared" ref="C62:V62" si="12">IF(C11=0,0,C11/C$8)</f>
        <v>0.76257486432300614</v>
      </c>
      <c r="D62" s="124">
        <f t="shared" si="12"/>
        <v>0.76179854293917271</v>
      </c>
      <c r="E62" s="124">
        <f t="shared" si="12"/>
        <v>0.7836557654986589</v>
      </c>
      <c r="F62" s="124">
        <f t="shared" si="12"/>
        <v>0.79474531225121448</v>
      </c>
      <c r="G62" s="124">
        <f t="shared" si="12"/>
        <v>0.80396305109871591</v>
      </c>
      <c r="H62" s="124">
        <f t="shared" si="12"/>
        <v>0.77648079964951111</v>
      </c>
      <c r="I62" s="124">
        <f t="shared" si="12"/>
        <v>0.77620599204612051</v>
      </c>
      <c r="J62" s="124">
        <f t="shared" si="12"/>
        <v>0.76961649291337109</v>
      </c>
      <c r="K62" s="124">
        <f t="shared" si="12"/>
        <v>0.77766689161893687</v>
      </c>
      <c r="L62" s="124">
        <f t="shared" si="12"/>
        <v>0.77818752570755112</v>
      </c>
      <c r="M62" s="124">
        <f t="shared" si="12"/>
        <v>0.79049111911933001</v>
      </c>
      <c r="N62" s="124">
        <f t="shared" si="12"/>
        <v>0.82597510031494792</v>
      </c>
      <c r="O62" s="124">
        <f t="shared" si="12"/>
        <v>0.82550741623954393</v>
      </c>
      <c r="P62" s="124">
        <f t="shared" si="12"/>
        <v>0.78503220642978733</v>
      </c>
      <c r="Q62" s="124">
        <f t="shared" si="12"/>
        <v>0.7834731196755591</v>
      </c>
      <c r="R62" s="124">
        <f t="shared" si="12"/>
        <v>0.77292911733524838</v>
      </c>
      <c r="S62" s="124">
        <f t="shared" si="12"/>
        <v>0.79720547316283241</v>
      </c>
      <c r="T62" s="124">
        <f t="shared" si="12"/>
        <v>0.81376253401374365</v>
      </c>
      <c r="U62" s="124">
        <f t="shared" si="12"/>
        <v>0.81569941898026099</v>
      </c>
      <c r="V62" s="124">
        <f t="shared" si="12"/>
        <v>0.7844415646996501</v>
      </c>
      <c r="W62" s="124">
        <f t="shared" ref="W62" si="13">IF(W11=0,0,W11/W$8)</f>
        <v>0.77381564392157121</v>
      </c>
      <c r="DA62" s="176"/>
    </row>
    <row r="63" spans="1:105" ht="11.45" customHeight="1" x14ac:dyDescent="0.25">
      <c r="A63" s="111" t="s">
        <v>92</v>
      </c>
      <c r="B63" s="125">
        <f t="shared" si="5"/>
        <v>0.72961189698326001</v>
      </c>
      <c r="C63" s="125">
        <f t="shared" ref="C63:V63" si="14">IF(C12=0,0,C12/C$8)</f>
        <v>0.76257486432300614</v>
      </c>
      <c r="D63" s="125">
        <f t="shared" si="14"/>
        <v>0.76179854293917271</v>
      </c>
      <c r="E63" s="125">
        <f t="shared" si="14"/>
        <v>0.7836557654986589</v>
      </c>
      <c r="F63" s="125">
        <f t="shared" si="14"/>
        <v>0.79474531225121448</v>
      </c>
      <c r="G63" s="125">
        <f t="shared" si="14"/>
        <v>0.80396305109871591</v>
      </c>
      <c r="H63" s="125">
        <f t="shared" si="14"/>
        <v>0.77648079964951111</v>
      </c>
      <c r="I63" s="125">
        <f t="shared" si="14"/>
        <v>0.77620599204612051</v>
      </c>
      <c r="J63" s="125">
        <f t="shared" si="14"/>
        <v>0.76961649291337109</v>
      </c>
      <c r="K63" s="125">
        <f t="shared" si="14"/>
        <v>0.77766689161893687</v>
      </c>
      <c r="L63" s="125">
        <f t="shared" si="14"/>
        <v>0.77818752570755112</v>
      </c>
      <c r="M63" s="125">
        <f t="shared" si="14"/>
        <v>0.79049111911933001</v>
      </c>
      <c r="N63" s="125">
        <f t="shared" si="14"/>
        <v>0.82597510031494792</v>
      </c>
      <c r="O63" s="125">
        <f t="shared" si="14"/>
        <v>0.82550741623954393</v>
      </c>
      <c r="P63" s="125">
        <f t="shared" si="14"/>
        <v>0.78503220642978733</v>
      </c>
      <c r="Q63" s="125">
        <f t="shared" si="14"/>
        <v>0.7834731196755591</v>
      </c>
      <c r="R63" s="125">
        <f t="shared" si="14"/>
        <v>0.77292911733524838</v>
      </c>
      <c r="S63" s="125">
        <f t="shared" si="14"/>
        <v>0.79720547316283241</v>
      </c>
      <c r="T63" s="125">
        <f t="shared" si="14"/>
        <v>0.81376253401374365</v>
      </c>
      <c r="U63" s="125">
        <f t="shared" si="14"/>
        <v>0.81569941898026099</v>
      </c>
      <c r="V63" s="125">
        <f t="shared" si="14"/>
        <v>0.7844415646996501</v>
      </c>
      <c r="W63" s="125">
        <f t="shared" ref="W63" si="15">IF(W12=0,0,W12/W$8)</f>
        <v>0.77381564392157121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0.27038810301673999</v>
      </c>
      <c r="C66" s="31">
        <f t="shared" ref="C66:V66" si="20">IF(C15=0,0,C15/C$8)</f>
        <v>0.237425135676994</v>
      </c>
      <c r="D66" s="31">
        <f t="shared" si="20"/>
        <v>0.23820145706082724</v>
      </c>
      <c r="E66" s="31">
        <f t="shared" si="20"/>
        <v>0.21634423450134108</v>
      </c>
      <c r="F66" s="31">
        <f t="shared" si="20"/>
        <v>0.20525468774878564</v>
      </c>
      <c r="G66" s="31">
        <f t="shared" si="20"/>
        <v>0.19603694890128415</v>
      </c>
      <c r="H66" s="31">
        <f t="shared" si="20"/>
        <v>0.22351920035048889</v>
      </c>
      <c r="I66" s="31">
        <f t="shared" si="20"/>
        <v>0.22379400795387941</v>
      </c>
      <c r="J66" s="31">
        <f t="shared" si="20"/>
        <v>0.23038350708662897</v>
      </c>
      <c r="K66" s="31">
        <f t="shared" si="20"/>
        <v>0.22233310838106313</v>
      </c>
      <c r="L66" s="31">
        <f t="shared" si="20"/>
        <v>0.22181247429244888</v>
      </c>
      <c r="M66" s="31">
        <f t="shared" si="20"/>
        <v>0.20950888088067005</v>
      </c>
      <c r="N66" s="31">
        <f t="shared" si="20"/>
        <v>0.17402489968505211</v>
      </c>
      <c r="O66" s="31">
        <f t="shared" si="20"/>
        <v>0.17449258376045598</v>
      </c>
      <c r="P66" s="31">
        <f t="shared" si="20"/>
        <v>0.21496779357021265</v>
      </c>
      <c r="Q66" s="31">
        <f t="shared" si="20"/>
        <v>0.21652688032444098</v>
      </c>
      <c r="R66" s="31">
        <f t="shared" si="20"/>
        <v>0.22707088266475167</v>
      </c>
      <c r="S66" s="31">
        <f t="shared" si="20"/>
        <v>0.20279452683716764</v>
      </c>
      <c r="T66" s="31">
        <f t="shared" si="20"/>
        <v>0.18623746598625637</v>
      </c>
      <c r="U66" s="31">
        <f t="shared" si="20"/>
        <v>0.18430058101973903</v>
      </c>
      <c r="V66" s="31">
        <f t="shared" si="20"/>
        <v>0.21555843530034988</v>
      </c>
      <c r="W66" s="31">
        <f t="shared" ref="W66" si="21">IF(W15=0,0,W15/W$8)</f>
        <v>0.22618435607842879</v>
      </c>
      <c r="DA66" s="173"/>
    </row>
    <row r="67" spans="1:105" ht="11.45" customHeight="1" x14ac:dyDescent="0.25">
      <c r="A67" s="83" t="s">
        <v>92</v>
      </c>
      <c r="B67" s="125">
        <f t="shared" si="5"/>
        <v>0.27038810301673999</v>
      </c>
      <c r="C67" s="125">
        <f t="shared" ref="C67:V67" si="22">IF(C16=0,0,C16/C$8)</f>
        <v>0.237425135676994</v>
      </c>
      <c r="D67" s="125">
        <f t="shared" si="22"/>
        <v>0.23820145706082724</v>
      </c>
      <c r="E67" s="125">
        <f t="shared" si="22"/>
        <v>0.21634423450134108</v>
      </c>
      <c r="F67" s="125">
        <f t="shared" si="22"/>
        <v>0.20525468774878564</v>
      </c>
      <c r="G67" s="125">
        <f t="shared" si="22"/>
        <v>0.19603694890128415</v>
      </c>
      <c r="H67" s="125">
        <f t="shared" si="22"/>
        <v>0.22351920035048889</v>
      </c>
      <c r="I67" s="125">
        <f t="shared" si="22"/>
        <v>0.22379400795387941</v>
      </c>
      <c r="J67" s="125">
        <f t="shared" si="22"/>
        <v>0.23038350708662897</v>
      </c>
      <c r="K67" s="125">
        <f t="shared" si="22"/>
        <v>0.22233310838106313</v>
      </c>
      <c r="L67" s="125">
        <f t="shared" si="22"/>
        <v>0.22181247429244888</v>
      </c>
      <c r="M67" s="125">
        <f t="shared" si="22"/>
        <v>0.20950888088067005</v>
      </c>
      <c r="N67" s="125">
        <f t="shared" si="22"/>
        <v>0.17402489968505211</v>
      </c>
      <c r="O67" s="125">
        <f t="shared" si="22"/>
        <v>0.17449258376045598</v>
      </c>
      <c r="P67" s="125">
        <f t="shared" si="22"/>
        <v>0.21496779357021265</v>
      </c>
      <c r="Q67" s="125">
        <f t="shared" si="22"/>
        <v>0.21652688032444098</v>
      </c>
      <c r="R67" s="125">
        <f t="shared" si="22"/>
        <v>0.22707088266475167</v>
      </c>
      <c r="S67" s="125">
        <f t="shared" si="22"/>
        <v>0.20279452683716764</v>
      </c>
      <c r="T67" s="125">
        <f t="shared" si="22"/>
        <v>0.18623746598625637</v>
      </c>
      <c r="U67" s="125">
        <f t="shared" si="22"/>
        <v>0.18430058101973903</v>
      </c>
      <c r="V67" s="125">
        <f t="shared" si="22"/>
        <v>0.21555843530034988</v>
      </c>
      <c r="W67" s="125">
        <f t="shared" ref="W67" si="23">IF(W16=0,0,W16/W$8)</f>
        <v>0.22618435607842879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3084.357110336613</v>
      </c>
      <c r="C4" s="11">
        <f t="shared" si="0"/>
        <v>3118.198806394018</v>
      </c>
      <c r="D4" s="11">
        <f t="shared" ref="D4:V4" si="1">SUM(D5:D7)</f>
        <v>3216.5872482025484</v>
      </c>
      <c r="E4" s="11">
        <f t="shared" si="1"/>
        <v>6127.1753294053769</v>
      </c>
      <c r="F4" s="11">
        <f t="shared" si="1"/>
        <v>7767.4350330307252</v>
      </c>
      <c r="G4" s="11">
        <f t="shared" si="1"/>
        <v>8308.0622649250108</v>
      </c>
      <c r="H4" s="11">
        <f t="shared" si="1"/>
        <v>8722.870817473653</v>
      </c>
      <c r="I4" s="11">
        <f t="shared" si="1"/>
        <v>9302.7261544406556</v>
      </c>
      <c r="J4" s="11">
        <f t="shared" si="1"/>
        <v>9581.2364838631875</v>
      </c>
      <c r="K4" s="11">
        <f t="shared" si="1"/>
        <v>8937.7074971966667</v>
      </c>
      <c r="L4" s="11">
        <f t="shared" si="1"/>
        <v>8960.9340239217272</v>
      </c>
      <c r="M4" s="11">
        <f t="shared" si="1"/>
        <v>9429.2878180972821</v>
      </c>
      <c r="N4" s="11">
        <f t="shared" si="1"/>
        <v>8771.8168324467115</v>
      </c>
      <c r="O4" s="11">
        <f t="shared" si="1"/>
        <v>8838.4183265336469</v>
      </c>
      <c r="P4" s="11">
        <f t="shared" si="1"/>
        <v>9115.5016588903454</v>
      </c>
      <c r="Q4" s="11">
        <f t="shared" si="1"/>
        <v>9641.472599435645</v>
      </c>
      <c r="R4" s="11">
        <f t="shared" si="1"/>
        <v>10491.580542327922</v>
      </c>
      <c r="S4" s="11">
        <f t="shared" si="1"/>
        <v>12698.293474685515</v>
      </c>
      <c r="T4" s="11">
        <f t="shared" si="1"/>
        <v>14513.778482377649</v>
      </c>
      <c r="U4" s="11">
        <f t="shared" si="1"/>
        <v>15515.448959668094</v>
      </c>
      <c r="V4" s="11">
        <f t="shared" si="1"/>
        <v>3021.7195562424295</v>
      </c>
      <c r="W4" s="11">
        <f t="shared" ref="W4" si="2">SUM(W5:W7)</f>
        <v>3888.9513718690432</v>
      </c>
      <c r="DA4" s="189" t="s">
        <v>189</v>
      </c>
    </row>
    <row r="5" spans="1:105" ht="11.45" customHeight="1" x14ac:dyDescent="0.25">
      <c r="A5" s="83" t="s">
        <v>27</v>
      </c>
      <c r="B5" s="84">
        <v>18.381355763242688</v>
      </c>
      <c r="C5" s="84">
        <v>23.786529025589669</v>
      </c>
      <c r="D5" s="84">
        <v>17.18744447030296</v>
      </c>
      <c r="E5" s="84">
        <v>30.436247522444024</v>
      </c>
      <c r="F5" s="84">
        <v>31.966998024227102</v>
      </c>
      <c r="G5" s="84">
        <v>47.232191295922291</v>
      </c>
      <c r="H5" s="84">
        <v>53.025205084432088</v>
      </c>
      <c r="I5" s="84">
        <v>54.952583011518144</v>
      </c>
      <c r="J5" s="84">
        <v>62.746312159178366</v>
      </c>
      <c r="K5" s="84">
        <v>56.881103923996008</v>
      </c>
      <c r="L5" s="84">
        <v>47.288084621744652</v>
      </c>
      <c r="M5" s="84">
        <v>32.095421837433626</v>
      </c>
      <c r="N5" s="84">
        <v>31.188768136824287</v>
      </c>
      <c r="O5" s="84">
        <v>22.267320513265126</v>
      </c>
      <c r="P5" s="84">
        <v>24.440889925599645</v>
      </c>
      <c r="Q5" s="84">
        <v>24.089115349108102</v>
      </c>
      <c r="R5" s="84">
        <v>18.901021290523556</v>
      </c>
      <c r="S5" s="84">
        <v>14.110478008259889</v>
      </c>
      <c r="T5" s="84">
        <v>15.579966156253615</v>
      </c>
      <c r="U5" s="84">
        <v>6.9224926735842036</v>
      </c>
      <c r="V5" s="84">
        <v>1.2973726864628892</v>
      </c>
      <c r="W5" s="84">
        <v>4.1797077756519476</v>
      </c>
      <c r="DA5" s="171" t="s">
        <v>190</v>
      </c>
    </row>
    <row r="6" spans="1:105" ht="11.45" customHeight="1" x14ac:dyDescent="0.25">
      <c r="A6" s="83" t="s">
        <v>173</v>
      </c>
      <c r="B6" s="84">
        <v>1794.2512329468038</v>
      </c>
      <c r="C6" s="84">
        <v>1815.7603715807934</v>
      </c>
      <c r="D6" s="84">
        <v>1874.5958662080675</v>
      </c>
      <c r="E6" s="84">
        <v>3736.8629435038242</v>
      </c>
      <c r="F6" s="84">
        <v>4728.7113204617654</v>
      </c>
      <c r="G6" s="84">
        <v>5180.5771538813797</v>
      </c>
      <c r="H6" s="84">
        <v>5311.4878440843795</v>
      </c>
      <c r="I6" s="84">
        <v>5410.5548499393126</v>
      </c>
      <c r="J6" s="84">
        <v>5416.3108496595323</v>
      </c>
      <c r="K6" s="84">
        <v>4812.3681267357715</v>
      </c>
      <c r="L6" s="84">
        <v>4608.1300723513068</v>
      </c>
      <c r="M6" s="84">
        <v>4777.8570992665382</v>
      </c>
      <c r="N6" s="84">
        <v>4336.515143117942</v>
      </c>
      <c r="O6" s="84">
        <v>4210.9185321501373</v>
      </c>
      <c r="P6" s="84">
        <v>4354.052129974787</v>
      </c>
      <c r="Q6" s="84">
        <v>4722.5069453816632</v>
      </c>
      <c r="R6" s="84">
        <v>5171.5747398198655</v>
      </c>
      <c r="S6" s="84">
        <v>6110.7264260643578</v>
      </c>
      <c r="T6" s="84">
        <v>6696.0094456484067</v>
      </c>
      <c r="U6" s="84">
        <v>6892.9078537151609</v>
      </c>
      <c r="V6" s="84">
        <v>1573.0153593208781</v>
      </c>
      <c r="W6" s="84">
        <v>2056.2110530479144</v>
      </c>
      <c r="DA6" s="171" t="s">
        <v>191</v>
      </c>
    </row>
    <row r="7" spans="1:105" ht="11.45" customHeight="1" x14ac:dyDescent="0.25">
      <c r="A7" s="83" t="s">
        <v>174</v>
      </c>
      <c r="B7" s="84">
        <v>1271.7245216265665</v>
      </c>
      <c r="C7" s="84">
        <v>1278.6519057876351</v>
      </c>
      <c r="D7" s="84">
        <v>1324.8039375241779</v>
      </c>
      <c r="E7" s="84">
        <v>2359.8761383791089</v>
      </c>
      <c r="F7" s="84">
        <v>3006.7567145447329</v>
      </c>
      <c r="G7" s="84">
        <v>3080.2529197477093</v>
      </c>
      <c r="H7" s="84">
        <v>3358.3577683048425</v>
      </c>
      <c r="I7" s="84">
        <v>3837.2187214898254</v>
      </c>
      <c r="J7" s="84">
        <v>4102.179322044477</v>
      </c>
      <c r="K7" s="84">
        <v>4068.4582665368994</v>
      </c>
      <c r="L7" s="84">
        <v>4305.5158669486746</v>
      </c>
      <c r="M7" s="84">
        <v>4619.3352969933103</v>
      </c>
      <c r="N7" s="84">
        <v>4404.1129211919442</v>
      </c>
      <c r="O7" s="84">
        <v>4605.2324738702446</v>
      </c>
      <c r="P7" s="84">
        <v>4737.0086389899589</v>
      </c>
      <c r="Q7" s="84">
        <v>4894.8765387048743</v>
      </c>
      <c r="R7" s="84">
        <v>5301.1047812175329</v>
      </c>
      <c r="S7" s="84">
        <v>6573.4565706128978</v>
      </c>
      <c r="T7" s="84">
        <v>7802.1890705729902</v>
      </c>
      <c r="U7" s="84">
        <v>8615.6186132793482</v>
      </c>
      <c r="V7" s="84">
        <v>1447.4068242350882</v>
      </c>
      <c r="W7" s="84">
        <v>1828.5606110454767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96.315864058578754</v>
      </c>
      <c r="C8" s="13">
        <f t="shared" si="3"/>
        <v>98.812383180153731</v>
      </c>
      <c r="D8" s="13">
        <f t="shared" ref="D8:V8" si="4">SUM(D9:D11)</f>
        <v>104.15177287345297</v>
      </c>
      <c r="E8" s="13">
        <f t="shared" si="4"/>
        <v>139.00472733319978</v>
      </c>
      <c r="F8" s="13">
        <f t="shared" si="4"/>
        <v>115.5898046968785</v>
      </c>
      <c r="G8" s="13">
        <f t="shared" si="4"/>
        <v>115.52043191757154</v>
      </c>
      <c r="H8" s="13">
        <f t="shared" si="4"/>
        <v>99.774927096470321</v>
      </c>
      <c r="I8" s="13">
        <f t="shared" si="4"/>
        <v>92.021327720609904</v>
      </c>
      <c r="J8" s="13">
        <f t="shared" si="4"/>
        <v>95.665837489445721</v>
      </c>
      <c r="K8" s="13">
        <f t="shared" si="4"/>
        <v>111.03590103084977</v>
      </c>
      <c r="L8" s="13">
        <f t="shared" si="4"/>
        <v>114.04321809069572</v>
      </c>
      <c r="M8" s="13">
        <f t="shared" si="4"/>
        <v>166.35685752277985</v>
      </c>
      <c r="N8" s="13">
        <f t="shared" si="4"/>
        <v>163.13534426120435</v>
      </c>
      <c r="O8" s="13">
        <f t="shared" si="4"/>
        <v>155.8351899549082</v>
      </c>
      <c r="P8" s="13">
        <f t="shared" si="4"/>
        <v>162.8327966772186</v>
      </c>
      <c r="Q8" s="13">
        <f t="shared" si="4"/>
        <v>172.85757674748129</v>
      </c>
      <c r="R8" s="13">
        <f t="shared" si="4"/>
        <v>228.80986722375371</v>
      </c>
      <c r="S8" s="13">
        <f t="shared" si="4"/>
        <v>240.1153412534409</v>
      </c>
      <c r="T8" s="13">
        <f t="shared" si="4"/>
        <v>212.52173845118475</v>
      </c>
      <c r="U8" s="13">
        <f t="shared" si="4"/>
        <v>232.71482475723786</v>
      </c>
      <c r="V8" s="13">
        <f t="shared" si="4"/>
        <v>144.48104261189599</v>
      </c>
      <c r="W8" s="13">
        <f t="shared" ref="W8" si="5">SUM(W9:W11)</f>
        <v>150.34357201311798</v>
      </c>
      <c r="DA8" s="193" t="s">
        <v>193</v>
      </c>
    </row>
    <row r="9" spans="1:105" ht="11.45" customHeight="1" x14ac:dyDescent="0.25">
      <c r="A9" s="92" t="s">
        <v>27</v>
      </c>
      <c r="B9" s="102">
        <v>8.4758606100287917E-2</v>
      </c>
      <c r="C9" s="102">
        <v>8.0679194113323027E-2</v>
      </c>
      <c r="D9" s="102">
        <v>9.5321212177585199E-2</v>
      </c>
      <c r="E9" s="102">
        <v>8.2615684067790643E-2</v>
      </c>
      <c r="F9" s="102">
        <v>4.0665950659548554E-2</v>
      </c>
      <c r="G9" s="102">
        <v>9.322585017389183E-2</v>
      </c>
      <c r="H9" s="102">
        <v>0.20243797128994995</v>
      </c>
      <c r="I9" s="102">
        <v>0.33908189798994803</v>
      </c>
      <c r="J9" s="102">
        <v>0.40359914684611814</v>
      </c>
      <c r="K9" s="102">
        <v>0.48778530180119262</v>
      </c>
      <c r="L9" s="102">
        <v>0.41748090804774907</v>
      </c>
      <c r="M9" s="102">
        <v>0.39588284075803165</v>
      </c>
      <c r="N9" s="102">
        <v>0.32048210403258326</v>
      </c>
      <c r="O9" s="102">
        <v>0.20099497242031036</v>
      </c>
      <c r="P9" s="102">
        <v>0.12621099737030564</v>
      </c>
      <c r="Q9" s="102">
        <v>0.12754944594253362</v>
      </c>
      <c r="R9" s="102">
        <v>0.1160891481765457</v>
      </c>
      <c r="S9" s="102">
        <v>0.11637122328305072</v>
      </c>
      <c r="T9" s="102">
        <v>0.59793981810024155</v>
      </c>
      <c r="U9" s="102">
        <v>0.49359397573940178</v>
      </c>
      <c r="V9" s="102">
        <v>0.41465128089033576</v>
      </c>
      <c r="W9" s="102">
        <v>0.63041908369042554</v>
      </c>
      <c r="DA9" s="175" t="s">
        <v>194</v>
      </c>
    </row>
    <row r="10" spans="1:105" ht="11.45" customHeight="1" x14ac:dyDescent="0.25">
      <c r="A10" s="92" t="s">
        <v>173</v>
      </c>
      <c r="B10" s="102">
        <v>14.777603838420911</v>
      </c>
      <c r="C10" s="102">
        <v>14.556638176629511</v>
      </c>
      <c r="D10" s="102">
        <v>16.39220111358388</v>
      </c>
      <c r="E10" s="102">
        <v>18.679426307198465</v>
      </c>
      <c r="F10" s="102">
        <v>20.446147622660877</v>
      </c>
      <c r="G10" s="102">
        <v>21.427370235993397</v>
      </c>
      <c r="H10" s="102">
        <v>20.487469909677312</v>
      </c>
      <c r="I10" s="102">
        <v>20.163415832159895</v>
      </c>
      <c r="J10" s="102">
        <v>16.505651756010625</v>
      </c>
      <c r="K10" s="102">
        <v>13.732367108274293</v>
      </c>
      <c r="L10" s="102">
        <v>16.582968175988224</v>
      </c>
      <c r="M10" s="102">
        <v>14.038777484025852</v>
      </c>
      <c r="N10" s="102">
        <v>11.167532470826368</v>
      </c>
      <c r="O10" s="102">
        <v>10.935211431699113</v>
      </c>
      <c r="P10" s="102">
        <v>13.325953500030868</v>
      </c>
      <c r="Q10" s="102">
        <v>14.128884587113502</v>
      </c>
      <c r="R10" s="102">
        <v>16.676997925804731</v>
      </c>
      <c r="S10" s="102">
        <v>19.305621742316852</v>
      </c>
      <c r="T10" s="102">
        <v>22.291713702338598</v>
      </c>
      <c r="U10" s="102">
        <v>18.719794187163764</v>
      </c>
      <c r="V10" s="102">
        <v>14.794140104982166</v>
      </c>
      <c r="W10" s="102">
        <v>21.261022874456636</v>
      </c>
      <c r="DA10" s="175" t="s">
        <v>195</v>
      </c>
    </row>
    <row r="11" spans="1:105" ht="11.45" customHeight="1" x14ac:dyDescent="0.25">
      <c r="A11" s="85" t="s">
        <v>174</v>
      </c>
      <c r="B11" s="86">
        <v>81.453501614057558</v>
      </c>
      <c r="C11" s="86">
        <v>84.175065809410896</v>
      </c>
      <c r="D11" s="86">
        <v>87.664250547691509</v>
      </c>
      <c r="E11" s="86">
        <v>120.24268534193354</v>
      </c>
      <c r="F11" s="86">
        <v>95.10299112355807</v>
      </c>
      <c r="G11" s="86">
        <v>93.999835831404255</v>
      </c>
      <c r="H11" s="86">
        <v>79.085019215503053</v>
      </c>
      <c r="I11" s="86">
        <v>71.518829990460063</v>
      </c>
      <c r="J11" s="86">
        <v>78.75658658658898</v>
      </c>
      <c r="K11" s="86">
        <v>96.815748620774286</v>
      </c>
      <c r="L11" s="86">
        <v>97.042769006659739</v>
      </c>
      <c r="M11" s="86">
        <v>151.92219719799596</v>
      </c>
      <c r="N11" s="86">
        <v>151.64732968634539</v>
      </c>
      <c r="O11" s="86">
        <v>144.69898355078877</v>
      </c>
      <c r="P11" s="86">
        <v>149.38063217981741</v>
      </c>
      <c r="Q11" s="86">
        <v>158.60114271442527</v>
      </c>
      <c r="R11" s="86">
        <v>212.01678014977244</v>
      </c>
      <c r="S11" s="86">
        <v>220.69334828784099</v>
      </c>
      <c r="T11" s="86">
        <v>189.63208493074592</v>
      </c>
      <c r="U11" s="86">
        <v>213.50143659433471</v>
      </c>
      <c r="V11" s="86">
        <v>129.27225122602349</v>
      </c>
      <c r="W11" s="86">
        <v>128.45213005497092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31.618404308661621</v>
      </c>
      <c r="C13" s="54">
        <f t="shared" si="6"/>
        <v>31.839556365028098</v>
      </c>
      <c r="D13" s="54">
        <f t="shared" ref="D13:V13" si="7">SUM(D14,D18)</f>
        <v>32.749689042044217</v>
      </c>
      <c r="E13" s="54">
        <f t="shared" si="7"/>
        <v>62.081951141471457</v>
      </c>
      <c r="F13" s="54">
        <f t="shared" si="7"/>
        <v>78.735908811757724</v>
      </c>
      <c r="G13" s="54">
        <f t="shared" si="7"/>
        <v>86.223548579446827</v>
      </c>
      <c r="H13" s="54">
        <f t="shared" si="7"/>
        <v>88.621431332601802</v>
      </c>
      <c r="I13" s="54">
        <f t="shared" si="7"/>
        <v>95.06699457370749</v>
      </c>
      <c r="J13" s="54">
        <f t="shared" si="7"/>
        <v>99.744553128961485</v>
      </c>
      <c r="K13" s="54">
        <f t="shared" si="7"/>
        <v>92.857373246127935</v>
      </c>
      <c r="L13" s="54">
        <f t="shared" si="7"/>
        <v>88.660103735692985</v>
      </c>
      <c r="M13" s="54">
        <f t="shared" si="7"/>
        <v>89.462428608943682</v>
      </c>
      <c r="N13" s="54">
        <f t="shared" si="7"/>
        <v>80.317349561620546</v>
      </c>
      <c r="O13" s="54">
        <f t="shared" si="7"/>
        <v>78.568531248081939</v>
      </c>
      <c r="P13" s="54">
        <f t="shared" si="7"/>
        <v>78.303731892101851</v>
      </c>
      <c r="Q13" s="54">
        <f t="shared" si="7"/>
        <v>79.158654694137027</v>
      </c>
      <c r="R13" s="54">
        <f t="shared" si="7"/>
        <v>84.618544358807512</v>
      </c>
      <c r="S13" s="54">
        <f t="shared" si="7"/>
        <v>93.207217898487599</v>
      </c>
      <c r="T13" s="54">
        <f t="shared" si="7"/>
        <v>106.05503247994895</v>
      </c>
      <c r="U13" s="54">
        <f t="shared" si="7"/>
        <v>108.07406897407449</v>
      </c>
      <c r="V13" s="54">
        <f t="shared" si="7"/>
        <v>29.693786583194271</v>
      </c>
      <c r="W13" s="54">
        <f t="shared" ref="W13" si="8">SUM(W14,W18)</f>
        <v>38.115226747460397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30.033351090656396</v>
      </c>
      <c r="C14" s="11">
        <f t="shared" si="9"/>
        <v>30.306928626483199</v>
      </c>
      <c r="D14" s="11">
        <f t="shared" ref="D14:V14" si="10">SUM(D15:D17)</f>
        <v>31.009370135696507</v>
      </c>
      <c r="E14" s="11">
        <f t="shared" si="10"/>
        <v>59.691929258226182</v>
      </c>
      <c r="F14" s="11">
        <f t="shared" si="10"/>
        <v>76.499540031461464</v>
      </c>
      <c r="G14" s="11">
        <f t="shared" si="10"/>
        <v>83.865335787984094</v>
      </c>
      <c r="H14" s="11">
        <f t="shared" si="10"/>
        <v>86.352881715255066</v>
      </c>
      <c r="I14" s="11">
        <f t="shared" si="10"/>
        <v>92.89009703890126</v>
      </c>
      <c r="J14" s="11">
        <f t="shared" si="10"/>
        <v>97.599456094022344</v>
      </c>
      <c r="K14" s="11">
        <f t="shared" si="10"/>
        <v>90.743499768043762</v>
      </c>
      <c r="L14" s="11">
        <f t="shared" si="10"/>
        <v>86.447006297678087</v>
      </c>
      <c r="M14" s="11">
        <f t="shared" si="10"/>
        <v>86.709131204598521</v>
      </c>
      <c r="N14" s="11">
        <f t="shared" si="10"/>
        <v>77.873272647425452</v>
      </c>
      <c r="O14" s="11">
        <f t="shared" si="10"/>
        <v>76.281700296898279</v>
      </c>
      <c r="P14" s="11">
        <f t="shared" si="10"/>
        <v>76.159560382995011</v>
      </c>
      <c r="Q14" s="11">
        <f t="shared" si="10"/>
        <v>76.847549122831964</v>
      </c>
      <c r="R14" s="11">
        <f t="shared" si="10"/>
        <v>81.903404358177909</v>
      </c>
      <c r="S14" s="11">
        <f t="shared" si="10"/>
        <v>90.152933488070062</v>
      </c>
      <c r="T14" s="11">
        <f t="shared" si="10"/>
        <v>103.15948420308573</v>
      </c>
      <c r="U14" s="11">
        <f t="shared" si="10"/>
        <v>105.17057739040763</v>
      </c>
      <c r="V14" s="11">
        <f t="shared" si="10"/>
        <v>26.976488021001437</v>
      </c>
      <c r="W14" s="11">
        <f t="shared" ref="W14" si="11">SUM(W15:W17)</f>
        <v>34.860461064430652</v>
      </c>
      <c r="DA14" s="189" t="s">
        <v>198</v>
      </c>
    </row>
    <row r="15" spans="1:105" ht="11.45" customHeight="1" x14ac:dyDescent="0.25">
      <c r="A15" s="83" t="s">
        <v>27</v>
      </c>
      <c r="B15" s="84">
        <v>0.70766285949163532</v>
      </c>
      <c r="C15" s="84">
        <v>0.90944750937336938</v>
      </c>
      <c r="D15" s="84">
        <v>0.65099946326899549</v>
      </c>
      <c r="E15" s="84">
        <v>1.1304347546416649</v>
      </c>
      <c r="F15" s="84">
        <v>1.4436574170945906</v>
      </c>
      <c r="G15" s="84">
        <v>1.4540265663763527</v>
      </c>
      <c r="H15" s="84">
        <v>1.5256840125743876</v>
      </c>
      <c r="I15" s="84">
        <v>1.4864458563022229</v>
      </c>
      <c r="J15" s="84">
        <v>1.7651945261632818</v>
      </c>
      <c r="K15" s="84">
        <v>2.110832580671167</v>
      </c>
      <c r="L15" s="84">
        <v>1.5747395954198473</v>
      </c>
      <c r="M15" s="84">
        <v>0.98312023520037817</v>
      </c>
      <c r="N15" s="84">
        <v>0.76754125517849248</v>
      </c>
      <c r="O15" s="84">
        <v>0.54143218946039195</v>
      </c>
      <c r="P15" s="84">
        <v>0.6590279358428841</v>
      </c>
      <c r="Q15" s="84">
        <v>0.68954288489629623</v>
      </c>
      <c r="R15" s="84">
        <v>0.65851731493714305</v>
      </c>
      <c r="S15" s="84">
        <v>0.44932292518384276</v>
      </c>
      <c r="T15" s="84">
        <v>0.40238842743682307</v>
      </c>
      <c r="U15" s="84">
        <v>0.12469094736842105</v>
      </c>
      <c r="V15" s="84">
        <v>7.6074287461530679E-2</v>
      </c>
      <c r="W15" s="84">
        <v>0.11761050950965385</v>
      </c>
      <c r="DA15" s="171" t="s">
        <v>199</v>
      </c>
    </row>
    <row r="16" spans="1:105" ht="11.45" customHeight="1" x14ac:dyDescent="0.25">
      <c r="A16" s="83" t="s">
        <v>173</v>
      </c>
      <c r="B16" s="84">
        <v>18.887662381200634</v>
      </c>
      <c r="C16" s="84">
        <v>18.932985210045203</v>
      </c>
      <c r="D16" s="84">
        <v>19.551969861148084</v>
      </c>
      <c r="E16" s="84">
        <v>39.375114781904898</v>
      </c>
      <c r="F16" s="84">
        <v>50.935043081535561</v>
      </c>
      <c r="G16" s="84">
        <v>57.161580418965009</v>
      </c>
      <c r="H16" s="84">
        <v>57.986009790239933</v>
      </c>
      <c r="I16" s="84">
        <v>60.824698257945926</v>
      </c>
      <c r="J16" s="84">
        <v>63.232281476513329</v>
      </c>
      <c r="K16" s="84">
        <v>55.002464113202834</v>
      </c>
      <c r="L16" s="84">
        <v>51.620685781575574</v>
      </c>
      <c r="M16" s="84">
        <v>49.999740839444762</v>
      </c>
      <c r="N16" s="84">
        <v>42.444051952296284</v>
      </c>
      <c r="O16" s="84">
        <v>41.150619466663343</v>
      </c>
      <c r="P16" s="84">
        <v>41.365505786271264</v>
      </c>
      <c r="Q16" s="84">
        <v>43.579255922850187</v>
      </c>
      <c r="R16" s="84">
        <v>47.557312345798771</v>
      </c>
      <c r="S16" s="84">
        <v>50.448729227342362</v>
      </c>
      <c r="T16" s="84">
        <v>54.259664711917488</v>
      </c>
      <c r="U16" s="84">
        <v>53.751008424281885</v>
      </c>
      <c r="V16" s="84">
        <v>15.422722238372433</v>
      </c>
      <c r="W16" s="84">
        <v>19.215021571817353</v>
      </c>
      <c r="DA16" s="171" t="s">
        <v>200</v>
      </c>
    </row>
    <row r="17" spans="1:105" ht="11.45" customHeight="1" x14ac:dyDescent="0.25">
      <c r="A17" s="83" t="s">
        <v>174</v>
      </c>
      <c r="B17" s="84">
        <v>10.438025849964127</v>
      </c>
      <c r="C17" s="84">
        <v>10.464495907064627</v>
      </c>
      <c r="D17" s="84">
        <v>10.806400811279429</v>
      </c>
      <c r="E17" s="84">
        <v>19.186379721679625</v>
      </c>
      <c r="F17" s="84">
        <v>24.120839532831305</v>
      </c>
      <c r="G17" s="84">
        <v>25.249728802642728</v>
      </c>
      <c r="H17" s="84">
        <v>26.841187912440748</v>
      </c>
      <c r="I17" s="84">
        <v>30.578952924653109</v>
      </c>
      <c r="J17" s="84">
        <v>32.601980091345744</v>
      </c>
      <c r="K17" s="84">
        <v>33.630203074169771</v>
      </c>
      <c r="L17" s="84">
        <v>33.25158092068267</v>
      </c>
      <c r="M17" s="84">
        <v>35.72627012995337</v>
      </c>
      <c r="N17" s="84">
        <v>34.661679439950674</v>
      </c>
      <c r="O17" s="84">
        <v>34.589648640774541</v>
      </c>
      <c r="P17" s="84">
        <v>34.135026660880854</v>
      </c>
      <c r="Q17" s="84">
        <v>32.578750315085486</v>
      </c>
      <c r="R17" s="84">
        <v>33.687574697442003</v>
      </c>
      <c r="S17" s="84">
        <v>39.254881335543864</v>
      </c>
      <c r="T17" s="84">
        <v>48.497431063731412</v>
      </c>
      <c r="U17" s="84">
        <v>51.294878018757331</v>
      </c>
      <c r="V17" s="84">
        <v>11.477691495167472</v>
      </c>
      <c r="W17" s="84">
        <v>15.52782898310365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1.5850532180052248</v>
      </c>
      <c r="C18" s="13">
        <f t="shared" si="12"/>
        <v>1.5326277385448988</v>
      </c>
      <c r="D18" s="13">
        <f t="shared" ref="D18:V18" si="13">SUM(D19:D21)</f>
        <v>1.7403189063477074</v>
      </c>
      <c r="E18" s="13">
        <f t="shared" si="13"/>
        <v>2.3900218832452769</v>
      </c>
      <c r="F18" s="13">
        <f t="shared" si="13"/>
        <v>2.2363687802962593</v>
      </c>
      <c r="G18" s="13">
        <f t="shared" si="13"/>
        <v>2.3582127914627322</v>
      </c>
      <c r="H18" s="13">
        <f t="shared" si="13"/>
        <v>2.2685496173467321</v>
      </c>
      <c r="I18" s="13">
        <f t="shared" si="13"/>
        <v>2.1768975348062303</v>
      </c>
      <c r="J18" s="13">
        <f t="shared" si="13"/>
        <v>2.1450970349391354</v>
      </c>
      <c r="K18" s="13">
        <f t="shared" si="13"/>
        <v>2.1138734780841721</v>
      </c>
      <c r="L18" s="13">
        <f t="shared" si="13"/>
        <v>2.2130974380149002</v>
      </c>
      <c r="M18" s="13">
        <f t="shared" si="13"/>
        <v>2.7532974043451612</v>
      </c>
      <c r="N18" s="13">
        <f t="shared" si="13"/>
        <v>2.4440769141950929</v>
      </c>
      <c r="O18" s="13">
        <f t="shared" si="13"/>
        <v>2.2868309511836586</v>
      </c>
      <c r="P18" s="13">
        <f t="shared" si="13"/>
        <v>2.1441715091068438</v>
      </c>
      <c r="Q18" s="13">
        <f t="shared" si="13"/>
        <v>2.3111055713050681</v>
      </c>
      <c r="R18" s="13">
        <f t="shared" si="13"/>
        <v>2.715140000629602</v>
      </c>
      <c r="S18" s="13">
        <f t="shared" si="13"/>
        <v>3.0542844104175355</v>
      </c>
      <c r="T18" s="13">
        <f t="shared" si="13"/>
        <v>2.895548276863229</v>
      </c>
      <c r="U18" s="13">
        <f t="shared" si="13"/>
        <v>2.9034915836668582</v>
      </c>
      <c r="V18" s="13">
        <f t="shared" si="13"/>
        <v>2.7172985621928354</v>
      </c>
      <c r="W18" s="13">
        <f t="shared" ref="W18" si="14">SUM(W19:W21)</f>
        <v>3.2547656830297447</v>
      </c>
      <c r="DA18" s="193" t="s">
        <v>202</v>
      </c>
    </row>
    <row r="19" spans="1:105" ht="11.45" customHeight="1" x14ac:dyDescent="0.25">
      <c r="A19" s="92" t="s">
        <v>27</v>
      </c>
      <c r="B19" s="102">
        <v>8.6219795189966357E-3</v>
      </c>
      <c r="C19" s="102">
        <v>8.2700619876090176E-3</v>
      </c>
      <c r="D19" s="102">
        <v>9.5017733474656793E-3</v>
      </c>
      <c r="E19" s="102">
        <v>7.7421856905275912E-3</v>
      </c>
      <c r="F19" s="102">
        <v>4.0470516109576042E-3</v>
      </c>
      <c r="G19" s="102">
        <v>9.4803636363636357E-3</v>
      </c>
      <c r="H19" s="102">
        <v>2.1401960934618221E-2</v>
      </c>
      <c r="I19" s="102">
        <v>3.598170163564543E-2</v>
      </c>
      <c r="J19" s="102">
        <v>4.4515434545644057E-2</v>
      </c>
      <c r="K19" s="102">
        <v>5.3340052736685392E-2</v>
      </c>
      <c r="L19" s="102">
        <v>4.2683158081705155E-2</v>
      </c>
      <c r="M19" s="102">
        <v>3.6147882387551511E-2</v>
      </c>
      <c r="N19" s="102">
        <v>2.863652602739726E-2</v>
      </c>
      <c r="O19" s="102">
        <v>1.7519883375854303E-2</v>
      </c>
      <c r="P19" s="102">
        <v>9.8047242280919523E-3</v>
      </c>
      <c r="Q19" s="102">
        <v>9.6504664506314869E-3</v>
      </c>
      <c r="R19" s="102">
        <v>7.6067720440017765E-3</v>
      </c>
      <c r="S19" s="102">
        <v>8.2901601425068739E-3</v>
      </c>
      <c r="T19" s="102">
        <v>4.2030447963800899E-2</v>
      </c>
      <c r="U19" s="102">
        <v>3.4893818181818186E-2</v>
      </c>
      <c r="V19" s="102">
        <v>3.3694469854006828E-2</v>
      </c>
      <c r="W19" s="102">
        <v>4.5810116504890558E-2</v>
      </c>
      <c r="DA19" s="175" t="s">
        <v>203</v>
      </c>
    </row>
    <row r="20" spans="1:105" ht="11.45" customHeight="1" x14ac:dyDescent="0.25">
      <c r="A20" s="92" t="s">
        <v>173</v>
      </c>
      <c r="B20" s="102">
        <v>0.58177969143609531</v>
      </c>
      <c r="C20" s="102">
        <v>0.54314736662945584</v>
      </c>
      <c r="D20" s="102">
        <v>0.64879754465516482</v>
      </c>
      <c r="E20" s="102">
        <v>0.7491693871954096</v>
      </c>
      <c r="F20" s="102">
        <v>0.90163925357769181</v>
      </c>
      <c r="G20" s="102">
        <v>0.95019198338192423</v>
      </c>
      <c r="H20" s="102">
        <v>1.0299634043346635</v>
      </c>
      <c r="I20" s="102">
        <v>1.0215368409323984</v>
      </c>
      <c r="J20" s="102">
        <v>0.84254048425770156</v>
      </c>
      <c r="K20" s="102">
        <v>0.68923313378580942</v>
      </c>
      <c r="L20" s="102">
        <v>0.81841437405084183</v>
      </c>
      <c r="M20" s="102">
        <v>0.66098793571673076</v>
      </c>
      <c r="N20" s="102">
        <v>0.48363863668840601</v>
      </c>
      <c r="O20" s="102">
        <v>0.48864119286602697</v>
      </c>
      <c r="P20" s="102">
        <v>0.51752994236645466</v>
      </c>
      <c r="Q20" s="102">
        <v>0.55337316352084065</v>
      </c>
      <c r="R20" s="102">
        <v>0.59698931258181287</v>
      </c>
      <c r="S20" s="102">
        <v>0.74146266178607512</v>
      </c>
      <c r="T20" s="102">
        <v>0.85092257988757025</v>
      </c>
      <c r="U20" s="102">
        <v>0.69586107947821407</v>
      </c>
      <c r="V20" s="102">
        <v>0.6516780525420891</v>
      </c>
      <c r="W20" s="102">
        <v>1.0116751616449113</v>
      </c>
      <c r="DA20" s="175" t="s">
        <v>204</v>
      </c>
    </row>
    <row r="21" spans="1:105" ht="11.45" customHeight="1" x14ac:dyDescent="0.25">
      <c r="A21" s="85" t="s">
        <v>174</v>
      </c>
      <c r="B21" s="86">
        <v>0.99465154705013281</v>
      </c>
      <c r="C21" s="86">
        <v>0.98121030992783376</v>
      </c>
      <c r="D21" s="86">
        <v>1.0820195883450769</v>
      </c>
      <c r="E21" s="86">
        <v>1.6331103103593396</v>
      </c>
      <c r="F21" s="86">
        <v>1.3306824751076101</v>
      </c>
      <c r="G21" s="86">
        <v>1.3985404444444445</v>
      </c>
      <c r="H21" s="86">
        <v>1.2171842520774503</v>
      </c>
      <c r="I21" s="86">
        <v>1.1193789922381865</v>
      </c>
      <c r="J21" s="86">
        <v>1.2580411161357896</v>
      </c>
      <c r="K21" s="86">
        <v>1.3713002915616772</v>
      </c>
      <c r="L21" s="86">
        <v>1.3519999058823533</v>
      </c>
      <c r="M21" s="86">
        <v>2.0561615862408789</v>
      </c>
      <c r="N21" s="86">
        <v>1.9318017514792898</v>
      </c>
      <c r="O21" s="86">
        <v>1.7806698749417773</v>
      </c>
      <c r="P21" s="86">
        <v>1.6168368425122972</v>
      </c>
      <c r="Q21" s="86">
        <v>1.748081941333596</v>
      </c>
      <c r="R21" s="86">
        <v>2.1105439160037873</v>
      </c>
      <c r="S21" s="86">
        <v>2.3045315884889535</v>
      </c>
      <c r="T21" s="86">
        <v>2.0025952490118577</v>
      </c>
      <c r="U21" s="86">
        <v>2.172736686006826</v>
      </c>
      <c r="V21" s="86">
        <v>2.0319260397967396</v>
      </c>
      <c r="W21" s="86">
        <v>2.197280404879943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28627</v>
      </c>
      <c r="C23" s="54">
        <f t="shared" si="15"/>
        <v>29277</v>
      </c>
      <c r="D23" s="54">
        <f t="shared" ref="D23:V23" si="16">SUM(D24,D28)</f>
        <v>29446</v>
      </c>
      <c r="E23" s="54">
        <f t="shared" si="16"/>
        <v>56341</v>
      </c>
      <c r="F23" s="54">
        <f t="shared" si="16"/>
        <v>71451</v>
      </c>
      <c r="G23" s="54">
        <f t="shared" si="16"/>
        <v>79889</v>
      </c>
      <c r="H23" s="54">
        <f t="shared" si="16"/>
        <v>84052</v>
      </c>
      <c r="I23" s="54">
        <f t="shared" si="16"/>
        <v>88494</v>
      </c>
      <c r="J23" s="54">
        <f t="shared" si="16"/>
        <v>91713</v>
      </c>
      <c r="K23" s="54">
        <f t="shared" si="16"/>
        <v>85464</v>
      </c>
      <c r="L23" s="54">
        <f t="shared" si="16"/>
        <v>80624</v>
      </c>
      <c r="M23" s="54">
        <f t="shared" si="16"/>
        <v>77683</v>
      </c>
      <c r="N23" s="54">
        <f t="shared" si="16"/>
        <v>67750</v>
      </c>
      <c r="O23" s="54">
        <f t="shared" si="16"/>
        <v>65644</v>
      </c>
      <c r="P23" s="54">
        <f t="shared" si="16"/>
        <v>64072</v>
      </c>
      <c r="Q23" s="54">
        <f t="shared" si="16"/>
        <v>64690</v>
      </c>
      <c r="R23" s="54">
        <f t="shared" si="16"/>
        <v>68207</v>
      </c>
      <c r="S23" s="54">
        <f t="shared" si="16"/>
        <v>71629</v>
      </c>
      <c r="T23" s="54">
        <f t="shared" si="16"/>
        <v>76060</v>
      </c>
      <c r="U23" s="54">
        <f t="shared" si="16"/>
        <v>74976</v>
      </c>
      <c r="V23" s="54">
        <f t="shared" si="16"/>
        <v>22223</v>
      </c>
      <c r="W23" s="54">
        <f t="shared" ref="W23" si="17">SUM(W24,W28)</f>
        <v>25645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27696</v>
      </c>
      <c r="C24" s="11">
        <f t="shared" si="18"/>
        <v>28399</v>
      </c>
      <c r="D24" s="11">
        <f t="shared" ref="D24:V24" si="19">SUM(D25:D27)</f>
        <v>28412</v>
      </c>
      <c r="E24" s="11">
        <f t="shared" si="19"/>
        <v>55138</v>
      </c>
      <c r="F24" s="11">
        <f t="shared" si="19"/>
        <v>70122</v>
      </c>
      <c r="G24" s="11">
        <f t="shared" si="19"/>
        <v>78415</v>
      </c>
      <c r="H24" s="11">
        <f t="shared" si="19"/>
        <v>82380</v>
      </c>
      <c r="I24" s="11">
        <f t="shared" si="19"/>
        <v>86764</v>
      </c>
      <c r="J24" s="11">
        <f t="shared" si="19"/>
        <v>90165</v>
      </c>
      <c r="K24" s="11">
        <f t="shared" si="19"/>
        <v>84056</v>
      </c>
      <c r="L24" s="11">
        <f t="shared" si="19"/>
        <v>79057</v>
      </c>
      <c r="M24" s="11">
        <f t="shared" si="19"/>
        <v>76248</v>
      </c>
      <c r="N24" s="11">
        <f t="shared" si="19"/>
        <v>66624</v>
      </c>
      <c r="O24" s="11">
        <f t="shared" si="19"/>
        <v>64566</v>
      </c>
      <c r="P24" s="11">
        <f t="shared" si="19"/>
        <v>63031</v>
      </c>
      <c r="Q24" s="11">
        <f t="shared" si="19"/>
        <v>63580</v>
      </c>
      <c r="R24" s="11">
        <f t="shared" si="19"/>
        <v>66976</v>
      </c>
      <c r="S24" s="11">
        <f t="shared" si="19"/>
        <v>70169</v>
      </c>
      <c r="T24" s="11">
        <f t="shared" si="19"/>
        <v>74412</v>
      </c>
      <c r="U24" s="11">
        <f t="shared" si="19"/>
        <v>73474</v>
      </c>
      <c r="V24" s="11">
        <f t="shared" si="19"/>
        <v>20768</v>
      </c>
      <c r="W24" s="11">
        <f t="shared" ref="W24" si="20">SUM(W25:W27)</f>
        <v>23855</v>
      </c>
      <c r="DA24" s="189" t="s">
        <v>207</v>
      </c>
    </row>
    <row r="25" spans="1:105" ht="11.45" customHeight="1" x14ac:dyDescent="0.25">
      <c r="A25" s="83" t="s">
        <v>27</v>
      </c>
      <c r="B25" s="84">
        <v>2248</v>
      </c>
      <c r="C25" s="84">
        <v>2889</v>
      </c>
      <c r="D25" s="84">
        <v>2068</v>
      </c>
      <c r="E25" s="84">
        <v>3591</v>
      </c>
      <c r="F25" s="84">
        <v>4586</v>
      </c>
      <c r="G25" s="84">
        <v>4810</v>
      </c>
      <c r="H25" s="84">
        <v>5435</v>
      </c>
      <c r="I25" s="84">
        <v>5175</v>
      </c>
      <c r="J25" s="84">
        <v>6165</v>
      </c>
      <c r="K25" s="84">
        <v>7465</v>
      </c>
      <c r="L25" s="84">
        <v>5692</v>
      </c>
      <c r="M25" s="84">
        <v>3563</v>
      </c>
      <c r="N25" s="84">
        <v>2883</v>
      </c>
      <c r="O25" s="84">
        <v>2093</v>
      </c>
      <c r="P25" s="84">
        <v>2423</v>
      </c>
      <c r="Q25" s="84">
        <v>2606</v>
      </c>
      <c r="R25" s="84">
        <v>2356</v>
      </c>
      <c r="S25" s="84">
        <v>1525</v>
      </c>
      <c r="T25" s="84">
        <v>1404</v>
      </c>
      <c r="U25" s="84">
        <v>516</v>
      </c>
      <c r="V25" s="84">
        <v>292</v>
      </c>
      <c r="W25" s="84">
        <v>404</v>
      </c>
      <c r="DA25" s="171" t="s">
        <v>208</v>
      </c>
    </row>
    <row r="26" spans="1:105" ht="11.45" customHeight="1" x14ac:dyDescent="0.25">
      <c r="A26" s="83" t="s">
        <v>173</v>
      </c>
      <c r="B26" s="84">
        <v>20716</v>
      </c>
      <c r="C26" s="84">
        <v>20766</v>
      </c>
      <c r="D26" s="84">
        <v>21445</v>
      </c>
      <c r="E26" s="84">
        <v>42849</v>
      </c>
      <c r="F26" s="84">
        <v>54601</v>
      </c>
      <c r="G26" s="84">
        <v>61478</v>
      </c>
      <c r="H26" s="84">
        <v>63588</v>
      </c>
      <c r="I26" s="84">
        <v>66338</v>
      </c>
      <c r="J26" s="84">
        <v>68050</v>
      </c>
      <c r="K26" s="84">
        <v>60405</v>
      </c>
      <c r="L26" s="84">
        <v>57251</v>
      </c>
      <c r="M26" s="84">
        <v>55650</v>
      </c>
      <c r="N26" s="84">
        <v>46895</v>
      </c>
      <c r="O26" s="84">
        <v>45137</v>
      </c>
      <c r="P26" s="84">
        <v>44333</v>
      </c>
      <c r="Q26" s="84">
        <v>46420</v>
      </c>
      <c r="R26" s="84">
        <v>50445</v>
      </c>
      <c r="S26" s="84">
        <v>52350</v>
      </c>
      <c r="T26" s="84">
        <v>53932</v>
      </c>
      <c r="U26" s="84">
        <v>53293</v>
      </c>
      <c r="V26" s="84">
        <v>15683</v>
      </c>
      <c r="W26" s="84">
        <v>17297</v>
      </c>
      <c r="DA26" s="171" t="s">
        <v>209</v>
      </c>
    </row>
    <row r="27" spans="1:105" ht="11.45" customHeight="1" x14ac:dyDescent="0.25">
      <c r="A27" s="83" t="s">
        <v>174</v>
      </c>
      <c r="B27" s="84">
        <v>4732</v>
      </c>
      <c r="C27" s="84">
        <v>4744</v>
      </c>
      <c r="D27" s="84">
        <v>4899</v>
      </c>
      <c r="E27" s="84">
        <v>8698</v>
      </c>
      <c r="F27" s="84">
        <v>10935</v>
      </c>
      <c r="G27" s="84">
        <v>12127</v>
      </c>
      <c r="H27" s="84">
        <v>13357</v>
      </c>
      <c r="I27" s="84">
        <v>15251</v>
      </c>
      <c r="J27" s="84">
        <v>15950</v>
      </c>
      <c r="K27" s="84">
        <v>16186</v>
      </c>
      <c r="L27" s="84">
        <v>16114</v>
      </c>
      <c r="M27" s="84">
        <v>17035</v>
      </c>
      <c r="N27" s="84">
        <v>16846</v>
      </c>
      <c r="O27" s="84">
        <v>17336</v>
      </c>
      <c r="P27" s="84">
        <v>16275</v>
      </c>
      <c r="Q27" s="84">
        <v>14554</v>
      </c>
      <c r="R27" s="84">
        <v>14175</v>
      </c>
      <c r="S27" s="84">
        <v>16294</v>
      </c>
      <c r="T27" s="84">
        <v>19076</v>
      </c>
      <c r="U27" s="84">
        <v>19665</v>
      </c>
      <c r="V27" s="84">
        <v>4793</v>
      </c>
      <c r="W27" s="84">
        <v>6154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931</v>
      </c>
      <c r="C28" s="13">
        <f t="shared" si="21"/>
        <v>878</v>
      </c>
      <c r="D28" s="13">
        <f t="shared" ref="D28:V28" si="22">SUM(D29:D31)</f>
        <v>1034</v>
      </c>
      <c r="E28" s="13">
        <f t="shared" si="22"/>
        <v>1203</v>
      </c>
      <c r="F28" s="13">
        <f t="shared" si="22"/>
        <v>1329</v>
      </c>
      <c r="G28" s="13">
        <f t="shared" si="22"/>
        <v>1474</v>
      </c>
      <c r="H28" s="13">
        <f t="shared" si="22"/>
        <v>1672</v>
      </c>
      <c r="I28" s="13">
        <f t="shared" si="22"/>
        <v>1730</v>
      </c>
      <c r="J28" s="13">
        <f t="shared" si="22"/>
        <v>1548</v>
      </c>
      <c r="K28" s="13">
        <f t="shared" si="22"/>
        <v>1408</v>
      </c>
      <c r="L28" s="13">
        <f t="shared" si="22"/>
        <v>1567</v>
      </c>
      <c r="M28" s="13">
        <f t="shared" si="22"/>
        <v>1435</v>
      </c>
      <c r="N28" s="13">
        <f t="shared" si="22"/>
        <v>1126</v>
      </c>
      <c r="O28" s="13">
        <f t="shared" si="22"/>
        <v>1078</v>
      </c>
      <c r="P28" s="13">
        <f t="shared" si="22"/>
        <v>1041</v>
      </c>
      <c r="Q28" s="13">
        <f t="shared" si="22"/>
        <v>1110</v>
      </c>
      <c r="R28" s="13">
        <f t="shared" si="22"/>
        <v>1231</v>
      </c>
      <c r="S28" s="13">
        <f t="shared" si="22"/>
        <v>1460</v>
      </c>
      <c r="T28" s="13">
        <f t="shared" si="22"/>
        <v>1648</v>
      </c>
      <c r="U28" s="13">
        <f t="shared" si="22"/>
        <v>1502</v>
      </c>
      <c r="V28" s="13">
        <f t="shared" si="22"/>
        <v>1455</v>
      </c>
      <c r="W28" s="13">
        <f t="shared" ref="W28" si="23">SUM(W29:W31)</f>
        <v>1790</v>
      </c>
      <c r="DA28" s="193" t="s">
        <v>211</v>
      </c>
    </row>
    <row r="29" spans="1:105" ht="11.45" customHeight="1" x14ac:dyDescent="0.25">
      <c r="A29" s="92" t="s">
        <v>27</v>
      </c>
      <c r="B29" s="102">
        <v>49</v>
      </c>
      <c r="C29" s="102">
        <v>47</v>
      </c>
      <c r="D29" s="102">
        <v>54</v>
      </c>
      <c r="E29" s="102">
        <v>44</v>
      </c>
      <c r="F29" s="102">
        <v>23</v>
      </c>
      <c r="G29" s="102">
        <v>58</v>
      </c>
      <c r="H29" s="102">
        <v>131</v>
      </c>
      <c r="I29" s="102">
        <v>188</v>
      </c>
      <c r="J29" s="102">
        <v>210</v>
      </c>
      <c r="K29" s="102">
        <v>232</v>
      </c>
      <c r="L29" s="102">
        <v>174</v>
      </c>
      <c r="M29" s="102">
        <v>149</v>
      </c>
      <c r="N29" s="102">
        <v>124</v>
      </c>
      <c r="O29" s="102">
        <v>79</v>
      </c>
      <c r="P29" s="102">
        <v>42</v>
      </c>
      <c r="Q29" s="102">
        <v>43</v>
      </c>
      <c r="R29" s="102">
        <v>32</v>
      </c>
      <c r="S29" s="102">
        <v>33</v>
      </c>
      <c r="T29" s="102">
        <v>174</v>
      </c>
      <c r="U29" s="102">
        <v>144</v>
      </c>
      <c r="V29" s="102">
        <v>129</v>
      </c>
      <c r="W29" s="102">
        <v>157</v>
      </c>
      <c r="DA29" s="175" t="s">
        <v>212</v>
      </c>
    </row>
    <row r="30" spans="1:105" ht="11.45" customHeight="1" x14ac:dyDescent="0.25">
      <c r="A30" s="92" t="s">
        <v>173</v>
      </c>
      <c r="B30" s="102">
        <v>734</v>
      </c>
      <c r="C30" s="102">
        <v>685</v>
      </c>
      <c r="D30" s="102">
        <v>819</v>
      </c>
      <c r="E30" s="102">
        <v>916</v>
      </c>
      <c r="F30" s="102">
        <v>1108</v>
      </c>
      <c r="G30" s="102">
        <v>1204</v>
      </c>
      <c r="H30" s="102">
        <v>1345</v>
      </c>
      <c r="I30" s="102">
        <v>1352</v>
      </c>
      <c r="J30" s="102">
        <v>1114</v>
      </c>
      <c r="K30" s="102">
        <v>919</v>
      </c>
      <c r="L30" s="102">
        <v>1123</v>
      </c>
      <c r="M30" s="102">
        <v>918</v>
      </c>
      <c r="N30" s="102">
        <v>685</v>
      </c>
      <c r="O30" s="102">
        <v>707</v>
      </c>
      <c r="P30" s="102">
        <v>741</v>
      </c>
      <c r="Q30" s="102">
        <v>797</v>
      </c>
      <c r="R30" s="102">
        <v>883</v>
      </c>
      <c r="S30" s="102">
        <v>1087</v>
      </c>
      <c r="T30" s="102">
        <v>1187</v>
      </c>
      <c r="U30" s="102">
        <v>1005</v>
      </c>
      <c r="V30" s="102">
        <v>984</v>
      </c>
      <c r="W30" s="102">
        <v>1271</v>
      </c>
      <c r="DA30" s="175" t="s">
        <v>213</v>
      </c>
    </row>
    <row r="31" spans="1:105" ht="11.45" customHeight="1" x14ac:dyDescent="0.25">
      <c r="A31" s="85" t="s">
        <v>174</v>
      </c>
      <c r="B31" s="86">
        <v>148</v>
      </c>
      <c r="C31" s="86">
        <v>146</v>
      </c>
      <c r="D31" s="86">
        <v>161</v>
      </c>
      <c r="E31" s="86">
        <v>243</v>
      </c>
      <c r="F31" s="86">
        <v>198</v>
      </c>
      <c r="G31" s="86">
        <v>212</v>
      </c>
      <c r="H31" s="86">
        <v>196</v>
      </c>
      <c r="I31" s="86">
        <v>190</v>
      </c>
      <c r="J31" s="86">
        <v>224</v>
      </c>
      <c r="K31" s="86">
        <v>257</v>
      </c>
      <c r="L31" s="86">
        <v>270</v>
      </c>
      <c r="M31" s="86">
        <v>368</v>
      </c>
      <c r="N31" s="86">
        <v>317</v>
      </c>
      <c r="O31" s="86">
        <v>292</v>
      </c>
      <c r="P31" s="86">
        <v>258</v>
      </c>
      <c r="Q31" s="86">
        <v>270</v>
      </c>
      <c r="R31" s="86">
        <v>316</v>
      </c>
      <c r="S31" s="86">
        <v>340</v>
      </c>
      <c r="T31" s="86">
        <v>287</v>
      </c>
      <c r="U31" s="86">
        <v>353</v>
      </c>
      <c r="V31" s="86">
        <v>342</v>
      </c>
      <c r="W31" s="86">
        <v>362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1899166</v>
      </c>
      <c r="C34" s="11">
        <f t="shared" si="24"/>
        <v>1932101</v>
      </c>
      <c r="D34" s="11">
        <f t="shared" ref="D34:V34" si="25">SUM(D35:D37)</f>
        <v>1987093</v>
      </c>
      <c r="E34" s="11">
        <f t="shared" si="25"/>
        <v>3928676</v>
      </c>
      <c r="F34" s="11">
        <f t="shared" si="25"/>
        <v>5073974</v>
      </c>
      <c r="G34" s="11">
        <f t="shared" si="25"/>
        <v>5683437</v>
      </c>
      <c r="H34" s="11">
        <f t="shared" si="25"/>
        <v>6171561</v>
      </c>
      <c r="I34" s="11">
        <f t="shared" si="25"/>
        <v>6632826</v>
      </c>
      <c r="J34" s="11">
        <f t="shared" si="25"/>
        <v>6816728</v>
      </c>
      <c r="K34" s="11">
        <f t="shared" si="25"/>
        <v>6272227</v>
      </c>
      <c r="L34" s="11">
        <f t="shared" si="25"/>
        <v>6196042</v>
      </c>
      <c r="M34" s="11">
        <f t="shared" si="25"/>
        <v>6402713</v>
      </c>
      <c r="N34" s="11">
        <f t="shared" si="25"/>
        <v>5964596</v>
      </c>
      <c r="O34" s="11">
        <f t="shared" si="25"/>
        <v>6015298</v>
      </c>
      <c r="P34" s="11">
        <f t="shared" si="25"/>
        <v>6114182</v>
      </c>
      <c r="Q34" s="11">
        <f t="shared" si="25"/>
        <v>6481627</v>
      </c>
      <c r="R34" s="11">
        <f t="shared" si="25"/>
        <v>6915107</v>
      </c>
      <c r="S34" s="11">
        <f t="shared" si="25"/>
        <v>8158992</v>
      </c>
      <c r="T34" s="11">
        <f t="shared" si="25"/>
        <v>8933161</v>
      </c>
      <c r="U34" s="11">
        <f t="shared" si="25"/>
        <v>9416917</v>
      </c>
      <c r="V34" s="11">
        <f t="shared" si="25"/>
        <v>1945644</v>
      </c>
      <c r="W34" s="11">
        <f t="shared" ref="W34" si="26">SUM(W35:W37)</f>
        <v>2391950</v>
      </c>
      <c r="DA34" s="189" t="s">
        <v>215</v>
      </c>
    </row>
    <row r="35" spans="1:105" ht="11.45" customHeight="1" x14ac:dyDescent="0.25">
      <c r="A35" s="83" t="s">
        <v>27</v>
      </c>
      <c r="B35" s="84">
        <v>59536</v>
      </c>
      <c r="C35" s="84">
        <v>77043</v>
      </c>
      <c r="D35" s="84">
        <v>55669</v>
      </c>
      <c r="E35" s="84">
        <v>98581</v>
      </c>
      <c r="F35" s="84">
        <v>103539</v>
      </c>
      <c r="G35" s="84">
        <v>159310</v>
      </c>
      <c r="H35" s="84">
        <v>192597</v>
      </c>
      <c r="I35" s="84">
        <v>195066</v>
      </c>
      <c r="J35" s="84">
        <v>223440</v>
      </c>
      <c r="K35" s="84">
        <v>205105</v>
      </c>
      <c r="L35" s="84">
        <v>174277</v>
      </c>
      <c r="M35" s="84">
        <v>115721</v>
      </c>
      <c r="N35" s="84">
        <v>117149</v>
      </c>
      <c r="O35" s="84">
        <v>86079</v>
      </c>
      <c r="P35" s="84">
        <v>89822</v>
      </c>
      <c r="Q35" s="84">
        <v>91201</v>
      </c>
      <c r="R35" s="84">
        <v>67623</v>
      </c>
      <c r="S35" s="84">
        <v>47891</v>
      </c>
      <c r="T35" s="84">
        <v>54596</v>
      </c>
      <c r="U35" s="84">
        <v>32004</v>
      </c>
      <c r="V35" s="84">
        <v>5894</v>
      </c>
      <c r="W35" s="84">
        <v>15372</v>
      </c>
      <c r="DA35" s="171" t="s">
        <v>216</v>
      </c>
    </row>
    <row r="36" spans="1:105" ht="11.45" customHeight="1" x14ac:dyDescent="0.25">
      <c r="A36" s="83" t="s">
        <v>173</v>
      </c>
      <c r="B36" s="84">
        <v>1381416</v>
      </c>
      <c r="C36" s="84">
        <v>1394348</v>
      </c>
      <c r="D36" s="84">
        <v>1454085</v>
      </c>
      <c r="E36" s="84">
        <v>2979810</v>
      </c>
      <c r="F36" s="84">
        <v>3887073</v>
      </c>
      <c r="G36" s="84">
        <v>4348331</v>
      </c>
      <c r="H36" s="84">
        <v>4650704</v>
      </c>
      <c r="I36" s="84">
        <v>4916718</v>
      </c>
      <c r="J36" s="84">
        <v>4998216</v>
      </c>
      <c r="K36" s="84">
        <v>4510838</v>
      </c>
      <c r="L36" s="84">
        <v>4363457</v>
      </c>
      <c r="M36" s="84">
        <v>4513681</v>
      </c>
      <c r="N36" s="84">
        <v>4088871</v>
      </c>
      <c r="O36" s="84">
        <v>4083816</v>
      </c>
      <c r="P36" s="84">
        <v>4195439</v>
      </c>
      <c r="Q36" s="84">
        <v>4590768</v>
      </c>
      <c r="R36" s="84">
        <v>5044542</v>
      </c>
      <c r="S36" s="84">
        <v>5810222</v>
      </c>
      <c r="T36" s="84">
        <v>6214876</v>
      </c>
      <c r="U36" s="84">
        <v>6503946</v>
      </c>
      <c r="V36" s="84">
        <v>1414808</v>
      </c>
      <c r="W36" s="84">
        <v>1688594</v>
      </c>
      <c r="DA36" s="171" t="s">
        <v>217</v>
      </c>
    </row>
    <row r="37" spans="1:105" ht="11.45" customHeight="1" x14ac:dyDescent="0.25">
      <c r="A37" s="83" t="s">
        <v>174</v>
      </c>
      <c r="B37" s="84">
        <v>458214</v>
      </c>
      <c r="C37" s="84">
        <v>460710</v>
      </c>
      <c r="D37" s="84">
        <v>477339</v>
      </c>
      <c r="E37" s="84">
        <v>850285</v>
      </c>
      <c r="F37" s="84">
        <v>1083362</v>
      </c>
      <c r="G37" s="84">
        <v>1175796</v>
      </c>
      <c r="H37" s="84">
        <v>1328260</v>
      </c>
      <c r="I37" s="84">
        <v>1521042</v>
      </c>
      <c r="J37" s="84">
        <v>1595072</v>
      </c>
      <c r="K37" s="84">
        <v>1556284</v>
      </c>
      <c r="L37" s="84">
        <v>1658308</v>
      </c>
      <c r="M37" s="84">
        <v>1773311</v>
      </c>
      <c r="N37" s="84">
        <v>1758576</v>
      </c>
      <c r="O37" s="84">
        <v>1845403</v>
      </c>
      <c r="P37" s="84">
        <v>1828921</v>
      </c>
      <c r="Q37" s="84">
        <v>1799658</v>
      </c>
      <c r="R37" s="84">
        <v>1802942</v>
      </c>
      <c r="S37" s="84">
        <v>2300879</v>
      </c>
      <c r="T37" s="84">
        <v>2663689</v>
      </c>
      <c r="U37" s="84">
        <v>2880967</v>
      </c>
      <c r="V37" s="84">
        <v>524942</v>
      </c>
      <c r="W37" s="84">
        <v>687984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20006.089489430433</v>
      </c>
      <c r="C38" s="13">
        <f t="shared" si="27"/>
        <v>19460.068110394321</v>
      </c>
      <c r="D38" s="13">
        <f t="shared" ref="D38:V38" si="28">SUM(D39:D41)</f>
        <v>22413.638168791502</v>
      </c>
      <c r="E38" s="13">
        <f t="shared" si="28"/>
        <v>28043.360541353664</v>
      </c>
      <c r="F38" s="13">
        <f t="shared" si="28"/>
        <v>27511.632900197881</v>
      </c>
      <c r="G38" s="13">
        <f t="shared" si="28"/>
        <v>28233.262315380052</v>
      </c>
      <c r="H38" s="13">
        <f t="shared" si="28"/>
        <v>28925.706655260903</v>
      </c>
      <c r="I38" s="13">
        <f t="shared" si="28"/>
        <v>28989.547498843312</v>
      </c>
      <c r="J38" s="13">
        <f t="shared" si="28"/>
        <v>27215.264603781616</v>
      </c>
      <c r="K38" s="13">
        <f t="shared" si="28"/>
        <v>27510.173624715739</v>
      </c>
      <c r="L38" s="13">
        <f t="shared" si="28"/>
        <v>32113.131341082575</v>
      </c>
      <c r="M38" s="13">
        <f t="shared" si="28"/>
        <v>36107.060228813571</v>
      </c>
      <c r="N38" s="13">
        <f t="shared" si="28"/>
        <v>31286.863421729722</v>
      </c>
      <c r="O38" s="13">
        <f t="shared" si="28"/>
        <v>29930.645279426972</v>
      </c>
      <c r="P38" s="13">
        <f t="shared" si="28"/>
        <v>31086.468124976287</v>
      </c>
      <c r="Q38" s="13">
        <f t="shared" si="28"/>
        <v>32858.296560058407</v>
      </c>
      <c r="R38" s="13">
        <f t="shared" si="28"/>
        <v>41726.637487994849</v>
      </c>
      <c r="S38" s="13">
        <f t="shared" si="28"/>
        <v>46033.434441383171</v>
      </c>
      <c r="T38" s="13">
        <f t="shared" si="28"/>
        <v>46036.7215105941</v>
      </c>
      <c r="U38" s="13">
        <f t="shared" si="28"/>
        <v>48310.964945043394</v>
      </c>
      <c r="V38" s="13">
        <f t="shared" si="28"/>
        <v>36297.064881569313</v>
      </c>
      <c r="W38" s="13">
        <f t="shared" ref="W38" si="29">SUM(W39:W41)</f>
        <v>44027.329381917043</v>
      </c>
      <c r="DA38" s="193" t="s">
        <v>219</v>
      </c>
    </row>
    <row r="39" spans="1:105" ht="11.45" customHeight="1" x14ac:dyDescent="0.25">
      <c r="A39" s="92" t="s">
        <v>27</v>
      </c>
      <c r="B39" s="102">
        <v>491.13977517744598</v>
      </c>
      <c r="C39" s="102">
        <v>467.50133209399712</v>
      </c>
      <c r="D39" s="102">
        <v>552.34554781548945</v>
      </c>
      <c r="E39" s="102">
        <v>478.722460951936</v>
      </c>
      <c r="F39" s="102">
        <v>235.64174522497183</v>
      </c>
      <c r="G39" s="102">
        <v>581.52924259556642</v>
      </c>
      <c r="H39" s="102">
        <v>1263.4030271055333</v>
      </c>
      <c r="I39" s="102">
        <v>1806.3960075652662</v>
      </c>
      <c r="J39" s="102">
        <v>1941.2931635077839</v>
      </c>
      <c r="K39" s="102">
        <v>2163.1939617327248</v>
      </c>
      <c r="L39" s="102">
        <v>1735.2479132654576</v>
      </c>
      <c r="M39" s="102">
        <v>1623.4166223693546</v>
      </c>
      <c r="N39" s="102">
        <v>1387.7223617005293</v>
      </c>
      <c r="O39" s="102">
        <v>906.3275282193398</v>
      </c>
      <c r="P39" s="102">
        <v>540.41478511490754</v>
      </c>
      <c r="Q39" s="102">
        <v>569.33036321017516</v>
      </c>
      <c r="R39" s="102">
        <v>488.36246381124317</v>
      </c>
      <c r="S39" s="102">
        <v>463.23091198562224</v>
      </c>
      <c r="T39" s="102">
        <v>2486.0816838208407</v>
      </c>
      <c r="U39" s="102">
        <v>2275.6780930543496</v>
      </c>
      <c r="V39" s="102">
        <v>1878.9469430313993</v>
      </c>
      <c r="W39" s="102">
        <v>2313.2194245221417</v>
      </c>
      <c r="DA39" s="175" t="s">
        <v>220</v>
      </c>
    </row>
    <row r="40" spans="1:105" ht="11.45" customHeight="1" x14ac:dyDescent="0.25">
      <c r="A40" s="92" t="s">
        <v>173</v>
      </c>
      <c r="B40" s="102">
        <v>11799.839385734082</v>
      </c>
      <c r="C40" s="102">
        <v>11132.099366431945</v>
      </c>
      <c r="D40" s="102">
        <v>13346.337711724422</v>
      </c>
      <c r="E40" s="102">
        <v>15725.434827778226</v>
      </c>
      <c r="F40" s="102">
        <v>17760.224485500949</v>
      </c>
      <c r="G40" s="102">
        <v>18277.950456815433</v>
      </c>
      <c r="H40" s="102">
        <v>18810.192915206811</v>
      </c>
      <c r="I40" s="102">
        <v>18597.618703927528</v>
      </c>
      <c r="J40" s="102">
        <v>15213.480193398909</v>
      </c>
      <c r="K40" s="102">
        <v>12522.992711212652</v>
      </c>
      <c r="L40" s="102">
        <v>16194.543644423615</v>
      </c>
      <c r="M40" s="102">
        <v>14219.547847161653</v>
      </c>
      <c r="N40" s="102">
        <v>11276.348149393029</v>
      </c>
      <c r="O40" s="102">
        <v>11695.224524561756</v>
      </c>
      <c r="P40" s="102">
        <v>13484.534980426584</v>
      </c>
      <c r="Q40" s="102">
        <v>14486.085313126221</v>
      </c>
      <c r="R40" s="102">
        <v>18166.411046100719</v>
      </c>
      <c r="S40" s="102">
        <v>20792.238262848743</v>
      </c>
      <c r="T40" s="102">
        <v>22566.086012726752</v>
      </c>
      <c r="U40" s="102">
        <v>19590.10406022652</v>
      </c>
      <c r="V40" s="102">
        <v>17238.857783516942</v>
      </c>
      <c r="W40" s="102">
        <v>22433.567856995309</v>
      </c>
      <c r="DA40" s="175" t="s">
        <v>221</v>
      </c>
    </row>
    <row r="41" spans="1:105" ht="11.45" customHeight="1" x14ac:dyDescent="0.25">
      <c r="A41" s="85" t="s">
        <v>174</v>
      </c>
      <c r="B41" s="86">
        <v>7715.1103285189056</v>
      </c>
      <c r="C41" s="86">
        <v>7860.4674118683788</v>
      </c>
      <c r="D41" s="86">
        <v>8514.9549092515899</v>
      </c>
      <c r="E41" s="86">
        <v>11839.2032526235</v>
      </c>
      <c r="F41" s="86">
        <v>9515.7666694719574</v>
      </c>
      <c r="G41" s="86">
        <v>9373.7826159690503</v>
      </c>
      <c r="H41" s="86">
        <v>8852.1107129485572</v>
      </c>
      <c r="I41" s="86">
        <v>8585.5327873505175</v>
      </c>
      <c r="J41" s="86">
        <v>10060.491246874924</v>
      </c>
      <c r="K41" s="86">
        <v>12823.986951770365</v>
      </c>
      <c r="L41" s="86">
        <v>14183.339783393503</v>
      </c>
      <c r="M41" s="86">
        <v>20264.095759282558</v>
      </c>
      <c r="N41" s="86">
        <v>18622.792910636166</v>
      </c>
      <c r="O41" s="86">
        <v>17329.093226645877</v>
      </c>
      <c r="P41" s="86">
        <v>17061.518359434795</v>
      </c>
      <c r="Q41" s="86">
        <v>17802.880883722009</v>
      </c>
      <c r="R41" s="86">
        <v>23071.863978082889</v>
      </c>
      <c r="S41" s="86">
        <v>24777.965266548803</v>
      </c>
      <c r="T41" s="86">
        <v>20984.553814046503</v>
      </c>
      <c r="U41" s="86">
        <v>26445.18279176252</v>
      </c>
      <c r="V41" s="86">
        <v>17179.260155020973</v>
      </c>
      <c r="W41" s="86">
        <v>19280.542100399594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23.141824852268492</v>
      </c>
      <c r="C43" s="54">
        <f t="shared" si="30"/>
        <v>23.407755885064091</v>
      </c>
      <c r="D43" s="54">
        <f t="shared" ref="D43:V43" si="31">SUM(D44,D48)</f>
        <v>24.177137997450345</v>
      </c>
      <c r="E43" s="54">
        <f t="shared" si="31"/>
        <v>45.168444704125541</v>
      </c>
      <c r="F43" s="54">
        <f t="shared" si="31"/>
        <v>57.227403530111296</v>
      </c>
      <c r="G43" s="54">
        <f t="shared" si="31"/>
        <v>63.055794280795496</v>
      </c>
      <c r="H43" s="54">
        <f t="shared" si="31"/>
        <v>66.881206731857873</v>
      </c>
      <c r="I43" s="54">
        <f t="shared" si="31"/>
        <v>71.62036378835738</v>
      </c>
      <c r="J43" s="54">
        <f t="shared" si="31"/>
        <v>75.638836078919994</v>
      </c>
      <c r="K43" s="54">
        <f t="shared" si="31"/>
        <v>75.354412700148572</v>
      </c>
      <c r="L43" s="54">
        <f t="shared" si="31"/>
        <v>73.599374238070538</v>
      </c>
      <c r="M43" s="54">
        <f t="shared" si="31"/>
        <v>73.941632266541106</v>
      </c>
      <c r="N43" s="54">
        <f t="shared" si="31"/>
        <v>71.755450983357548</v>
      </c>
      <c r="O43" s="54">
        <f t="shared" si="31"/>
        <v>70.287677255270438</v>
      </c>
      <c r="P43" s="54">
        <f t="shared" si="31"/>
        <v>67.99804462637502</v>
      </c>
      <c r="Q43" s="54">
        <f t="shared" si="31"/>
        <v>65.701240828768789</v>
      </c>
      <c r="R43" s="54">
        <f t="shared" si="31"/>
        <v>63.9790895528688</v>
      </c>
      <c r="S43" s="54">
        <f t="shared" si="31"/>
        <v>68.284093076514552</v>
      </c>
      <c r="T43" s="54">
        <f t="shared" si="31"/>
        <v>74.637862595262661</v>
      </c>
      <c r="U43" s="54">
        <f t="shared" si="31"/>
        <v>75.50954003887054</v>
      </c>
      <c r="V43" s="54">
        <f t="shared" si="31"/>
        <v>73.971247483687918</v>
      </c>
      <c r="W43" s="54">
        <f t="shared" ref="W43" si="32">SUM(W44,W48)</f>
        <v>72.762138102730489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21.946660820371619</v>
      </c>
      <c r="C44" s="11">
        <f t="shared" si="33"/>
        <v>22.263241366920997</v>
      </c>
      <c r="D44" s="11">
        <f t="shared" ref="D44:V44" si="34">SUM(D45:D47)</f>
        <v>22.858964688550035</v>
      </c>
      <c r="E44" s="11">
        <f t="shared" si="34"/>
        <v>43.467548622433014</v>
      </c>
      <c r="F44" s="11">
        <f t="shared" si="34"/>
        <v>55.417002741080807</v>
      </c>
      <c r="G44" s="11">
        <f t="shared" si="34"/>
        <v>61.216508154834486</v>
      </c>
      <c r="H44" s="11">
        <f t="shared" si="34"/>
        <v>64.911688149268954</v>
      </c>
      <c r="I44" s="11">
        <f t="shared" si="34"/>
        <v>69.6178644517083</v>
      </c>
      <c r="J44" s="11">
        <f t="shared" si="34"/>
        <v>73.6490998182352</v>
      </c>
      <c r="K44" s="11">
        <f t="shared" si="34"/>
        <v>73.342136754548477</v>
      </c>
      <c r="L44" s="11">
        <f t="shared" si="34"/>
        <v>71.610672825287395</v>
      </c>
      <c r="M44" s="11">
        <f t="shared" si="34"/>
        <v>71.649804834064653</v>
      </c>
      <c r="N44" s="11">
        <f t="shared" si="34"/>
        <v>69.583139954070788</v>
      </c>
      <c r="O44" s="11">
        <f t="shared" si="34"/>
        <v>68.23488262917337</v>
      </c>
      <c r="P44" s="11">
        <f t="shared" si="34"/>
        <v>66.06476640346763</v>
      </c>
      <c r="Q44" s="11">
        <f t="shared" si="34"/>
        <v>63.870100321430471</v>
      </c>
      <c r="R44" s="11">
        <f t="shared" si="34"/>
        <v>61.935669415224211</v>
      </c>
      <c r="S44" s="11">
        <f t="shared" si="34"/>
        <v>65.99541476297226</v>
      </c>
      <c r="T44" s="11">
        <f t="shared" si="34"/>
        <v>72.31999495152408</v>
      </c>
      <c r="U44" s="11">
        <f t="shared" si="34"/>
        <v>73.255865764795516</v>
      </c>
      <c r="V44" s="11">
        <f t="shared" si="34"/>
        <v>71.79275504343741</v>
      </c>
      <c r="W44" s="11">
        <f t="shared" ref="W44" si="35">SUM(W45:W47)</f>
        <v>70.329644322079304</v>
      </c>
      <c r="DA44" s="189" t="s">
        <v>224</v>
      </c>
    </row>
    <row r="45" spans="1:105" ht="11.45" customHeight="1" x14ac:dyDescent="0.25">
      <c r="A45" s="83" t="s">
        <v>27</v>
      </c>
      <c r="B45" s="84">
        <v>0.92969396195202647</v>
      </c>
      <c r="C45" s="84">
        <v>1.194789081885856</v>
      </c>
      <c r="D45" s="84">
        <v>1.1018196856906532</v>
      </c>
      <c r="E45" s="84">
        <v>1.4851116625310175</v>
      </c>
      <c r="F45" s="84">
        <v>1.8966087675765095</v>
      </c>
      <c r="G45" s="84">
        <v>1.9688907081457225</v>
      </c>
      <c r="H45" s="84">
        <v>2.184485530546624</v>
      </c>
      <c r="I45" s="84">
        <v>2.0917542441390462</v>
      </c>
      <c r="J45" s="84">
        <v>2.489903069466882</v>
      </c>
      <c r="K45" s="84">
        <v>3.0052334943639289</v>
      </c>
      <c r="L45" s="84">
        <v>2.9122640981687264</v>
      </c>
      <c r="M45" s="84">
        <v>2.8192947019735239</v>
      </c>
      <c r="N45" s="84">
        <v>2.7263253057783214</v>
      </c>
      <c r="O45" s="84">
        <v>2.6333559095831189</v>
      </c>
      <c r="P45" s="84">
        <v>2.5403865133879164</v>
      </c>
      <c r="Q45" s="84">
        <v>2.4474171171927139</v>
      </c>
      <c r="R45" s="84">
        <v>2.3544477209975114</v>
      </c>
      <c r="S45" s="84">
        <v>2.2614783248023089</v>
      </c>
      <c r="T45" s="84">
        <v>2.1685089286071064</v>
      </c>
      <c r="U45" s="84">
        <v>2.0755395324119039</v>
      </c>
      <c r="V45" s="84">
        <v>2.0135599349484354</v>
      </c>
      <c r="W45" s="84">
        <v>1.951580337484967</v>
      </c>
      <c r="DA45" s="171" t="s">
        <v>225</v>
      </c>
    </row>
    <row r="46" spans="1:105" ht="11.45" customHeight="1" x14ac:dyDescent="0.25">
      <c r="A46" s="83" t="s">
        <v>173</v>
      </c>
      <c r="B46" s="84">
        <v>14.12904837224783</v>
      </c>
      <c r="C46" s="84">
        <v>14.163066549955083</v>
      </c>
      <c r="D46" s="84">
        <v>14.626140636047154</v>
      </c>
      <c r="E46" s="84">
        <v>29.321592709538098</v>
      </c>
      <c r="F46" s="84">
        <v>37.603363405818712</v>
      </c>
      <c r="G46" s="84">
        <v>42.286778285849607</v>
      </c>
      <c r="H46" s="84">
        <v>44.504828812446746</v>
      </c>
      <c r="I46" s="84">
        <v>46.748181052255894</v>
      </c>
      <c r="J46" s="84">
        <v>49.12881000843683</v>
      </c>
      <c r="K46" s="84">
        <v>47.730758008787895</v>
      </c>
      <c r="L46" s="84">
        <v>46.317853171563108</v>
      </c>
      <c r="M46" s="84">
        <v>44.904948334338322</v>
      </c>
      <c r="N46" s="84">
        <v>43.492043497113542</v>
      </c>
      <c r="O46" s="84">
        <v>42.07913865988877</v>
      </c>
      <c r="P46" s="84">
        <v>40.666233822663983</v>
      </c>
      <c r="Q46" s="84">
        <v>39.253328985439197</v>
      </c>
      <c r="R46" s="84">
        <v>37.840424148214424</v>
      </c>
      <c r="S46" s="84">
        <v>38.471920934293983</v>
      </c>
      <c r="T46" s="84">
        <v>39.433289565590087</v>
      </c>
      <c r="U46" s="84">
        <v>38.889685838294945</v>
      </c>
      <c r="V46" s="84">
        <v>37.947749280145089</v>
      </c>
      <c r="W46" s="84">
        <v>37.005812721995234</v>
      </c>
      <c r="DA46" s="171" t="s">
        <v>226</v>
      </c>
    </row>
    <row r="47" spans="1:105" ht="11.45" customHeight="1" x14ac:dyDescent="0.25">
      <c r="A47" s="83" t="s">
        <v>174</v>
      </c>
      <c r="B47" s="84">
        <v>6.8879184861717615</v>
      </c>
      <c r="C47" s="84">
        <v>6.905385735080058</v>
      </c>
      <c r="D47" s="84">
        <v>7.1310043668122267</v>
      </c>
      <c r="E47" s="84">
        <v>12.660844250363901</v>
      </c>
      <c r="F47" s="84">
        <v>15.91703056768559</v>
      </c>
      <c r="G47" s="84">
        <v>16.960839160839161</v>
      </c>
      <c r="H47" s="84">
        <v>18.222373806275581</v>
      </c>
      <c r="I47" s="84">
        <v>20.777929155313352</v>
      </c>
      <c r="J47" s="84">
        <v>22.03038674033149</v>
      </c>
      <c r="K47" s="84">
        <v>22.606145251396647</v>
      </c>
      <c r="L47" s="84">
        <v>22.380555555555556</v>
      </c>
      <c r="M47" s="84">
        <v>23.92556179775281</v>
      </c>
      <c r="N47" s="84">
        <v>23.364771151178918</v>
      </c>
      <c r="O47" s="84">
        <v>23.522388059701491</v>
      </c>
      <c r="P47" s="84">
        <v>22.858146067415731</v>
      </c>
      <c r="Q47" s="84">
        <v>22.169354218798556</v>
      </c>
      <c r="R47" s="84">
        <v>21.740797546012271</v>
      </c>
      <c r="S47" s="84">
        <v>25.262015503875968</v>
      </c>
      <c r="T47" s="84">
        <v>30.718196457326894</v>
      </c>
      <c r="U47" s="84">
        <v>32.290640394088669</v>
      </c>
      <c r="V47" s="84">
        <v>31.831445828343885</v>
      </c>
      <c r="W47" s="84">
        <v>31.3722512625991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1.1951640318968746</v>
      </c>
      <c r="C48" s="13">
        <f t="shared" si="36"/>
        <v>1.1445145181430925</v>
      </c>
      <c r="D48" s="13">
        <f t="shared" ref="D48:V48" si="37">SUM(D49:D51)</f>
        <v>1.3181733089003087</v>
      </c>
      <c r="E48" s="13">
        <f t="shared" si="37"/>
        <v>1.7008960816925276</v>
      </c>
      <c r="F48" s="13">
        <f t="shared" si="37"/>
        <v>1.8104007890304907</v>
      </c>
      <c r="G48" s="13">
        <f t="shared" si="37"/>
        <v>1.8392861259610078</v>
      </c>
      <c r="H48" s="13">
        <f t="shared" si="37"/>
        <v>1.9695185825889236</v>
      </c>
      <c r="I48" s="13">
        <f t="shared" si="37"/>
        <v>2.0024993366490826</v>
      </c>
      <c r="J48" s="13">
        <f t="shared" si="37"/>
        <v>1.9897362606847959</v>
      </c>
      <c r="K48" s="13">
        <f t="shared" si="37"/>
        <v>2.012275945600094</v>
      </c>
      <c r="L48" s="13">
        <f t="shared" si="37"/>
        <v>1.9887014127831453</v>
      </c>
      <c r="M48" s="13">
        <f t="shared" si="37"/>
        <v>2.2918274324764494</v>
      </c>
      <c r="N48" s="13">
        <f t="shared" si="37"/>
        <v>2.172311029286762</v>
      </c>
      <c r="O48" s="13">
        <f t="shared" si="37"/>
        <v>2.0527946260970742</v>
      </c>
      <c r="P48" s="13">
        <f t="shared" si="37"/>
        <v>1.9332782229073868</v>
      </c>
      <c r="Q48" s="13">
        <f t="shared" si="37"/>
        <v>1.8311405073383225</v>
      </c>
      <c r="R48" s="13">
        <f t="shared" si="37"/>
        <v>2.0434201376445875</v>
      </c>
      <c r="S48" s="13">
        <f t="shared" si="37"/>
        <v>2.2886783135422952</v>
      </c>
      <c r="T48" s="13">
        <f t="shared" si="37"/>
        <v>2.317867643738587</v>
      </c>
      <c r="U48" s="13">
        <f t="shared" si="37"/>
        <v>2.2536742740750308</v>
      </c>
      <c r="V48" s="13">
        <f t="shared" si="37"/>
        <v>2.1784924402505021</v>
      </c>
      <c r="W48" s="13">
        <f t="shared" ref="W48" si="38">SUM(W49:W51)</f>
        <v>2.4324937806511855</v>
      </c>
      <c r="DA48" s="193" t="s">
        <v>228</v>
      </c>
    </row>
    <row r="49" spans="1:105" ht="11.45" customHeight="1" x14ac:dyDescent="0.25">
      <c r="A49" s="92" t="s">
        <v>27</v>
      </c>
      <c r="B49" s="102">
        <v>3.1592520954223081E-2</v>
      </c>
      <c r="C49" s="102">
        <v>3.0303030303030304E-2</v>
      </c>
      <c r="D49" s="102">
        <v>3.4816247582205029E-2</v>
      </c>
      <c r="E49" s="102">
        <v>3.1656995486782719E-2</v>
      </c>
      <c r="F49" s="102">
        <v>2.8497743391360408E-2</v>
      </c>
      <c r="G49" s="102">
        <v>3.7155669442664956E-2</v>
      </c>
      <c r="H49" s="102">
        <v>8.3920563741191542E-2</v>
      </c>
      <c r="I49" s="102">
        <v>0.1222366710013004</v>
      </c>
      <c r="J49" s="102">
        <v>0.13806706114398423</v>
      </c>
      <c r="K49" s="102">
        <v>0.15405046480743692</v>
      </c>
      <c r="L49" s="102">
        <v>0.15089121271201461</v>
      </c>
      <c r="M49" s="102">
        <v>0.1477319606165923</v>
      </c>
      <c r="N49" s="102">
        <v>0.14457270852116999</v>
      </c>
      <c r="O49" s="102">
        <v>0.14141345642574768</v>
      </c>
      <c r="P49" s="102">
        <v>0.13825420433032537</v>
      </c>
      <c r="Q49" s="102">
        <v>0.13509495223490306</v>
      </c>
      <c r="R49" s="102">
        <v>0.13193570013948075</v>
      </c>
      <c r="S49" s="102">
        <v>0.12877644804405844</v>
      </c>
      <c r="T49" s="102">
        <v>0.12561719594863613</v>
      </c>
      <c r="U49" s="102">
        <v>0.12245794385321382</v>
      </c>
      <c r="V49" s="102">
        <v>0.12035177578959895</v>
      </c>
      <c r="W49" s="102">
        <v>0.11824560772598408</v>
      </c>
      <c r="DA49" s="175" t="s">
        <v>229</v>
      </c>
    </row>
    <row r="50" spans="1:105" ht="11.45" customHeight="1" x14ac:dyDescent="0.25">
      <c r="A50" s="92" t="s">
        <v>173</v>
      </c>
      <c r="B50" s="102">
        <v>0.633105561121863</v>
      </c>
      <c r="C50" s="102">
        <v>0.5909139968006355</v>
      </c>
      <c r="D50" s="102">
        <v>0.70629612941846198</v>
      </c>
      <c r="E50" s="102">
        <v>0.79827134427026114</v>
      </c>
      <c r="F50" s="102">
        <v>0.96398189868572526</v>
      </c>
      <c r="G50" s="102">
        <v>1.0372559045470167</v>
      </c>
      <c r="H50" s="102">
        <v>1.173770061858485</v>
      </c>
      <c r="I50" s="102">
        <v>1.2214813036406138</v>
      </c>
      <c r="J50" s="102">
        <v>1.1581707475284277</v>
      </c>
      <c r="K50" s="102">
        <v>1.0956142048282651</v>
      </c>
      <c r="L50" s="102">
        <v>1.0750983356643511</v>
      </c>
      <c r="M50" s="102">
        <v>1.0117877795521648</v>
      </c>
      <c r="N50" s="102">
        <v>0.94847722343997842</v>
      </c>
      <c r="O50" s="102">
        <v>0.88516666732779203</v>
      </c>
      <c r="P50" s="102">
        <v>0.82185611121560576</v>
      </c>
      <c r="Q50" s="102">
        <v>0.75854555510341937</v>
      </c>
      <c r="R50" s="102">
        <v>0.78692927736275831</v>
      </c>
      <c r="S50" s="102">
        <v>0.93246504239354389</v>
      </c>
      <c r="T50" s="102">
        <v>1.0178602196673368</v>
      </c>
      <c r="U50" s="102">
        <v>0.95454966355515025</v>
      </c>
      <c r="V50" s="102">
        <v>0.91683839444895587</v>
      </c>
      <c r="W50" s="102">
        <v>1.123458699240991</v>
      </c>
      <c r="DA50" s="175" t="s">
        <v>230</v>
      </c>
    </row>
    <row r="51" spans="1:105" ht="11.45" customHeight="1" x14ac:dyDescent="0.25">
      <c r="A51" s="85" t="s">
        <v>174</v>
      </c>
      <c r="B51" s="86">
        <v>0.53046594982078854</v>
      </c>
      <c r="C51" s="86">
        <v>0.52329749103942658</v>
      </c>
      <c r="D51" s="86">
        <v>0.57706093189964158</v>
      </c>
      <c r="E51" s="86">
        <v>0.87096774193548387</v>
      </c>
      <c r="F51" s="86">
        <v>0.81792114695340501</v>
      </c>
      <c r="G51" s="86">
        <v>0.76487455197132614</v>
      </c>
      <c r="H51" s="86">
        <v>0.71182795698924728</v>
      </c>
      <c r="I51" s="86">
        <v>0.65878136200716841</v>
      </c>
      <c r="J51" s="86">
        <v>0.69349845201238391</v>
      </c>
      <c r="K51" s="86">
        <v>0.76261127596439171</v>
      </c>
      <c r="L51" s="86">
        <v>0.76271186440677963</v>
      </c>
      <c r="M51" s="86">
        <v>1.1323076923076922</v>
      </c>
      <c r="N51" s="86">
        <v>1.0792610973256134</v>
      </c>
      <c r="O51" s="86">
        <v>1.0262145023435345</v>
      </c>
      <c r="P51" s="86">
        <v>0.97316790736145564</v>
      </c>
      <c r="Q51" s="86">
        <v>0.9375</v>
      </c>
      <c r="R51" s="86">
        <v>1.1245551601423487</v>
      </c>
      <c r="S51" s="86">
        <v>1.227436823104693</v>
      </c>
      <c r="T51" s="86">
        <v>1.1743902281226142</v>
      </c>
      <c r="U51" s="86">
        <v>1.1766666666666667</v>
      </c>
      <c r="V51" s="86">
        <v>1.1413022700119475</v>
      </c>
      <c r="W51" s="86">
        <v>1.1907894736842106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4.1624231490864885</v>
      </c>
      <c r="C53" s="54">
        <f t="shared" si="39"/>
        <v>1.069385769518016</v>
      </c>
      <c r="D53" s="54">
        <f t="shared" ref="D53:V53" si="40">SUM(D54,D58)</f>
        <v>1.6027837353544563</v>
      </c>
      <c r="E53" s="54">
        <f t="shared" si="40"/>
        <v>21.774347966988707</v>
      </c>
      <c r="F53" s="54">
        <f t="shared" si="40"/>
        <v>12.876969851855261</v>
      </c>
      <c r="G53" s="54">
        <f t="shared" si="40"/>
        <v>6.6538807795188522</v>
      </c>
      <c r="H53" s="54">
        <f t="shared" si="40"/>
        <v>4.780946170464925</v>
      </c>
      <c r="I53" s="54">
        <f t="shared" si="40"/>
        <v>5.7529233049343205</v>
      </c>
      <c r="J53" s="54">
        <f t="shared" si="40"/>
        <v>4.972387933518716</v>
      </c>
      <c r="K53" s="54">
        <f t="shared" si="40"/>
        <v>1.4691390523758585</v>
      </c>
      <c r="L53" s="54">
        <f t="shared" si="40"/>
        <v>3.1787857885851034E-2</v>
      </c>
      <c r="M53" s="54">
        <f t="shared" si="40"/>
        <v>2.1622248443021665</v>
      </c>
      <c r="N53" s="54">
        <f t="shared" si="40"/>
        <v>0</v>
      </c>
      <c r="O53" s="54">
        <f t="shared" si="40"/>
        <v>0.38779643302557432</v>
      </c>
      <c r="P53" s="54">
        <f t="shared" si="40"/>
        <v>0</v>
      </c>
      <c r="Q53" s="54">
        <f t="shared" si="40"/>
        <v>0</v>
      </c>
      <c r="R53" s="54">
        <f t="shared" si="40"/>
        <v>0.26305219234715493</v>
      </c>
      <c r="S53" s="54">
        <f t="shared" si="40"/>
        <v>5.2914290420064098</v>
      </c>
      <c r="T53" s="54">
        <f t="shared" si="40"/>
        <v>7.3757983823898376</v>
      </c>
      <c r="U53" s="54">
        <f t="shared" si="40"/>
        <v>1.8912434578362449</v>
      </c>
      <c r="V53" s="54">
        <f t="shared" si="40"/>
        <v>0</v>
      </c>
      <c r="W53" s="54">
        <f t="shared" ref="W53" si="41">SUM(W54,W58)</f>
        <v>0.29865035755694325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3.9314231351186573</v>
      </c>
      <c r="C54" s="11">
        <f t="shared" si="42"/>
        <v>1.058688592114378</v>
      </c>
      <c r="D54" s="11">
        <f t="shared" ref="D54:V54" si="43">SUM(D55:D57)</f>
        <v>1.39097446065924</v>
      </c>
      <c r="E54" s="11">
        <f t="shared" si="43"/>
        <v>21.350691979447983</v>
      </c>
      <c r="F54" s="11">
        <f t="shared" si="43"/>
        <v>12.691562164212797</v>
      </c>
      <c r="G54" s="11">
        <f t="shared" si="43"/>
        <v>6.5416134593186861</v>
      </c>
      <c r="H54" s="11">
        <f t="shared" si="43"/>
        <v>4.5673317305673606</v>
      </c>
      <c r="I54" s="11">
        <f t="shared" si="43"/>
        <v>5.6357157946376155</v>
      </c>
      <c r="J54" s="11">
        <f t="shared" si="43"/>
        <v>4.903387102659817</v>
      </c>
      <c r="K54" s="11">
        <f t="shared" si="43"/>
        <v>1.3655894740493981</v>
      </c>
      <c r="L54" s="11">
        <f t="shared" si="43"/>
        <v>4.5898286619099338E-3</v>
      </c>
      <c r="M54" s="11">
        <f t="shared" si="43"/>
        <v>1.775185766700254</v>
      </c>
      <c r="N54" s="11">
        <f t="shared" si="43"/>
        <v>0</v>
      </c>
      <c r="O54" s="11">
        <f t="shared" si="43"/>
        <v>0.38779643302557432</v>
      </c>
      <c r="P54" s="11">
        <f t="shared" si="43"/>
        <v>0</v>
      </c>
      <c r="Q54" s="11">
        <f t="shared" si="43"/>
        <v>0</v>
      </c>
      <c r="R54" s="11">
        <f t="shared" si="43"/>
        <v>0</v>
      </c>
      <c r="S54" s="11">
        <f t="shared" si="43"/>
        <v>4.9953983040678125</v>
      </c>
      <c r="T54" s="11">
        <f t="shared" si="43"/>
        <v>7.2602331448715773</v>
      </c>
      <c r="U54" s="11">
        <f t="shared" si="43"/>
        <v>1.8715237695911924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0.3049214226638296</v>
      </c>
      <c r="D55" s="84">
        <v>0</v>
      </c>
      <c r="E55" s="84">
        <v>0.4231182795703643</v>
      </c>
      <c r="F55" s="84">
        <v>0.45132340777549218</v>
      </c>
      <c r="G55" s="84">
        <v>0.11210824329921287</v>
      </c>
      <c r="H55" s="84">
        <v>0.25542112513090132</v>
      </c>
      <c r="I55" s="84">
        <v>0</v>
      </c>
      <c r="J55" s="84">
        <v>0.43797512805783567</v>
      </c>
      <c r="K55" s="84">
        <v>0.55515672762704682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2.6430194475880011</v>
      </c>
      <c r="C56" s="84">
        <v>0.50612039603925196</v>
      </c>
      <c r="D56" s="84">
        <v>0.93517630442407162</v>
      </c>
      <c r="E56" s="84">
        <v>15.167554291822944</v>
      </c>
      <c r="F56" s="84">
        <v>8.7538729146126162</v>
      </c>
      <c r="G56" s="84">
        <v>5.1555170983629015</v>
      </c>
      <c r="H56" s="84">
        <v>2.8201964354970381</v>
      </c>
      <c r="I56" s="84">
        <v>2.8499809210968436</v>
      </c>
      <c r="J56" s="84">
        <v>2.9827748650808417</v>
      </c>
      <c r="K56" s="84">
        <v>4.4947108541937286E-3</v>
      </c>
      <c r="L56" s="84">
        <v>0</v>
      </c>
      <c r="M56" s="84">
        <v>0</v>
      </c>
      <c r="N56" s="84">
        <v>0</v>
      </c>
      <c r="O56" s="84">
        <v>0</v>
      </c>
      <c r="P56" s="84">
        <v>0</v>
      </c>
      <c r="Q56" s="84">
        <v>0</v>
      </c>
      <c r="R56" s="84">
        <v>0</v>
      </c>
      <c r="S56" s="84">
        <v>1.244000821701114</v>
      </c>
      <c r="T56" s="84">
        <v>1.5738726669176515</v>
      </c>
      <c r="U56" s="84">
        <v>6.8900308326416138E-2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1.2884036875306561</v>
      </c>
      <c r="C57" s="84">
        <v>0.24764677341129637</v>
      </c>
      <c r="D57" s="84">
        <v>0.45579815623516851</v>
      </c>
      <c r="E57" s="84">
        <v>5.7600194080546752</v>
      </c>
      <c r="F57" s="84">
        <v>3.4863658418246892</v>
      </c>
      <c r="G57" s="84">
        <v>1.2739881176565717</v>
      </c>
      <c r="H57" s="84">
        <v>1.4917141699394207</v>
      </c>
      <c r="I57" s="84">
        <v>2.7857348735407719</v>
      </c>
      <c r="J57" s="84">
        <v>1.4826371095211393</v>
      </c>
      <c r="K57" s="84">
        <v>0.80593803556815757</v>
      </c>
      <c r="L57" s="84">
        <v>4.5898286619099338E-3</v>
      </c>
      <c r="M57" s="84">
        <v>1.775185766700254</v>
      </c>
      <c r="N57" s="84">
        <v>0</v>
      </c>
      <c r="O57" s="84">
        <v>0.38779643302557432</v>
      </c>
      <c r="P57" s="84">
        <v>0</v>
      </c>
      <c r="Q57" s="84">
        <v>0</v>
      </c>
      <c r="R57" s="84">
        <v>0</v>
      </c>
      <c r="S57" s="84">
        <v>3.7513974823666985</v>
      </c>
      <c r="T57" s="84">
        <v>5.6863604779539259</v>
      </c>
      <c r="U57" s="84">
        <v>1.8026234612647762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0.23100001396783162</v>
      </c>
      <c r="C58" s="13">
        <f t="shared" si="45"/>
        <v>1.0697177403638011E-2</v>
      </c>
      <c r="D58" s="13">
        <f t="shared" ref="D58:V58" si="46">SUM(D59:D61)</f>
        <v>0.21180927469521621</v>
      </c>
      <c r="E58" s="13">
        <f t="shared" si="46"/>
        <v>0.4236559875407227</v>
      </c>
      <c r="F58" s="13">
        <f t="shared" si="46"/>
        <v>0.18540768764246413</v>
      </c>
      <c r="G58" s="13">
        <f t="shared" si="46"/>
        <v>0.11226732020016561</v>
      </c>
      <c r="H58" s="13">
        <f t="shared" si="46"/>
        <v>0.21361443989756462</v>
      </c>
      <c r="I58" s="13">
        <f t="shared" si="46"/>
        <v>0.11720751029670512</v>
      </c>
      <c r="J58" s="13">
        <f t="shared" si="46"/>
        <v>6.9000830858899298E-2</v>
      </c>
      <c r="K58" s="13">
        <f t="shared" si="46"/>
        <v>0.10354957832646045</v>
      </c>
      <c r="L58" s="13">
        <f t="shared" si="46"/>
        <v>2.71980292239411E-2</v>
      </c>
      <c r="M58" s="13">
        <f t="shared" si="46"/>
        <v>0.38703907760191258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0</v>
      </c>
      <c r="R58" s="13">
        <f t="shared" si="46"/>
        <v>0.26305219234715493</v>
      </c>
      <c r="S58" s="13">
        <f t="shared" si="46"/>
        <v>0.29603073793859724</v>
      </c>
      <c r="T58" s="13">
        <f t="shared" si="46"/>
        <v>0.11556523751825998</v>
      </c>
      <c r="U58" s="13">
        <f t="shared" si="46"/>
        <v>1.9719688245052547E-2</v>
      </c>
      <c r="V58" s="13">
        <f t="shared" si="46"/>
        <v>0</v>
      </c>
      <c r="W58" s="13">
        <f t="shared" ref="W58" si="47">SUM(W59:W61)</f>
        <v>0.29865035755694325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5.5233182891747251E-3</v>
      </c>
      <c r="E59" s="102">
        <v>0</v>
      </c>
      <c r="F59" s="102">
        <v>0</v>
      </c>
      <c r="G59" s="102">
        <v>9.6680270613045474E-3</v>
      </c>
      <c r="H59" s="102">
        <v>4.7774995308526587E-2</v>
      </c>
      <c r="I59" s="102">
        <v>3.9326208270108853E-2</v>
      </c>
      <c r="J59" s="102">
        <v>1.6840491152683823E-2</v>
      </c>
      <c r="K59" s="102">
        <v>1.6993504673452675E-2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0.14904063523457359</v>
      </c>
      <c r="C60" s="102">
        <v>4.2238648400000009E-4</v>
      </c>
      <c r="D60" s="102">
        <v>0.13507926584482649</v>
      </c>
      <c r="E60" s="102">
        <v>0.11230592780388043</v>
      </c>
      <c r="F60" s="102">
        <v>0.18540768764246413</v>
      </c>
      <c r="G60" s="102">
        <v>0.10259929313886107</v>
      </c>
      <c r="H60" s="102">
        <v>0.16583944458903804</v>
      </c>
      <c r="I60" s="102">
        <v>7.7881302026596266E-2</v>
      </c>
      <c r="J60" s="102">
        <v>0</v>
      </c>
      <c r="K60" s="102">
        <v>0</v>
      </c>
      <c r="L60" s="102">
        <v>9.6541910805532094E-3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5.8553782503806273E-2</v>
      </c>
      <c r="S60" s="102">
        <v>0.17570582527525291</v>
      </c>
      <c r="T60" s="102">
        <v>0.11556523751825998</v>
      </c>
      <c r="U60" s="102">
        <v>0</v>
      </c>
      <c r="V60" s="102">
        <v>0</v>
      </c>
      <c r="W60" s="102">
        <v>0.23171990418368016</v>
      </c>
      <c r="DA60" s="175" t="s">
        <v>239</v>
      </c>
    </row>
    <row r="61" spans="1:105" ht="11.45" customHeight="1" x14ac:dyDescent="0.25">
      <c r="A61" s="85" t="s">
        <v>174</v>
      </c>
      <c r="B61" s="86">
        <v>8.1959378733258037E-2</v>
      </c>
      <c r="C61" s="86">
        <v>1.0274790919638011E-2</v>
      </c>
      <c r="D61" s="86">
        <v>7.120669056121498E-2</v>
      </c>
      <c r="E61" s="86">
        <v>0.31135005973684227</v>
      </c>
      <c r="F61" s="86">
        <v>0</v>
      </c>
      <c r="G61" s="86">
        <v>0</v>
      </c>
      <c r="H61" s="86">
        <v>0</v>
      </c>
      <c r="I61" s="86">
        <v>0</v>
      </c>
      <c r="J61" s="86">
        <v>5.2160339706215475E-2</v>
      </c>
      <c r="K61" s="86">
        <v>8.655607365300777E-2</v>
      </c>
      <c r="L61" s="86">
        <v>1.7543838143387891E-2</v>
      </c>
      <c r="M61" s="86">
        <v>0.38703907760191258</v>
      </c>
      <c r="N61" s="86">
        <v>0</v>
      </c>
      <c r="O61" s="86">
        <v>0</v>
      </c>
      <c r="P61" s="86">
        <v>0</v>
      </c>
      <c r="Q61" s="86">
        <v>0</v>
      </c>
      <c r="R61" s="86">
        <v>0.20449840984334866</v>
      </c>
      <c r="S61" s="86">
        <v>0.12032491266334433</v>
      </c>
      <c r="T61" s="86">
        <v>0</v>
      </c>
      <c r="U61" s="86">
        <v>1.9719688245052547E-2</v>
      </c>
      <c r="V61" s="86">
        <v>0</v>
      </c>
      <c r="W61" s="86">
        <v>6.6930453373263088E-2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68.571851530906997</v>
      </c>
      <c r="C66" s="14">
        <f t="shared" si="48"/>
        <v>68.034120919750691</v>
      </c>
      <c r="D66" s="14">
        <f t="shared" ref="D66:V66" si="49">IF(D34=0,0,D34/D24)</f>
        <v>69.938511896381812</v>
      </c>
      <c r="E66" s="14">
        <f t="shared" si="49"/>
        <v>71.251695745221085</v>
      </c>
      <c r="F66" s="14">
        <f t="shared" si="49"/>
        <v>72.35923105444796</v>
      </c>
      <c r="G66" s="14">
        <f t="shared" si="49"/>
        <v>72.478951731173879</v>
      </c>
      <c r="H66" s="14">
        <f t="shared" si="49"/>
        <v>74.91576839038602</v>
      </c>
      <c r="I66" s="14">
        <f t="shared" si="49"/>
        <v>76.446752109169708</v>
      </c>
      <c r="J66" s="14">
        <f t="shared" si="49"/>
        <v>75.602817057616591</v>
      </c>
      <c r="K66" s="14">
        <f t="shared" si="49"/>
        <v>74.619622632530692</v>
      </c>
      <c r="L66" s="14">
        <f t="shared" si="49"/>
        <v>78.374362801522949</v>
      </c>
      <c r="M66" s="14">
        <f t="shared" si="49"/>
        <v>83.972209107124115</v>
      </c>
      <c r="N66" s="14">
        <f t="shared" si="49"/>
        <v>89.526236791546594</v>
      </c>
      <c r="O66" s="14">
        <f t="shared" si="49"/>
        <v>93.165102375863455</v>
      </c>
      <c r="P66" s="14">
        <f t="shared" si="49"/>
        <v>97.002776411606987</v>
      </c>
      <c r="Q66" s="14">
        <f t="shared" si="49"/>
        <v>101.94443221138722</v>
      </c>
      <c r="R66" s="14">
        <f t="shared" si="49"/>
        <v>103.24753643096034</v>
      </c>
      <c r="S66" s="14">
        <f t="shared" si="49"/>
        <v>116.27630435092419</v>
      </c>
      <c r="T66" s="14">
        <f t="shared" si="49"/>
        <v>120.05000537547707</v>
      </c>
      <c r="U66" s="14">
        <f t="shared" si="49"/>
        <v>128.1666575931622</v>
      </c>
      <c r="V66" s="14">
        <f t="shared" si="49"/>
        <v>93.68470724191063</v>
      </c>
      <c r="W66" s="14">
        <f t="shared" ref="W66" si="50">IF(W34=0,0,W34/W24)</f>
        <v>100.27038356738629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26.483985765124554</v>
      </c>
      <c r="C67" s="87">
        <f t="shared" si="48"/>
        <v>26.667705088265837</v>
      </c>
      <c r="D67" s="87">
        <f t="shared" ref="D67:V67" si="51">IF(D35=0,0,D35/D25)</f>
        <v>26.919245647969053</v>
      </c>
      <c r="E67" s="87">
        <f t="shared" si="51"/>
        <v>27.452241715399609</v>
      </c>
      <c r="F67" s="87">
        <f t="shared" si="51"/>
        <v>22.577191452245966</v>
      </c>
      <c r="G67" s="87">
        <f t="shared" si="51"/>
        <v>33.120582120582121</v>
      </c>
      <c r="H67" s="87">
        <f t="shared" si="51"/>
        <v>35.43643054277829</v>
      </c>
      <c r="I67" s="87">
        <f t="shared" si="51"/>
        <v>37.693913043478261</v>
      </c>
      <c r="J67" s="87">
        <f t="shared" si="51"/>
        <v>36.243309002433087</v>
      </c>
      <c r="K67" s="87">
        <f t="shared" si="51"/>
        <v>27.475552578700604</v>
      </c>
      <c r="L67" s="87">
        <f t="shared" si="51"/>
        <v>30.617884750527054</v>
      </c>
      <c r="M67" s="87">
        <f t="shared" si="51"/>
        <v>32.478529329216954</v>
      </c>
      <c r="N67" s="87">
        <f t="shared" si="51"/>
        <v>40.634408602150536</v>
      </c>
      <c r="O67" s="87">
        <f t="shared" si="51"/>
        <v>41.127090301003342</v>
      </c>
      <c r="P67" s="87">
        <f t="shared" si="51"/>
        <v>37.070573669005363</v>
      </c>
      <c r="Q67" s="87">
        <f t="shared" si="51"/>
        <v>34.996546431312353</v>
      </c>
      <c r="R67" s="87">
        <f t="shared" si="51"/>
        <v>28.702461799660441</v>
      </c>
      <c r="S67" s="87">
        <f t="shared" si="51"/>
        <v>31.403934426229508</v>
      </c>
      <c r="T67" s="87">
        <f t="shared" si="51"/>
        <v>38.886039886039889</v>
      </c>
      <c r="U67" s="87">
        <f t="shared" si="51"/>
        <v>62.02325581395349</v>
      </c>
      <c r="V67" s="87">
        <f t="shared" si="51"/>
        <v>20.184931506849313</v>
      </c>
      <c r="W67" s="87">
        <f t="shared" ref="W67" si="52">IF(W35=0,0,W35/W25)</f>
        <v>38.049504950495049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66.68352963892643</v>
      </c>
      <c r="C68" s="87">
        <f t="shared" si="48"/>
        <v>67.145718963690655</v>
      </c>
      <c r="D68" s="87">
        <f t="shared" ref="D68:V68" si="53">IF(D36=0,0,D36/D26)</f>
        <v>67.805315924457915</v>
      </c>
      <c r="E68" s="87">
        <f t="shared" si="53"/>
        <v>69.542113001470284</v>
      </c>
      <c r="F68" s="87">
        <f t="shared" si="53"/>
        <v>71.190509331330929</v>
      </c>
      <c r="G68" s="87">
        <f t="shared" si="53"/>
        <v>70.729870848108263</v>
      </c>
      <c r="H68" s="87">
        <f t="shared" si="53"/>
        <v>73.138076366610051</v>
      </c>
      <c r="I68" s="87">
        <f t="shared" si="53"/>
        <v>74.116162682022377</v>
      </c>
      <c r="J68" s="87">
        <f t="shared" si="53"/>
        <v>73.449169728141072</v>
      </c>
      <c r="K68" s="87">
        <f t="shared" si="53"/>
        <v>74.676566509394917</v>
      </c>
      <c r="L68" s="87">
        <f t="shared" si="53"/>
        <v>76.216258231297275</v>
      </c>
      <c r="M68" s="87">
        <f t="shared" si="53"/>
        <v>81.108373764600174</v>
      </c>
      <c r="N68" s="87">
        <f t="shared" si="53"/>
        <v>87.192046060347579</v>
      </c>
      <c r="O68" s="87">
        <f t="shared" si="53"/>
        <v>90.476017457961319</v>
      </c>
      <c r="P68" s="87">
        <f t="shared" si="53"/>
        <v>94.634673944916884</v>
      </c>
      <c r="Q68" s="87">
        <f t="shared" si="53"/>
        <v>98.896337785437311</v>
      </c>
      <c r="R68" s="87">
        <f t="shared" si="53"/>
        <v>100.00083258994945</v>
      </c>
      <c r="S68" s="87">
        <f t="shared" si="53"/>
        <v>110.98800382043935</v>
      </c>
      <c r="T68" s="87">
        <f t="shared" si="53"/>
        <v>115.23540755024847</v>
      </c>
      <c r="U68" s="87">
        <f t="shared" si="53"/>
        <v>122.04128121892181</v>
      </c>
      <c r="V68" s="87">
        <f t="shared" si="53"/>
        <v>90.212841930753044</v>
      </c>
      <c r="W68" s="87">
        <f t="shared" ref="W68" si="54">IF(W36=0,0,W36/W26)</f>
        <v>97.623518529224725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96.833051563820788</v>
      </c>
      <c r="C69" s="87">
        <f t="shared" si="48"/>
        <v>97.114249578414842</v>
      </c>
      <c r="D69" s="87">
        <f t="shared" ref="D69:V69" si="55">IF(D37=0,0,D37/D27)</f>
        <v>97.436007348438451</v>
      </c>
      <c r="E69" s="87">
        <f t="shared" si="55"/>
        <v>97.756380777190159</v>
      </c>
      <c r="F69" s="87">
        <f t="shared" si="55"/>
        <v>99.072885230909918</v>
      </c>
      <c r="G69" s="87">
        <f t="shared" si="55"/>
        <v>96.956873093098039</v>
      </c>
      <c r="H69" s="87">
        <f t="shared" si="55"/>
        <v>99.442988695066262</v>
      </c>
      <c r="I69" s="87">
        <f t="shared" si="55"/>
        <v>99.733919087272966</v>
      </c>
      <c r="J69" s="87">
        <f t="shared" si="55"/>
        <v>100.00451410658307</v>
      </c>
      <c r="K69" s="87">
        <f t="shared" si="55"/>
        <v>96.150006178178671</v>
      </c>
      <c r="L69" s="87">
        <f t="shared" si="55"/>
        <v>102.91100906044433</v>
      </c>
      <c r="M69" s="87">
        <f t="shared" si="55"/>
        <v>104.09809216319343</v>
      </c>
      <c r="N69" s="87">
        <f t="shared" si="55"/>
        <v>104.39130950967589</v>
      </c>
      <c r="O69" s="87">
        <f t="shared" si="55"/>
        <v>106.44918089524688</v>
      </c>
      <c r="P69" s="87">
        <f t="shared" si="55"/>
        <v>112.37609831029185</v>
      </c>
      <c r="Q69" s="87">
        <f t="shared" si="55"/>
        <v>123.65384086848977</v>
      </c>
      <c r="R69" s="87">
        <f t="shared" si="55"/>
        <v>127.19167548500882</v>
      </c>
      <c r="S69" s="87">
        <f t="shared" si="55"/>
        <v>141.21020007364675</v>
      </c>
      <c r="T69" s="87">
        <f t="shared" si="55"/>
        <v>139.63561543300483</v>
      </c>
      <c r="U69" s="87">
        <f t="shared" si="55"/>
        <v>146.50226290363591</v>
      </c>
      <c r="V69" s="87">
        <f t="shared" si="55"/>
        <v>109.5226371792197</v>
      </c>
      <c r="W69" s="87">
        <f t="shared" ref="W69" si="56">IF(W37=0,0,W37/W27)</f>
        <v>111.79460513487163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21.488817926348478</v>
      </c>
      <c r="C70" s="15">
        <f t="shared" si="48"/>
        <v>22.164086686098315</v>
      </c>
      <c r="D70" s="15">
        <f t="shared" ref="D70:V70" si="57">IF(D38=0,0,D38/D28)</f>
        <v>21.676632658405708</v>
      </c>
      <c r="E70" s="15">
        <f t="shared" si="57"/>
        <v>23.311189144932388</v>
      </c>
      <c r="F70" s="15">
        <f t="shared" si="57"/>
        <v>20.701002934686141</v>
      </c>
      <c r="G70" s="15">
        <f t="shared" si="57"/>
        <v>19.154180675291759</v>
      </c>
      <c r="H70" s="15">
        <f t="shared" si="57"/>
        <v>17.30006378903164</v>
      </c>
      <c r="I70" s="15">
        <f t="shared" si="57"/>
        <v>16.756963872163766</v>
      </c>
      <c r="J70" s="15">
        <f t="shared" si="57"/>
        <v>17.58092028668063</v>
      </c>
      <c r="K70" s="15">
        <f t="shared" si="57"/>
        <v>19.538475585735611</v>
      </c>
      <c r="L70" s="15">
        <f t="shared" si="57"/>
        <v>20.493383114921873</v>
      </c>
      <c r="M70" s="15">
        <f t="shared" si="57"/>
        <v>25.16171444516625</v>
      </c>
      <c r="N70" s="15">
        <f t="shared" si="57"/>
        <v>27.785846733330125</v>
      </c>
      <c r="O70" s="15">
        <f t="shared" si="57"/>
        <v>27.764977068114074</v>
      </c>
      <c r="P70" s="15">
        <f t="shared" si="57"/>
        <v>29.862121157518047</v>
      </c>
      <c r="Q70" s="15">
        <f t="shared" si="57"/>
        <v>29.602068973025592</v>
      </c>
      <c r="R70" s="15">
        <f t="shared" si="57"/>
        <v>33.896537358241147</v>
      </c>
      <c r="S70" s="15">
        <f t="shared" si="57"/>
        <v>31.529749617385733</v>
      </c>
      <c r="T70" s="15">
        <f t="shared" si="57"/>
        <v>27.934903829243993</v>
      </c>
      <c r="U70" s="15">
        <f t="shared" si="57"/>
        <v>32.164424064609449</v>
      </c>
      <c r="V70" s="15">
        <f t="shared" si="57"/>
        <v>24.946436344721178</v>
      </c>
      <c r="W70" s="15">
        <f t="shared" ref="W70" si="58">IF(W38=0,0,W38/W28)</f>
        <v>24.596273397719017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10.228621255842397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10.026366251647698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12.867018693212085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14.733881684854406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16.295894641910159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16.542043174769102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20.573511943488924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19.492640855946785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52.887918691003662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55.065477606746079</v>
      </c>
      <c r="N73" s="40">
        <f t="shared" si="63"/>
        <v>58.746980790650369</v>
      </c>
      <c r="O73" s="40">
        <f t="shared" si="63"/>
        <v>59.346209680294095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1104.4959062654705</v>
      </c>
      <c r="C75" s="62">
        <f t="shared" si="65"/>
        <v>1087.5279695675138</v>
      </c>
      <c r="D75" s="62">
        <f t="shared" ref="D75:V75" si="66">IF(D13=0,0,D13*1000000/D23)</f>
        <v>1112.1948326443055</v>
      </c>
      <c r="E75" s="62">
        <f t="shared" si="66"/>
        <v>1101.8965077203361</v>
      </c>
      <c r="F75" s="62">
        <f t="shared" si="66"/>
        <v>1101.9567089579955</v>
      </c>
      <c r="G75" s="62">
        <f t="shared" si="66"/>
        <v>1079.2918747192582</v>
      </c>
      <c r="H75" s="62">
        <f t="shared" si="66"/>
        <v>1054.36433794082</v>
      </c>
      <c r="I75" s="62">
        <f t="shared" si="66"/>
        <v>1074.2761607985569</v>
      </c>
      <c r="J75" s="62">
        <f t="shared" si="66"/>
        <v>1087.572679216267</v>
      </c>
      <c r="K75" s="62">
        <f t="shared" si="66"/>
        <v>1086.5086263938961</v>
      </c>
      <c r="L75" s="62">
        <f t="shared" si="66"/>
        <v>1099.6738407384028</v>
      </c>
      <c r="M75" s="62">
        <f t="shared" si="66"/>
        <v>1151.6345739601159</v>
      </c>
      <c r="N75" s="62">
        <f t="shared" si="66"/>
        <v>1185.4959344888641</v>
      </c>
      <c r="O75" s="62">
        <f t="shared" si="66"/>
        <v>1196.8882342343845</v>
      </c>
      <c r="P75" s="62">
        <f t="shared" si="66"/>
        <v>1222.1209247737211</v>
      </c>
      <c r="Q75" s="62">
        <f t="shared" si="66"/>
        <v>1223.6613803391099</v>
      </c>
      <c r="R75" s="62">
        <f t="shared" si="66"/>
        <v>1240.6137839049879</v>
      </c>
      <c r="S75" s="62">
        <f t="shared" si="66"/>
        <v>1301.2497437977299</v>
      </c>
      <c r="T75" s="62">
        <f t="shared" si="66"/>
        <v>1394.3601430442934</v>
      </c>
      <c r="U75" s="62">
        <f t="shared" si="66"/>
        <v>1441.4488499529782</v>
      </c>
      <c r="V75" s="62">
        <f t="shared" si="66"/>
        <v>1336.1736301666863</v>
      </c>
      <c r="W75" s="62">
        <f t="shared" ref="W75" si="67">IF(W13=0,0,W13*1000000/W23)</f>
        <v>1486.2634723127469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1084.3930925280329</v>
      </c>
      <c r="C76" s="14">
        <f t="shared" si="65"/>
        <v>1067.1829510364166</v>
      </c>
      <c r="D76" s="14">
        <f t="shared" ref="D76:V76" si="68">IF(D14=0,0,D14*1000000/D24)</f>
        <v>1091.4180675663983</v>
      </c>
      <c r="E76" s="14">
        <f t="shared" si="68"/>
        <v>1082.5914842436464</v>
      </c>
      <c r="F76" s="14">
        <f t="shared" si="68"/>
        <v>1090.9492032666133</v>
      </c>
      <c r="G76" s="14">
        <f t="shared" si="68"/>
        <v>1069.5062907349879</v>
      </c>
      <c r="H76" s="14">
        <f t="shared" si="68"/>
        <v>1048.2262893330308</v>
      </c>
      <c r="I76" s="14">
        <f t="shared" si="68"/>
        <v>1070.6064386024302</v>
      </c>
      <c r="J76" s="14">
        <f t="shared" si="68"/>
        <v>1082.4539022239489</v>
      </c>
      <c r="K76" s="14">
        <f t="shared" si="68"/>
        <v>1079.5600524417503</v>
      </c>
      <c r="L76" s="14">
        <f t="shared" si="68"/>
        <v>1093.4769381291737</v>
      </c>
      <c r="M76" s="14">
        <f t="shared" si="68"/>
        <v>1137.1987619950492</v>
      </c>
      <c r="N76" s="14">
        <f t="shared" si="68"/>
        <v>1168.8471518885906</v>
      </c>
      <c r="O76" s="14">
        <f t="shared" si="68"/>
        <v>1181.4530913623003</v>
      </c>
      <c r="P76" s="14">
        <f t="shared" si="68"/>
        <v>1208.2873567450144</v>
      </c>
      <c r="Q76" s="14">
        <f t="shared" si="68"/>
        <v>1208.6748839703046</v>
      </c>
      <c r="R76" s="14">
        <f t="shared" si="68"/>
        <v>1222.8769164802006</v>
      </c>
      <c r="S76" s="14">
        <f t="shared" si="68"/>
        <v>1284.7971823464786</v>
      </c>
      <c r="T76" s="14">
        <f t="shared" si="68"/>
        <v>1386.3286056427153</v>
      </c>
      <c r="U76" s="14">
        <f t="shared" si="68"/>
        <v>1431.3985544601851</v>
      </c>
      <c r="V76" s="14">
        <f t="shared" si="68"/>
        <v>1298.9449162654776</v>
      </c>
      <c r="W76" s="14">
        <f t="shared" ref="W76" si="69">IF(W14=0,0,W14*1000000/W24)</f>
        <v>1461.3481896638295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314.79664568133245</v>
      </c>
      <c r="C77" s="39">
        <f t="shared" si="65"/>
        <v>314.79664568133245</v>
      </c>
      <c r="D77" s="39">
        <f t="shared" ref="D77:V77" si="70">IF(D15=0,0,D15*1000000/D25)</f>
        <v>314.79664568133245</v>
      </c>
      <c r="E77" s="39">
        <f t="shared" si="70"/>
        <v>314.79664568133245</v>
      </c>
      <c r="F77" s="39">
        <f t="shared" si="70"/>
        <v>314.79664568133245</v>
      </c>
      <c r="G77" s="39">
        <f t="shared" si="70"/>
        <v>302.29242544206915</v>
      </c>
      <c r="H77" s="39">
        <f t="shared" si="70"/>
        <v>280.71462972849815</v>
      </c>
      <c r="I77" s="39">
        <f t="shared" si="70"/>
        <v>287.23591426129911</v>
      </c>
      <c r="J77" s="39">
        <f t="shared" si="70"/>
        <v>286.32514617409277</v>
      </c>
      <c r="K77" s="39">
        <f t="shared" si="70"/>
        <v>282.76390899814697</v>
      </c>
      <c r="L77" s="39">
        <f t="shared" si="70"/>
        <v>276.65839694656489</v>
      </c>
      <c r="M77" s="39">
        <f t="shared" si="70"/>
        <v>275.92484849856248</v>
      </c>
      <c r="N77" s="39">
        <f t="shared" si="70"/>
        <v>266.23005729396203</v>
      </c>
      <c r="O77" s="39">
        <f t="shared" si="70"/>
        <v>258.68714259932727</v>
      </c>
      <c r="P77" s="39">
        <f t="shared" si="70"/>
        <v>271.9884175992093</v>
      </c>
      <c r="Q77" s="39">
        <f t="shared" si="70"/>
        <v>264.59819067394329</v>
      </c>
      <c r="R77" s="39">
        <f t="shared" si="70"/>
        <v>279.50650039776866</v>
      </c>
      <c r="S77" s="39">
        <f t="shared" si="70"/>
        <v>294.63798372711</v>
      </c>
      <c r="T77" s="39">
        <f t="shared" si="70"/>
        <v>286.60144404332129</v>
      </c>
      <c r="U77" s="39">
        <f t="shared" si="70"/>
        <v>241.64912280701753</v>
      </c>
      <c r="V77" s="39">
        <f t="shared" si="70"/>
        <v>260.52838171757082</v>
      </c>
      <c r="W77" s="39">
        <f t="shared" ref="W77" si="71">IF(W15=0,0,W15*1000000/W25)</f>
        <v>291.11512254864812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911.74272934932583</v>
      </c>
      <c r="C78" s="39">
        <f t="shared" si="65"/>
        <v>911.73000144684602</v>
      </c>
      <c r="D78" s="39">
        <f t="shared" ref="D78:V78" si="72">IF(D16=0,0,D16*1000000/D26)</f>
        <v>911.72627004654169</v>
      </c>
      <c r="E78" s="39">
        <f t="shared" si="72"/>
        <v>918.92727442658872</v>
      </c>
      <c r="F78" s="39">
        <f t="shared" si="72"/>
        <v>932.85916158194107</v>
      </c>
      <c r="G78" s="39">
        <f t="shared" si="72"/>
        <v>929.78919969688366</v>
      </c>
      <c r="H78" s="39">
        <f t="shared" si="72"/>
        <v>911.90177062087082</v>
      </c>
      <c r="I78" s="39">
        <f t="shared" si="72"/>
        <v>916.89074524323803</v>
      </c>
      <c r="J78" s="39">
        <f t="shared" si="72"/>
        <v>929.20325461445009</v>
      </c>
      <c r="K78" s="39">
        <f t="shared" si="72"/>
        <v>910.5614454631708</v>
      </c>
      <c r="L78" s="39">
        <f t="shared" si="72"/>
        <v>901.65561792065773</v>
      </c>
      <c r="M78" s="39">
        <f t="shared" si="72"/>
        <v>898.46793961266417</v>
      </c>
      <c r="N78" s="39">
        <f t="shared" si="72"/>
        <v>905.08693788882158</v>
      </c>
      <c r="O78" s="39">
        <f t="shared" si="72"/>
        <v>911.68264321207312</v>
      </c>
      <c r="P78" s="39">
        <f t="shared" si="72"/>
        <v>933.06353701015644</v>
      </c>
      <c r="Q78" s="39">
        <f t="shared" si="72"/>
        <v>938.80344512818147</v>
      </c>
      <c r="R78" s="39">
        <f t="shared" si="72"/>
        <v>942.75572099908356</v>
      </c>
      <c r="S78" s="39">
        <f t="shared" si="72"/>
        <v>963.68155162067546</v>
      </c>
      <c r="T78" s="39">
        <f t="shared" si="72"/>
        <v>1006.0755156848901</v>
      </c>
      <c r="U78" s="39">
        <f t="shared" si="72"/>
        <v>1008.5941572867334</v>
      </c>
      <c r="V78" s="39">
        <f t="shared" si="72"/>
        <v>983.40382824538892</v>
      </c>
      <c r="W78" s="39">
        <f t="shared" ref="W78" si="73">IF(W16=0,0,W16*1000000/W26)</f>
        <v>1110.8875280000782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2205.8380917083955</v>
      </c>
      <c r="C79" s="39">
        <f t="shared" si="65"/>
        <v>2205.8380917083955</v>
      </c>
      <c r="D79" s="39">
        <f t="shared" ref="D79:V79" si="74">IF(D17=0,0,D17*1000000/D27)</f>
        <v>2205.8380917083955</v>
      </c>
      <c r="E79" s="39">
        <f t="shared" si="74"/>
        <v>2205.8380917083955</v>
      </c>
      <c r="F79" s="39">
        <f t="shared" si="74"/>
        <v>2205.8380917083955</v>
      </c>
      <c r="G79" s="39">
        <f t="shared" si="74"/>
        <v>2082.1084194477389</v>
      </c>
      <c r="H79" s="39">
        <f t="shared" si="74"/>
        <v>2009.522191543067</v>
      </c>
      <c r="I79" s="39">
        <f t="shared" si="74"/>
        <v>2005.0457625502006</v>
      </c>
      <c r="J79" s="39">
        <f t="shared" si="74"/>
        <v>2044.0112909934637</v>
      </c>
      <c r="K79" s="39">
        <f t="shared" si="74"/>
        <v>2077.7340339904713</v>
      </c>
      <c r="L79" s="39">
        <f t="shared" si="74"/>
        <v>2063.5212188583014</v>
      </c>
      <c r="M79" s="39">
        <f t="shared" si="74"/>
        <v>2097.2274804786248</v>
      </c>
      <c r="N79" s="39">
        <f t="shared" si="74"/>
        <v>2057.5614056720096</v>
      </c>
      <c r="O79" s="39">
        <f t="shared" si="74"/>
        <v>1995.2496908614755</v>
      </c>
      <c r="P79" s="39">
        <f t="shared" si="74"/>
        <v>2097.3902710218654</v>
      </c>
      <c r="Q79" s="39">
        <f t="shared" si="74"/>
        <v>2238.4739806984667</v>
      </c>
      <c r="R79" s="39">
        <f t="shared" si="74"/>
        <v>2376.5484795373545</v>
      </c>
      <c r="S79" s="39">
        <f t="shared" si="74"/>
        <v>2409.1617365621619</v>
      </c>
      <c r="T79" s="39">
        <f t="shared" si="74"/>
        <v>2542.3270635212525</v>
      </c>
      <c r="U79" s="39">
        <f t="shared" si="74"/>
        <v>2608.4351903766756</v>
      </c>
      <c r="V79" s="39">
        <f t="shared" si="74"/>
        <v>2394.6779668615632</v>
      </c>
      <c r="W79" s="39">
        <f t="shared" ref="W79" si="75">IF(W17=0,0,W17*1000000/W27)</f>
        <v>2523.2091295261048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1702.5276240657624</v>
      </c>
      <c r="C80" s="15">
        <f t="shared" si="65"/>
        <v>1745.5896794361033</v>
      </c>
      <c r="D80" s="15">
        <f t="shared" ref="D80:V80" si="76">IF(D18=0,0,D18*1000000/D28)</f>
        <v>1683.0937198720574</v>
      </c>
      <c r="E80" s="15">
        <f t="shared" si="76"/>
        <v>1986.7181074358077</v>
      </c>
      <c r="F80" s="15">
        <f t="shared" si="76"/>
        <v>1682.745508123596</v>
      </c>
      <c r="G80" s="15">
        <f t="shared" si="76"/>
        <v>1599.872992851243</v>
      </c>
      <c r="H80" s="15">
        <f t="shared" si="76"/>
        <v>1356.7880486523516</v>
      </c>
      <c r="I80" s="15">
        <f t="shared" si="76"/>
        <v>1258.3222744544682</v>
      </c>
      <c r="J80" s="15">
        <f t="shared" si="76"/>
        <v>1385.7215987978911</v>
      </c>
      <c r="K80" s="15">
        <f t="shared" si="76"/>
        <v>1501.330595230236</v>
      </c>
      <c r="L80" s="15">
        <f t="shared" si="76"/>
        <v>1412.3148934364392</v>
      </c>
      <c r="M80" s="15">
        <f t="shared" si="76"/>
        <v>1918.6741493694503</v>
      </c>
      <c r="N80" s="15">
        <f t="shared" si="76"/>
        <v>2170.583405146619</v>
      </c>
      <c r="O80" s="15">
        <f t="shared" si="76"/>
        <v>2121.3645187232455</v>
      </c>
      <c r="P80" s="15">
        <f t="shared" si="76"/>
        <v>2059.7228713802533</v>
      </c>
      <c r="Q80" s="15">
        <f t="shared" si="76"/>
        <v>2082.0770912658272</v>
      </c>
      <c r="R80" s="15">
        <f t="shared" si="76"/>
        <v>2205.6376934440309</v>
      </c>
      <c r="S80" s="15">
        <f t="shared" si="76"/>
        <v>2091.9756235736545</v>
      </c>
      <c r="T80" s="15">
        <f t="shared" si="76"/>
        <v>1757.0074495529302</v>
      </c>
      <c r="U80" s="15">
        <f t="shared" si="76"/>
        <v>1933.0836109632878</v>
      </c>
      <c r="V80" s="15">
        <f t="shared" si="76"/>
        <v>1867.5591492734263</v>
      </c>
      <c r="W80" s="15">
        <f t="shared" ref="W80" si="77">IF(W18=0,0,W18*1000000/W28)</f>
        <v>1818.304850854606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175.95876569380889</v>
      </c>
      <c r="C81" s="41">
        <f t="shared" si="65"/>
        <v>175.95876569380886</v>
      </c>
      <c r="D81" s="41">
        <f t="shared" ref="D81:V81" si="78">IF(D19=0,0,D19*1000000/D29)</f>
        <v>175.95876569380889</v>
      </c>
      <c r="E81" s="41">
        <f t="shared" si="78"/>
        <v>175.95876569380889</v>
      </c>
      <c r="F81" s="41">
        <f t="shared" si="78"/>
        <v>175.95876569380889</v>
      </c>
      <c r="G81" s="41">
        <f t="shared" si="78"/>
        <v>163.45454545454544</v>
      </c>
      <c r="H81" s="41">
        <f t="shared" si="78"/>
        <v>163.37374759250551</v>
      </c>
      <c r="I81" s="41">
        <f t="shared" si="78"/>
        <v>191.39202997683742</v>
      </c>
      <c r="J81" s="41">
        <f t="shared" si="78"/>
        <v>211.97825974116216</v>
      </c>
      <c r="K81" s="41">
        <f t="shared" si="78"/>
        <v>229.91402041674738</v>
      </c>
      <c r="L81" s="41">
        <f t="shared" si="78"/>
        <v>245.3055062166963</v>
      </c>
      <c r="M81" s="41">
        <f t="shared" si="78"/>
        <v>242.6032375003457</v>
      </c>
      <c r="N81" s="41">
        <f t="shared" si="78"/>
        <v>230.93972602739726</v>
      </c>
      <c r="O81" s="41">
        <f t="shared" si="78"/>
        <v>221.77067564372538</v>
      </c>
      <c r="P81" s="41">
        <f t="shared" si="78"/>
        <v>233.4458149545703</v>
      </c>
      <c r="Q81" s="41">
        <f t="shared" si="78"/>
        <v>224.42945234026715</v>
      </c>
      <c r="R81" s="41">
        <f t="shared" si="78"/>
        <v>237.71162637505552</v>
      </c>
      <c r="S81" s="41">
        <f t="shared" si="78"/>
        <v>251.21697401535985</v>
      </c>
      <c r="T81" s="41">
        <f t="shared" si="78"/>
        <v>241.55429864253389</v>
      </c>
      <c r="U81" s="41">
        <f t="shared" si="78"/>
        <v>242.31818181818184</v>
      </c>
      <c r="V81" s="41">
        <f t="shared" si="78"/>
        <v>261.1974407287351</v>
      </c>
      <c r="W81" s="41">
        <f t="shared" ref="W81" si="79">IF(W19=0,0,W19*1000000/W29)</f>
        <v>291.78418155981251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792.61538342792278</v>
      </c>
      <c r="C82" s="41">
        <f t="shared" si="65"/>
        <v>792.91586369263621</v>
      </c>
      <c r="D82" s="41">
        <f t="shared" ref="D82:V82" si="80">IF(D20=0,0,D20*1000000/D30)</f>
        <v>792.18259420655045</v>
      </c>
      <c r="E82" s="41">
        <f t="shared" si="80"/>
        <v>817.87051003865679</v>
      </c>
      <c r="F82" s="41">
        <f t="shared" si="80"/>
        <v>813.753838969036</v>
      </c>
      <c r="G82" s="41">
        <f t="shared" si="80"/>
        <v>789.19599948664802</v>
      </c>
      <c r="H82" s="41">
        <f t="shared" si="80"/>
        <v>765.77204783246361</v>
      </c>
      <c r="I82" s="41">
        <f t="shared" si="80"/>
        <v>755.57458648846034</v>
      </c>
      <c r="J82" s="41">
        <f t="shared" si="80"/>
        <v>756.32000382199419</v>
      </c>
      <c r="K82" s="41">
        <f t="shared" si="80"/>
        <v>749.98164720980344</v>
      </c>
      <c r="L82" s="41">
        <f t="shared" si="80"/>
        <v>728.77504367839879</v>
      </c>
      <c r="M82" s="41">
        <f t="shared" si="80"/>
        <v>720.03043106397683</v>
      </c>
      <c r="N82" s="41">
        <f t="shared" si="80"/>
        <v>706.04180538453431</v>
      </c>
      <c r="O82" s="41">
        <f t="shared" si="80"/>
        <v>691.1473732192743</v>
      </c>
      <c r="P82" s="41">
        <f t="shared" si="80"/>
        <v>698.42097485351508</v>
      </c>
      <c r="Q82" s="41">
        <f t="shared" si="80"/>
        <v>694.32015498223427</v>
      </c>
      <c r="R82" s="41">
        <f t="shared" si="80"/>
        <v>676.09208672911984</v>
      </c>
      <c r="S82" s="41">
        <f t="shared" si="80"/>
        <v>682.11836410862475</v>
      </c>
      <c r="T82" s="41">
        <f t="shared" si="80"/>
        <v>716.86822231471797</v>
      </c>
      <c r="U82" s="41">
        <f t="shared" si="80"/>
        <v>692.39908405792437</v>
      </c>
      <c r="V82" s="41">
        <f t="shared" si="80"/>
        <v>662.27444364033454</v>
      </c>
      <c r="W82" s="41">
        <f t="shared" ref="W82" si="81">IF(W20=0,0,W20*1000000/W30)</f>
        <v>795.96786911480046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6720.6185611495457</v>
      </c>
      <c r="C83" s="40">
        <f t="shared" si="65"/>
        <v>6720.6185611495457</v>
      </c>
      <c r="D83" s="40">
        <f t="shared" ref="D83:V83" si="82">IF(D21=0,0,D21*1000000/D31)</f>
        <v>6720.6185611495457</v>
      </c>
      <c r="E83" s="40">
        <f t="shared" si="82"/>
        <v>6720.6185611495457</v>
      </c>
      <c r="F83" s="40">
        <f t="shared" si="82"/>
        <v>6720.6185611495457</v>
      </c>
      <c r="G83" s="40">
        <f t="shared" si="82"/>
        <v>6596.8888888888887</v>
      </c>
      <c r="H83" s="40">
        <f t="shared" si="82"/>
        <v>6210.1237350890324</v>
      </c>
      <c r="I83" s="40">
        <f t="shared" si="82"/>
        <v>5891.4683802009813</v>
      </c>
      <c r="J83" s="40">
        <f t="shared" si="82"/>
        <v>5616.2549827490602</v>
      </c>
      <c r="K83" s="40">
        <f t="shared" si="82"/>
        <v>5335.7987998508834</v>
      </c>
      <c r="L83" s="40">
        <f t="shared" si="82"/>
        <v>5007.40705882353</v>
      </c>
      <c r="M83" s="40">
        <f t="shared" si="82"/>
        <v>5587.3956147849967</v>
      </c>
      <c r="N83" s="40">
        <f t="shared" si="82"/>
        <v>6094.0118343195263</v>
      </c>
      <c r="O83" s="40">
        <f t="shared" si="82"/>
        <v>6098.1845032252641</v>
      </c>
      <c r="P83" s="40">
        <f t="shared" si="82"/>
        <v>6266.8094671019271</v>
      </c>
      <c r="Q83" s="40">
        <f t="shared" si="82"/>
        <v>6474.3775604947996</v>
      </c>
      <c r="R83" s="40">
        <f t="shared" si="82"/>
        <v>6678.93644304996</v>
      </c>
      <c r="S83" s="40">
        <f t="shared" si="82"/>
        <v>6778.0340837910398</v>
      </c>
      <c r="T83" s="40">
        <f t="shared" si="82"/>
        <v>6977.683794466403</v>
      </c>
      <c r="U83" s="40">
        <f t="shared" si="82"/>
        <v>6155.0614334470993</v>
      </c>
      <c r="V83" s="40">
        <f t="shared" si="82"/>
        <v>5941.3042099319873</v>
      </c>
      <c r="W83" s="40">
        <f t="shared" ref="W83" si="83">IF(W21=0,0,W21*1000000/W31)</f>
        <v>6069.835372596528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111364.71368921913</v>
      </c>
      <c r="C86" s="11">
        <f t="shared" si="84"/>
        <v>109799.59880256411</v>
      </c>
      <c r="D86" s="11">
        <f t="shared" ref="D86:V86" si="85">IF(D4=0,0,D4*1000000/D24)</f>
        <v>113212.27819944208</v>
      </c>
      <c r="E86" s="11">
        <f t="shared" si="85"/>
        <v>111124.36666918237</v>
      </c>
      <c r="F86" s="11">
        <f t="shared" si="85"/>
        <v>110770.30080475066</v>
      </c>
      <c r="G86" s="11">
        <f t="shared" si="85"/>
        <v>105949.91092169879</v>
      </c>
      <c r="H86" s="11">
        <f t="shared" si="85"/>
        <v>105885.7831691388</v>
      </c>
      <c r="I86" s="11">
        <f t="shared" si="85"/>
        <v>107218.73305104254</v>
      </c>
      <c r="J86" s="11">
        <f t="shared" si="85"/>
        <v>106263.36698123648</v>
      </c>
      <c r="K86" s="11">
        <f t="shared" si="85"/>
        <v>106330.39279999842</v>
      </c>
      <c r="L86" s="11">
        <f t="shared" si="85"/>
        <v>113347.76204411662</v>
      </c>
      <c r="M86" s="11">
        <f t="shared" si="85"/>
        <v>123666.03475628584</v>
      </c>
      <c r="N86" s="11">
        <f t="shared" si="85"/>
        <v>131661.51585684903</v>
      </c>
      <c r="O86" s="11">
        <f t="shared" si="85"/>
        <v>136889.6683476388</v>
      </c>
      <c r="P86" s="11">
        <f t="shared" si="85"/>
        <v>144619.34062430146</v>
      </c>
      <c r="Q86" s="11">
        <f t="shared" si="85"/>
        <v>151643.16765391073</v>
      </c>
      <c r="R86" s="11">
        <f t="shared" si="85"/>
        <v>156646.86667355354</v>
      </c>
      <c r="S86" s="11">
        <f t="shared" si="85"/>
        <v>180967.2857627373</v>
      </c>
      <c r="T86" s="11">
        <f t="shared" si="85"/>
        <v>195046.20870797249</v>
      </c>
      <c r="U86" s="11">
        <f t="shared" si="85"/>
        <v>211169.24299300561</v>
      </c>
      <c r="V86" s="11">
        <f t="shared" si="85"/>
        <v>145498.82300859154</v>
      </c>
      <c r="W86" s="11">
        <f t="shared" ref="W86" si="86">IF(W4=0,0,W4*1000000/W24)</f>
        <v>163024.58066942124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8176.7596811577796</v>
      </c>
      <c r="C87" s="36">
        <f t="shared" si="84"/>
        <v>8233.4818364796356</v>
      </c>
      <c r="D87" s="36">
        <f t="shared" ref="D87:V87" si="87">IF(D5=0,0,D5*1000000/D25)</f>
        <v>8311.1433608815096</v>
      </c>
      <c r="E87" s="36">
        <f t="shared" si="87"/>
        <v>8475.702456820949</v>
      </c>
      <c r="F87" s="36">
        <f t="shared" si="87"/>
        <v>6970.5621509435459</v>
      </c>
      <c r="G87" s="36">
        <f t="shared" si="87"/>
        <v>9819.5823900046344</v>
      </c>
      <c r="H87" s="36">
        <f t="shared" si="87"/>
        <v>9756.2474856360786</v>
      </c>
      <c r="I87" s="36">
        <f t="shared" si="87"/>
        <v>10618.856620583216</v>
      </c>
      <c r="J87" s="36">
        <f t="shared" si="87"/>
        <v>10177.82841186997</v>
      </c>
      <c r="K87" s="36">
        <f t="shared" si="87"/>
        <v>7619.7058170121918</v>
      </c>
      <c r="L87" s="36">
        <f t="shared" si="87"/>
        <v>8307.8152884301926</v>
      </c>
      <c r="M87" s="36">
        <f t="shared" si="87"/>
        <v>9007.9769400599562</v>
      </c>
      <c r="N87" s="36">
        <f t="shared" si="87"/>
        <v>10818.164459529757</v>
      </c>
      <c r="O87" s="36">
        <f t="shared" si="87"/>
        <v>10638.949122439142</v>
      </c>
      <c r="P87" s="36">
        <f t="shared" si="87"/>
        <v>10087.036700618921</v>
      </c>
      <c r="Q87" s="36">
        <f t="shared" si="87"/>
        <v>9243.7127203024193</v>
      </c>
      <c r="R87" s="36">
        <f t="shared" si="87"/>
        <v>8022.5047922425956</v>
      </c>
      <c r="S87" s="36">
        <f t="shared" si="87"/>
        <v>9252.7724644327136</v>
      </c>
      <c r="T87" s="36">
        <f t="shared" si="87"/>
        <v>11096.84199163363</v>
      </c>
      <c r="U87" s="36">
        <f t="shared" si="87"/>
        <v>13415.683475938378</v>
      </c>
      <c r="V87" s="36">
        <f t="shared" si="87"/>
        <v>4443.057145420853</v>
      </c>
      <c r="W87" s="36">
        <f t="shared" ref="W87" si="88">IF(W5=0,0,W5*1000000/W25)</f>
        <v>10345.811325871158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86611.857160977204</v>
      </c>
      <c r="C88" s="36">
        <f t="shared" si="84"/>
        <v>87439.101010343511</v>
      </c>
      <c r="D88" s="36">
        <f t="shared" ref="D88:V88" si="89">IF(D6=0,0,D6*1000000/D26)</f>
        <v>87414.122928797733</v>
      </c>
      <c r="E88" s="36">
        <f t="shared" si="89"/>
        <v>87210.038589087824</v>
      </c>
      <c r="F88" s="36">
        <f t="shared" si="89"/>
        <v>86604.848271309413</v>
      </c>
      <c r="G88" s="36">
        <f t="shared" si="89"/>
        <v>84267.171246321945</v>
      </c>
      <c r="H88" s="36">
        <f t="shared" si="89"/>
        <v>83529.720137201657</v>
      </c>
      <c r="I88" s="36">
        <f t="shared" si="89"/>
        <v>81560.415597987769</v>
      </c>
      <c r="J88" s="36">
        <f t="shared" si="89"/>
        <v>79593.105799552271</v>
      </c>
      <c r="K88" s="36">
        <f t="shared" si="89"/>
        <v>79668.373921625214</v>
      </c>
      <c r="L88" s="36">
        <f t="shared" si="89"/>
        <v>80489.949037594226</v>
      </c>
      <c r="M88" s="36">
        <f t="shared" si="89"/>
        <v>85855.473481878507</v>
      </c>
      <c r="N88" s="36">
        <f t="shared" si="89"/>
        <v>92472.867962851946</v>
      </c>
      <c r="O88" s="36">
        <f t="shared" si="89"/>
        <v>93291.945236726795</v>
      </c>
      <c r="P88" s="36">
        <f t="shared" si="89"/>
        <v>98212.440619285568</v>
      </c>
      <c r="Q88" s="36">
        <f t="shared" si="89"/>
        <v>101734.31592808409</v>
      </c>
      <c r="R88" s="36">
        <f t="shared" si="89"/>
        <v>102519.07502864239</v>
      </c>
      <c r="S88" s="36">
        <f t="shared" si="89"/>
        <v>116728.29849215584</v>
      </c>
      <c r="T88" s="36">
        <f t="shared" si="89"/>
        <v>124156.52016703269</v>
      </c>
      <c r="U88" s="36">
        <f t="shared" si="89"/>
        <v>129339.83550776202</v>
      </c>
      <c r="V88" s="36">
        <f t="shared" si="89"/>
        <v>100300.66692092572</v>
      </c>
      <c r="W88" s="36">
        <f t="shared" ref="W88" si="90">IF(W6=0,0,W6*1000000/W26)</f>
        <v>118876.74469838206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268749.89890671312</v>
      </c>
      <c r="C89" s="36">
        <f t="shared" si="84"/>
        <v>269530.33427226706</v>
      </c>
      <c r="D89" s="36">
        <f t="shared" ref="D89:V89" si="91">IF(D7=0,0,D7*1000000/D27)</f>
        <v>270423.3389516591</v>
      </c>
      <c r="E89" s="36">
        <f t="shared" si="91"/>
        <v>271312.5015381822</v>
      </c>
      <c r="F89" s="36">
        <f t="shared" si="91"/>
        <v>274966.32048877305</v>
      </c>
      <c r="G89" s="36">
        <f t="shared" si="91"/>
        <v>253999.58107922069</v>
      </c>
      <c r="H89" s="36">
        <f t="shared" si="91"/>
        <v>251430.54340831342</v>
      </c>
      <c r="I89" s="36">
        <f t="shared" si="91"/>
        <v>251604.40112057081</v>
      </c>
      <c r="J89" s="36">
        <f t="shared" si="91"/>
        <v>257189.92614698916</v>
      </c>
      <c r="K89" s="36">
        <f t="shared" si="91"/>
        <v>251356.62094012724</v>
      </c>
      <c r="L89" s="36">
        <f t="shared" si="91"/>
        <v>267191.00576819375</v>
      </c>
      <c r="M89" s="36">
        <f t="shared" si="91"/>
        <v>271167.3200465694</v>
      </c>
      <c r="N89" s="36">
        <f t="shared" si="91"/>
        <v>261433.74814151396</v>
      </c>
      <c r="O89" s="36">
        <f t="shared" si="91"/>
        <v>265645.62032015721</v>
      </c>
      <c r="P89" s="36">
        <f t="shared" si="91"/>
        <v>291060.43864761654</v>
      </c>
      <c r="Q89" s="36">
        <f t="shared" si="91"/>
        <v>336325.17099799879</v>
      </c>
      <c r="R89" s="36">
        <f t="shared" si="91"/>
        <v>373975.6459412722</v>
      </c>
      <c r="S89" s="36">
        <f t="shared" si="91"/>
        <v>403428.04533036076</v>
      </c>
      <c r="T89" s="36">
        <f t="shared" si="91"/>
        <v>409005.50799816474</v>
      </c>
      <c r="U89" s="36">
        <f t="shared" si="91"/>
        <v>438119.43113548681</v>
      </c>
      <c r="V89" s="36">
        <f t="shared" si="91"/>
        <v>301983.48095870815</v>
      </c>
      <c r="W89" s="36">
        <f t="shared" ref="W89" si="92">IF(W7=0,0,W7*1000000/W27)</f>
        <v>297133.67095311615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103454.2041445529</v>
      </c>
      <c r="C90" s="13">
        <f t="shared" si="84"/>
        <v>112542.57765393364</v>
      </c>
      <c r="D90" s="13">
        <f t="shared" ref="D90:V90" si="93">IF(D8=0,0,D8*1000000/D28)</f>
        <v>100727.05306910347</v>
      </c>
      <c r="E90" s="13">
        <f t="shared" si="93"/>
        <v>115548.40177323339</v>
      </c>
      <c r="F90" s="13">
        <f t="shared" si="93"/>
        <v>86975.022345281046</v>
      </c>
      <c r="G90" s="13">
        <f t="shared" si="93"/>
        <v>78372.070500387752</v>
      </c>
      <c r="H90" s="13">
        <f t="shared" si="93"/>
        <v>59673.999459611441</v>
      </c>
      <c r="I90" s="13">
        <f t="shared" si="93"/>
        <v>53191.518913647342</v>
      </c>
      <c r="J90" s="13">
        <f t="shared" si="93"/>
        <v>61799.636621088961</v>
      </c>
      <c r="K90" s="13">
        <f t="shared" si="93"/>
        <v>78860.725163955809</v>
      </c>
      <c r="L90" s="13">
        <f t="shared" si="93"/>
        <v>72778.058768791147</v>
      </c>
      <c r="M90" s="13">
        <f t="shared" si="93"/>
        <v>115928.12370925426</v>
      </c>
      <c r="N90" s="13">
        <f t="shared" si="93"/>
        <v>144880.41231012822</v>
      </c>
      <c r="O90" s="13">
        <f t="shared" si="93"/>
        <v>144559.54541271631</v>
      </c>
      <c r="P90" s="13">
        <f t="shared" si="93"/>
        <v>156419.59334987376</v>
      </c>
      <c r="Q90" s="13">
        <f t="shared" si="93"/>
        <v>155727.54661935251</v>
      </c>
      <c r="R90" s="13">
        <f t="shared" si="93"/>
        <v>185873.16590069351</v>
      </c>
      <c r="S90" s="13">
        <f t="shared" si="93"/>
        <v>164462.5625023568</v>
      </c>
      <c r="T90" s="13">
        <f t="shared" si="93"/>
        <v>128957.36556503929</v>
      </c>
      <c r="U90" s="13">
        <f t="shared" si="93"/>
        <v>154936.63432572427</v>
      </c>
      <c r="V90" s="13">
        <f t="shared" si="93"/>
        <v>99299.685643914767</v>
      </c>
      <c r="W90" s="13">
        <f t="shared" ref="W90" si="94">IF(W8=0,0,W8*1000000/W28)</f>
        <v>83990.822353697193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1729.7674714344473</v>
      </c>
      <c r="C91" s="34">
        <f t="shared" si="84"/>
        <v>1716.578598155809</v>
      </c>
      <c r="D91" s="34">
        <f t="shared" ref="D91:V91" si="95">IF(D9=0,0,D9*1000000/D29)</f>
        <v>1765.2076329182444</v>
      </c>
      <c r="E91" s="34">
        <f t="shared" si="95"/>
        <v>1877.6291833588782</v>
      </c>
      <c r="F91" s="34">
        <f t="shared" si="95"/>
        <v>1768.0848112847195</v>
      </c>
      <c r="G91" s="34">
        <f t="shared" si="95"/>
        <v>1607.3422443774452</v>
      </c>
      <c r="H91" s="34">
        <f t="shared" si="95"/>
        <v>1545.3280251141218</v>
      </c>
      <c r="I91" s="34">
        <f t="shared" si="95"/>
        <v>1803.6271169678087</v>
      </c>
      <c r="J91" s="34">
        <f t="shared" si="95"/>
        <v>1921.9006992672294</v>
      </c>
      <c r="K91" s="34">
        <f t="shared" si="95"/>
        <v>2102.5228525913476</v>
      </c>
      <c r="L91" s="34">
        <f t="shared" si="95"/>
        <v>2399.3155634928107</v>
      </c>
      <c r="M91" s="34">
        <f t="shared" si="95"/>
        <v>2656.9318171679975</v>
      </c>
      <c r="N91" s="34">
        <f t="shared" si="95"/>
        <v>2584.5330970369619</v>
      </c>
      <c r="O91" s="34">
        <f t="shared" si="95"/>
        <v>2544.2401572191184</v>
      </c>
      <c r="P91" s="34">
        <f t="shared" si="95"/>
        <v>3005.0237469120393</v>
      </c>
      <c r="Q91" s="34">
        <f t="shared" si="95"/>
        <v>2966.2661847100844</v>
      </c>
      <c r="R91" s="34">
        <f t="shared" si="95"/>
        <v>3627.7858805170531</v>
      </c>
      <c r="S91" s="34">
        <f t="shared" si="95"/>
        <v>3526.4007055469915</v>
      </c>
      <c r="T91" s="34">
        <f t="shared" si="95"/>
        <v>3436.4357362082851</v>
      </c>
      <c r="U91" s="34">
        <f t="shared" si="95"/>
        <v>3427.7359426347343</v>
      </c>
      <c r="V91" s="34">
        <f t="shared" si="95"/>
        <v>3214.3510146537656</v>
      </c>
      <c r="W91" s="34">
        <f t="shared" ref="W91" si="96">IF(W9=0,0,W9*1000000/W29)</f>
        <v>4015.4081763721369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20132.975256704238</v>
      </c>
      <c r="C92" s="34">
        <f t="shared" si="84"/>
        <v>21250.566681210963</v>
      </c>
      <c r="D92" s="34">
        <f t="shared" ref="D92:V92" si="97">IF(D10=0,0,D10*1000000/D30)</f>
        <v>20014.89757458349</v>
      </c>
      <c r="E92" s="34">
        <f t="shared" si="97"/>
        <v>20392.386798251599</v>
      </c>
      <c r="F92" s="34">
        <f t="shared" si="97"/>
        <v>18453.20182550621</v>
      </c>
      <c r="G92" s="34">
        <f t="shared" si="97"/>
        <v>17796.819132884881</v>
      </c>
      <c r="H92" s="34">
        <f t="shared" si="97"/>
        <v>15232.319635447815</v>
      </c>
      <c r="I92" s="34">
        <f t="shared" si="97"/>
        <v>14913.769106627142</v>
      </c>
      <c r="J92" s="34">
        <f t="shared" si="97"/>
        <v>14816.563515269861</v>
      </c>
      <c r="K92" s="34">
        <f t="shared" si="97"/>
        <v>14942.728082997053</v>
      </c>
      <c r="L92" s="34">
        <f t="shared" si="97"/>
        <v>14766.668010675177</v>
      </c>
      <c r="M92" s="34">
        <f t="shared" si="97"/>
        <v>15292.785930311387</v>
      </c>
      <c r="N92" s="34">
        <f t="shared" si="97"/>
        <v>16302.967110695427</v>
      </c>
      <c r="O92" s="34">
        <f t="shared" si="97"/>
        <v>15467.060016547543</v>
      </c>
      <c r="P92" s="34">
        <f t="shared" si="97"/>
        <v>17983.742915021416</v>
      </c>
      <c r="Q92" s="34">
        <f t="shared" si="97"/>
        <v>17727.584174546428</v>
      </c>
      <c r="R92" s="34">
        <f t="shared" si="97"/>
        <v>18886.747367842276</v>
      </c>
      <c r="S92" s="34">
        <f t="shared" si="97"/>
        <v>17760.461584468125</v>
      </c>
      <c r="T92" s="34">
        <f t="shared" si="97"/>
        <v>18779.87675007464</v>
      </c>
      <c r="U92" s="34">
        <f t="shared" si="97"/>
        <v>18626.660882750013</v>
      </c>
      <c r="V92" s="34">
        <f t="shared" si="97"/>
        <v>15034.695228640412</v>
      </c>
      <c r="W92" s="34">
        <f t="shared" ref="W92" si="98">IF(W10=0,0,W10*1000000/W30)</f>
        <v>16727.79140397847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550361.49739228073</v>
      </c>
      <c r="C93" s="35">
        <f t="shared" si="84"/>
        <v>576541.54663980065</v>
      </c>
      <c r="D93" s="35">
        <f t="shared" ref="D93:V93" si="99">IF(D11=0,0,D11*1000000/D31)</f>
        <v>544498.45060677954</v>
      </c>
      <c r="E93" s="35">
        <f t="shared" si="99"/>
        <v>494825.86560466472</v>
      </c>
      <c r="F93" s="35">
        <f t="shared" si="99"/>
        <v>480318.13698766707</v>
      </c>
      <c r="G93" s="35">
        <f t="shared" si="99"/>
        <v>443395.45203492575</v>
      </c>
      <c r="H93" s="35">
        <f t="shared" si="99"/>
        <v>403494.99599746458</v>
      </c>
      <c r="I93" s="35">
        <f t="shared" si="99"/>
        <v>376414.89468663192</v>
      </c>
      <c r="J93" s="35">
        <f t="shared" si="99"/>
        <v>351591.90440441511</v>
      </c>
      <c r="K93" s="35">
        <f t="shared" si="99"/>
        <v>376714.97517811006</v>
      </c>
      <c r="L93" s="35">
        <f t="shared" si="99"/>
        <v>359417.66298762866</v>
      </c>
      <c r="M93" s="35">
        <f t="shared" si="99"/>
        <v>412832.05760324991</v>
      </c>
      <c r="N93" s="35">
        <f t="shared" si="99"/>
        <v>478382.74349004857</v>
      </c>
      <c r="O93" s="35">
        <f t="shared" si="99"/>
        <v>495544.46421503002</v>
      </c>
      <c r="P93" s="35">
        <f t="shared" si="99"/>
        <v>578994.69837138534</v>
      </c>
      <c r="Q93" s="35">
        <f t="shared" si="99"/>
        <v>587411.63968305651</v>
      </c>
      <c r="R93" s="35">
        <f t="shared" si="99"/>
        <v>670939.17768915324</v>
      </c>
      <c r="S93" s="35">
        <f t="shared" si="99"/>
        <v>649098.08319953235</v>
      </c>
      <c r="T93" s="35">
        <f t="shared" si="99"/>
        <v>660738.97188413213</v>
      </c>
      <c r="U93" s="35">
        <f t="shared" si="99"/>
        <v>604819.93369499908</v>
      </c>
      <c r="V93" s="35">
        <f t="shared" si="99"/>
        <v>377989.03867258329</v>
      </c>
      <c r="W93" s="35">
        <f t="shared" ref="W93" si="100">IF(W11=0,0,W11*1000000/W31)</f>
        <v>354840.13827340031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1237.0243134561542</v>
      </c>
      <c r="C95" s="62">
        <f t="shared" si="101"/>
        <v>1250.7392910176804</v>
      </c>
      <c r="D95" s="62">
        <f t="shared" ref="D95:V95" si="102">IF(D23=0,0,D23/D43)</f>
        <v>1217.9274487784821</v>
      </c>
      <c r="E95" s="62">
        <f t="shared" si="102"/>
        <v>1247.353110541218</v>
      </c>
      <c r="F95" s="62">
        <f t="shared" si="102"/>
        <v>1248.545200244926</v>
      </c>
      <c r="G95" s="62">
        <f t="shared" si="102"/>
        <v>1266.9573178991941</v>
      </c>
      <c r="H95" s="62">
        <f t="shared" si="102"/>
        <v>1256.7356976225592</v>
      </c>
      <c r="I95" s="62">
        <f t="shared" si="102"/>
        <v>1235.5983035984746</v>
      </c>
      <c r="J95" s="62">
        <f t="shared" si="102"/>
        <v>1212.5120474396058</v>
      </c>
      <c r="K95" s="62">
        <f t="shared" si="102"/>
        <v>1134.1605214293111</v>
      </c>
      <c r="L95" s="62">
        <f t="shared" si="102"/>
        <v>1095.4440962936319</v>
      </c>
      <c r="M95" s="62">
        <f t="shared" si="102"/>
        <v>1050.5989334935452</v>
      </c>
      <c r="N95" s="62">
        <f t="shared" si="102"/>
        <v>944.17914000308429</v>
      </c>
      <c r="O95" s="62">
        <f t="shared" si="102"/>
        <v>933.93326630490924</v>
      </c>
      <c r="P95" s="62">
        <f t="shared" si="102"/>
        <v>942.26238933858713</v>
      </c>
      <c r="Q95" s="62">
        <f t="shared" si="102"/>
        <v>984.60849725191201</v>
      </c>
      <c r="R95" s="62">
        <f t="shared" si="102"/>
        <v>1066.0826916525202</v>
      </c>
      <c r="S95" s="62">
        <f t="shared" si="102"/>
        <v>1048.9851555872226</v>
      </c>
      <c r="T95" s="62">
        <f t="shared" si="102"/>
        <v>1019.0538334738916</v>
      </c>
      <c r="U95" s="62">
        <f t="shared" si="102"/>
        <v>992.93413734746775</v>
      </c>
      <c r="V95" s="62">
        <f t="shared" si="102"/>
        <v>300.42754118619666</v>
      </c>
      <c r="W95" s="62">
        <f t="shared" ref="W95" si="103">IF(W23=0,0,W23/W43)</f>
        <v>352.44978595588628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1261.9687444338526</v>
      </c>
      <c r="C96" s="11">
        <f t="shared" si="104"/>
        <v>1275.6004182839067</v>
      </c>
      <c r="D96" s="11">
        <f t="shared" ref="D96:V96" si="105">IF(D24=0,0,D24/D44)</f>
        <v>1242.9259324343529</v>
      </c>
      <c r="E96" s="11">
        <f t="shared" si="105"/>
        <v>1268.4865318478996</v>
      </c>
      <c r="F96" s="11">
        <f t="shared" si="105"/>
        <v>1265.3517247698121</v>
      </c>
      <c r="G96" s="11">
        <f t="shared" si="105"/>
        <v>1280.9453260820674</v>
      </c>
      <c r="H96" s="11">
        <f t="shared" si="105"/>
        <v>1269.1088823720229</v>
      </c>
      <c r="I96" s="11">
        <f t="shared" si="105"/>
        <v>1246.2893063918305</v>
      </c>
      <c r="J96" s="11">
        <f t="shared" si="105"/>
        <v>1224.2512158672105</v>
      </c>
      <c r="K96" s="11">
        <f t="shared" si="105"/>
        <v>1146.0805986783182</v>
      </c>
      <c r="L96" s="11">
        <f t="shared" si="105"/>
        <v>1103.9834829213214</v>
      </c>
      <c r="M96" s="11">
        <f t="shared" si="105"/>
        <v>1064.1759621897702</v>
      </c>
      <c r="N96" s="11">
        <f t="shared" si="105"/>
        <v>957.47331959977657</v>
      </c>
      <c r="O96" s="11">
        <f t="shared" si="105"/>
        <v>946.23156825648641</v>
      </c>
      <c r="P96" s="11">
        <f t="shared" si="105"/>
        <v>954.07890516194436</v>
      </c>
      <c r="Q96" s="11">
        <f t="shared" si="105"/>
        <v>995.45796358592645</v>
      </c>
      <c r="R96" s="11">
        <f t="shared" si="105"/>
        <v>1081.3800937709223</v>
      </c>
      <c r="S96" s="11">
        <f t="shared" si="105"/>
        <v>1063.2405334827806</v>
      </c>
      <c r="T96" s="11">
        <f t="shared" si="105"/>
        <v>1028.9270629772332</v>
      </c>
      <c r="U96" s="11">
        <f t="shared" si="105"/>
        <v>1002.9777033269233</v>
      </c>
      <c r="V96" s="11">
        <f t="shared" si="105"/>
        <v>289.27710027891465</v>
      </c>
      <c r="W96" s="11">
        <f t="shared" ref="W96" si="106">IF(W24=0,0,W24/W44)</f>
        <v>339.18840668032436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2418</v>
      </c>
      <c r="C97" s="36">
        <f t="shared" si="104"/>
        <v>2418</v>
      </c>
      <c r="D97" s="36">
        <f t="shared" ref="D97:V97" si="107">IF(D25=0,0,D25/D45)</f>
        <v>1876.8951279933942</v>
      </c>
      <c r="E97" s="36">
        <f t="shared" si="107"/>
        <v>2418</v>
      </c>
      <c r="F97" s="36">
        <f t="shared" si="107"/>
        <v>2418</v>
      </c>
      <c r="G97" s="36">
        <f t="shared" si="107"/>
        <v>2443</v>
      </c>
      <c r="H97" s="36">
        <f t="shared" si="107"/>
        <v>2488</v>
      </c>
      <c r="I97" s="36">
        <f t="shared" si="107"/>
        <v>2474</v>
      </c>
      <c r="J97" s="36">
        <f t="shared" si="107"/>
        <v>2476</v>
      </c>
      <c r="K97" s="36">
        <f t="shared" si="107"/>
        <v>2484</v>
      </c>
      <c r="L97" s="36">
        <f t="shared" si="107"/>
        <v>1954.4930707277583</v>
      </c>
      <c r="M97" s="36">
        <f t="shared" si="107"/>
        <v>1263.7912586810728</v>
      </c>
      <c r="N97" s="36">
        <f t="shared" si="107"/>
        <v>1057.4673513427081</v>
      </c>
      <c r="O97" s="36">
        <f t="shared" si="107"/>
        <v>794.80331252729843</v>
      </c>
      <c r="P97" s="36">
        <f t="shared" si="107"/>
        <v>953.79186876906886</v>
      </c>
      <c r="Q97" s="36">
        <f t="shared" si="107"/>
        <v>1064.7960176846302</v>
      </c>
      <c r="R97" s="36">
        <f t="shared" si="107"/>
        <v>1000.6592964407937</v>
      </c>
      <c r="S97" s="36">
        <f t="shared" si="107"/>
        <v>674.33765925362582</v>
      </c>
      <c r="T97" s="36">
        <f t="shared" si="107"/>
        <v>647.44949005205535</v>
      </c>
      <c r="U97" s="36">
        <f t="shared" si="107"/>
        <v>248.61005629720597</v>
      </c>
      <c r="V97" s="36">
        <f t="shared" si="107"/>
        <v>145.01679087465442</v>
      </c>
      <c r="W97" s="36">
        <f t="shared" ref="W97" si="108">IF(W25=0,0,W25/W45)</f>
        <v>207.01171877999207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1466.1992410394894</v>
      </c>
      <c r="C98" s="36">
        <f t="shared" si="104"/>
        <v>1466.207895497452</v>
      </c>
      <c r="D98" s="36">
        <f t="shared" ref="D98:V98" si="109">IF(D26=0,0,D26/D46)</f>
        <v>1466.2104333351813</v>
      </c>
      <c r="E98" s="36">
        <f t="shared" si="109"/>
        <v>1461.3462653432716</v>
      </c>
      <c r="F98" s="36">
        <f t="shared" si="109"/>
        <v>1452.0243684252746</v>
      </c>
      <c r="G98" s="36">
        <f t="shared" si="109"/>
        <v>1453.835039983936</v>
      </c>
      <c r="H98" s="36">
        <f t="shared" si="109"/>
        <v>1428.7887785834203</v>
      </c>
      <c r="I98" s="36">
        <f t="shared" si="109"/>
        <v>1419.0498647604338</v>
      </c>
      <c r="J98" s="36">
        <f t="shared" si="109"/>
        <v>1385.1343028319607</v>
      </c>
      <c r="K98" s="36">
        <f t="shared" si="109"/>
        <v>1265.5361557190984</v>
      </c>
      <c r="L98" s="36">
        <f t="shared" si="109"/>
        <v>1236.0460617192273</v>
      </c>
      <c r="M98" s="36">
        <f t="shared" si="109"/>
        <v>1239.2843564958532</v>
      </c>
      <c r="N98" s="36">
        <f t="shared" si="109"/>
        <v>1078.2431964391901</v>
      </c>
      <c r="O98" s="36">
        <f t="shared" si="109"/>
        <v>1072.6692949878768</v>
      </c>
      <c r="P98" s="36">
        <f t="shared" si="109"/>
        <v>1090.1673411244801</v>
      </c>
      <c r="Q98" s="36">
        <f t="shared" si="109"/>
        <v>1182.5748592487337</v>
      </c>
      <c r="R98" s="36">
        <f t="shared" si="109"/>
        <v>1333.0981651372517</v>
      </c>
      <c r="S98" s="36">
        <f t="shared" si="109"/>
        <v>1360.732677981126</v>
      </c>
      <c r="T98" s="36">
        <f t="shared" si="109"/>
        <v>1367.6769195299812</v>
      </c>
      <c r="U98" s="36">
        <f t="shared" si="109"/>
        <v>1370.3633457363137</v>
      </c>
      <c r="V98" s="36">
        <f t="shared" si="109"/>
        <v>413.27879248442315</v>
      </c>
      <c r="W98" s="36">
        <f t="shared" ref="W98" si="110">IF(W26=0,0,W26/W46)</f>
        <v>467.41305561758787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687</v>
      </c>
      <c r="C99" s="36">
        <f t="shared" si="104"/>
        <v>687</v>
      </c>
      <c r="D99" s="36">
        <f t="shared" ref="D99:V99" si="111">IF(D27=0,0,D27/D47)</f>
        <v>687</v>
      </c>
      <c r="E99" s="36">
        <f t="shared" si="111"/>
        <v>687</v>
      </c>
      <c r="F99" s="36">
        <f t="shared" si="111"/>
        <v>687</v>
      </c>
      <c r="G99" s="36">
        <f t="shared" si="111"/>
        <v>715</v>
      </c>
      <c r="H99" s="36">
        <f t="shared" si="111"/>
        <v>733</v>
      </c>
      <c r="I99" s="36">
        <f t="shared" si="111"/>
        <v>734</v>
      </c>
      <c r="J99" s="36">
        <f t="shared" si="111"/>
        <v>724</v>
      </c>
      <c r="K99" s="36">
        <f t="shared" si="111"/>
        <v>716</v>
      </c>
      <c r="L99" s="36">
        <f t="shared" si="111"/>
        <v>720</v>
      </c>
      <c r="M99" s="36">
        <f t="shared" si="111"/>
        <v>712</v>
      </c>
      <c r="N99" s="36">
        <f t="shared" si="111"/>
        <v>721</v>
      </c>
      <c r="O99" s="36">
        <f t="shared" si="111"/>
        <v>737</v>
      </c>
      <c r="P99" s="36">
        <f t="shared" si="111"/>
        <v>712</v>
      </c>
      <c r="Q99" s="36">
        <f t="shared" si="111"/>
        <v>656.49183356269805</v>
      </c>
      <c r="R99" s="36">
        <f t="shared" si="111"/>
        <v>652</v>
      </c>
      <c r="S99" s="36">
        <f t="shared" si="111"/>
        <v>645</v>
      </c>
      <c r="T99" s="36">
        <f t="shared" si="111"/>
        <v>621</v>
      </c>
      <c r="U99" s="36">
        <f t="shared" si="111"/>
        <v>609</v>
      </c>
      <c r="V99" s="36">
        <f t="shared" si="111"/>
        <v>150.57437308525073</v>
      </c>
      <c r="W99" s="36">
        <f t="shared" ref="W99" si="112">IF(W27=0,0,W27/W47)</f>
        <v>196.16061176127909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778.97257209321026</v>
      </c>
      <c r="C100" s="13">
        <f t="shared" si="104"/>
        <v>767.13749461606074</v>
      </c>
      <c r="D100" s="13">
        <f t="shared" ref="D100:V100" si="113">IF(D28=0,0,D28/D48)</f>
        <v>784.41885677583514</v>
      </c>
      <c r="E100" s="13">
        <f t="shared" si="113"/>
        <v>707.27424970190941</v>
      </c>
      <c r="F100" s="13">
        <f t="shared" si="113"/>
        <v>734.09159344860245</v>
      </c>
      <c r="G100" s="13">
        <f t="shared" si="113"/>
        <v>801.39787888078069</v>
      </c>
      <c r="H100" s="13">
        <f t="shared" si="113"/>
        <v>848.93842321719217</v>
      </c>
      <c r="I100" s="13">
        <f t="shared" si="113"/>
        <v>863.92038605861705</v>
      </c>
      <c r="J100" s="13">
        <f t="shared" si="113"/>
        <v>777.9925563939986</v>
      </c>
      <c r="K100" s="13">
        <f t="shared" si="113"/>
        <v>699.70522834039593</v>
      </c>
      <c r="L100" s="13">
        <f t="shared" si="113"/>
        <v>787.9513686305562</v>
      </c>
      <c r="M100" s="13">
        <f t="shared" si="113"/>
        <v>626.1378931350871</v>
      </c>
      <c r="N100" s="13">
        <f t="shared" si="113"/>
        <v>518.34197995565171</v>
      </c>
      <c r="O100" s="13">
        <f t="shared" si="113"/>
        <v>525.13777379161104</v>
      </c>
      <c r="P100" s="13">
        <f t="shared" si="113"/>
        <v>538.46362497917028</v>
      </c>
      <c r="Q100" s="13">
        <f t="shared" si="113"/>
        <v>606.17958892376566</v>
      </c>
      <c r="R100" s="13">
        <f t="shared" si="113"/>
        <v>602.42139015961288</v>
      </c>
      <c r="S100" s="13">
        <f t="shared" si="113"/>
        <v>637.92276588678351</v>
      </c>
      <c r="T100" s="13">
        <f t="shared" si="113"/>
        <v>710.99831970641378</v>
      </c>
      <c r="U100" s="13">
        <f t="shared" si="113"/>
        <v>666.4672074745414</v>
      </c>
      <c r="V100" s="13">
        <f t="shared" si="113"/>
        <v>667.89306821404045</v>
      </c>
      <c r="W100" s="13">
        <f t="shared" ref="W100" si="114">IF(W28=0,0,W28/W48)</f>
        <v>735.87032955159782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1551</v>
      </c>
      <c r="C101" s="34">
        <f t="shared" si="104"/>
        <v>1551</v>
      </c>
      <c r="D101" s="34">
        <f t="shared" ref="D101:V101" si="115">IF(D29=0,0,D29/D49)</f>
        <v>1551</v>
      </c>
      <c r="E101" s="34">
        <f t="shared" si="115"/>
        <v>1389.89816700611</v>
      </c>
      <c r="F101" s="34">
        <f t="shared" si="115"/>
        <v>807.081447963801</v>
      </c>
      <c r="G101" s="34">
        <f t="shared" si="115"/>
        <v>1561.0000000000002</v>
      </c>
      <c r="H101" s="34">
        <f t="shared" si="115"/>
        <v>1561</v>
      </c>
      <c r="I101" s="34">
        <f t="shared" si="115"/>
        <v>1538</v>
      </c>
      <c r="J101" s="34">
        <f t="shared" si="115"/>
        <v>1520.9999999999998</v>
      </c>
      <c r="K101" s="34">
        <f t="shared" si="115"/>
        <v>1506</v>
      </c>
      <c r="L101" s="34">
        <f t="shared" si="115"/>
        <v>1153.1486616923808</v>
      </c>
      <c r="M101" s="34">
        <f t="shared" si="115"/>
        <v>1008.5833788309263</v>
      </c>
      <c r="N101" s="34">
        <f t="shared" si="115"/>
        <v>857.69991631472067</v>
      </c>
      <c r="O101" s="34">
        <f t="shared" si="115"/>
        <v>558.6455631362121</v>
      </c>
      <c r="P101" s="34">
        <f t="shared" si="115"/>
        <v>303.78822982953227</v>
      </c>
      <c r="Q101" s="34">
        <f t="shared" si="115"/>
        <v>318.29464601483863</v>
      </c>
      <c r="R101" s="34">
        <f t="shared" si="115"/>
        <v>242.54238971082131</v>
      </c>
      <c r="S101" s="34">
        <f t="shared" si="115"/>
        <v>256.25803864934738</v>
      </c>
      <c r="T101" s="34">
        <f t="shared" si="115"/>
        <v>1385.1606755427595</v>
      </c>
      <c r="U101" s="34">
        <f t="shared" si="115"/>
        <v>1175.913913535964</v>
      </c>
      <c r="V101" s="34">
        <f t="shared" si="115"/>
        <v>1071.8578862144921</v>
      </c>
      <c r="W101" s="34">
        <f t="shared" ref="W101" si="116">IF(W29=0,0,W29/W49)</f>
        <v>1327.7448779647125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1159.3643225931423</v>
      </c>
      <c r="C102" s="34">
        <f t="shared" si="104"/>
        <v>1159.2211450545612</v>
      </c>
      <c r="D102" s="34">
        <f t="shared" ref="D102:V102" si="117">IF(D30=0,0,D30/D50)</f>
        <v>1159.5702792174923</v>
      </c>
      <c r="E102" s="34">
        <f t="shared" si="117"/>
        <v>1147.4794962574542</v>
      </c>
      <c r="F102" s="34">
        <f t="shared" si="117"/>
        <v>1149.3991759706551</v>
      </c>
      <c r="G102" s="34">
        <f t="shared" si="117"/>
        <v>1160.7550217087487</v>
      </c>
      <c r="H102" s="34">
        <f t="shared" si="117"/>
        <v>1145.8803079969503</v>
      </c>
      <c r="I102" s="34">
        <f t="shared" si="117"/>
        <v>1106.8527991139745</v>
      </c>
      <c r="J102" s="34">
        <f t="shared" si="117"/>
        <v>961.86162737861457</v>
      </c>
      <c r="K102" s="34">
        <f t="shared" si="117"/>
        <v>838.79890927851841</v>
      </c>
      <c r="L102" s="34">
        <f t="shared" si="117"/>
        <v>1044.5556120278509</v>
      </c>
      <c r="M102" s="34">
        <f t="shared" si="117"/>
        <v>907.30488997042744</v>
      </c>
      <c r="N102" s="34">
        <f t="shared" si="117"/>
        <v>722.21027882526505</v>
      </c>
      <c r="O102" s="34">
        <f t="shared" si="117"/>
        <v>798.71963788960215</v>
      </c>
      <c r="P102" s="34">
        <f t="shared" si="117"/>
        <v>901.61767964952935</v>
      </c>
      <c r="Q102" s="34">
        <f t="shared" si="117"/>
        <v>1050.6949709715691</v>
      </c>
      <c r="R102" s="34">
        <f t="shared" si="117"/>
        <v>1122.0830453267722</v>
      </c>
      <c r="S102" s="34">
        <f t="shared" si="117"/>
        <v>1165.7273469574586</v>
      </c>
      <c r="T102" s="34">
        <f t="shared" si="117"/>
        <v>1166.1719134558009</v>
      </c>
      <c r="U102" s="34">
        <f t="shared" si="117"/>
        <v>1052.852500368552</v>
      </c>
      <c r="V102" s="34">
        <f t="shared" si="117"/>
        <v>1073.2534827922536</v>
      </c>
      <c r="W102" s="34">
        <f t="shared" ref="W102" si="118">IF(W30=0,0,W30/W50)</f>
        <v>1131.3277478368257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279</v>
      </c>
      <c r="C103" s="35">
        <f t="shared" si="104"/>
        <v>278.99999999999994</v>
      </c>
      <c r="D103" s="35">
        <f t="shared" ref="D103:V103" si="119">IF(D31=0,0,D31/D51)</f>
        <v>279</v>
      </c>
      <c r="E103" s="35">
        <f t="shared" si="119"/>
        <v>279</v>
      </c>
      <c r="F103" s="35">
        <f t="shared" si="119"/>
        <v>242.07712532865906</v>
      </c>
      <c r="G103" s="35">
        <f t="shared" si="119"/>
        <v>277.16963448922212</v>
      </c>
      <c r="H103" s="35">
        <f t="shared" si="119"/>
        <v>275.34743202416922</v>
      </c>
      <c r="I103" s="35">
        <f t="shared" si="119"/>
        <v>288.41131664853106</v>
      </c>
      <c r="J103" s="35">
        <f t="shared" si="119"/>
        <v>323</v>
      </c>
      <c r="K103" s="35">
        <f t="shared" si="119"/>
        <v>337</v>
      </c>
      <c r="L103" s="35">
        <f t="shared" si="119"/>
        <v>354</v>
      </c>
      <c r="M103" s="35">
        <f t="shared" si="119"/>
        <v>325</v>
      </c>
      <c r="N103" s="35">
        <f t="shared" si="119"/>
        <v>293.71947231816233</v>
      </c>
      <c r="O103" s="35">
        <f t="shared" si="119"/>
        <v>284.54090186132487</v>
      </c>
      <c r="P103" s="35">
        <f t="shared" si="119"/>
        <v>265.11355137009588</v>
      </c>
      <c r="Q103" s="35">
        <f t="shared" si="119"/>
        <v>288</v>
      </c>
      <c r="R103" s="35">
        <f t="shared" si="119"/>
        <v>281</v>
      </c>
      <c r="S103" s="35">
        <f t="shared" si="119"/>
        <v>277</v>
      </c>
      <c r="T103" s="35">
        <f t="shared" si="119"/>
        <v>244.38214243216206</v>
      </c>
      <c r="U103" s="35">
        <f t="shared" si="119"/>
        <v>300</v>
      </c>
      <c r="V103" s="35">
        <f t="shared" si="119"/>
        <v>299.65768840223183</v>
      </c>
      <c r="W103" s="35">
        <f t="shared" ref="W103" si="120">IF(W31=0,0,W31/W51)</f>
        <v>304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5.9595420068711269E-3</v>
      </c>
      <c r="C107" s="43">
        <f t="shared" si="124"/>
        <v>7.6282913638521816E-3</v>
      </c>
      <c r="D107" s="43">
        <f t="shared" ref="D107:V107" si="125">IF(D5=0,0,D5/D$4)</f>
        <v>5.3433789118909883E-3</v>
      </c>
      <c r="E107" s="43">
        <f t="shared" si="125"/>
        <v>4.9674190611741099E-3</v>
      </c>
      <c r="F107" s="43">
        <f t="shared" si="125"/>
        <v>4.1155153391420262E-3</v>
      </c>
      <c r="G107" s="43">
        <f t="shared" si="125"/>
        <v>5.6851031913093888E-3</v>
      </c>
      <c r="H107" s="43">
        <f t="shared" si="125"/>
        <v>6.0788708435543957E-3</v>
      </c>
      <c r="I107" s="43">
        <f t="shared" si="125"/>
        <v>5.9071483024668563E-3</v>
      </c>
      <c r="J107" s="43">
        <f t="shared" si="125"/>
        <v>6.5488741734802515E-3</v>
      </c>
      <c r="K107" s="43">
        <f t="shared" si="125"/>
        <v>6.3641715665719543E-3</v>
      </c>
      <c r="L107" s="43">
        <f t="shared" si="125"/>
        <v>5.2771379072210998E-3</v>
      </c>
      <c r="M107" s="43">
        <f t="shared" si="125"/>
        <v>3.4038012686211649E-3</v>
      </c>
      <c r="N107" s="43">
        <f t="shared" si="125"/>
        <v>3.5555653671948419E-3</v>
      </c>
      <c r="O107" s="43">
        <f t="shared" si="125"/>
        <v>2.5193784329507044E-3</v>
      </c>
      <c r="P107" s="43">
        <f t="shared" si="125"/>
        <v>2.6812446358081077E-3</v>
      </c>
      <c r="Q107" s="43">
        <f t="shared" si="125"/>
        <v>2.4984892194287972E-3</v>
      </c>
      <c r="R107" s="43">
        <f t="shared" si="125"/>
        <v>1.8015418376924272E-3</v>
      </c>
      <c r="S107" s="43">
        <f t="shared" si="125"/>
        <v>1.111210576160459E-3</v>
      </c>
      <c r="T107" s="43">
        <f t="shared" si="125"/>
        <v>1.0734603794022701E-3</v>
      </c>
      <c r="U107" s="43">
        <f t="shared" si="125"/>
        <v>4.4616773201851901E-4</v>
      </c>
      <c r="V107" s="43">
        <f t="shared" si="125"/>
        <v>4.293491379048421E-4</v>
      </c>
      <c r="W107" s="43">
        <f t="shared" ref="W107" si="126">IF(W5=0,0,W5/W$4)</f>
        <v>1.074764731152492E-3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0.58172616488983253</v>
      </c>
      <c r="C108" s="43">
        <f t="shared" si="127"/>
        <v>0.58231064929455068</v>
      </c>
      <c r="D108" s="43">
        <f t="shared" ref="D108:V108" si="128">IF(D6=0,0,D6/D$4)</f>
        <v>0.58279030586084823</v>
      </c>
      <c r="E108" s="43">
        <f t="shared" si="128"/>
        <v>0.6098834687445569</v>
      </c>
      <c r="F108" s="43">
        <f t="shared" si="128"/>
        <v>0.6087867230756483</v>
      </c>
      <c r="G108" s="43">
        <f t="shared" si="128"/>
        <v>0.62356022243029496</v>
      </c>
      <c r="H108" s="43">
        <f t="shared" si="128"/>
        <v>0.6089151100855934</v>
      </c>
      <c r="I108" s="43">
        <f t="shared" si="128"/>
        <v>0.58160960132708894</v>
      </c>
      <c r="J108" s="43">
        <f t="shared" si="128"/>
        <v>0.56530395202975481</v>
      </c>
      <c r="K108" s="43">
        <f t="shared" si="128"/>
        <v>0.53843428286785866</v>
      </c>
      <c r="L108" s="43">
        <f t="shared" si="128"/>
        <v>0.51424662429715917</v>
      </c>
      <c r="M108" s="43">
        <f t="shared" si="128"/>
        <v>0.50670391989695918</v>
      </c>
      <c r="N108" s="43">
        <f t="shared" si="128"/>
        <v>0.49436909433371778</v>
      </c>
      <c r="O108" s="43">
        <f t="shared" si="128"/>
        <v>0.47643349483794167</v>
      </c>
      <c r="P108" s="43">
        <f t="shared" si="128"/>
        <v>0.47765359416377062</v>
      </c>
      <c r="Q108" s="43">
        <f t="shared" si="128"/>
        <v>0.48981178929638725</v>
      </c>
      <c r="R108" s="43">
        <f t="shared" si="128"/>
        <v>0.4929261819947266</v>
      </c>
      <c r="S108" s="43">
        <f t="shared" si="128"/>
        <v>0.48122422420353578</v>
      </c>
      <c r="T108" s="43">
        <f t="shared" si="128"/>
        <v>0.46135535648270865</v>
      </c>
      <c r="U108" s="43">
        <f t="shared" si="128"/>
        <v>0.44426093448104859</v>
      </c>
      <c r="V108" s="43">
        <f t="shared" si="128"/>
        <v>0.52056960616059123</v>
      </c>
      <c r="W108" s="43">
        <f t="shared" ref="W108" si="129">IF(W6=0,0,W6/W$4)</f>
        <v>0.52873148991310026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0.41231429310329637</v>
      </c>
      <c r="C109" s="43">
        <f t="shared" si="130"/>
        <v>0.41006105934159726</v>
      </c>
      <c r="D109" s="43">
        <f t="shared" ref="D109:V109" si="131">IF(D7=0,0,D7/D$4)</f>
        <v>0.41186631522726069</v>
      </c>
      <c r="E109" s="43">
        <f t="shared" si="131"/>
        <v>0.38514911219426906</v>
      </c>
      <c r="F109" s="43">
        <f t="shared" si="131"/>
        <v>0.38709776158520964</v>
      </c>
      <c r="G109" s="43">
        <f t="shared" si="131"/>
        <v>0.37075467437839571</v>
      </c>
      <c r="H109" s="43">
        <f t="shared" si="131"/>
        <v>0.3850060190708523</v>
      </c>
      <c r="I109" s="43">
        <f t="shared" si="131"/>
        <v>0.41248325037044431</v>
      </c>
      <c r="J109" s="43">
        <f t="shared" si="131"/>
        <v>0.42814717379676492</v>
      </c>
      <c r="K109" s="43">
        <f t="shared" si="131"/>
        <v>0.45520154556556935</v>
      </c>
      <c r="L109" s="43">
        <f t="shared" si="131"/>
        <v>0.48047623779561965</v>
      </c>
      <c r="M109" s="43">
        <f t="shared" si="131"/>
        <v>0.48989227883441966</v>
      </c>
      <c r="N109" s="43">
        <f t="shared" si="131"/>
        <v>0.50207534029908729</v>
      </c>
      <c r="O109" s="43">
        <f t="shared" si="131"/>
        <v>0.52104712672910769</v>
      </c>
      <c r="P109" s="43">
        <f t="shared" si="131"/>
        <v>0.51966516120042128</v>
      </c>
      <c r="Q109" s="43">
        <f t="shared" si="131"/>
        <v>0.50768972148418401</v>
      </c>
      <c r="R109" s="43">
        <f t="shared" si="131"/>
        <v>0.50527227616758097</v>
      </c>
      <c r="S109" s="43">
        <f t="shared" si="131"/>
        <v>0.5176645652203038</v>
      </c>
      <c r="T109" s="43">
        <f t="shared" si="131"/>
        <v>0.53757118313788921</v>
      </c>
      <c r="U109" s="43">
        <f t="shared" si="131"/>
        <v>0.5552928977869328</v>
      </c>
      <c r="V109" s="43">
        <f t="shared" si="131"/>
        <v>0.47900104470150379</v>
      </c>
      <c r="W109" s="43">
        <f t="shared" ref="W109" si="132">IF(W7=0,0,W7/W$4)</f>
        <v>0.47019374535574721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8.800067042822584E-4</v>
      </c>
      <c r="C111" s="44">
        <f t="shared" si="136"/>
        <v>8.164886982457405E-4</v>
      </c>
      <c r="D111" s="44">
        <f t="shared" ref="D111:V111" si="137">IF(D9=0,0,D9/D$8)</f>
        <v>9.1521449465294146E-4</v>
      </c>
      <c r="E111" s="44">
        <f t="shared" si="137"/>
        <v>5.943372261704281E-4</v>
      </c>
      <c r="F111" s="44">
        <f t="shared" si="137"/>
        <v>3.5181260809455053E-4</v>
      </c>
      <c r="G111" s="44">
        <f t="shared" si="137"/>
        <v>8.0700745856293382E-4</v>
      </c>
      <c r="H111" s="44">
        <f t="shared" si="137"/>
        <v>2.028946321295899E-3</v>
      </c>
      <c r="I111" s="44">
        <f t="shared" si="137"/>
        <v>3.6848185783566376E-3</v>
      </c>
      <c r="J111" s="44">
        <f t="shared" si="137"/>
        <v>4.2188429792468498E-3</v>
      </c>
      <c r="K111" s="44">
        <f t="shared" si="137"/>
        <v>4.3930413251266212E-3</v>
      </c>
      <c r="L111" s="44">
        <f t="shared" si="137"/>
        <v>3.6607254253009326E-3</v>
      </c>
      <c r="M111" s="44">
        <f t="shared" si="137"/>
        <v>2.3797205997583958E-3</v>
      </c>
      <c r="N111" s="44">
        <f t="shared" si="137"/>
        <v>1.9645166746909424E-3</v>
      </c>
      <c r="O111" s="44">
        <f t="shared" si="137"/>
        <v>1.2897919428754788E-3</v>
      </c>
      <c r="P111" s="44">
        <f t="shared" si="137"/>
        <v>7.7509568063546873E-4</v>
      </c>
      <c r="Q111" s="44">
        <f t="shared" si="137"/>
        <v>7.3788750451398506E-4</v>
      </c>
      <c r="R111" s="44">
        <f t="shared" si="137"/>
        <v>5.073607602028012E-4</v>
      </c>
      <c r="S111" s="44">
        <f t="shared" si="137"/>
        <v>4.8464718112376377E-4</v>
      </c>
      <c r="T111" s="44">
        <f t="shared" si="137"/>
        <v>2.8135466162563204E-3</v>
      </c>
      <c r="U111" s="44">
        <f t="shared" si="137"/>
        <v>2.12102506256018E-3</v>
      </c>
      <c r="V111" s="44">
        <f t="shared" si="137"/>
        <v>2.8699355527504688E-3</v>
      </c>
      <c r="W111" s="44">
        <f t="shared" ref="W111" si="138">IF(W9=0,0,W9/W$8)</f>
        <v>4.1931894742757566E-3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0.15342855492043614</v>
      </c>
      <c r="C112" s="44">
        <f t="shared" si="139"/>
        <v>0.14731593053564954</v>
      </c>
      <c r="D112" s="44">
        <f t="shared" ref="D112:V112" si="140">IF(D10=0,0,D10/D$8)</f>
        <v>0.15738763403961273</v>
      </c>
      <c r="E112" s="44">
        <f t="shared" si="140"/>
        <v>0.13437979172048695</v>
      </c>
      <c r="F112" s="44">
        <f t="shared" si="140"/>
        <v>0.1768853894707984</v>
      </c>
      <c r="G112" s="44">
        <f t="shared" si="140"/>
        <v>0.18548554468081183</v>
      </c>
      <c r="H112" s="44">
        <f t="shared" si="140"/>
        <v>0.20533685672221438</v>
      </c>
      <c r="I112" s="44">
        <f t="shared" si="140"/>
        <v>0.2191167670757691</v>
      </c>
      <c r="J112" s="44">
        <f t="shared" si="140"/>
        <v>0.17253444060249409</v>
      </c>
      <c r="K112" s="44">
        <f t="shared" si="140"/>
        <v>0.12367501844704215</v>
      </c>
      <c r="L112" s="44">
        <f t="shared" si="140"/>
        <v>0.14540950749741388</v>
      </c>
      <c r="M112" s="44">
        <f t="shared" si="140"/>
        <v>8.4389532797609329E-2</v>
      </c>
      <c r="N112" s="44">
        <f t="shared" si="140"/>
        <v>6.8455628186528727E-2</v>
      </c>
      <c r="O112" s="44">
        <f t="shared" si="140"/>
        <v>7.0171643740180117E-2</v>
      </c>
      <c r="P112" s="44">
        <f t="shared" si="140"/>
        <v>8.1838264600016294E-2</v>
      </c>
      <c r="Q112" s="44">
        <f t="shared" si="140"/>
        <v>8.1737143681897495E-2</v>
      </c>
      <c r="R112" s="44">
        <f t="shared" si="140"/>
        <v>7.2885833675591691E-2</v>
      </c>
      <c r="S112" s="44">
        <f t="shared" si="140"/>
        <v>8.0401450575953978E-2</v>
      </c>
      <c r="T112" s="44">
        <f t="shared" si="140"/>
        <v>0.10489145188062209</v>
      </c>
      <c r="U112" s="44">
        <f t="shared" si="140"/>
        <v>8.0440918221225371E-2</v>
      </c>
      <c r="V112" s="44">
        <f t="shared" si="140"/>
        <v>0.10239502593237845</v>
      </c>
      <c r="W112" s="44">
        <f t="shared" ref="W112" si="141">IF(W10=0,0,W10/W$8)</f>
        <v>0.14141624141138232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0.8456914383752816</v>
      </c>
      <c r="C113" s="45">
        <f t="shared" si="142"/>
        <v>0.85186758076610469</v>
      </c>
      <c r="D113" s="45">
        <f t="shared" ref="D113:V113" si="143">IF(D11=0,0,D11/D$8)</f>
        <v>0.84169715146573443</v>
      </c>
      <c r="E113" s="45">
        <f t="shared" si="143"/>
        <v>0.86502587105334272</v>
      </c>
      <c r="F113" s="45">
        <f t="shared" si="143"/>
        <v>0.82276279792110696</v>
      </c>
      <c r="G113" s="45">
        <f t="shared" si="143"/>
        <v>0.81370744786062521</v>
      </c>
      <c r="H113" s="45">
        <f t="shared" si="143"/>
        <v>0.79263419695648962</v>
      </c>
      <c r="I113" s="45">
        <f t="shared" si="143"/>
        <v>0.77719841434587433</v>
      </c>
      <c r="J113" s="45">
        <f t="shared" si="143"/>
        <v>0.82324671641825908</v>
      </c>
      <c r="K113" s="45">
        <f t="shared" si="143"/>
        <v>0.87193194022783127</v>
      </c>
      <c r="L113" s="45">
        <f t="shared" si="143"/>
        <v>0.85092976707728518</v>
      </c>
      <c r="M113" s="45">
        <f t="shared" si="143"/>
        <v>0.91323074660263226</v>
      </c>
      <c r="N113" s="45">
        <f t="shared" si="143"/>
        <v>0.92957985513878028</v>
      </c>
      <c r="O113" s="45">
        <f t="shared" si="143"/>
        <v>0.92853856431694437</v>
      </c>
      <c r="P113" s="45">
        <f t="shared" si="143"/>
        <v>0.9173866397193482</v>
      </c>
      <c r="Q113" s="45">
        <f t="shared" si="143"/>
        <v>0.91752496881358858</v>
      </c>
      <c r="R113" s="45">
        <f t="shared" si="143"/>
        <v>0.92660680556420549</v>
      </c>
      <c r="S113" s="45">
        <f t="shared" si="143"/>
        <v>0.91911390224292222</v>
      </c>
      <c r="T113" s="45">
        <f t="shared" si="143"/>
        <v>0.89229500150312169</v>
      </c>
      <c r="U113" s="45">
        <f t="shared" si="143"/>
        <v>0.91743805671621448</v>
      </c>
      <c r="V113" s="45">
        <f t="shared" si="143"/>
        <v>0.89473503851487113</v>
      </c>
      <c r="W113" s="45">
        <f t="shared" ref="W113" si="144">IF(W11=0,0,W11/W$8)</f>
        <v>0.85439056911434197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2.3562567405666382E-2</v>
      </c>
      <c r="C117" s="43">
        <f t="shared" si="148"/>
        <v>3.0007907451851258E-2</v>
      </c>
      <c r="D117" s="43">
        <f t="shared" ref="D117:V117" si="149">IF(D15=0,0,D15/D$14)</f>
        <v>2.0993637098084619E-2</v>
      </c>
      <c r="E117" s="43">
        <f t="shared" si="149"/>
        <v>1.8937815692828843E-2</v>
      </c>
      <c r="F117" s="43">
        <f t="shared" si="149"/>
        <v>1.8871452253188283E-2</v>
      </c>
      <c r="G117" s="43">
        <f t="shared" si="149"/>
        <v>1.733763482509874E-2</v>
      </c>
      <c r="H117" s="43">
        <f t="shared" si="149"/>
        <v>1.7668015036316511E-2</v>
      </c>
      <c r="I117" s="43">
        <f t="shared" si="149"/>
        <v>1.6002199412922535E-2</v>
      </c>
      <c r="J117" s="43">
        <f t="shared" si="149"/>
        <v>1.8086110279782536E-2</v>
      </c>
      <c r="K117" s="43">
        <f t="shared" si="149"/>
        <v>2.3261529322395808E-2</v>
      </c>
      <c r="L117" s="43">
        <f t="shared" si="149"/>
        <v>1.8216242098624807E-2</v>
      </c>
      <c r="M117" s="43">
        <f t="shared" si="149"/>
        <v>1.1338139611624196E-2</v>
      </c>
      <c r="N117" s="43">
        <f t="shared" si="149"/>
        <v>9.8562861054211515E-3</v>
      </c>
      <c r="O117" s="43">
        <f t="shared" si="149"/>
        <v>7.0977991753338951E-3</v>
      </c>
      <c r="P117" s="43">
        <f t="shared" si="149"/>
        <v>8.6532528881302813E-3</v>
      </c>
      <c r="Q117" s="43">
        <f t="shared" si="149"/>
        <v>8.9728676160399246E-3</v>
      </c>
      <c r="R117" s="43">
        <f t="shared" si="149"/>
        <v>8.0401702480806751E-3</v>
      </c>
      <c r="S117" s="43">
        <f t="shared" si="149"/>
        <v>4.9840078164877649E-3</v>
      </c>
      <c r="T117" s="43">
        <f t="shared" si="149"/>
        <v>3.9006440420413305E-3</v>
      </c>
      <c r="U117" s="43">
        <f t="shared" si="149"/>
        <v>1.1856067586807205E-3</v>
      </c>
      <c r="V117" s="43">
        <f t="shared" si="149"/>
        <v>2.8200219169487949E-3</v>
      </c>
      <c r="W117" s="43">
        <f t="shared" ref="W117" si="150">IF(W15=0,0,W15/W$14)</f>
        <v>3.3737508317024517E-3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0.62888960756286472</v>
      </c>
      <c r="C118" s="43">
        <f t="shared" si="151"/>
        <v>0.62470814655566687</v>
      </c>
      <c r="D118" s="43">
        <f t="shared" ref="D118:V118" si="152">IF(D16=0,0,D16/D$14)</f>
        <v>0.63051812325077794</v>
      </c>
      <c r="E118" s="43">
        <f t="shared" si="152"/>
        <v>0.65963883679431567</v>
      </c>
      <c r="F118" s="43">
        <f t="shared" si="152"/>
        <v>0.66582155998046311</v>
      </c>
      <c r="G118" s="43">
        <f t="shared" si="152"/>
        <v>0.68158768914337198</v>
      </c>
      <c r="H118" s="43">
        <f t="shared" si="152"/>
        <v>0.67150057575896915</v>
      </c>
      <c r="I118" s="43">
        <f t="shared" si="152"/>
        <v>0.65480282825491365</v>
      </c>
      <c r="J118" s="43">
        <f t="shared" si="152"/>
        <v>0.64787534692405013</v>
      </c>
      <c r="K118" s="43">
        <f t="shared" si="152"/>
        <v>0.60613117472655054</v>
      </c>
      <c r="L118" s="43">
        <f t="shared" si="152"/>
        <v>0.59713676612260047</v>
      </c>
      <c r="M118" s="43">
        <f t="shared" si="152"/>
        <v>0.57663754837383363</v>
      </c>
      <c r="N118" s="43">
        <f t="shared" si="152"/>
        <v>0.54504004402721751</v>
      </c>
      <c r="O118" s="43">
        <f t="shared" si="152"/>
        <v>0.53945598100854841</v>
      </c>
      <c r="P118" s="43">
        <f t="shared" si="152"/>
        <v>0.54314265442513499</v>
      </c>
      <c r="Q118" s="43">
        <f t="shared" si="152"/>
        <v>0.5670871279602393</v>
      </c>
      <c r="R118" s="43">
        <f t="shared" si="152"/>
        <v>0.58065122833993965</v>
      </c>
      <c r="S118" s="43">
        <f t="shared" si="152"/>
        <v>0.55959054548145393</v>
      </c>
      <c r="T118" s="43">
        <f t="shared" si="152"/>
        <v>0.52597844135299066</v>
      </c>
      <c r="U118" s="43">
        <f t="shared" si="152"/>
        <v>0.51108408604386335</v>
      </c>
      <c r="V118" s="43">
        <f t="shared" si="152"/>
        <v>0.5717097876627123</v>
      </c>
      <c r="W118" s="43">
        <f t="shared" ref="W118" si="153">IF(W16=0,0,W16/W$14)</f>
        <v>0.55119814784730747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0.34754782503146897</v>
      </c>
      <c r="C119" s="43">
        <f t="shared" si="154"/>
        <v>0.34528394599248186</v>
      </c>
      <c r="D119" s="43">
        <f t="shared" ref="D119:V119" si="155">IF(D17=0,0,D17/D$14)</f>
        <v>0.34848823965113745</v>
      </c>
      <c r="E119" s="43">
        <f t="shared" si="155"/>
        <v>0.32142334751285556</v>
      </c>
      <c r="F119" s="43">
        <f t="shared" si="155"/>
        <v>0.31530698776634847</v>
      </c>
      <c r="G119" s="43">
        <f t="shared" si="155"/>
        <v>0.30107467603152926</v>
      </c>
      <c r="H119" s="43">
        <f t="shared" si="155"/>
        <v>0.31083140920471442</v>
      </c>
      <c r="I119" s="43">
        <f t="shared" si="155"/>
        <v>0.32919497233216377</v>
      </c>
      <c r="J119" s="43">
        <f t="shared" si="155"/>
        <v>0.3340385427961674</v>
      </c>
      <c r="K119" s="43">
        <f t="shared" si="155"/>
        <v>0.37060729595105374</v>
      </c>
      <c r="L119" s="43">
        <f t="shared" si="155"/>
        <v>0.38464699177877471</v>
      </c>
      <c r="M119" s="43">
        <f t="shared" si="155"/>
        <v>0.41202431201454209</v>
      </c>
      <c r="N119" s="43">
        <f t="shared" si="155"/>
        <v>0.44510366986736127</v>
      </c>
      <c r="O119" s="43">
        <f t="shared" si="155"/>
        <v>0.4534462198161176</v>
      </c>
      <c r="P119" s="43">
        <f t="shared" si="155"/>
        <v>0.44820409268673456</v>
      </c>
      <c r="Q119" s="43">
        <f t="shared" si="155"/>
        <v>0.42394000442372082</v>
      </c>
      <c r="R119" s="43">
        <f t="shared" si="155"/>
        <v>0.41130860141197972</v>
      </c>
      <c r="S119" s="43">
        <f t="shared" si="155"/>
        <v>0.43542544670205835</v>
      </c>
      <c r="T119" s="43">
        <f t="shared" si="155"/>
        <v>0.47012091460496802</v>
      </c>
      <c r="U119" s="43">
        <f t="shared" si="155"/>
        <v>0.48773030719745597</v>
      </c>
      <c r="V119" s="43">
        <f t="shared" si="155"/>
        <v>0.42547019042033885</v>
      </c>
      <c r="W119" s="43">
        <f t="shared" ref="W119" si="156">IF(W17=0,0,W17/W$14)</f>
        <v>0.4454281013209902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5.4395520737450815E-3</v>
      </c>
      <c r="C121" s="44">
        <f t="shared" si="160"/>
        <v>5.396001768479505E-3</v>
      </c>
      <c r="D121" s="44">
        <f t="shared" ref="D121:V121" si="161">IF(D19=0,0,D19/D$18)</f>
        <v>5.4597886127700727E-3</v>
      </c>
      <c r="E121" s="44">
        <f t="shared" si="161"/>
        <v>3.2393785784149017E-3</v>
      </c>
      <c r="F121" s="44">
        <f t="shared" si="161"/>
        <v>1.809653061970163E-3</v>
      </c>
      <c r="G121" s="44">
        <f t="shared" si="161"/>
        <v>4.0201476604166987E-3</v>
      </c>
      <c r="H121" s="44">
        <f t="shared" si="161"/>
        <v>9.4342044674560355E-3</v>
      </c>
      <c r="I121" s="44">
        <f t="shared" si="161"/>
        <v>1.6528890800020235E-2</v>
      </c>
      <c r="J121" s="44">
        <f t="shared" si="161"/>
        <v>2.0752177556810213E-2</v>
      </c>
      <c r="K121" s="44">
        <f t="shared" si="161"/>
        <v>2.5233323228516069E-2</v>
      </c>
      <c r="L121" s="44">
        <f t="shared" si="161"/>
        <v>1.9286614926449425E-2</v>
      </c>
      <c r="M121" s="44">
        <f t="shared" si="161"/>
        <v>1.312894216603849E-2</v>
      </c>
      <c r="N121" s="44">
        <f t="shared" si="161"/>
        <v>1.171670411069208E-2</v>
      </c>
      <c r="O121" s="44">
        <f t="shared" si="161"/>
        <v>7.6612061625220039E-3</v>
      </c>
      <c r="P121" s="44">
        <f t="shared" si="161"/>
        <v>4.5727331915608365E-3</v>
      </c>
      <c r="Q121" s="44">
        <f t="shared" si="161"/>
        <v>4.1756926080974846E-3</v>
      </c>
      <c r="R121" s="44">
        <f t="shared" si="161"/>
        <v>2.8016131920408803E-3</v>
      </c>
      <c r="S121" s="44">
        <f t="shared" si="161"/>
        <v>2.7142724869468095E-3</v>
      </c>
      <c r="T121" s="44">
        <f t="shared" si="161"/>
        <v>1.4515540389930167E-2</v>
      </c>
      <c r="U121" s="44">
        <f t="shared" si="161"/>
        <v>1.2017881635375817E-2</v>
      </c>
      <c r="V121" s="44">
        <f t="shared" si="161"/>
        <v>1.2399988106870265E-2</v>
      </c>
      <c r="W121" s="44">
        <f t="shared" ref="W121" si="162">IF(W19=0,0,W19/W$18)</f>
        <v>1.4074781709707459E-2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0.36704110929995132</v>
      </c>
      <c r="C122" s="44">
        <f t="shared" si="163"/>
        <v>0.35438962310908495</v>
      </c>
      <c r="D122" s="44">
        <f t="shared" ref="D122:V122" si="164">IF(D20=0,0,D20/D$18)</f>
        <v>0.3728038247982684</v>
      </c>
      <c r="E122" s="44">
        <f t="shared" si="164"/>
        <v>0.31345712457584468</v>
      </c>
      <c r="F122" s="44">
        <f t="shared" si="164"/>
        <v>0.40317109661057271</v>
      </c>
      <c r="G122" s="44">
        <f t="shared" si="164"/>
        <v>0.40292885647208587</v>
      </c>
      <c r="H122" s="44">
        <f t="shared" si="164"/>
        <v>0.45401846027916998</v>
      </c>
      <c r="I122" s="44">
        <f t="shared" si="164"/>
        <v>0.46926271200142972</v>
      </c>
      <c r="J122" s="44">
        <f t="shared" si="164"/>
        <v>0.39277499830286589</v>
      </c>
      <c r="K122" s="44">
        <f t="shared" si="164"/>
        <v>0.32605221690489694</v>
      </c>
      <c r="L122" s="44">
        <f t="shared" si="164"/>
        <v>0.36980494396348929</v>
      </c>
      <c r="M122" s="44">
        <f t="shared" si="164"/>
        <v>0.2400713902804622</v>
      </c>
      <c r="N122" s="44">
        <f t="shared" si="164"/>
        <v>0.19788192175109293</v>
      </c>
      <c r="O122" s="44">
        <f t="shared" si="164"/>
        <v>0.21367613229701451</v>
      </c>
      <c r="P122" s="44">
        <f t="shared" si="164"/>
        <v>0.24136592626493397</v>
      </c>
      <c r="Q122" s="44">
        <f t="shared" si="164"/>
        <v>0.23944088508615985</v>
      </c>
      <c r="R122" s="44">
        <f t="shared" si="164"/>
        <v>0.21987422837989187</v>
      </c>
      <c r="S122" s="44">
        <f t="shared" si="164"/>
        <v>0.24276149898061181</v>
      </c>
      <c r="T122" s="44">
        <f t="shared" si="164"/>
        <v>0.29387269647231773</v>
      </c>
      <c r="U122" s="44">
        <f t="shared" si="164"/>
        <v>0.23966354281606073</v>
      </c>
      <c r="V122" s="44">
        <f t="shared" si="164"/>
        <v>0.23982570837419898</v>
      </c>
      <c r="W122" s="44">
        <f t="shared" ref="W122" si="165">IF(W20=0,0,W20/W$18)</f>
        <v>0.31082887684350269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0.6275193386263036</v>
      </c>
      <c r="C123" s="45">
        <f t="shared" si="166"/>
        <v>0.64021437512243551</v>
      </c>
      <c r="D123" s="45">
        <f t="shared" ref="D123:V123" si="167">IF(D21=0,0,D21/D$18)</f>
        <v>0.62173638658896158</v>
      </c>
      <c r="E123" s="45">
        <f t="shared" si="167"/>
        <v>0.68330349684574043</v>
      </c>
      <c r="F123" s="45">
        <f t="shared" si="167"/>
        <v>0.59501925032745717</v>
      </c>
      <c r="G123" s="45">
        <f t="shared" si="167"/>
        <v>0.59305099586749743</v>
      </c>
      <c r="H123" s="45">
        <f t="shared" si="167"/>
        <v>0.53654733525337395</v>
      </c>
      <c r="I123" s="45">
        <f t="shared" si="167"/>
        <v>0.51420839719855005</v>
      </c>
      <c r="J123" s="45">
        <f t="shared" si="167"/>
        <v>0.58647282414032387</v>
      </c>
      <c r="K123" s="45">
        <f t="shared" si="167"/>
        <v>0.64871445986658693</v>
      </c>
      <c r="L123" s="45">
        <f t="shared" si="167"/>
        <v>0.61090844111006137</v>
      </c>
      <c r="M123" s="45">
        <f t="shared" si="167"/>
        <v>0.74679966755349925</v>
      </c>
      <c r="N123" s="45">
        <f t="shared" si="167"/>
        <v>0.7904013741382151</v>
      </c>
      <c r="O123" s="45">
        <f t="shared" si="167"/>
        <v>0.77866266154046349</v>
      </c>
      <c r="P123" s="45">
        <f t="shared" si="167"/>
        <v>0.75406134054350515</v>
      </c>
      <c r="Q123" s="45">
        <f t="shared" si="167"/>
        <v>0.75638342230574263</v>
      </c>
      <c r="R123" s="45">
        <f t="shared" si="167"/>
        <v>0.77732415842806724</v>
      </c>
      <c r="S123" s="45">
        <f t="shared" si="167"/>
        <v>0.75452422853244139</v>
      </c>
      <c r="T123" s="45">
        <f t="shared" si="167"/>
        <v>0.69161176313775208</v>
      </c>
      <c r="U123" s="45">
        <f t="shared" si="167"/>
        <v>0.74831857554856351</v>
      </c>
      <c r="V123" s="45">
        <f t="shared" si="167"/>
        <v>0.74777430351893082</v>
      </c>
      <c r="W123" s="45">
        <f t="shared" ref="W123" si="168">IF(W21=0,0,W21/W$18)</f>
        <v>0.67509634144678998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200.32957867583832</v>
      </c>
      <c r="C3" s="79">
        <f t="shared" si="0"/>
        <v>211.6556319862425</v>
      </c>
      <c r="D3" s="79">
        <f t="shared" ref="D3" si="1">SUM(D4:D5)</f>
        <v>202.47919174548582</v>
      </c>
      <c r="E3" s="79">
        <f t="shared" ref="E3" si="2">SUM(E4:E5)</f>
        <v>259.72527944969897</v>
      </c>
      <c r="F3" s="79">
        <f t="shared" ref="F3" si="3">SUM(F4:F5)</f>
        <v>332.30567497850365</v>
      </c>
      <c r="G3" s="79">
        <f t="shared" ref="G3" si="4">SUM(G4:G5)</f>
        <v>344.54909716251086</v>
      </c>
      <c r="H3" s="79">
        <f t="shared" ref="H3" si="5">SUM(H4:H5)</f>
        <v>352.68658641444546</v>
      </c>
      <c r="I3" s="79">
        <f t="shared" ref="I3" si="6">SUM(I4:I5)</f>
        <v>382.67841788478074</v>
      </c>
      <c r="J3" s="79">
        <f t="shared" ref="J3" si="7">SUM(J4:J5)</f>
        <v>402.3282889079963</v>
      </c>
      <c r="K3" s="79">
        <f t="shared" ref="K3" si="8">SUM(K4:K5)</f>
        <v>372.33645743766118</v>
      </c>
      <c r="L3" s="79">
        <f t="shared" ref="L3" si="9">SUM(L4:L5)</f>
        <v>343.37876182287192</v>
      </c>
      <c r="M3" s="79">
        <f t="shared" ref="M3" si="10">SUM(M4:M5)</f>
        <v>354.74325021496134</v>
      </c>
      <c r="N3" s="79">
        <f t="shared" ref="N3" si="11">SUM(N4:N5)</f>
        <v>315.45528804815137</v>
      </c>
      <c r="O3" s="79">
        <f t="shared" ref="O3" si="12">SUM(O4:O5)</f>
        <v>303.04479793637148</v>
      </c>
      <c r="P3" s="79">
        <f t="shared" ref="P3" si="13">SUM(P4:P5)</f>
        <v>311.31840068787608</v>
      </c>
      <c r="Q3" s="79">
        <f t="shared" ref="Q3" si="14">SUM(Q4:Q5)</f>
        <v>333.04840928632842</v>
      </c>
      <c r="R3" s="79">
        <f t="shared" ref="R3" si="15">SUM(R4:R5)</f>
        <v>358.90352536543435</v>
      </c>
      <c r="S3" s="79">
        <f t="shared" ref="S3" si="16">SUM(S4:S5)</f>
        <v>407.5110060189167</v>
      </c>
      <c r="T3" s="79">
        <f t="shared" ref="T3" si="17">SUM(T4:T5)</f>
        <v>443.70808254514179</v>
      </c>
      <c r="U3" s="79">
        <f t="shared" ref="U3" si="18">SUM(U4:U5)</f>
        <v>466.46053310404113</v>
      </c>
      <c r="V3" s="79">
        <f t="shared" ref="V3:W3" si="19">SUM(V4:V5)</f>
        <v>155.15391229578677</v>
      </c>
      <c r="W3" s="79">
        <f t="shared" si="19"/>
        <v>159.29062768701627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39.046517626827168</v>
      </c>
      <c r="C4" s="96">
        <f t="shared" si="20"/>
        <v>50.138521066208078</v>
      </c>
      <c r="D4" s="96">
        <f t="shared" ref="D4:V4" si="21">SUM(D7,D11)</f>
        <v>35.850730868443677</v>
      </c>
      <c r="E4" s="96">
        <f t="shared" si="21"/>
        <v>58.339982803095438</v>
      </c>
      <c r="F4" s="96">
        <f t="shared" si="21"/>
        <v>44.028202923473771</v>
      </c>
      <c r="G4" s="96">
        <f t="shared" si="21"/>
        <v>29.692863284608769</v>
      </c>
      <c r="H4" s="96">
        <f t="shared" si="21"/>
        <v>16.570679277730012</v>
      </c>
      <c r="I4" s="96">
        <f t="shared" si="21"/>
        <v>37.254686156491836</v>
      </c>
      <c r="J4" s="96">
        <f t="shared" si="21"/>
        <v>46.562510748065343</v>
      </c>
      <c r="K4" s="96">
        <f t="shared" si="21"/>
        <v>32.083748925193461</v>
      </c>
      <c r="L4" s="96">
        <f t="shared" si="21"/>
        <v>30.015305245055888</v>
      </c>
      <c r="M4" s="96">
        <f t="shared" si="21"/>
        <v>44.48245915735167</v>
      </c>
      <c r="N4" s="96">
        <f t="shared" si="21"/>
        <v>21.741702493551159</v>
      </c>
      <c r="O4" s="96">
        <f t="shared" si="21"/>
        <v>19.67325881341359</v>
      </c>
      <c r="P4" s="96">
        <f t="shared" si="21"/>
        <v>18.63903697334479</v>
      </c>
      <c r="Q4" s="96">
        <f t="shared" si="21"/>
        <v>38.300601891659504</v>
      </c>
      <c r="R4" s="96">
        <f t="shared" si="21"/>
        <v>42.43748925193465</v>
      </c>
      <c r="S4" s="96">
        <f t="shared" si="21"/>
        <v>52.779449699054169</v>
      </c>
      <c r="T4" s="96">
        <f t="shared" si="21"/>
        <v>34.163800515907141</v>
      </c>
      <c r="U4" s="96">
        <f t="shared" si="21"/>
        <v>47.608426483233011</v>
      </c>
      <c r="V4" s="96">
        <f t="shared" si="21"/>
        <v>41.391573516766982</v>
      </c>
      <c r="W4" s="96">
        <f t="shared" ref="W4" si="22">SUM(W7,W11)</f>
        <v>6.2286328460877041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161.28306104901114</v>
      </c>
      <c r="C5" s="96">
        <f t="shared" si="23"/>
        <v>161.51711092003441</v>
      </c>
      <c r="D5" s="96">
        <f t="shared" ref="D5:V5" si="24">SUM(D8:D9,D12:D13)</f>
        <v>166.62846087704213</v>
      </c>
      <c r="E5" s="96">
        <f t="shared" si="24"/>
        <v>201.38529664660354</v>
      </c>
      <c r="F5" s="96">
        <f t="shared" si="24"/>
        <v>288.27747205502988</v>
      </c>
      <c r="G5" s="96">
        <f t="shared" si="24"/>
        <v>314.85623387790207</v>
      </c>
      <c r="H5" s="96">
        <f t="shared" si="24"/>
        <v>336.11590713671546</v>
      </c>
      <c r="I5" s="96">
        <f t="shared" si="24"/>
        <v>345.42373172828889</v>
      </c>
      <c r="J5" s="96">
        <f t="shared" si="24"/>
        <v>355.76577815993096</v>
      </c>
      <c r="K5" s="96">
        <f t="shared" si="24"/>
        <v>340.25270851246773</v>
      </c>
      <c r="L5" s="96">
        <f t="shared" si="24"/>
        <v>313.36345657781601</v>
      </c>
      <c r="M5" s="96">
        <f t="shared" si="24"/>
        <v>310.26079105760965</v>
      </c>
      <c r="N5" s="96">
        <f t="shared" si="24"/>
        <v>293.71358555460023</v>
      </c>
      <c r="O5" s="96">
        <f t="shared" si="24"/>
        <v>283.37153912295787</v>
      </c>
      <c r="P5" s="96">
        <f t="shared" si="24"/>
        <v>292.67936371453129</v>
      </c>
      <c r="Q5" s="96">
        <f t="shared" si="24"/>
        <v>294.74780739466894</v>
      </c>
      <c r="R5" s="96">
        <f t="shared" si="24"/>
        <v>316.46603611349968</v>
      </c>
      <c r="S5" s="96">
        <f t="shared" si="24"/>
        <v>354.73155631986253</v>
      </c>
      <c r="T5" s="96">
        <f t="shared" si="24"/>
        <v>409.54428202923464</v>
      </c>
      <c r="U5" s="96">
        <f t="shared" si="24"/>
        <v>418.85210662080812</v>
      </c>
      <c r="V5" s="96">
        <f t="shared" si="24"/>
        <v>113.7623387790198</v>
      </c>
      <c r="W5" s="96">
        <f t="shared" ref="W5" si="25">SUM(W8:W9,W12:W13)</f>
        <v>153.06199484092858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186.88331592279019</v>
      </c>
      <c r="C6" s="21">
        <f t="shared" si="26"/>
        <v>198.54598750632616</v>
      </c>
      <c r="D6" s="21">
        <f t="shared" ref="D6:V6" si="27">SUM(D7:D9)</f>
        <v>187.8569351617594</v>
      </c>
      <c r="E6" s="21">
        <f t="shared" si="27"/>
        <v>246.41078812425886</v>
      </c>
      <c r="F6" s="21">
        <f t="shared" si="27"/>
        <v>319.34057526901705</v>
      </c>
      <c r="G6" s="21">
        <f t="shared" si="27"/>
        <v>330.60555566635213</v>
      </c>
      <c r="H6" s="21">
        <f t="shared" si="27"/>
        <v>339.34399287693191</v>
      </c>
      <c r="I6" s="21">
        <f t="shared" si="27"/>
        <v>370.1661162277897</v>
      </c>
      <c r="J6" s="21">
        <f t="shared" si="27"/>
        <v>389.53066787493105</v>
      </c>
      <c r="K6" s="21">
        <f t="shared" si="27"/>
        <v>359.99860481632186</v>
      </c>
      <c r="L6" s="21">
        <f t="shared" si="27"/>
        <v>331.3131927084417</v>
      </c>
      <c r="M6" s="21">
        <f t="shared" si="27"/>
        <v>338.44064783682154</v>
      </c>
      <c r="N6" s="21">
        <f t="shared" si="27"/>
        <v>300.70959611848707</v>
      </c>
      <c r="O6" s="21">
        <f t="shared" si="27"/>
        <v>290.03580219884583</v>
      </c>
      <c r="P6" s="21">
        <f t="shared" si="27"/>
        <v>299.34753762508211</v>
      </c>
      <c r="Q6" s="21">
        <f t="shared" si="27"/>
        <v>319.96310881293954</v>
      </c>
      <c r="R6" s="21">
        <f t="shared" si="27"/>
        <v>344.1157828369179</v>
      </c>
      <c r="S6" s="21">
        <f t="shared" si="27"/>
        <v>391.50050391882019</v>
      </c>
      <c r="T6" s="21">
        <f t="shared" si="27"/>
        <v>426.89999128779169</v>
      </c>
      <c r="U6" s="21">
        <f t="shared" si="27"/>
        <v>443.27085927166041</v>
      </c>
      <c r="V6" s="21">
        <f t="shared" si="27"/>
        <v>128.01280676735075</v>
      </c>
      <c r="W6" s="21">
        <f t="shared" ref="W6" si="28">SUM(W7:W9)</f>
        <v>141.10909333282964</v>
      </c>
      <c r="DA6" s="189" t="s">
        <v>279</v>
      </c>
    </row>
    <row r="7" spans="1:105" ht="11.45" customHeight="1" x14ac:dyDescent="0.25">
      <c r="A7" s="83" t="s">
        <v>27</v>
      </c>
      <c r="B7" s="96">
        <v>38.283933807423679</v>
      </c>
      <c r="C7" s="96">
        <v>49.404034280354658</v>
      </c>
      <c r="D7" s="96">
        <v>35.015183852077257</v>
      </c>
      <c r="E7" s="96">
        <v>57.693973196751593</v>
      </c>
      <c r="F7" s="96">
        <v>43.827335223116734</v>
      </c>
      <c r="G7" s="96">
        <v>29.369234751931899</v>
      </c>
      <c r="H7" s="96">
        <v>16.208676197677246</v>
      </c>
      <c r="I7" s="96">
        <v>36.02507696551266</v>
      </c>
      <c r="J7" s="96">
        <v>45.099020841072694</v>
      </c>
      <c r="K7" s="96">
        <v>31.148654251790568</v>
      </c>
      <c r="L7" s="96">
        <v>29.1427465003683</v>
      </c>
      <c r="M7" s="96">
        <v>42.735273470756745</v>
      </c>
      <c r="N7" s="96">
        <v>20.865914691065232</v>
      </c>
      <c r="O7" s="96">
        <v>18.976176594325523</v>
      </c>
      <c r="P7" s="96">
        <v>18.330629529886842</v>
      </c>
      <c r="Q7" s="96">
        <v>37.698452184097498</v>
      </c>
      <c r="R7" s="96">
        <v>41.88821413346173</v>
      </c>
      <c r="S7" s="96">
        <v>51.702205471316006</v>
      </c>
      <c r="T7" s="96">
        <v>30.530391501918572</v>
      </c>
      <c r="U7" s="96">
        <v>37.327078959115823</v>
      </c>
      <c r="V7" s="96">
        <v>28.823538184434135</v>
      </c>
      <c r="W7" s="96">
        <v>4.5018936084103132</v>
      </c>
      <c r="DA7" s="171" t="s">
        <v>280</v>
      </c>
    </row>
    <row r="8" spans="1:105" ht="11.45" customHeight="1" x14ac:dyDescent="0.25">
      <c r="A8" s="83" t="s">
        <v>173</v>
      </c>
      <c r="B8" s="96">
        <v>87.49199778959084</v>
      </c>
      <c r="C8" s="96">
        <v>87.806398037493906</v>
      </c>
      <c r="D8" s="96">
        <v>89.985329162786286</v>
      </c>
      <c r="E8" s="96">
        <v>116.97225432115737</v>
      </c>
      <c r="F8" s="96">
        <v>173.0907146472673</v>
      </c>
      <c r="G8" s="96">
        <v>193.30113426897822</v>
      </c>
      <c r="H8" s="96">
        <v>205.58100181432084</v>
      </c>
      <c r="I8" s="96">
        <v>213.03028656100676</v>
      </c>
      <c r="J8" s="96">
        <v>215.1269789186409</v>
      </c>
      <c r="K8" s="96">
        <v>198.85623168998666</v>
      </c>
      <c r="L8" s="96">
        <v>179.49500024219464</v>
      </c>
      <c r="M8" s="96">
        <v>173.9843313536426</v>
      </c>
      <c r="N8" s="96">
        <v>162.89321469131784</v>
      </c>
      <c r="O8" s="96">
        <v>157.27432513899353</v>
      </c>
      <c r="P8" s="96">
        <v>164.052772489235</v>
      </c>
      <c r="Q8" s="96">
        <v>166.53548859107929</v>
      </c>
      <c r="R8" s="96">
        <v>183.18216204997913</v>
      </c>
      <c r="S8" s="96">
        <v>209.75061766391224</v>
      </c>
      <c r="T8" s="96">
        <v>245.04219059480928</v>
      </c>
      <c r="U8" s="96">
        <v>246.7777637889686</v>
      </c>
      <c r="V8" s="96">
        <v>53.426844337509515</v>
      </c>
      <c r="W8" s="96">
        <v>77.593237270126977</v>
      </c>
      <c r="DA8" s="171" t="s">
        <v>281</v>
      </c>
    </row>
    <row r="9" spans="1:105" ht="11.45" customHeight="1" x14ac:dyDescent="0.25">
      <c r="A9" s="83" t="s">
        <v>174</v>
      </c>
      <c r="B9" s="96">
        <v>61.107384325775669</v>
      </c>
      <c r="C9" s="96">
        <v>61.335555188477592</v>
      </c>
      <c r="D9" s="96">
        <v>62.856422146895852</v>
      </c>
      <c r="E9" s="96">
        <v>71.744560606349893</v>
      </c>
      <c r="F9" s="96">
        <v>102.42252539863301</v>
      </c>
      <c r="G9" s="96">
        <v>107.93518664544199</v>
      </c>
      <c r="H9" s="96">
        <v>117.55431486493383</v>
      </c>
      <c r="I9" s="96">
        <v>121.11075270127027</v>
      </c>
      <c r="J9" s="96">
        <v>129.30466811521745</v>
      </c>
      <c r="K9" s="96">
        <v>129.99371887454464</v>
      </c>
      <c r="L9" s="96">
        <v>122.67544596587875</v>
      </c>
      <c r="M9" s="96">
        <v>121.72104301242219</v>
      </c>
      <c r="N9" s="96">
        <v>116.950466736104</v>
      </c>
      <c r="O9" s="96">
        <v>113.78530046552676</v>
      </c>
      <c r="P9" s="96">
        <v>116.96413560596029</v>
      </c>
      <c r="Q9" s="96">
        <v>115.72916803776273</v>
      </c>
      <c r="R9" s="96">
        <v>119.04540665347706</v>
      </c>
      <c r="S9" s="96">
        <v>130.04768078359194</v>
      </c>
      <c r="T9" s="96">
        <v>151.32740919106385</v>
      </c>
      <c r="U9" s="96">
        <v>159.16601652357599</v>
      </c>
      <c r="V9" s="96">
        <v>45.762424245407111</v>
      </c>
      <c r="W9" s="96">
        <v>59.013962454292361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13.446262753048138</v>
      </c>
      <c r="C10" s="22">
        <f t="shared" si="29"/>
        <v>13.109644479916348</v>
      </c>
      <c r="D10" s="22">
        <f t="shared" ref="D10:V10" si="30">SUM(D11:D13)</f>
        <v>14.622256583726385</v>
      </c>
      <c r="E10" s="22">
        <f t="shared" si="30"/>
        <v>13.314491325440152</v>
      </c>
      <c r="F10" s="22">
        <f t="shared" si="30"/>
        <v>12.965099709486623</v>
      </c>
      <c r="G10" s="22">
        <f t="shared" si="30"/>
        <v>13.943541496158742</v>
      </c>
      <c r="H10" s="22">
        <f t="shared" si="30"/>
        <v>13.342593537513524</v>
      </c>
      <c r="I10" s="22">
        <f t="shared" si="30"/>
        <v>12.512301656991012</v>
      </c>
      <c r="J10" s="22">
        <f t="shared" si="30"/>
        <v>12.797621033065267</v>
      </c>
      <c r="K10" s="22">
        <f t="shared" si="30"/>
        <v>12.337852621339284</v>
      </c>
      <c r="L10" s="22">
        <f t="shared" si="30"/>
        <v>12.065569114430197</v>
      </c>
      <c r="M10" s="22">
        <f t="shared" si="30"/>
        <v>16.302602378139767</v>
      </c>
      <c r="N10" s="22">
        <f t="shared" si="30"/>
        <v>14.745691929664314</v>
      </c>
      <c r="O10" s="22">
        <f t="shared" si="30"/>
        <v>13.008995737525613</v>
      </c>
      <c r="P10" s="22">
        <f t="shared" si="30"/>
        <v>11.970863062793981</v>
      </c>
      <c r="Q10" s="22">
        <f t="shared" si="30"/>
        <v>13.085300473388877</v>
      </c>
      <c r="R10" s="22">
        <f t="shared" si="30"/>
        <v>14.787742528516386</v>
      </c>
      <c r="S10" s="22">
        <f t="shared" si="30"/>
        <v>16.01050210009651</v>
      </c>
      <c r="T10" s="22">
        <f t="shared" si="30"/>
        <v>16.808091257350103</v>
      </c>
      <c r="U10" s="22">
        <f t="shared" si="30"/>
        <v>23.189673832380723</v>
      </c>
      <c r="V10" s="22">
        <f t="shared" si="30"/>
        <v>27.141105528436036</v>
      </c>
      <c r="W10" s="22">
        <f t="shared" ref="W10" si="31">SUM(W11:W13)</f>
        <v>18.181534354186642</v>
      </c>
      <c r="DA10" s="193" t="s">
        <v>283</v>
      </c>
    </row>
    <row r="11" spans="1:105" ht="11.45" customHeight="1" x14ac:dyDescent="0.25">
      <c r="A11" s="92" t="s">
        <v>27</v>
      </c>
      <c r="B11" s="97">
        <v>0.76258381940348752</v>
      </c>
      <c r="C11" s="97">
        <v>0.73448678585341676</v>
      </c>
      <c r="D11" s="97">
        <v>0.83554701636641737</v>
      </c>
      <c r="E11" s="97">
        <v>0.64600960634384719</v>
      </c>
      <c r="F11" s="97">
        <v>0.20086770035703491</v>
      </c>
      <c r="G11" s="97">
        <v>0.32362853267687225</v>
      </c>
      <c r="H11" s="97">
        <v>0.36200308005276494</v>
      </c>
      <c r="I11" s="97">
        <v>1.229609190979174</v>
      </c>
      <c r="J11" s="97">
        <v>1.4634899069926517</v>
      </c>
      <c r="K11" s="97">
        <v>0.93509467340289198</v>
      </c>
      <c r="L11" s="97">
        <v>0.87255874468758887</v>
      </c>
      <c r="M11" s="97">
        <v>1.7471856865949271</v>
      </c>
      <c r="N11" s="97">
        <v>0.87578780248592825</v>
      </c>
      <c r="O11" s="97">
        <v>0.69708221908806667</v>
      </c>
      <c r="P11" s="97">
        <v>0.30840744345794718</v>
      </c>
      <c r="Q11" s="97">
        <v>0.60214970756200736</v>
      </c>
      <c r="R11" s="97">
        <v>0.54927511847292043</v>
      </c>
      <c r="S11" s="97">
        <v>1.0772442277381602</v>
      </c>
      <c r="T11" s="97">
        <v>3.6334090139885689</v>
      </c>
      <c r="U11" s="97">
        <v>10.281347524117185</v>
      </c>
      <c r="V11" s="97">
        <v>12.568035332332849</v>
      </c>
      <c r="W11" s="97">
        <v>1.7267392376773913</v>
      </c>
      <c r="DA11" s="175" t="s">
        <v>284</v>
      </c>
    </row>
    <row r="12" spans="1:105" ht="11.45" customHeight="1" x14ac:dyDescent="0.25">
      <c r="A12" s="92" t="s">
        <v>173</v>
      </c>
      <c r="B12" s="97">
        <v>2.8667173107494786</v>
      </c>
      <c r="C12" s="97">
        <v>2.679285201402223</v>
      </c>
      <c r="D12" s="97">
        <v>3.1762422270672772</v>
      </c>
      <c r="E12" s="97">
        <v>2.3731043528549405</v>
      </c>
      <c r="F12" s="97">
        <v>3.2382819087394679</v>
      </c>
      <c r="G12" s="97">
        <v>3.3934269364366338</v>
      </c>
      <c r="H12" s="97">
        <v>3.8645171227627193</v>
      </c>
      <c r="I12" s="97">
        <v>3.7591049828717078</v>
      </c>
      <c r="J12" s="97">
        <v>2.9680422251848304</v>
      </c>
      <c r="K12" s="97">
        <v>2.6276312965777935</v>
      </c>
      <c r="L12" s="97">
        <v>3.0166999463825519</v>
      </c>
      <c r="M12" s="97">
        <v>2.4598202141849401</v>
      </c>
      <c r="N12" s="97">
        <v>1.9846946464017015</v>
      </c>
      <c r="O12" s="97">
        <v>2.0106118163213953</v>
      </c>
      <c r="P12" s="97">
        <v>2.2136520608754755</v>
      </c>
      <c r="Q12" s="97">
        <v>2.2941627351748664</v>
      </c>
      <c r="R12" s="97">
        <v>2.5091350492517406</v>
      </c>
      <c r="S12" s="97">
        <v>3.3513921446213413</v>
      </c>
      <c r="T12" s="97">
        <v>4.1262101125364259</v>
      </c>
      <c r="U12" s="97">
        <v>3.4604328091498613</v>
      </c>
      <c r="V12" s="97">
        <v>2.7462749484099684</v>
      </c>
      <c r="W12" s="97">
        <v>4.5489597551915741</v>
      </c>
      <c r="DA12" s="175" t="s">
        <v>285</v>
      </c>
    </row>
    <row r="13" spans="1:105" ht="11.45" customHeight="1" x14ac:dyDescent="0.25">
      <c r="A13" s="85" t="s">
        <v>174</v>
      </c>
      <c r="B13" s="98">
        <v>9.8169616228951728</v>
      </c>
      <c r="C13" s="98">
        <v>9.6958724926607083</v>
      </c>
      <c r="D13" s="98">
        <v>10.61046734029269</v>
      </c>
      <c r="E13" s="98">
        <v>10.295377366241365</v>
      </c>
      <c r="F13" s="98">
        <v>9.525950100390121</v>
      </c>
      <c r="G13" s="98">
        <v>10.226486027045237</v>
      </c>
      <c r="H13" s="98">
        <v>9.11607333469804</v>
      </c>
      <c r="I13" s="98">
        <v>7.5235874831401297</v>
      </c>
      <c r="J13" s="98">
        <v>8.3660889008877852</v>
      </c>
      <c r="K13" s="98">
        <v>8.7751266513585993</v>
      </c>
      <c r="L13" s="98">
        <v>8.1763104233600572</v>
      </c>
      <c r="M13" s="98">
        <v>12.0955964773599</v>
      </c>
      <c r="N13" s="98">
        <v>11.885209480776684</v>
      </c>
      <c r="O13" s="98">
        <v>10.301301702116151</v>
      </c>
      <c r="P13" s="98">
        <v>9.4488035584605576</v>
      </c>
      <c r="Q13" s="98">
        <v>10.188988030652002</v>
      </c>
      <c r="R13" s="98">
        <v>11.729332360791725</v>
      </c>
      <c r="S13" s="98">
        <v>11.581865727737009</v>
      </c>
      <c r="T13" s="98">
        <v>9.0484721308251075</v>
      </c>
      <c r="U13" s="98">
        <v>9.4478934991136772</v>
      </c>
      <c r="V13" s="98">
        <v>11.826795247693216</v>
      </c>
      <c r="W13" s="98">
        <v>11.905835361317676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633.58535339166235</v>
      </c>
      <c r="C17" s="62">
        <f>IF(C3=0,0,C3/TrAvia_act!C13*100)</f>
        <v>664.75685012596659</v>
      </c>
      <c r="D17" s="62">
        <f>IF(D3=0,0,D3/TrAvia_act!D13*100)</f>
        <v>618.26294437648551</v>
      </c>
      <c r="E17" s="62">
        <f>IF(E3=0,0,E3/TrAvia_act!E13*100)</f>
        <v>418.35875753621332</v>
      </c>
      <c r="F17" s="62">
        <f>IF(F3=0,0,F3/TrAvia_act!F13*100)</f>
        <v>422.05098028776422</v>
      </c>
      <c r="G17" s="62">
        <f>IF(G3=0,0,G3/TrAvia_act!G13*100)</f>
        <v>399.59976461075655</v>
      </c>
      <c r="H17" s="62">
        <f>IF(H3=0,0,H3/TrAvia_act!H13*100)</f>
        <v>397.96986023706899</v>
      </c>
      <c r="I17" s="62">
        <f>IF(I3=0,0,I3/TrAvia_act!I13*100)</f>
        <v>402.53551676978907</v>
      </c>
      <c r="J17" s="62">
        <f>IF(J3=0,0,J3/TrAvia_act!J13*100)</f>
        <v>403.35865597374425</v>
      </c>
      <c r="K17" s="62">
        <f>IF(K3=0,0,K3/TrAvia_act!K13*100)</f>
        <v>400.97672852617256</v>
      </c>
      <c r="L17" s="62">
        <f>IF(L3=0,0,L3/TrAvia_act!L13*100)</f>
        <v>387.297947277986</v>
      </c>
      <c r="M17" s="62">
        <f>IF(M3=0,0,M3/TrAvia_act!M13*100)</f>
        <v>396.52763258373824</v>
      </c>
      <c r="N17" s="62">
        <f>IF(N3=0,0,N3/TrAvia_act!N13*100)</f>
        <v>392.76107811068874</v>
      </c>
      <c r="O17" s="62">
        <f>IF(O3=0,0,O3/TrAvia_act!O13*100)</f>
        <v>385.70760216899129</v>
      </c>
      <c r="P17" s="62">
        <f>IF(P3=0,0,P3/TrAvia_act!P13*100)</f>
        <v>397.57798659820628</v>
      </c>
      <c r="Q17" s="62">
        <f>IF(Q3=0,0,Q3/TrAvia_act!Q13*100)</f>
        <v>420.73530755822208</v>
      </c>
      <c r="R17" s="62">
        <f>IF(R3=0,0,R3/TrAvia_act!R13*100)</f>
        <v>424.14287327323643</v>
      </c>
      <c r="S17" s="62">
        <f>IF(S3=0,0,S3/TrAvia_act!S13*100)</f>
        <v>437.2097088690478</v>
      </c>
      <c r="T17" s="62">
        <f>IF(T3=0,0,T3/TrAvia_act!T13*100)</f>
        <v>418.37532097218536</v>
      </c>
      <c r="U17" s="62">
        <f>IF(U3=0,0,U3/TrAvia_act!U13*100)</f>
        <v>431.61189130015885</v>
      </c>
      <c r="V17" s="62">
        <f>IF(V3=0,0,V3/TrAvia_act!V13*100)</f>
        <v>522.51305794593031</v>
      </c>
      <c r="W17" s="62">
        <f>IF(W3=0,0,W3/TrAvia_act!W13*100)</f>
        <v>417.91861489484575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622.25262628428777</v>
      </c>
      <c r="C18" s="14">
        <f>IF(C6=0,0,C6/TrAvia_act!C14*100)</f>
        <v>655.11748139608608</v>
      </c>
      <c r="D18" s="14">
        <f>IF(D6=0,0,D6/TrAvia_act!D14*100)</f>
        <v>605.80700072171885</v>
      </c>
      <c r="E18" s="14">
        <f>IF(E6=0,0,E6/TrAvia_act!E14*100)</f>
        <v>412.80419511704895</v>
      </c>
      <c r="F18" s="14">
        <f>IF(F6=0,0,F6/TrAvia_act!F14*100)</f>
        <v>417.44117041446776</v>
      </c>
      <c r="G18" s="14">
        <f>IF(G6=0,0,G6/TrAvia_act!G14*100)</f>
        <v>394.21001843018917</v>
      </c>
      <c r="H18" s="14">
        <f>IF(H6=0,0,H6/TrAvia_act!H14*100)</f>
        <v>392.9735593490721</v>
      </c>
      <c r="I18" s="14">
        <f>IF(I6=0,0,I6/TrAvia_act!I14*100)</f>
        <v>398.4990090738828</v>
      </c>
      <c r="J18" s="14">
        <f>IF(J6=0,0,J6/TrAvia_act!J14*100)</f>
        <v>399.111515026966</v>
      </c>
      <c r="K18" s="14">
        <f>IF(K6=0,0,K6/TrAvia_act!K14*100)</f>
        <v>396.72109378252014</v>
      </c>
      <c r="L18" s="14">
        <f>IF(L6=0,0,L6/TrAvia_act!L14*100)</f>
        <v>383.25583140215758</v>
      </c>
      <c r="M18" s="14">
        <f>IF(M6=0,0,M6/TrAvia_act!M14*100)</f>
        <v>390.3171939737677</v>
      </c>
      <c r="N18" s="14">
        <f>IF(N6=0,0,N6/TrAvia_act!N14*100)</f>
        <v>386.15250893584829</v>
      </c>
      <c r="O18" s="14">
        <f>IF(O6=0,0,O6/TrAvia_act!O14*100)</f>
        <v>380.21675063611434</v>
      </c>
      <c r="P18" s="14">
        <f>IF(P6=0,0,P6/TrAvia_act!P14*100)</f>
        <v>393.05313229187277</v>
      </c>
      <c r="Q18" s="14">
        <f>IF(Q6=0,0,Q6/TrAvia_act!Q14*100)</f>
        <v>416.36085010533697</v>
      </c>
      <c r="R18" s="14">
        <f>IF(R6=0,0,R6/TrAvia_act!R14*100)</f>
        <v>420.14832659707207</v>
      </c>
      <c r="S18" s="14">
        <f>IF(S6=0,0,S6/TrAvia_act!S14*100)</f>
        <v>434.26263436078585</v>
      </c>
      <c r="T18" s="14">
        <f>IF(T6=0,0,T6/TrAvia_act!T14*100)</f>
        <v>413.82524795041792</v>
      </c>
      <c r="U18" s="14">
        <f>IF(U6=0,0,U6/TrAvia_act!U14*100)</f>
        <v>421.47801245416588</v>
      </c>
      <c r="V18" s="14">
        <f>IF(V6=0,0,V6/TrAvia_act!V14*100)</f>
        <v>474.53473805667971</v>
      </c>
      <c r="W18" s="14">
        <f>IF(W6=0,0,W6/TrAvia_act!W14*100)</f>
        <v>404.78263632837661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5409.9114138794503</v>
      </c>
      <c r="C19" s="87">
        <f>IF(C7=0,0,C7/TrAvia_act!C15*100)</f>
        <v>5432.3128900968886</v>
      </c>
      <c r="D19" s="87">
        <f>IF(D7=0,0,D7/TrAvia_act!D15*100)</f>
        <v>5378.6809095430617</v>
      </c>
      <c r="E19" s="87">
        <f>IF(E7=0,0,E7/TrAvia_act!E15*100)</f>
        <v>5103.6977552092285</v>
      </c>
      <c r="F19" s="87">
        <f>IF(F7=0,0,F7/TrAvia_act!F15*100)</f>
        <v>3035.8542618317806</v>
      </c>
      <c r="G19" s="87">
        <f>IF(G7=0,0,G7/TrAvia_act!G15*100)</f>
        <v>2019.8554435717317</v>
      </c>
      <c r="H19" s="87">
        <f>IF(H7=0,0,H7/TrAvia_act!H15*100)</f>
        <v>1062.3874972857107</v>
      </c>
      <c r="I19" s="87">
        <f>IF(I7=0,0,I7/TrAvia_act!I15*100)</f>
        <v>2423.5714212376984</v>
      </c>
      <c r="J19" s="87">
        <f>IF(J7=0,0,J7/TrAvia_act!J15*100)</f>
        <v>2554.9037328535769</v>
      </c>
      <c r="K19" s="87">
        <f>IF(K7=0,0,K7/TrAvia_act!K15*100)</f>
        <v>1475.6572613582855</v>
      </c>
      <c r="L19" s="87">
        <f>IF(L7=0,0,L7/TrAvia_act!L15*100)</f>
        <v>1850.6390888455717</v>
      </c>
      <c r="M19" s="87">
        <f>IF(M7=0,0,M7/TrAvia_act!M15*100)</f>
        <v>4346.9020309653688</v>
      </c>
      <c r="N19" s="87">
        <f>IF(N7=0,0,N7/TrAvia_act!N15*100)</f>
        <v>2718.5398244440739</v>
      </c>
      <c r="O19" s="87">
        <f>IF(O7=0,0,O7/TrAvia_act!O15*100)</f>
        <v>3504.8113067008017</v>
      </c>
      <c r="P19" s="87">
        <f>IF(P7=0,0,P7/TrAvia_act!P15*100)</f>
        <v>2781.4647199200012</v>
      </c>
      <c r="Q19" s="87">
        <f>IF(Q7=0,0,Q7/TrAvia_act!Q15*100)</f>
        <v>5467.1657136694485</v>
      </c>
      <c r="R19" s="87">
        <f>IF(R7=0,0,R7/TrAvia_act!R15*100)</f>
        <v>6360.9890253926051</v>
      </c>
      <c r="S19" s="87">
        <f>IF(S7=0,0,S7/TrAvia_act!S15*100)</f>
        <v>11506.692085689103</v>
      </c>
      <c r="T19" s="87">
        <f>IF(T7=0,0,T7/TrAvia_act!T15*100)</f>
        <v>7587.2936248177739</v>
      </c>
      <c r="U19" s="87">
        <f>IF(U7=0,0,U7/TrAvia_act!U15*100)</f>
        <v>29935.676764750599</v>
      </c>
      <c r="V19" s="87">
        <f>IF(V7=0,0,V7/TrAvia_act!V15*100)</f>
        <v>37888.673224852289</v>
      </c>
      <c r="W19" s="87">
        <f>IF(W7=0,0,W7/TrAvia_act!W15*100)</f>
        <v>3827.7987462002989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463.22300782268229</v>
      </c>
      <c r="C20" s="87">
        <f>IF(C8=0,0,C8/TrAvia_act!C16*100)</f>
        <v>463.77471414759668</v>
      </c>
      <c r="D20" s="87">
        <f>IF(D8=0,0,D8/TrAvia_act!D16*100)</f>
        <v>460.23664010242283</v>
      </c>
      <c r="E20" s="87">
        <f>IF(E8=0,0,E8/TrAvia_act!E16*100)</f>
        <v>297.07152593473268</v>
      </c>
      <c r="F20" s="87">
        <f>IF(F8=0,0,F8/TrAvia_act!F16*100)</f>
        <v>339.82638312524438</v>
      </c>
      <c r="G20" s="87">
        <f>IF(G8=0,0,G8/TrAvia_act!G16*100)</f>
        <v>338.16618234167117</v>
      </c>
      <c r="H20" s="87">
        <f>IF(H8=0,0,H8/TrAvia_act!H16*100)</f>
        <v>354.53552082303094</v>
      </c>
      <c r="I20" s="87">
        <f>IF(I8=0,0,I8/TrAvia_act!I16*100)</f>
        <v>350.23648725323062</v>
      </c>
      <c r="J20" s="87">
        <f>IF(J8=0,0,J8/TrAvia_act!J16*100)</f>
        <v>340.2170124108942</v>
      </c>
      <c r="K20" s="87">
        <f>IF(K8=0,0,K8/TrAvia_act!K16*100)</f>
        <v>361.54058712844659</v>
      </c>
      <c r="L20" s="87">
        <f>IF(L8=0,0,L8/TrAvia_act!L16*100)</f>
        <v>347.71913143831171</v>
      </c>
      <c r="M20" s="87">
        <f>IF(M8=0,0,M8/TrAvia_act!M16*100)</f>
        <v>347.97046631167035</v>
      </c>
      <c r="N20" s="87">
        <f>IF(N8=0,0,N8/TrAvia_act!N16*100)</f>
        <v>383.78337410951423</v>
      </c>
      <c r="O20" s="87">
        <f>IF(O8=0,0,O8/TrAvia_act!O16*100)</f>
        <v>382.19187749142765</v>
      </c>
      <c r="P20" s="87">
        <f>IF(P8=0,0,P8/TrAvia_act!P16*100)</f>
        <v>396.5931743633659</v>
      </c>
      <c r="Q20" s="87">
        <f>IF(Q8=0,0,Q8/TrAvia_act!Q16*100)</f>
        <v>382.14394684916743</v>
      </c>
      <c r="R20" s="87">
        <f>IF(R8=0,0,R8/TrAvia_act!R16*100)</f>
        <v>385.18190581928775</v>
      </c>
      <c r="S20" s="87">
        <f>IF(S8=0,0,S8/TrAvia_act!S16*100)</f>
        <v>415.76987344654646</v>
      </c>
      <c r="T20" s="87">
        <f>IF(T8=0,0,T8/TrAvia_act!T16*100)</f>
        <v>451.61021892748386</v>
      </c>
      <c r="U20" s="87">
        <f>IF(U8=0,0,U8/TrAvia_act!U16*100)</f>
        <v>459.11280741197658</v>
      </c>
      <c r="V20" s="87">
        <f>IF(V8=0,0,V8/TrAvia_act!V16*100)</f>
        <v>346.41643356956206</v>
      </c>
      <c r="W20" s="87">
        <f>IF(W8=0,0,W8/TrAvia_act!W16*100)</f>
        <v>403.81550954870056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585.43047511216571</v>
      </c>
      <c r="C21" s="87">
        <f>IF(C9=0,0,C9/TrAvia_act!C17*100)</f>
        <v>586.13005091883781</v>
      </c>
      <c r="D21" s="87">
        <f>IF(D9=0,0,D9/TrAvia_act!D17*100)</f>
        <v>581.6591781538217</v>
      </c>
      <c r="E21" s="87">
        <f>IF(E9=0,0,E9/TrAvia_act!E17*100)</f>
        <v>373.93485194751059</v>
      </c>
      <c r="F21" s="87">
        <f>IF(F9=0,0,F9/TrAvia_act!F17*100)</f>
        <v>424.62255618932289</v>
      </c>
      <c r="G21" s="87">
        <f>IF(G9=0,0,G9/TrAvia_act!G17*100)</f>
        <v>427.47067696879617</v>
      </c>
      <c r="H21" s="87">
        <f>IF(H9=0,0,H9/TrAvia_act!H17*100)</f>
        <v>437.9624152567705</v>
      </c>
      <c r="I21" s="87">
        <f>IF(I9=0,0,I9/TrAvia_act!I17*100)</f>
        <v>396.05918816019818</v>
      </c>
      <c r="J21" s="87">
        <f>IF(J9=0,0,J9/TrAvia_act!J17*100)</f>
        <v>396.61599618466613</v>
      </c>
      <c r="K21" s="87">
        <f>IF(K9=0,0,K9/TrAvia_act!K17*100)</f>
        <v>386.53860813105956</v>
      </c>
      <c r="L21" s="87">
        <f>IF(L9=0,0,L9/TrAvia_act!L17*100)</f>
        <v>368.9311682909306</v>
      </c>
      <c r="M21" s="87">
        <f>IF(M9=0,0,M9/TrAvia_act!M17*100)</f>
        <v>340.7045923620492</v>
      </c>
      <c r="N21" s="87">
        <f>IF(N9=0,0,N9/TrAvia_act!N17*100)</f>
        <v>337.40565554163015</v>
      </c>
      <c r="O21" s="87">
        <f>IF(O9=0,0,O9/TrAvia_act!O17*100)</f>
        <v>328.95766489919123</v>
      </c>
      <c r="P21" s="87">
        <f>IF(P9=0,0,P9/TrAvia_act!P17*100)</f>
        <v>342.65136737099016</v>
      </c>
      <c r="Q21" s="87">
        <f>IF(Q9=0,0,Q9/TrAvia_act!Q17*100)</f>
        <v>355.22899717910519</v>
      </c>
      <c r="R21" s="87">
        <f>IF(R9=0,0,R9/TrAvia_act!R17*100)</f>
        <v>353.38075751269957</v>
      </c>
      <c r="S21" s="87">
        <f>IF(S9=0,0,S9/TrAvia_act!S17*100)</f>
        <v>331.29046976850367</v>
      </c>
      <c r="T21" s="87">
        <f>IF(T9=0,0,T9/TrAvia_act!T17*100)</f>
        <v>312.03180430774069</v>
      </c>
      <c r="U21" s="87">
        <f>IF(U9=0,0,U9/TrAvia_act!U17*100)</f>
        <v>310.29612053151334</v>
      </c>
      <c r="V21" s="87">
        <f>IF(V9=0,0,V9/TrAvia_act!V17*100)</f>
        <v>398.70756471085468</v>
      </c>
      <c r="W21" s="87">
        <f>IF(W9=0,0,W9/TrAvia_act!W17*100)</f>
        <v>380.05288774436809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848.31617010122466</v>
      </c>
      <c r="C22" s="15">
        <f>IF(C10=0,0,C10/TrAvia_act!C18*100)</f>
        <v>855.37043015826237</v>
      </c>
      <c r="D22" s="15">
        <f>IF(D10=0,0,D10/TrAvia_act!D18*100)</f>
        <v>840.20558130998836</v>
      </c>
      <c r="E22" s="15">
        <f>IF(E10=0,0,E10/TrAvia_act!E18*100)</f>
        <v>557.0865864776581</v>
      </c>
      <c r="F22" s="15">
        <f>IF(F10=0,0,F10/TrAvia_act!F18*100)</f>
        <v>579.7388974357392</v>
      </c>
      <c r="G22" s="15">
        <f>IF(G10=0,0,G10/TrAvia_act!G18*100)</f>
        <v>591.27579778370898</v>
      </c>
      <c r="H22" s="15">
        <f>IF(H10=0,0,H10/TrAvia_act!H18*100)</f>
        <v>588.15524401528671</v>
      </c>
      <c r="I22" s="15">
        <f>IF(I10=0,0,I10/TrAvia_act!I18*100)</f>
        <v>574.77678471002332</v>
      </c>
      <c r="J22" s="15">
        <f>IF(J10=0,0,J10/TrAvia_act!J18*100)</f>
        <v>596.59870041395982</v>
      </c>
      <c r="K22" s="15">
        <f>IF(K10=0,0,K10/TrAvia_act!K18*100)</f>
        <v>583.66088364575262</v>
      </c>
      <c r="L22" s="15">
        <f>IF(L10=0,0,L10/TrAvia_act!L18*100)</f>
        <v>545.18924052674095</v>
      </c>
      <c r="M22" s="15">
        <f>IF(M10=0,0,M10/TrAvia_act!M18*100)</f>
        <v>592.11192922390251</v>
      </c>
      <c r="N22" s="15">
        <f>IF(N10=0,0,N10/TrAvia_act!N18*100)</f>
        <v>603.32356334704423</v>
      </c>
      <c r="O22" s="15">
        <f>IF(O10=0,0,O10/TrAvia_act!O18*100)</f>
        <v>568.8656492423363</v>
      </c>
      <c r="P22" s="15">
        <f>IF(P10=0,0,P10/TrAvia_act!P18*100)</f>
        <v>558.29783261043576</v>
      </c>
      <c r="Q22" s="15">
        <f>IF(Q10=0,0,Q10/TrAvia_act!Q18*100)</f>
        <v>566.19224304840748</v>
      </c>
      <c r="R22" s="15">
        <f>IF(R10=0,0,R10/TrAvia_act!R18*100)</f>
        <v>544.64014839335425</v>
      </c>
      <c r="S22" s="15">
        <f>IF(S10=0,0,S10/TrAvia_act!S18*100)</f>
        <v>524.198140994597</v>
      </c>
      <c r="T22" s="15">
        <f>IF(T10=0,0,T10/TrAvia_act!T18*100)</f>
        <v>580.48043583505523</v>
      </c>
      <c r="U22" s="15">
        <f>IF(U10=0,0,U10/TrAvia_act!U18*100)</f>
        <v>798.6823162440229</v>
      </c>
      <c r="V22" s="15">
        <f>IF(V10=0,0,V10/TrAvia_act!V18*100)</f>
        <v>998.82677251826931</v>
      </c>
      <c r="W22" s="15">
        <f>IF(W10=0,0,W10/TrAvia_act!W18*100)</f>
        <v>558.61269672912681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8844.6489315278686</v>
      </c>
      <c r="C23" s="101">
        <f>IF(C11=0,0,C11/TrAvia_act!C19*100)</f>
        <v>8881.2730418936844</v>
      </c>
      <c r="D23" s="101">
        <f>IF(D11=0,0,D11/TrAvia_act!D19*100)</f>
        <v>8793.5902679606133</v>
      </c>
      <c r="E23" s="101">
        <f>IF(E11=0,0,E11/TrAvia_act!E19*100)</f>
        <v>8344.0210835323542</v>
      </c>
      <c r="F23" s="101">
        <f>IF(F11=0,0,F11/TrAvia_act!F19*100)</f>
        <v>4963.3095810583463</v>
      </c>
      <c r="G23" s="101">
        <f>IF(G11=0,0,G11/TrAvia_act!G19*100)</f>
        <v>3413.6721447639088</v>
      </c>
      <c r="H23" s="101">
        <f>IF(H11=0,0,H11/TrAvia_act!H19*100)</f>
        <v>1691.4481862604266</v>
      </c>
      <c r="I23" s="101">
        <f>IF(I11=0,0,I11/TrAvia_act!I19*100)</f>
        <v>3417.3180674730966</v>
      </c>
      <c r="J23" s="101">
        <f>IF(J11=0,0,J11/TrAvia_act!J19*100)</f>
        <v>3287.6010802321994</v>
      </c>
      <c r="K23" s="101">
        <f>IF(K11=0,0,K11/TrAvia_act!K19*100)</f>
        <v>1753.0816439552696</v>
      </c>
      <c r="L23" s="101">
        <f>IF(L11=0,0,L11/TrAvia_act!L19*100)</f>
        <v>2044.2694118774327</v>
      </c>
      <c r="M23" s="101">
        <f>IF(M11=0,0,M11/TrAvia_act!M19*100)</f>
        <v>4833.4385618024944</v>
      </c>
      <c r="N23" s="101">
        <f>IF(N11=0,0,N11/TrAvia_act!N19*100)</f>
        <v>3058.2892689149544</v>
      </c>
      <c r="O23" s="101">
        <f>IF(O11=0,0,O11/TrAvia_act!O19*100)</f>
        <v>3978.8062747539584</v>
      </c>
      <c r="P23" s="101">
        <f>IF(P11=0,0,P11/TrAvia_act!P19*100)</f>
        <v>3145.4983973370231</v>
      </c>
      <c r="Q23" s="101">
        <f>IF(Q11=0,0,Q11/TrAvia_act!Q19*100)</f>
        <v>6239.5917403827161</v>
      </c>
      <c r="R23" s="101">
        <f>IF(R11=0,0,R11/TrAvia_act!R19*100)</f>
        <v>7220.8699734343209</v>
      </c>
      <c r="S23" s="101">
        <f>IF(S11=0,0,S11/TrAvia_act!S19*100)</f>
        <v>12994.251126883668</v>
      </c>
      <c r="T23" s="101">
        <f>IF(T11=0,0,T11/TrAvia_act!T19*100)</f>
        <v>8644.7068494674986</v>
      </c>
      <c r="U23" s="101">
        <f>IF(U11=0,0,U11/TrAvia_act!U19*100)</f>
        <v>29464.667553848823</v>
      </c>
      <c r="V23" s="101">
        <f>IF(V11=0,0,V11/TrAvia_act!V19*100)</f>
        <v>37299.994292203715</v>
      </c>
      <c r="W23" s="101">
        <f>IF(W11=0,0,W11/TrAvia_act!W19*100)</f>
        <v>3769.3404195840662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492.7496358068334</v>
      </c>
      <c r="C24" s="101">
        <f>IF(C12=0,0,C12/TrAvia_act!C20*100)</f>
        <v>493.28881368398055</v>
      </c>
      <c r="D24" s="101">
        <f>IF(D12=0,0,D12/TrAvia_act!D20*100)</f>
        <v>489.55829953941122</v>
      </c>
      <c r="E24" s="101">
        <f>IF(E12=0,0,E12/TrAvia_act!E20*100)</f>
        <v>316.76472549671229</v>
      </c>
      <c r="F24" s="101">
        <f>IF(F12=0,0,F12/TrAvia_act!F20*100)</f>
        <v>359.15493872854483</v>
      </c>
      <c r="G24" s="101">
        <f>IF(G12=0,0,G12/TrAvia_act!G20*100)</f>
        <v>357.13066367480235</v>
      </c>
      <c r="H24" s="101">
        <f>IF(H12=0,0,H12/TrAvia_act!H20*100)</f>
        <v>375.20916825769388</v>
      </c>
      <c r="I24" s="101">
        <f>IF(I12=0,0,I12/TrAvia_act!I20*100)</f>
        <v>367.98525831340737</v>
      </c>
      <c r="J24" s="101">
        <f>IF(J12=0,0,J12/TrAvia_act!J20*100)</f>
        <v>352.27295075319103</v>
      </c>
      <c r="K24" s="101">
        <f>IF(K12=0,0,K12/TrAvia_act!K20*100)</f>
        <v>381.23984001534865</v>
      </c>
      <c r="L24" s="101">
        <f>IF(L12=0,0,L12/TrAvia_act!L20*100)</f>
        <v>368.60300136849105</v>
      </c>
      <c r="M24" s="101">
        <f>IF(M12=0,0,M12/TrAvia_act!M20*100)</f>
        <v>372.14298193168639</v>
      </c>
      <c r="N24" s="101">
        <f>IF(N12=0,0,N12/TrAvia_act!N20*100)</f>
        <v>410.36726511169564</v>
      </c>
      <c r="O24" s="101">
        <f>IF(O12=0,0,O12/TrAvia_act!O20*100)</f>
        <v>411.46997954236213</v>
      </c>
      <c r="P24" s="101">
        <f>IF(P12=0,0,P12/TrAvia_act!P20*100)</f>
        <v>427.73410379954868</v>
      </c>
      <c r="Q24" s="101">
        <f>IF(Q12=0,0,Q12/TrAvia_act!Q20*100)</f>
        <v>414.57788096882757</v>
      </c>
      <c r="R24" s="101">
        <f>IF(R12=0,0,R12/TrAvia_act!R20*100)</f>
        <v>420.29815213951298</v>
      </c>
      <c r="S24" s="101">
        <f>IF(S12=0,0,S12/TrAvia_act!S20*100)</f>
        <v>451.99742581080591</v>
      </c>
      <c r="T24" s="101">
        <f>IF(T12=0,0,T12/TrAvia_act!T20*100)</f>
        <v>484.91016810032346</v>
      </c>
      <c r="U24" s="101">
        <f>IF(U12=0,0,U12/TrAvia_act!U20*100)</f>
        <v>497.28787989473983</v>
      </c>
      <c r="V24" s="101">
        <f>IF(V12=0,0,V12/TrAvia_act!V20*100)</f>
        <v>421.41590279083374</v>
      </c>
      <c r="W24" s="101">
        <f>IF(W12=0,0,W12/TrAvia_act!W20*100)</f>
        <v>449.64628248807566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986.97495137966894</v>
      </c>
      <c r="C25" s="88">
        <f>IF(C13=0,0,C13/TrAvia_act!C21*100)</f>
        <v>988.15436349968854</v>
      </c>
      <c r="D25" s="88">
        <f>IF(D13=0,0,D13/TrAvia_act!D21*100)</f>
        <v>980.61693656777004</v>
      </c>
      <c r="E25" s="88">
        <f>IF(E13=0,0,E13/TrAvia_act!E21*100)</f>
        <v>630.41530635955837</v>
      </c>
      <c r="F25" s="88">
        <f>IF(F13=0,0,F13/TrAvia_act!F21*100)</f>
        <v>715.86950896154042</v>
      </c>
      <c r="G25" s="88">
        <f>IF(G13=0,0,G13/TrAvia_act!G21*100)</f>
        <v>731.22561937117246</v>
      </c>
      <c r="H25" s="88">
        <f>IF(H13=0,0,H13/TrAvia_act!H21*100)</f>
        <v>748.94768964838511</v>
      </c>
      <c r="I25" s="88">
        <f>IF(I13=0,0,I13/TrAvia_act!I21*100)</f>
        <v>672.12155447877353</v>
      </c>
      <c r="J25" s="88">
        <f>IF(J13=0,0,J13/TrAvia_act!J21*100)</f>
        <v>665.00917923772943</v>
      </c>
      <c r="K25" s="88">
        <f>IF(K13=0,0,K13/TrAvia_act!K21*100)</f>
        <v>639.91284078013473</v>
      </c>
      <c r="L25" s="88">
        <f>IF(L13=0,0,L13/TrAvia_act!L21*100)</f>
        <v>604.75673021766715</v>
      </c>
      <c r="M25" s="88">
        <f>IF(M13=0,0,M13/TrAvia_act!M21*100)</f>
        <v>588.2609887422974</v>
      </c>
      <c r="N25" s="88">
        <f>IF(N13=0,0,N13/TrAvia_act!N21*100)</f>
        <v>615.2396058071439</v>
      </c>
      <c r="O25" s="88">
        <f>IF(O13=0,0,O13/TrAvia_act!O21*100)</f>
        <v>578.50710269656099</v>
      </c>
      <c r="P25" s="88">
        <f>IF(P13=0,0,P13/TrAvia_act!P21*100)</f>
        <v>584.40055978553028</v>
      </c>
      <c r="Q25" s="88">
        <f>IF(Q13=0,0,Q13/TrAvia_act!Q21*100)</f>
        <v>582.86672894057324</v>
      </c>
      <c r="R25" s="88">
        <f>IF(R13=0,0,R13/TrAvia_act!R21*100)</f>
        <v>555.74926784753416</v>
      </c>
      <c r="S25" s="88">
        <f>IF(S13=0,0,S13/TrAvia_act!S21*100)</f>
        <v>502.56918957362018</v>
      </c>
      <c r="T25" s="88">
        <f>IF(T13=0,0,T13/TrAvia_act!T21*100)</f>
        <v>451.83729139924321</v>
      </c>
      <c r="U25" s="88">
        <f>IF(U13=0,0,U13/TrAvia_act!U21*100)</f>
        <v>434.83840264498548</v>
      </c>
      <c r="V25" s="88">
        <f>IF(V13=0,0,V13/TrAvia_act!V21*100)</f>
        <v>582.04851043083693</v>
      </c>
      <c r="W25" s="88">
        <f>IF(W13=0,0,W13/TrAvia_act!W21*100)</f>
        <v>541.84415129156889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60.590686887872906</v>
      </c>
      <c r="C28" s="14">
        <f>IF(C6=0,0,C6/TrAvia_act!C4*1000)</f>
        <v>63.673293408745444</v>
      </c>
      <c r="D28" s="14">
        <f>IF(D6=0,0,D6/TrAvia_act!D4*1000)</f>
        <v>58.402561679847224</v>
      </c>
      <c r="E28" s="14">
        <f>IF(E6=0,0,E6/TrAvia_act!E4*1000)</f>
        <v>40.216049790788709</v>
      </c>
      <c r="F28" s="14">
        <f>IF(F6=0,0,F6/TrAvia_act!F4*1000)</f>
        <v>41.112744929443664</v>
      </c>
      <c r="G28" s="14">
        <f>IF(G6=0,0,G6/TrAvia_act!G4*1000)</f>
        <v>39.793341109406839</v>
      </c>
      <c r="H28" s="14">
        <f>IF(H6=0,0,H6/TrAvia_act!H4*1000)</f>
        <v>38.902787852498982</v>
      </c>
      <c r="I28" s="14">
        <f>IF(I6=0,0,I6/TrAvia_act!I4*1000)</f>
        <v>39.791144024065559</v>
      </c>
      <c r="J28" s="14">
        <f>IF(J6=0,0,J6/TrAvia_act!J4*1000)</f>
        <v>40.655573894975078</v>
      </c>
      <c r="K28" s="14">
        <f>IF(K6=0,0,K6/TrAvia_act!K4*1000)</f>
        <v>40.278629047687701</v>
      </c>
      <c r="L28" s="14">
        <f>IF(L6=0,0,L6/TrAvia_act!L4*1000)</f>
        <v>36.973064618485317</v>
      </c>
      <c r="M28" s="14">
        <f>IF(M6=0,0,M6/TrAvia_act!M4*1000)</f>
        <v>35.892493088106292</v>
      </c>
      <c r="N28" s="14">
        <f>IF(N6=0,0,N6/TrAvia_act!N4*1000)</f>
        <v>34.281335538855579</v>
      </c>
      <c r="O28" s="14">
        <f>IF(O6=0,0,O6/TrAvia_act!O4*1000)</f>
        <v>32.815351286115856</v>
      </c>
      <c r="P28" s="14">
        <f>IF(P6=0,0,P6/TrAvia_act!P4*1000)</f>
        <v>32.839392589340221</v>
      </c>
      <c r="Q28" s="14">
        <f>IF(Q6=0,0,Q6/TrAvia_act!Q4*1000)</f>
        <v>33.186124371879487</v>
      </c>
      <c r="R28" s="14">
        <f>IF(R6=0,0,R6/TrAvia_act!R4*1000)</f>
        <v>32.799231864883907</v>
      </c>
      <c r="S28" s="14">
        <f>IF(S6=0,0,S6/TrAvia_act!S4*1000)</f>
        <v>30.830954151381828</v>
      </c>
      <c r="T28" s="14">
        <f>IF(T6=0,0,T6/TrAvia_act!T4*1000)</f>
        <v>29.413428888013236</v>
      </c>
      <c r="U28" s="14">
        <f>IF(U6=0,0,U6/TrAvia_act!U4*1000)</f>
        <v>28.569644386309967</v>
      </c>
      <c r="V28" s="14">
        <f>IF(V6=0,0,V6/TrAvia_act!V4*1000)</f>
        <v>42.364224867557638</v>
      </c>
      <c r="W28" s="14">
        <f>IF(W6=0,0,W6/TrAvia_act!W4*1000)</f>
        <v>36.284612441685567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2082.7589814664434</v>
      </c>
      <c r="C29" s="87">
        <f>IF(C7=0,0,C7/TrAvia_act!C5*1000)</f>
        <v>2076.9753429432917</v>
      </c>
      <c r="D29" s="87">
        <f>IF(D7=0,0,D7/TrAvia_act!D5*1000)</f>
        <v>2037.2536424817347</v>
      </c>
      <c r="E29" s="87">
        <f>IF(E7=0,0,E7/TrAvia_act!E5*1000)</f>
        <v>1895.5678801799538</v>
      </c>
      <c r="F29" s="87">
        <f>IF(F7=0,0,F7/TrAvia_act!F5*1000)</f>
        <v>1371.0181728638058</v>
      </c>
      <c r="G29" s="87">
        <f>IF(G7=0,0,G7/TrAvia_act!G5*1000)</f>
        <v>621.80546669803653</v>
      </c>
      <c r="H29" s="87">
        <f>IF(H7=0,0,H7/TrAvia_act!H5*1000)</f>
        <v>305.67870830236592</v>
      </c>
      <c r="I29" s="87">
        <f>IF(I7=0,0,I7/TrAvia_act!I5*1000)</f>
        <v>655.56658106429234</v>
      </c>
      <c r="J29" s="87">
        <f>IF(J7=0,0,J7/TrAvia_act!J5*1000)</f>
        <v>718.7517367819637</v>
      </c>
      <c r="K29" s="87">
        <f>IF(K7=0,0,K7/TrAvia_act!K5*1000)</f>
        <v>547.60987574030037</v>
      </c>
      <c r="L29" s="87">
        <f>IF(L7=0,0,L7/TrAvia_act!L5*1000)</f>
        <v>616.2809666215046</v>
      </c>
      <c r="M29" s="87">
        <f>IF(M7=0,0,M7/TrAvia_act!M5*1000)</f>
        <v>1331.5068325699217</v>
      </c>
      <c r="N29" s="87">
        <f>IF(N7=0,0,N7/TrAvia_act!N5*1000)</f>
        <v>669.02016134548899</v>
      </c>
      <c r="O29" s="87">
        <f>IF(O7=0,0,O7/TrAvia_act!O5*1000)</f>
        <v>852.19847547534982</v>
      </c>
      <c r="P29" s="87">
        <f>IF(P7=0,0,P7/TrAvia_act!P5*1000)</f>
        <v>749.99844873435427</v>
      </c>
      <c r="Q29" s="87">
        <f>IF(Q7=0,0,Q7/TrAvia_act!Q5*1000)</f>
        <v>1564.9579338119315</v>
      </c>
      <c r="R29" s="87">
        <f>IF(R7=0,0,R7/TrAvia_act!R5*1000)</f>
        <v>2216.1878709942152</v>
      </c>
      <c r="S29" s="87">
        <f>IF(S7=0,0,S7/TrAvia_act!S5*1000)</f>
        <v>3664.1002126966177</v>
      </c>
      <c r="T29" s="87">
        <f>IF(T7=0,0,T7/TrAvia_act!T5*1000)</f>
        <v>1959.5929282339314</v>
      </c>
      <c r="U29" s="87">
        <f>IF(U7=0,0,U7/TrAvia_act!U5*1000)</f>
        <v>5392.1442346271606</v>
      </c>
      <c r="V29" s="87">
        <f>IF(V7=0,0,V7/TrAvia_act!V5*1000)</f>
        <v>22216.852940705579</v>
      </c>
      <c r="W29" s="87">
        <f>IF(W7=0,0,W7/TrAvia_act!W5*1000)</f>
        <v>1077.0833393270204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48.762400818249745</v>
      </c>
      <c r="C30" s="87">
        <f>IF(C8=0,0,C8/TrAvia_act!C6*1000)</f>
        <v>48.357921789564131</v>
      </c>
      <c r="D30" s="87">
        <f>IF(D8=0,0,D8/TrAvia_act!D6*1000)</f>
        <v>48.002521922129603</v>
      </c>
      <c r="E30" s="87">
        <f>IF(E8=0,0,E8/TrAvia_act!E6*1000)</f>
        <v>31.302259700078736</v>
      </c>
      <c r="F30" s="87">
        <f>IF(F8=0,0,F8/TrAvia_act!F6*1000)</f>
        <v>36.604204172557687</v>
      </c>
      <c r="G30" s="87">
        <f>IF(G8=0,0,G8/TrAvia_act!G6*1000)</f>
        <v>37.312663922812852</v>
      </c>
      <c r="H30" s="87">
        <f>IF(H8=0,0,H8/TrAvia_act!H6*1000)</f>
        <v>38.704974547439619</v>
      </c>
      <c r="I30" s="87">
        <f>IF(I8=0,0,I8/TrAvia_act!I6*1000)</f>
        <v>39.373094344177332</v>
      </c>
      <c r="J30" s="87">
        <f>IF(J8=0,0,J8/TrAvia_act!J6*1000)</f>
        <v>39.718359025158925</v>
      </c>
      <c r="K30" s="87">
        <f>IF(K8=0,0,K8/TrAvia_act!K6*1000)</f>
        <v>41.32190772879855</v>
      </c>
      <c r="L30" s="87">
        <f>IF(L8=0,0,L8/TrAvia_act!L6*1000)</f>
        <v>38.951808526230899</v>
      </c>
      <c r="M30" s="87">
        <f>IF(M8=0,0,M8/TrAvia_act!M6*1000)</f>
        <v>36.414720603584279</v>
      </c>
      <c r="N30" s="87">
        <f>IF(N8=0,0,N8/TrAvia_act!N6*1000)</f>
        <v>37.563160582946352</v>
      </c>
      <c r="O30" s="87">
        <f>IF(O8=0,0,O8/TrAvia_act!O6*1000)</f>
        <v>37.349173093284158</v>
      </c>
      <c r="P30" s="87">
        <f>IF(P8=0,0,P8/TrAvia_act!P6*1000)</f>
        <v>37.678182895386001</v>
      </c>
      <c r="Q30" s="87">
        <f>IF(Q8=0,0,Q8/TrAvia_act!Q6*1000)</f>
        <v>35.26421252888602</v>
      </c>
      <c r="R30" s="87">
        <f>IF(R8=0,0,R8/TrAvia_act!R6*1000)</f>
        <v>35.420963877698817</v>
      </c>
      <c r="S30" s="87">
        <f>IF(S8=0,0,S8/TrAvia_act!S6*1000)</f>
        <v>34.324989050279427</v>
      </c>
      <c r="T30" s="87">
        <f>IF(T8=0,0,T8/TrAvia_act!T6*1000)</f>
        <v>36.595257605865079</v>
      </c>
      <c r="U30" s="87">
        <f>IF(U8=0,0,U8/TrAvia_act!U6*1000)</f>
        <v>35.801691974738873</v>
      </c>
      <c r="V30" s="87">
        <f>IF(V8=0,0,V8/TrAvia_act!V6*1000)</f>
        <v>33.964604363796944</v>
      </c>
      <c r="W30" s="87">
        <f>IF(W8=0,0,W8/TrAvia_act!W6*1000)</f>
        <v>37.736027707423709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48.050802895282573</v>
      </c>
      <c r="C31" s="87">
        <f>IF(C9=0,0,C9/TrAvia_act!C7*1000)</f>
        <v>47.968923294018467</v>
      </c>
      <c r="D31" s="87">
        <f>IF(D9=0,0,D9/TrAvia_act!D7*1000)</f>
        <v>47.445829806607676</v>
      </c>
      <c r="E31" s="87">
        <f>IF(E9=0,0,E9/TrAvia_act!E7*1000)</f>
        <v>30.401833146898955</v>
      </c>
      <c r="F31" s="87">
        <f>IF(F9=0,0,F9/TrAvia_act!F7*1000)</f>
        <v>34.06412128496445</v>
      </c>
      <c r="G31" s="87">
        <f>IF(G9=0,0,G9/TrAvia_act!G7*1000)</f>
        <v>35.041014311994388</v>
      </c>
      <c r="H31" s="87">
        <f>IF(H9=0,0,H9/TrAvia_act!H7*1000)</f>
        <v>35.003511530062589</v>
      </c>
      <c r="I31" s="87">
        <f>IF(I9=0,0,I9/TrAvia_act!I7*1000)</f>
        <v>31.562118683255097</v>
      </c>
      <c r="J31" s="87">
        <f>IF(J9=0,0,J9/TrAvia_act!J7*1000)</f>
        <v>31.52096921271924</v>
      </c>
      <c r="K31" s="87">
        <f>IF(K9=0,0,K9/TrAvia_act!K7*1000)</f>
        <v>31.951592067133632</v>
      </c>
      <c r="L31" s="87">
        <f>IF(L9=0,0,L9/TrAvia_act!L7*1000)</f>
        <v>28.492624288670669</v>
      </c>
      <c r="M31" s="87">
        <f>IF(M9=0,0,M9/TrAvia_act!M7*1000)</f>
        <v>26.350337264248704</v>
      </c>
      <c r="N31" s="87">
        <f>IF(N9=0,0,N9/TrAvia_act!N7*1000)</f>
        <v>26.554829276369265</v>
      </c>
      <c r="O31" s="87">
        <f>IF(O9=0,0,O9/TrAvia_act!O7*1000)</f>
        <v>24.707829867685575</v>
      </c>
      <c r="P31" s="87">
        <f>IF(P9=0,0,P9/TrAvia_act!P7*1000)</f>
        <v>24.691560543765398</v>
      </c>
      <c r="Q31" s="87">
        <f>IF(Q9=0,0,Q9/TrAvia_act!Q7*1000)</f>
        <v>23.642918697267753</v>
      </c>
      <c r="R31" s="87">
        <f>IF(R9=0,0,R9/TrAvia_act!R7*1000)</f>
        <v>22.456716395282282</v>
      </c>
      <c r="S31" s="87">
        <f>IF(S9=0,0,S9/TrAvia_act!S7*1000)</f>
        <v>19.783759029454803</v>
      </c>
      <c r="T31" s="87">
        <f>IF(T9=0,0,T9/TrAvia_act!T7*1000)</f>
        <v>19.395506545953317</v>
      </c>
      <c r="U31" s="87">
        <f>IF(U9=0,0,U9/TrAvia_act!U7*1000)</f>
        <v>18.4741251519945</v>
      </c>
      <c r="V31" s="87">
        <f>IF(V9=0,0,V9/TrAvia_act!V7*1000)</f>
        <v>31.616836040268915</v>
      </c>
      <c r="W31" s="87">
        <f>IF(W9=0,0,W9/TrAvia_act!W7*1000)</f>
        <v>32.273451641589951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139.605898617804</v>
      </c>
      <c r="C32" s="15">
        <f>IF(C10=0,0,C10/TrAvia_act!C8*1000)</f>
        <v>132.67208074533511</v>
      </c>
      <c r="D32" s="15">
        <f>IF(D10=0,0,D10/TrAvia_act!D8*1000)</f>
        <v>140.39373675849757</v>
      </c>
      <c r="E32" s="15">
        <f>IF(E10=0,0,E10/TrAvia_act!E8*1000)</f>
        <v>95.784449787270859</v>
      </c>
      <c r="F32" s="15">
        <f>IF(F10=0,0,F10/TrAvia_act!F8*1000)</f>
        <v>112.16473410856749</v>
      </c>
      <c r="G32" s="15">
        <f>IF(G10=0,0,G10/TrAvia_act!G8*1000)</f>
        <v>120.70195085582797</v>
      </c>
      <c r="H32" s="15">
        <f>IF(H10=0,0,H10/TrAvia_act!H8*1000)</f>
        <v>133.72691843325373</v>
      </c>
      <c r="I32" s="15">
        <f>IF(I10=0,0,I10/TrAvia_act!I8*1000)</f>
        <v>135.97175749278662</v>
      </c>
      <c r="J32" s="15">
        <f>IF(J10=0,0,J10/TrAvia_act!J8*1000)</f>
        <v>133.77420162633456</v>
      </c>
      <c r="K32" s="15">
        <f>IF(K10=0,0,K10/TrAvia_act!K8*1000)</f>
        <v>111.11588690500547</v>
      </c>
      <c r="L32" s="15">
        <f>IF(L10=0,0,L10/TrAvia_act!L8*1000)</f>
        <v>105.79821682017734</v>
      </c>
      <c r="M32" s="15">
        <f>IF(M10=0,0,M10/TrAvia_act!M8*1000)</f>
        <v>97.997777914910372</v>
      </c>
      <c r="N32" s="15">
        <f>IF(N10=0,0,N10/TrAvia_act!N8*1000)</f>
        <v>90.389314445888758</v>
      </c>
      <c r="O32" s="15">
        <f>IF(O10=0,0,O10/TrAvia_act!O8*1000)</f>
        <v>83.479191967423006</v>
      </c>
      <c r="P32" s="15">
        <f>IF(P10=0,0,P10/TrAvia_act!P8*1000)</f>
        <v>73.516289759019941</v>
      </c>
      <c r="Q32" s="15">
        <f>IF(Q10=0,0,Q10/TrAvia_act!Q8*1000)</f>
        <v>75.699895368222798</v>
      </c>
      <c r="R32" s="15">
        <f>IF(R10=0,0,R10/TrAvia_act!R8*1000)</f>
        <v>64.62895463356665</v>
      </c>
      <c r="S32" s="15">
        <f>IF(S10=0,0,S10/TrAvia_act!S8*1000)</f>
        <v>66.678380550443379</v>
      </c>
      <c r="T32" s="15">
        <f>IF(T10=0,0,T10/TrAvia_act!T8*1000)</f>
        <v>79.088809360604969</v>
      </c>
      <c r="U32" s="15">
        <f>IF(U10=0,0,U10/TrAvia_act!U8*1000)</f>
        <v>99.64845968266782</v>
      </c>
      <c r="V32" s="15">
        <f>IF(V10=0,0,V10/TrAvia_act!V8*1000)</f>
        <v>187.85236483475754</v>
      </c>
      <c r="W32" s="15">
        <f>IF(W10=0,0,W10/TrAvia_act!W8*1000)</f>
        <v>120.93323386383452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8997.1255367411832</v>
      </c>
      <c r="C33" s="101">
        <f>IF(C11=0,0,C11/TrAvia_act!C9*1000)</f>
        <v>9103.7942796224161</v>
      </c>
      <c r="D33" s="101">
        <f>IF(D11=0,0,D11/TrAvia_act!D9*1000)</f>
        <v>8765.5936939804942</v>
      </c>
      <c r="E33" s="101">
        <f>IF(E11=0,0,E11/TrAvia_act!E9*1000)</f>
        <v>7819.4547879523852</v>
      </c>
      <c r="F33" s="101">
        <f>IF(F11=0,0,F11/TrAvia_act!F9*1000)</f>
        <v>4939.4566486021704</v>
      </c>
      <c r="G33" s="101">
        <f>IF(G11=0,0,G11/TrAvia_act!G9*1000)</f>
        <v>3471.4463002827661</v>
      </c>
      <c r="H33" s="101">
        <f>IF(H11=0,0,H11/TrAvia_act!H9*1000)</f>
        <v>1788.2172882194686</v>
      </c>
      <c r="I33" s="101">
        <f>IF(I11=0,0,I11/TrAvia_act!I9*1000)</f>
        <v>3626.2896906859514</v>
      </c>
      <c r="J33" s="101">
        <f>IF(J11=0,0,J11/TrAvia_act!J9*1000)</f>
        <v>3626.0976229234757</v>
      </c>
      <c r="K33" s="101">
        <f>IF(K11=0,0,K11/TrAvia_act!K9*1000)</f>
        <v>1917.0210130357923</v>
      </c>
      <c r="L33" s="101">
        <f>IF(L11=0,0,L11/TrAvia_act!L9*1000)</f>
        <v>2090.0566417944806</v>
      </c>
      <c r="M33" s="101">
        <f>IF(M11=0,0,M11/TrAvia_act!M9*1000)</f>
        <v>4413.390798271118</v>
      </c>
      <c r="N33" s="101">
        <f>IF(N11=0,0,N11/TrAvia_act!N9*1000)</f>
        <v>2732.7198351047</v>
      </c>
      <c r="O33" s="101">
        <f>IF(O11=0,0,O11/TrAvia_act!O9*1000)</f>
        <v>3468.1574901802228</v>
      </c>
      <c r="P33" s="101">
        <f>IF(P11=0,0,P11/TrAvia_act!P9*1000)</f>
        <v>2443.5861365794731</v>
      </c>
      <c r="Q33" s="101">
        <f>IF(Q11=0,0,Q11/TrAvia_act!Q9*1000)</f>
        <v>4720.9119813291945</v>
      </c>
      <c r="R33" s="101">
        <f>IF(R11=0,0,R11/TrAvia_act!R9*1000)</f>
        <v>4731.4940896766293</v>
      </c>
      <c r="S33" s="101">
        <f>IF(S11=0,0,S11/TrAvia_act!S9*1000)</f>
        <v>9256.9640272489869</v>
      </c>
      <c r="T33" s="101">
        <f>IF(T11=0,0,T11/TrAvia_act!T9*1000)</f>
        <v>6076.5463412898962</v>
      </c>
      <c r="U33" s="101">
        <f>IF(U11=0,0,U11/TrAvia_act!U9*1000)</f>
        <v>20829.564438495767</v>
      </c>
      <c r="V33" s="101">
        <f>IF(V11=0,0,V11/TrAvia_act!V9*1000)</f>
        <v>30309.891495684926</v>
      </c>
      <c r="W33" s="101">
        <f>IF(W11=0,0,W11/TrAvia_act!W9*1000)</f>
        <v>2739.0338940394868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193.9906727839178</v>
      </c>
      <c r="C34" s="101">
        <f>IF(C12=0,0,C12/TrAvia_act!C10*1000)</f>
        <v>184.05933903775804</v>
      </c>
      <c r="D34" s="101">
        <f>IF(D12=0,0,D12/TrAvia_act!D10*1000)</f>
        <v>193.76545011000326</v>
      </c>
      <c r="E34" s="101">
        <f>IF(E12=0,0,E12/TrAvia_act!E10*1000)</f>
        <v>127.0437493008241</v>
      </c>
      <c r="F34" s="101">
        <f>IF(F12=0,0,F12/TrAvia_act!F10*1000)</f>
        <v>158.38102944881481</v>
      </c>
      <c r="G34" s="101">
        <f>IF(G12=0,0,G12/TrAvia_act!G10*1000)</f>
        <v>158.36880116704208</v>
      </c>
      <c r="H34" s="101">
        <f>IF(H12=0,0,H12/TrAvia_act!H10*1000)</f>
        <v>188.62832452226345</v>
      </c>
      <c r="I34" s="101">
        <f>IF(I12=0,0,I12/TrAvia_act!I10*1000)</f>
        <v>186.4319525105501</v>
      </c>
      <c r="J34" s="101">
        <f>IF(J12=0,0,J12/TrAvia_act!J10*1000)</f>
        <v>179.8197532008393</v>
      </c>
      <c r="K34" s="101">
        <f>IF(K12=0,0,K12/TrAvia_act!K10*1000)</f>
        <v>191.34583832925219</v>
      </c>
      <c r="L34" s="101">
        <f>IF(L12=0,0,L12/TrAvia_act!L10*1000)</f>
        <v>181.91556025239606</v>
      </c>
      <c r="M34" s="101">
        <f>IF(M12=0,0,M12/TrAvia_act!M10*1000)</f>
        <v>175.21612668794475</v>
      </c>
      <c r="N34" s="101">
        <f>IF(N12=0,0,N12/TrAvia_act!N10*1000)</f>
        <v>177.72006945907177</v>
      </c>
      <c r="O34" s="101">
        <f>IF(O12=0,0,O12/TrAvia_act!O10*1000)</f>
        <v>183.86583824918205</v>
      </c>
      <c r="P34" s="101">
        <f>IF(P12=0,0,P12/TrAvia_act!P10*1000)</f>
        <v>166.11584761048039</v>
      </c>
      <c r="Q34" s="101">
        <f>IF(Q12=0,0,Q12/TrAvia_act!Q10*1000)</f>
        <v>162.37394544699572</v>
      </c>
      <c r="R34" s="101">
        <f>IF(R12=0,0,R12/TrAvia_act!R10*1000)</f>
        <v>150.45483967886656</v>
      </c>
      <c r="S34" s="101">
        <f>IF(S12=0,0,S12/TrAvia_act!S10*1000)</f>
        <v>173.59669578914807</v>
      </c>
      <c r="T34" s="101">
        <f>IF(T12=0,0,T12/TrAvia_act!T10*1000)</f>
        <v>185.10062382972154</v>
      </c>
      <c r="U34" s="101">
        <f>IF(U12=0,0,U12/TrAvia_act!U10*1000)</f>
        <v>184.85421231408057</v>
      </c>
      <c r="V34" s="101">
        <f>IF(V12=0,0,V12/TrAvia_act!V10*1000)</f>
        <v>185.63261730129997</v>
      </c>
      <c r="W34" s="101">
        <f>IF(W12=0,0,W12/TrAvia_act!W10*1000)</f>
        <v>213.95770946922661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120.52227870337406</v>
      </c>
      <c r="C35" s="88">
        <f>IF(C13=0,0,C13/TrAvia_act!C11*1000)</f>
        <v>115.18699034479039</v>
      </c>
      <c r="D35" s="88">
        <f>IF(D13=0,0,D13/TrAvia_act!D11*1000)</f>
        <v>121.0352826152359</v>
      </c>
      <c r="E35" s="88">
        <f>IF(E13=0,0,E13/TrAvia_act!E11*1000)</f>
        <v>85.62165205280013</v>
      </c>
      <c r="F35" s="88">
        <f>IF(F13=0,0,F13/TrAvia_act!F11*1000)</f>
        <v>100.16456883058474</v>
      </c>
      <c r="G35" s="88">
        <f>IF(G13=0,0,G13/TrAvia_act!G11*1000)</f>
        <v>108.7925945465182</v>
      </c>
      <c r="H35" s="88">
        <f>IF(H13=0,0,H13/TrAvia_act!H11*1000)</f>
        <v>115.26928140280472</v>
      </c>
      <c r="I35" s="88">
        <f>IF(I13=0,0,I13/TrAvia_act!I11*1000)</f>
        <v>105.19729537163437</v>
      </c>
      <c r="J35" s="88">
        <f>IF(J13=0,0,J13/TrAvia_act!J11*1000)</f>
        <v>106.2271647805569</v>
      </c>
      <c r="K35" s="88">
        <f>IF(K13=0,0,K13/TrAvia_act!K11*1000)</f>
        <v>90.637388817088294</v>
      </c>
      <c r="L35" s="88">
        <f>IF(L13=0,0,L13/TrAvia_act!L11*1000)</f>
        <v>84.25471065030041</v>
      </c>
      <c r="M35" s="88">
        <f>IF(M13=0,0,M13/TrAvia_act!M11*1000)</f>
        <v>79.617045438041202</v>
      </c>
      <c r="N35" s="88">
        <f>IF(N13=0,0,N13/TrAvia_act!N11*1000)</f>
        <v>78.374010972425651</v>
      </c>
      <c r="O35" s="88">
        <f>IF(O13=0,0,O13/TrAvia_act!O11*1000)</f>
        <v>71.191251308966073</v>
      </c>
      <c r="P35" s="88">
        <f>IF(P13=0,0,P13/TrAvia_act!P11*1000)</f>
        <v>63.253203715770397</v>
      </c>
      <c r="Q35" s="88">
        <f>IF(Q13=0,0,Q13/TrAvia_act!Q11*1000)</f>
        <v>64.242841232223242</v>
      </c>
      <c r="R35" s="88">
        <f>IF(R13=0,0,R13/TrAvia_act!R11*1000)</f>
        <v>55.322660557838468</v>
      </c>
      <c r="S35" s="88">
        <f>IF(S13=0,0,S13/TrAvia_act!S11*1000)</f>
        <v>52.47945086514919</v>
      </c>
      <c r="T35" s="88">
        <f>IF(T13=0,0,T13/TrAvia_act!T11*1000)</f>
        <v>47.715934432348995</v>
      </c>
      <c r="U35" s="88">
        <f>IF(U13=0,0,U13/TrAvia_act!U11*1000)</f>
        <v>44.25213080446494</v>
      </c>
      <c r="V35" s="88">
        <f>IF(V13=0,0,V13/TrAvia_act!V11*1000)</f>
        <v>91.487501265951437</v>
      </c>
      <c r="W35" s="88">
        <f>IF(W13=0,0,W13/TrAvia_act!W11*1000)</f>
        <v>92.686943814965076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6997.9242909085242</v>
      </c>
      <c r="C37" s="62">
        <f>IF(C3=0,0,C3/TrAvia_act!C23*1000000)</f>
        <v>7229.416674735885</v>
      </c>
      <c r="D37" s="62">
        <f>IF(D3=0,0,D3/TrAvia_act!D23*1000000)</f>
        <v>6876.2885195098088</v>
      </c>
      <c r="E37" s="62">
        <f>IF(E3=0,0,E3/TrAvia_act!E23*1000000)</f>
        <v>4609.880539033722</v>
      </c>
      <c r="F37" s="62">
        <f>IF(F3=0,0,F3/TrAvia_act!F23*1000000)</f>
        <v>4650.8190925040053</v>
      </c>
      <c r="G37" s="62">
        <f>IF(G3=0,0,G3/TrAvia_act!G23*1000000)</f>
        <v>4312.8477908411778</v>
      </c>
      <c r="H37" s="62">
        <f>IF(H3=0,0,H3/TrAvia_act!H23*1000000)</f>
        <v>4196.0522820925789</v>
      </c>
      <c r="I37" s="62">
        <f>IF(I3=0,0,I3/TrAvia_act!I23*1000000)</f>
        <v>4324.3430954051209</v>
      </c>
      <c r="J37" s="62">
        <f>IF(J3=0,0,J3/TrAvia_act!J23*1000000)</f>
        <v>4386.8185416243741</v>
      </c>
      <c r="K37" s="62">
        <f>IF(K3=0,0,K3/TrAvia_act!K23*1000000)</f>
        <v>4356.6467452688994</v>
      </c>
      <c r="L37" s="62">
        <f>IF(L3=0,0,L3/TrAvia_act!L23*1000000)</f>
        <v>4259.0142119328229</v>
      </c>
      <c r="M37" s="62">
        <f>IF(M3=0,0,M3/TrAvia_act!M23*1000000)</f>
        <v>4566.5493121398677</v>
      </c>
      <c r="N37" s="62">
        <f>IF(N3=0,0,N3/TrAvia_act!N23*1000000)</f>
        <v>4656.1666132568471</v>
      </c>
      <c r="O37" s="62">
        <f>IF(O3=0,0,O3/TrAvia_act!O23*1000000)</f>
        <v>4616.4889089082244</v>
      </c>
      <c r="P37" s="62">
        <f>IF(P3=0,0,P3/TrAvia_act!P23*1000000)</f>
        <v>4858.8837665107394</v>
      </c>
      <c r="Q37" s="62">
        <f>IF(Q3=0,0,Q3/TrAvia_act!Q23*1000000)</f>
        <v>5148.3754720409406</v>
      </c>
      <c r="R37" s="62">
        <f>IF(R3=0,0,R3/TrAvia_act!R23*1000000)</f>
        <v>5261.9749492784367</v>
      </c>
      <c r="S37" s="62">
        <f>IF(S3=0,0,S3/TrAvia_act!S23*1000000)</f>
        <v>5689.190216517286</v>
      </c>
      <c r="T37" s="62">
        <f>IF(T3=0,0,T3/TrAvia_act!T23*1000000)</f>
        <v>5833.6587239697847</v>
      </c>
      <c r="U37" s="62">
        <f>IF(U3=0,0,U3/TrAvia_act!U23*1000000)</f>
        <v>6221.4646434064389</v>
      </c>
      <c r="V37" s="62">
        <f>IF(V3=0,0,V3/TrAvia_act!V23*1000000)</f>
        <v>6981.6816944510992</v>
      </c>
      <c r="W37" s="62">
        <f>IF(W3=0,0,W3/TrAvia_act!W23*1000000)</f>
        <v>6211.3717171774724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6747.6644975010904</v>
      </c>
      <c r="C38" s="14">
        <f>IF(C6=0,0,C6/TrAvia_act!C24*1000000)</f>
        <v>6991.3020707182004</v>
      </c>
      <c r="D38" s="14">
        <f>IF(D6=0,0,D6/TrAvia_act!D24*1000000)</f>
        <v>6611.8870604589392</v>
      </c>
      <c r="E38" s="14">
        <f>IF(E6=0,0,E6/TrAvia_act!E24*1000000)</f>
        <v>4468.9830629376993</v>
      </c>
      <c r="F38" s="14">
        <f>IF(F6=0,0,F6/TrAvia_act!F24*1000000)</f>
        <v>4554.0711227434622</v>
      </c>
      <c r="G38" s="14">
        <f>IF(G6=0,0,G6/TrAvia_act!G24*1000000)</f>
        <v>4216.100945818429</v>
      </c>
      <c r="H38" s="14">
        <f>IF(H6=0,0,H6/TrAvia_act!H24*1000000)</f>
        <v>4119.252159224714</v>
      </c>
      <c r="I38" s="14">
        <f>IF(I6=0,0,I6/TrAvia_act!I24*1000000)</f>
        <v>4266.3560489118727</v>
      </c>
      <c r="J38" s="14">
        <f>IF(J6=0,0,J6/TrAvia_act!J24*1000000)</f>
        <v>4320.1981686345152</v>
      </c>
      <c r="K38" s="14">
        <f>IF(K6=0,0,K6/TrAvia_act!K24*1000000)</f>
        <v>4282.8424480860594</v>
      </c>
      <c r="L38" s="14">
        <f>IF(L6=0,0,L6/TrAvia_act!L24*1000000)</f>
        <v>4190.8141304178216</v>
      </c>
      <c r="M38" s="14">
        <f>IF(M6=0,0,M6/TrAvia_act!M24*1000000)</f>
        <v>4438.6822977235015</v>
      </c>
      <c r="N38" s="14">
        <f>IF(N6=0,0,N6/TrAvia_act!N24*1000000)</f>
        <v>4513.5326026429975</v>
      </c>
      <c r="O38" s="14">
        <f>IF(O6=0,0,O6/TrAvia_act!O24*1000000)</f>
        <v>4492.0825542676621</v>
      </c>
      <c r="P38" s="14">
        <f>IF(P6=0,0,P6/TrAvia_act!P24*1000000)</f>
        <v>4749.2113027729547</v>
      </c>
      <c r="Q38" s="14">
        <f>IF(Q6=0,0,Q6/TrAvia_act!Q24*1000000)</f>
        <v>5032.4490219084546</v>
      </c>
      <c r="R38" s="14">
        <f>IF(R6=0,0,R6/TrAvia_act!R24*1000000)</f>
        <v>5137.8969009334378</v>
      </c>
      <c r="S38" s="14">
        <f>IF(S6=0,0,S6/TrAvia_act!S24*1000000)</f>
        <v>5579.3940902509676</v>
      </c>
      <c r="T38" s="14">
        <f>IF(T6=0,0,T6/TrAvia_act!T24*1000000)</f>
        <v>5736.9777897085369</v>
      </c>
      <c r="U38" s="14">
        <f>IF(U6=0,0,U6/TrAvia_act!U24*1000000)</f>
        <v>6033.0301776364477</v>
      </c>
      <c r="V38" s="14">
        <f>IF(V6=0,0,V6/TrAvia_act!V24*1000000)</f>
        <v>6163.9448559009415</v>
      </c>
      <c r="W38" s="14">
        <f>IF(W6=0,0,W6/TrAvia_act!W24*1000000)</f>
        <v>5915.2837280582535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17030.219665224056</v>
      </c>
      <c r="C39" s="87">
        <f>IF(C7=0,0,C7/TrAvia_act!C25*1000000)</f>
        <v>17100.738760939654</v>
      </c>
      <c r="D39" s="87">
        <f>IF(D7=0,0,D7/TrAvia_act!D25*1000000)</f>
        <v>16931.907085143743</v>
      </c>
      <c r="E39" s="87">
        <f>IF(E7=0,0,E7/TrAvia_act!E25*1000000)</f>
        <v>16066.26933911211</v>
      </c>
      <c r="F39" s="87">
        <f>IF(F7=0,0,F7/TrAvia_act!F25*1000000)</f>
        <v>9556.7673840202206</v>
      </c>
      <c r="G39" s="87">
        <f>IF(G7=0,0,G7/TrAvia_act!G25*1000000)</f>
        <v>6105.8700107966524</v>
      </c>
      <c r="H39" s="87">
        <f>IF(H7=0,0,H7/TrAvia_act!H25*1000000)</f>
        <v>2982.2771292874418</v>
      </c>
      <c r="I39" s="87">
        <f>IF(I7=0,0,I7/TrAvia_act!I25*1000000)</f>
        <v>6961.367529567664</v>
      </c>
      <c r="J39" s="87">
        <f>IF(J7=0,0,J7/TrAvia_act!J25*1000000)</f>
        <v>7315.3318477003559</v>
      </c>
      <c r="K39" s="87">
        <f>IF(K7=0,0,K7/TrAvia_act!K25*1000000)</f>
        <v>4172.6261556316904</v>
      </c>
      <c r="L39" s="87">
        <f>IF(L7=0,0,L7/TrAvia_act!L25*1000000)</f>
        <v>5119.9484364666723</v>
      </c>
      <c r="M39" s="87">
        <f>IF(M7=0,0,M7/TrAvia_act!M25*1000000)</f>
        <v>11994.182843322129</v>
      </c>
      <c r="N39" s="87">
        <f>IF(N7=0,0,N7/TrAvia_act!N25*1000000)</f>
        <v>7237.5701321766328</v>
      </c>
      <c r="O39" s="87">
        <f>IF(O7=0,0,O7/TrAvia_act!O25*1000000)</f>
        <v>9066.4962228024469</v>
      </c>
      <c r="P39" s="87">
        <f>IF(P7=0,0,P7/TrAvia_act!P25*1000000)</f>
        <v>7565.2618777906901</v>
      </c>
      <c r="Q39" s="87">
        <f>IF(Q7=0,0,Q7/TrAvia_act!Q25*1000000)</f>
        <v>14466.021559515541</v>
      </c>
      <c r="R39" s="87">
        <f>IF(R7=0,0,R7/TrAvia_act!R25*1000000)</f>
        <v>17779.377815561005</v>
      </c>
      <c r="S39" s="87">
        <f>IF(S7=0,0,S7/TrAvia_act!S25*1000000)</f>
        <v>33903.085554961312</v>
      </c>
      <c r="T39" s="87">
        <f>IF(T7=0,0,T7/TrAvia_act!T25*1000000)</f>
        <v>21745.293092534597</v>
      </c>
      <c r="U39" s="87">
        <f>IF(U7=0,0,U7/TrAvia_act!U25*1000000)</f>
        <v>72339.300308363992</v>
      </c>
      <c r="V39" s="87">
        <f>IF(V7=0,0,V7/TrAvia_act!V25*1000000)</f>
        <v>98710.747206966204</v>
      </c>
      <c r="W39" s="87">
        <f>IF(W7=0,0,W7/TrAvia_act!W25*1000000)</f>
        <v>11143.301010916615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4223.402094496565</v>
      </c>
      <c r="C40" s="87">
        <f>IF(C8=0,0,C8/TrAvia_act!C26*1000000)</f>
        <v>4228.373208007989</v>
      </c>
      <c r="D40" s="87">
        <f>IF(D8=0,0,D8/TrAvia_act!D26*1000000)</f>
        <v>4196.0983521933449</v>
      </c>
      <c r="E40" s="87">
        <f>IF(E8=0,0,E8/TrAvia_act!E26*1000000)</f>
        <v>2729.8712763695153</v>
      </c>
      <c r="F40" s="87">
        <f>IF(F8=0,0,F8/TrAvia_act!F26*1000000)</f>
        <v>3170.1015484563891</v>
      </c>
      <c r="G40" s="87">
        <f>IF(G8=0,0,G8/TrAvia_act!G26*1000000)</f>
        <v>3144.2326404401283</v>
      </c>
      <c r="H40" s="87">
        <f>IF(H8=0,0,H8/TrAvia_act!H26*1000000)</f>
        <v>3233.0156918651451</v>
      </c>
      <c r="I40" s="87">
        <f>IF(I8=0,0,I8/TrAvia_act!I26*1000000)</f>
        <v>3211.2859380898844</v>
      </c>
      <c r="J40" s="87">
        <f>IF(J8=0,0,J8/TrAvia_act!J26*1000000)</f>
        <v>3161.3075520740763</v>
      </c>
      <c r="K40" s="87">
        <f>IF(K8=0,0,K8/TrAvia_act!K26*1000000)</f>
        <v>3292.049196092818</v>
      </c>
      <c r="L40" s="87">
        <f>IF(L8=0,0,L8/TrAvia_act!L26*1000000)</f>
        <v>3135.2290831984533</v>
      </c>
      <c r="M40" s="87">
        <f>IF(M8=0,0,M8/TrAvia_act!M26*1000000)</f>
        <v>3126.4030791310438</v>
      </c>
      <c r="N40" s="87">
        <f>IF(N8=0,0,N8/TrAvia_act!N26*1000000)</f>
        <v>3473.5731888542027</v>
      </c>
      <c r="O40" s="87">
        <f>IF(O8=0,0,O8/TrAvia_act!O26*1000000)</f>
        <v>3484.3770108556955</v>
      </c>
      <c r="P40" s="87">
        <f>IF(P8=0,0,P8/TrAvia_act!P26*1000000)</f>
        <v>3700.4663002556786</v>
      </c>
      <c r="Q40" s="87">
        <f>IF(Q8=0,0,Q8/TrAvia_act!Q26*1000000)</f>
        <v>3587.5805383687912</v>
      </c>
      <c r="R40" s="87">
        <f>IF(R8=0,0,R8/TrAvia_act!R26*1000000)</f>
        <v>3631.3244533646371</v>
      </c>
      <c r="S40" s="87">
        <f>IF(S8=0,0,S8/TrAvia_act!S26*1000000)</f>
        <v>4006.6975676009974</v>
      </c>
      <c r="T40" s="87">
        <f>IF(T8=0,0,T8/TrAvia_act!T26*1000000)</f>
        <v>4543.5398389603442</v>
      </c>
      <c r="U40" s="87">
        <f>IF(U8=0,0,U8/TrAvia_act!U26*1000000)</f>
        <v>4630.5849509122881</v>
      </c>
      <c r="V40" s="87">
        <f>IF(V8=0,0,V8/TrAvia_act!V26*1000000)</f>
        <v>3406.6724693942174</v>
      </c>
      <c r="W40" s="87">
        <f>IF(W8=0,0,W8/TrAvia_act!W26*1000000)</f>
        <v>4485.9361317064795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12913.648420493591</v>
      </c>
      <c r="C41" s="87">
        <f>IF(C9=0,0,C9/TrAvia_act!C27*1000000)</f>
        <v>12929.079930117536</v>
      </c>
      <c r="D41" s="87">
        <f>IF(D9=0,0,D9/TrAvia_act!D27*1000000)</f>
        <v>12830.459715634997</v>
      </c>
      <c r="E41" s="87">
        <f>IF(E9=0,0,E9/TrAvia_act!E27*1000000)</f>
        <v>8248.3974024315812</v>
      </c>
      <c r="F41" s="87">
        <f>IF(F9=0,0,F9/TrAvia_act!F27*1000000)</f>
        <v>9366.4860904099696</v>
      </c>
      <c r="G41" s="87">
        <f>IF(G9=0,0,G9/TrAvia_act!G27*1000000)</f>
        <v>8900.4029558375514</v>
      </c>
      <c r="H41" s="87">
        <f>IF(H9=0,0,H9/TrAvia_act!H27*1000000)</f>
        <v>8800.9519252028022</v>
      </c>
      <c r="I41" s="87">
        <f>IF(I9=0,0,I9/TrAvia_act!I27*1000000)</f>
        <v>7941.167969396779</v>
      </c>
      <c r="J41" s="87">
        <f>IF(J9=0,0,J9/TrAvia_act!J27*1000000)</f>
        <v>8106.8757439007804</v>
      </c>
      <c r="K41" s="87">
        <f>IF(K9=0,0,K9/TrAvia_act!K27*1000000)</f>
        <v>8031.2442156520847</v>
      </c>
      <c r="L41" s="87">
        <f>IF(L9=0,0,L9/TrAvia_act!L27*1000000)</f>
        <v>7612.9729406651832</v>
      </c>
      <c r="M41" s="87">
        <f>IF(M9=0,0,M9/TrAvia_act!M27*1000000)</f>
        <v>7145.3503382695735</v>
      </c>
      <c r="N41" s="87">
        <f>IF(N9=0,0,N9/TrAvia_act!N27*1000000)</f>
        <v>6942.3285489792243</v>
      </c>
      <c r="O41" s="87">
        <f>IF(O9=0,0,O9/TrAvia_act!O27*1000000)</f>
        <v>6563.526791966241</v>
      </c>
      <c r="P41" s="87">
        <f>IF(P9=0,0,P9/TrAvia_act!P27*1000000)</f>
        <v>7186.736442762538</v>
      </c>
      <c r="Q41" s="87">
        <f>IF(Q9=0,0,Q9/TrAvia_act!Q27*1000000)</f>
        <v>7951.7086737503596</v>
      </c>
      <c r="R41" s="87">
        <f>IF(R9=0,0,R9/TrAvia_act!R27*1000000)</f>
        <v>8398.2650196456489</v>
      </c>
      <c r="S41" s="87">
        <f>IF(S9=0,0,S9/TrAvia_act!S27*1000000)</f>
        <v>7981.3232345398274</v>
      </c>
      <c r="T41" s="87">
        <f>IF(T9=0,0,T9/TrAvia_act!T27*1000000)</f>
        <v>7932.8690077093652</v>
      </c>
      <c r="U41" s="87">
        <f>IF(U9=0,0,U9/TrAvia_act!U27*1000000)</f>
        <v>8093.873202317619</v>
      </c>
      <c r="V41" s="87">
        <f>IF(V9=0,0,V9/TrAvia_act!V27*1000000)</f>
        <v>9547.7622043411466</v>
      </c>
      <c r="W41" s="87">
        <f>IF(W9=0,0,W9/TrAvia_act!W27*1000000)</f>
        <v>9589.5291605934945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14442.817135390052</v>
      </c>
      <c r="C42" s="15">
        <f>IF(C10=0,0,C10/TrAvia_act!C28*1000000)</f>
        <v>14931.25794979083</v>
      </c>
      <c r="D42" s="15">
        <f>IF(D10=0,0,D10/TrAvia_act!D28*1000000)</f>
        <v>14141.447373042925</v>
      </c>
      <c r="E42" s="15">
        <f>IF(E10=0,0,E10/TrAvia_act!E28*1000000)</f>
        <v>11067.740087647673</v>
      </c>
      <c r="F42" s="15">
        <f>IF(F10=0,0,F10/TrAvia_act!F28*1000000)</f>
        <v>9755.5302554451628</v>
      </c>
      <c r="G42" s="15">
        <f>IF(G10=0,0,G10/TrAvia_act!G28*1000000)</f>
        <v>9459.6618020072874</v>
      </c>
      <c r="H42" s="15">
        <f>IF(H10=0,0,H10/TrAvia_act!H28*1000000)</f>
        <v>7980.0200583214855</v>
      </c>
      <c r="I42" s="15">
        <f>IF(I10=0,0,I10/TrAvia_act!I28*1000000)</f>
        <v>7232.5443103994285</v>
      </c>
      <c r="J42" s="15">
        <f>IF(J10=0,0,J10/TrAvia_act!J28*1000000)</f>
        <v>8267.1970497837647</v>
      </c>
      <c r="K42" s="15">
        <f>IF(K10=0,0,K10/TrAvia_act!K28*1000000)</f>
        <v>8762.6794185648323</v>
      </c>
      <c r="L42" s="15">
        <f>IF(L10=0,0,L10/TrAvia_act!L28*1000000)</f>
        <v>7699.7888413721739</v>
      </c>
      <c r="M42" s="15">
        <f>IF(M10=0,0,M10/TrAvia_act!M28*1000000)</f>
        <v>11360.698521351755</v>
      </c>
      <c r="N42" s="15">
        <f>IF(N10=0,0,N10/TrAvia_act!N28*1000000)</f>
        <v>13095.64114535019</v>
      </c>
      <c r="O42" s="15">
        <f>IF(O10=0,0,O10/TrAvia_act!O28*1000000)</f>
        <v>12067.714042231552</v>
      </c>
      <c r="P42" s="15">
        <f>IF(P10=0,0,P10/TrAvia_act!P28*1000000)</f>
        <v>11499.38814869739</v>
      </c>
      <c r="Q42" s="15">
        <f>IF(Q10=0,0,Q10/TrAvia_act!Q28*1000000)</f>
        <v>11788.558985035022</v>
      </c>
      <c r="R42" s="15">
        <f>IF(R10=0,0,R10/TrAvia_act!R28*1000000)</f>
        <v>12012.788406593327</v>
      </c>
      <c r="S42" s="15">
        <f>IF(S10=0,0,S10/TrAvia_act!S28*1000000)</f>
        <v>10966.097328833226</v>
      </c>
      <c r="T42" s="15">
        <f>IF(T10=0,0,T10/TrAvia_act!T28*1000000)</f>
        <v>10199.084500819237</v>
      </c>
      <c r="U42" s="15">
        <f>IF(U10=0,0,U10/TrAvia_act!U28*1000000)</f>
        <v>15439.196958975182</v>
      </c>
      <c r="V42" s="15">
        <f>IF(V10=0,0,V10/TrAvia_act!V28*1000000)</f>
        <v>18653.680775557412</v>
      </c>
      <c r="W42" s="15">
        <f>IF(W10=0,0,W10/TrAvia_act!W28*1000000)</f>
        <v>10157.281762115443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15562.935089867093</v>
      </c>
      <c r="C43" s="101">
        <f>IF(C11=0,0,C11/TrAvia_act!C29*1000000)</f>
        <v>15627.378422413123</v>
      </c>
      <c r="D43" s="101">
        <f>IF(D11=0,0,D11/TrAvia_act!D29*1000000)</f>
        <v>15473.092895674397</v>
      </c>
      <c r="E43" s="101">
        <f>IF(E11=0,0,E11/TrAvia_act!E29*1000000)</f>
        <v>14682.03650781471</v>
      </c>
      <c r="F43" s="101">
        <f>IF(F11=0,0,F11/TrAvia_act!F29*1000000)</f>
        <v>8733.3782763928211</v>
      </c>
      <c r="G43" s="101">
        <f>IF(G11=0,0,G11/TrAvia_act!G29*1000000)</f>
        <v>5579.8022875322804</v>
      </c>
      <c r="H43" s="101">
        <f>IF(H11=0,0,H11/TrAvia_act!H29*1000000)</f>
        <v>2763.3822904791218</v>
      </c>
      <c r="I43" s="101">
        <f>IF(I11=0,0,I11/TrAvia_act!I29*1000000)</f>
        <v>6540.4744201019885</v>
      </c>
      <c r="J43" s="101">
        <f>IF(J11=0,0,J11/TrAvia_act!J29*1000000)</f>
        <v>6968.9995571078653</v>
      </c>
      <c r="K43" s="101">
        <f>IF(K11=0,0,K11/TrAvia_act!K29*1000000)</f>
        <v>4030.5804888055686</v>
      </c>
      <c r="L43" s="101">
        <f>IF(L11=0,0,L11/TrAvia_act!L29*1000000)</f>
        <v>5014.7054292390167</v>
      </c>
      <c r="M43" s="101">
        <f>IF(M11=0,0,M11/TrAvia_act!M29*1000000)</f>
        <v>11726.078433523002</v>
      </c>
      <c r="N43" s="101">
        <f>IF(N11=0,0,N11/TrAvia_act!N29*1000000)</f>
        <v>7062.8048587574858</v>
      </c>
      <c r="O43" s="101">
        <f>IF(O11=0,0,O11/TrAvia_act!O29*1000000)</f>
        <v>8823.8255580767927</v>
      </c>
      <c r="P43" s="101">
        <f>IF(P11=0,0,P11/TrAvia_act!P29*1000000)</f>
        <v>7343.034368046362</v>
      </c>
      <c r="Q43" s="101">
        <f>IF(Q11=0,0,Q11/TrAvia_act!Q29*1000000)</f>
        <v>14003.481571209473</v>
      </c>
      <c r="R43" s="101">
        <f>IF(R11=0,0,R11/TrAvia_act!R29*1000000)</f>
        <v>17164.847452278762</v>
      </c>
      <c r="S43" s="101">
        <f>IF(S11=0,0,S11/TrAvia_act!S29*1000000)</f>
        <v>32643.764476913944</v>
      </c>
      <c r="T43" s="101">
        <f>IF(T11=0,0,T11/TrAvia_act!T29*1000000)</f>
        <v>20881.660999934305</v>
      </c>
      <c r="U43" s="101">
        <f>IF(U11=0,0,U11/TrAvia_act!U29*1000000)</f>
        <v>71398.246695258233</v>
      </c>
      <c r="V43" s="101">
        <f>IF(V11=0,0,V11/TrAvia_act!V29*1000000)</f>
        <v>97426.630483200381</v>
      </c>
      <c r="W43" s="101">
        <f>IF(W11=0,0,W11/TrAvia_act!W29*1000000)</f>
        <v>10998.339093486569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3905.6094151900252</v>
      </c>
      <c r="C44" s="101">
        <f>IF(C12=0,0,C12/TrAvia_act!C30*1000000)</f>
        <v>3911.3652575214937</v>
      </c>
      <c r="D44" s="101">
        <f>IF(D12=0,0,D12/TrAvia_act!D30*1000000)</f>
        <v>3878.1956374447827</v>
      </c>
      <c r="E44" s="101">
        <f>IF(E12=0,0,E12/TrAvia_act!E30*1000000)</f>
        <v>2590.7252760425117</v>
      </c>
      <c r="F44" s="101">
        <f>IF(F12=0,0,F12/TrAvia_act!F30*1000000)</f>
        <v>2922.6371017504225</v>
      </c>
      <c r="G44" s="101">
        <f>IF(G12=0,0,G12/TrAvia_act!G30*1000000)</f>
        <v>2818.4609106616558</v>
      </c>
      <c r="H44" s="101">
        <f>IF(H12=0,0,H12/TrAvia_act!H30*1000000)</f>
        <v>2873.2469314220962</v>
      </c>
      <c r="I44" s="101">
        <f>IF(I12=0,0,I12/TrAvia_act!I30*1000000)</f>
        <v>2780.4030938400206</v>
      </c>
      <c r="J44" s="101">
        <f>IF(J12=0,0,J12/TrAvia_act!J30*1000000)</f>
        <v>2664.3107946003865</v>
      </c>
      <c r="K44" s="101">
        <f>IF(K12=0,0,K12/TrAvia_act!K30*1000000)</f>
        <v>2859.2288319671311</v>
      </c>
      <c r="L44" s="101">
        <f>IF(L12=0,0,L12/TrAvia_act!L30*1000000)</f>
        <v>2686.2866842231097</v>
      </c>
      <c r="M44" s="101">
        <f>IF(M12=0,0,M12/TrAvia_act!M30*1000000)</f>
        <v>2679.5427169770587</v>
      </c>
      <c r="N44" s="101">
        <f>IF(N12=0,0,N12/TrAvia_act!N30*1000000)</f>
        <v>2897.3644473017544</v>
      </c>
      <c r="O44" s="101">
        <f>IF(O12=0,0,O12/TrAvia_act!O30*1000000)</f>
        <v>2843.8639551929214</v>
      </c>
      <c r="P44" s="101">
        <f>IF(P12=0,0,P12/TrAvia_act!P30*1000000)</f>
        <v>2987.3846975377537</v>
      </c>
      <c r="Q44" s="101">
        <f>IF(Q12=0,0,Q12/TrAvia_act!Q30*1000000)</f>
        <v>2878.4977856648261</v>
      </c>
      <c r="R44" s="101">
        <f>IF(R12=0,0,R12/TrAvia_act!R30*1000000)</f>
        <v>2841.6025472839647</v>
      </c>
      <c r="S44" s="101">
        <f>IF(S12=0,0,S12/TrAvia_act!S30*1000000)</f>
        <v>3083.1574467537639</v>
      </c>
      <c r="T44" s="101">
        <f>IF(T12=0,0,T12/TrAvia_act!T30*1000000)</f>
        <v>3476.1669018840994</v>
      </c>
      <c r="U44" s="101">
        <f>IF(U12=0,0,U12/TrAvia_act!U30*1000000)</f>
        <v>3443.2167255222503</v>
      </c>
      <c r="V44" s="101">
        <f>IF(V12=0,0,V12/TrAvia_act!V30*1000000)</f>
        <v>2790.9298256198863</v>
      </c>
      <c r="W44" s="101">
        <f>IF(W12=0,0,W12/TrAvia_act!W30*1000000)</f>
        <v>3579.0399332742518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66330.821776318728</v>
      </c>
      <c r="C45" s="88">
        <f>IF(C13=0,0,C13/TrAvia_act!C31*1000000)</f>
        <v>66410.085566169233</v>
      </c>
      <c r="D45" s="88">
        <f>IF(D13=0,0,D13/TrAvia_act!D31*1000000)</f>
        <v>65903.523852749626</v>
      </c>
      <c r="E45" s="88">
        <f>IF(E13=0,0,E13/TrAvia_act!E31*1000000)</f>
        <v>42367.808091528248</v>
      </c>
      <c r="F45" s="88">
        <f>IF(F13=0,0,F13/TrAvia_act!F31*1000000)</f>
        <v>48110.8590928794</v>
      </c>
      <c r="G45" s="88">
        <f>IF(G13=0,0,G13/TrAvia_act!G31*1000000)</f>
        <v>48238.141637005836</v>
      </c>
      <c r="H45" s="88">
        <f>IF(H13=0,0,H13/TrAvia_act!H31*1000000)</f>
        <v>46510.578238255308</v>
      </c>
      <c r="I45" s="88">
        <f>IF(I13=0,0,I13/TrAvia_act!I31*1000000)</f>
        <v>39597.828858632267</v>
      </c>
      <c r="J45" s="88">
        <f>IF(J13=0,0,J13/TrAvia_act!J31*1000000)</f>
        <v>37348.611164677619</v>
      </c>
      <c r="K45" s="88">
        <f>IF(K13=0,0,K13/TrAvia_act!K31*1000000)</f>
        <v>34144.461678438129</v>
      </c>
      <c r="L45" s="88">
        <f>IF(L13=0,0,L13/TrAvia_act!L31*1000000)</f>
        <v>30282.631197629842</v>
      </c>
      <c r="M45" s="88">
        <f>IF(M13=0,0,M13/TrAvia_act!M31*1000000)</f>
        <v>32868.468688477988</v>
      </c>
      <c r="N45" s="88">
        <f>IF(N13=0,0,N13/TrAvia_act!N31*1000000)</f>
        <v>37492.774387308149</v>
      </c>
      <c r="O45" s="88">
        <f>IF(O13=0,0,O13/TrAvia_act!O31*1000000)</f>
        <v>35278.430486699144</v>
      </c>
      <c r="P45" s="88">
        <f>IF(P13=0,0,P13/TrAvia_act!P31*1000000)</f>
        <v>36623.269606436268</v>
      </c>
      <c r="Q45" s="88">
        <f>IF(Q13=0,0,Q13/TrAvia_act!Q31*1000000)</f>
        <v>37736.99270611853</v>
      </c>
      <c r="R45" s="88">
        <f>IF(R13=0,0,R13/TrAvia_act!R31*1000000)</f>
        <v>37118.140382252292</v>
      </c>
      <c r="S45" s="88">
        <f>IF(S13=0,0,S13/TrAvia_act!S31*1000000)</f>
        <v>34064.310963932381</v>
      </c>
      <c r="T45" s="88">
        <f>IF(T13=0,0,T13/TrAvia_act!T31*1000000)</f>
        <v>31527.777459320936</v>
      </c>
      <c r="U45" s="88">
        <f>IF(U13=0,0,U13/TrAvia_act!U31*1000000)</f>
        <v>26764.570819018918</v>
      </c>
      <c r="V45" s="88">
        <f>IF(V13=0,0,V13/TrAvia_act!V31*1000000)</f>
        <v>34581.272654073728</v>
      </c>
      <c r="W45" s="88">
        <f>IF(W13=0,0,W13/TrAvia_act!W31*1000000)</f>
        <v>32889.047959441094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0.93287929400178049</v>
      </c>
      <c r="C48" s="16">
        <f t="shared" si="35"/>
        <v>0.9380614427459768</v>
      </c>
      <c r="D48" s="16">
        <f t="shared" ref="D48:V48" si="36">IF(D6=0,0,D6/D$3)</f>
        <v>0.92778390481671591</v>
      </c>
      <c r="E48" s="16">
        <f t="shared" si="36"/>
        <v>0.94873625180555932</v>
      </c>
      <c r="F48" s="16">
        <f t="shared" si="36"/>
        <v>0.96098441680141244</v>
      </c>
      <c r="G48" s="16">
        <f t="shared" si="36"/>
        <v>0.95953104619635066</v>
      </c>
      <c r="H48" s="16">
        <f t="shared" si="36"/>
        <v>0.96216869580110842</v>
      </c>
      <c r="I48" s="16">
        <f t="shared" si="36"/>
        <v>0.96730335165972614</v>
      </c>
      <c r="J48" s="16">
        <f t="shared" si="36"/>
        <v>0.96819109820042559</v>
      </c>
      <c r="K48" s="16">
        <f t="shared" si="36"/>
        <v>0.96686369982073272</v>
      </c>
      <c r="L48" s="16">
        <f t="shared" si="36"/>
        <v>0.96486221497690028</v>
      </c>
      <c r="M48" s="16">
        <f t="shared" si="36"/>
        <v>0.95404393919190567</v>
      </c>
      <c r="N48" s="16">
        <f t="shared" si="36"/>
        <v>0.95325584167283473</v>
      </c>
      <c r="O48" s="16">
        <f t="shared" si="36"/>
        <v>0.95707236743177138</v>
      </c>
      <c r="P48" s="16">
        <f t="shared" si="36"/>
        <v>0.96154784607545318</v>
      </c>
      <c r="Q48" s="16">
        <f t="shared" si="36"/>
        <v>0.96071051502263993</v>
      </c>
      <c r="R48" s="16">
        <f t="shared" si="36"/>
        <v>0.95879744420604507</v>
      </c>
      <c r="S48" s="16">
        <f t="shared" si="36"/>
        <v>0.96071148542340645</v>
      </c>
      <c r="T48" s="16">
        <f t="shared" si="36"/>
        <v>0.96211903294405265</v>
      </c>
      <c r="U48" s="16">
        <f t="shared" si="36"/>
        <v>0.95028588232735134</v>
      </c>
      <c r="V48" s="16">
        <f t="shared" si="36"/>
        <v>0.82506979600556918</v>
      </c>
      <c r="W48" s="16">
        <f t="shared" ref="W48" si="37">IF(W6=0,0,W6/W$3)</f>
        <v>0.88585935897050527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0.19110474878686046</v>
      </c>
      <c r="C49" s="103">
        <f t="shared" si="38"/>
        <v>0.23341705494312523</v>
      </c>
      <c r="D49" s="103">
        <f t="shared" ref="D49:V49" si="39">IF(D7=0,0,D7/D$3)</f>
        <v>0.17293225812601509</v>
      </c>
      <c r="E49" s="103">
        <f t="shared" si="39"/>
        <v>0.22213460822524667</v>
      </c>
      <c r="F49" s="103">
        <f t="shared" si="39"/>
        <v>0.13188861498062546</v>
      </c>
      <c r="G49" s="103">
        <f t="shared" si="39"/>
        <v>8.5239621853020073E-2</v>
      </c>
      <c r="H49" s="103">
        <f t="shared" si="39"/>
        <v>4.5957733642385458E-2</v>
      </c>
      <c r="I49" s="103">
        <f t="shared" si="39"/>
        <v>9.413929629122518E-2</v>
      </c>
      <c r="J49" s="103">
        <f t="shared" si="39"/>
        <v>0.1120950777870503</v>
      </c>
      <c r="K49" s="103">
        <f t="shared" si="39"/>
        <v>8.3657277254418905E-2</v>
      </c>
      <c r="L49" s="103">
        <f t="shared" si="39"/>
        <v>8.487055619182779E-2</v>
      </c>
      <c r="M49" s="103">
        <f t="shared" si="39"/>
        <v>0.12046817929547847</v>
      </c>
      <c r="N49" s="103">
        <f t="shared" si="39"/>
        <v>6.6145395184753542E-2</v>
      </c>
      <c r="O49" s="103">
        <f t="shared" si="39"/>
        <v>6.2618387524044666E-2</v>
      </c>
      <c r="P49" s="103">
        <f t="shared" si="39"/>
        <v>5.8880649166204925E-2</v>
      </c>
      <c r="Q49" s="103">
        <f t="shared" si="39"/>
        <v>0.11319211001451558</v>
      </c>
      <c r="R49" s="103">
        <f t="shared" si="39"/>
        <v>0.11671162630907927</v>
      </c>
      <c r="S49" s="103">
        <f t="shared" si="39"/>
        <v>0.1268731511730409</v>
      </c>
      <c r="T49" s="103">
        <f t="shared" si="39"/>
        <v>6.8807381931818845E-2</v>
      </c>
      <c r="U49" s="103">
        <f t="shared" si="39"/>
        <v>8.002194464497224E-2</v>
      </c>
      <c r="V49" s="103">
        <f t="shared" si="39"/>
        <v>0.18577384068462735</v>
      </c>
      <c r="W49" s="103">
        <f t="shared" ref="W49" si="40">IF(W7=0,0,W7/W$3)</f>
        <v>2.8262137413733485E-2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0.43674028751972421</v>
      </c>
      <c r="C50" s="103">
        <f t="shared" si="41"/>
        <v>0.41485500392071434</v>
      </c>
      <c r="D50" s="103">
        <f t="shared" ref="D50:V50" si="42">IF(D8=0,0,D8/D$3)</f>
        <v>0.4444176628080227</v>
      </c>
      <c r="E50" s="103">
        <f t="shared" si="42"/>
        <v>0.45036915378047132</v>
      </c>
      <c r="F50" s="103">
        <f t="shared" si="42"/>
        <v>0.52087799782072419</v>
      </c>
      <c r="G50" s="103">
        <f t="shared" si="42"/>
        <v>0.56102638451496312</v>
      </c>
      <c r="H50" s="103">
        <f t="shared" si="42"/>
        <v>0.58289997332855914</v>
      </c>
      <c r="I50" s="103">
        <f t="shared" si="42"/>
        <v>0.55668226010369704</v>
      </c>
      <c r="J50" s="103">
        <f t="shared" si="42"/>
        <v>0.53470507754386554</v>
      </c>
      <c r="K50" s="103">
        <f t="shared" si="42"/>
        <v>0.53407671399806544</v>
      </c>
      <c r="L50" s="103">
        <f t="shared" si="42"/>
        <v>0.52273180580336853</v>
      </c>
      <c r="M50" s="103">
        <f t="shared" si="42"/>
        <v>0.49045142155126142</v>
      </c>
      <c r="N50" s="103">
        <f t="shared" si="42"/>
        <v>0.51637496933148153</v>
      </c>
      <c r="O50" s="103">
        <f t="shared" si="42"/>
        <v>0.51898044846826741</v>
      </c>
      <c r="P50" s="103">
        <f t="shared" si="42"/>
        <v>0.52696137499984219</v>
      </c>
      <c r="Q50" s="103">
        <f t="shared" si="42"/>
        <v>0.50003388080411271</v>
      </c>
      <c r="R50" s="103">
        <f t="shared" si="42"/>
        <v>0.51039387775158707</v>
      </c>
      <c r="S50" s="103">
        <f t="shared" si="42"/>
        <v>0.51471154046370859</v>
      </c>
      <c r="T50" s="103">
        <f t="shared" si="42"/>
        <v>0.55225992095800802</v>
      </c>
      <c r="U50" s="103">
        <f t="shared" si="42"/>
        <v>0.52904318002382067</v>
      </c>
      <c r="V50" s="103">
        <f t="shared" si="42"/>
        <v>0.34434738735853537</v>
      </c>
      <c r="W50" s="103">
        <f t="shared" ref="W50" si="43">IF(W8=0,0,W8/W$3)</f>
        <v>0.487117405442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0.30503425769519582</v>
      </c>
      <c r="C51" s="103">
        <f t="shared" si="44"/>
        <v>0.28978938388213726</v>
      </c>
      <c r="D51" s="103">
        <f t="shared" ref="D51:V51" si="45">IF(D9=0,0,D9/D$3)</f>
        <v>0.31043398388267818</v>
      </c>
      <c r="E51" s="103">
        <f t="shared" si="45"/>
        <v>0.27623248979984127</v>
      </c>
      <c r="F51" s="103">
        <f t="shared" si="45"/>
        <v>0.30821780400006282</v>
      </c>
      <c r="G51" s="103">
        <f t="shared" si="45"/>
        <v>0.3132650398283674</v>
      </c>
      <c r="H51" s="103">
        <f t="shared" si="45"/>
        <v>0.3333109888301638</v>
      </c>
      <c r="I51" s="103">
        <f t="shared" si="45"/>
        <v>0.31648179526480397</v>
      </c>
      <c r="J51" s="103">
        <f t="shared" si="45"/>
        <v>0.32139094286950975</v>
      </c>
      <c r="K51" s="103">
        <f t="shared" si="45"/>
        <v>0.34912970856824832</v>
      </c>
      <c r="L51" s="103">
        <f t="shared" si="45"/>
        <v>0.35725985298170393</v>
      </c>
      <c r="M51" s="103">
        <f t="shared" si="45"/>
        <v>0.34312433834516576</v>
      </c>
      <c r="N51" s="103">
        <f t="shared" si="45"/>
        <v>0.37073547715659971</v>
      </c>
      <c r="O51" s="103">
        <f t="shared" si="45"/>
        <v>0.37547353143945927</v>
      </c>
      <c r="P51" s="103">
        <f t="shared" si="45"/>
        <v>0.3757058219094061</v>
      </c>
      <c r="Q51" s="103">
        <f t="shared" si="45"/>
        <v>0.34748452420401155</v>
      </c>
      <c r="R51" s="103">
        <f t="shared" si="45"/>
        <v>0.33169194014537873</v>
      </c>
      <c r="S51" s="103">
        <f t="shared" si="45"/>
        <v>0.31912679378665693</v>
      </c>
      <c r="T51" s="103">
        <f t="shared" si="45"/>
        <v>0.34105173005422584</v>
      </c>
      <c r="U51" s="103">
        <f t="shared" si="45"/>
        <v>0.34122075765855842</v>
      </c>
      <c r="V51" s="103">
        <f t="shared" si="45"/>
        <v>0.29494856796240643</v>
      </c>
      <c r="W51" s="103">
        <f t="shared" ref="W51" si="46">IF(W9=0,0,W9/W$3)</f>
        <v>0.37047981611477177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6.7120705998219565E-2</v>
      </c>
      <c r="C52" s="17">
        <f t="shared" si="47"/>
        <v>6.193855725402321E-2</v>
      </c>
      <c r="D52" s="17">
        <f t="shared" ref="D52:V52" si="48">IF(D10=0,0,D10/D$3)</f>
        <v>7.221609518328384E-2</v>
      </c>
      <c r="E52" s="17">
        <f t="shared" si="48"/>
        <v>5.126374819444085E-2</v>
      </c>
      <c r="F52" s="17">
        <f t="shared" si="48"/>
        <v>3.9015583198587611E-2</v>
      </c>
      <c r="G52" s="17">
        <f t="shared" si="48"/>
        <v>4.0468953803649343E-2</v>
      </c>
      <c r="H52" s="17">
        <f t="shared" si="48"/>
        <v>3.7831304198891511E-2</v>
      </c>
      <c r="I52" s="17">
        <f t="shared" si="48"/>
        <v>3.2696648340273776E-2</v>
      </c>
      <c r="J52" s="17">
        <f t="shared" si="48"/>
        <v>3.1808901799574435E-2</v>
      </c>
      <c r="K52" s="17">
        <f t="shared" si="48"/>
        <v>3.3136300179267192E-2</v>
      </c>
      <c r="L52" s="17">
        <f t="shared" si="48"/>
        <v>3.513778502309961E-2</v>
      </c>
      <c r="M52" s="17">
        <f t="shared" si="48"/>
        <v>4.5956060808094279E-2</v>
      </c>
      <c r="N52" s="17">
        <f t="shared" si="48"/>
        <v>4.6744158327165268E-2</v>
      </c>
      <c r="O52" s="17">
        <f t="shared" si="48"/>
        <v>4.2927632568228527E-2</v>
      </c>
      <c r="P52" s="17">
        <f t="shared" si="48"/>
        <v>3.8452153924546907E-2</v>
      </c>
      <c r="Q52" s="17">
        <f t="shared" si="48"/>
        <v>3.9289484977360095E-2</v>
      </c>
      <c r="R52" s="17">
        <f t="shared" si="48"/>
        <v>4.1202555793954813E-2</v>
      </c>
      <c r="S52" s="17">
        <f t="shared" si="48"/>
        <v>3.9288514576593547E-2</v>
      </c>
      <c r="T52" s="17">
        <f t="shared" si="48"/>
        <v>3.7880967055947394E-2</v>
      </c>
      <c r="U52" s="17">
        <f t="shared" si="48"/>
        <v>4.9714117672648654E-2</v>
      </c>
      <c r="V52" s="17">
        <f t="shared" si="48"/>
        <v>0.17493020399443102</v>
      </c>
      <c r="W52" s="17">
        <f t="shared" ref="W52" si="49">IF(W10=0,0,W10/W$3)</f>
        <v>0.11414064102949488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3.8066461500298782E-3</v>
      </c>
      <c r="C53" s="104">
        <f t="shared" si="50"/>
        <v>3.4701972206492384E-3</v>
      </c>
      <c r="D53" s="104">
        <f t="shared" ref="D53:V53" si="51">IF(D11=0,0,D11/D$3)</f>
        <v>4.1265821399400441E-3</v>
      </c>
      <c r="E53" s="104">
        <f t="shared" si="51"/>
        <v>2.487280436130823E-3</v>
      </c>
      <c r="F53" s="104">
        <f t="shared" si="51"/>
        <v>6.0446665670102907E-4</v>
      </c>
      <c r="G53" s="104">
        <f t="shared" si="51"/>
        <v>9.3928132548328467E-4</v>
      </c>
      <c r="H53" s="104">
        <f t="shared" si="51"/>
        <v>1.0264157866989917E-3</v>
      </c>
      <c r="I53" s="104">
        <f t="shared" si="51"/>
        <v>3.213165764026422E-3</v>
      </c>
      <c r="J53" s="104">
        <f t="shared" si="51"/>
        <v>3.637551589933861E-3</v>
      </c>
      <c r="K53" s="104">
        <f t="shared" si="51"/>
        <v>2.5114238875183241E-3</v>
      </c>
      <c r="L53" s="104">
        <f t="shared" si="51"/>
        <v>2.5410970091903603E-3</v>
      </c>
      <c r="M53" s="104">
        <f t="shared" si="51"/>
        <v>4.9252119259103506E-3</v>
      </c>
      <c r="N53" s="104">
        <f t="shared" si="51"/>
        <v>2.7762660372719675E-3</v>
      </c>
      <c r="O53" s="104">
        <f t="shared" si="51"/>
        <v>2.3002612941550277E-3</v>
      </c>
      <c r="P53" s="104">
        <f t="shared" si="51"/>
        <v>9.9064958183166501E-4</v>
      </c>
      <c r="Q53" s="104">
        <f t="shared" si="51"/>
        <v>1.8079945460550966E-3</v>
      </c>
      <c r="R53" s="104">
        <f t="shared" si="51"/>
        <v>1.5304255312445047E-3</v>
      </c>
      <c r="S53" s="104">
        <f t="shared" si="51"/>
        <v>2.6434727205580169E-3</v>
      </c>
      <c r="T53" s="104">
        <f t="shared" si="51"/>
        <v>8.188737498643411E-3</v>
      </c>
      <c r="U53" s="104">
        <f t="shared" si="51"/>
        <v>2.2041194901743156E-2</v>
      </c>
      <c r="V53" s="104">
        <f t="shared" si="51"/>
        <v>8.1003663693462249E-2</v>
      </c>
      <c r="W53" s="104">
        <f t="shared" ref="W53" si="52">IF(W11=0,0,W11/W$3)</f>
        <v>1.0840181012219952E-2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1.431000519093705E-2</v>
      </c>
      <c r="C54" s="104">
        <f t="shared" si="53"/>
        <v>1.2658700249357764E-2</v>
      </c>
      <c r="D54" s="104">
        <f t="shared" ref="D54:V54" si="54">IF(D12=0,0,D12/D$3)</f>
        <v>1.5686758721655605E-2</v>
      </c>
      <c r="E54" s="104">
        <f t="shared" si="54"/>
        <v>9.1369787256867299E-3</v>
      </c>
      <c r="F54" s="104">
        <f t="shared" si="54"/>
        <v>9.7448889759374335E-3</v>
      </c>
      <c r="G54" s="104">
        <f t="shared" si="54"/>
        <v>9.8488922605885747E-3</v>
      </c>
      <c r="H54" s="104">
        <f t="shared" si="54"/>
        <v>1.0957369153306805E-2</v>
      </c>
      <c r="I54" s="104">
        <f t="shared" si="54"/>
        <v>9.8231434206554162E-3</v>
      </c>
      <c r="J54" s="104">
        <f t="shared" si="54"/>
        <v>7.3771651335796497E-3</v>
      </c>
      <c r="K54" s="104">
        <f t="shared" si="54"/>
        <v>7.0571421199540404E-3</v>
      </c>
      <c r="L54" s="104">
        <f t="shared" si="54"/>
        <v>8.7853422569526378E-3</v>
      </c>
      <c r="M54" s="104">
        <f t="shared" si="54"/>
        <v>6.9340860261453315E-3</v>
      </c>
      <c r="N54" s="104">
        <f t="shared" si="54"/>
        <v>6.2915244143846973E-3</v>
      </c>
      <c r="O54" s="104">
        <f t="shared" si="54"/>
        <v>6.6347016349165367E-3</v>
      </c>
      <c r="P54" s="104">
        <f t="shared" si="54"/>
        <v>7.1105725070676282E-3</v>
      </c>
      <c r="Q54" s="104">
        <f t="shared" si="54"/>
        <v>6.888376197595132E-3</v>
      </c>
      <c r="R54" s="104">
        <f t="shared" si="54"/>
        <v>6.991112853229702E-3</v>
      </c>
      <c r="S54" s="104">
        <f t="shared" si="54"/>
        <v>8.2240530810737643E-3</v>
      </c>
      <c r="T54" s="104">
        <f t="shared" si="54"/>
        <v>9.2993800988888566E-3</v>
      </c>
      <c r="U54" s="104">
        <f t="shared" si="54"/>
        <v>7.418490019128871E-3</v>
      </c>
      <c r="V54" s="104">
        <f t="shared" si="54"/>
        <v>1.7700326777287098E-2</v>
      </c>
      <c r="W54" s="104">
        <f t="shared" ref="W54" si="55">IF(W12=0,0,W12/W$3)</f>
        <v>2.855761083526924E-2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4.9004054657252633E-2</v>
      </c>
      <c r="C55" s="105">
        <f t="shared" si="56"/>
        <v>4.5809659784016209E-2</v>
      </c>
      <c r="D55" s="105">
        <f t="shared" ref="D55:V55" si="57">IF(D13=0,0,D13/D$3)</f>
        <v>5.2402754321688193E-2</v>
      </c>
      <c r="E55" s="105">
        <f t="shared" si="57"/>
        <v>3.96394890326233E-2</v>
      </c>
      <c r="F55" s="105">
        <f t="shared" si="57"/>
        <v>2.8666227565949155E-2</v>
      </c>
      <c r="G55" s="105">
        <f t="shared" si="57"/>
        <v>2.9680780217577491E-2</v>
      </c>
      <c r="H55" s="105">
        <f t="shared" si="57"/>
        <v>2.5847519258885714E-2</v>
      </c>
      <c r="I55" s="105">
        <f t="shared" si="57"/>
        <v>1.9660339155591941E-2</v>
      </c>
      <c r="J55" s="105">
        <f t="shared" si="57"/>
        <v>2.0794185076060925E-2</v>
      </c>
      <c r="K55" s="105">
        <f t="shared" si="57"/>
        <v>2.3567734171794832E-2</v>
      </c>
      <c r="L55" s="105">
        <f t="shared" si="57"/>
        <v>2.3811345756956613E-2</v>
      </c>
      <c r="M55" s="105">
        <f t="shared" si="57"/>
        <v>3.4096762856038597E-2</v>
      </c>
      <c r="N55" s="105">
        <f t="shared" si="57"/>
        <v>3.7676367875508605E-2</v>
      </c>
      <c r="O55" s="105">
        <f t="shared" si="57"/>
        <v>3.399266963915696E-2</v>
      </c>
      <c r="P55" s="105">
        <f t="shared" si="57"/>
        <v>3.0350931835647611E-2</v>
      </c>
      <c r="Q55" s="105">
        <f t="shared" si="57"/>
        <v>3.0593114233709862E-2</v>
      </c>
      <c r="R55" s="105">
        <f t="shared" si="57"/>
        <v>3.2681017409480609E-2</v>
      </c>
      <c r="S55" s="105">
        <f t="shared" si="57"/>
        <v>2.8420988774961766E-2</v>
      </c>
      <c r="T55" s="105">
        <f t="shared" si="57"/>
        <v>2.0392849458415123E-2</v>
      </c>
      <c r="U55" s="105">
        <f t="shared" si="57"/>
        <v>2.025443275177663E-2</v>
      </c>
      <c r="V55" s="105">
        <f t="shared" si="57"/>
        <v>7.6226213523681641E-2</v>
      </c>
      <c r="W55" s="105">
        <f t="shared" ref="W55" si="58">IF(W13=0,0,W13/W$3)</f>
        <v>7.4742849182005688E-2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418.13716794784034</v>
      </c>
      <c r="C57" s="62">
        <v>419.4809223987296</v>
      </c>
      <c r="D57" s="62">
        <v>418.21827026703795</v>
      </c>
      <c r="E57" s="62">
        <v>410.5296037567183</v>
      </c>
      <c r="F57" s="62">
        <v>403.31172812436256</v>
      </c>
      <c r="G57" s="62">
        <v>398.35271765638083</v>
      </c>
      <c r="H57" s="62">
        <v>397.24407280423424</v>
      </c>
      <c r="I57" s="62">
        <v>394.34078359445004</v>
      </c>
      <c r="J57" s="62">
        <v>393.2835374724076</v>
      </c>
      <c r="K57" s="62">
        <v>399.18137313683889</v>
      </c>
      <c r="L57" s="62">
        <v>396.68542336811072</v>
      </c>
      <c r="M57" s="62">
        <v>399.73477714894142</v>
      </c>
      <c r="N57" s="62">
        <v>399.00260392172743</v>
      </c>
      <c r="O57" s="62">
        <v>398.00689580735354</v>
      </c>
      <c r="P57" s="62">
        <v>401.24949818335034</v>
      </c>
      <c r="Q57" s="62">
        <v>407.35465172116733</v>
      </c>
      <c r="R57" s="62">
        <v>414.71265834832519</v>
      </c>
      <c r="S57" s="62">
        <v>418.8802404121659</v>
      </c>
      <c r="T57" s="62">
        <v>428.25645833500317</v>
      </c>
      <c r="U57" s="62">
        <v>432.62210730390365</v>
      </c>
      <c r="V57" s="62">
        <v>432.19941722672388</v>
      </c>
      <c r="W57" s="62">
        <v>430.13713549381134</v>
      </c>
      <c r="DA57" s="172" t="s">
        <v>313</v>
      </c>
    </row>
    <row r="58" spans="1:105" ht="11.45" customHeight="1" x14ac:dyDescent="0.25">
      <c r="A58" s="10" t="s">
        <v>33</v>
      </c>
      <c r="B58" s="14">
        <v>403.6813582951275</v>
      </c>
      <c r="C58" s="14">
        <v>405.36292135965476</v>
      </c>
      <c r="D58" s="14">
        <v>403.01802659646177</v>
      </c>
      <c r="E58" s="14">
        <v>398.16470278216991</v>
      </c>
      <c r="F58" s="14">
        <v>395.42603100081413</v>
      </c>
      <c r="G58" s="14">
        <v>390.70710546677958</v>
      </c>
      <c r="H58" s="14">
        <v>391.07462472508831</v>
      </c>
      <c r="I58" s="14">
        <v>389.22139048605931</v>
      </c>
      <c r="J58" s="14">
        <v>387.94587652437104</v>
      </c>
      <c r="K58" s="14">
        <v>393.26443961011768</v>
      </c>
      <c r="L58" s="14">
        <v>390.81204214938612</v>
      </c>
      <c r="M58" s="14">
        <v>389.94543077151121</v>
      </c>
      <c r="N58" s="14">
        <v>387.9459018124362</v>
      </c>
      <c r="O58" s="14">
        <v>388.17471592518092</v>
      </c>
      <c r="P58" s="14">
        <v>392.42624156672417</v>
      </c>
      <c r="Q58" s="14">
        <v>398.03905302995281</v>
      </c>
      <c r="R58" s="14">
        <v>404.32441426690156</v>
      </c>
      <c r="S58" s="14">
        <v>409.06354630251468</v>
      </c>
      <c r="T58" s="14">
        <v>421.18339936495966</v>
      </c>
      <c r="U58" s="14">
        <v>425.45078848423265</v>
      </c>
      <c r="V58" s="14">
        <v>406.42766755275358</v>
      </c>
      <c r="W58" s="14">
        <v>409.43381356519143</v>
      </c>
      <c r="DA58" s="189" t="s">
        <v>314</v>
      </c>
    </row>
    <row r="59" spans="1:105" ht="11.45" customHeight="1" x14ac:dyDescent="0.25">
      <c r="A59" s="83" t="s">
        <v>27</v>
      </c>
      <c r="B59" s="87">
        <v>657.67640752529019</v>
      </c>
      <c r="C59" s="87">
        <v>657.67640752529007</v>
      </c>
      <c r="D59" s="87">
        <v>657.67640752529019</v>
      </c>
      <c r="E59" s="87">
        <v>657.67640752529019</v>
      </c>
      <c r="F59" s="87">
        <v>657.67640752529007</v>
      </c>
      <c r="G59" s="87">
        <v>679.35441532206664</v>
      </c>
      <c r="H59" s="87">
        <v>721.44674890723627</v>
      </c>
      <c r="I59" s="87">
        <v>708.08164444463341</v>
      </c>
      <c r="J59" s="87">
        <v>709.94376998068424</v>
      </c>
      <c r="K59" s="87">
        <v>717.25732113100219</v>
      </c>
      <c r="L59" s="87">
        <v>730.22159644847147</v>
      </c>
      <c r="M59" s="87">
        <v>732.02416539584067</v>
      </c>
      <c r="N59" s="87">
        <v>754.14544947742297</v>
      </c>
      <c r="O59" s="87">
        <v>773.61501077408536</v>
      </c>
      <c r="P59" s="87">
        <v>743.36353746723989</v>
      </c>
      <c r="Q59" s="87">
        <v>761.7158243694272</v>
      </c>
      <c r="R59" s="87">
        <v>729.27240747581334</v>
      </c>
      <c r="S59" s="87">
        <v>699.77183789560945</v>
      </c>
      <c r="T59" s="87">
        <v>716.81929453773944</v>
      </c>
      <c r="U59" s="87">
        <v>828.09007839096353</v>
      </c>
      <c r="V59" s="87">
        <v>777.53579534847802</v>
      </c>
      <c r="W59" s="87">
        <v>709.77023977602471</v>
      </c>
      <c r="DA59" s="171" t="s">
        <v>315</v>
      </c>
    </row>
    <row r="60" spans="1:105" ht="11.45" customHeight="1" x14ac:dyDescent="0.25">
      <c r="A60" s="83" t="s">
        <v>173</v>
      </c>
      <c r="B60" s="87">
        <v>355.80668428292984</v>
      </c>
      <c r="C60" s="87">
        <v>355.80896880295455</v>
      </c>
      <c r="D60" s="87">
        <v>355.80962608724013</v>
      </c>
      <c r="E60" s="87">
        <v>354.20490461976425</v>
      </c>
      <c r="F60" s="87">
        <v>351.21403825965399</v>
      </c>
      <c r="G60" s="87">
        <v>351.6117623616488</v>
      </c>
      <c r="H60" s="87">
        <v>354.86567644720458</v>
      </c>
      <c r="I60" s="87">
        <v>354.1603138001451</v>
      </c>
      <c r="J60" s="87">
        <v>352.46167935320079</v>
      </c>
      <c r="K60" s="87">
        <v>355.36262700012105</v>
      </c>
      <c r="L60" s="87">
        <v>357.09541155770825</v>
      </c>
      <c r="M60" s="87">
        <v>357.84374245038265</v>
      </c>
      <c r="N60" s="87">
        <v>356.25113799008034</v>
      </c>
      <c r="O60" s="87">
        <v>355.80598466413443</v>
      </c>
      <c r="P60" s="87">
        <v>352.81385737769136</v>
      </c>
      <c r="Q60" s="87">
        <v>352.32664255609365</v>
      </c>
      <c r="R60" s="87">
        <v>352.22716533214117</v>
      </c>
      <c r="S60" s="87">
        <v>350.0487765195507</v>
      </c>
      <c r="T60" s="87">
        <v>344.78688115984653</v>
      </c>
      <c r="U60" s="87">
        <v>344.0030069588596</v>
      </c>
      <c r="V60" s="87">
        <v>347.23794895716992</v>
      </c>
      <c r="W60" s="87">
        <v>335.4388363177697</v>
      </c>
      <c r="DA60" s="171" t="s">
        <v>316</v>
      </c>
    </row>
    <row r="61" spans="1:105" ht="11.45" customHeight="1" x14ac:dyDescent="0.25">
      <c r="A61" s="83" t="s">
        <v>174</v>
      </c>
      <c r="B61" s="87">
        <v>473.09082584496912</v>
      </c>
      <c r="C61" s="87">
        <v>473.09082584496917</v>
      </c>
      <c r="D61" s="87">
        <v>473.09082584496912</v>
      </c>
      <c r="E61" s="87">
        <v>473.09082584496912</v>
      </c>
      <c r="F61" s="87">
        <v>473.09082584496912</v>
      </c>
      <c r="G61" s="87">
        <v>462.59107524147038</v>
      </c>
      <c r="H61" s="87">
        <v>450.51942152304144</v>
      </c>
      <c r="I61" s="87">
        <v>443.46166845993474</v>
      </c>
      <c r="J61" s="87">
        <v>439.33409956592419</v>
      </c>
      <c r="K61" s="87">
        <v>434.91742501129005</v>
      </c>
      <c r="L61" s="87">
        <v>427.08081180712458</v>
      </c>
      <c r="M61" s="87">
        <v>425.45911764419691</v>
      </c>
      <c r="N61" s="87">
        <v>418.64784583320659</v>
      </c>
      <c r="O61" s="87">
        <v>420.64985239336551</v>
      </c>
      <c r="P61" s="87">
        <v>433.65394704452984</v>
      </c>
      <c r="Q61" s="87">
        <v>451.48929553373495</v>
      </c>
      <c r="R61" s="87">
        <v>471.51895944551222</v>
      </c>
      <c r="S61" s="87">
        <v>481.57932381585539</v>
      </c>
      <c r="T61" s="87">
        <v>504.20406482503046</v>
      </c>
      <c r="U61" s="87">
        <v>509.81973687749405</v>
      </c>
      <c r="V61" s="87">
        <v>483.5019471015928</v>
      </c>
      <c r="W61" s="87">
        <v>498.72461947328497</v>
      </c>
      <c r="DA61" s="171" t="s">
        <v>317</v>
      </c>
    </row>
    <row r="62" spans="1:105" ht="11.45" customHeight="1" x14ac:dyDescent="0.25">
      <c r="A62" s="12" t="s">
        <v>34</v>
      </c>
      <c r="B62" s="15">
        <v>693.54176283300944</v>
      </c>
      <c r="C62" s="15">
        <v>700.17177102304413</v>
      </c>
      <c r="D62" s="15">
        <v>690.54627831987341</v>
      </c>
      <c r="E62" s="15">
        <v>720.35249945419218</v>
      </c>
      <c r="F62" s="15">
        <v>673.54705980934762</v>
      </c>
      <c r="G62" s="15">
        <v>671.35181537779181</v>
      </c>
      <c r="H62" s="15">
        <v>634.32222772953298</v>
      </c>
      <c r="I62" s="15">
        <v>616.46110950863897</v>
      </c>
      <c r="J62" s="15">
        <v>641.28761655464052</v>
      </c>
      <c r="K62" s="15">
        <v>659.75625607959546</v>
      </c>
      <c r="L62" s="15">
        <v>630.62058860272964</v>
      </c>
      <c r="M62" s="15">
        <v>712.13043759691755</v>
      </c>
      <c r="N62" s="15">
        <v>755.46827459446013</v>
      </c>
      <c r="O62" s="15">
        <v>728.51046126240533</v>
      </c>
      <c r="P62" s="15">
        <v>716.08542508650032</v>
      </c>
      <c r="Q62" s="15">
        <v>718.41043835011237</v>
      </c>
      <c r="R62" s="15">
        <v>728.95905303311395</v>
      </c>
      <c r="S62" s="15">
        <v>709.42700393944506</v>
      </c>
      <c r="T62" s="15">
        <v>683.95947434493689</v>
      </c>
      <c r="U62" s="15">
        <v>695.54211302592171</v>
      </c>
      <c r="V62" s="15">
        <v>691.26568499135385</v>
      </c>
      <c r="W62" s="15">
        <v>655.04749434263135</v>
      </c>
      <c r="DA62" s="193" t="s">
        <v>318</v>
      </c>
    </row>
    <row r="63" spans="1:105" ht="11.45" customHeight="1" x14ac:dyDescent="0.25">
      <c r="A63" s="92" t="s">
        <v>27</v>
      </c>
      <c r="B63" s="101">
        <v>1075.2333060733667</v>
      </c>
      <c r="C63" s="101">
        <v>1075.2333060733667</v>
      </c>
      <c r="D63" s="101">
        <v>1075.2333060733667</v>
      </c>
      <c r="E63" s="101">
        <v>1075.2333060733665</v>
      </c>
      <c r="F63" s="101">
        <v>1075.2333060733667</v>
      </c>
      <c r="G63" s="101">
        <v>1148.1481268315088</v>
      </c>
      <c r="H63" s="101">
        <v>1148.6296648260068</v>
      </c>
      <c r="I63" s="101">
        <v>998.41918236969673</v>
      </c>
      <c r="J63" s="101">
        <v>913.54201533290461</v>
      </c>
      <c r="K63" s="101">
        <v>852.10209483867004</v>
      </c>
      <c r="L63" s="101">
        <v>806.62387523820564</v>
      </c>
      <c r="M63" s="101">
        <v>813.95757346060429</v>
      </c>
      <c r="N63" s="101">
        <v>848.39475758259039</v>
      </c>
      <c r="O63" s="101">
        <v>878.2396510838895</v>
      </c>
      <c r="P63" s="101">
        <v>840.65377460880893</v>
      </c>
      <c r="Q63" s="101">
        <v>869.334498928936</v>
      </c>
      <c r="R63" s="101">
        <v>827.85573258731381</v>
      </c>
      <c r="S63" s="101">
        <v>790.23675313650517</v>
      </c>
      <c r="T63" s="101">
        <v>816.71976487791244</v>
      </c>
      <c r="U63" s="101">
        <v>815.06087389214304</v>
      </c>
      <c r="V63" s="101">
        <v>765.45516799619691</v>
      </c>
      <c r="W63" s="101">
        <v>698.93059452547539</v>
      </c>
      <c r="DA63" s="175" t="s">
        <v>319</v>
      </c>
    </row>
    <row r="64" spans="1:105" ht="11.45" customHeight="1" x14ac:dyDescent="0.25">
      <c r="A64" s="92" t="s">
        <v>173</v>
      </c>
      <c r="B64" s="101">
        <v>364.15591507869323</v>
      </c>
      <c r="C64" s="101">
        <v>364.1028123177968</v>
      </c>
      <c r="D64" s="101">
        <v>364.2448979837842</v>
      </c>
      <c r="E64" s="101">
        <v>358.8176418786984</v>
      </c>
      <c r="F64" s="101">
        <v>359.70040721181482</v>
      </c>
      <c r="G64" s="101">
        <v>365.39423664933901</v>
      </c>
      <c r="H64" s="101">
        <v>372.32145127957705</v>
      </c>
      <c r="I64" s="101">
        <v>375.69445141264629</v>
      </c>
      <c r="J64" s="101">
        <v>376.70751951505446</v>
      </c>
      <c r="K64" s="101">
        <v>380.71861022176444</v>
      </c>
      <c r="L64" s="101">
        <v>387.38043309085231</v>
      </c>
      <c r="M64" s="101">
        <v>388.33397252426857</v>
      </c>
      <c r="N64" s="101">
        <v>385.06910434463492</v>
      </c>
      <c r="O64" s="101">
        <v>387.99458521652537</v>
      </c>
      <c r="P64" s="101">
        <v>385.8606169246782</v>
      </c>
      <c r="Q64" s="101">
        <v>387.62158453295172</v>
      </c>
      <c r="R64" s="101">
        <v>393.19138525752555</v>
      </c>
      <c r="S64" s="101">
        <v>391.45649632217584</v>
      </c>
      <c r="T64" s="101">
        <v>384.42256481629818</v>
      </c>
      <c r="U64" s="101">
        <v>388.66125725802539</v>
      </c>
      <c r="V64" s="101">
        <v>401.30826181137752</v>
      </c>
      <c r="W64" s="101">
        <v>361.85588102493585</v>
      </c>
      <c r="DA64" s="175" t="s">
        <v>320</v>
      </c>
    </row>
    <row r="65" spans="1:105" ht="11.45" customHeight="1" x14ac:dyDescent="0.25">
      <c r="A65" s="85" t="s">
        <v>174</v>
      </c>
      <c r="B65" s="88">
        <v>886.20219495946151</v>
      </c>
      <c r="C65" s="88">
        <v>886.20219495946139</v>
      </c>
      <c r="D65" s="88">
        <v>886.20219495946139</v>
      </c>
      <c r="E65" s="88">
        <v>886.20219495946139</v>
      </c>
      <c r="F65" s="88">
        <v>886.20219495946139</v>
      </c>
      <c r="G65" s="88">
        <v>879.22455850622134</v>
      </c>
      <c r="H65" s="88">
        <v>856.02342965532898</v>
      </c>
      <c r="I65" s="88">
        <v>836.18294904526692</v>
      </c>
      <c r="J65" s="88">
        <v>818.48329022976179</v>
      </c>
      <c r="K65" s="88">
        <v>800.0041596804806</v>
      </c>
      <c r="L65" s="88">
        <v>777.86263998982849</v>
      </c>
      <c r="M65" s="88">
        <v>816.22029049220043</v>
      </c>
      <c r="N65" s="88">
        <v>848.2000207961421</v>
      </c>
      <c r="O65" s="88">
        <v>821.95287088722091</v>
      </c>
      <c r="P65" s="88">
        <v>821.78639715886402</v>
      </c>
      <c r="Q65" s="88">
        <v>823.12502304205657</v>
      </c>
      <c r="R65" s="88">
        <v>823.93443243772208</v>
      </c>
      <c r="S65" s="88">
        <v>811.73120325048876</v>
      </c>
      <c r="T65" s="88">
        <v>811.23567753848067</v>
      </c>
      <c r="U65" s="88">
        <v>793.8266612370137</v>
      </c>
      <c r="V65" s="88">
        <v>784.26064896009734</v>
      </c>
      <c r="W65" s="88">
        <v>790.03921963056439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1.5152571977784517</v>
      </c>
      <c r="C67" s="59">
        <f t="shared" ref="C67:W67" si="60">IF(C3=0,0,C17/C57)</f>
        <v>1.5847129502926349</v>
      </c>
      <c r="D67" s="59">
        <f t="shared" si="60"/>
        <v>1.4783260042219493</v>
      </c>
      <c r="E67" s="59">
        <f t="shared" si="60"/>
        <v>1.0190708628752985</v>
      </c>
      <c r="F67" s="59">
        <f t="shared" si="60"/>
        <v>1.0464634446673551</v>
      </c>
      <c r="G67" s="59">
        <f t="shared" si="60"/>
        <v>1.0031305094683738</v>
      </c>
      <c r="H67" s="59">
        <f t="shared" si="60"/>
        <v>1.0018270566699996</v>
      </c>
      <c r="I67" s="59">
        <f t="shared" si="60"/>
        <v>1.0207808411309713</v>
      </c>
      <c r="J67" s="59">
        <f t="shared" si="60"/>
        <v>1.0256179512778196</v>
      </c>
      <c r="K67" s="59">
        <f t="shared" si="60"/>
        <v>1.0044975930996616</v>
      </c>
      <c r="L67" s="59">
        <f t="shared" si="60"/>
        <v>0.97633521289887815</v>
      </c>
      <c r="M67" s="59">
        <f t="shared" si="60"/>
        <v>0.99197681875948418</v>
      </c>
      <c r="N67" s="59">
        <f t="shared" si="60"/>
        <v>0.98435718025473562</v>
      </c>
      <c r="O67" s="59">
        <f t="shared" si="60"/>
        <v>0.96909778758125975</v>
      </c>
      <c r="P67" s="59">
        <f t="shared" si="60"/>
        <v>0.99084980392058619</v>
      </c>
      <c r="Q67" s="59">
        <f t="shared" si="60"/>
        <v>1.0328476814503489</v>
      </c>
      <c r="R67" s="59">
        <f t="shared" si="60"/>
        <v>1.0227391538094568</v>
      </c>
      <c r="S67" s="59">
        <f t="shared" si="60"/>
        <v>1.0437582551968703</v>
      </c>
      <c r="T67" s="59">
        <f t="shared" si="60"/>
        <v>0.97692705580848871</v>
      </c>
      <c r="U67" s="59">
        <f t="shared" si="60"/>
        <v>0.99766489972035766</v>
      </c>
      <c r="V67" s="59">
        <f t="shared" si="60"/>
        <v>1.2089628933299315</v>
      </c>
      <c r="W67" s="59">
        <f t="shared" si="60"/>
        <v>0.97159389508432392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1.5414450370268646</v>
      </c>
      <c r="C68" s="23">
        <f t="shared" ref="C68:W68" si="62">IF(C6=0,0,C18/C58)</f>
        <v>1.6161258143658352</v>
      </c>
      <c r="D68" s="23">
        <f t="shared" si="62"/>
        <v>1.5031759393936683</v>
      </c>
      <c r="E68" s="23">
        <f t="shared" si="62"/>
        <v>1.0367674287363642</v>
      </c>
      <c r="F68" s="23">
        <f t="shared" si="62"/>
        <v>1.0556744819200037</v>
      </c>
      <c r="G68" s="23">
        <f t="shared" si="62"/>
        <v>1.0089655727126452</v>
      </c>
      <c r="H68" s="23">
        <f t="shared" si="62"/>
        <v>1.0048556835548168</v>
      </c>
      <c r="I68" s="23">
        <f t="shared" si="62"/>
        <v>1.0238363533315515</v>
      </c>
      <c r="J68" s="23">
        <f t="shared" si="62"/>
        <v>1.0287814336438592</v>
      </c>
      <c r="K68" s="23">
        <f t="shared" si="62"/>
        <v>1.0087896433652364</v>
      </c>
      <c r="L68" s="23">
        <f t="shared" si="62"/>
        <v>0.98066535845295111</v>
      </c>
      <c r="M68" s="23">
        <f t="shared" si="62"/>
        <v>1.0009533723770554</v>
      </c>
      <c r="N68" s="23">
        <f t="shared" si="62"/>
        <v>0.99537720886286107</v>
      </c>
      <c r="O68" s="23">
        <f t="shared" si="62"/>
        <v>0.97949901175273757</v>
      </c>
      <c r="P68" s="23">
        <f t="shared" si="62"/>
        <v>1.0015974740186737</v>
      </c>
      <c r="Q68" s="23">
        <f t="shared" si="62"/>
        <v>1.0460301493934201</v>
      </c>
      <c r="R68" s="23">
        <f t="shared" si="62"/>
        <v>1.0391366728592473</v>
      </c>
      <c r="S68" s="23">
        <f t="shared" si="62"/>
        <v>1.0616018911634715</v>
      </c>
      <c r="T68" s="23">
        <f t="shared" si="62"/>
        <v>0.98252981616645862</v>
      </c>
      <c r="U68" s="23">
        <f t="shared" si="62"/>
        <v>0.99066219610446438</v>
      </c>
      <c r="V68" s="23">
        <f t="shared" si="62"/>
        <v>1.1675748870986642</v>
      </c>
      <c r="W68" s="23">
        <f t="shared" si="62"/>
        <v>0.98863997773824741</v>
      </c>
      <c r="DA68" s="189"/>
    </row>
    <row r="69" spans="1:105" ht="11.45" customHeight="1" x14ac:dyDescent="0.25">
      <c r="A69" s="83" t="s">
        <v>27</v>
      </c>
      <c r="B69" s="91">
        <f t="shared" si="61"/>
        <v>8.2257951660998554</v>
      </c>
      <c r="C69" s="91">
        <f t="shared" ref="C69:W69" si="63">IF(C7=0,0,C19/C59)</f>
        <v>8.2598567136346546</v>
      </c>
      <c r="D69" s="91">
        <f t="shared" si="63"/>
        <v>8.1783090407363144</v>
      </c>
      <c r="E69" s="91">
        <f t="shared" si="63"/>
        <v>7.7601958908841837</v>
      </c>
      <c r="F69" s="91">
        <f t="shared" si="63"/>
        <v>4.6160303564105591</v>
      </c>
      <c r="G69" s="91">
        <f t="shared" si="63"/>
        <v>2.9731983748337951</v>
      </c>
      <c r="H69" s="91">
        <f t="shared" si="63"/>
        <v>1.4725792290212574</v>
      </c>
      <c r="I69" s="91">
        <f t="shared" si="63"/>
        <v>3.4227287774682642</v>
      </c>
      <c r="J69" s="91">
        <f t="shared" si="63"/>
        <v>3.5987409720111909</v>
      </c>
      <c r="K69" s="91">
        <f t="shared" si="63"/>
        <v>2.0573610305314216</v>
      </c>
      <c r="L69" s="91">
        <f t="shared" si="63"/>
        <v>2.5343527195667694</v>
      </c>
      <c r="M69" s="91">
        <f t="shared" si="63"/>
        <v>5.938194716037537</v>
      </c>
      <c r="N69" s="91">
        <f t="shared" si="63"/>
        <v>3.6047951046152398</v>
      </c>
      <c r="O69" s="91">
        <f t="shared" si="63"/>
        <v>4.5304334299225388</v>
      </c>
      <c r="P69" s="91">
        <f t="shared" si="63"/>
        <v>3.7417287501037548</v>
      </c>
      <c r="Q69" s="91">
        <f t="shared" si="63"/>
        <v>7.1774348631858134</v>
      </c>
      <c r="R69" s="91">
        <f t="shared" si="63"/>
        <v>8.7223772080031292</v>
      </c>
      <c r="S69" s="91">
        <f t="shared" si="63"/>
        <v>16.443491238933866</v>
      </c>
      <c r="T69" s="91">
        <f t="shared" si="63"/>
        <v>10.584667129685242</v>
      </c>
      <c r="U69" s="91">
        <f t="shared" si="63"/>
        <v>36.150266191955467</v>
      </c>
      <c r="V69" s="91">
        <f t="shared" si="63"/>
        <v>48.729169064005916</v>
      </c>
      <c r="W69" s="91">
        <f t="shared" si="63"/>
        <v>5.3930110501789992</v>
      </c>
      <c r="DA69" s="171"/>
    </row>
    <row r="70" spans="1:105" ht="11.45" customHeight="1" x14ac:dyDescent="0.25">
      <c r="A70" s="83" t="s">
        <v>173</v>
      </c>
      <c r="B70" s="91">
        <f t="shared" si="61"/>
        <v>1.3018951815259809</v>
      </c>
      <c r="C70" s="91">
        <f t="shared" ref="C70:W70" si="64">IF(C8=0,0,C20/C60)</f>
        <v>1.3034373914403297</v>
      </c>
      <c r="D70" s="91">
        <f t="shared" si="64"/>
        <v>1.2934912558818139</v>
      </c>
      <c r="E70" s="91">
        <f t="shared" si="64"/>
        <v>0.83869963984162288</v>
      </c>
      <c r="F70" s="91">
        <f t="shared" si="64"/>
        <v>0.96757630990253674</v>
      </c>
      <c r="G70" s="91">
        <f t="shared" si="64"/>
        <v>0.96176015293211881</v>
      </c>
      <c r="H70" s="91">
        <f t="shared" si="64"/>
        <v>0.99906963212819266</v>
      </c>
      <c r="I70" s="91">
        <f t="shared" si="64"/>
        <v>0.98892076160422449</v>
      </c>
      <c r="J70" s="91">
        <f t="shared" si="64"/>
        <v>0.96525957952428565</v>
      </c>
      <c r="K70" s="91">
        <f t="shared" si="64"/>
        <v>1.0173849461336952</v>
      </c>
      <c r="L70" s="91">
        <f t="shared" si="64"/>
        <v>0.97374292747561308</v>
      </c>
      <c r="M70" s="91">
        <f t="shared" si="64"/>
        <v>0.97240897361763623</v>
      </c>
      <c r="N70" s="91">
        <f t="shared" si="64"/>
        <v>1.0772832229386464</v>
      </c>
      <c r="O70" s="91">
        <f t="shared" si="64"/>
        <v>1.0741580916695384</v>
      </c>
      <c r="P70" s="91">
        <f t="shared" si="64"/>
        <v>1.1240861606487533</v>
      </c>
      <c r="Q70" s="91">
        <f t="shared" si="64"/>
        <v>1.0846297176868382</v>
      </c>
      <c r="R70" s="91">
        <f t="shared" si="64"/>
        <v>1.0935610416535337</v>
      </c>
      <c r="S70" s="91">
        <f t="shared" si="64"/>
        <v>1.1877483977531489</v>
      </c>
      <c r="T70" s="91">
        <f t="shared" si="64"/>
        <v>1.3098242526174104</v>
      </c>
      <c r="U70" s="91">
        <f t="shared" si="64"/>
        <v>1.3346185879906665</v>
      </c>
      <c r="V70" s="91">
        <f t="shared" si="64"/>
        <v>0.99763414284044971</v>
      </c>
      <c r="W70" s="91">
        <f t="shared" si="64"/>
        <v>1.203842447050931</v>
      </c>
      <c r="DA70" s="171"/>
    </row>
    <row r="71" spans="1:105" ht="11.45" customHeight="1" x14ac:dyDescent="0.25">
      <c r="A71" s="83" t="s">
        <v>174</v>
      </c>
      <c r="B71" s="91">
        <f t="shared" si="61"/>
        <v>1.2374589468450401</v>
      </c>
      <c r="C71" s="91">
        <f t="shared" ref="C71:W71" si="65">IF(C9=0,0,C21/C61)</f>
        <v>1.2389376815159618</v>
      </c>
      <c r="D71" s="91">
        <f t="shared" si="65"/>
        <v>1.2294873338855026</v>
      </c>
      <c r="E71" s="91">
        <f t="shared" si="65"/>
        <v>0.79040816587309659</v>
      </c>
      <c r="F71" s="91">
        <f t="shared" si="65"/>
        <v>0.897549757873493</v>
      </c>
      <c r="G71" s="91">
        <f t="shared" si="65"/>
        <v>0.92407895406468543</v>
      </c>
      <c r="H71" s="91">
        <f t="shared" si="65"/>
        <v>0.97212771377575624</v>
      </c>
      <c r="I71" s="91">
        <f t="shared" si="65"/>
        <v>0.89310805494337953</v>
      </c>
      <c r="J71" s="91">
        <f t="shared" si="65"/>
        <v>0.90276624686436846</v>
      </c>
      <c r="K71" s="91">
        <f t="shared" si="65"/>
        <v>0.88876321320311635</v>
      </c>
      <c r="L71" s="91">
        <f t="shared" si="65"/>
        <v>0.86384393325904063</v>
      </c>
      <c r="M71" s="91">
        <f t="shared" si="65"/>
        <v>0.80079278650451613</v>
      </c>
      <c r="N71" s="91">
        <f t="shared" si="65"/>
        <v>0.80594145867420963</v>
      </c>
      <c r="O71" s="91">
        <f t="shared" si="65"/>
        <v>0.78202253733723059</v>
      </c>
      <c r="P71" s="91">
        <f t="shared" si="65"/>
        <v>0.79014931077245543</v>
      </c>
      <c r="Q71" s="91">
        <f t="shared" si="65"/>
        <v>0.78679384138923125</v>
      </c>
      <c r="R71" s="91">
        <f t="shared" si="65"/>
        <v>0.74945185221875588</v>
      </c>
      <c r="S71" s="91">
        <f t="shared" si="65"/>
        <v>0.68792502789256238</v>
      </c>
      <c r="T71" s="91">
        <f t="shared" si="65"/>
        <v>0.61886015222035617</v>
      </c>
      <c r="U71" s="91">
        <f t="shared" si="65"/>
        <v>0.60863889348810207</v>
      </c>
      <c r="V71" s="91">
        <f t="shared" si="65"/>
        <v>0.82462452757626381</v>
      </c>
      <c r="W71" s="91">
        <f t="shared" si="65"/>
        <v>0.76204958188298599</v>
      </c>
      <c r="DA71" s="171"/>
    </row>
    <row r="72" spans="1:105" ht="11.45" customHeight="1" x14ac:dyDescent="0.25">
      <c r="A72" s="12" t="s">
        <v>34</v>
      </c>
      <c r="B72" s="24">
        <f t="shared" si="61"/>
        <v>1.2231652303618834</v>
      </c>
      <c r="C72" s="24">
        <f t="shared" ref="C72:W72" si="66">IF(C10=0,0,C22/C62)</f>
        <v>1.2216579781679178</v>
      </c>
      <c r="D72" s="24">
        <f t="shared" si="66"/>
        <v>1.2167259569543145</v>
      </c>
      <c r="E72" s="24">
        <f t="shared" si="66"/>
        <v>0.77335275007688609</v>
      </c>
      <c r="F72" s="24">
        <f t="shared" si="66"/>
        <v>0.86072515497259916</v>
      </c>
      <c r="G72" s="24">
        <f t="shared" si="66"/>
        <v>0.88072421082376695</v>
      </c>
      <c r="H72" s="24">
        <f t="shared" si="66"/>
        <v>0.92721840462773242</v>
      </c>
      <c r="I72" s="24">
        <f t="shared" si="66"/>
        <v>0.93238125786744142</v>
      </c>
      <c r="J72" s="24">
        <f t="shared" si="66"/>
        <v>0.93031377031607931</v>
      </c>
      <c r="K72" s="24">
        <f t="shared" si="66"/>
        <v>0.88466138557591423</v>
      </c>
      <c r="L72" s="24">
        <f t="shared" si="66"/>
        <v>0.86452813368291781</v>
      </c>
      <c r="M72" s="24">
        <f t="shared" si="66"/>
        <v>0.83146555457169169</v>
      </c>
      <c r="N72" s="24">
        <f t="shared" si="66"/>
        <v>0.79860873531838505</v>
      </c>
      <c r="O72" s="24">
        <f t="shared" si="66"/>
        <v>0.78086133211673148</v>
      </c>
      <c r="P72" s="24">
        <f t="shared" si="66"/>
        <v>0.77965255687615143</v>
      </c>
      <c r="Q72" s="24">
        <f t="shared" si="66"/>
        <v>0.78811806291221731</v>
      </c>
      <c r="R72" s="24">
        <f t="shared" si="66"/>
        <v>0.74714779400457387</v>
      </c>
      <c r="S72" s="24">
        <f t="shared" si="66"/>
        <v>0.73890356313437044</v>
      </c>
      <c r="T72" s="24">
        <f t="shared" si="66"/>
        <v>0.8487058921012991</v>
      </c>
      <c r="U72" s="24">
        <f t="shared" si="66"/>
        <v>1.1482875030663418</v>
      </c>
      <c r="V72" s="24">
        <f t="shared" si="66"/>
        <v>1.4449245698211715</v>
      </c>
      <c r="W72" s="24">
        <f t="shared" si="66"/>
        <v>0.85278197619810603</v>
      </c>
      <c r="DA72" s="193"/>
    </row>
    <row r="73" spans="1:105" ht="11.45" customHeight="1" x14ac:dyDescent="0.25">
      <c r="A73" s="92" t="s">
        <v>27</v>
      </c>
      <c r="B73" s="93">
        <f t="shared" si="61"/>
        <v>8.2257951660998572</v>
      </c>
      <c r="C73" s="93">
        <f t="shared" ref="C73:W73" si="67">IF(C11=0,0,C23/C63)</f>
        <v>8.2598567136346546</v>
      </c>
      <c r="D73" s="93">
        <f t="shared" si="67"/>
        <v>8.1783090407363161</v>
      </c>
      <c r="E73" s="93">
        <f t="shared" si="67"/>
        <v>7.7601958908841828</v>
      </c>
      <c r="F73" s="93">
        <f t="shared" si="67"/>
        <v>4.6160303564105583</v>
      </c>
      <c r="G73" s="93">
        <f t="shared" si="67"/>
        <v>2.973198374833796</v>
      </c>
      <c r="H73" s="93">
        <f t="shared" si="67"/>
        <v>1.4725792290212576</v>
      </c>
      <c r="I73" s="93">
        <f t="shared" si="67"/>
        <v>3.4227287774682646</v>
      </c>
      <c r="J73" s="93">
        <f t="shared" si="67"/>
        <v>3.5987409720111909</v>
      </c>
      <c r="K73" s="93">
        <f t="shared" si="67"/>
        <v>2.0573610305314221</v>
      </c>
      <c r="L73" s="93">
        <f t="shared" si="67"/>
        <v>2.534352719566769</v>
      </c>
      <c r="M73" s="93">
        <f t="shared" si="67"/>
        <v>5.9381947160375352</v>
      </c>
      <c r="N73" s="93">
        <f t="shared" si="67"/>
        <v>3.6047951046152393</v>
      </c>
      <c r="O73" s="93">
        <f t="shared" si="67"/>
        <v>4.5304334299225379</v>
      </c>
      <c r="P73" s="93">
        <f t="shared" si="67"/>
        <v>3.7417287501037557</v>
      </c>
      <c r="Q73" s="93">
        <f t="shared" si="67"/>
        <v>7.1774348631858143</v>
      </c>
      <c r="R73" s="93">
        <f t="shared" si="67"/>
        <v>8.722377208003131</v>
      </c>
      <c r="S73" s="93">
        <f t="shared" si="67"/>
        <v>16.443491238933866</v>
      </c>
      <c r="T73" s="93">
        <f t="shared" si="67"/>
        <v>10.584667129685242</v>
      </c>
      <c r="U73" s="93">
        <f t="shared" si="67"/>
        <v>36.150266191955474</v>
      </c>
      <c r="V73" s="93">
        <f t="shared" si="67"/>
        <v>48.729169064005895</v>
      </c>
      <c r="W73" s="93">
        <f t="shared" si="67"/>
        <v>5.3930110501789992</v>
      </c>
      <c r="DA73" s="175"/>
    </row>
    <row r="74" spans="1:105" ht="11.45" customHeight="1" x14ac:dyDescent="0.25">
      <c r="A74" s="92" t="s">
        <v>173</v>
      </c>
      <c r="B74" s="93">
        <f t="shared" si="61"/>
        <v>1.3531281942800555</v>
      </c>
      <c r="C74" s="93">
        <f t="shared" ref="C74:W74" si="68">IF(C12=0,0,C24/C64)</f>
        <v>1.3548063815926459</v>
      </c>
      <c r="D74" s="93">
        <f t="shared" si="68"/>
        <v>1.3440361203390303</v>
      </c>
      <c r="E74" s="93">
        <f t="shared" si="68"/>
        <v>0.8828014248078625</v>
      </c>
      <c r="F74" s="93">
        <f t="shared" si="68"/>
        <v>0.99848354777383175</v>
      </c>
      <c r="G74" s="93">
        <f t="shared" si="68"/>
        <v>0.97738450105203212</v>
      </c>
      <c r="H74" s="93">
        <f t="shared" si="68"/>
        <v>1.0077559779813718</v>
      </c>
      <c r="I74" s="93">
        <f t="shared" si="68"/>
        <v>0.9794801518354832</v>
      </c>
      <c r="J74" s="93">
        <f t="shared" si="68"/>
        <v>0.93513649848742419</v>
      </c>
      <c r="K74" s="93">
        <f t="shared" si="68"/>
        <v>1.0013690683344336</v>
      </c>
      <c r="L74" s="93">
        <f t="shared" si="68"/>
        <v>0.95152715491451423</v>
      </c>
      <c r="M74" s="93">
        <f t="shared" si="68"/>
        <v>0.95830653062018589</v>
      </c>
      <c r="N74" s="93">
        <f t="shared" si="68"/>
        <v>1.0656977162842414</v>
      </c>
      <c r="O74" s="93">
        <f t="shared" si="68"/>
        <v>1.0605044380006903</v>
      </c>
      <c r="P74" s="93">
        <f t="shared" si="68"/>
        <v>1.1085197219882235</v>
      </c>
      <c r="Q74" s="93">
        <f t="shared" si="68"/>
        <v>1.0695428157551023</v>
      </c>
      <c r="R74" s="93">
        <f t="shared" si="68"/>
        <v>1.0689403885698907</v>
      </c>
      <c r="S74" s="93">
        <f t="shared" si="68"/>
        <v>1.154655574904047</v>
      </c>
      <c r="T74" s="93">
        <f t="shared" si="68"/>
        <v>1.2613988159931369</v>
      </c>
      <c r="U74" s="93">
        <f t="shared" si="68"/>
        <v>1.2794891968473183</v>
      </c>
      <c r="V74" s="93">
        <f t="shared" si="68"/>
        <v>1.0501052255657453</v>
      </c>
      <c r="W74" s="93">
        <f t="shared" si="68"/>
        <v>1.2426115093513985</v>
      </c>
      <c r="DA74" s="175"/>
    </row>
    <row r="75" spans="1:105" ht="11.45" customHeight="1" x14ac:dyDescent="0.25">
      <c r="A75" s="85" t="s">
        <v>174</v>
      </c>
      <c r="B75" s="94">
        <f t="shared" si="61"/>
        <v>1.1137130521605367</v>
      </c>
      <c r="C75" s="94">
        <f t="shared" ref="C75:W75" si="69">IF(C13=0,0,C25/C65)</f>
        <v>1.1150439133643659</v>
      </c>
      <c r="D75" s="94">
        <f t="shared" si="69"/>
        <v>1.1065386004969526</v>
      </c>
      <c r="E75" s="94">
        <f t="shared" si="69"/>
        <v>0.71136734928578715</v>
      </c>
      <c r="F75" s="94">
        <f t="shared" si="69"/>
        <v>0.80779478208614375</v>
      </c>
      <c r="G75" s="94">
        <f t="shared" si="69"/>
        <v>0.83167105865821689</v>
      </c>
      <c r="H75" s="94">
        <f t="shared" si="69"/>
        <v>0.87491494239818057</v>
      </c>
      <c r="I75" s="94">
        <f t="shared" si="69"/>
        <v>0.80379724944904141</v>
      </c>
      <c r="J75" s="94">
        <f t="shared" si="69"/>
        <v>0.81248962217793153</v>
      </c>
      <c r="K75" s="94">
        <f t="shared" si="69"/>
        <v>0.79988689188280482</v>
      </c>
      <c r="L75" s="94">
        <f t="shared" si="69"/>
        <v>0.77745953993313666</v>
      </c>
      <c r="M75" s="94">
        <f t="shared" si="69"/>
        <v>0.72071350785406463</v>
      </c>
      <c r="N75" s="94">
        <f t="shared" si="69"/>
        <v>0.72534731280678866</v>
      </c>
      <c r="O75" s="94">
        <f t="shared" si="69"/>
        <v>0.70382028360350746</v>
      </c>
      <c r="P75" s="94">
        <f t="shared" si="69"/>
        <v>0.71113437969520998</v>
      </c>
      <c r="Q75" s="94">
        <f t="shared" si="69"/>
        <v>0.70811445725030808</v>
      </c>
      <c r="R75" s="94">
        <f t="shared" si="69"/>
        <v>0.67450666699688022</v>
      </c>
      <c r="S75" s="94">
        <f t="shared" si="69"/>
        <v>0.61913252510330619</v>
      </c>
      <c r="T75" s="94">
        <f t="shared" si="69"/>
        <v>0.55697413699832066</v>
      </c>
      <c r="U75" s="94">
        <f t="shared" si="69"/>
        <v>0.54777500413929192</v>
      </c>
      <c r="V75" s="94">
        <f t="shared" si="69"/>
        <v>0.7421620748186375</v>
      </c>
      <c r="W75" s="94">
        <f t="shared" si="69"/>
        <v>0.68584462369468735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602.80431371999998</v>
      </c>
      <c r="C3" s="79">
        <f t="shared" si="0"/>
        <v>636.9824584800001</v>
      </c>
      <c r="D3" s="79">
        <f t="shared" ref="D3" si="1">SUM(D4:D5)</f>
        <v>609.27531371999999</v>
      </c>
      <c r="E3" s="79">
        <f t="shared" ref="E3" si="2">SUM(E4:E5)</f>
        <v>781.60377923999999</v>
      </c>
      <c r="F3" s="79">
        <f t="shared" ref="F3" si="3">SUM(F4:F5)</f>
        <v>1000.09322532</v>
      </c>
      <c r="G3" s="79">
        <f t="shared" ref="G3" si="4">SUM(G4:G5)</f>
        <v>1037.0329135200004</v>
      </c>
      <c r="H3" s="79">
        <f t="shared" ref="H3" si="5">SUM(H4:H5)</f>
        <v>1061.5292722800002</v>
      </c>
      <c r="I3" s="79">
        <f t="shared" ref="I3" si="6">SUM(I4:I5)</f>
        <v>1151.8139584800001</v>
      </c>
      <c r="J3" s="79">
        <f t="shared" ref="J3" si="7">SUM(J4:J5)</f>
        <v>1210.9661460000002</v>
      </c>
      <c r="K3" s="79">
        <f t="shared" ref="K3" si="8">SUM(K4:K5)</f>
        <v>1120.6814597999999</v>
      </c>
      <c r="L3" s="79">
        <f t="shared" ref="L3" si="9">SUM(L4:L5)</f>
        <v>1033.5098422800004</v>
      </c>
      <c r="M3" s="79">
        <f t="shared" ref="M3" si="10">SUM(M4:M5)</f>
        <v>1067.803668</v>
      </c>
      <c r="N3" s="79">
        <f t="shared" ref="N3" si="11">SUM(N4:N5)</f>
        <v>949.45155227999987</v>
      </c>
      <c r="O3" s="79">
        <f t="shared" ref="O3" si="12">SUM(O4:O5)</f>
        <v>912.09213971999986</v>
      </c>
      <c r="P3" s="79">
        <f t="shared" ref="P3" si="13">SUM(P4:P5)</f>
        <v>936.99824219999994</v>
      </c>
      <c r="Q3" s="79">
        <f t="shared" ref="Q3" si="14">SUM(Q4:Q5)</f>
        <v>1002.3290852399997</v>
      </c>
      <c r="R3" s="79">
        <f t="shared" ref="R3" si="15">SUM(R4:R5)</f>
        <v>1080.1609790400003</v>
      </c>
      <c r="S3" s="79">
        <f t="shared" ref="S3" si="16">SUM(S4:S5)</f>
        <v>1226.48452524</v>
      </c>
      <c r="T3" s="79">
        <f t="shared" ref="T3" si="17">SUM(T4:T5)</f>
        <v>1335.4489177200001</v>
      </c>
      <c r="U3" s="79">
        <f t="shared" ref="U3" si="18">SUM(U4:U5)</f>
        <v>1403.9408289600003</v>
      </c>
      <c r="V3" s="79">
        <f t="shared" ref="V3:W3" si="19">SUM(V4:V5)</f>
        <v>466.89484608000021</v>
      </c>
      <c r="W3" s="79">
        <f t="shared" si="19"/>
        <v>479.34763847999994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117.45886896000002</v>
      </c>
      <c r="C4" s="96">
        <f t="shared" si="20"/>
        <v>150.76601352</v>
      </c>
      <c r="D4" s="96">
        <f t="shared" ref="D4:V4" si="21">SUM(D7,D11)</f>
        <v>107.67212496000002</v>
      </c>
      <c r="E4" s="96">
        <f t="shared" si="21"/>
        <v>175.37176800000003</v>
      </c>
      <c r="F4" s="96">
        <f t="shared" si="21"/>
        <v>132.28889904000002</v>
      </c>
      <c r="G4" s="96">
        <f t="shared" si="21"/>
        <v>89.218296000000009</v>
      </c>
      <c r="H4" s="96">
        <f t="shared" si="21"/>
        <v>49.716464760000015</v>
      </c>
      <c r="I4" s="96">
        <f t="shared" si="21"/>
        <v>111.98172096000002</v>
      </c>
      <c r="J4" s="96">
        <f t="shared" si="21"/>
        <v>140.00115096000002</v>
      </c>
      <c r="K4" s="96">
        <f t="shared" si="21"/>
        <v>96.415601039999999</v>
      </c>
      <c r="L4" s="96">
        <f t="shared" si="21"/>
        <v>90.188946000000016</v>
      </c>
      <c r="M4" s="96">
        <f t="shared" si="21"/>
        <v>133.82275428</v>
      </c>
      <c r="N4" s="96">
        <f t="shared" si="21"/>
        <v>65.28284352</v>
      </c>
      <c r="O4" s="96">
        <f t="shared" si="21"/>
        <v>59.056188480000017</v>
      </c>
      <c r="P4" s="96">
        <f t="shared" si="21"/>
        <v>55.94286095999999</v>
      </c>
      <c r="Q4" s="96">
        <f t="shared" si="21"/>
        <v>115.04704896000001</v>
      </c>
      <c r="R4" s="96">
        <f t="shared" si="21"/>
        <v>127.50035904000001</v>
      </c>
      <c r="S4" s="96">
        <f t="shared" si="21"/>
        <v>158.63285772000003</v>
      </c>
      <c r="T4" s="96">
        <f t="shared" si="21"/>
        <v>102.59399772000002</v>
      </c>
      <c r="U4" s="96">
        <f t="shared" si="21"/>
        <v>143.06647895999998</v>
      </c>
      <c r="V4" s="96">
        <f t="shared" si="21"/>
        <v>124.43503104000003</v>
      </c>
      <c r="W4" s="96">
        <f t="shared" ref="W4" si="22">SUM(W7,W11)</f>
        <v>18.583707240000003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485.34544475999991</v>
      </c>
      <c r="C5" s="96">
        <f t="shared" si="23"/>
        <v>486.21644496000016</v>
      </c>
      <c r="D5" s="96">
        <f t="shared" ref="D5:V5" si="24">SUM(D8:D9,D12:D13)</f>
        <v>501.60318875999997</v>
      </c>
      <c r="E5" s="96">
        <f t="shared" si="24"/>
        <v>606.23201124000002</v>
      </c>
      <c r="F5" s="96">
        <f t="shared" si="24"/>
        <v>867.80432627999994</v>
      </c>
      <c r="G5" s="96">
        <f t="shared" si="24"/>
        <v>947.81461752000041</v>
      </c>
      <c r="H5" s="96">
        <f t="shared" si="24"/>
        <v>1011.8128075200001</v>
      </c>
      <c r="I5" s="96">
        <f t="shared" si="24"/>
        <v>1039.83223752</v>
      </c>
      <c r="J5" s="96">
        <f t="shared" si="24"/>
        <v>1070.9649950400001</v>
      </c>
      <c r="K5" s="96">
        <f t="shared" si="24"/>
        <v>1024.2658587599999</v>
      </c>
      <c r="L5" s="96">
        <f t="shared" si="24"/>
        <v>943.32089628000028</v>
      </c>
      <c r="M5" s="96">
        <f t="shared" si="24"/>
        <v>933.9809137200001</v>
      </c>
      <c r="N5" s="96">
        <f t="shared" si="24"/>
        <v>884.16870875999984</v>
      </c>
      <c r="O5" s="96">
        <f t="shared" si="24"/>
        <v>853.0359512399998</v>
      </c>
      <c r="P5" s="96">
        <f t="shared" si="24"/>
        <v>881.05538123999997</v>
      </c>
      <c r="Q5" s="96">
        <f t="shared" si="24"/>
        <v>887.28203627999972</v>
      </c>
      <c r="R5" s="96">
        <f t="shared" si="24"/>
        <v>952.66062000000034</v>
      </c>
      <c r="S5" s="96">
        <f t="shared" si="24"/>
        <v>1067.8516675200001</v>
      </c>
      <c r="T5" s="96">
        <f t="shared" si="24"/>
        <v>1232.85492</v>
      </c>
      <c r="U5" s="96">
        <f t="shared" si="24"/>
        <v>1260.8743500000003</v>
      </c>
      <c r="V5" s="96">
        <f t="shared" si="24"/>
        <v>342.45981504000019</v>
      </c>
      <c r="W5" s="96">
        <f t="shared" ref="W5" si="25">SUM(W8:W9,W12:W13)</f>
        <v>460.76393123999992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562.34161964479767</v>
      </c>
      <c r="C6" s="21">
        <f t="shared" si="26"/>
        <v>597.52081326473694</v>
      </c>
      <c r="D6" s="21">
        <f t="shared" ref="D6:V6" si="27">SUM(D7:D9)</f>
        <v>565.26361884603011</v>
      </c>
      <c r="E6" s="21">
        <f t="shared" si="27"/>
        <v>741.52580758741772</v>
      </c>
      <c r="F6" s="21">
        <f t="shared" si="27"/>
        <v>961.06540514748258</v>
      </c>
      <c r="G6" s="21">
        <f t="shared" si="27"/>
        <v>995.06035593920956</v>
      </c>
      <c r="H6" s="21">
        <f t="shared" si="27"/>
        <v>1021.3675754536671</v>
      </c>
      <c r="I6" s="21">
        <f t="shared" si="27"/>
        <v>1114.1535539185875</v>
      </c>
      <c r="J6" s="21">
        <f t="shared" si="27"/>
        <v>1172.4465798365904</v>
      </c>
      <c r="K6" s="21">
        <f t="shared" si="27"/>
        <v>1083.5455584479596</v>
      </c>
      <c r="L6" s="21">
        <f t="shared" si="27"/>
        <v>997.1935859985457</v>
      </c>
      <c r="M6" s="21">
        <f t="shared" si="27"/>
        <v>1018.7310620827113</v>
      </c>
      <c r="N6" s="21">
        <f t="shared" si="27"/>
        <v>905.06916318266758</v>
      </c>
      <c r="O6" s="21">
        <f t="shared" si="27"/>
        <v>872.93693634144097</v>
      </c>
      <c r="P6" s="21">
        <f t="shared" si="27"/>
        <v>900.96499635578289</v>
      </c>
      <c r="Q6" s="21">
        <f t="shared" si="27"/>
        <v>962.94220905388488</v>
      </c>
      <c r="R6" s="21">
        <f t="shared" si="27"/>
        <v>1035.6485323396937</v>
      </c>
      <c r="S6" s="21">
        <f t="shared" si="27"/>
        <v>1178.2930579892814</v>
      </c>
      <c r="T6" s="21">
        <f t="shared" si="27"/>
        <v>1284.8779121440848</v>
      </c>
      <c r="U6" s="21">
        <f t="shared" si="27"/>
        <v>1334.1866443514909</v>
      </c>
      <c r="V6" s="21">
        <f t="shared" si="27"/>
        <v>385.24225276412574</v>
      </c>
      <c r="W6" s="21">
        <f t="shared" ref="W6" si="28">SUM(W7:W9)</f>
        <v>424.66172973287883</v>
      </c>
      <c r="DA6" s="189" t="s">
        <v>326</v>
      </c>
    </row>
    <row r="7" spans="1:105" ht="11.45" customHeight="1" x14ac:dyDescent="0.25">
      <c r="A7" s="83" t="s">
        <v>27</v>
      </c>
      <c r="B7" s="96">
        <v>115.16488121516744</v>
      </c>
      <c r="C7" s="96">
        <v>148.55741936262527</v>
      </c>
      <c r="D7" s="96">
        <v>105.16268873438185</v>
      </c>
      <c r="E7" s="96">
        <v>173.42984341644507</v>
      </c>
      <c r="F7" s="96">
        <v>131.68536391550003</v>
      </c>
      <c r="G7" s="96">
        <v>88.24588771637795</v>
      </c>
      <c r="H7" s="96">
        <v>48.63035880919314</v>
      </c>
      <c r="I7" s="96">
        <v>108.28570932979368</v>
      </c>
      <c r="J7" s="96">
        <v>135.60082399941342</v>
      </c>
      <c r="K7" s="96">
        <v>93.605526844005809</v>
      </c>
      <c r="L7" s="96">
        <v>87.567111810277112</v>
      </c>
      <c r="M7" s="96">
        <v>128.56645313910224</v>
      </c>
      <c r="N7" s="96">
        <v>62.653154419830777</v>
      </c>
      <c r="O7" s="96">
        <v>56.963651635598161</v>
      </c>
      <c r="P7" s="96">
        <v>55.017212561261879</v>
      </c>
      <c r="Q7" s="96">
        <v>113.23831636924086</v>
      </c>
      <c r="R7" s="96">
        <v>125.85010177804752</v>
      </c>
      <c r="S7" s="96">
        <v>155.3951140284143</v>
      </c>
      <c r="T7" s="96">
        <v>91.682859308352704</v>
      </c>
      <c r="U7" s="96">
        <v>112.17034779385875</v>
      </c>
      <c r="V7" s="96">
        <v>86.651885007700827</v>
      </c>
      <c r="W7" s="96">
        <v>13.431819616221837</v>
      </c>
      <c r="DA7" s="171" t="s">
        <v>327</v>
      </c>
    </row>
    <row r="8" spans="1:105" ht="11.45" customHeight="1" x14ac:dyDescent="0.25">
      <c r="A8" s="83" t="s">
        <v>173</v>
      </c>
      <c r="B8" s="96">
        <v>263.28767760196382</v>
      </c>
      <c r="C8" s="96">
        <v>264.32440783112986</v>
      </c>
      <c r="D8" s="96">
        <v>270.88366424376386</v>
      </c>
      <c r="E8" s="96">
        <v>352.12265332771989</v>
      </c>
      <c r="F8" s="96">
        <v>521.05657073724376</v>
      </c>
      <c r="G8" s="96">
        <v>581.89618286034045</v>
      </c>
      <c r="H8" s="96">
        <v>618.86238110686679</v>
      </c>
      <c r="I8" s="96">
        <v>641.28703151323498</v>
      </c>
      <c r="J8" s="96">
        <v>647.59872380699119</v>
      </c>
      <c r="K8" s="96">
        <v>598.61874373369847</v>
      </c>
      <c r="L8" s="96">
        <v>540.33545058308084</v>
      </c>
      <c r="M8" s="96">
        <v>523.74663332971886</v>
      </c>
      <c r="N8" s="96">
        <v>490.35894280284907</v>
      </c>
      <c r="O8" s="96">
        <v>473.44434788970341</v>
      </c>
      <c r="P8" s="96">
        <v>493.84957030985112</v>
      </c>
      <c r="Q8" s="96">
        <v>501.32331343222097</v>
      </c>
      <c r="R8" s="96">
        <v>551.43494769494305</v>
      </c>
      <c r="S8" s="96">
        <v>631.41421405935728</v>
      </c>
      <c r="T8" s="96">
        <v>737.65276073570806</v>
      </c>
      <c r="U8" s="96">
        <v>742.87737268935928</v>
      </c>
      <c r="V8" s="96">
        <v>160.83132103617282</v>
      </c>
      <c r="W8" s="96">
        <v>233.57963601204614</v>
      </c>
      <c r="DA8" s="171" t="s">
        <v>328</v>
      </c>
    </row>
    <row r="9" spans="1:105" ht="11.45" customHeight="1" x14ac:dyDescent="0.25">
      <c r="A9" s="83" t="s">
        <v>174</v>
      </c>
      <c r="B9" s="96">
        <v>183.88906082766638</v>
      </c>
      <c r="C9" s="96">
        <v>184.63898607098184</v>
      </c>
      <c r="D9" s="96">
        <v>189.21726586788435</v>
      </c>
      <c r="E9" s="96">
        <v>215.97331084325276</v>
      </c>
      <c r="F9" s="96">
        <v>308.32347049473884</v>
      </c>
      <c r="G9" s="96">
        <v>324.91828536249119</v>
      </c>
      <c r="H9" s="96">
        <v>353.87483553760711</v>
      </c>
      <c r="I9" s="96">
        <v>364.58081307555875</v>
      </c>
      <c r="J9" s="96">
        <v>389.24703203018601</v>
      </c>
      <c r="K9" s="96">
        <v>391.32128787025539</v>
      </c>
      <c r="L9" s="96">
        <v>369.29102360518777</v>
      </c>
      <c r="M9" s="96">
        <v>366.41797561389023</v>
      </c>
      <c r="N9" s="96">
        <v>352.05706595998782</v>
      </c>
      <c r="O9" s="96">
        <v>342.52893681613943</v>
      </c>
      <c r="P9" s="96">
        <v>352.09821348466988</v>
      </c>
      <c r="Q9" s="96">
        <v>348.3805792524231</v>
      </c>
      <c r="R9" s="96">
        <v>358.36348286670324</v>
      </c>
      <c r="S9" s="96">
        <v>391.48372990150995</v>
      </c>
      <c r="T9" s="96">
        <v>455.54229210002416</v>
      </c>
      <c r="U9" s="96">
        <v>479.13892386827297</v>
      </c>
      <c r="V9" s="96">
        <v>137.75904672025209</v>
      </c>
      <c r="W9" s="96">
        <v>177.65027410461087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40.462694075202336</v>
      </c>
      <c r="C10" s="22">
        <f t="shared" si="29"/>
        <v>39.461645215263175</v>
      </c>
      <c r="D10" s="22">
        <f t="shared" ref="D10:V10" si="30">SUM(D11:D13)</f>
        <v>44.011694873969901</v>
      </c>
      <c r="E10" s="22">
        <f t="shared" si="30"/>
        <v>40.077971652582399</v>
      </c>
      <c r="F10" s="22">
        <f t="shared" si="30"/>
        <v>39.027820172517281</v>
      </c>
      <c r="G10" s="22">
        <f t="shared" si="30"/>
        <v>41.972557580790792</v>
      </c>
      <c r="H10" s="22">
        <f t="shared" si="30"/>
        <v>40.161696826333213</v>
      </c>
      <c r="I10" s="22">
        <f t="shared" si="30"/>
        <v>37.660404561412463</v>
      </c>
      <c r="J10" s="22">
        <f t="shared" si="30"/>
        <v>38.519566163409358</v>
      </c>
      <c r="K10" s="22">
        <f t="shared" si="30"/>
        <v>37.135901352040229</v>
      </c>
      <c r="L10" s="22">
        <f t="shared" si="30"/>
        <v>36.316256281454486</v>
      </c>
      <c r="M10" s="22">
        <f t="shared" si="30"/>
        <v>49.072605917288769</v>
      </c>
      <c r="N10" s="22">
        <f t="shared" si="30"/>
        <v>44.382389097332279</v>
      </c>
      <c r="O10" s="22">
        <f t="shared" si="30"/>
        <v>39.155203378558767</v>
      </c>
      <c r="P10" s="22">
        <f t="shared" si="30"/>
        <v>36.03324584421707</v>
      </c>
      <c r="Q10" s="22">
        <f t="shared" si="30"/>
        <v>39.386876186114812</v>
      </c>
      <c r="R10" s="22">
        <f t="shared" si="30"/>
        <v>44.512446700306512</v>
      </c>
      <c r="S10" s="22">
        <f t="shared" si="30"/>
        <v>48.191467250718489</v>
      </c>
      <c r="T10" s="22">
        <f t="shared" si="30"/>
        <v>50.571005575915187</v>
      </c>
      <c r="U10" s="22">
        <f t="shared" si="30"/>
        <v>69.754184608509007</v>
      </c>
      <c r="V10" s="22">
        <f t="shared" si="30"/>
        <v>81.652593315874412</v>
      </c>
      <c r="W10" s="22">
        <f t="shared" ref="W10" si="31">SUM(W11:W13)</f>
        <v>54.685908747121047</v>
      </c>
      <c r="DA10" s="193" t="s">
        <v>330</v>
      </c>
    </row>
    <row r="11" spans="1:105" ht="11.45" customHeight="1" x14ac:dyDescent="0.25">
      <c r="A11" s="92" t="s">
        <v>27</v>
      </c>
      <c r="B11" s="97">
        <v>2.293987744832573</v>
      </c>
      <c r="C11" s="97">
        <v>2.2085941573747419</v>
      </c>
      <c r="D11" s="97">
        <v>2.5094362256181686</v>
      </c>
      <c r="E11" s="97">
        <v>1.9419245835549577</v>
      </c>
      <c r="F11" s="97">
        <v>0.60353512449997182</v>
      </c>
      <c r="G11" s="97">
        <v>0.97240828362205889</v>
      </c>
      <c r="H11" s="97">
        <v>1.086105950806876</v>
      </c>
      <c r="I11" s="97">
        <v>3.696011630206347</v>
      </c>
      <c r="J11" s="97">
        <v>4.400326960586586</v>
      </c>
      <c r="K11" s="97">
        <v>2.810074195994186</v>
      </c>
      <c r="L11" s="97">
        <v>2.6218341897229043</v>
      </c>
      <c r="M11" s="97">
        <v>5.2563011408977696</v>
      </c>
      <c r="N11" s="97">
        <v>2.629689100169224</v>
      </c>
      <c r="O11" s="97">
        <v>2.0925368444018591</v>
      </c>
      <c r="P11" s="97">
        <v>0.92564839873810811</v>
      </c>
      <c r="Q11" s="97">
        <v>1.8087325907591461</v>
      </c>
      <c r="R11" s="97">
        <v>1.65025726195249</v>
      </c>
      <c r="S11" s="97">
        <v>3.2377436915857278</v>
      </c>
      <c r="T11" s="97">
        <v>10.911138411647315</v>
      </c>
      <c r="U11" s="97">
        <v>30.896131166141242</v>
      </c>
      <c r="V11" s="97">
        <v>37.7831460322992</v>
      </c>
      <c r="W11" s="97">
        <v>5.1518876237781663</v>
      </c>
      <c r="DA11" s="175" t="s">
        <v>331</v>
      </c>
    </row>
    <row r="12" spans="1:105" ht="11.45" customHeight="1" x14ac:dyDescent="0.25">
      <c r="A12" s="92" t="s">
        <v>173</v>
      </c>
      <c r="B12" s="97">
        <v>8.6267471558224571</v>
      </c>
      <c r="C12" s="97">
        <v>8.0654768912049644</v>
      </c>
      <c r="D12" s="97">
        <v>9.5614711975691158</v>
      </c>
      <c r="E12" s="97">
        <v>7.1437778659592768</v>
      </c>
      <c r="F12" s="97">
        <v>9.7482298220719859</v>
      </c>
      <c r="G12" s="97">
        <v>10.215264326283013</v>
      </c>
      <c r="H12" s="97">
        <v>11.633391448210146</v>
      </c>
      <c r="I12" s="97">
        <v>11.316068313704545</v>
      </c>
      <c r="J12" s="97">
        <v>8.9347248164623707</v>
      </c>
      <c r="K12" s="97">
        <v>7.9099826662960613</v>
      </c>
      <c r="L12" s="97">
        <v>9.0811996022349035</v>
      </c>
      <c r="M12" s="97">
        <v>7.4048194211068949</v>
      </c>
      <c r="N12" s="97">
        <v>5.9745445532537875</v>
      </c>
      <c r="O12" s="97">
        <v>6.0525632483010057</v>
      </c>
      <c r="P12" s="97">
        <v>6.6637771644524042</v>
      </c>
      <c r="Q12" s="97">
        <v>6.9061391879940635</v>
      </c>
      <c r="R12" s="97">
        <v>7.5532723228049674</v>
      </c>
      <c r="S12" s="97">
        <v>10.088726605761352</v>
      </c>
      <c r="T12" s="97">
        <v>12.421168262901443</v>
      </c>
      <c r="U12" s="97">
        <v>10.416972721365674</v>
      </c>
      <c r="V12" s="97">
        <v>8.267136742928054</v>
      </c>
      <c r="W12" s="97">
        <v>13.693775401482947</v>
      </c>
      <c r="DA12" s="175" t="s">
        <v>332</v>
      </c>
    </row>
    <row r="13" spans="1:105" ht="11.45" customHeight="1" x14ac:dyDescent="0.25">
      <c r="A13" s="85" t="s">
        <v>174</v>
      </c>
      <c r="B13" s="98">
        <v>29.541959174547308</v>
      </c>
      <c r="C13" s="98">
        <v>29.187574166683465</v>
      </c>
      <c r="D13" s="98">
        <v>31.940787450782615</v>
      </c>
      <c r="E13" s="98">
        <v>30.992269203068162</v>
      </c>
      <c r="F13" s="98">
        <v>28.676055225945323</v>
      </c>
      <c r="G13" s="98">
        <v>30.784884970885724</v>
      </c>
      <c r="H13" s="98">
        <v>27.442199427316194</v>
      </c>
      <c r="I13" s="98">
        <v>22.648324617501576</v>
      </c>
      <c r="J13" s="98">
        <v>25.184514386360402</v>
      </c>
      <c r="K13" s="98">
        <v>26.415844489749983</v>
      </c>
      <c r="L13" s="98">
        <v>24.613222489496682</v>
      </c>
      <c r="M13" s="98">
        <v>36.4114853552841</v>
      </c>
      <c r="N13" s="98">
        <v>35.77815544390927</v>
      </c>
      <c r="O13" s="98">
        <v>31.010103285855905</v>
      </c>
      <c r="P13" s="98">
        <v>28.443820281026561</v>
      </c>
      <c r="Q13" s="98">
        <v>30.672004407361602</v>
      </c>
      <c r="R13" s="98">
        <v>35.30891711554905</v>
      </c>
      <c r="S13" s="98">
        <v>34.86499695337141</v>
      </c>
      <c r="T13" s="98">
        <v>27.23869890136643</v>
      </c>
      <c r="U13" s="98">
        <v>28.441080721002102</v>
      </c>
      <c r="V13" s="98">
        <v>35.602310540647167</v>
      </c>
      <c r="W13" s="98">
        <v>35.84024572185993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3.0081778375877271</v>
      </c>
      <c r="C18" s="97">
        <f>IF(C4=0,0,C4/TrAvia_ene!C4)</f>
        <v>3.0069896421737887</v>
      </c>
      <c r="D18" s="97">
        <f>IF(D4=0,0,D4/TrAvia_ene!D4)</f>
        <v>3.0033453252350446</v>
      </c>
      <c r="E18" s="97">
        <f>IF(E4=0,0,E4/TrAvia_ene!E4)</f>
        <v>3.0060305055608456</v>
      </c>
      <c r="F18" s="97">
        <f>IF(F4=0,0,F4/TrAvia_ene!F4)</f>
        <v>3.0046399865543862</v>
      </c>
      <c r="G18" s="97">
        <f>IF(G4=0,0,G4/TrAvia_ene!G4)</f>
        <v>3.0047050412361584</v>
      </c>
      <c r="H18" s="97">
        <f>IF(H4=0,0,H4/TrAvia_ene!H4)</f>
        <v>3.0002671542147299</v>
      </c>
      <c r="I18" s="97">
        <f>IF(I4=0,0,I4/TrAvia_ene!I4)</f>
        <v>3.0058425533263171</v>
      </c>
      <c r="J18" s="97">
        <f>IF(J4=0,0,J4/TrAvia_ene!J4)</f>
        <v>3.0067354339524535</v>
      </c>
      <c r="K18" s="97">
        <f>IF(K4=0,0,K4/TrAvia_ene!K4)</f>
        <v>3.0051226639630806</v>
      </c>
      <c r="L18" s="97">
        <f>IF(L4=0,0,L4/TrAvia_ene!L4)</f>
        <v>3.0047652443866419</v>
      </c>
      <c r="M18" s="97">
        <f>IF(M4=0,0,M4/TrAvia_ene!M4)</f>
        <v>3.0084387602451819</v>
      </c>
      <c r="N18" s="97">
        <f>IF(N4=0,0,N4/TrAvia_ene!N4)</f>
        <v>3.0026555436200844</v>
      </c>
      <c r="O18" s="97">
        <f>IF(O4=0,0,O4/TrAvia_ene!O4)</f>
        <v>3.0018508392587417</v>
      </c>
      <c r="P18" s="97">
        <f>IF(P4=0,0,P4/TrAvia_ene!P4)</f>
        <v>3.0013815112874362</v>
      </c>
      <c r="Q18" s="97">
        <f>IF(Q4=0,0,Q4/TrAvia_ene!Q4)</f>
        <v>3.0037921932775977</v>
      </c>
      <c r="R18" s="97">
        <f>IF(R4=0,0,R4/TrAvia_ene!R4)</f>
        <v>3.0044274835177127</v>
      </c>
      <c r="S18" s="97">
        <f>IF(S4=0,0,S4/TrAvia_ene!S4)</f>
        <v>3.0055799866144266</v>
      </c>
      <c r="T18" s="97">
        <f>IF(T4=0,0,T4/TrAvia_ene!T4)</f>
        <v>3.0030030667176746</v>
      </c>
      <c r="U18" s="97">
        <f>IF(U4=0,0,U4/TrAvia_ene!U4)</f>
        <v>3.005066319727788</v>
      </c>
      <c r="V18" s="97">
        <f>IF(V4=0,0,V4/TrAvia_ene!V4)</f>
        <v>3.006288973034418</v>
      </c>
      <c r="W18" s="97">
        <f>IF(W4=0,0,W4/TrAvia_ene!W4)</f>
        <v>2.983593301967173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3.0092772396756025</v>
      </c>
      <c r="C19" s="98">
        <f>IF(C5=0,0,C5/TrAvia_ene!C5)</f>
        <v>3.0103092000000005</v>
      </c>
      <c r="D19" s="98">
        <f>IF(D5=0,0,D5/TrAvia_ene!D5)</f>
        <v>3.0103092</v>
      </c>
      <c r="E19" s="98">
        <f>IF(E5=0,0,E5/TrAvia_ene!E5)</f>
        <v>3.0103092000000014</v>
      </c>
      <c r="F19" s="98">
        <f>IF(F5=0,0,F5/TrAvia_ene!F5)</f>
        <v>3.0103092000000022</v>
      </c>
      <c r="G19" s="98">
        <f>IF(G5=0,0,G5/TrAvia_ene!G5)</f>
        <v>3.0103092000000005</v>
      </c>
      <c r="H19" s="98">
        <f>IF(H5=0,0,H5/TrAvia_ene!H5)</f>
        <v>3.0103091999999996</v>
      </c>
      <c r="I19" s="98">
        <f>IF(I5=0,0,I5/TrAvia_ene!I5)</f>
        <v>3.0103092000000005</v>
      </c>
      <c r="J19" s="98">
        <f>IF(J5=0,0,J5/TrAvia_ene!J5)</f>
        <v>3.0103092000000022</v>
      </c>
      <c r="K19" s="98">
        <f>IF(K5=0,0,K5/TrAvia_ene!K5)</f>
        <v>3.0103092</v>
      </c>
      <c r="L19" s="98">
        <f>IF(L5=0,0,L5/TrAvia_ene!L5)</f>
        <v>3.0103092000000009</v>
      </c>
      <c r="M19" s="98">
        <f>IF(M5=0,0,M5/TrAvia_ene!M5)</f>
        <v>3.0103092</v>
      </c>
      <c r="N19" s="98">
        <f>IF(N5=0,0,N5/TrAvia_ene!N5)</f>
        <v>3.0103091999999987</v>
      </c>
      <c r="O19" s="98">
        <f>IF(O5=0,0,O5/TrAvia_ene!O5)</f>
        <v>3.0103091999999991</v>
      </c>
      <c r="P19" s="98">
        <f>IF(P5=0,0,P5/TrAvia_ene!P5)</f>
        <v>3.0103092000000009</v>
      </c>
      <c r="Q19" s="98">
        <f>IF(Q5=0,0,Q5/TrAvia_ene!Q5)</f>
        <v>3.0103091999999991</v>
      </c>
      <c r="R19" s="98">
        <f>IF(R5=0,0,R5/TrAvia_ene!R5)</f>
        <v>3.0103092</v>
      </c>
      <c r="S19" s="98">
        <f>IF(S5=0,0,S5/TrAvia_ene!S5)</f>
        <v>3.0103091999999991</v>
      </c>
      <c r="T19" s="98">
        <f>IF(T5=0,0,T5/TrAvia_ene!T5)</f>
        <v>3.0103092000000009</v>
      </c>
      <c r="U19" s="98">
        <f>IF(U5=0,0,U5/TrAvia_ene!U5)</f>
        <v>3.0103092000000018</v>
      </c>
      <c r="V19" s="98">
        <f>IF(V5=0,0,V5/TrAvia_ene!V5)</f>
        <v>3.0103092000000009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19064.982148857725</v>
      </c>
      <c r="C21" s="54">
        <f>IF(C3=0,0,C3/TrAvia_act!C13*1000)</f>
        <v>20006.009228810999</v>
      </c>
      <c r="D21" s="54">
        <f>IF(D3=0,0,D3/TrAvia_act!D13*1000)</f>
        <v>18604.003016267092</v>
      </c>
      <c r="E21" s="54">
        <f>IF(E3=0,0,E3/TrAvia_act!E13*1000)</f>
        <v>12589.87136952079</v>
      </c>
      <c r="F21" s="54">
        <f>IF(F3=0,0,F3/TrAvia_act!F13*1000)</f>
        <v>12701.869330181085</v>
      </c>
      <c r="G21" s="54">
        <f>IF(G3=0,0,G3/TrAvia_act!G13*1000)</f>
        <v>12027.258569211785</v>
      </c>
      <c r="H21" s="54">
        <f>IF(H3=0,0,H3/TrAvia_act!H13*1000)</f>
        <v>11978.245626568749</v>
      </c>
      <c r="I21" s="54">
        <f>IF(I3=0,0,I3/TrAvia_act!I13*1000)</f>
        <v>12115.813312968194</v>
      </c>
      <c r="J21" s="54">
        <f>IF(J3=0,0,J3/TrAvia_act!J13*1000)</f>
        <v>12140.674432961976</v>
      </c>
      <c r="K21" s="54">
        <f>IF(K3=0,0,K3/TrAvia_act!K13*1000)</f>
        <v>12068.847315220939</v>
      </c>
      <c r="L21" s="54">
        <f>IF(L3=0,0,L3/TrAvia_act!L13*1000)</f>
        <v>11656.98886796957</v>
      </c>
      <c r="M21" s="54">
        <f>IF(M3=0,0,M3/TrAvia_act!M13*1000)</f>
        <v>11935.7777851925</v>
      </c>
      <c r="N21" s="54">
        <f>IF(N3=0,0,N3/TrAvia_act!N13*1000)</f>
        <v>11821.251043046035</v>
      </c>
      <c r="O21" s="54">
        <f>IF(O3=0,0,O3/TrAvia_act!O13*1000)</f>
        <v>11608.873492111594</v>
      </c>
      <c r="P21" s="54">
        <f>IF(P3=0,0,P3/TrAvia_act!P13*1000)</f>
        <v>11966.201604428394</v>
      </c>
      <c r="Q21" s="54">
        <f>IF(Q3=0,0,Q3/TrAvia_act!Q13*1000)</f>
        <v>12662.280443154603</v>
      </c>
      <c r="R21" s="54">
        <f>IF(R3=0,0,R3/TrAvia_act!R13*1000)</f>
        <v>12765.062164858331</v>
      </c>
      <c r="S21" s="54">
        <f>IF(S3=0,0,S3/TrAvia_act!S13*1000)</f>
        <v>13158.686128533198</v>
      </c>
      <c r="T21" s="54">
        <f>IF(T3=0,0,T3/TrAvia_act!T13*1000)</f>
        <v>12592.037232862887</v>
      </c>
      <c r="U21" s="54">
        <f>IF(U3=0,0,U3/TrAvia_act!U13*1000)</f>
        <v>12990.542896064982</v>
      </c>
      <c r="V21" s="54">
        <f>IF(V3=0,0,V3/TrAvia_act!V13*1000)</f>
        <v>15723.654670039545</v>
      </c>
      <c r="W21" s="54">
        <f>IF(W3=0,0,W3/TrAvia_act!W13*1000)</f>
        <v>12576.276711037504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18723.905232797897</v>
      </c>
      <c r="C22" s="11">
        <f>IF(C6=0,0,C6/TrAvia_act!C14*1000)</f>
        <v>19715.650524302993</v>
      </c>
      <c r="D22" s="11">
        <f>IF(D6=0,0,D6/TrAvia_act!D14*1000)</f>
        <v>18228.800403634305</v>
      </c>
      <c r="E22" s="11">
        <f>IF(E6=0,0,E6/TrAvia_act!E14*1000)</f>
        <v>12422.547181874301</v>
      </c>
      <c r="F22" s="11">
        <f>IF(F6=0,0,F6/TrAvia_act!F14*1000)</f>
        <v>12563.022009704</v>
      </c>
      <c r="G22" s="11">
        <f>IF(G6=0,0,G6/TrAvia_act!G14*1000)</f>
        <v>11864.97790284622</v>
      </c>
      <c r="H22" s="11">
        <f>IF(H6=0,0,H6/TrAvia_act!H14*1000)</f>
        <v>11827.834290714038</v>
      </c>
      <c r="I22" s="11">
        <f>IF(I6=0,0,I6/TrAvia_act!I14*1000)</f>
        <v>11994.320056011928</v>
      </c>
      <c r="J22" s="11">
        <f>IF(J6=0,0,J6/TrAvia_act!J14*1000)</f>
        <v>12012.839279627902</v>
      </c>
      <c r="K22" s="11">
        <f>IF(K6=0,0,K6/TrAvia_act!K14*1000)</f>
        <v>11940.751251799758</v>
      </c>
      <c r="L22" s="11">
        <f>IF(L6=0,0,L6/TrAvia_act!L14*1000)</f>
        <v>11535.31659112329</v>
      </c>
      <c r="M22" s="11">
        <f>IF(M6=0,0,M6/TrAvia_act!M14*1000)</f>
        <v>11748.832538512208</v>
      </c>
      <c r="N22" s="11">
        <f>IF(N6=0,0,N6/TrAvia_act!N14*1000)</f>
        <v>11622.33372777855</v>
      </c>
      <c r="O22" s="11">
        <f>IF(O6=0,0,O6/TrAvia_act!O14*1000)</f>
        <v>11443.595684729851</v>
      </c>
      <c r="P22" s="11">
        <f>IF(P6=0,0,P6/TrAvia_act!P14*1000)</f>
        <v>11829.965822084121</v>
      </c>
      <c r="Q22" s="11">
        <f>IF(Q6=0,0,Q6/TrAvia_act!Q14*1000)</f>
        <v>12530.551983053259</v>
      </c>
      <c r="R22" s="11">
        <f>IF(R6=0,0,R6/TrAvia_act!R14*1000)</f>
        <v>12644.755617368743</v>
      </c>
      <c r="S22" s="11">
        <f>IF(S6=0,0,S6/TrAvia_act!S14*1000)</f>
        <v>13069.935856776141</v>
      </c>
      <c r="T22" s="11">
        <f>IF(T6=0,0,T6/TrAvia_act!T14*1000)</f>
        <v>12455.257236596879</v>
      </c>
      <c r="U22" s="11">
        <f>IF(U6=0,0,U6/TrAvia_act!U14*1000)</f>
        <v>12685.930584927824</v>
      </c>
      <c r="V22" s="11">
        <f>IF(V6=0,0,V6/TrAvia_act!V14*1000)</f>
        <v>14280.667389476763</v>
      </c>
      <c r="W22" s="11">
        <f>IF(W6=0,0,W6/TrAvia_act!W14*1000)</f>
        <v>12181.758839850116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162739.75618545047</v>
      </c>
      <c r="C23" s="84">
        <f>IF(C7=0,0,C7/TrAvia_act!C15*1000)</f>
        <v>163349.08593568509</v>
      </c>
      <c r="D23" s="84">
        <f>IF(D7=0,0,D7/TrAvia_act!D15*1000)</f>
        <v>161540.36165607133</v>
      </c>
      <c r="E23" s="84">
        <f>IF(E7=0,0,E7/TrAvia_act!E15*1000)</f>
        <v>153418.71143321347</v>
      </c>
      <c r="F23" s="84">
        <f>IF(F7=0,0,F7/TrAvia_act!F15*1000)</f>
        <v>91216.491084513167</v>
      </c>
      <c r="G23" s="84">
        <f>IF(G7=0,0,G7/TrAvia_act!G15*1000)</f>
        <v>60690.698338682785</v>
      </c>
      <c r="H23" s="84">
        <f>IF(H7=0,0,H7/TrAvia_act!H15*1000)</f>
        <v>31874.463131547087</v>
      </c>
      <c r="I23" s="84">
        <f>IF(I7=0,0,I7/TrAvia_act!I15*1000)</f>
        <v>72848.741089818155</v>
      </c>
      <c r="J23" s="84">
        <f>IF(J7=0,0,J7/TrAvia_act!J15*1000)</f>
        <v>76819.195839082415</v>
      </c>
      <c r="K23" s="84">
        <f>IF(K7=0,0,K7/TrAvia_act!K15*1000)</f>
        <v>44345.310803494758</v>
      </c>
      <c r="L23" s="84">
        <f>IF(L7=0,0,L7/TrAvia_act!L15*1000)</f>
        <v>55607.360140665354</v>
      </c>
      <c r="M23" s="84">
        <f>IF(M7=0,0,M7/TrAvia_act!M15*1000)</f>
        <v>130773.88556944717</v>
      </c>
      <c r="N23" s="84">
        <f>IF(N7=0,0,N7/TrAvia_act!N15*1000)</f>
        <v>81628.386744189702</v>
      </c>
      <c r="O23" s="84">
        <f>IF(O7=0,0,O7/TrAvia_act!O15*1000)</f>
        <v>105209.20762463327</v>
      </c>
      <c r="P23" s="84">
        <f>IF(P7=0,0,P7/TrAvia_act!P15*1000)</f>
        <v>83482.367846661786</v>
      </c>
      <c r="Q23" s="84">
        <f>IF(Q7=0,0,Q7/TrAvia_act!Q15*1000)</f>
        <v>164222.29690075235</v>
      </c>
      <c r="R23" s="84">
        <f>IF(R7=0,0,R7/TrAvia_act!R15*1000)</f>
        <v>191111.30250244093</v>
      </c>
      <c r="S23" s="84">
        <f>IF(S7=0,0,S7/TrAvia_act!S15*1000)</f>
        <v>345842.83444881783</v>
      </c>
      <c r="T23" s="84">
        <f>IF(T7=0,0,T7/TrAvia_act!T15*1000)</f>
        <v>227846.66023415237</v>
      </c>
      <c r="U23" s="84">
        <f>IF(U7=0,0,U7/TrAvia_act!U15*1000)</f>
        <v>899586.94004009757</v>
      </c>
      <c r="V23" s="84">
        <f>IF(V7=0,0,V7/TrAvia_act!V15*1000)</f>
        <v>1139043.0051877783</v>
      </c>
      <c r="W23" s="84">
        <f>IF(W7=0,0,W7/TrAvia_act!W15*1000)</f>
        <v>114205.94700441553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13939.664543348714</v>
      </c>
      <c r="C24" s="84">
        <f>IF(C8=0,0,C8/TrAvia_act!C16*1000)</f>
        <v>13961.052887258807</v>
      </c>
      <c r="D24" s="84">
        <f>IF(D8=0,0,D8/TrAvia_act!D16*1000)</f>
        <v>13854.545918774123</v>
      </c>
      <c r="E24" s="84">
        <f>IF(E8=0,0,E8/TrAvia_act!E16*1000)</f>
        <v>8942.7714757936465</v>
      </c>
      <c r="F24" s="84">
        <f>IF(F8=0,0,F8/TrAvia_act!F16*1000)</f>
        <v>10229.824875246482</v>
      </c>
      <c r="G24" s="84">
        <f>IF(G8=0,0,G8/TrAvia_act!G16*1000)</f>
        <v>10179.847698320104</v>
      </c>
      <c r="H24" s="84">
        <f>IF(H8=0,0,H8/TrAvia_act!H16*1000)</f>
        <v>10672.615400603616</v>
      </c>
      <c r="I24" s="84">
        <f>IF(I8=0,0,I8/TrAvia_act!I16*1000)</f>
        <v>10543.201197540828</v>
      </c>
      <c r="J24" s="84">
        <f>IF(J8=0,0,J8/TrAvia_act!J16*1000)</f>
        <v>10241.584024570297</v>
      </c>
      <c r="K24" s="84">
        <f>IF(K8=0,0,K8/TrAvia_act!K16*1000)</f>
        <v>10883.489556061646</v>
      </c>
      <c r="L24" s="84">
        <f>IF(L8=0,0,L8/TrAvia_act!L16*1000)</f>
        <v>10467.42100384759</v>
      </c>
      <c r="M24" s="84">
        <f>IF(M8=0,0,M8/TrAvia_act!M16*1000)</f>
        <v>10474.986960663115</v>
      </c>
      <c r="N24" s="84">
        <f>IF(N8=0,0,N8/TrAvia_act!N16*1000)</f>
        <v>11553.066218889122</v>
      </c>
      <c r="O24" s="84">
        <f>IF(O8=0,0,O8/TrAvia_act!O16*1000)</f>
        <v>11505.157249777172</v>
      </c>
      <c r="P24" s="84">
        <f>IF(P8=0,0,P8/TrAvia_act!P16*1000)</f>
        <v>11938.680814432446</v>
      </c>
      <c r="Q24" s="84">
        <f>IF(Q8=0,0,Q8/TrAvia_act!Q16*1000)</f>
        <v>11503.714389243598</v>
      </c>
      <c r="R24" s="84">
        <f>IF(R8=0,0,R8/TrAvia_act!R16*1000)</f>
        <v>11595.166347613356</v>
      </c>
      <c r="S24" s="84">
        <f>IF(S8=0,0,S8/TrAvia_act!S16*1000)</f>
        <v>12515.958751189741</v>
      </c>
      <c r="T24" s="84">
        <f>IF(T8=0,0,T8/TrAvia_act!T16*1000)</f>
        <v>13594.863968514192</v>
      </c>
      <c r="U24" s="84">
        <f>IF(U8=0,0,U8/TrAvia_act!U16*1000)</f>
        <v>13820.715079901018</v>
      </c>
      <c r="V24" s="84">
        <f>IF(V8=0,0,V8/TrAvia_act!V16*1000)</f>
        <v>10428.205770056416</v>
      </c>
      <c r="W24" s="84">
        <f>IF(W8=0,0,W8/TrAvia_act!W16*1000)</f>
        <v>12156.095434971412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17617.226041675145</v>
      </c>
      <c r="C25" s="84">
        <f>IF(C9=0,0,C9/TrAvia_act!C17*1000)</f>
        <v>17644.326846774456</v>
      </c>
      <c r="D25" s="84">
        <f>IF(D9=0,0,D9/TrAvia_act!D17*1000)</f>
        <v>17509.739752608886</v>
      </c>
      <c r="E25" s="84">
        <f>IF(E9=0,0,E9/TrAvia_act!E17*1000)</f>
        <v>11256.595250182296</v>
      </c>
      <c r="F25" s="84">
        <f>IF(F9=0,0,F9/TrAvia_act!F17*1000)</f>
        <v>12782.451874242366</v>
      </c>
      <c r="G25" s="84">
        <f>IF(G9=0,0,G9/TrAvia_act!G17*1000)</f>
        <v>12868.189116093956</v>
      </c>
      <c r="H25" s="84">
        <f>IF(H9=0,0,H9/TrAvia_act!H17*1000)</f>
        <v>13184.022879016766</v>
      </c>
      <c r="I25" s="84">
        <f>IF(I9=0,0,I9/TrAvia_act!I17*1000)</f>
        <v>11922.606178631757</v>
      </c>
      <c r="J25" s="84">
        <f>IF(J9=0,0,J9/TrAvia_act!J17*1000)</f>
        <v>11939.367821818661</v>
      </c>
      <c r="K25" s="84">
        <f>IF(K9=0,0,K9/TrAvia_act!K17*1000)</f>
        <v>11636.007282121234</v>
      </c>
      <c r="L25" s="84">
        <f>IF(L9=0,0,L9/TrAvia_act!L17*1000)</f>
        <v>11105.968900729369</v>
      </c>
      <c r="M25" s="84">
        <f>IF(M9=0,0,M9/TrAvia_act!M17*1000)</f>
        <v>10256.261688697265</v>
      </c>
      <c r="N25" s="84">
        <f>IF(N9=0,0,N9/TrAvia_act!N17*1000)</f>
        <v>10156.95349009</v>
      </c>
      <c r="O25" s="84">
        <f>IF(O9=0,0,O9/TrAvia_act!O17*1000)</f>
        <v>9902.6428505655222</v>
      </c>
      <c r="P25" s="84">
        <f>IF(P9=0,0,P9/TrAvia_act!P17*1000)</f>
        <v>10314.865635894716</v>
      </c>
      <c r="Q25" s="84">
        <f>IF(Q9=0,0,Q9/TrAvia_act!Q17*1000)</f>
        <v>10693.491183150343</v>
      </c>
      <c r="R25" s="84">
        <f>IF(R9=0,0,R9/TrAvia_act!R17*1000)</f>
        <v>10637.853454434488</v>
      </c>
      <c r="S25" s="84">
        <f>IF(S9=0,0,S9/TrAvia_act!S17*1000)</f>
        <v>9972.8674901644827</v>
      </c>
      <c r="T25" s="84">
        <f>IF(T9=0,0,T9/TrAvia_act!T17*1000)</f>
        <v>9393.1221120019163</v>
      </c>
      <c r="U25" s="84">
        <f>IF(U9=0,0,U9/TrAvia_act!U17*1000)</f>
        <v>9340.872663603237</v>
      </c>
      <c r="V25" s="84">
        <f>IF(V9=0,0,V9/TrAvia_act!V17*1000)</f>
        <v>12002.330501586812</v>
      </c>
      <c r="W25" s="84">
        <f>IF(W9=0,0,W9/TrAvia_act!W17*1000)</f>
        <v>11440.767044634384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25527.656494792191</v>
      </c>
      <c r="C26" s="13">
        <f>IF(C10=0,0,C10/TrAvia_act!C18*1000)</f>
        <v>25747.703909318963</v>
      </c>
      <c r="D26" s="13">
        <f>IF(D10=0,0,D10/TrAvia_act!D18*1000)</f>
        <v>25289.442477145953</v>
      </c>
      <c r="E26" s="13">
        <f>IF(E10=0,0,E10/TrAvia_act!E18*1000)</f>
        <v>16768.872257421663</v>
      </c>
      <c r="F26" s="13">
        <f>IF(F10=0,0,F10/TrAvia_act!F18*1000)</f>
        <v>17451.42416419672</v>
      </c>
      <c r="G26" s="13">
        <f>IF(G10=0,0,G10/TrAvia_act!G18*1000)</f>
        <v>17798.460653229009</v>
      </c>
      <c r="H26" s="13">
        <f>IF(H10=0,0,H10/TrAvia_act!H18*1000)</f>
        <v>17703.688964628353</v>
      </c>
      <c r="I26" s="13">
        <f>IF(I10=0,0,I10/TrAvia_act!I18*1000)</f>
        <v>17300.035467569534</v>
      </c>
      <c r="J26" s="13">
        <f>IF(J10=0,0,J10/TrAvia_act!J18*1000)</f>
        <v>17957.02736799611</v>
      </c>
      <c r="K26" s="13">
        <f>IF(K10=0,0,K10/TrAvia_act!K18*1000)</f>
        <v>17567.702957178364</v>
      </c>
      <c r="L26" s="13">
        <f>IF(L10=0,0,L10/TrAvia_act!L18*1000)</f>
        <v>16409.696047558289</v>
      </c>
      <c r="M26" s="13">
        <f>IF(M10=0,0,M10/TrAvia_act!M18*1000)</f>
        <v>17823.212937274424</v>
      </c>
      <c r="N26" s="13">
        <f>IF(N10=0,0,N10/TrAvia_act!N18*1000)</f>
        <v>18159.16219312137</v>
      </c>
      <c r="O26" s="13">
        <f>IF(O10=0,0,O10/TrAvia_act!O18*1000)</f>
        <v>17122.036658762259</v>
      </c>
      <c r="P26" s="13">
        <f>IF(P10=0,0,P10/TrAvia_act!P18*1000)</f>
        <v>16805.206902141304</v>
      </c>
      <c r="Q26" s="13">
        <f>IF(Q10=0,0,Q10/TrAvia_act!Q18*1000)</f>
        <v>17042.439201024154</v>
      </c>
      <c r="R26" s="13">
        <f>IF(R10=0,0,R10/TrAvia_act!R18*1000)</f>
        <v>16394.162617759936</v>
      </c>
      <c r="S26" s="13">
        <f>IF(S10=0,0,S10/TrAvia_act!S18*1000)</f>
        <v>15778.316873945108</v>
      </c>
      <c r="T26" s="13">
        <f>IF(T10=0,0,T10/TrAvia_act!T18*1000)</f>
        <v>17465.088038766589</v>
      </c>
      <c r="U26" s="13">
        <f>IF(U10=0,0,U10/TrAvia_act!U18*1000)</f>
        <v>24024.242054256454</v>
      </c>
      <c r="V26" s="13">
        <f>IF(V10=0,0,V10/TrAvia_act!V18*1000)</f>
        <v>30049.179892098975</v>
      </c>
      <c r="W26" s="13">
        <f>IF(W10=0,0,W10/TrAvia_act!W18*1000)</f>
        <v>16801.795911838391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266062.76897066104</v>
      </c>
      <c r="C27" s="102">
        <f>IF(C11=0,0,C11/TrAvia_act!C19*1000)</f>
        <v>267058.96046291612</v>
      </c>
      <c r="D27" s="102">
        <f>IF(D11=0,0,D11/TrAvia_act!D19*1000)</f>
        <v>264101.88223311887</v>
      </c>
      <c r="E27" s="102">
        <f>IF(E11=0,0,E11/TrAvia_act!E19*1000)</f>
        <v>250823.81916141117</v>
      </c>
      <c r="F27" s="102">
        <f>IF(F11=0,0,F11/TrAvia_act!F19*1000)</f>
        <v>149129.58432896403</v>
      </c>
      <c r="G27" s="102">
        <f>IF(G11=0,0,G11/TrAvia_act!G19*1000)</f>
        <v>102570.77902499567</v>
      </c>
      <c r="H27" s="102">
        <f>IF(H11=0,0,H11/TrAvia_act!H19*1000)</f>
        <v>50747.964362932355</v>
      </c>
      <c r="I27" s="102">
        <f>IF(I11=0,0,I11/TrAvia_act!I19*1000)</f>
        <v>102719.20065461486</v>
      </c>
      <c r="J27" s="102">
        <f>IF(J11=0,0,J11/TrAvia_act!J19*1000)</f>
        <v>98849.466606345159</v>
      </c>
      <c r="K27" s="102">
        <f>IF(K11=0,0,K11/TrAvia_act!K19*1000)</f>
        <v>52682.253800276369</v>
      </c>
      <c r="L27" s="102">
        <f>IF(L11=0,0,L11/TrAvia_act!L19*1000)</f>
        <v>61425.496789720302</v>
      </c>
      <c r="M27" s="102">
        <f>IF(M11=0,0,M11/TrAvia_act!M19*1000)</f>
        <v>145411.03914590355</v>
      </c>
      <c r="N27" s="102">
        <f>IF(N11=0,0,N11/TrAvia_act!N19*1000)</f>
        <v>91829.892273013014</v>
      </c>
      <c r="O27" s="102">
        <f>IF(O11=0,0,O11/TrAvia_act!O19*1000)</f>
        <v>119437.82955118119</v>
      </c>
      <c r="P27" s="102">
        <f>IF(P11=0,0,P11/TrAvia_act!P19*1000)</f>
        <v>94408.407335516051</v>
      </c>
      <c r="Q27" s="102">
        <f>IF(Q11=0,0,Q11/TrAvia_act!Q19*1000)</f>
        <v>187424.36959000982</v>
      </c>
      <c r="R27" s="102">
        <f>IF(R11=0,0,R11/TrAvia_act!R19*1000)</f>
        <v>216945.80203093891</v>
      </c>
      <c r="S27" s="102">
        <f>IF(S11=0,0,S11/TrAvia_act!S19*1000)</f>
        <v>390552.61128003511</v>
      </c>
      <c r="T27" s="102">
        <f>IF(T11=0,0,T11/TrAvia_act!T19*1000)</f>
        <v>259600.81179826183</v>
      </c>
      <c r="U27" s="102">
        <f>IF(U11=0,0,U11/TrAvia_act!U19*1000)</f>
        <v>885432.80088047276</v>
      </c>
      <c r="V27" s="102">
        <f>IF(V11=0,0,V11/TrAvia_act!V19*1000)</f>
        <v>1121345.6153489875</v>
      </c>
      <c r="W27" s="102">
        <f>IF(W11=0,0,W11/TrAvia_act!W19*1000)</f>
        <v>112461.78828705152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14828.202638919458</v>
      </c>
      <c r="C28" s="102">
        <f>IF(C12=0,0,C12/TrAvia_act!C20*1000)</f>
        <v>14849.518540899722</v>
      </c>
      <c r="D28" s="102">
        <f>IF(D12=0,0,D12/TrAvia_act!D20*1000)</f>
        <v>14737.218530398459</v>
      </c>
      <c r="E28" s="102">
        <f>IF(E12=0,0,E12/TrAvia_act!E20*1000)</f>
        <v>9535.5976739822781</v>
      </c>
      <c r="F28" s="102">
        <f>IF(F12=0,0,F12/TrAvia_act!F20*1000)</f>
        <v>10811.674162799754</v>
      </c>
      <c r="G28" s="102">
        <f>IF(G12=0,0,G12/TrAvia_act!G20*1000)</f>
        <v>10750.737224623632</v>
      </c>
      <c r="H28" s="102">
        <f>IF(H12=0,0,H12/TrAvia_act!H20*1000)</f>
        <v>11294.95611130484</v>
      </c>
      <c r="I28" s="102">
        <f>IF(I12=0,0,I12/TrAvia_act!I20*1000)</f>
        <v>11077.494085652268</v>
      </c>
      <c r="J28" s="102">
        <f>IF(J12=0,0,J12/TrAvia_act!J20*1000)</f>
        <v>10604.505045634785</v>
      </c>
      <c r="K28" s="102">
        <f>IF(K12=0,0,K12/TrAvia_act!K20*1000)</f>
        <v>11476.497978047322</v>
      </c>
      <c r="L28" s="102">
        <f>IF(L12=0,0,L12/TrAvia_act!L20*1000)</f>
        <v>11096.090061671814</v>
      </c>
      <c r="M28" s="102">
        <f>IF(M12=0,0,M12/TrAvia_act!M20*1000)</f>
        <v>11202.654422243892</v>
      </c>
      <c r="N28" s="102">
        <f>IF(N12=0,0,N12/TrAvia_act!N20*1000)</f>
        <v>12353.323535445761</v>
      </c>
      <c r="O28" s="102">
        <f>IF(O12=0,0,O12/TrAvia_act!O20*1000)</f>
        <v>12386.518649401844</v>
      </c>
      <c r="P28" s="102">
        <f>IF(P12=0,0,P12/TrAvia_act!P20*1000)</f>
        <v>12876.119078215363</v>
      </c>
      <c r="Q28" s="102">
        <f>IF(Q12=0,0,Q12/TrAvia_act!Q20*1000)</f>
        <v>12480.076091969666</v>
      </c>
      <c r="R28" s="102">
        <f>IF(R12=0,0,R12/TrAvia_act!R20*1000)</f>
        <v>12652.273941285755</v>
      </c>
      <c r="S28" s="102">
        <f>IF(S12=0,0,S12/TrAvia_act!S20*1000)</f>
        <v>13606.520092945861</v>
      </c>
      <c r="T28" s="102">
        <f>IF(T12=0,0,T12/TrAvia_act!T20*1000)</f>
        <v>14597.295402059506</v>
      </c>
      <c r="U28" s="102">
        <f>IF(U12=0,0,U12/TrAvia_act!U20*1000)</f>
        <v>14969.902798956307</v>
      </c>
      <c r="V28" s="102">
        <f>IF(V12=0,0,V12/TrAvia_act!V20*1000)</f>
        <v>12685.921691975524</v>
      </c>
      <c r="W28" s="102">
        <f>IF(W12=0,0,W12/TrAvia_act!W20*1000)</f>
        <v>13535.743409196535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29700.812573167721</v>
      </c>
      <c r="C29" s="86">
        <f>IF(C13=0,0,C13/TrAvia_act!C21*1000)</f>
        <v>29746.501714632574</v>
      </c>
      <c r="D29" s="86">
        <f>IF(D13=0,0,D13/TrAvia_act!D21*1000)</f>
        <v>29519.601858257749</v>
      </c>
      <c r="E29" s="86">
        <f>IF(E13=0,0,E13/TrAvia_act!E21*1000)</f>
        <v>18977.449965549975</v>
      </c>
      <c r="F29" s="86">
        <f>IF(F13=0,0,F13/TrAvia_act!F21*1000)</f>
        <v>21549.88568826409</v>
      </c>
      <c r="G29" s="86">
        <f>IF(G13=0,0,G13/TrAvia_act!G21*1000)</f>
        <v>22012.152092687382</v>
      </c>
      <c r="H29" s="86">
        <f>IF(H13=0,0,H13/TrAvia_act!H21*1000)</f>
        <v>22545.641204672786</v>
      </c>
      <c r="I29" s="86">
        <f>IF(I13=0,0,I13/TrAvia_act!I21*1000)</f>
        <v>20232.93698965753</v>
      </c>
      <c r="J29" s="86">
        <f>IF(J13=0,0,J13/TrAvia_act!J21*1000)</f>
        <v>20018.832503437872</v>
      </c>
      <c r="K29" s="86">
        <f>IF(K13=0,0,K13/TrAvia_act!K21*1000)</f>
        <v>19263.355117985746</v>
      </c>
      <c r="L29" s="86">
        <f>IF(L13=0,0,L13/TrAvia_act!L21*1000)</f>
        <v>18205.047487361619</v>
      </c>
      <c r="M29" s="86">
        <f>IF(M13=0,0,M13/TrAvia_act!M21*1000)</f>
        <v>17708.474664120342</v>
      </c>
      <c r="N29" s="86">
        <f>IF(N13=0,0,N13/TrAvia_act!N21*1000)</f>
        <v>18520.614455656185</v>
      </c>
      <c r="O29" s="86">
        <f>IF(O13=0,0,O13/TrAvia_act!O21*1000)</f>
        <v>17414.852535128019</v>
      </c>
      <c r="P29" s="86">
        <f>IF(P13=0,0,P13/TrAvia_act!P21*1000)</f>
        <v>17592.263816075323</v>
      </c>
      <c r="Q29" s="86">
        <f>IF(Q13=0,0,Q13/TrAvia_act!Q21*1000)</f>
        <v>17546.090765037137</v>
      </c>
      <c r="R29" s="86">
        <f>IF(R13=0,0,R13/TrAvia_act!R21*1000)</f>
        <v>16729.771338946965</v>
      </c>
      <c r="S29" s="86">
        <f>IF(S13=0,0,S13/TrAvia_act!S21*1000)</f>
        <v>15128.886550100127</v>
      </c>
      <c r="T29" s="86">
        <f>IF(T13=0,0,T13/TrAvia_act!T21*1000)</f>
        <v>13601.699552022228</v>
      </c>
      <c r="U29" s="86">
        <f>IF(U13=0,0,U13/TrAvia_act!U21*1000)</f>
        <v>13089.980439955047</v>
      </c>
      <c r="V29" s="86">
        <f>IF(V13=0,0,V13/TrAvia_act!V21*1000)</f>
        <v>17521.45985796244</v>
      </c>
      <c r="W29" s="86">
        <f>IF(W13=0,0,W13/TrAvia_act!W21*1000)</f>
        <v>16311.18433599202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182.3205288908411</v>
      </c>
      <c r="C32" s="14">
        <f>IF(C6=0,0,C6/TrAvia_act!C4*1000)</f>
        <v>191.62370662174953</v>
      </c>
      <c r="D32" s="14">
        <f>IF(D6=0,0,D6/TrAvia_act!D4*1000)</f>
        <v>175.73396125409107</v>
      </c>
      <c r="E32" s="14">
        <f>IF(E6=0,0,E6/TrAvia_act!E4*1000)</f>
        <v>121.0224561436502</v>
      </c>
      <c r="F32" s="14">
        <f>IF(F6=0,0,F6/TrAvia_act!F4*1000)</f>
        <v>123.73008606581041</v>
      </c>
      <c r="G32" s="14">
        <f>IF(G6=0,0,G6/TrAvia_act!G4*1000)</f>
        <v>119.77044998087662</v>
      </c>
      <c r="H32" s="14">
        <f>IF(H6=0,0,H6/TrAvia_act!H4*1000)</f>
        <v>117.0907602354564</v>
      </c>
      <c r="I32" s="14">
        <f>IF(I6=0,0,I6/TrAvia_act!I4*1000)</f>
        <v>119.76634971531935</v>
      </c>
      <c r="J32" s="14">
        <f>IF(J6=0,0,J6/TrAvia_act!J4*1000)</f>
        <v>122.36902635805269</v>
      </c>
      <c r="K32" s="14">
        <f>IF(K6=0,0,K6/TrAvia_act!K4*1000)</f>
        <v>121.23305207602915</v>
      </c>
      <c r="L32" s="14">
        <f>IF(L6=0,0,L6/TrAvia_act!L4*1000)</f>
        <v>111.28232652271295</v>
      </c>
      <c r="M32" s="14">
        <f>IF(M6=0,0,M6/TrAvia_act!M4*1000)</f>
        <v>108.03902497572496</v>
      </c>
      <c r="N32" s="14">
        <f>IF(N6=0,0,N6/TrAvia_act!N4*1000)</f>
        <v>103.17921366470415</v>
      </c>
      <c r="O32" s="14">
        <f>IF(O6=0,0,O6/TrAvia_act!O4*1000)</f>
        <v>98.766193688842904</v>
      </c>
      <c r="P32" s="14">
        <f>IF(P6=0,0,P6/TrAvia_act!P4*1000)</f>
        <v>98.838772683132802</v>
      </c>
      <c r="Q32" s="14">
        <f>IF(Q6=0,0,Q6/TrAvia_act!Q4*1000)</f>
        <v>99.875013813787106</v>
      </c>
      <c r="R32" s="14">
        <f>IF(R6=0,0,R6/TrAvia_act!R4*1000)</f>
        <v>98.712346358244616</v>
      </c>
      <c r="S32" s="14">
        <f>IF(S6=0,0,S6/TrAvia_act!S4*1000)</f>
        <v>92.791449523374851</v>
      </c>
      <c r="T32" s="14">
        <f>IF(T6=0,0,T6/TrAvia_act!T4*1000)</f>
        <v>88.528146802306438</v>
      </c>
      <c r="U32" s="14">
        <f>IF(U6=0,0,U6/TrAvia_act!U4*1000)</f>
        <v>85.990850011473455</v>
      </c>
      <c r="V32" s="14">
        <f>IF(V6=0,0,V6/TrAvia_act!V4*1000)</f>
        <v>127.49106778233993</v>
      </c>
      <c r="W32" s="14">
        <f>IF(W6=0,0,W6/TrAvia_act!W4*1000)</f>
        <v>109.19697602924383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6265.3094090841432</v>
      </c>
      <c r="C33" s="87">
        <f>IF(C7=0,0,C7/TrAvia_act!C5*1000)</f>
        <v>6245.443343280831</v>
      </c>
      <c r="D33" s="87">
        <f>IF(D7=0,0,D7/TrAvia_act!D5*1000)</f>
        <v>6118.5762034655845</v>
      </c>
      <c r="E33" s="87">
        <f>IF(E7=0,0,E7/TrAvia_act!E5*1000)</f>
        <v>5698.1348731822472</v>
      </c>
      <c r="F33" s="87">
        <f>IF(F7=0,0,F7/TrAvia_act!F5*1000)</f>
        <v>4119.4160244793247</v>
      </c>
      <c r="G33" s="87">
        <f>IF(G7=0,0,G7/TrAvia_act!G5*1000)</f>
        <v>1868.3420204557926</v>
      </c>
      <c r="H33" s="87">
        <f>IF(H7=0,0,H7/TrAvia_act!H5*1000)</f>
        <v>917.11778826237389</v>
      </c>
      <c r="I33" s="87">
        <f>IF(I7=0,0,I7/TrAvia_act!I5*1000)</f>
        <v>1970.5299259016965</v>
      </c>
      <c r="J33" s="87">
        <f>IF(J7=0,0,J7/TrAvia_act!J5*1000)</f>
        <v>2161.0963151971964</v>
      </c>
      <c r="K33" s="87">
        <f>IF(K7=0,0,K7/TrAvia_act!K5*1000)</f>
        <v>1645.634848597183</v>
      </c>
      <c r="L33" s="87">
        <f>IF(L7=0,0,L7/TrAvia_act!L5*1000)</f>
        <v>1851.7796292813011</v>
      </c>
      <c r="M33" s="87">
        <f>IF(M7=0,0,M7/TrAvia_act!M5*1000)</f>
        <v>4005.7567646346442</v>
      </c>
      <c r="N33" s="87">
        <f>IF(N7=0,0,N7/TrAvia_act!N5*1000)</f>
        <v>2008.8370962576359</v>
      </c>
      <c r="O33" s="87">
        <f>IF(O7=0,0,O7/TrAvia_act!O5*1000)</f>
        <v>2558.172708820699</v>
      </c>
      <c r="P33" s="87">
        <f>IF(P7=0,0,P7/TrAvia_act!P5*1000)</f>
        <v>2251.0314775255492</v>
      </c>
      <c r="Q33" s="87">
        <f>IF(Q7=0,0,Q7/TrAvia_act!Q5*1000)</f>
        <v>4700.8084243921194</v>
      </c>
      <c r="R33" s="87">
        <f>IF(R7=0,0,R7/TrAvia_act!R5*1000)</f>
        <v>6658.3757482536275</v>
      </c>
      <c r="S33" s="87">
        <f>IF(S7=0,0,S7/TrAvia_act!S5*1000)</f>
        <v>11012.746268230618</v>
      </c>
      <c r="T33" s="87">
        <f>IF(T7=0,0,T7/TrAvia_act!T5*1000)</f>
        <v>5884.6635730047647</v>
      </c>
      <c r="U33" s="87">
        <f>IF(U7=0,0,U7/TrAvia_act!U5*1000)</f>
        <v>16203.751030592453</v>
      </c>
      <c r="V33" s="87">
        <f>IF(V7=0,0,V7/TrAvia_act!V5*1000)</f>
        <v>66790.280011170471</v>
      </c>
      <c r="W33" s="87">
        <f>IF(W7=0,0,W7/TrAvia_act!W5*1000)</f>
        <v>3213.5786368765343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146.73958293429791</v>
      </c>
      <c r="C34" s="87">
        <f>IF(C8=0,0,C8/TrAvia_act!C6*1000)</f>
        <v>145.57229685600538</v>
      </c>
      <c r="D34" s="87">
        <f>IF(D8=0,0,D8/TrAvia_act!D6*1000)</f>
        <v>144.50243336538844</v>
      </c>
      <c r="E34" s="87">
        <f>IF(E8=0,0,E8/TrAvia_act!E6*1000)</f>
        <v>94.229480355936303</v>
      </c>
      <c r="F34" s="87">
        <f>IF(F8=0,0,F8/TrAvia_act!F6*1000)</f>
        <v>110.18997257932884</v>
      </c>
      <c r="G34" s="87">
        <f>IF(G8=0,0,G8/TrAvia_act!G6*1000)</f>
        <v>112.32265548335161</v>
      </c>
      <c r="H34" s="87">
        <f>IF(H8=0,0,H8/TrAvia_act!H6*1000)</f>
        <v>116.51394096592334</v>
      </c>
      <c r="I34" s="87">
        <f>IF(I8=0,0,I8/TrAvia_act!I6*1000)</f>
        <v>118.52518813674497</v>
      </c>
      <c r="J34" s="87">
        <f>IF(J8=0,0,J8/TrAvia_act!J6*1000)</f>
        <v>119.56454158233903</v>
      </c>
      <c r="K34" s="87">
        <f>IF(K8=0,0,K8/TrAvia_act!K6*1000)</f>
        <v>124.39171899755338</v>
      </c>
      <c r="L34" s="87">
        <f>IF(L8=0,0,L8/TrAvia_act!L6*1000)</f>
        <v>117.25698756315134</v>
      </c>
      <c r="M34" s="87">
        <f>IF(M8=0,0,M8/TrAvia_act!M6*1000)</f>
        <v>109.61956844839931</v>
      </c>
      <c r="N34" s="87">
        <f>IF(N8=0,0,N8/TrAvia_act!N6*1000)</f>
        <v>113.07672788392073</v>
      </c>
      <c r="O34" s="87">
        <f>IF(O8=0,0,O8/TrAvia_act!O6*1000)</f>
        <v>112.43255937510574</v>
      </c>
      <c r="P34" s="87">
        <f>IF(P8=0,0,P8/TrAvia_act!P6*1000)</f>
        <v>113.42298060926313</v>
      </c>
      <c r="Q34" s="87">
        <f>IF(Q8=0,0,Q8/TrAvia_act!Q6*1000)</f>
        <v>106.15618340646084</v>
      </c>
      <c r="R34" s="87">
        <f>IF(R8=0,0,R8/TrAvia_act!R6*1000)</f>
        <v>106.62805343390444</v>
      </c>
      <c r="S34" s="87">
        <f>IF(S8=0,0,S8/TrAvia_act!S6*1000)</f>
        <v>103.3288303279554</v>
      </c>
      <c r="T34" s="87">
        <f>IF(T8=0,0,T8/TrAvia_act!T6*1000)</f>
        <v>110.16304064730566</v>
      </c>
      <c r="U34" s="87">
        <f>IF(U8=0,0,U8/TrAvia_act!U6*1000)</f>
        <v>107.77416272712262</v>
      </c>
      <c r="V34" s="87">
        <f>IF(V8=0,0,V8/TrAvia_act!V6*1000)</f>
        <v>102.2439609906981</v>
      </c>
      <c r="W34" s="87">
        <f>IF(W8=0,0,W8/TrAvia_act!W6*1000)</f>
        <v>113.5971113791125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144.59818750091242</v>
      </c>
      <c r="C35" s="87">
        <f>IF(C9=0,0,C9/TrAvia_act!C7*1000)</f>
        <v>144.40129110607811</v>
      </c>
      <c r="D35" s="87">
        <f>IF(D9=0,0,D9/TrAvia_act!D7*1000)</f>
        <v>142.82661796846531</v>
      </c>
      <c r="E35" s="87">
        <f>IF(E9=0,0,E9/TrAvia_act!E7*1000)</f>
        <v>91.518918018974915</v>
      </c>
      <c r="F35" s="87">
        <f>IF(F9=0,0,F9/TrAvia_act!F7*1000)</f>
        <v>102.54353769404437</v>
      </c>
      <c r="G35" s="87">
        <f>IF(G9=0,0,G9/TrAvia_act!G7*1000)</f>
        <v>105.48428776072839</v>
      </c>
      <c r="H35" s="87">
        <f>IF(H9=0,0,H9/TrAvia_act!H7*1000)</f>
        <v>105.37139279125351</v>
      </c>
      <c r="I35" s="87">
        <f>IF(I9=0,0,I9/TrAvia_act!I7*1000)</f>
        <v>95.011736243694713</v>
      </c>
      <c r="J35" s="87">
        <f>IF(J9=0,0,J9/TrAvia_act!J7*1000)</f>
        <v>94.88786361396555</v>
      </c>
      <c r="K35" s="87">
        <f>IF(K9=0,0,K9/TrAvia_act!K7*1000)</f>
        <v>96.184171554339386</v>
      </c>
      <c r="L35" s="87">
        <f>IF(L9=0,0,L9/TrAvia_act!L7*1000)</f>
        <v>85.771609028328783</v>
      </c>
      <c r="M35" s="87">
        <f>IF(M9=0,0,M9/TrAvia_act!M7*1000)</f>
        <v>79.322662689670707</v>
      </c>
      <c r="N35" s="87">
        <f>IF(N9=0,0,N9/TrAvia_act!N7*1000)</f>
        <v>79.938246875083735</v>
      </c>
      <c r="O35" s="87">
        <f>IF(O9=0,0,O9/TrAvia_act!O7*1000)</f>
        <v>74.378207562728662</v>
      </c>
      <c r="P35" s="87">
        <f>IF(P9=0,0,P9/TrAvia_act!P7*1000)</f>
        <v>74.329231867253981</v>
      </c>
      <c r="Q35" s="87">
        <f>IF(Q9=0,0,Q9/TrAvia_act!Q7*1000)</f>
        <v>71.172495669237122</v>
      </c>
      <c r="R35" s="87">
        <f>IF(R9=0,0,R9/TrAvia_act!R7*1000)</f>
        <v>67.601659966509089</v>
      </c>
      <c r="S35" s="87">
        <f>IF(S9=0,0,S9/TrAvia_act!S7*1000)</f>
        <v>59.555231816950858</v>
      </c>
      <c r="T35" s="87">
        <f>IF(T9=0,0,T9/TrAvia_act!T7*1000)</f>
        <v>58.386471793943507</v>
      </c>
      <c r="U35" s="87">
        <f>IF(U9=0,0,U9/TrAvia_act!U7*1000)</f>
        <v>55.612828907000463</v>
      </c>
      <c r="V35" s="87">
        <f>IF(V9=0,0,V9/TrAvia_act!V7*1000)</f>
        <v>95.1764524069131</v>
      </c>
      <c r="W35" s="87">
        <f>IF(W9=0,0,W9/TrAvia_act!W7*1000)</f>
        <v>97.153068392433326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420.10414868513413</v>
      </c>
      <c r="C36" s="15">
        <f>IF(C10=0,0,C10/TrAvia_act!C8*1000)</f>
        <v>399.35931049570075</v>
      </c>
      <c r="D36" s="15">
        <f>IF(D10=0,0,D10/TrAvia_act!D8*1000)</f>
        <v>422.57269040869062</v>
      </c>
      <c r="E36" s="15">
        <f>IF(E10=0,0,E10/TrAvia_act!E8*1000)</f>
        <v>288.32092563667942</v>
      </c>
      <c r="F36" s="15">
        <f>IF(F10=0,0,F10/TrAvia_act!F8*1000)</f>
        <v>337.64067925249486</v>
      </c>
      <c r="G36" s="15">
        <f>IF(G10=0,0,G10/TrAvia_act!G8*1000)</f>
        <v>363.3344931634249</v>
      </c>
      <c r="H36" s="15">
        <f>IF(H10=0,0,H10/TrAvia_act!H8*1000)</f>
        <v>402.52293832799995</v>
      </c>
      <c r="I36" s="15">
        <f>IF(I10=0,0,I10/TrAvia_act!I8*1000)</f>
        <v>409.25734820687342</v>
      </c>
      <c r="J36" s="15">
        <f>IF(J10=0,0,J10/TrAvia_act!J8*1000)</f>
        <v>402.64703863235405</v>
      </c>
      <c r="K36" s="15">
        <f>IF(K10=0,0,K10/TrAvia_act!K8*1000)</f>
        <v>334.44949793060658</v>
      </c>
      <c r="L36" s="15">
        <f>IF(L10=0,0,L10/TrAvia_act!L8*1000)</f>
        <v>318.44292794835968</v>
      </c>
      <c r="M36" s="15">
        <f>IF(M10=0,0,M10/TrAvia_act!M8*1000)</f>
        <v>294.9839678870411</v>
      </c>
      <c r="N36" s="15">
        <f>IF(N10=0,0,N10/TrAvia_act!N8*1000)</f>
        <v>272.058696405295</v>
      </c>
      <c r="O36" s="15">
        <f>IF(O10=0,0,O10/TrAvia_act!O8*1000)</f>
        <v>251.2603436354045</v>
      </c>
      <c r="P36" s="15">
        <f>IF(P10=0,0,P10/TrAvia_act!P8*1000)</f>
        <v>221.28985425242877</v>
      </c>
      <c r="Q36" s="15">
        <f>IF(Q10=0,0,Q10/TrAvia_act!Q8*1000)</f>
        <v>227.85738946030156</v>
      </c>
      <c r="R36" s="15">
        <f>IF(R10=0,0,R10/TrAvia_act!R8*1000)</f>
        <v>194.539017221568</v>
      </c>
      <c r="S36" s="15">
        <f>IF(S10=0,0,S10/TrAvia_act!S8*1000)</f>
        <v>200.70132545114043</v>
      </c>
      <c r="T36" s="15">
        <f>IF(T10=0,0,T10/TrAvia_act!T8*1000)</f>
        <v>237.95686005801761</v>
      </c>
      <c r="U36" s="15">
        <f>IF(U10=0,0,U10/TrAvia_act!U8*1000)</f>
        <v>299.7410443502032</v>
      </c>
      <c r="V36" s="15">
        <f>IF(V10=0,0,V10/TrAvia_act!V8*1000)</f>
        <v>565.14399287115509</v>
      </c>
      <c r="W36" s="15">
        <f>IF(W10=0,0,W10/TrAvia_act!W8*1000)</f>
        <v>363.73958670045113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27064.953641619413</v>
      </c>
      <c r="C37" s="101">
        <f>IF(C11=0,0,C11/TrAvia_act!C9*1000)</f>
        <v>27375.015103305595</v>
      </c>
      <c r="D37" s="101">
        <f>IF(D11=0,0,D11/TrAvia_act!D9*1000)</f>
        <v>26326.104843726094</v>
      </c>
      <c r="E37" s="101">
        <f>IF(E11=0,0,E11/TrAvia_act!E9*1000)</f>
        <v>23505.519629438684</v>
      </c>
      <c r="F37" s="101">
        <f>IF(F11=0,0,F11/TrAvia_act!F9*1000)</f>
        <v>14841.288958241996</v>
      </c>
      <c r="G37" s="101">
        <f>IF(G11=0,0,G11/TrAvia_act!G9*1000)</f>
        <v>10430.672198840239</v>
      </c>
      <c r="H37" s="101">
        <f>IF(H11=0,0,H11/TrAvia_act!H9*1000)</f>
        <v>5365.1295944438061</v>
      </c>
      <c r="I37" s="101">
        <f>IF(I11=0,0,I11/TrAvia_act!I9*1000)</f>
        <v>10900.05586295236</v>
      </c>
      <c r="J37" s="101">
        <f>IF(J11=0,0,J11/TrAvia_act!J9*1000)</f>
        <v>10902.716209814775</v>
      </c>
      <c r="K37" s="101">
        <f>IF(K11=0,0,K11/TrAvia_act!K9*1000)</f>
        <v>5760.8832935673245</v>
      </c>
      <c r="L37" s="101">
        <f>IF(L11=0,0,L11/TrAvia_act!L9*1000)</f>
        <v>6280.1295560635162</v>
      </c>
      <c r="M37" s="101">
        <f>IF(M11=0,0,M11/TrAvia_act!M9*1000)</f>
        <v>13277.415941628256</v>
      </c>
      <c r="N37" s="101">
        <f>IF(N11=0,0,N11/TrAvia_act!N9*1000)</f>
        <v>8205.4163620376894</v>
      </c>
      <c r="O37" s="101">
        <f>IF(O11=0,0,O11/TrAvia_act!O9*1000)</f>
        <v>10410.891472578993</v>
      </c>
      <c r="P37" s="101">
        <f>IF(P11=0,0,P11/TrAvia_act!P9*1000)</f>
        <v>7334.1342515679271</v>
      </c>
      <c r="Q37" s="101">
        <f>IF(Q11=0,0,Q11/TrAvia_act!Q9*1000)</f>
        <v>14180.63855466731</v>
      </c>
      <c r="R37" s="101">
        <f>IF(R11=0,0,R11/TrAvia_act!R9*1000)</f>
        <v>14215.430881126087</v>
      </c>
      <c r="S37" s="101">
        <f>IF(S11=0,0,S11/TrAvia_act!S9*1000)</f>
        <v>27822.545817109236</v>
      </c>
      <c r="T37" s="101">
        <f>IF(T11=0,0,T11/TrAvia_act!T9*1000)</f>
        <v>18247.887297945625</v>
      </c>
      <c r="U37" s="101">
        <f>IF(U11=0,0,U11/TrAvia_act!U9*1000)</f>
        <v>62594.222548723294</v>
      </c>
      <c r="V37" s="101">
        <f>IF(V11=0,0,V11/TrAvia_act!V9*1000)</f>
        <v>91120.292577347267</v>
      </c>
      <c r="W37" s="101">
        <f>IF(W11=0,0,W11/TrAvia_act!W9*1000)</f>
        <v>8172.1631801172753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583.77171631800115</v>
      </c>
      <c r="C38" s="101">
        <f>IF(C12=0,0,C12/TrAvia_act!C10*1000)</f>
        <v>554.0755216512822</v>
      </c>
      <c r="D38" s="101">
        <f>IF(D12=0,0,D12/TrAvia_act!D10*1000)</f>
        <v>583.29391710828395</v>
      </c>
      <c r="E38" s="101">
        <f>IF(E12=0,0,E12/TrAvia_act!E10*1000)</f>
        <v>382.44096732276455</v>
      </c>
      <c r="F38" s="101">
        <f>IF(F12=0,0,F12/TrAvia_act!F10*1000)</f>
        <v>476.77587005523844</v>
      </c>
      <c r="G38" s="101">
        <f>IF(G12=0,0,G12/TrAvia_act!G10*1000)</f>
        <v>476.73905914611743</v>
      </c>
      <c r="H38" s="101">
        <f>IF(H12=0,0,H12/TrAvia_act!H10*1000)</f>
        <v>567.82958068995538</v>
      </c>
      <c r="I38" s="101">
        <f>IF(I12=0,0,I12/TrAvia_act!I10*1000)</f>
        <v>561.21782181647211</v>
      </c>
      <c r="J38" s="101">
        <f>IF(J12=0,0,J12/TrAvia_act!J10*1000)</f>
        <v>541.31305740221626</v>
      </c>
      <c r="K38" s="101">
        <f>IF(K12=0,0,K12/TrAvia_act!K10*1000)</f>
        <v>576.01013750426068</v>
      </c>
      <c r="L38" s="101">
        <f>IF(L12=0,0,L12/TrAvia_act!L10*1000)</f>
        <v>547.62208465094216</v>
      </c>
      <c r="M38" s="101">
        <f>IF(M12=0,0,M12/TrAvia_act!M10*1000)</f>
        <v>527.45471815708561</v>
      </c>
      <c r="N38" s="101">
        <f>IF(N12=0,0,N12/TrAvia_act!N10*1000)</f>
        <v>534.99236011728271</v>
      </c>
      <c r="O38" s="101">
        <f>IF(O12=0,0,O12/TrAvia_act!O10*1000)</f>
        <v>553.49302444722446</v>
      </c>
      <c r="P38" s="101">
        <f>IF(P12=0,0,P12/TrAvia_act!P10*1000)</f>
        <v>500.06006432762717</v>
      </c>
      <c r="Q38" s="101">
        <f>IF(Q12=0,0,Q12/TrAvia_act!Q10*1000)</f>
        <v>488.79578181938928</v>
      </c>
      <c r="R38" s="101">
        <f>IF(R12=0,0,R12/TrAvia_act!R10*1000)</f>
        <v>452.91558806981698</v>
      </c>
      <c r="S38" s="101">
        <f>IF(S12=0,0,S12/TrAvia_act!S10*1000)</f>
        <v>522.5797304236736</v>
      </c>
      <c r="T38" s="101">
        <f>IF(T12=0,0,T12/TrAvia_act!T10*1000)</f>
        <v>557.21011084035024</v>
      </c>
      <c r="U38" s="101">
        <f>IF(U12=0,0,U12/TrAvia_act!U10*1000)</f>
        <v>556.46833598783007</v>
      </c>
      <c r="V38" s="101">
        <f>IF(V12=0,0,V12/TrAvia_act!V10*1000)</f>
        <v>558.81157568218259</v>
      </c>
      <c r="W38" s="101">
        <f>IF(W12=0,0,W12/TrAvia_act!W10*1000)</f>
        <v>644.07886122614013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362.68495017590311</v>
      </c>
      <c r="C39" s="88">
        <f>IF(C13=0,0,C13/TrAvia_act!C11*1000)</f>
        <v>346.74845675523369</v>
      </c>
      <c r="D39" s="88">
        <f>IF(D13=0,0,D13/TrAvia_act!D11*1000)</f>
        <v>364.35362478124466</v>
      </c>
      <c r="E39" s="88">
        <f>IF(E13=0,0,E13/TrAvia_act!E11*1000)</f>
        <v>257.74764689374325</v>
      </c>
      <c r="F39" s="88">
        <f>IF(F13=0,0,F13/TrAvia_act!F11*1000)</f>
        <v>301.52632306474266</v>
      </c>
      <c r="G39" s="88">
        <f>IF(G13=0,0,G13/TrAvia_act!G11*1000)</f>
        <v>327.49934825525355</v>
      </c>
      <c r="H39" s="88">
        <f>IF(H13=0,0,H13/TrAvia_act!H11*1000)</f>
        <v>346.99617828425198</v>
      </c>
      <c r="I39" s="88">
        <f>IF(I13=0,0,I13/TrAvia_act!I11*1000)</f>
        <v>316.67638607234835</v>
      </c>
      <c r="J39" s="88">
        <f>IF(J13=0,0,J13/TrAvia_act!J11*1000)</f>
        <v>319.77661142882658</v>
      </c>
      <c r="K39" s="88">
        <f>IF(K13=0,0,K13/TrAvia_act!K11*1000)</f>
        <v>272.84656542005803</v>
      </c>
      <c r="L39" s="88">
        <f>IF(L13=0,0,L13/TrAvia_act!L11*1000)</f>
        <v>253.63273061393738</v>
      </c>
      <c r="M39" s="88">
        <f>IF(M13=0,0,M13/TrAvia_act!M11*1000)</f>
        <v>239.67192435895345</v>
      </c>
      <c r="N39" s="88">
        <f>IF(N13=0,0,N13/TrAvia_act!N11*1000)</f>
        <v>235.93000627119386</v>
      </c>
      <c r="O39" s="88">
        <f>IF(O13=0,0,O13/TrAvia_act!O11*1000)</f>
        <v>214.30767877489259</v>
      </c>
      <c r="P39" s="88">
        <f>IF(P13=0,0,P13/TrAvia_act!P11*1000)</f>
        <v>190.41170107505786</v>
      </c>
      <c r="Q39" s="88">
        <f>IF(Q13=0,0,Q13/TrAvia_act!Q11*1000)</f>
        <v>193.39081599550096</v>
      </c>
      <c r="R39" s="88">
        <f>IF(R13=0,0,R13/TrAvia_act!R11*1000)</f>
        <v>166.53831404573828</v>
      </c>
      <c r="S39" s="88">
        <f>IF(S13=0,0,S13/TrAvia_act!S11*1000)</f>
        <v>157.97937375030654</v>
      </c>
      <c r="T39" s="88">
        <f>IF(T13=0,0,T13/TrAvia_act!T11*1000)</f>
        <v>143.63971640829698</v>
      </c>
      <c r="U39" s="88">
        <f>IF(U13=0,0,U13/TrAvia_act!U11*1000)</f>
        <v>133.21259648028425</v>
      </c>
      <c r="V39" s="88">
        <f>IF(V13=0,0,V13/TrAvia_act!V11*1000)</f>
        <v>275.40566674590525</v>
      </c>
      <c r="W39" s="88">
        <f>IF(W13=0,0,W13/TrAvia_act!W11*1000)</f>
        <v>279.01635968607246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21057.194736437628</v>
      </c>
      <c r="C41" s="54">
        <f>IF(C3=0,0,C3/TrAvia_act!C23*1000000)</f>
        <v>21757.094595757768</v>
      </c>
      <c r="D41" s="54">
        <f>IF(D3=0,0,D3/TrAvia_act!D23*1000000)</f>
        <v>20691.27602119133</v>
      </c>
      <c r="E41" s="54">
        <f>IF(E3=0,0,E3/TrAvia_act!E23*1000000)</f>
        <v>13872.735294723203</v>
      </c>
      <c r="F41" s="54">
        <f>IF(F3=0,0,F3/TrAvia_act!F23*1000000)</f>
        <v>13996.910124700842</v>
      </c>
      <c r="G41" s="54">
        <f>IF(G3=0,0,G3/TrAvia_act!G23*1000000)</f>
        <v>12980.922448897853</v>
      </c>
      <c r="H41" s="54">
        <f>IF(H3=0,0,H3/TrAvia_act!H23*1000000)</f>
        <v>12629.435019749681</v>
      </c>
      <c r="I41" s="54">
        <f>IF(I3=0,0,I3/TrAvia_act!I23*1000000)</f>
        <v>13015.729410807513</v>
      </c>
      <c r="J41" s="54">
        <f>IF(J3=0,0,J3/TrAvia_act!J23*1000000)</f>
        <v>13203.865820548888</v>
      </c>
      <c r="K41" s="54">
        <f>IF(K3=0,0,K3/TrAvia_act!K23*1000000)</f>
        <v>13112.906718618364</v>
      </c>
      <c r="L41" s="54">
        <f>IF(L3=0,0,L3/TrAvia_act!L23*1000000)</f>
        <v>12818.885719884902</v>
      </c>
      <c r="M41" s="54">
        <f>IF(M3=0,0,M3/TrAvia_act!M23*1000000)</f>
        <v>13745.65436453278</v>
      </c>
      <c r="N41" s="54">
        <f>IF(N3=0,0,N3/TrAvia_act!N23*1000000)</f>
        <v>14014.04505210332</v>
      </c>
      <c r="O41" s="54">
        <f>IF(O3=0,0,O3/TrAvia_act!O23*1000000)</f>
        <v>13894.5240954238</v>
      </c>
      <c r="P41" s="54">
        <f>IF(P3=0,0,P3/TrAvia_act!P23*1000000)</f>
        <v>14624.145370832812</v>
      </c>
      <c r="Q41" s="54">
        <f>IF(Q3=0,0,Q3/TrAvia_act!Q23*1000000)</f>
        <v>15494.343565311481</v>
      </c>
      <c r="R41" s="54">
        <f>IF(R3=0,0,R3/TrAvia_act!R23*1000000)</f>
        <v>15836.512074127291</v>
      </c>
      <c r="S41" s="54">
        <f>IF(S3=0,0,S3/TrAvia_act!S23*1000000)</f>
        <v>17122.736953468568</v>
      </c>
      <c r="T41" s="54">
        <f>IF(T3=0,0,T3/TrAvia_act!T23*1000000)</f>
        <v>17557.834837233764</v>
      </c>
      <c r="U41" s="54">
        <f>IF(U3=0,0,U3/TrAvia_act!U23*1000000)</f>
        <v>18725.203117797697</v>
      </c>
      <c r="V41" s="54">
        <f>IF(V3=0,0,V3/TrAvia_act!V23*1000000)</f>
        <v>21009.532739954109</v>
      </c>
      <c r="W41" s="54">
        <f>IF(W3=0,0,W3/TrAvia_act!W23*1000000)</f>
        <v>18691.660693312533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20304.073499595528</v>
      </c>
      <c r="C42" s="11">
        <f>IF(C6=0,0,C6/TrAvia_act!C24*1000000)</f>
        <v>21040.20610812835</v>
      </c>
      <c r="D42" s="11">
        <f>IF(D6=0,0,D6/TrAvia_act!D24*1000000)</f>
        <v>19895.242110588137</v>
      </c>
      <c r="E42" s="11">
        <f>IF(E6=0,0,E6/TrAvia_act!E24*1000000)</f>
        <v>13448.543791712025</v>
      </c>
      <c r="F42" s="11">
        <f>IF(F6=0,0,F6/TrAvia_act!F24*1000000)</f>
        <v>13705.618852107507</v>
      </c>
      <c r="G42" s="11">
        <f>IF(G6=0,0,G6/TrAvia_act!G24*1000000)</f>
        <v>12689.668506525659</v>
      </c>
      <c r="H42" s="11">
        <f>IF(H6=0,0,H6/TrAvia_act!H24*1000000)</f>
        <v>12398.246849401154</v>
      </c>
      <c r="I42" s="11">
        <f>IF(I6=0,0,I6/TrAvia_act!I24*1000000)</f>
        <v>12841.196278624631</v>
      </c>
      <c r="J42" s="11">
        <f>IF(J6=0,0,J6/TrAvia_act!J24*1000000)</f>
        <v>13003.344755022354</v>
      </c>
      <c r="K42" s="11">
        <f>IF(K6=0,0,K6/TrAvia_act!K24*1000000)</f>
        <v>12890.758047586844</v>
      </c>
      <c r="L42" s="11">
        <f>IF(L6=0,0,L6/TrAvia_act!L24*1000000)</f>
        <v>12613.602666412155</v>
      </c>
      <c r="M42" s="11">
        <f>IF(M6=0,0,M6/TrAvia_act!M24*1000000)</f>
        <v>13360.757817683236</v>
      </c>
      <c r="N42" s="11">
        <f>IF(N6=0,0,N6/TrAvia_act!N24*1000000)</f>
        <v>13584.731676012661</v>
      </c>
      <c r="O42" s="11">
        <f>IF(O6=0,0,O6/TrAvia_act!O24*1000000)</f>
        <v>13520.071498024363</v>
      </c>
      <c r="P42" s="11">
        <f>IF(P6=0,0,P6/TrAvia_act!P24*1000000)</f>
        <v>14293.998133549887</v>
      </c>
      <c r="Q42" s="11">
        <f>IF(Q6=0,0,Q6/TrAvia_act!Q24*1000000)</f>
        <v>15145.363464200769</v>
      </c>
      <c r="R42" s="11">
        <f>IF(R6=0,0,R6/TrAvia_act!R24*1000000)</f>
        <v>15462.979759013582</v>
      </c>
      <c r="S42" s="11">
        <f>IF(S6=0,0,S6/TrAvia_act!S24*1000000)</f>
        <v>16792.216762235195</v>
      </c>
      <c r="T42" s="11">
        <f>IF(T6=0,0,T6/TrAvia_act!T24*1000000)</f>
        <v>17267.079397732687</v>
      </c>
      <c r="U42" s="11">
        <f>IF(U6=0,0,U6/TrAvia_act!U24*1000000)</f>
        <v>18158.622701247936</v>
      </c>
      <c r="V42" s="11">
        <f>IF(V6=0,0,V6/TrAvia_act!V24*1000000)</f>
        <v>18549.800306439029</v>
      </c>
      <c r="W42" s="11">
        <f>IF(W6=0,0,W6/TrAvia_act!W24*1000000)</f>
        <v>17801.791227536316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51229.929366177683</v>
      </c>
      <c r="C43" s="84">
        <f>IF(C7=0,0,C7/TrAvia_act!C25*1000000)</f>
        <v>51421.744327665372</v>
      </c>
      <c r="D43" s="84">
        <f>IF(D7=0,0,D7/TrAvia_act!D25*1000000)</f>
        <v>50852.363991480583</v>
      </c>
      <c r="E43" s="84">
        <f>IF(E7=0,0,E7/TrAvia_act!E25*1000000)</f>
        <v>48295.695743927892</v>
      </c>
      <c r="F43" s="84">
        <f>IF(F7=0,0,F7/TrAvia_act!F25*1000000)</f>
        <v>28714.645424225913</v>
      </c>
      <c r="G43" s="84">
        <f>IF(G7=0,0,G7/TrAvia_act!G25*1000000)</f>
        <v>18346.338402573379</v>
      </c>
      <c r="H43" s="84">
        <f>IF(H7=0,0,H7/TrAvia_act!H25*1000000)</f>
        <v>8947.6281157669073</v>
      </c>
      <c r="I43" s="84">
        <f>IF(I7=0,0,I7/TrAvia_act!I25*1000000)</f>
        <v>20924.774749718585</v>
      </c>
      <c r="J43" s="84">
        <f>IF(J7=0,0,J7/TrAvia_act!J25*1000000)</f>
        <v>21995.267477601526</v>
      </c>
      <c r="K43" s="84">
        <f>IF(K7=0,0,K7/TrAvia_act!K25*1000000)</f>
        <v>12539.253428533933</v>
      </c>
      <c r="L43" s="84">
        <f>IF(L7=0,0,L7/TrAvia_act!L25*1000000)</f>
        <v>15384.243114946787</v>
      </c>
      <c r="M43" s="84">
        <f>IF(M7=0,0,M7/TrAvia_act!M25*1000000)</f>
        <v>36083.764563318058</v>
      </c>
      <c r="N43" s="84">
        <f>IF(N7=0,0,N7/TrAvia_act!N25*1000000)</f>
        <v>21731.93007971931</v>
      </c>
      <c r="O43" s="84">
        <f>IF(O7=0,0,O7/TrAvia_act!O25*1000000)</f>
        <v>27216.269295555736</v>
      </c>
      <c r="P43" s="84">
        <f>IF(P7=0,0,P7/TrAvia_act!P25*1000000)</f>
        <v>22706.237128048648</v>
      </c>
      <c r="Q43" s="84">
        <f>IF(Q7=0,0,Q7/TrAvia_act!Q25*1000000)</f>
        <v>43452.922628258202</v>
      </c>
      <c r="R43" s="84">
        <f>IF(R7=0,0,R7/TrAvia_act!R25*1000000)</f>
        <v>53416.851348916607</v>
      </c>
      <c r="S43" s="84">
        <f>IF(S7=0,0,S7/TrAvia_act!S25*1000000)</f>
        <v>101898.43542846839</v>
      </c>
      <c r="T43" s="84">
        <f>IF(T7=0,0,T7/TrAvia_act!T25*1000000)</f>
        <v>65301.181843556056</v>
      </c>
      <c r="U43" s="84">
        <f>IF(U7=0,0,U7/TrAvia_act!U25*1000000)</f>
        <v>217384.39494933866</v>
      </c>
      <c r="V43" s="84">
        <f>IF(V7=0,0,V7/TrAvia_act!V25*1000000)</f>
        <v>296753.03084829054</v>
      </c>
      <c r="W43" s="84">
        <f>IF(W7=0,0,W7/TrAvia_act!W25*1000000)</f>
        <v>33247.078257974841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12709.387796966779</v>
      </c>
      <c r="C44" s="84">
        <f>IF(C8=0,0,C8/TrAvia_act!C26*1000000)</f>
        <v>12728.710769099966</v>
      </c>
      <c r="D44" s="84">
        <f>IF(D8=0,0,D8/TrAvia_act!D26*1000000)</f>
        <v>12631.553473712467</v>
      </c>
      <c r="E44" s="84">
        <f>IF(E8=0,0,E8/TrAvia_act!E26*1000000)</f>
        <v>8217.7566180708982</v>
      </c>
      <c r="F44" s="84">
        <f>IF(F8=0,0,F8/TrAvia_act!F26*1000000)</f>
        <v>9542.9858562525187</v>
      </c>
      <c r="G44" s="84">
        <f>IF(G8=0,0,G8/TrAvia_act!G26*1000000)</f>
        <v>9465.1124444572124</v>
      </c>
      <c r="H44" s="84">
        <f>IF(H8=0,0,H8/TrAvia_act!H26*1000000)</f>
        <v>9732.3768809660123</v>
      </c>
      <c r="I44" s="84">
        <f>IF(I8=0,0,I8/TrAvia_act!I26*1000000)</f>
        <v>9666.9636032626095</v>
      </c>
      <c r="J44" s="84">
        <f>IF(J8=0,0,J8/TrAvia_act!J26*1000000)</f>
        <v>9516.5132080380772</v>
      </c>
      <c r="K44" s="84">
        <f>IF(K8=0,0,K8/TrAvia_act!K26*1000000)</f>
        <v>9910.0859818508143</v>
      </c>
      <c r="L44" s="84">
        <f>IF(L8=0,0,L8/TrAvia_act!L26*1000000)</f>
        <v>9438.0089532598704</v>
      </c>
      <c r="M44" s="84">
        <f>IF(M8=0,0,M8/TrAvia_act!M26*1000000)</f>
        <v>9411.4399520165116</v>
      </c>
      <c r="N44" s="84">
        <f>IF(N8=0,0,N8/TrAvia_act!N26*1000000)</f>
        <v>10456.529327281141</v>
      </c>
      <c r="O44" s="84">
        <f>IF(O8=0,0,O8/TrAvia_act!O26*1000000)</f>
        <v>10489.052172047397</v>
      </c>
      <c r="P44" s="84">
        <f>IF(P8=0,0,P8/TrAvia_act!P26*1000000)</f>
        <v>11139.547747949635</v>
      </c>
      <c r="Q44" s="84">
        <f>IF(Q8=0,0,Q8/TrAvia_act!Q26*1000000)</f>
        <v>10799.726700392524</v>
      </c>
      <c r="R44" s="84">
        <f>IF(R8=0,0,R8/TrAvia_act!R26*1000000)</f>
        <v>10931.409410148539</v>
      </c>
      <c r="S44" s="84">
        <f>IF(S8=0,0,S8/TrAvia_act!S26*1000000)</f>
        <v>12061.398549366902</v>
      </c>
      <c r="T44" s="84">
        <f>IF(T8=0,0,T8/TrAvia_act!T26*1000000)</f>
        <v>13677.459777788847</v>
      </c>
      <c r="U44" s="84">
        <f>IF(U8=0,0,U8/TrAvia_act!U26*1000000)</f>
        <v>13939.492479112814</v>
      </c>
      <c r="V44" s="84">
        <f>IF(V8=0,0,V8/TrAvia_act!V26*1000000)</f>
        <v>10255.137476004133</v>
      </c>
      <c r="W44" s="84">
        <f>IF(W8=0,0,W8/TrAvia_act!W26*1000000)</f>
        <v>13504.054807888428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38860.748272964156</v>
      </c>
      <c r="C45" s="84">
        <f>IF(C9=0,0,C9/TrAvia_act!C27*1000000)</f>
        <v>38920.528261168183</v>
      </c>
      <c r="D45" s="84">
        <f>IF(D9=0,0,D9/TrAvia_act!D27*1000000)</f>
        <v>38623.650922205416</v>
      </c>
      <c r="E45" s="84">
        <f>IF(E9=0,0,E9/TrAvia_act!E27*1000000)</f>
        <v>24830.226585795903</v>
      </c>
      <c r="F45" s="84">
        <f>IF(F9=0,0,F9/TrAvia_act!F27*1000000)</f>
        <v>28196.01924963318</v>
      </c>
      <c r="G45" s="84">
        <f>IF(G9=0,0,G9/TrAvia_act!G27*1000000)</f>
        <v>26792.964901664978</v>
      </c>
      <c r="H45" s="84">
        <f>IF(H9=0,0,H9/TrAvia_act!H27*1000000)</f>
        <v>26493.586549195708</v>
      </c>
      <c r="I45" s="84">
        <f>IF(I9=0,0,I9/TrAvia_act!I27*1000000)</f>
        <v>23905.37099702044</v>
      </c>
      <c r="J45" s="84">
        <f>IF(J9=0,0,J9/TrAvia_act!J27*1000000)</f>
        <v>24404.202635121379</v>
      </c>
      <c r="K45" s="84">
        <f>IF(K9=0,0,K9/TrAvia_act!K27*1000000)</f>
        <v>24176.528349824257</v>
      </c>
      <c r="L45" s="84">
        <f>IF(L9=0,0,L9/TrAvia_act!L27*1000000)</f>
        <v>22917.402482635458</v>
      </c>
      <c r="M45" s="84">
        <f>IF(M9=0,0,M9/TrAvia_act!M27*1000000)</f>
        <v>21509.713860516007</v>
      </c>
      <c r="N45" s="84">
        <f>IF(N9=0,0,N9/TrAvia_act!N27*1000000)</f>
        <v>20898.555500414805</v>
      </c>
      <c r="O45" s="84">
        <f>IF(O9=0,0,O9/TrAvia_act!O27*1000000)</f>
        <v>19758.245086302461</v>
      </c>
      <c r="P45" s="84">
        <f>IF(P9=0,0,P9/TrAvia_act!P27*1000000)</f>
        <v>21634.298831623342</v>
      </c>
      <c r="Q45" s="84">
        <f>IF(Q9=0,0,Q9/TrAvia_act!Q27*1000000)</f>
        <v>23937.101776310505</v>
      </c>
      <c r="R45" s="84">
        <f>IF(R9=0,0,R9/TrAvia_act!R27*1000000)</f>
        <v>25281.374452677479</v>
      </c>
      <c r="S45" s="84">
        <f>IF(S9=0,0,S9/TrAvia_act!S27*1000000)</f>
        <v>24026.250761108993</v>
      </c>
      <c r="T45" s="84">
        <f>IF(T9=0,0,T9/TrAvia_act!T27*1000000)</f>
        <v>23880.38855630238</v>
      </c>
      <c r="U45" s="84">
        <f>IF(U9=0,0,U9/TrAvia_act!U27*1000000)</f>
        <v>24365.060964570199</v>
      </c>
      <c r="V45" s="84">
        <f>IF(V9=0,0,V9/TrAvia_act!V27*1000000)</f>
        <v>28741.716403140432</v>
      </c>
      <c r="W45" s="84">
        <f>IF(W9=0,0,W9/TrAvia_act!W27*1000000)</f>
        <v>28867.447855802871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43461.540360045474</v>
      </c>
      <c r="C46" s="13">
        <f>IF(C10=0,0,C10/TrAvia_act!C28*1000000)</f>
        <v>44944.926213283798</v>
      </c>
      <c r="D46" s="13">
        <f>IF(D10=0,0,D10/TrAvia_act!D28*1000000)</f>
        <v>42564.501812350005</v>
      </c>
      <c r="E46" s="13">
        <f>IF(E10=0,0,E10/TrAvia_act!E28*1000000)</f>
        <v>33315.022155097584</v>
      </c>
      <c r="F46" s="13">
        <f>IF(F10=0,0,F10/TrAvia_act!F28*1000000)</f>
        <v>29366.305622661614</v>
      </c>
      <c r="G46" s="13">
        <f>IF(G10=0,0,G10/TrAvia_act!G28*1000000)</f>
        <v>28475.27651342659</v>
      </c>
      <c r="H46" s="13">
        <f>IF(H10=0,0,H10/TrAvia_act!H28*1000000)</f>
        <v>24020.153604266274</v>
      </c>
      <c r="I46" s="13">
        <f>IF(I10=0,0,I10/TrAvia_act!I28*1000000)</f>
        <v>21769.019977695065</v>
      </c>
      <c r="J46" s="13">
        <f>IF(J10=0,0,J10/TrAvia_act!J28*1000000)</f>
        <v>24883.44067403705</v>
      </c>
      <c r="K46" s="13">
        <f>IF(K10=0,0,K10/TrAvia_act!K28*1000000)</f>
        <v>26374.92993752857</v>
      </c>
      <c r="L46" s="13">
        <f>IF(L10=0,0,L10/TrAvia_act!L28*1000000)</f>
        <v>23175.658124731643</v>
      </c>
      <c r="M46" s="13">
        <f>IF(M10=0,0,M10/TrAvia_act!M28*1000000)</f>
        <v>34196.937921455588</v>
      </c>
      <c r="N46" s="13">
        <f>IF(N10=0,0,N10/TrAvia_act!N28*1000000)</f>
        <v>39415.97610775513</v>
      </c>
      <c r="O46" s="13">
        <f>IF(O10=0,0,O10/TrAvia_act!O28*1000000)</f>
        <v>36322.081056176969</v>
      </c>
      <c r="P46" s="13">
        <f>IF(P10=0,0,P10/TrAvia_act!P28*1000000)</f>
        <v>34614.069014617744</v>
      </c>
      <c r="Q46" s="13">
        <f>IF(Q10=0,0,Q10/TrAvia_act!Q28*1000000)</f>
        <v>35483.672239743071</v>
      </c>
      <c r="R46" s="13">
        <f>IF(R10=0,0,R10/TrAvia_act!R28*1000000)</f>
        <v>36159.583022182385</v>
      </c>
      <c r="S46" s="13">
        <f>IF(S10=0,0,S10/TrAvia_act!S28*1000000)</f>
        <v>33007.85428131403</v>
      </c>
      <c r="T46" s="13">
        <f>IF(T10=0,0,T10/TrAvia_act!T28*1000000)</f>
        <v>30686.289791210671</v>
      </c>
      <c r="U46" s="13">
        <f>IF(U10=0,0,U10/TrAvia_act!U28*1000000)</f>
        <v>46440.868580898139</v>
      </c>
      <c r="V46" s="13">
        <f>IF(V10=0,0,V10/TrAvia_act!V28*1000000)</f>
        <v>56118.620835652524</v>
      </c>
      <c r="W46" s="13">
        <f>IF(W10=0,0,W10/TrAvia_act!W28*1000000)</f>
        <v>30550.787009564832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46816.076425154548</v>
      </c>
      <c r="C47" s="102">
        <f>IF(C11=0,0,C11/TrAvia_act!C29*1000000)</f>
        <v>46991.365050526423</v>
      </c>
      <c r="D47" s="102">
        <f>IF(D11=0,0,D11/TrAvia_act!D29*1000000)</f>
        <v>46471.041215151272</v>
      </c>
      <c r="E47" s="102">
        <f>IF(E11=0,0,E11/TrAvia_act!E29*1000000)</f>
        <v>44134.64962624904</v>
      </c>
      <c r="F47" s="102">
        <f>IF(F11=0,0,F11/TrAvia_act!F29*1000000)</f>
        <v>26240.657586955298</v>
      </c>
      <c r="G47" s="102">
        <f>IF(G11=0,0,G11/TrAvia_act!G29*1000000)</f>
        <v>16765.660062449289</v>
      </c>
      <c r="H47" s="102">
        <f>IF(H11=0,0,H11/TrAvia_act!H29*1000000)</f>
        <v>8290.8851206631753</v>
      </c>
      <c r="I47" s="102">
        <f>IF(I11=0,0,I11/TrAvia_act!I29*1000000)</f>
        <v>19659.636330884823</v>
      </c>
      <c r="J47" s="102">
        <f>IF(J11=0,0,J11/TrAvia_act!J29*1000000)</f>
        <v>20953.937907555173</v>
      </c>
      <c r="K47" s="102">
        <f>IF(K11=0,0,K11/TrAvia_act!K29*1000000)</f>
        <v>12112.388775837009</v>
      </c>
      <c r="L47" s="102">
        <f>IF(L11=0,0,L11/TrAvia_act!L29*1000000)</f>
        <v>15068.012584614393</v>
      </c>
      <c r="M47" s="102">
        <f>IF(M11=0,0,M11/TrAvia_act!M29*1000000)</f>
        <v>35277.1888650857</v>
      </c>
      <c r="N47" s="102">
        <f>IF(N11=0,0,N11/TrAvia_act!N29*1000000)</f>
        <v>21207.170162655031</v>
      </c>
      <c r="O47" s="102">
        <f>IF(O11=0,0,O11/TrAvia_act!O29*1000000)</f>
        <v>26487.808156985557</v>
      </c>
      <c r="P47" s="102">
        <f>IF(P11=0,0,P11/TrAvia_act!P29*1000000)</f>
        <v>22039.247589002574</v>
      </c>
      <c r="Q47" s="102">
        <f>IF(Q11=0,0,Q11/TrAvia_act!Q29*1000000)</f>
        <v>42063.548622305723</v>
      </c>
      <c r="R47" s="102">
        <f>IF(R11=0,0,R11/TrAvia_act!R29*1000000)</f>
        <v>51570.539436015315</v>
      </c>
      <c r="S47" s="102">
        <f>IF(S11=0,0,S11/TrAvia_act!S29*1000000)</f>
        <v>98113.445199567504</v>
      </c>
      <c r="T47" s="102">
        <f>IF(T11=0,0,T11/TrAvia_act!T29*1000000)</f>
        <v>62707.692020961578</v>
      </c>
      <c r="U47" s="102">
        <f>IF(U11=0,0,U11/TrAvia_act!U29*1000000)</f>
        <v>214556.46643153639</v>
      </c>
      <c r="V47" s="102">
        <f>IF(V11=0,0,V11/TrAvia_act!V29*1000000)</f>
        <v>292892.60490154417</v>
      </c>
      <c r="W47" s="102">
        <f>IF(W11=0,0,W11/TrAvia_act!W29*1000000)</f>
        <v>32814.570852090234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11753.061520194082</v>
      </c>
      <c r="C48" s="102">
        <f>IF(C12=0,0,C12/TrAvia_act!C30*1000000)</f>
        <v>11774.41881927732</v>
      </c>
      <c r="D48" s="102">
        <f>IF(D12=0,0,D12/TrAvia_act!D30*1000000)</f>
        <v>11674.568006799896</v>
      </c>
      <c r="E48" s="102">
        <f>IF(E12=0,0,E12/TrAvia_act!E30*1000000)</f>
        <v>7798.8841331433159</v>
      </c>
      <c r="F48" s="102">
        <f>IF(F12=0,0,F12/TrAvia_act!F30*1000000)</f>
        <v>8798.0413556606381</v>
      </c>
      <c r="G48" s="102">
        <f>IF(G12=0,0,G12/TrAvia_act!G30*1000000)</f>
        <v>8484.4388092051595</v>
      </c>
      <c r="H48" s="102">
        <f>IF(H12=0,0,H12/TrAvia_act!H30*1000000)</f>
        <v>8649.3616715317057</v>
      </c>
      <c r="I48" s="102">
        <f>IF(I12=0,0,I12/TrAvia_act!I30*1000000)</f>
        <v>8369.8730130950771</v>
      </c>
      <c r="J48" s="102">
        <f>IF(J12=0,0,J12/TrAvia_act!J30*1000000)</f>
        <v>8020.3992966448568</v>
      </c>
      <c r="K48" s="102">
        <f>IF(K12=0,0,K12/TrAvia_act!K30*1000000)</f>
        <v>8607.1628577759093</v>
      </c>
      <c r="L48" s="102">
        <f>IF(L12=0,0,L12/TrAvia_act!L30*1000000)</f>
        <v>8086.5535193543219</v>
      </c>
      <c r="M48" s="102">
        <f>IF(M12=0,0,M12/TrAvia_act!M30*1000000)</f>
        <v>8066.2520927090363</v>
      </c>
      <c r="N48" s="102">
        <f>IF(N12=0,0,N12/TrAvia_act!N30*1000000)</f>
        <v>8721.9628514653832</v>
      </c>
      <c r="O48" s="102">
        <f>IF(O12=0,0,O12/TrAvia_act!O30*1000000)</f>
        <v>8560.9098278656365</v>
      </c>
      <c r="P48" s="102">
        <f>IF(P12=0,0,P12/TrAvia_act!P30*1000000)</f>
        <v>8992.9516389371183</v>
      </c>
      <c r="Q48" s="102">
        <f>IF(Q12=0,0,Q12/TrAvia_act!Q30*1000000)</f>
        <v>8665.1683663664535</v>
      </c>
      <c r="R48" s="102">
        <f>IF(R12=0,0,R12/TrAvia_act!R30*1000000)</f>
        <v>8554.1022908323521</v>
      </c>
      <c r="S48" s="102">
        <f>IF(S12=0,0,S12/TrAvia_act!S30*1000000)</f>
        <v>9281.2572270113615</v>
      </c>
      <c r="T48" s="102">
        <f>IF(T12=0,0,T12/TrAvia_act!T30*1000000)</f>
        <v>10464.337205477206</v>
      </c>
      <c r="U48" s="102">
        <f>IF(U12=0,0,U12/TrAvia_act!U30*1000000)</f>
        <v>10365.146986433507</v>
      </c>
      <c r="V48" s="102">
        <f>IF(V12=0,0,V12/TrAvia_act!V30*1000000)</f>
        <v>8401.5617306179411</v>
      </c>
      <c r="W48" s="102">
        <f>IF(W12=0,0,W12/TrAvia_act!W30*1000000)</f>
        <v>10774.016838302869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199607.83226045477</v>
      </c>
      <c r="C49" s="86">
        <f>IF(C13=0,0,C13/TrAvia_act!C31*1000000)</f>
        <v>199914.89155262648</v>
      </c>
      <c r="D49" s="86">
        <f>IF(D13=0,0,D13/TrAvia_act!D31*1000000)</f>
        <v>198389.98416635164</v>
      </c>
      <c r="E49" s="86">
        <f>IF(E13=0,0,E13/TrAvia_act!E31*1000000)</f>
        <v>127540.20248176198</v>
      </c>
      <c r="F49" s="86">
        <f>IF(F13=0,0,F13/TrAvia_act!F31*1000000)</f>
        <v>144828.5617471986</v>
      </c>
      <c r="G49" s="86">
        <f>IF(G13=0,0,G13/TrAvia_act!G31*1000000)</f>
        <v>145211.72156078171</v>
      </c>
      <c r="H49" s="86">
        <f>IF(H13=0,0,H13/TrAvia_act!H31*1000000)</f>
        <v>140011.22156793976</v>
      </c>
      <c r="I49" s="86">
        <f>IF(I13=0,0,I13/TrAvia_act!I31*1000000)</f>
        <v>119201.70851316619</v>
      </c>
      <c r="J49" s="86">
        <f>IF(J13=0,0,J13/TrAvia_act!J31*1000000)</f>
        <v>112430.8677962518</v>
      </c>
      <c r="K49" s="86">
        <f>IF(K13=0,0,K13/TrAvia_act!K31*1000000)</f>
        <v>102785.38711964973</v>
      </c>
      <c r="L49" s="86">
        <f>IF(L13=0,0,L13/TrAvia_act!L31*1000000)</f>
        <v>91160.083294432145</v>
      </c>
      <c r="M49" s="86">
        <f>IF(M13=0,0,M13/TrAvia_act!M31*1000000)</f>
        <v>98944.253682837225</v>
      </c>
      <c r="N49" s="86">
        <f>IF(N13=0,0,N13/TrAvia_act!N31*1000000)</f>
        <v>112864.84367163807</v>
      </c>
      <c r="O49" s="86">
        <f>IF(O13=0,0,O13/TrAvia_act!O31*1000000)</f>
        <v>106198.9838556709</v>
      </c>
      <c r="P49" s="86">
        <f>IF(P13=0,0,P13/TrAvia_act!P31*1000000)</f>
        <v>110247.3654303355</v>
      </c>
      <c r="Q49" s="86">
        <f>IF(Q13=0,0,Q13/TrAvia_act!Q31*1000000)</f>
        <v>113600.01632356147</v>
      </c>
      <c r="R49" s="86">
        <f>IF(R13=0,0,R13/TrAvia_act!R31*1000000)</f>
        <v>111737.07947958559</v>
      </c>
      <c r="S49" s="86">
        <f>IF(S13=0,0,S13/TrAvia_act!S31*1000000)</f>
        <v>102544.10868638649</v>
      </c>
      <c r="T49" s="86">
        <f>IF(T13=0,0,T13/TrAvia_act!T31*1000000)</f>
        <v>94908.358541346446</v>
      </c>
      <c r="U49" s="86">
        <f>IF(U13=0,0,U13/TrAvia_act!U31*1000000)</f>
        <v>80569.633770544198</v>
      </c>
      <c r="V49" s="86">
        <f>IF(V13=0,0,V13/TrAvia_act!V31*1000000)</f>
        <v>104100.32321826657</v>
      </c>
      <c r="W49" s="86">
        <f>IF(W13=0,0,W13/TrAvia_act!W31*1000000)</f>
        <v>99006.203651546763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0.93287590490933836</v>
      </c>
      <c r="C52" s="16">
        <f t="shared" si="35"/>
        <v>0.93804908645454921</v>
      </c>
      <c r="D52" s="16">
        <f t="shared" ref="D52:V52" si="36">IF(D6=0,0,D6/D$3)</f>
        <v>0.92776386326035198</v>
      </c>
      <c r="E52" s="16">
        <f t="shared" si="36"/>
        <v>0.94872341624095968</v>
      </c>
      <c r="F52" s="16">
        <f t="shared" si="36"/>
        <v>0.96097581786934949</v>
      </c>
      <c r="G52" s="16">
        <f t="shared" si="36"/>
        <v>0.9595263013993226</v>
      </c>
      <c r="H52" s="16">
        <f t="shared" si="36"/>
        <v>0.96216618997225389</v>
      </c>
      <c r="I52" s="16">
        <f t="shared" si="36"/>
        <v>0.96730339627841333</v>
      </c>
      <c r="J52" s="16">
        <f t="shared" si="36"/>
        <v>0.96819104622317842</v>
      </c>
      <c r="K52" s="16">
        <f t="shared" si="36"/>
        <v>0.9668631072395294</v>
      </c>
      <c r="L52" s="16">
        <f t="shared" si="36"/>
        <v>0.96486123808812663</v>
      </c>
      <c r="M52" s="16">
        <f t="shared" si="36"/>
        <v>0.95404341885320376</v>
      </c>
      <c r="N52" s="16">
        <f t="shared" si="36"/>
        <v>0.95325470900463216</v>
      </c>
      <c r="O52" s="16">
        <f t="shared" si="36"/>
        <v>0.95707100009591239</v>
      </c>
      <c r="P52" s="16">
        <f t="shared" si="36"/>
        <v>0.961543955771343</v>
      </c>
      <c r="Q52" s="16">
        <f t="shared" si="36"/>
        <v>0.96070464604278749</v>
      </c>
      <c r="R52" s="16">
        <f t="shared" si="36"/>
        <v>0.95879091398037053</v>
      </c>
      <c r="S52" s="16">
        <f t="shared" si="36"/>
        <v>0.96070764346473225</v>
      </c>
      <c r="T52" s="16">
        <f t="shared" si="36"/>
        <v>0.96213183079869902</v>
      </c>
      <c r="U52" s="16">
        <f t="shared" si="36"/>
        <v>0.95031543839338206</v>
      </c>
      <c r="V52" s="16">
        <f t="shared" si="36"/>
        <v>0.82511566790376678</v>
      </c>
      <c r="W52" s="16">
        <f t="shared" ref="W52" si="37">IF(W6=0,0,W6/W$3)</f>
        <v>0.88591597338305694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0.191048535310683</v>
      </c>
      <c r="C53" s="103">
        <f t="shared" si="38"/>
        <v>0.23322058148527439</v>
      </c>
      <c r="D53" s="103">
        <f t="shared" ref="D53:V53" si="39">IF(D7=0,0,D7/D$3)</f>
        <v>0.17260290441163462</v>
      </c>
      <c r="E53" s="103">
        <f t="shared" si="39"/>
        <v>0.22188971960330239</v>
      </c>
      <c r="F53" s="103">
        <f t="shared" si="39"/>
        <v>0.13167308864967528</v>
      </c>
      <c r="G53" s="103">
        <f t="shared" si="39"/>
        <v>8.5094587226595311E-2</v>
      </c>
      <c r="H53" s="103">
        <f t="shared" si="39"/>
        <v>4.581160414421985E-2</v>
      </c>
      <c r="I53" s="103">
        <f t="shared" si="39"/>
        <v>9.4013194173036177E-2</v>
      </c>
      <c r="J53" s="103">
        <f t="shared" si="39"/>
        <v>0.11197738635991018</v>
      </c>
      <c r="K53" s="103">
        <f t="shared" si="39"/>
        <v>8.3525542450493401E-2</v>
      </c>
      <c r="L53" s="103">
        <f t="shared" si="39"/>
        <v>8.4727893463595355E-2</v>
      </c>
      <c r="M53" s="103">
        <f t="shared" si="39"/>
        <v>0.12040270790594647</v>
      </c>
      <c r="N53" s="103">
        <f t="shared" si="39"/>
        <v>6.5988785072157025E-2</v>
      </c>
      <c r="O53" s="103">
        <f t="shared" si="39"/>
        <v>6.2453834601716052E-2</v>
      </c>
      <c r="P53" s="103">
        <f t="shared" si="39"/>
        <v>5.8716452265786208E-2</v>
      </c>
      <c r="Q53" s="103">
        <f t="shared" si="39"/>
        <v>0.11297518752748439</v>
      </c>
      <c r="R53" s="103">
        <f t="shared" si="39"/>
        <v>0.11651050558213792</v>
      </c>
      <c r="S53" s="103">
        <f t="shared" si="39"/>
        <v>0.12669961245373756</v>
      </c>
      <c r="T53" s="103">
        <f t="shared" si="39"/>
        <v>6.8653213231758825E-2</v>
      </c>
      <c r="U53" s="103">
        <f t="shared" si="39"/>
        <v>7.9896777328536964E-2</v>
      </c>
      <c r="V53" s="103">
        <f t="shared" si="39"/>
        <v>0.18559186449630125</v>
      </c>
      <c r="W53" s="103">
        <f t="shared" ref="W53" si="40">IF(W7=0,0,W7/W$3)</f>
        <v>2.8021040551725298E-2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0.43677138933723658</v>
      </c>
      <c r="C54" s="103">
        <f t="shared" si="41"/>
        <v>0.41496340175814916</v>
      </c>
      <c r="D54" s="103">
        <f t="shared" ref="D54:V54" si="42">IF(D8=0,0,D8/D$3)</f>
        <v>0.44459976983123234</v>
      </c>
      <c r="E54" s="103">
        <f t="shared" si="42"/>
        <v>0.45051298711747501</v>
      </c>
      <c r="F54" s="103">
        <f t="shared" si="42"/>
        <v>0.52100799959975852</v>
      </c>
      <c r="G54" s="103">
        <f t="shared" si="42"/>
        <v>0.56111640746792735</v>
      </c>
      <c r="H54" s="103">
        <f t="shared" si="42"/>
        <v>0.58299134773518435</v>
      </c>
      <c r="I54" s="103">
        <f t="shared" si="42"/>
        <v>0.55676268445254318</v>
      </c>
      <c r="J54" s="103">
        <f t="shared" si="42"/>
        <v>0.53477855342703451</v>
      </c>
      <c r="K54" s="103">
        <f t="shared" si="42"/>
        <v>0.53415601596597284</v>
      </c>
      <c r="L54" s="103">
        <f t="shared" si="42"/>
        <v>0.52281596989058199</v>
      </c>
      <c r="M54" s="103">
        <f t="shared" si="42"/>
        <v>0.49048963683623426</v>
      </c>
      <c r="N54" s="103">
        <f t="shared" si="42"/>
        <v>0.51646547064492954</v>
      </c>
      <c r="O54" s="103">
        <f t="shared" si="42"/>
        <v>0.51907513207497269</v>
      </c>
      <c r="P54" s="103">
        <f t="shared" si="42"/>
        <v>0.52705495919643375</v>
      </c>
      <c r="Q54" s="103">
        <f t="shared" si="42"/>
        <v>0.50015840188073868</v>
      </c>
      <c r="R54" s="103">
        <f t="shared" si="42"/>
        <v>0.51051182036314091</v>
      </c>
      <c r="S54" s="103">
        <f t="shared" si="42"/>
        <v>0.51481629084215419</v>
      </c>
      <c r="T54" s="103">
        <f t="shared" si="42"/>
        <v>0.55236314242187268</v>
      </c>
      <c r="U54" s="103">
        <f t="shared" si="42"/>
        <v>0.52913723809831914</v>
      </c>
      <c r="V54" s="103">
        <f t="shared" si="42"/>
        <v>0.34447011438763053</v>
      </c>
      <c r="W54" s="103">
        <f t="shared" ref="W54" si="43">IF(W8=0,0,W8/W$3)</f>
        <v>0.48728650620397684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0.30505598026141872</v>
      </c>
      <c r="C55" s="103">
        <f t="shared" si="44"/>
        <v>0.28986510321112574</v>
      </c>
      <c r="D55" s="103">
        <f t="shared" ref="D55:V55" si="45">IF(D9=0,0,D9/D$3)</f>
        <v>0.31056118901748492</v>
      </c>
      <c r="E55" s="103">
        <f t="shared" si="45"/>
        <v>0.27632070952018234</v>
      </c>
      <c r="F55" s="103">
        <f t="shared" si="45"/>
        <v>0.30829472961991572</v>
      </c>
      <c r="G55" s="103">
        <f t="shared" si="45"/>
        <v>0.3133153067047999</v>
      </c>
      <c r="H55" s="103">
        <f t="shared" si="45"/>
        <v>0.33336323809284962</v>
      </c>
      <c r="I55" s="103">
        <f t="shared" si="45"/>
        <v>0.31652751765283393</v>
      </c>
      <c r="J55" s="103">
        <f t="shared" si="45"/>
        <v>0.32143510643623391</v>
      </c>
      <c r="K55" s="103">
        <f t="shared" si="45"/>
        <v>0.34918154882306318</v>
      </c>
      <c r="L55" s="103">
        <f t="shared" si="45"/>
        <v>0.35731737473394931</v>
      </c>
      <c r="M55" s="103">
        <f t="shared" si="45"/>
        <v>0.34315107411102302</v>
      </c>
      <c r="N55" s="103">
        <f t="shared" si="45"/>
        <v>0.37080045328754568</v>
      </c>
      <c r="O55" s="103">
        <f t="shared" si="45"/>
        <v>0.37554203341922371</v>
      </c>
      <c r="P55" s="103">
        <f t="shared" si="45"/>
        <v>0.37577254430912305</v>
      </c>
      <c r="Q55" s="103">
        <f t="shared" si="45"/>
        <v>0.34757105663456445</v>
      </c>
      <c r="R55" s="103">
        <f t="shared" si="45"/>
        <v>0.33176858803509174</v>
      </c>
      <c r="S55" s="103">
        <f t="shared" si="45"/>
        <v>0.31919174016884061</v>
      </c>
      <c r="T55" s="103">
        <f t="shared" si="45"/>
        <v>0.34111547514506763</v>
      </c>
      <c r="U55" s="103">
        <f t="shared" si="45"/>
        <v>0.34128142296652597</v>
      </c>
      <c r="V55" s="103">
        <f t="shared" si="45"/>
        <v>0.29505368901983497</v>
      </c>
      <c r="W55" s="103">
        <f t="shared" ref="W55" si="46">IF(W9=0,0,W9/W$3)</f>
        <v>0.37060842662735483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6.7124095090661681E-2</v>
      </c>
      <c r="C56" s="17">
        <f t="shared" si="47"/>
        <v>6.1950913545450778E-2</v>
      </c>
      <c r="D56" s="17">
        <f t="shared" ref="D56:V56" si="48">IF(D10=0,0,D10/D$3)</f>
        <v>7.2236136739648085E-2</v>
      </c>
      <c r="E56" s="17">
        <f t="shared" si="48"/>
        <v>5.1276583759040421E-2</v>
      </c>
      <c r="F56" s="17">
        <f t="shared" si="48"/>
        <v>3.9024182130650412E-2</v>
      </c>
      <c r="G56" s="17">
        <f t="shared" si="48"/>
        <v>4.0473698600677344E-2</v>
      </c>
      <c r="H56" s="17">
        <f t="shared" si="48"/>
        <v>3.7833810027746211E-2</v>
      </c>
      <c r="I56" s="17">
        <f t="shared" si="48"/>
        <v>3.269660372158651E-2</v>
      </c>
      <c r="J56" s="17">
        <f t="shared" si="48"/>
        <v>3.1808953776821233E-2</v>
      </c>
      <c r="K56" s="17">
        <f t="shared" si="48"/>
        <v>3.313689276047059E-2</v>
      </c>
      <c r="L56" s="17">
        <f t="shared" si="48"/>
        <v>3.513876191187313E-2</v>
      </c>
      <c r="M56" s="17">
        <f t="shared" si="48"/>
        <v>4.5956581146796328E-2</v>
      </c>
      <c r="N56" s="17">
        <f t="shared" si="48"/>
        <v>4.6745290995367825E-2</v>
      </c>
      <c r="O56" s="17">
        <f t="shared" si="48"/>
        <v>4.2928999904087425E-2</v>
      </c>
      <c r="P56" s="17">
        <f t="shared" si="48"/>
        <v>3.8456044228657012E-2</v>
      </c>
      <c r="Q56" s="17">
        <f t="shared" si="48"/>
        <v>3.9295353957212502E-2</v>
      </c>
      <c r="R56" s="17">
        <f t="shared" si="48"/>
        <v>4.1209086019629429E-2</v>
      </c>
      <c r="S56" s="17">
        <f t="shared" si="48"/>
        <v>3.9292356535267595E-2</v>
      </c>
      <c r="T56" s="17">
        <f t="shared" si="48"/>
        <v>3.7868169201300948E-2</v>
      </c>
      <c r="U56" s="17">
        <f t="shared" si="48"/>
        <v>4.9684561606617661E-2</v>
      </c>
      <c r="V56" s="17">
        <f t="shared" si="48"/>
        <v>0.17488433209623314</v>
      </c>
      <c r="W56" s="17">
        <f t="shared" ref="W56" si="49">IF(W10=0,0,W10/W$3)</f>
        <v>0.11408402661694292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3.8055264247795683E-3</v>
      </c>
      <c r="C57" s="104">
        <f t="shared" si="50"/>
        <v>3.467276261649342E-3</v>
      </c>
      <c r="D57" s="104">
        <f t="shared" ref="D57:V57" si="51">IF(D11=0,0,D11/D$3)</f>
        <v>4.1187229633456168E-3</v>
      </c>
      <c r="E57" s="104">
        <f t="shared" si="51"/>
        <v>2.484538374984838E-3</v>
      </c>
      <c r="F57" s="104">
        <f t="shared" si="51"/>
        <v>6.0347886498966991E-4</v>
      </c>
      <c r="G57" s="104">
        <f t="shared" si="51"/>
        <v>9.3768314481110714E-4</v>
      </c>
      <c r="H57" s="104">
        <f t="shared" si="51"/>
        <v>1.0231521439574519E-3</v>
      </c>
      <c r="I57" s="104">
        <f t="shared" si="51"/>
        <v>3.2088616421039177E-3</v>
      </c>
      <c r="J57" s="104">
        <f t="shared" si="51"/>
        <v>3.6337324334966051E-3</v>
      </c>
      <c r="K57" s="104">
        <f t="shared" si="51"/>
        <v>2.5074691576459918E-3</v>
      </c>
      <c r="L57" s="104">
        <f t="shared" si="51"/>
        <v>2.5368255651430868E-3</v>
      </c>
      <c r="M57" s="104">
        <f t="shared" si="51"/>
        <v>4.9225351985752583E-3</v>
      </c>
      <c r="N57" s="104">
        <f t="shared" si="51"/>
        <v>2.7696927703728799E-3</v>
      </c>
      <c r="O57" s="104">
        <f t="shared" si="51"/>
        <v>2.2942165087007985E-3</v>
      </c>
      <c r="P57" s="104">
        <f t="shared" si="51"/>
        <v>9.8788701733821486E-4</v>
      </c>
      <c r="Q57" s="104">
        <f t="shared" si="51"/>
        <v>1.804529687299316E-3</v>
      </c>
      <c r="R57" s="104">
        <f t="shared" si="51"/>
        <v>1.5277882593196122E-3</v>
      </c>
      <c r="S57" s="104">
        <f t="shared" si="51"/>
        <v>2.6398569447520443E-3</v>
      </c>
      <c r="T57" s="104">
        <f t="shared" si="51"/>
        <v>8.1703899466823507E-3</v>
      </c>
      <c r="U57" s="104">
        <f t="shared" si="51"/>
        <v>2.200671889357917E-2</v>
      </c>
      <c r="V57" s="104">
        <f t="shared" si="51"/>
        <v>8.0924315934353314E-2</v>
      </c>
      <c r="W57" s="104">
        <f t="shared" ref="W57" si="52">IF(W11=0,0,W11/W$3)</f>
        <v>1.0747706278713879E-2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1.431102425691921E-2</v>
      </c>
      <c r="C58" s="104">
        <f t="shared" si="53"/>
        <v>1.2662007852541521E-2</v>
      </c>
      <c r="D58" s="104">
        <f t="shared" ref="D58:V58" si="54">IF(D12=0,0,D12/D$3)</f>
        <v>1.5693186614094804E-2</v>
      </c>
      <c r="E58" s="104">
        <f t="shared" si="54"/>
        <v>9.1398967810846551E-3</v>
      </c>
      <c r="F58" s="104">
        <f t="shared" si="54"/>
        <v>9.7473211249409705E-3</v>
      </c>
      <c r="G58" s="104">
        <f t="shared" si="54"/>
        <v>9.8504726254148908E-3</v>
      </c>
      <c r="H58" s="104">
        <f t="shared" si="54"/>
        <v>1.0959086811825194E-2</v>
      </c>
      <c r="I58" s="104">
        <f t="shared" si="54"/>
        <v>9.8245625783506558E-3</v>
      </c>
      <c r="J58" s="104">
        <f t="shared" si="54"/>
        <v>7.3781788582406574E-3</v>
      </c>
      <c r="K58" s="104">
        <f t="shared" si="54"/>
        <v>7.0581899942448413E-3</v>
      </c>
      <c r="L58" s="104">
        <f t="shared" si="54"/>
        <v>8.7867567687609973E-3</v>
      </c>
      <c r="M58" s="104">
        <f t="shared" si="54"/>
        <v>6.9346263203760548E-3</v>
      </c>
      <c r="N58" s="104">
        <f t="shared" si="54"/>
        <v>6.292627084453755E-3</v>
      </c>
      <c r="O58" s="104">
        <f t="shared" si="54"/>
        <v>6.635912080285071E-3</v>
      </c>
      <c r="P58" s="104">
        <f t="shared" si="54"/>
        <v>7.111835288832951E-3</v>
      </c>
      <c r="Q58" s="104">
        <f t="shared" si="54"/>
        <v>6.890091577398897E-3</v>
      </c>
      <c r="R58" s="104">
        <f t="shared" si="54"/>
        <v>6.9927283704675066E-3</v>
      </c>
      <c r="S58" s="104">
        <f t="shared" si="54"/>
        <v>8.2257267810102834E-3</v>
      </c>
      <c r="T58" s="104">
        <f t="shared" si="54"/>
        <v>9.3011182218096303E-3</v>
      </c>
      <c r="U58" s="104">
        <f t="shared" si="54"/>
        <v>7.4198089452831659E-3</v>
      </c>
      <c r="V58" s="104">
        <f t="shared" si="54"/>
        <v>1.7706635257034985E-2</v>
      </c>
      <c r="W58" s="104">
        <f t="shared" ref="W58" si="55">IF(W12=0,0,W12/W$3)</f>
        <v>2.8567524489962203E-2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4.9007544408962912E-2</v>
      </c>
      <c r="C59" s="105">
        <f t="shared" si="56"/>
        <v>4.5821629431259905E-2</v>
      </c>
      <c r="D59" s="105">
        <f t="shared" ref="D59:V59" si="57">IF(D13=0,0,D13/D$3)</f>
        <v>5.2424227162207661E-2</v>
      </c>
      <c r="E59" s="105">
        <f t="shared" si="57"/>
        <v>3.9652148602970928E-2</v>
      </c>
      <c r="F59" s="105">
        <f t="shared" si="57"/>
        <v>2.8673382140719773E-2</v>
      </c>
      <c r="G59" s="105">
        <f t="shared" si="57"/>
        <v>2.9685542830451349E-2</v>
      </c>
      <c r="H59" s="105">
        <f t="shared" si="57"/>
        <v>2.5851571071963571E-2</v>
      </c>
      <c r="I59" s="105">
        <f t="shared" si="57"/>
        <v>1.9663179501131941E-2</v>
      </c>
      <c r="J59" s="105">
        <f t="shared" si="57"/>
        <v>2.0797042485083971E-2</v>
      </c>
      <c r="K59" s="105">
        <f t="shared" si="57"/>
        <v>2.357123360857976E-2</v>
      </c>
      <c r="L59" s="105">
        <f t="shared" si="57"/>
        <v>2.3815179577969053E-2</v>
      </c>
      <c r="M59" s="105">
        <f t="shared" si="57"/>
        <v>3.4099419627845011E-2</v>
      </c>
      <c r="N59" s="105">
        <f t="shared" si="57"/>
        <v>3.7682971140541192E-2</v>
      </c>
      <c r="O59" s="105">
        <f t="shared" si="57"/>
        <v>3.3998871315101556E-2</v>
      </c>
      <c r="P59" s="105">
        <f t="shared" si="57"/>
        <v>3.0356321922485847E-2</v>
      </c>
      <c r="Q59" s="105">
        <f t="shared" si="57"/>
        <v>3.0600732692514291E-2</v>
      </c>
      <c r="R59" s="105">
        <f t="shared" si="57"/>
        <v>3.2688569389842305E-2</v>
      </c>
      <c r="S59" s="105">
        <f t="shared" si="57"/>
        <v>2.8426772809505268E-2</v>
      </c>
      <c r="T59" s="105">
        <f t="shared" si="57"/>
        <v>2.0396661032808964E-2</v>
      </c>
      <c r="U59" s="105">
        <f t="shared" si="57"/>
        <v>2.0258033767755333E-2</v>
      </c>
      <c r="V59" s="105">
        <f t="shared" si="57"/>
        <v>7.6253380904844861E-2</v>
      </c>
      <c r="W59" s="105">
        <f t="shared" ref="W59" si="58">IF(W13=0,0,W13/W$3)</f>
        <v>7.4768795848266831E-2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3098470</v>
      </c>
      <c r="C4" s="11">
        <f t="shared" si="0"/>
        <v>3194034</v>
      </c>
      <c r="D4" s="11">
        <f t="shared" ref="D4" si="1">SUM(D5:D7)</f>
        <v>3200111</v>
      </c>
      <c r="E4" s="11">
        <f t="shared" ref="E4" si="2">SUM(E5:E7)</f>
        <v>6272106</v>
      </c>
      <c r="F4" s="11">
        <f t="shared" ref="F4" si="3">SUM(F5:F7)</f>
        <v>8163007</v>
      </c>
      <c r="G4" s="11">
        <f t="shared" ref="G4" si="4">SUM(G5:G7)</f>
        <v>9013442</v>
      </c>
      <c r="H4" s="11">
        <f t="shared" ref="H4" si="5">SUM(H5:H7)</f>
        <v>9529550</v>
      </c>
      <c r="I4" s="11">
        <f t="shared" ref="I4" si="6">SUM(I5:I7)</f>
        <v>10292912</v>
      </c>
      <c r="J4" s="11">
        <f t="shared" ref="J4" si="7">SUM(J5:J7)</f>
        <v>10882059</v>
      </c>
      <c r="K4" s="11">
        <f t="shared" ref="K4" si="8">SUM(K5:K7)</f>
        <v>9932459</v>
      </c>
      <c r="L4" s="11">
        <f t="shared" ref="L4" si="9">SUM(L5:L7)</f>
        <v>9755478</v>
      </c>
      <c r="M4" s="11">
        <f t="shared" ref="M4" si="10">SUM(M5:M7)</f>
        <v>9947571</v>
      </c>
      <c r="N4" s="11">
        <f t="shared" ref="N4" si="11">SUM(N5:N7)</f>
        <v>8859343</v>
      </c>
      <c r="O4" s="11">
        <f t="shared" ref="O4" si="12">SUM(O5:O7)</f>
        <v>8630672</v>
      </c>
      <c r="P4" s="11">
        <f t="shared" ref="P4" si="13">SUM(P5:P7)</f>
        <v>8617477</v>
      </c>
      <c r="Q4" s="11">
        <f t="shared" ref="Q4" si="14">SUM(Q5:Q7)</f>
        <v>8985878</v>
      </c>
      <c r="R4" s="11">
        <f t="shared" ref="R4" si="15">SUM(R5:R7)</f>
        <v>9550734</v>
      </c>
      <c r="S4" s="11">
        <f t="shared" ref="S4" si="16">SUM(S5:S7)</f>
        <v>10466618</v>
      </c>
      <c r="T4" s="11">
        <f t="shared" ref="T4" si="17">SUM(T5:T7)</f>
        <v>11705071</v>
      </c>
      <c r="U4" s="11">
        <f t="shared" ref="U4" si="18">SUM(U5:U7)</f>
        <v>12019348</v>
      </c>
      <c r="V4" s="11">
        <f t="shared" ref="V4:W4" si="19">SUM(V5:V7)</f>
        <v>3049922</v>
      </c>
      <c r="W4" s="11">
        <f t="shared" si="19"/>
        <v>3554234</v>
      </c>
      <c r="DA4" s="189" t="s">
        <v>361</v>
      </c>
    </row>
    <row r="5" spans="1:105" ht="11.45" customHeight="1" x14ac:dyDescent="0.25">
      <c r="A5" s="83" t="s">
        <v>27</v>
      </c>
      <c r="B5" s="84">
        <v>287782</v>
      </c>
      <c r="C5" s="84">
        <v>365988</v>
      </c>
      <c r="D5" s="84">
        <v>259729</v>
      </c>
      <c r="E5" s="84">
        <v>455290</v>
      </c>
      <c r="F5" s="84">
        <v>553451</v>
      </c>
      <c r="G5" s="84">
        <v>618775</v>
      </c>
      <c r="H5" s="84">
        <v>725622</v>
      </c>
      <c r="I5" s="84">
        <v>715717</v>
      </c>
      <c r="J5" s="84">
        <v>901224</v>
      </c>
      <c r="K5" s="84">
        <v>879493</v>
      </c>
      <c r="L5" s="84">
        <v>701245</v>
      </c>
      <c r="M5" s="84">
        <v>484293</v>
      </c>
      <c r="N5" s="84">
        <v>434411</v>
      </c>
      <c r="O5" s="84">
        <v>223512</v>
      </c>
      <c r="P5" s="84">
        <v>259811</v>
      </c>
      <c r="Q5" s="84">
        <v>363456</v>
      </c>
      <c r="R5" s="84">
        <v>270063</v>
      </c>
      <c r="S5" s="84">
        <v>174963</v>
      </c>
      <c r="T5" s="84">
        <v>180250</v>
      </c>
      <c r="U5" s="84">
        <v>63370</v>
      </c>
      <c r="V5" s="84">
        <v>22704</v>
      </c>
      <c r="W5" s="84">
        <v>47118</v>
      </c>
      <c r="DA5" s="171" t="s">
        <v>362</v>
      </c>
    </row>
    <row r="6" spans="1:105" ht="11.45" customHeight="1" x14ac:dyDescent="0.25">
      <c r="A6" s="83" t="s">
        <v>173</v>
      </c>
      <c r="B6" s="84">
        <v>2174681</v>
      </c>
      <c r="C6" s="84">
        <v>2188175</v>
      </c>
      <c r="D6" s="84">
        <v>2276024</v>
      </c>
      <c r="E6" s="84">
        <v>4630269</v>
      </c>
      <c r="F6" s="84">
        <v>6027819</v>
      </c>
      <c r="G6" s="84">
        <v>6706655</v>
      </c>
      <c r="H6" s="84">
        <v>6943721</v>
      </c>
      <c r="I6" s="84">
        <v>7400205</v>
      </c>
      <c r="J6" s="84">
        <v>7675307</v>
      </c>
      <c r="K6" s="84">
        <v>6738192</v>
      </c>
      <c r="L6" s="84">
        <v>6588091</v>
      </c>
      <c r="M6" s="84">
        <v>6788971</v>
      </c>
      <c r="N6" s="84">
        <v>5795346</v>
      </c>
      <c r="O6" s="84">
        <v>5700304</v>
      </c>
      <c r="P6" s="84">
        <v>5735110</v>
      </c>
      <c r="Q6" s="84">
        <v>6172418</v>
      </c>
      <c r="R6" s="84">
        <v>6722819</v>
      </c>
      <c r="S6" s="84">
        <v>7270898</v>
      </c>
      <c r="T6" s="84">
        <v>7874604</v>
      </c>
      <c r="U6" s="84">
        <v>8076311</v>
      </c>
      <c r="V6" s="84">
        <v>2184388</v>
      </c>
      <c r="W6" s="84">
        <v>2464964</v>
      </c>
      <c r="DA6" s="171" t="s">
        <v>363</v>
      </c>
    </row>
    <row r="7" spans="1:105" ht="11.45" customHeight="1" x14ac:dyDescent="0.25">
      <c r="A7" s="85" t="s">
        <v>174</v>
      </c>
      <c r="B7" s="86">
        <v>636007</v>
      </c>
      <c r="C7" s="86">
        <v>639871</v>
      </c>
      <c r="D7" s="86">
        <v>664358</v>
      </c>
      <c r="E7" s="86">
        <v>1186547</v>
      </c>
      <c r="F7" s="86">
        <v>1581737</v>
      </c>
      <c r="G7" s="86">
        <v>1688012</v>
      </c>
      <c r="H7" s="86">
        <v>1860207</v>
      </c>
      <c r="I7" s="86">
        <v>2176990</v>
      </c>
      <c r="J7" s="86">
        <v>2305528</v>
      </c>
      <c r="K7" s="86">
        <v>2314774</v>
      </c>
      <c r="L7" s="86">
        <v>2466142</v>
      </c>
      <c r="M7" s="86">
        <v>2674307</v>
      </c>
      <c r="N7" s="86">
        <v>2629586</v>
      </c>
      <c r="O7" s="86">
        <v>2706856</v>
      </c>
      <c r="P7" s="86">
        <v>2622556</v>
      </c>
      <c r="Q7" s="86">
        <v>2450004</v>
      </c>
      <c r="R7" s="86">
        <v>2557852</v>
      </c>
      <c r="S7" s="86">
        <v>3020757</v>
      </c>
      <c r="T7" s="86">
        <v>3650217</v>
      </c>
      <c r="U7" s="86">
        <v>3879667</v>
      </c>
      <c r="V7" s="86">
        <v>842830</v>
      </c>
      <c r="W7" s="86">
        <v>1042152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111.87427787406124</v>
      </c>
      <c r="C12" s="14">
        <f>IF(C4=0,0,C4/TrAvia_act!C24)</f>
        <v>112.46994612486355</v>
      </c>
      <c r="D12" s="14">
        <f>IF(D4=0,0,D4/TrAvia_act!D24)</f>
        <v>112.63237364493875</v>
      </c>
      <c r="E12" s="14">
        <f>IF(E4=0,0,E4/TrAvia_act!E24)</f>
        <v>113.7528746055352</v>
      </c>
      <c r="F12" s="14">
        <f>IF(F4=0,0,F4/TrAvia_act!F24)</f>
        <v>116.4114971050455</v>
      </c>
      <c r="G12" s="14">
        <f>IF(G4=0,0,G4/TrAvia_act!G24)</f>
        <v>114.94538034814768</v>
      </c>
      <c r="H12" s="14">
        <f>IF(H4=0,0,H4/TrAvia_act!H24)</f>
        <v>115.67795581451809</v>
      </c>
      <c r="I12" s="14">
        <f>IF(I4=0,0,I4/TrAvia_act!I24)</f>
        <v>118.63113733806648</v>
      </c>
      <c r="J12" s="14">
        <f>IF(J4=0,0,J4/TrAvia_act!J24)</f>
        <v>120.69050074862751</v>
      </c>
      <c r="K12" s="14">
        <f>IF(K4=0,0,K4/TrAvia_act!K24)</f>
        <v>118.16478300180832</v>
      </c>
      <c r="L12" s="14">
        <f>IF(L4=0,0,L4/TrAvia_act!L24)</f>
        <v>123.39802927002036</v>
      </c>
      <c r="M12" s="14">
        <f>IF(M4=0,0,M4/TrAvia_act!M24)</f>
        <v>130.4633695310041</v>
      </c>
      <c r="N12" s="14">
        <f>IF(N4=0,0,N4/TrAvia_act!N24)</f>
        <v>132.97524915946207</v>
      </c>
      <c r="O12" s="14">
        <f>IF(O4=0,0,O4/TrAvia_act!O24)</f>
        <v>133.67208747638077</v>
      </c>
      <c r="P12" s="14">
        <f>IF(P4=0,0,P4/TrAvia_act!P24)</f>
        <v>136.71807523282195</v>
      </c>
      <c r="Q12" s="14">
        <f>IF(Q4=0,0,Q4/TrAvia_act!Q24)</f>
        <v>141.33183391003459</v>
      </c>
      <c r="R12" s="14">
        <f>IF(R4=0,0,R4/TrAvia_act!R24)</f>
        <v>142.59934902054468</v>
      </c>
      <c r="S12" s="14">
        <f>IF(S4=0,0,S4/TrAvia_act!S24)</f>
        <v>149.16299220453476</v>
      </c>
      <c r="T12" s="14">
        <f>IF(T4=0,0,T4/TrAvia_act!T24)</f>
        <v>157.30085201311616</v>
      </c>
      <c r="U12" s="14">
        <f>IF(U4=0,0,U4/TrAvia_act!U24)</f>
        <v>163.58641151972125</v>
      </c>
      <c r="V12" s="14">
        <f>IF(V4=0,0,V4/TrAvia_act!V24)</f>
        <v>146.85679892141758</v>
      </c>
      <c r="W12" s="14">
        <f>IF(W4=0,0,W4/TrAvia_act!W24)</f>
        <v>148.99325089079858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128.01690391459076</v>
      </c>
      <c r="C13" s="87">
        <f>IF(C5=0,0,C5/TrAvia_act!C25)</f>
        <v>126.68328141225338</v>
      </c>
      <c r="D13" s="87">
        <f>IF(D5=0,0,D5/TrAvia_act!D25)</f>
        <v>125.59429400386847</v>
      </c>
      <c r="E13" s="87">
        <f>IF(E5=0,0,E5/TrAvia_act!E25)</f>
        <v>126.78641047062099</v>
      </c>
      <c r="F13" s="87">
        <f>IF(F5=0,0,F5/TrAvia_act!F25)</f>
        <v>120.68273004797209</v>
      </c>
      <c r="G13" s="87">
        <f>IF(G5=0,0,G5/TrAvia_act!G25)</f>
        <v>128.64345114345113</v>
      </c>
      <c r="H13" s="87">
        <f>IF(H5=0,0,H5/TrAvia_act!H25)</f>
        <v>133.50910763569456</v>
      </c>
      <c r="I13" s="87">
        <f>IF(I5=0,0,I5/TrAvia_act!I25)</f>
        <v>138.30280193236715</v>
      </c>
      <c r="J13" s="87">
        <f>IF(J5=0,0,J5/TrAvia_act!J25)</f>
        <v>146.18394160583941</v>
      </c>
      <c r="K13" s="87">
        <f>IF(K5=0,0,K5/TrAvia_act!K25)</f>
        <v>117.81553918285331</v>
      </c>
      <c r="L13" s="87">
        <f>IF(L5=0,0,L5/TrAvia_act!L25)</f>
        <v>123.19834855938159</v>
      </c>
      <c r="M13" s="87">
        <f>IF(M5=0,0,M5/TrAvia_act!M25)</f>
        <v>135.92281785012631</v>
      </c>
      <c r="N13" s="87">
        <f>IF(N5=0,0,N5/TrAvia_act!N25)</f>
        <v>150.68019424210891</v>
      </c>
      <c r="O13" s="87">
        <f>IF(O5=0,0,O5/TrAvia_act!O25)</f>
        <v>106.79025322503584</v>
      </c>
      <c r="P13" s="87">
        <f>IF(P5=0,0,P5/TrAvia_act!P25)</f>
        <v>107.22699133305819</v>
      </c>
      <c r="Q13" s="87">
        <f>IF(Q5=0,0,Q5/TrAvia_act!Q25)</f>
        <v>139.46891788181119</v>
      </c>
      <c r="R13" s="87">
        <f>IF(R5=0,0,R5/TrAvia_act!R25)</f>
        <v>114.62775891341256</v>
      </c>
      <c r="S13" s="87">
        <f>IF(S5=0,0,S5/TrAvia_act!S25)</f>
        <v>114.72983606557376</v>
      </c>
      <c r="T13" s="87">
        <f>IF(T5=0,0,T5/TrAvia_act!T25)</f>
        <v>128.38319088319088</v>
      </c>
      <c r="U13" s="87">
        <f>IF(U5=0,0,U5/TrAvia_act!U25)</f>
        <v>122.81007751937985</v>
      </c>
      <c r="V13" s="87">
        <f>IF(V5=0,0,V5/TrAvia_act!V25)</f>
        <v>77.753424657534254</v>
      </c>
      <c r="W13" s="87">
        <f>IF(W5=0,0,W5/TrAvia_act!W25)</f>
        <v>116.62871287128714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104.97591233828925</v>
      </c>
      <c r="C14" s="87">
        <f>IF(C6=0,0,C6/TrAvia_act!C26)</f>
        <v>105.37296542425118</v>
      </c>
      <c r="D14" s="87">
        <f>IF(D6=0,0,D6/TrAvia_act!D26)</f>
        <v>106.13308463511308</v>
      </c>
      <c r="E14" s="87">
        <f>IF(E6=0,0,E6/TrAvia_act!E26)</f>
        <v>108.06014142687111</v>
      </c>
      <c r="F14" s="87">
        <f>IF(F6=0,0,F6/TrAvia_act!F26)</f>
        <v>110.3975934506694</v>
      </c>
      <c r="G14" s="87">
        <f>IF(G6=0,0,G6/TrAvia_act!G26)</f>
        <v>109.09032499430691</v>
      </c>
      <c r="H14" s="87">
        <f>IF(H6=0,0,H6/TrAvia_act!H26)</f>
        <v>109.19860665534378</v>
      </c>
      <c r="I14" s="87">
        <f>IF(I6=0,0,I6/TrAvia_act!I26)</f>
        <v>111.55303144502396</v>
      </c>
      <c r="J14" s="87">
        <f>IF(J6=0,0,J6/TrAvia_act!J26)</f>
        <v>112.78922850844967</v>
      </c>
      <c r="K14" s="87">
        <f>IF(K6=0,0,K6/TrAvia_act!K26)</f>
        <v>111.55023590762355</v>
      </c>
      <c r="L14" s="87">
        <f>IF(L6=0,0,L6/TrAvia_act!L26)</f>
        <v>115.07381530453617</v>
      </c>
      <c r="M14" s="87">
        <f>IF(M6=0,0,M6/TrAvia_act!M26)</f>
        <v>121.99408805031446</v>
      </c>
      <c r="N14" s="87">
        <f>IF(N6=0,0,N6/TrAvia_act!N26)</f>
        <v>123.58131997014607</v>
      </c>
      <c r="O14" s="87">
        <f>IF(O6=0,0,O6/TrAvia_act!O26)</f>
        <v>126.28894255267298</v>
      </c>
      <c r="P14" s="87">
        <f>IF(P6=0,0,P6/TrAvia_act!P26)</f>
        <v>129.36435612297836</v>
      </c>
      <c r="Q14" s="87">
        <f>IF(Q6=0,0,Q6/TrAvia_act!Q26)</f>
        <v>132.96893580353296</v>
      </c>
      <c r="R14" s="87">
        <f>IF(R6=0,0,R6/TrAvia_act!R26)</f>
        <v>133.27027455644762</v>
      </c>
      <c r="S14" s="87">
        <f>IF(S6=0,0,S6/TrAvia_act!S26)</f>
        <v>138.89012416427889</v>
      </c>
      <c r="T14" s="87">
        <f>IF(T6=0,0,T6/TrAvia_act!T26)</f>
        <v>146.00986427352964</v>
      </c>
      <c r="U14" s="87">
        <f>IF(U6=0,0,U6/TrAvia_act!U26)</f>
        <v>151.54543748709963</v>
      </c>
      <c r="V14" s="87">
        <f>IF(V6=0,0,V6/TrAvia_act!V26)</f>
        <v>139.28381049544092</v>
      </c>
      <c r="W14" s="87">
        <f>IF(W6=0,0,W6/TrAvia_act!W26)</f>
        <v>142.50818060935421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134.40553677092137</v>
      </c>
      <c r="C15" s="88">
        <f>IF(C7=0,0,C7/TrAvia_act!C27)</f>
        <v>134.88005902192242</v>
      </c>
      <c r="D15" s="88">
        <f>IF(D7=0,0,D7/TrAvia_act!D27)</f>
        <v>135.61094100836905</v>
      </c>
      <c r="E15" s="88">
        <f>IF(E7=0,0,E7/TrAvia_act!E27)</f>
        <v>136.4160726603817</v>
      </c>
      <c r="F15" s="88">
        <f>IF(F7=0,0,F7/TrAvia_act!F27)</f>
        <v>144.64901691815271</v>
      </c>
      <c r="G15" s="88">
        <f>IF(G7=0,0,G7/TrAvia_act!G27)</f>
        <v>139.19452461449657</v>
      </c>
      <c r="H15" s="88">
        <f>IF(H7=0,0,H7/TrAvia_act!H27)</f>
        <v>139.26832372538743</v>
      </c>
      <c r="I15" s="88">
        <f>IF(I7=0,0,I7/TrAvia_act!I27)</f>
        <v>142.74408235525539</v>
      </c>
      <c r="J15" s="88">
        <f>IF(J7=0,0,J7/TrAvia_act!J27)</f>
        <v>144.54721003134796</v>
      </c>
      <c r="K15" s="88">
        <f>IF(K7=0,0,K7/TrAvia_act!K27)</f>
        <v>143.01087359446436</v>
      </c>
      <c r="L15" s="88">
        <f>IF(L7=0,0,L7/TrAvia_act!L27)</f>
        <v>153.04344048653346</v>
      </c>
      <c r="M15" s="88">
        <f>IF(M7=0,0,M7/TrAvia_act!M27)</f>
        <v>156.98896389785736</v>
      </c>
      <c r="N15" s="88">
        <f>IF(N7=0,0,N7/TrAvia_act!N27)</f>
        <v>156.09557164905615</v>
      </c>
      <c r="O15" s="88">
        <f>IF(O7=0,0,O7/TrAvia_act!O27)</f>
        <v>156.1407475772958</v>
      </c>
      <c r="P15" s="88">
        <f>IF(P7=0,0,P7/TrAvia_act!P27)</f>
        <v>161.14015360983103</v>
      </c>
      <c r="Q15" s="88">
        <f>IF(Q7=0,0,Q7/TrAvia_act!Q27)</f>
        <v>168.33887591040263</v>
      </c>
      <c r="R15" s="88">
        <f>IF(R7=0,0,R7/TrAvia_act!R27)</f>
        <v>180.44811287477955</v>
      </c>
      <c r="S15" s="88">
        <f>IF(S7=0,0,S7/TrAvia_act!S27)</f>
        <v>185.39075733398798</v>
      </c>
      <c r="T15" s="88">
        <f>IF(T7=0,0,T7/TrAvia_act!T27)</f>
        <v>191.3512790941497</v>
      </c>
      <c r="U15" s="88">
        <f>IF(U7=0,0,U7/TrAvia_act!U27)</f>
        <v>197.287922705314</v>
      </c>
      <c r="V15" s="88">
        <f>IF(V7=0,0,V7/TrAvia_act!V27)</f>
        <v>175.84602545378678</v>
      </c>
      <c r="W15" s="88">
        <f>IF(W7=0,0,W7/TrAvia_act!W27)</f>
        <v>169.3454663633409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0.61293670747175222</v>
      </c>
      <c r="C18" s="25">
        <f>IF(TrAvia_act!C34=0,0,(TrAvia_act!C34/TrAvia_act!C24)/TrAvia_png!C12)</f>
        <v>0.60490934035141763</v>
      </c>
      <c r="D18" s="25">
        <f>IF(TrAvia_act!D34=0,0,(TrAvia_act!D34/TrAvia_act!D24)/TrAvia_png!D12)</f>
        <v>0.62094502346949842</v>
      </c>
      <c r="E18" s="25">
        <f>IF(TrAvia_act!E34=0,0,(TrAvia_act!E34/TrAvia_act!E24)/TrAvia_png!E12)</f>
        <v>0.62637270479803764</v>
      </c>
      <c r="F18" s="25">
        <f>IF(TrAvia_act!F34=0,0,(TrAvia_act!F34/TrAvia_act!F24)/TrAvia_png!F12)</f>
        <v>0.62158148339208819</v>
      </c>
      <c r="G18" s="25">
        <f>IF(TrAvia_act!G34=0,0,(TrAvia_act!G34/TrAvia_act!G24)/TrAvia_png!G12)</f>
        <v>0.63055123669736812</v>
      </c>
      <c r="H18" s="25">
        <f>IF(TrAvia_act!H34=0,0,(TrAvia_act!H34/TrAvia_act!H24)/TrAvia_png!H12)</f>
        <v>0.64762354990529458</v>
      </c>
      <c r="I18" s="25">
        <f>IF(TrAvia_act!I34=0,0,(TrAvia_act!I34/TrAvia_act!I24)/TrAvia_png!I12)</f>
        <v>0.64440714153584533</v>
      </c>
      <c r="J18" s="25">
        <f>IF(TrAvia_act!J34=0,0,(TrAvia_act!J34/TrAvia_act!J24)/TrAvia_png!J12)</f>
        <v>0.62641895251624713</v>
      </c>
      <c r="K18" s="25">
        <f>IF(TrAvia_act!K34=0,0,(TrAvia_act!K34/TrAvia_act!K24)/TrAvia_png!K12)</f>
        <v>0.63148783196588076</v>
      </c>
      <c r="L18" s="25">
        <f>IF(TrAvia_act!L34=0,0,(TrAvia_act!L34/TrAvia_act!L24)/TrAvia_png!L12)</f>
        <v>0.63513463922526403</v>
      </c>
      <c r="M18" s="25">
        <f>IF(TrAvia_act!M34=0,0,(TrAvia_act!M34/TrAvia_act!M24)/TrAvia_png!M12)</f>
        <v>0.64364587093673409</v>
      </c>
      <c r="N18" s="25">
        <f>IF(TrAvia_act!N34=0,0,(TrAvia_act!N34/TrAvia_act!N24)/TrAvia_png!N12)</f>
        <v>0.67325489034570618</v>
      </c>
      <c r="O18" s="25">
        <f>IF(TrAvia_act!O34=0,0,(TrAvia_act!O34/TrAvia_act!O24)/TrAvia_png!O12)</f>
        <v>0.69696751307430049</v>
      </c>
      <c r="P18" s="25">
        <f>IF(TrAvia_act!P34=0,0,(TrAvia_act!P34/TrAvia_act!P24)/TrAvia_png!P12)</f>
        <v>0.70950952349510188</v>
      </c>
      <c r="Q18" s="25">
        <f>IF(TrAvia_act!Q34=0,0,(TrAvia_act!Q34/TrAvia_act!Q24)/TrAvia_png!Q12)</f>
        <v>0.72131259738892517</v>
      </c>
      <c r="R18" s="25">
        <f>IF(TrAvia_act!R34=0,0,(TrAvia_act!R34/TrAvia_act!R24)/TrAvia_png!R12)</f>
        <v>0.72403932514506208</v>
      </c>
      <c r="S18" s="25">
        <f>IF(TrAvia_act!S34=0,0,(TrAvia_act!S34/TrAvia_act!S24)/TrAvia_png!S12)</f>
        <v>0.77952515320612636</v>
      </c>
      <c r="T18" s="25">
        <f>IF(TrAvia_act!T34=0,0,(TrAvia_act!T34/TrAvia_act!T24)/TrAvia_png!T12)</f>
        <v>0.76318725448141234</v>
      </c>
      <c r="U18" s="25">
        <f>IF(TrAvia_act!U34=0,0,(TrAvia_act!U34/TrAvia_act!U24)/TrAvia_png!U12)</f>
        <v>0.78347985265090914</v>
      </c>
      <c r="V18" s="25">
        <f>IF(TrAvia_act!V34=0,0,(TrAvia_act!V34/TrAvia_act!V24)/TrAvia_png!V12)</f>
        <v>0.63793237991004348</v>
      </c>
      <c r="W18" s="25">
        <f>IF(TrAvia_act!W34=0,0,(TrAvia_act!W34/TrAvia_act!W24)/TrAvia_png!W12)</f>
        <v>0.67298607801287136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0.20687881799417612</v>
      </c>
      <c r="C19" s="89">
        <f>IF(TrAvia_act!C35=0,0,(TrAvia_act!C35/TrAvia_act!C25)/TrAvia_png!C13)</f>
        <v>0.21050690186563495</v>
      </c>
      <c r="D19" s="89">
        <f>IF(TrAvia_act!D35=0,0,(TrAvia_act!D35/TrAvia_act!D25)/TrAvia_png!D13)</f>
        <v>0.21433494141971055</v>
      </c>
      <c r="E19" s="89">
        <f>IF(TrAvia_act!E35=0,0,(TrAvia_act!E35/TrAvia_act!E25)/TrAvia_png!E13)</f>
        <v>0.21652353445056996</v>
      </c>
      <c r="F19" s="89">
        <f>IF(TrAvia_act!F35=0,0,(TrAvia_act!F35/TrAvia_act!F25)/TrAvia_png!F13)</f>
        <v>0.18707889225965804</v>
      </c>
      <c r="G19" s="89">
        <f>IF(TrAvia_act!G35=0,0,(TrAvia_act!G35/TrAvia_act!G25)/TrAvia_png!G13)</f>
        <v>0.2574603046341562</v>
      </c>
      <c r="H19" s="89">
        <f>IF(TrAvia_act!H35=0,0,(TrAvia_act!H35/TrAvia_act!H25)/TrAvia_png!H13)</f>
        <v>0.26542331957961585</v>
      </c>
      <c r="I19" s="89">
        <f>IF(TrAvia_act!I35=0,0,(TrAvia_act!I35/TrAvia_act!I25)/TrAvia_png!I13)</f>
        <v>0.27254627178060603</v>
      </c>
      <c r="J19" s="89">
        <f>IF(TrAvia_act!J35=0,0,(TrAvia_act!J35/TrAvia_act!J25)/TrAvia_png!J13)</f>
        <v>0.24792948257037095</v>
      </c>
      <c r="K19" s="89">
        <f>IF(TrAvia_act!K35=0,0,(TrAvia_act!K35/TrAvia_act!K25)/TrAvia_png!K13)</f>
        <v>0.23320822337414854</v>
      </c>
      <c r="L19" s="89">
        <f>IF(TrAvia_act!L35=0,0,(TrAvia_act!L35/TrAvia_act!L25)/TrAvia_png!L13)</f>
        <v>0.24852512317378375</v>
      </c>
      <c r="M19" s="89">
        <f>IF(TrAvia_act!M35=0,0,(TrAvia_act!M35/TrAvia_act!M25)/TrAvia_png!M13)</f>
        <v>0.23894832260635607</v>
      </c>
      <c r="N19" s="89">
        <f>IF(TrAvia_act!N35=0,0,(TrAvia_act!N35/TrAvia_act!N25)/TrAvia_png!N13)</f>
        <v>0.26967318967521542</v>
      </c>
      <c r="O19" s="89">
        <f>IF(TrAvia_act!O35=0,0,(TrAvia_act!O35/TrAvia_act!O25)/TrAvia_png!O13)</f>
        <v>0.38512026199935567</v>
      </c>
      <c r="P19" s="89">
        <f>IF(TrAvia_act!P35=0,0,(TrAvia_act!P35/TrAvia_act!P25)/TrAvia_png!P13)</f>
        <v>0.34572054301011118</v>
      </c>
      <c r="Q19" s="89">
        <f>IF(TrAvia_act!Q35=0,0,(TrAvia_act!Q35/TrAvia_act!Q25)/TrAvia_png!Q13)</f>
        <v>0.25092720989610845</v>
      </c>
      <c r="R19" s="89">
        <f>IF(TrAvia_act!R35=0,0,(TrAvia_act!R35/TrAvia_act!R25)/TrAvia_png!R13)</f>
        <v>0.2503971295586585</v>
      </c>
      <c r="S19" s="89">
        <f>IF(TrAvia_act!S35=0,0,(TrAvia_act!S35/TrAvia_act!S25)/TrAvia_png!S13)</f>
        <v>0.27372072952567117</v>
      </c>
      <c r="T19" s="89">
        <f>IF(TrAvia_act!T35=0,0,(TrAvia_act!T35/TrAvia_act!T25)/TrAvia_png!T13)</f>
        <v>0.30289042995839116</v>
      </c>
      <c r="U19" s="89">
        <f>IF(TrAvia_act!U35=0,0,(TrAvia_act!U35/TrAvia_act!U25)/TrAvia_png!U13)</f>
        <v>0.50503392772605338</v>
      </c>
      <c r="V19" s="89">
        <f>IF(TrAvia_act!V35=0,0,(TrAvia_act!V35/TrAvia_act!V25)/TrAvia_png!V13)</f>
        <v>0.25960183227625083</v>
      </c>
      <c r="W19" s="89">
        <f>IF(TrAvia_act!W35=0,0,(TrAvia_act!W35/TrAvia_act!W25)/TrAvia_png!W13)</f>
        <v>0.32624474723035779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0.63522695972420773</v>
      </c>
      <c r="C20" s="89">
        <f>IF(TrAvia_act!C36=0,0,(TrAvia_act!C36/TrAvia_act!C26)/TrAvia_png!C14)</f>
        <v>0.63721960080889328</v>
      </c>
      <c r="D20" s="89">
        <f>IF(TrAvia_act!D36=0,0,(TrAvia_act!D36/TrAvia_act!D26)/TrAvia_png!D14)</f>
        <v>0.63887067974678646</v>
      </c>
      <c r="E20" s="89">
        <f>IF(TrAvia_act!E36=0,0,(TrAvia_act!E36/TrAvia_act!E26)/TrAvia_png!E14)</f>
        <v>0.64355008315931539</v>
      </c>
      <c r="F20" s="89">
        <f>IF(TrAvia_act!F36=0,0,(TrAvia_act!F36/TrAvia_act!F26)/TrAvia_png!F14)</f>
        <v>0.64485562688594333</v>
      </c>
      <c r="G20" s="89">
        <f>IF(TrAvia_act!G36=0,0,(TrAvia_act!G36/TrAvia_act!G26)/TrAvia_png!G14)</f>
        <v>0.64836062090565261</v>
      </c>
      <c r="H20" s="89">
        <f>IF(TrAvia_act!H36=0,0,(TrAvia_act!H36/TrAvia_act!H26)/TrAvia_png!H14)</f>
        <v>0.66977115007933063</v>
      </c>
      <c r="I20" s="89">
        <f>IF(TrAvia_act!I36=0,0,(TrAvia_act!I36/TrAvia_act!I26)/TrAvia_png!I14)</f>
        <v>0.66440294559407487</v>
      </c>
      <c r="J20" s="89">
        <f>IF(TrAvia_act!J36=0,0,(TrAvia_act!J36/TrAvia_act!J26)/TrAvia_png!J14)</f>
        <v>0.65120730675658967</v>
      </c>
      <c r="K20" s="89">
        <f>IF(TrAvia_act!K36=0,0,(TrAvia_act!K36/TrAvia_act!K26)/TrAvia_png!K14)</f>
        <v>0.6694433759085523</v>
      </c>
      <c r="L20" s="89">
        <f>IF(TrAvia_act!L36=0,0,(TrAvia_act!L36/TrAvia_act!L26)/TrAvia_png!L14)</f>
        <v>0.66232494359898797</v>
      </c>
      <c r="M20" s="89">
        <f>IF(TrAvia_act!M36=0,0,(TrAvia_act!M36/TrAvia_act!M26)/TrAvia_png!M14)</f>
        <v>0.66485495371831749</v>
      </c>
      <c r="N20" s="89">
        <f>IF(TrAvia_act!N36=0,0,(TrAvia_act!N36/TrAvia_act!N26)/TrAvia_png!N14)</f>
        <v>0.70554389677510188</v>
      </c>
      <c r="O20" s="89">
        <f>IF(TrAvia_act!O36=0,0,(TrAvia_act!O36/TrAvia_act!O26)/TrAvia_png!O14)</f>
        <v>0.7164207382623804</v>
      </c>
      <c r="P20" s="89">
        <f>IF(TrAvia_act!P36=0,0,(TrAvia_act!P36/TrAvia_act!P26)/TrAvia_png!P14)</f>
        <v>0.73153592520457333</v>
      </c>
      <c r="Q20" s="89">
        <f>IF(TrAvia_act!Q36=0,0,(TrAvia_act!Q36/TrAvia_act!Q26)/TrAvia_png!Q14)</f>
        <v>0.74375520258025296</v>
      </c>
      <c r="R20" s="89">
        <f>IF(TrAvia_act!R36=0,0,(TrAvia_act!R36/TrAvia_act!R26)/TrAvia_png!R14)</f>
        <v>0.75036112083338846</v>
      </c>
      <c r="S20" s="89">
        <f>IF(TrAvia_act!S36=0,0,(TrAvia_act!S36/TrAvia_act!S26)/TrAvia_png!S14)</f>
        <v>0.79910652026751028</v>
      </c>
      <c r="T20" s="89">
        <f>IF(TrAvia_act!T36=0,0,(TrAvia_act!T36/TrAvia_act!T26)/TrAvia_png!T14)</f>
        <v>0.7892302901834809</v>
      </c>
      <c r="U20" s="89">
        <f>IF(TrAvia_act!U36=0,0,(TrAvia_act!U36/TrAvia_act!U26)/TrAvia_png!U14)</f>
        <v>0.80531148441410927</v>
      </c>
      <c r="V20" s="89">
        <f>IF(TrAvia_act!V36=0,0,(TrAvia_act!V36/TrAvia_act!V26)/TrAvia_png!V14)</f>
        <v>0.64769079485878889</v>
      </c>
      <c r="W20" s="89">
        <f>IF(TrAvia_act!W36=0,0,(TrAvia_act!W36/TrAvia_act!W26)/TrAvia_png!W14)</f>
        <v>0.68503799649812336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0.72045433462210329</v>
      </c>
      <c r="C21" s="90">
        <f>IF(TrAvia_act!C37=0,0,(TrAvia_act!C37/TrAvia_act!C27)/TrAvia_png!C15)</f>
        <v>0.72000450090721413</v>
      </c>
      <c r="D21" s="90">
        <f>IF(TrAvia_act!D37=0,0,(TrAvia_act!D37/TrAvia_act!D27)/TrAvia_png!D15)</f>
        <v>0.71849665391249895</v>
      </c>
      <c r="E21" s="90">
        <f>IF(TrAvia_act!E37=0,0,(TrAvia_act!E37/TrAvia_act!E27)/TrAvia_png!E15)</f>
        <v>0.716604567707811</v>
      </c>
      <c r="F21" s="90">
        <f>IF(TrAvia_act!F37=0,0,(TrAvia_act!F37/TrAvia_act!F27)/TrAvia_png!F15)</f>
        <v>0.68491917430015237</v>
      </c>
      <c r="G21" s="90">
        <f>IF(TrAvia_act!G37=0,0,(TrAvia_act!G37/TrAvia_act!G27)/TrAvia_png!G15)</f>
        <v>0.69655665954981361</v>
      </c>
      <c r="H21" s="90">
        <f>IF(TrAvia_act!H37=0,0,(TrAvia_act!H37/TrAvia_act!H27)/TrAvia_png!H15)</f>
        <v>0.71403881395995183</v>
      </c>
      <c r="I21" s="90">
        <f>IF(TrAvia_act!I37=0,0,(TrAvia_act!I37/TrAvia_act!I27)/TrAvia_png!I15)</f>
        <v>0.69869039361687468</v>
      </c>
      <c r="J21" s="90">
        <f>IF(TrAvia_act!J37=0,0,(TrAvia_act!J37/TrAvia_act!J27)/TrAvia_png!J15)</f>
        <v>0.69184672665003422</v>
      </c>
      <c r="K21" s="90">
        <f>IF(TrAvia_act!K37=0,0,(TrAvia_act!K37/TrAvia_act!K27)/TrAvia_png!K15)</f>
        <v>0.67232654246159662</v>
      </c>
      <c r="L21" s="90">
        <f>IF(TrAvia_act!L37=0,0,(TrAvia_act!L37/TrAvia_act!L27)/TrAvia_png!L15)</f>
        <v>0.67243005471704376</v>
      </c>
      <c r="M21" s="90">
        <f>IF(TrAvia_act!M37=0,0,(TrAvia_act!M37/TrAvia_act!M27)/TrAvia_png!M15)</f>
        <v>0.66309178415193171</v>
      </c>
      <c r="N21" s="90">
        <f>IF(TrAvia_act!N37=0,0,(TrAvia_act!N37/TrAvia_act!N27)/TrAvia_png!N15)</f>
        <v>0.66876534937438825</v>
      </c>
      <c r="O21" s="90">
        <f>IF(TrAvia_act!O37=0,0,(TrAvia_act!O37/TrAvia_act!O27)/TrAvia_png!O15)</f>
        <v>0.68175144891342576</v>
      </c>
      <c r="P21" s="90">
        <f>IF(TrAvia_act!P37=0,0,(TrAvia_act!P37/TrAvia_act!P27)/TrAvia_png!P15)</f>
        <v>0.69738110454076097</v>
      </c>
      <c r="Q21" s="90">
        <f>IF(TrAvia_act!Q37=0,0,(TrAvia_act!Q37/TrAvia_act!Q27)/TrAvia_png!Q15)</f>
        <v>0.73455308644394057</v>
      </c>
      <c r="R21" s="90">
        <f>IF(TrAvia_act!R37=0,0,(TrAvia_act!R37/TrAvia_act!R27)/TrAvia_png!R15)</f>
        <v>0.70486564508032512</v>
      </c>
      <c r="S21" s="90">
        <f>IF(TrAvia_act!S37=0,0,(TrAvia_act!S37/TrAvia_act!S27)/TrAvia_png!S15)</f>
        <v>0.76168953676181173</v>
      </c>
      <c r="T21" s="90">
        <f>IF(TrAvia_act!T37=0,0,(TrAvia_act!T37/TrAvia_act!T27)/TrAvia_png!T15)</f>
        <v>0.72973442400821664</v>
      </c>
      <c r="U21" s="90">
        <f>IF(TrAvia_act!U37=0,0,(TrAvia_act!U37/TrAvia_act!U27)/TrAvia_png!U15)</f>
        <v>0.7425809998641637</v>
      </c>
      <c r="V21" s="90">
        <f>IF(TrAvia_act!V37=0,0,(TrAvia_act!V37/TrAvia_act!V27)/TrAvia_png!V15)</f>
        <v>0.62283259969388849</v>
      </c>
      <c r="W21" s="90">
        <f>IF(TrAvia_act!W37=0,0,(TrAvia_act!W37/TrAvia_act!W27)/TrAvia_png!W15)</f>
        <v>0.6601570596227806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5.5620705501649631E-2</v>
      </c>
      <c r="C24" s="23">
        <f>IF(TrAvia_ene!C6=0,0,TrAvia_ene!C6/(C12*TrAvia_act!C14))</f>
        <v>5.8248225767688913E-2</v>
      </c>
      <c r="D24" s="23">
        <f>IF(TrAvia_ene!D6=0,0,TrAvia_ene!D6/(D12*TrAvia_act!D14))</f>
        <v>5.378622336695657E-2</v>
      </c>
      <c r="E24" s="23">
        <f>IF(TrAvia_ene!E6=0,0,TrAvia_ene!E6/(E12*TrAvia_act!E14))</f>
        <v>3.6289561608754455E-2</v>
      </c>
      <c r="F24" s="23">
        <f>IF(TrAvia_ene!F6=0,0,TrAvia_ene!F6/(F12*TrAvia_act!F14))</f>
        <v>3.585910161758199E-2</v>
      </c>
      <c r="G24" s="23">
        <f>IF(TrAvia_ene!G6=0,0,TrAvia_ene!G6/(G12*TrAvia_act!G14))</f>
        <v>3.4295420767342023E-2</v>
      </c>
      <c r="H24" s="23">
        <f>IF(TrAvia_ene!H6=0,0,TrAvia_ene!H6/(H12*TrAvia_act!H14))</f>
        <v>3.3971343682730623E-2</v>
      </c>
      <c r="I24" s="23">
        <f>IF(TrAvia_ene!I6=0,0,TrAvia_ene!I6/(I12*TrAvia_act!I14))</f>
        <v>3.3591434594297871E-2</v>
      </c>
      <c r="J24" s="23">
        <f>IF(TrAvia_ene!J6=0,0,TrAvia_ene!J6/(J12*TrAvia_act!J14))</f>
        <v>3.3069008128338941E-2</v>
      </c>
      <c r="K24" s="23">
        <f>IF(TrAvia_ene!K6=0,0,TrAvia_ene!K6/(K12*TrAvia_act!K14))</f>
        <v>3.3573547355175107E-2</v>
      </c>
      <c r="L24" s="23">
        <f>IF(TrAvia_ene!L6=0,0,TrAvia_ene!L6/(L12*TrAvia_act!L14))</f>
        <v>3.1058505040101957E-2</v>
      </c>
      <c r="M24" s="23">
        <f>IF(TrAvia_ene!M6=0,0,TrAvia_ene!M6/(M12*TrAvia_act!M14))</f>
        <v>2.9917761236498676E-2</v>
      </c>
      <c r="N24" s="23">
        <f>IF(TrAvia_ene!N6=0,0,TrAvia_ene!N6/(N12*TrAvia_act!N14))</f>
        <v>2.9039427365372301E-2</v>
      </c>
      <c r="O24" s="23">
        <f>IF(TrAvia_ene!O6=0,0,TrAvia_ene!O6/(O12*TrAvia_act!O14))</f>
        <v>2.844398990202774E-2</v>
      </c>
      <c r="P24" s="23">
        <f>IF(TrAvia_ene!P6=0,0,TrAvia_ene!P6/(P12*TrAvia_act!P14))</f>
        <v>2.8749170994583486E-2</v>
      </c>
      <c r="Q24" s="23">
        <f>IF(TrAvia_ene!Q6=0,0,TrAvia_ene!Q6/(Q12*TrAvia_act!Q14))</f>
        <v>2.945980665406021E-2</v>
      </c>
      <c r="R24" s="23">
        <f>IF(TrAvia_ene!R6=0,0,TrAvia_ene!R6/(R12*TrAvia_act!R14))</f>
        <v>2.9463551515690311E-2</v>
      </c>
      <c r="S24" s="23">
        <f>IF(TrAvia_ene!S6=0,0,TrAvia_ene!S6/(S12*TrAvia_act!S14))</f>
        <v>2.9113295995384553E-2</v>
      </c>
      <c r="T24" s="23">
        <f>IF(TrAvia_ene!T6=0,0,TrAvia_ene!T6/(T12*TrAvia_act!T14))</f>
        <v>2.6307883438286276E-2</v>
      </c>
      <c r="U24" s="23">
        <f>IF(TrAvia_ene!U6=0,0,TrAvia_ene!U6/(U12*TrAvia_act!U14))</f>
        <v>2.5764854705144891E-2</v>
      </c>
      <c r="V24" s="23">
        <f>IF(TrAvia_ene!V6=0,0,TrAvia_ene!V6/(V12*TrAvia_act!V14))</f>
        <v>3.2312752391573038E-2</v>
      </c>
      <c r="W24" s="23">
        <f>IF(TrAvia_ene!W6=0,0,TrAvia_ene!W6/(W12*TrAvia_act!W14))</f>
        <v>2.716785048371442E-2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0.4225935207344797</v>
      </c>
      <c r="C25" s="91">
        <f>IF(TrAvia_ene!C7=0,0,TrAvia_ene!C7/(C13*TrAvia_act!C15))</f>
        <v>0.42881056044159677</v>
      </c>
      <c r="D25" s="91">
        <f>IF(TrAvia_ene!D7=0,0,TrAvia_ene!D7/(D13*TrAvia_act!D15))</f>
        <v>0.42825838165684432</v>
      </c>
      <c r="E25" s="91">
        <f>IF(TrAvia_ene!E7=0,0,TrAvia_ene!E7/(E13*TrAvia_act!E15))</f>
        <v>0.40254296468089218</v>
      </c>
      <c r="F25" s="91">
        <f>IF(TrAvia_ene!F7=0,0,TrAvia_ene!F7/(F13*TrAvia_act!F15))</f>
        <v>0.25155664448633291</v>
      </c>
      <c r="G25" s="91">
        <f>IF(TrAvia_ene!G7=0,0,TrAvia_ene!G7/(G13*TrAvia_act!G15))</f>
        <v>0.15701191359670366</v>
      </c>
      <c r="H25" s="91">
        <f>IF(TrAvia_ene!H7=0,0,TrAvia_ene!H7/(H13*TrAvia_act!H15))</f>
        <v>7.957415910415945E-2</v>
      </c>
      <c r="I25" s="91">
        <f>IF(TrAvia_ene!I7=0,0,TrAvia_ene!I7/(I13*TrAvia_act!I15))</f>
        <v>0.17523661034885424</v>
      </c>
      <c r="J25" s="91">
        <f>IF(TrAvia_ene!J7=0,0,TrAvia_ene!J7/(J13*TrAvia_act!J15))</f>
        <v>0.17477321412925426</v>
      </c>
      <c r="K25" s="91">
        <f>IF(TrAvia_ene!K7=0,0,TrAvia_ene!K7/(K13*TrAvia_act!K15))</f>
        <v>0.12525149666955396</v>
      </c>
      <c r="L25" s="91">
        <f>IF(TrAvia_ene!L7=0,0,TrAvia_ene!L7/(L13*TrAvia_act!L15))</f>
        <v>0.15021622533792031</v>
      </c>
      <c r="M25" s="91">
        <f>IF(TrAvia_ene!M7=0,0,TrAvia_ene!M7/(M13*TrAvia_act!M15))</f>
        <v>0.31980664466200431</v>
      </c>
      <c r="N25" s="91">
        <f>IF(TrAvia_ene!N7=0,0,TrAvia_ene!N7/(N13*TrAvia_act!N15))</f>
        <v>0.18041786036431551</v>
      </c>
      <c r="O25" s="91">
        <f>IF(TrAvia_ene!O7=0,0,TrAvia_ene!O7/(O13*TrAvia_act!O15))</f>
        <v>0.32819580447245683</v>
      </c>
      <c r="P25" s="91">
        <f>IF(TrAvia_ene!P7=0,0,TrAvia_ene!P7/(P13*TrAvia_act!P15))</f>
        <v>0.25939967962735078</v>
      </c>
      <c r="Q25" s="91">
        <f>IF(TrAvia_ene!Q7=0,0,TrAvia_ene!Q7/(Q13*TrAvia_act!Q15))</f>
        <v>0.39199886230582476</v>
      </c>
      <c r="R25" s="91">
        <f>IF(TrAvia_ene!R7=0,0,TrAvia_ene!R7/(R13*TrAvia_act!R15))</f>
        <v>0.5549257078468719</v>
      </c>
      <c r="S25" s="91">
        <f>IF(TrAvia_ene!S7=0,0,TrAvia_ene!S7/(S13*TrAvia_act!S15))</f>
        <v>1.0029380743743468</v>
      </c>
      <c r="T25" s="91">
        <f>IF(TrAvia_ene!T7=0,0,TrAvia_ene!T7/(T13*TrAvia_act!T15))</f>
        <v>0.59098808594974506</v>
      </c>
      <c r="U25" s="91">
        <f>IF(TrAvia_ene!U7=0,0,TrAvia_ene!U7/(U13*TrAvia_act!U15))</f>
        <v>2.437558657189729</v>
      </c>
      <c r="V25" s="91">
        <f>IF(TrAvia_ene!V7=0,0,TrAvia_ene!V7/(V13*TrAvia_act!V15))</f>
        <v>4.8729266127805086</v>
      </c>
      <c r="W25" s="91">
        <f>IF(TrAvia_ene!W7=0,0,TrAvia_ene!W7/(W13*TrAvia_act!W15))</f>
        <v>0.32820380607515609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4.4126599855586576E-2</v>
      </c>
      <c r="C26" s="93">
        <f>IF(TrAvia_ene!C8=0,0,TrAvia_ene!C8/(C14*TrAvia_act!C16))</f>
        <v>4.4012685063987082E-2</v>
      </c>
      <c r="D26" s="93">
        <f>IF(TrAvia_ene!D8=0,0,TrAvia_ene!D8/(D14*TrAvia_act!D16))</f>
        <v>4.3364106648244735E-2</v>
      </c>
      <c r="E26" s="93">
        <f>IF(TrAvia_ene!E8=0,0,TrAvia_ene!E8/(E14*TrAvia_act!E16))</f>
        <v>2.7491313819515365E-2</v>
      </c>
      <c r="F26" s="93">
        <f>IF(TrAvia_ene!F8=0,0,TrAvia_ene!F8/(F14*TrAvia_act!F16))</f>
        <v>3.0782046284106183E-2</v>
      </c>
      <c r="G26" s="93">
        <f>IF(TrAvia_ene!G8=0,0,TrAvia_ene!G8/(G14*TrAvia_act!G16))</f>
        <v>3.0998732688652181E-2</v>
      </c>
      <c r="H26" s="93">
        <f>IF(TrAvia_ene!H8=0,0,TrAvia_ene!H8/(H14*TrAvia_act!H16))</f>
        <v>3.2467037051308496E-2</v>
      </c>
      <c r="I26" s="93">
        <f>IF(TrAvia_ene!I8=0,0,TrAvia_ene!I8/(I14*TrAvia_act!I16))</f>
        <v>3.139641143914907E-2</v>
      </c>
      <c r="J26" s="93">
        <f>IF(TrAvia_ene!J8=0,0,TrAvia_ene!J8/(J14*TrAvia_act!J16))</f>
        <v>3.0163963076084578E-2</v>
      </c>
      <c r="K26" s="93">
        <f>IF(TrAvia_ene!K8=0,0,TrAvia_ene!K8/(K14*TrAvia_act!K16))</f>
        <v>3.2410562307357546E-2</v>
      </c>
      <c r="L26" s="93">
        <f>IF(TrAvia_ene!L8=0,0,TrAvia_ene!L8/(L14*TrAvia_act!L16))</f>
        <v>3.0217050726795942E-2</v>
      </c>
      <c r="M26" s="93">
        <f>IF(TrAvia_ene!M8=0,0,TrAvia_ene!M8/(M14*TrAvia_act!M16))</f>
        <v>2.8523551581299218E-2</v>
      </c>
      <c r="N26" s="93">
        <f>IF(TrAvia_ene!N8=0,0,TrAvia_ene!N8/(N14*TrAvia_act!N16))</f>
        <v>3.1055128250954599E-2</v>
      </c>
      <c r="O26" s="93">
        <f>IF(TrAvia_ene!O8=0,0,TrAvia_ene!O8/(O14*TrAvia_act!O16))</f>
        <v>3.0263289070776869E-2</v>
      </c>
      <c r="P26" s="93">
        <f>IF(TrAvia_ene!P8=0,0,TrAvia_ene!P8/(P14*TrAvia_act!P16))</f>
        <v>3.0657067081627205E-2</v>
      </c>
      <c r="Q26" s="93">
        <f>IF(TrAvia_ene!Q8=0,0,TrAvia_ene!Q8/(Q14*TrAvia_act!Q16))</f>
        <v>2.8739340097735367E-2</v>
      </c>
      <c r="R26" s="93">
        <f>IF(TrAvia_ene!R8=0,0,TrAvia_ene!R8/(R14*TrAvia_act!R16))</f>
        <v>2.890231201978511E-2</v>
      </c>
      <c r="S26" s="93">
        <f>IF(TrAvia_ene!S8=0,0,TrAvia_ene!S8/(S14*TrAvia_act!S16))</f>
        <v>2.9935164645311638E-2</v>
      </c>
      <c r="T26" s="93">
        <f>IF(TrAvia_ene!T8=0,0,TrAvia_ene!T8/(T14*TrAvia_act!T16))</f>
        <v>3.093011702835731E-2</v>
      </c>
      <c r="U26" s="93">
        <f>IF(TrAvia_ene!U8=0,0,TrAvia_ene!U8/(U14*TrAvia_act!U16))</f>
        <v>3.0295389622076795E-2</v>
      </c>
      <c r="V26" s="93">
        <f>IF(TrAvia_ene!V8=0,0,TrAvia_ene!V8/(V14*TrAvia_act!V16))</f>
        <v>2.4871263382107218E-2</v>
      </c>
      <c r="W26" s="93">
        <f>IF(TrAvia_ene!W8=0,0,TrAvia_ene!W8/(W14*TrAvia_act!W16))</f>
        <v>2.8336303770212769E-2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4.3557020728243065E-2</v>
      </c>
      <c r="C27" s="94">
        <f>IF(TrAvia_ene!C9=0,0,TrAvia_ene!C9/(C15*TrAvia_act!C17))</f>
        <v>4.3455649053621218E-2</v>
      </c>
      <c r="D27" s="94">
        <f>IF(TrAvia_ene!D9=0,0,TrAvia_ene!D9/(D15*TrAvia_act!D17))</f>
        <v>4.2891758867592056E-2</v>
      </c>
      <c r="E27" s="94">
        <f>IF(TrAvia_ene!E9=0,0,TrAvia_ene!E9/(E15*TrAvia_act!E17))</f>
        <v>2.741134857902339E-2</v>
      </c>
      <c r="F27" s="94">
        <f>IF(TrAvia_ene!F9=0,0,TrAvia_ene!F9/(F15*TrAvia_act!F17))</f>
        <v>2.9355371037854246E-2</v>
      </c>
      <c r="G27" s="94">
        <f>IF(TrAvia_ene!G9=0,0,TrAvia_ene!G9/(G15*TrAvia_act!G17))</f>
        <v>3.07103083366741E-2</v>
      </c>
      <c r="H27" s="94">
        <f>IF(TrAvia_ene!H9=0,0,TrAvia_ene!H9/(H15*TrAvia_act!H17))</f>
        <v>3.1447381826778864E-2</v>
      </c>
      <c r="I27" s="94">
        <f>IF(TrAvia_ene!I9=0,0,TrAvia_ene!I9/(I15*TrAvia_act!I17))</f>
        <v>2.7746102088806939E-2</v>
      </c>
      <c r="J27" s="94">
        <f>IF(TrAvia_ene!J9=0,0,TrAvia_ene!J9/(J15*TrAvia_act!J17))</f>
        <v>2.7438509266187287E-2</v>
      </c>
      <c r="K27" s="94">
        <f>IF(TrAvia_ene!K9=0,0,TrAvia_ene!K9/(K15*TrAvia_act!K17))</f>
        <v>2.7028616664993343E-2</v>
      </c>
      <c r="L27" s="94">
        <f>IF(TrAvia_ene!L9=0,0,TrAvia_ene!L9/(L15*TrAvia_act!L17))</f>
        <v>2.4106303878041309E-2</v>
      </c>
      <c r="M27" s="94">
        <f>IF(TrAvia_ene!M9=0,0,TrAvia_ene!M9/(M15*TrAvia_act!M17))</f>
        <v>2.1702454994462148E-2</v>
      </c>
      <c r="N27" s="94">
        <f>IF(TrAvia_ene!N9=0,0,TrAvia_ene!N9/(N15*TrAvia_act!N17))</f>
        <v>2.1615325276504747E-2</v>
      </c>
      <c r="O27" s="94">
        <f>IF(TrAvia_ene!O9=0,0,TrAvia_ene!O9/(O15*TrAvia_act!O17))</f>
        <v>2.106802164094573E-2</v>
      </c>
      <c r="P27" s="94">
        <f>IF(TrAvia_ene!P9=0,0,TrAvia_ene!P9/(P15*TrAvia_act!P17))</f>
        <v>2.1264182743715918E-2</v>
      </c>
      <c r="Q27" s="94">
        <f>IF(TrAvia_ene!Q9=0,0,TrAvia_ene!Q9/(Q15*TrAvia_act!Q17))</f>
        <v>2.1102017894438933E-2</v>
      </c>
      <c r="R27" s="94">
        <f>IF(TrAvia_ene!R9=0,0,TrAvia_ene!R9/(R15*TrAvia_act!R17))</f>
        <v>1.9583510843248619E-2</v>
      </c>
      <c r="S27" s="94">
        <f>IF(TrAvia_ene!S9=0,0,TrAvia_ene!S9/(S15*TrAvia_act!S17))</f>
        <v>1.7869848234757044E-2</v>
      </c>
      <c r="T27" s="94">
        <f>IF(TrAvia_ene!T9=0,0,TrAvia_ene!T9/(T15*TrAvia_act!T17))</f>
        <v>1.6306752992971272E-2</v>
      </c>
      <c r="U27" s="94">
        <f>IF(TrAvia_ene!U9=0,0,TrAvia_ene!U9/(U15*TrAvia_act!U17))</f>
        <v>1.5728084936805685E-2</v>
      </c>
      <c r="V27" s="94">
        <f>IF(TrAvia_ene!V9=0,0,TrAvia_ene!V9/(V15*TrAvia_act!V17))</f>
        <v>2.2673675090577296E-2</v>
      </c>
      <c r="W27" s="94">
        <f>IF(TrAvia_ene!W9=0,0,TrAvia_ene!W9/(W15*TrAvia_act!W17))</f>
        <v>2.2442460132292039E-2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89</v>
      </c>
      <c r="C3" s="54">
        <f t="shared" si="0"/>
        <v>78</v>
      </c>
      <c r="D3" s="54">
        <f t="shared" si="0"/>
        <v>80</v>
      </c>
      <c r="E3" s="54">
        <f t="shared" si="0"/>
        <v>58</v>
      </c>
      <c r="F3" s="54">
        <f t="shared" si="0"/>
        <v>48</v>
      </c>
      <c r="G3" s="54">
        <f t="shared" si="0"/>
        <v>63</v>
      </c>
      <c r="H3" s="54">
        <f t="shared" si="0"/>
        <v>43</v>
      </c>
      <c r="I3" s="54">
        <f t="shared" si="0"/>
        <v>36</v>
      </c>
      <c r="J3" s="54">
        <f t="shared" si="0"/>
        <v>28</v>
      </c>
      <c r="K3" s="54">
        <f t="shared" si="0"/>
        <v>33</v>
      </c>
      <c r="L3" s="54">
        <f t="shared" si="0"/>
        <v>43</v>
      </c>
      <c r="M3" s="54">
        <f t="shared" si="0"/>
        <v>42</v>
      </c>
      <c r="N3" s="54">
        <f t="shared" si="0"/>
        <v>38</v>
      </c>
      <c r="O3" s="54">
        <f t="shared" si="0"/>
        <v>25</v>
      </c>
      <c r="P3" s="54">
        <f t="shared" si="0"/>
        <v>27</v>
      </c>
      <c r="Q3" s="54">
        <f t="shared" si="0"/>
        <v>33</v>
      </c>
      <c r="R3" s="54">
        <f t="shared" ref="R3:V3" si="1">SUM(R4:R5)</f>
        <v>36</v>
      </c>
      <c r="S3" s="54">
        <f t="shared" si="1"/>
        <v>25</v>
      </c>
      <c r="T3" s="54">
        <f t="shared" si="1"/>
        <v>23</v>
      </c>
      <c r="U3" s="54">
        <f t="shared" si="1"/>
        <v>32</v>
      </c>
      <c r="V3" s="54">
        <f t="shared" si="1"/>
        <v>18</v>
      </c>
      <c r="W3" s="54">
        <f t="shared" ref="W3" si="2">SUM(W4:W5)</f>
        <v>22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89</v>
      </c>
      <c r="C5" s="58">
        <v>78</v>
      </c>
      <c r="D5" s="58">
        <v>80</v>
      </c>
      <c r="E5" s="58">
        <v>58</v>
      </c>
      <c r="F5" s="58">
        <v>48</v>
      </c>
      <c r="G5" s="58">
        <v>63</v>
      </c>
      <c r="H5" s="58">
        <v>43</v>
      </c>
      <c r="I5" s="58">
        <v>36</v>
      </c>
      <c r="J5" s="58">
        <v>28</v>
      </c>
      <c r="K5" s="58">
        <v>33</v>
      </c>
      <c r="L5" s="58">
        <v>43</v>
      </c>
      <c r="M5" s="58">
        <v>42</v>
      </c>
      <c r="N5" s="58">
        <v>38</v>
      </c>
      <c r="O5" s="58">
        <v>25</v>
      </c>
      <c r="P5" s="58">
        <v>27</v>
      </c>
      <c r="Q5" s="58">
        <v>33</v>
      </c>
      <c r="R5" s="58">
        <v>36</v>
      </c>
      <c r="S5" s="58">
        <v>25</v>
      </c>
      <c r="T5" s="58">
        <v>23</v>
      </c>
      <c r="U5" s="58">
        <v>32</v>
      </c>
      <c r="V5" s="58">
        <v>18</v>
      </c>
      <c r="W5" s="58">
        <v>22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0.11</v>
      </c>
      <c r="C7" s="59">
        <f t="shared" si="3"/>
        <v>0.129</v>
      </c>
      <c r="D7" s="59">
        <f t="shared" si="3"/>
        <v>9.1999999999999998E-2</v>
      </c>
      <c r="E7" s="59">
        <f t="shared" si="3"/>
        <v>7.9000000000000001E-2</v>
      </c>
      <c r="F7" s="59">
        <f t="shared" si="3"/>
        <v>8.7999999999999995E-2</v>
      </c>
      <c r="G7" s="59">
        <f t="shared" si="3"/>
        <v>9.1999999999999998E-2</v>
      </c>
      <c r="H7" s="59">
        <f t="shared" si="3"/>
        <v>8.4000000000000005E-2</v>
      </c>
      <c r="I7" s="59">
        <f t="shared" si="3"/>
        <v>7.0000000000000007E-2</v>
      </c>
      <c r="J7" s="59">
        <f t="shared" si="3"/>
        <v>5.8999999999999997E-2</v>
      </c>
      <c r="K7" s="59">
        <f t="shared" si="3"/>
        <v>6.6000000000000003E-2</v>
      </c>
      <c r="L7" s="59">
        <f t="shared" si="3"/>
        <v>6.9000000000000006E-2</v>
      </c>
      <c r="M7" s="59">
        <f t="shared" si="3"/>
        <v>7.1999999999999995E-2</v>
      </c>
      <c r="N7" s="59">
        <f t="shared" si="3"/>
        <v>6.6000000000000003E-2</v>
      </c>
      <c r="O7" s="59">
        <f t="shared" si="3"/>
        <v>4.4999999999999998E-2</v>
      </c>
      <c r="P7" s="59">
        <f t="shared" si="3"/>
        <v>4.7E-2</v>
      </c>
      <c r="Q7" s="59">
        <f t="shared" si="3"/>
        <v>4.5999999999999999E-2</v>
      </c>
      <c r="R7" s="59">
        <f t="shared" ref="R7:V7" si="4">SUM(R8:R9)</f>
        <v>4.7E-2</v>
      </c>
      <c r="S7" s="59">
        <f t="shared" si="4"/>
        <v>3.6999999999999998E-2</v>
      </c>
      <c r="T7" s="59">
        <f t="shared" si="4"/>
        <v>3.1E-2</v>
      </c>
      <c r="U7" s="59">
        <f t="shared" si="4"/>
        <v>3.7999999999999999E-2</v>
      </c>
      <c r="V7" s="59">
        <f t="shared" si="4"/>
        <v>1.9E-2</v>
      </c>
      <c r="W7" s="59">
        <f t="shared" ref="W7" si="5">SUM(W8:W9)</f>
        <v>3.1E-2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0.11</v>
      </c>
      <c r="C9" s="61">
        <v>0.129</v>
      </c>
      <c r="D9" s="61">
        <v>9.1999999999999998E-2</v>
      </c>
      <c r="E9" s="61">
        <v>7.9000000000000001E-2</v>
      </c>
      <c r="F9" s="61">
        <v>8.7999999999999995E-2</v>
      </c>
      <c r="G9" s="61">
        <v>9.1999999999999998E-2</v>
      </c>
      <c r="H9" s="61">
        <v>8.4000000000000005E-2</v>
      </c>
      <c r="I9" s="61">
        <v>7.0000000000000007E-2</v>
      </c>
      <c r="J9" s="61">
        <v>5.8999999999999997E-2</v>
      </c>
      <c r="K9" s="61">
        <v>6.6000000000000003E-2</v>
      </c>
      <c r="L9" s="61">
        <v>6.9000000000000006E-2</v>
      </c>
      <c r="M9" s="61">
        <v>7.1999999999999995E-2</v>
      </c>
      <c r="N9" s="61">
        <v>6.6000000000000003E-2</v>
      </c>
      <c r="O9" s="61">
        <v>4.4999999999999998E-2</v>
      </c>
      <c r="P9" s="61">
        <v>4.7E-2</v>
      </c>
      <c r="Q9" s="61">
        <v>4.5999999999999999E-2</v>
      </c>
      <c r="R9" s="61">
        <v>4.7E-2</v>
      </c>
      <c r="S9" s="61">
        <v>3.6999999999999998E-2</v>
      </c>
      <c r="T9" s="61">
        <v>3.1E-2</v>
      </c>
      <c r="U9" s="61">
        <v>3.7999999999999999E-2</v>
      </c>
      <c r="V9" s="61">
        <v>1.9E-2</v>
      </c>
      <c r="W9" s="61">
        <v>3.1E-2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809.09090909090912</v>
      </c>
      <c r="C13" s="62">
        <f t="shared" si="6"/>
        <v>604.65116279069764</v>
      </c>
      <c r="D13" s="62">
        <f t="shared" si="6"/>
        <v>869.56521739130437</v>
      </c>
      <c r="E13" s="62">
        <f t="shared" si="6"/>
        <v>734.17721518987344</v>
      </c>
      <c r="F13" s="62">
        <f t="shared" ref="F13:V13" si="7">IF(F3=0,0,F3/F7)</f>
        <v>545.4545454545455</v>
      </c>
      <c r="G13" s="62">
        <f t="shared" si="7"/>
        <v>684.78260869565213</v>
      </c>
      <c r="H13" s="62">
        <f t="shared" si="7"/>
        <v>511.90476190476187</v>
      </c>
      <c r="I13" s="62">
        <f t="shared" si="7"/>
        <v>514.28571428571422</v>
      </c>
      <c r="J13" s="62">
        <f t="shared" si="7"/>
        <v>474.57627118644069</v>
      </c>
      <c r="K13" s="62">
        <f t="shared" si="7"/>
        <v>500</v>
      </c>
      <c r="L13" s="62">
        <f t="shared" si="7"/>
        <v>623.18840579710138</v>
      </c>
      <c r="M13" s="62">
        <f t="shared" si="7"/>
        <v>583.33333333333337</v>
      </c>
      <c r="N13" s="62">
        <f t="shared" si="7"/>
        <v>575.75757575757575</v>
      </c>
      <c r="O13" s="62">
        <f t="shared" si="7"/>
        <v>555.55555555555554</v>
      </c>
      <c r="P13" s="62">
        <f t="shared" si="7"/>
        <v>574.468085106383</v>
      </c>
      <c r="Q13" s="62">
        <f t="shared" si="7"/>
        <v>717.39130434782612</v>
      </c>
      <c r="R13" s="62">
        <f t="shared" si="7"/>
        <v>765.95744680851067</v>
      </c>
      <c r="S13" s="62">
        <f t="shared" si="7"/>
        <v>675.67567567567573</v>
      </c>
      <c r="T13" s="62">
        <f t="shared" si="7"/>
        <v>741.9354838709678</v>
      </c>
      <c r="U13" s="62">
        <f t="shared" si="7"/>
        <v>842.1052631578948</v>
      </c>
      <c r="V13" s="62">
        <f t="shared" si="7"/>
        <v>947.36842105263156</v>
      </c>
      <c r="W13" s="62">
        <f t="shared" ref="W13" si="8">IF(W3=0,0,W3/W7)</f>
        <v>709.67741935483866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809.09090909090912</v>
      </c>
      <c r="C15" s="64">
        <f t="shared" si="6"/>
        <v>604.65116279069764</v>
      </c>
      <c r="D15" s="64">
        <f t="shared" si="6"/>
        <v>869.56521739130437</v>
      </c>
      <c r="E15" s="64">
        <f t="shared" si="6"/>
        <v>734.17721518987344</v>
      </c>
      <c r="F15" s="64">
        <f t="shared" ref="F15:V15" si="11">IF(F5=0,0,F5/F9)</f>
        <v>545.4545454545455</v>
      </c>
      <c r="G15" s="64">
        <f t="shared" si="11"/>
        <v>684.78260869565213</v>
      </c>
      <c r="H15" s="64">
        <f t="shared" si="11"/>
        <v>511.90476190476187</v>
      </c>
      <c r="I15" s="64">
        <f t="shared" si="11"/>
        <v>514.28571428571422</v>
      </c>
      <c r="J15" s="64">
        <f t="shared" si="11"/>
        <v>474.57627118644069</v>
      </c>
      <c r="K15" s="64">
        <f t="shared" si="11"/>
        <v>500</v>
      </c>
      <c r="L15" s="64">
        <f t="shared" si="11"/>
        <v>623.18840579710138</v>
      </c>
      <c r="M15" s="64">
        <f t="shared" si="11"/>
        <v>583.33333333333337</v>
      </c>
      <c r="N15" s="64">
        <f t="shared" si="11"/>
        <v>575.75757575757575</v>
      </c>
      <c r="O15" s="64">
        <f t="shared" si="11"/>
        <v>555.55555555555554</v>
      </c>
      <c r="P15" s="64">
        <f t="shared" si="11"/>
        <v>574.468085106383</v>
      </c>
      <c r="Q15" s="64">
        <f t="shared" si="11"/>
        <v>717.39130434782612</v>
      </c>
      <c r="R15" s="64">
        <f t="shared" si="11"/>
        <v>765.95744680851067</v>
      </c>
      <c r="S15" s="64">
        <f t="shared" si="11"/>
        <v>675.67567567567573</v>
      </c>
      <c r="T15" s="64">
        <f t="shared" si="11"/>
        <v>741.9354838709678</v>
      </c>
      <c r="U15" s="64">
        <f t="shared" si="11"/>
        <v>842.1052631578948</v>
      </c>
      <c r="V15" s="64">
        <f t="shared" si="11"/>
        <v>947.36842105263156</v>
      </c>
      <c r="W15" s="64">
        <f t="shared" ref="W15" si="12">IF(W5=0,0,W5/W9)</f>
        <v>709.67741935483866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5.0982803095442817</v>
      </c>
      <c r="C3" s="62">
        <f t="shared" ref="C3:V3" si="0">SUM(C4,C10)</f>
        <v>8.0099742046431643</v>
      </c>
      <c r="D3" s="62">
        <f t="shared" si="0"/>
        <v>4.0068787618228718</v>
      </c>
      <c r="E3" s="62">
        <f t="shared" si="0"/>
        <v>4.0058469475494407</v>
      </c>
      <c r="F3" s="62">
        <f t="shared" si="0"/>
        <v>6.0006878761822868</v>
      </c>
      <c r="G3" s="62">
        <f t="shared" si="0"/>
        <v>4.9953568357695612</v>
      </c>
      <c r="H3" s="62">
        <f t="shared" si="0"/>
        <v>6.1305245055889941</v>
      </c>
      <c r="I3" s="62">
        <f t="shared" si="0"/>
        <v>5.1052450558899398</v>
      </c>
      <c r="J3" s="62">
        <f t="shared" si="0"/>
        <v>4.0957007738607052</v>
      </c>
      <c r="K3" s="62">
        <f t="shared" si="0"/>
        <v>5.1323301805674966</v>
      </c>
      <c r="L3" s="62">
        <f t="shared" si="0"/>
        <v>4.1116938950988819</v>
      </c>
      <c r="M3" s="62">
        <f t="shared" si="0"/>
        <v>3.080051590713671</v>
      </c>
      <c r="N3" s="62">
        <f t="shared" si="0"/>
        <v>5.1301805674978498</v>
      </c>
      <c r="O3" s="62">
        <f t="shared" si="0"/>
        <v>2.0522785898538261</v>
      </c>
      <c r="P3" s="62">
        <f t="shared" si="0"/>
        <v>3.0804815133276011</v>
      </c>
      <c r="Q3" s="62">
        <f t="shared" si="0"/>
        <v>3.0770421324161652</v>
      </c>
      <c r="R3" s="62">
        <f t="shared" si="0"/>
        <v>4.104041272570937</v>
      </c>
      <c r="S3" s="62">
        <f t="shared" si="0"/>
        <v>4.1032674118658639</v>
      </c>
      <c r="T3" s="62">
        <f t="shared" si="0"/>
        <v>3.0764402407566638</v>
      </c>
      <c r="U3" s="62">
        <f t="shared" si="0"/>
        <v>5.1300945829750626</v>
      </c>
      <c r="V3" s="62">
        <f t="shared" si="0"/>
        <v>4.1116938950988819</v>
      </c>
      <c r="W3" s="62">
        <f t="shared" ref="W3" si="1">SUM(W4,W10)</f>
        <v>4.1290627687016332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5.0982803095442817</v>
      </c>
      <c r="C10" s="71">
        <f t="shared" ref="C10:V10" si="4">SUM(C11:C15)</f>
        <v>8.0099742046431643</v>
      </c>
      <c r="D10" s="71">
        <f t="shared" si="4"/>
        <v>4.0068787618228718</v>
      </c>
      <c r="E10" s="71">
        <f t="shared" si="4"/>
        <v>4.0058469475494407</v>
      </c>
      <c r="F10" s="71">
        <f t="shared" si="4"/>
        <v>6.0006878761822868</v>
      </c>
      <c r="G10" s="71">
        <f t="shared" si="4"/>
        <v>4.9953568357695612</v>
      </c>
      <c r="H10" s="71">
        <f t="shared" si="4"/>
        <v>6.1305245055889941</v>
      </c>
      <c r="I10" s="71">
        <f t="shared" si="4"/>
        <v>5.1052450558899398</v>
      </c>
      <c r="J10" s="71">
        <f t="shared" si="4"/>
        <v>4.0957007738607052</v>
      </c>
      <c r="K10" s="71">
        <f t="shared" si="4"/>
        <v>5.1323301805674966</v>
      </c>
      <c r="L10" s="71">
        <f t="shared" si="4"/>
        <v>4.1116938950988819</v>
      </c>
      <c r="M10" s="71">
        <f t="shared" si="4"/>
        <v>3.080051590713671</v>
      </c>
      <c r="N10" s="71">
        <f t="shared" si="4"/>
        <v>5.1301805674978498</v>
      </c>
      <c r="O10" s="71">
        <f t="shared" si="4"/>
        <v>2.0522785898538261</v>
      </c>
      <c r="P10" s="71">
        <f t="shared" si="4"/>
        <v>3.0804815133276011</v>
      </c>
      <c r="Q10" s="71">
        <f t="shared" si="4"/>
        <v>3.0770421324161652</v>
      </c>
      <c r="R10" s="71">
        <f t="shared" si="4"/>
        <v>4.104041272570937</v>
      </c>
      <c r="S10" s="71">
        <f t="shared" si="4"/>
        <v>4.1032674118658639</v>
      </c>
      <c r="T10" s="71">
        <f t="shared" si="4"/>
        <v>3.0764402407566638</v>
      </c>
      <c r="U10" s="71">
        <f t="shared" si="4"/>
        <v>5.1300945829750626</v>
      </c>
      <c r="V10" s="71">
        <f t="shared" si="4"/>
        <v>4.1116938950988819</v>
      </c>
      <c r="W10" s="71">
        <f t="shared" ref="W10" si="5">SUM(W11:W15)</f>
        <v>4.1290627687016332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5.0982803095442817</v>
      </c>
      <c r="C11" s="73">
        <v>8.0099742046431643</v>
      </c>
      <c r="D11" s="73">
        <v>4.0068787618228718</v>
      </c>
      <c r="E11" s="73">
        <v>4.0058469475494407</v>
      </c>
      <c r="F11" s="73">
        <v>6.0006878761822868</v>
      </c>
      <c r="G11" s="73">
        <v>4.9953568357695612</v>
      </c>
      <c r="H11" s="73">
        <v>6.1305245055889941</v>
      </c>
      <c r="I11" s="73">
        <v>5.1052450558899398</v>
      </c>
      <c r="J11" s="73">
        <v>4.0957007738607052</v>
      </c>
      <c r="K11" s="73">
        <v>5.1323301805674966</v>
      </c>
      <c r="L11" s="73">
        <v>4.1116938950988819</v>
      </c>
      <c r="M11" s="73">
        <v>3.080051590713671</v>
      </c>
      <c r="N11" s="73">
        <v>5.1301805674978498</v>
      </c>
      <c r="O11" s="73">
        <v>2.0522785898538261</v>
      </c>
      <c r="P11" s="73">
        <v>3.0804815133276011</v>
      </c>
      <c r="Q11" s="73">
        <v>3.0770421324161652</v>
      </c>
      <c r="R11" s="73">
        <v>4.104041272570937</v>
      </c>
      <c r="S11" s="73">
        <v>4.1032674118658639</v>
      </c>
      <c r="T11" s="73">
        <v>3.0764402407566638</v>
      </c>
      <c r="U11" s="73">
        <v>5.1300945829750626</v>
      </c>
      <c r="V11" s="73">
        <v>4.1116938950988819</v>
      </c>
      <c r="W11" s="73">
        <v>4.1290627687016332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4634.8002814038919</v>
      </c>
      <c r="C19" s="62">
        <f>IF(C3=0,0,C3/TrNavi_act!C7*100)</f>
        <v>6209.2823291807481</v>
      </c>
      <c r="D19" s="62">
        <f>IF(D3=0,0,D3/TrNavi_act!D7*100)</f>
        <v>4355.3030019813823</v>
      </c>
      <c r="E19" s="62">
        <f>IF(E3=0,0,E3/TrNavi_act!E7*100)</f>
        <v>5070.6923386701783</v>
      </c>
      <c r="F19" s="62">
        <f>IF(F3=0,0,F3/TrNavi_act!F7*100)</f>
        <v>6818.9634956616901</v>
      </c>
      <c r="G19" s="62">
        <f>IF(G3=0,0,G3/TrNavi_act!G7*100)</f>
        <v>5429.7356910538711</v>
      </c>
      <c r="H19" s="62">
        <f>IF(H3=0,0,H3/TrNavi_act!H7*100)</f>
        <v>7298.2434590345165</v>
      </c>
      <c r="I19" s="62">
        <f>IF(I3=0,0,I3/TrNavi_act!I7*100)</f>
        <v>7293.2072226999135</v>
      </c>
      <c r="J19" s="62">
        <f>IF(J3=0,0,J3/TrNavi_act!J7*100)</f>
        <v>6941.8657184079748</v>
      </c>
      <c r="K19" s="62">
        <f>IF(K3=0,0,K3/TrNavi_act!K7*100)</f>
        <v>7776.2578493446908</v>
      </c>
      <c r="L19" s="62">
        <f>IF(L3=0,0,L3/TrNavi_act!L7*100)</f>
        <v>5958.9766595635965</v>
      </c>
      <c r="M19" s="62">
        <f>IF(M3=0,0,M3/TrNavi_act!M7*100)</f>
        <v>4277.8494315467651</v>
      </c>
      <c r="N19" s="62">
        <f>IF(N3=0,0,N3/TrNavi_act!N7*100)</f>
        <v>7773.0008598452268</v>
      </c>
      <c r="O19" s="62">
        <f>IF(O3=0,0,O3/TrNavi_act!O7*100)</f>
        <v>4560.6190885640581</v>
      </c>
      <c r="P19" s="62">
        <f>IF(P3=0,0,P3/TrNavi_act!P7*100)</f>
        <v>6554.2159858034065</v>
      </c>
      <c r="Q19" s="62">
        <f>IF(Q3=0,0,Q3/TrNavi_act!Q7*100)</f>
        <v>6689.2220269916634</v>
      </c>
      <c r="R19" s="62">
        <f>IF(R3=0,0,R3/TrNavi_act!R7*100)</f>
        <v>8732.0027075977378</v>
      </c>
      <c r="S19" s="62">
        <f>IF(S3=0,0,S3/TrNavi_act!S7*100)</f>
        <v>11089.911923961794</v>
      </c>
      <c r="T19" s="62">
        <f>IF(T3=0,0,T3/TrNavi_act!T7*100)</f>
        <v>9924.0007766343988</v>
      </c>
      <c r="U19" s="62">
        <f>IF(U3=0,0,U3/TrNavi_act!U7*100)</f>
        <v>13500.248902565954</v>
      </c>
      <c r="V19" s="62">
        <f>IF(V3=0,0,V3/TrNavi_act!V7*100)</f>
        <v>21640.494184730956</v>
      </c>
      <c r="W19" s="62">
        <f>IF(W3=0,0,W3/TrNavi_act!W7*100)</f>
        <v>13319.557318392364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4634.8002814038919</v>
      </c>
      <c r="C21" s="64">
        <f>IF(C10=0,0,C10/TrNavi_act!C9*100)</f>
        <v>6209.2823291807481</v>
      </c>
      <c r="D21" s="64">
        <f>IF(D10=0,0,D10/TrNavi_act!D9*100)</f>
        <v>4355.3030019813823</v>
      </c>
      <c r="E21" s="64">
        <f>IF(E10=0,0,E10/TrNavi_act!E9*100)</f>
        <v>5070.6923386701783</v>
      </c>
      <c r="F21" s="64">
        <f>IF(F10=0,0,F10/TrNavi_act!F9*100)</f>
        <v>6818.9634956616901</v>
      </c>
      <c r="G21" s="64">
        <f>IF(G10=0,0,G10/TrNavi_act!G9*100)</f>
        <v>5429.7356910538711</v>
      </c>
      <c r="H21" s="64">
        <f>IF(H10=0,0,H10/TrNavi_act!H9*100)</f>
        <v>7298.2434590345165</v>
      </c>
      <c r="I21" s="64">
        <f>IF(I10=0,0,I10/TrNavi_act!I9*100)</f>
        <v>7293.2072226999135</v>
      </c>
      <c r="J21" s="64">
        <f>IF(J10=0,0,J10/TrNavi_act!J9*100)</f>
        <v>6941.8657184079748</v>
      </c>
      <c r="K21" s="64">
        <f>IF(K10=0,0,K10/TrNavi_act!K9*100)</f>
        <v>7776.2578493446908</v>
      </c>
      <c r="L21" s="64">
        <f>IF(L10=0,0,L10/TrNavi_act!L9*100)</f>
        <v>5958.9766595635965</v>
      </c>
      <c r="M21" s="64">
        <f>IF(M10=0,0,M10/TrNavi_act!M9*100)</f>
        <v>4277.8494315467651</v>
      </c>
      <c r="N21" s="64">
        <f>IF(N10=0,0,N10/TrNavi_act!N9*100)</f>
        <v>7773.0008598452268</v>
      </c>
      <c r="O21" s="64">
        <f>IF(O10=0,0,O10/TrNavi_act!O9*100)</f>
        <v>4560.6190885640581</v>
      </c>
      <c r="P21" s="64">
        <f>IF(P10=0,0,P10/TrNavi_act!P9*100)</f>
        <v>6554.2159858034065</v>
      </c>
      <c r="Q21" s="64">
        <f>IF(Q10=0,0,Q10/TrNavi_act!Q9*100)</f>
        <v>6689.2220269916634</v>
      </c>
      <c r="R21" s="64">
        <f>IF(R10=0,0,R10/TrNavi_act!R9*100)</f>
        <v>8732.0027075977378</v>
      </c>
      <c r="S21" s="64">
        <f>IF(S10=0,0,S10/TrNavi_act!S9*100)</f>
        <v>11089.911923961794</v>
      </c>
      <c r="T21" s="64">
        <f>IF(T10=0,0,T10/TrNavi_act!T9*100)</f>
        <v>9924.0007766343988</v>
      </c>
      <c r="U21" s="64">
        <f>IF(U10=0,0,U10/TrNavi_act!U9*100)</f>
        <v>13500.248902565954</v>
      </c>
      <c r="V21" s="64">
        <f>IF(V10=0,0,V10/TrNavi_act!V9*100)</f>
        <v>21640.494184730956</v>
      </c>
      <c r="W21" s="64">
        <f>IF(W10=0,0,W10/TrNavi_act!W9*100)</f>
        <v>13319.557318392364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57.28404842184586</v>
      </c>
      <c r="C23" s="62">
        <f>IF(C3=0,0,C3/TrNavi_act!C3*1000)</f>
        <v>102.69197698260467</v>
      </c>
      <c r="D23" s="62">
        <f>IF(D3=0,0,D3/TrNavi_act!D3*1000)</f>
        <v>50.0859845227859</v>
      </c>
      <c r="E23" s="62">
        <f>IF(E3=0,0,E3/TrNavi_act!E3*1000)</f>
        <v>69.066326681886906</v>
      </c>
      <c r="F23" s="62">
        <f>IF(F3=0,0,F3/TrNavi_act!F3*1000)</f>
        <v>125.01433075379764</v>
      </c>
      <c r="G23" s="62">
        <f>IF(G3=0,0,G3/TrNavi_act!G3*1000)</f>
        <v>79.29137834554858</v>
      </c>
      <c r="H23" s="62">
        <f>IF(H3=0,0,H3/TrNavi_act!H3*1000)</f>
        <v>142.57033733927892</v>
      </c>
      <c r="I23" s="62">
        <f>IF(I3=0,0,I3/TrNavi_act!I3*1000)</f>
        <v>141.81236266360943</v>
      </c>
      <c r="J23" s="62">
        <f>IF(J3=0,0,J3/TrNavi_act!J3*1000)</f>
        <v>146.27502763788235</v>
      </c>
      <c r="K23" s="62">
        <f>IF(K3=0,0,K3/TrNavi_act!K3*1000)</f>
        <v>155.52515698689385</v>
      </c>
      <c r="L23" s="62">
        <f>IF(L3=0,0,L3/TrNavi_act!L3*1000)</f>
        <v>95.620788258113535</v>
      </c>
      <c r="M23" s="62">
        <f>IF(M3=0,0,M3/TrNavi_act!M3*1000)</f>
        <v>73.334561683658833</v>
      </c>
      <c r="N23" s="62">
        <f>IF(N3=0,0,N3/TrNavi_act!N3*1000)</f>
        <v>135.00475177625921</v>
      </c>
      <c r="O23" s="62">
        <f>IF(O3=0,0,O3/TrNavi_act!O3*1000)</f>
        <v>82.091143594153039</v>
      </c>
      <c r="P23" s="62">
        <f>IF(P3=0,0,P3/TrNavi_act!P3*1000)</f>
        <v>114.09190790102227</v>
      </c>
      <c r="Q23" s="62">
        <f>IF(Q3=0,0,Q3/TrNavi_act!Q3*1000)</f>
        <v>93.243700982308042</v>
      </c>
      <c r="R23" s="62">
        <f>IF(R3=0,0,R3/TrNavi_act!R3*1000)</f>
        <v>114.0011464603038</v>
      </c>
      <c r="S23" s="62">
        <f>IF(S3=0,0,S3/TrNavi_act!S3*1000)</f>
        <v>164.13069647463453</v>
      </c>
      <c r="T23" s="62">
        <f>IF(T3=0,0,T3/TrNavi_act!T3*1000)</f>
        <v>133.75827133724624</v>
      </c>
      <c r="U23" s="62">
        <f>IF(U3=0,0,U3/TrNavi_act!U3*1000)</f>
        <v>160.31545571797071</v>
      </c>
      <c r="V23" s="62">
        <f>IF(V3=0,0,V3/TrNavi_act!V3*1000)</f>
        <v>228.42743861660455</v>
      </c>
      <c r="W23" s="62">
        <f>IF(W3=0,0,W3/TrNavi_act!W3*1000)</f>
        <v>187.68467130461968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57.28404842184586</v>
      </c>
      <c r="C25" s="64">
        <f>IF(C10=0,0,C10/TrNavi_act!C5*1000)</f>
        <v>102.69197698260467</v>
      </c>
      <c r="D25" s="64">
        <f>IF(D10=0,0,D10/TrNavi_act!D5*1000)</f>
        <v>50.0859845227859</v>
      </c>
      <c r="E25" s="64">
        <f>IF(E10=0,0,E10/TrNavi_act!E5*1000)</f>
        <v>69.066326681886906</v>
      </c>
      <c r="F25" s="64">
        <f>IF(F10=0,0,F10/TrNavi_act!F5*1000)</f>
        <v>125.01433075379764</v>
      </c>
      <c r="G25" s="64">
        <f>IF(G10=0,0,G10/TrNavi_act!G5*1000)</f>
        <v>79.29137834554858</v>
      </c>
      <c r="H25" s="64">
        <f>IF(H10=0,0,H10/TrNavi_act!H5*1000)</f>
        <v>142.57033733927892</v>
      </c>
      <c r="I25" s="64">
        <f>IF(I10=0,0,I10/TrNavi_act!I5*1000)</f>
        <v>141.81236266360943</v>
      </c>
      <c r="J25" s="64">
        <f>IF(J10=0,0,J10/TrNavi_act!J5*1000)</f>
        <v>146.27502763788235</v>
      </c>
      <c r="K25" s="64">
        <f>IF(K10=0,0,K10/TrNavi_act!K5*1000)</f>
        <v>155.52515698689385</v>
      </c>
      <c r="L25" s="64">
        <f>IF(L10=0,0,L10/TrNavi_act!L5*1000)</f>
        <v>95.620788258113535</v>
      </c>
      <c r="M25" s="64">
        <f>IF(M10=0,0,M10/TrNavi_act!M5*1000)</f>
        <v>73.334561683658833</v>
      </c>
      <c r="N25" s="64">
        <f>IF(N10=0,0,N10/TrNavi_act!N5*1000)</f>
        <v>135.00475177625921</v>
      </c>
      <c r="O25" s="64">
        <f>IF(O10=0,0,O10/TrNavi_act!O5*1000)</f>
        <v>82.091143594153039</v>
      </c>
      <c r="P25" s="64">
        <f>IF(P10=0,0,P10/TrNavi_act!P5*1000)</f>
        <v>114.09190790102227</v>
      </c>
      <c r="Q25" s="64">
        <f>IF(Q10=0,0,Q10/TrNavi_act!Q5*1000)</f>
        <v>93.243700982308042</v>
      </c>
      <c r="R25" s="64">
        <f>IF(R10=0,0,R10/TrNavi_act!R5*1000)</f>
        <v>114.0011464603038</v>
      </c>
      <c r="S25" s="64">
        <f>IF(S10=0,0,S10/TrNavi_act!S5*1000)</f>
        <v>164.13069647463453</v>
      </c>
      <c r="T25" s="64">
        <f>IF(T10=0,0,T10/TrNavi_act!T5*1000)</f>
        <v>133.75827133724624</v>
      </c>
      <c r="U25" s="64">
        <f>IF(U10=0,0,U10/TrNavi_act!U5*1000)</f>
        <v>160.31545571797071</v>
      </c>
      <c r="V25" s="64">
        <f>IF(V10=0,0,V10/TrNavi_act!V5*1000)</f>
        <v>228.42743861660455</v>
      </c>
      <c r="W25" s="64">
        <f>IF(W10=0,0,W10/TrNavi_act!W5*1000)</f>
        <v>187.68467130461968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15.81700068</v>
      </c>
      <c r="C3" s="54">
        <f t="shared" ref="C3:V3" si="1">SUM(C4:C5)</f>
        <v>24.850294560000002</v>
      </c>
      <c r="D3" s="54">
        <f t="shared" si="1"/>
        <v>12.431016</v>
      </c>
      <c r="E3" s="54">
        <f t="shared" si="1"/>
        <v>12.42781488</v>
      </c>
      <c r="F3" s="54">
        <f t="shared" si="1"/>
        <v>18.616646880000001</v>
      </c>
      <c r="G3" s="54">
        <f t="shared" si="1"/>
        <v>15.49768896</v>
      </c>
      <c r="H3" s="54">
        <f t="shared" si="1"/>
        <v>19.01945448</v>
      </c>
      <c r="I3" s="54">
        <f t="shared" si="1"/>
        <v>15.838608240000001</v>
      </c>
      <c r="J3" s="54">
        <f t="shared" si="1"/>
        <v>12.706579080000001</v>
      </c>
      <c r="K3" s="54">
        <f t="shared" si="1"/>
        <v>15.922637639999996</v>
      </c>
      <c r="L3" s="54">
        <f t="shared" si="1"/>
        <v>12.75619644</v>
      </c>
      <c r="M3" s="54">
        <f t="shared" si="1"/>
        <v>9.5556099599999982</v>
      </c>
      <c r="N3" s="54">
        <f t="shared" si="1"/>
        <v>15.915968639999999</v>
      </c>
      <c r="O3" s="54">
        <f t="shared" si="1"/>
        <v>6.3670276799999996</v>
      </c>
      <c r="P3" s="54">
        <f t="shared" si="1"/>
        <v>9.5569437600000011</v>
      </c>
      <c r="Q3" s="54">
        <f t="shared" si="1"/>
        <v>9.5462733600000007</v>
      </c>
      <c r="R3" s="54">
        <f t="shared" si="1"/>
        <v>12.732454799999999</v>
      </c>
      <c r="S3" s="54">
        <f t="shared" si="1"/>
        <v>12.730053959999999</v>
      </c>
      <c r="T3" s="54">
        <f t="shared" si="1"/>
        <v>9.5444060400000001</v>
      </c>
      <c r="U3" s="54">
        <f t="shared" si="1"/>
        <v>15.915701879999995</v>
      </c>
      <c r="V3" s="54">
        <f t="shared" si="1"/>
        <v>12.75619644</v>
      </c>
      <c r="W3" s="54">
        <f t="shared" ref="W3" si="2">SUM(W4:W5)</f>
        <v>12.81008196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15.81700068</v>
      </c>
      <c r="C5" s="58">
        <v>24.850294560000002</v>
      </c>
      <c r="D5" s="58">
        <v>12.431016</v>
      </c>
      <c r="E5" s="58">
        <v>12.42781488</v>
      </c>
      <c r="F5" s="58">
        <v>18.616646880000001</v>
      </c>
      <c r="G5" s="58">
        <v>15.49768896</v>
      </c>
      <c r="H5" s="58">
        <v>19.01945448</v>
      </c>
      <c r="I5" s="58">
        <v>15.838608240000001</v>
      </c>
      <c r="J5" s="58">
        <v>12.706579080000001</v>
      </c>
      <c r="K5" s="58">
        <v>15.922637639999996</v>
      </c>
      <c r="L5" s="58">
        <v>12.75619644</v>
      </c>
      <c r="M5" s="58">
        <v>9.5556099599999982</v>
      </c>
      <c r="N5" s="58">
        <v>15.915968639999999</v>
      </c>
      <c r="O5" s="58">
        <v>6.3670276799999996</v>
      </c>
      <c r="P5" s="58">
        <v>9.5569437600000011</v>
      </c>
      <c r="Q5" s="58">
        <v>9.5462733600000007</v>
      </c>
      <c r="R5" s="58">
        <v>12.732454799999999</v>
      </c>
      <c r="S5" s="58">
        <v>12.730053959999999</v>
      </c>
      <c r="T5" s="58">
        <v>9.5444060400000001</v>
      </c>
      <c r="U5" s="58">
        <v>15.915701879999995</v>
      </c>
      <c r="V5" s="58">
        <v>12.75619644</v>
      </c>
      <c r="W5" s="58">
        <v>12.81008196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3.1024188000000006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3.1024188000000006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143790.91527272726</v>
      </c>
      <c r="C13" s="54">
        <f>IF(C3=0,0,C3/TrNavi_act!C7*1000)</f>
        <v>192637.94232558142</v>
      </c>
      <c r="D13" s="54">
        <f>IF(D3=0,0,D3/TrNavi_act!D7*1000)</f>
        <v>135119.73913043478</v>
      </c>
      <c r="E13" s="54">
        <f>IF(E3=0,0,E3/TrNavi_act!E7*1000)</f>
        <v>157314.11240506329</v>
      </c>
      <c r="F13" s="54">
        <f>IF(F3=0,0,F3/TrNavi_act!F7*1000)</f>
        <v>211552.80545454548</v>
      </c>
      <c r="G13" s="54">
        <f>IF(G3=0,0,G3/TrNavi_act!G7*1000)</f>
        <v>168453.14086956519</v>
      </c>
      <c r="H13" s="54">
        <f>IF(H3=0,0,H3/TrNavi_act!H7*1000)</f>
        <v>226422.07714285713</v>
      </c>
      <c r="I13" s="54">
        <f>IF(I3=0,0,I3/TrNavi_act!I7*1000)</f>
        <v>226265.83199999999</v>
      </c>
      <c r="J13" s="54">
        <f>IF(J3=0,0,J3/TrNavi_act!J7*1000)</f>
        <v>215365.7471186441</v>
      </c>
      <c r="K13" s="54">
        <f>IF(K3=0,0,K3/TrNavi_act!K7*1000)</f>
        <v>241252.08545454539</v>
      </c>
      <c r="L13" s="54">
        <f>IF(L3=0,0,L3/TrNavi_act!L7*1000)</f>
        <v>184872.41217391304</v>
      </c>
      <c r="M13" s="54">
        <f>IF(M3=0,0,M3/TrNavi_act!M7*1000)</f>
        <v>132716.80499999999</v>
      </c>
      <c r="N13" s="54">
        <f>IF(N3=0,0,N3/TrNavi_act!N7*1000)</f>
        <v>241151.03999999998</v>
      </c>
      <c r="O13" s="54">
        <f>IF(O3=0,0,O3/TrNavi_act!O7*1000)</f>
        <v>141489.50400000002</v>
      </c>
      <c r="P13" s="54">
        <f>IF(P3=0,0,P3/TrNavi_act!P7*1000)</f>
        <v>203339.22893617023</v>
      </c>
      <c r="Q13" s="54">
        <f>IF(Q3=0,0,Q3/TrNavi_act!Q7*1000)</f>
        <v>207527.68173913046</v>
      </c>
      <c r="R13" s="54">
        <f>IF(R3=0,0,R3/TrNavi_act!R7*1000)</f>
        <v>270903.29361702123</v>
      </c>
      <c r="S13" s="54">
        <f>IF(S3=0,0,S3/TrNavi_act!S7*1000)</f>
        <v>344055.51243243238</v>
      </c>
      <c r="T13" s="54">
        <f>IF(T3=0,0,T3/TrNavi_act!T7*1000)</f>
        <v>307884.06580645166</v>
      </c>
      <c r="U13" s="54">
        <f>IF(U3=0,0,U3/TrNavi_act!U7*1000)</f>
        <v>418834.25999999983</v>
      </c>
      <c r="V13" s="54">
        <f>IF(V3=0,0,V3/TrNavi_act!V7*1000)</f>
        <v>671378.76</v>
      </c>
      <c r="W13" s="54">
        <f>IF(W3=0,0,W3/TrNavi_act!W7*1000)</f>
        <v>413228.45032258064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143790.91527272726</v>
      </c>
      <c r="C15" s="58">
        <f>IF(C5=0,0,C5/TrNavi_act!C9*1000)</f>
        <v>192637.94232558142</v>
      </c>
      <c r="D15" s="58">
        <f>IF(D5=0,0,D5/TrNavi_act!D9*1000)</f>
        <v>135119.73913043478</v>
      </c>
      <c r="E15" s="58">
        <f>IF(E5=0,0,E5/TrNavi_act!E9*1000)</f>
        <v>157314.11240506329</v>
      </c>
      <c r="F15" s="58">
        <f>IF(F5=0,0,F5/TrNavi_act!F9*1000)</f>
        <v>211552.80545454548</v>
      </c>
      <c r="G15" s="58">
        <f>IF(G5=0,0,G5/TrNavi_act!G9*1000)</f>
        <v>168453.14086956519</v>
      </c>
      <c r="H15" s="58">
        <f>IF(H5=0,0,H5/TrNavi_act!H9*1000)</f>
        <v>226422.07714285713</v>
      </c>
      <c r="I15" s="58">
        <f>IF(I5=0,0,I5/TrNavi_act!I9*1000)</f>
        <v>226265.83199999999</v>
      </c>
      <c r="J15" s="58">
        <f>IF(J5=0,0,J5/TrNavi_act!J9*1000)</f>
        <v>215365.7471186441</v>
      </c>
      <c r="K15" s="58">
        <f>IF(K5=0,0,K5/TrNavi_act!K9*1000)</f>
        <v>241252.08545454539</v>
      </c>
      <c r="L15" s="58">
        <f>IF(L5=0,0,L5/TrNavi_act!L9*1000)</f>
        <v>184872.41217391304</v>
      </c>
      <c r="M15" s="58">
        <f>IF(M5=0,0,M5/TrNavi_act!M9*1000)</f>
        <v>132716.80499999999</v>
      </c>
      <c r="N15" s="58">
        <f>IF(N5=0,0,N5/TrNavi_act!N9*1000)</f>
        <v>241151.03999999998</v>
      </c>
      <c r="O15" s="58">
        <f>IF(O5=0,0,O5/TrNavi_act!O9*1000)</f>
        <v>141489.50400000002</v>
      </c>
      <c r="P15" s="58">
        <f>IF(P5=0,0,P5/TrNavi_act!P9*1000)</f>
        <v>203339.22893617023</v>
      </c>
      <c r="Q15" s="58">
        <f>IF(Q5=0,0,Q5/TrNavi_act!Q9*1000)</f>
        <v>207527.68173913046</v>
      </c>
      <c r="R15" s="58">
        <f>IF(R5=0,0,R5/TrNavi_act!R9*1000)</f>
        <v>270903.29361702123</v>
      </c>
      <c r="S15" s="58">
        <f>IF(S5=0,0,S5/TrNavi_act!S9*1000)</f>
        <v>344055.51243243238</v>
      </c>
      <c r="T15" s="58">
        <f>IF(T5=0,0,T5/TrNavi_act!T9*1000)</f>
        <v>307884.06580645166</v>
      </c>
      <c r="U15" s="58">
        <f>IF(U5=0,0,U5/TrNavi_act!U9*1000)</f>
        <v>418834.25999999983</v>
      </c>
      <c r="V15" s="58">
        <f>IF(V5=0,0,V5/TrNavi_act!V9*1000)</f>
        <v>671378.76</v>
      </c>
      <c r="W15" s="58">
        <f>IF(W5=0,0,W5/TrNavi_act!W9*1000)</f>
        <v>413228.45032258064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177.71910876404496</v>
      </c>
      <c r="C17" s="62">
        <f>IF(C3=0,0,C3/TrNavi_act!C3*1000)</f>
        <v>318.59352000000001</v>
      </c>
      <c r="D17" s="62">
        <f>IF(D3=0,0,D3/TrNavi_act!D3*1000)</f>
        <v>155.3877</v>
      </c>
      <c r="E17" s="62">
        <f>IF(E3=0,0,E3/TrNavi_act!E3*1000)</f>
        <v>214.27267034482759</v>
      </c>
      <c r="F17" s="62">
        <f>IF(F3=0,0,F3/TrNavi_act!F3*1000)</f>
        <v>387.84681000000006</v>
      </c>
      <c r="G17" s="62">
        <f>IF(G3=0,0,G3/TrNavi_act!G3*1000)</f>
        <v>245.99506285714284</v>
      </c>
      <c r="H17" s="62">
        <f>IF(H3=0,0,H3/TrNavi_act!H3*1000)</f>
        <v>442.31289488372096</v>
      </c>
      <c r="I17" s="62">
        <f>IF(I3=0,0,I3/TrNavi_act!I3*1000)</f>
        <v>439.96134000000001</v>
      </c>
      <c r="J17" s="62">
        <f>IF(J3=0,0,J3/TrNavi_act!J3*1000)</f>
        <v>453.80639571428577</v>
      </c>
      <c r="K17" s="62">
        <f>IF(K3=0,0,K3/TrNavi_act!K3*1000)</f>
        <v>482.50417090909082</v>
      </c>
      <c r="L17" s="62">
        <f>IF(L3=0,0,L3/TrNavi_act!L3*1000)</f>
        <v>296.65573116279069</v>
      </c>
      <c r="M17" s="62">
        <f>IF(M3=0,0,M3/TrNavi_act!M3*1000)</f>
        <v>227.51452285714282</v>
      </c>
      <c r="N17" s="62">
        <f>IF(N3=0,0,N3/TrNavi_act!N3*1000)</f>
        <v>418.84127999999998</v>
      </c>
      <c r="O17" s="62">
        <f>IF(O3=0,0,O3/TrNavi_act!O3*1000)</f>
        <v>254.68110719999999</v>
      </c>
      <c r="P17" s="62">
        <f>IF(P3=0,0,P3/TrNavi_act!P3*1000)</f>
        <v>353.96088000000003</v>
      </c>
      <c r="Q17" s="62">
        <f>IF(Q3=0,0,Q3/TrNavi_act!Q3*1000)</f>
        <v>289.28101090909092</v>
      </c>
      <c r="R17" s="62">
        <f>IF(R3=0,0,R3/TrNavi_act!R3*1000)</f>
        <v>353.67929999999996</v>
      </c>
      <c r="S17" s="62">
        <f>IF(S3=0,0,S3/TrNavi_act!S3*1000)</f>
        <v>509.20215839999992</v>
      </c>
      <c r="T17" s="62">
        <f>IF(T3=0,0,T3/TrNavi_act!T3*1000)</f>
        <v>414.97417565217393</v>
      </c>
      <c r="U17" s="62">
        <f>IF(U3=0,0,U3/TrNavi_act!U3*1000)</f>
        <v>497.36568374999985</v>
      </c>
      <c r="V17" s="62">
        <f>IF(V3=0,0,V3/TrNavi_act!V3*1000)</f>
        <v>708.67758000000003</v>
      </c>
      <c r="W17" s="62">
        <f>IF(W3=0,0,W3/TrNavi_act!W3*1000)</f>
        <v>582.27645272727273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177.71910876404496</v>
      </c>
      <c r="C19" s="64">
        <f>IF(C5=0,0,C5/TrNavi_act!C5*1000)</f>
        <v>318.59352000000001</v>
      </c>
      <c r="D19" s="64">
        <f>IF(D5=0,0,D5/TrNavi_act!D5*1000)</f>
        <v>155.3877</v>
      </c>
      <c r="E19" s="64">
        <f>IF(E5=0,0,E5/TrNavi_act!E5*1000)</f>
        <v>214.27267034482759</v>
      </c>
      <c r="F19" s="64">
        <f>IF(F5=0,0,F5/TrNavi_act!F5*1000)</f>
        <v>387.84681000000006</v>
      </c>
      <c r="G19" s="64">
        <f>IF(G5=0,0,G5/TrNavi_act!G5*1000)</f>
        <v>245.99506285714284</v>
      </c>
      <c r="H19" s="64">
        <f>IF(H5=0,0,H5/TrNavi_act!H5*1000)</f>
        <v>442.31289488372096</v>
      </c>
      <c r="I19" s="64">
        <f>IF(I5=0,0,I5/TrNavi_act!I5*1000)</f>
        <v>439.96134000000001</v>
      </c>
      <c r="J19" s="64">
        <f>IF(J5=0,0,J5/TrNavi_act!J5*1000)</f>
        <v>453.80639571428577</v>
      </c>
      <c r="K19" s="64">
        <f>IF(K5=0,0,K5/TrNavi_act!K5*1000)</f>
        <v>482.50417090909082</v>
      </c>
      <c r="L19" s="64">
        <f>IF(L5=0,0,L5/TrNavi_act!L5*1000)</f>
        <v>296.65573116279069</v>
      </c>
      <c r="M19" s="64">
        <f>IF(M5=0,0,M5/TrNavi_act!M5*1000)</f>
        <v>227.51452285714282</v>
      </c>
      <c r="N19" s="64">
        <f>IF(N5=0,0,N5/TrNavi_act!N5*1000)</f>
        <v>418.84127999999998</v>
      </c>
      <c r="O19" s="64">
        <f>IF(O5=0,0,O5/TrNavi_act!O5*1000)</f>
        <v>254.68110719999999</v>
      </c>
      <c r="P19" s="64">
        <f>IF(P5=0,0,P5/TrNavi_act!P5*1000)</f>
        <v>353.96088000000003</v>
      </c>
      <c r="Q19" s="64">
        <f>IF(Q5=0,0,Q5/TrNavi_act!Q5*1000)</f>
        <v>289.28101090909092</v>
      </c>
      <c r="R19" s="64">
        <f>IF(R5=0,0,R5/TrNavi_act!R5*1000)</f>
        <v>353.67929999999996</v>
      </c>
      <c r="S19" s="64">
        <f>IF(S5=0,0,S5/TrNavi_act!S5*1000)</f>
        <v>509.20215839999992</v>
      </c>
      <c r="T19" s="64">
        <f>IF(T5=0,0,T5/TrNavi_act!T5*1000)</f>
        <v>414.97417565217393</v>
      </c>
      <c r="U19" s="64">
        <f>IF(U5=0,0,U5/TrNavi_act!U5*1000)</f>
        <v>497.36568374999985</v>
      </c>
      <c r="V19" s="64">
        <f>IF(V5=0,0,V5/TrNavi_act!V5*1000)</f>
        <v>708.67758000000003</v>
      </c>
      <c r="W19" s="64">
        <f>IF(W5=0,0,W5/TrNavi_act!W5*1000)</f>
        <v>582.27645272727273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0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Q7" s="59">
        <f t="shared" si="2"/>
        <v>0</v>
      </c>
      <c r="R7" s="59">
        <f t="shared" si="2"/>
        <v>0</v>
      </c>
      <c r="S7" s="59">
        <f t="shared" si="2"/>
        <v>0</v>
      </c>
      <c r="T7" s="59">
        <f t="shared" si="2"/>
        <v>0</v>
      </c>
      <c r="U7" s="59">
        <f t="shared" si="2"/>
        <v>0</v>
      </c>
      <c r="V7" s="59">
        <f t="shared" si="2"/>
        <v>0</v>
      </c>
      <c r="W7" s="59">
        <f t="shared" si="2"/>
        <v>0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0</v>
      </c>
      <c r="J13" s="62">
        <f t="shared" si="3"/>
        <v>0</v>
      </c>
      <c r="K13" s="62">
        <f t="shared" si="3"/>
        <v>0</v>
      </c>
      <c r="L13" s="62">
        <f t="shared" si="3"/>
        <v>0</v>
      </c>
      <c r="M13" s="62">
        <f t="shared" si="3"/>
        <v>0</v>
      </c>
      <c r="N13" s="62">
        <f t="shared" si="3"/>
        <v>0</v>
      </c>
      <c r="O13" s="62">
        <f t="shared" si="3"/>
        <v>0</v>
      </c>
      <c r="P13" s="62">
        <f t="shared" si="3"/>
        <v>0</v>
      </c>
      <c r="Q13" s="62">
        <f t="shared" si="3"/>
        <v>0</v>
      </c>
      <c r="R13" s="62">
        <f t="shared" si="3"/>
        <v>0</v>
      </c>
      <c r="S13" s="62">
        <f t="shared" si="3"/>
        <v>0</v>
      </c>
      <c r="T13" s="62">
        <f t="shared" si="3"/>
        <v>0</v>
      </c>
      <c r="U13" s="62">
        <f t="shared" si="3"/>
        <v>0</v>
      </c>
      <c r="V13" s="62">
        <f t="shared" si="3"/>
        <v>0</v>
      </c>
      <c r="W13" s="62">
        <f t="shared" si="3"/>
        <v>0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  <c r="Q14" s="63">
        <f t="shared" si="3"/>
        <v>0</v>
      </c>
      <c r="R14" s="63">
        <f t="shared" si="3"/>
        <v>0</v>
      </c>
      <c r="S14" s="63">
        <f t="shared" si="3"/>
        <v>0</v>
      </c>
      <c r="T14" s="63">
        <f t="shared" si="3"/>
        <v>0</v>
      </c>
      <c r="U14" s="63">
        <f t="shared" si="3"/>
        <v>0</v>
      </c>
      <c r="V14" s="63">
        <f t="shared" si="3"/>
        <v>0</v>
      </c>
      <c r="W14" s="63">
        <f t="shared" si="3"/>
        <v>0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0</v>
      </c>
      <c r="J15" s="64">
        <f t="shared" si="3"/>
        <v>0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64">
        <f t="shared" si="3"/>
        <v>0</v>
      </c>
      <c r="O15" s="64">
        <f t="shared" si="3"/>
        <v>0</v>
      </c>
      <c r="P15" s="64">
        <f t="shared" si="3"/>
        <v>0</v>
      </c>
      <c r="Q15" s="64">
        <f t="shared" si="3"/>
        <v>0</v>
      </c>
      <c r="R15" s="64">
        <f t="shared" si="3"/>
        <v>0</v>
      </c>
      <c r="S15" s="64">
        <f t="shared" si="3"/>
        <v>0</v>
      </c>
      <c r="T15" s="64">
        <f t="shared" si="3"/>
        <v>0</v>
      </c>
      <c r="U15" s="64">
        <f t="shared" si="3"/>
        <v>0</v>
      </c>
      <c r="V15" s="64">
        <f t="shared" si="3"/>
        <v>0</v>
      </c>
      <c r="W15" s="64">
        <f t="shared" si="3"/>
        <v>0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65">
        <f t="shared" si="4"/>
        <v>0</v>
      </c>
      <c r="N17" s="65">
        <f t="shared" si="4"/>
        <v>0</v>
      </c>
      <c r="O17" s="65">
        <f t="shared" si="4"/>
        <v>0</v>
      </c>
      <c r="P17" s="65">
        <f t="shared" si="4"/>
        <v>0</v>
      </c>
      <c r="Q17" s="65">
        <f t="shared" si="4"/>
        <v>0</v>
      </c>
      <c r="R17" s="65">
        <f t="shared" si="4"/>
        <v>0</v>
      </c>
      <c r="S17" s="65">
        <f t="shared" si="4"/>
        <v>0</v>
      </c>
      <c r="T17" s="65">
        <f t="shared" si="4"/>
        <v>0</v>
      </c>
      <c r="U17" s="65">
        <f t="shared" si="4"/>
        <v>0</v>
      </c>
      <c r="V17" s="65">
        <f t="shared" si="4"/>
        <v>0</v>
      </c>
      <c r="W17" s="65">
        <f t="shared" si="4"/>
        <v>0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</v>
      </c>
      <c r="J18" s="66">
        <f t="shared" si="4"/>
        <v>0</v>
      </c>
      <c r="K18" s="66">
        <f t="shared" si="4"/>
        <v>0</v>
      </c>
      <c r="L18" s="66">
        <f t="shared" si="4"/>
        <v>0</v>
      </c>
      <c r="M18" s="66">
        <f t="shared" si="4"/>
        <v>0</v>
      </c>
      <c r="N18" s="66">
        <f t="shared" si="4"/>
        <v>0</v>
      </c>
      <c r="O18" s="66">
        <f t="shared" si="4"/>
        <v>0</v>
      </c>
      <c r="P18" s="66">
        <f t="shared" si="4"/>
        <v>0</v>
      </c>
      <c r="Q18" s="66">
        <f t="shared" si="4"/>
        <v>0</v>
      </c>
      <c r="R18" s="66">
        <f t="shared" si="4"/>
        <v>0</v>
      </c>
      <c r="S18" s="66">
        <f t="shared" si="4"/>
        <v>0</v>
      </c>
      <c r="T18" s="66">
        <f t="shared" si="4"/>
        <v>0</v>
      </c>
      <c r="U18" s="66">
        <f t="shared" si="4"/>
        <v>0</v>
      </c>
      <c r="V18" s="66">
        <f t="shared" si="4"/>
        <v>0</v>
      </c>
      <c r="W18" s="66">
        <f t="shared" si="4"/>
        <v>0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</v>
      </c>
      <c r="J19" s="67">
        <f t="shared" si="4"/>
        <v>0</v>
      </c>
      <c r="K19" s="67">
        <f t="shared" si="4"/>
        <v>0</v>
      </c>
      <c r="L19" s="67">
        <f t="shared" si="4"/>
        <v>0</v>
      </c>
      <c r="M19" s="67">
        <f t="shared" si="4"/>
        <v>0</v>
      </c>
      <c r="N19" s="67">
        <f t="shared" si="4"/>
        <v>0</v>
      </c>
      <c r="O19" s="67">
        <f t="shared" si="4"/>
        <v>0</v>
      </c>
      <c r="P19" s="67">
        <f t="shared" si="4"/>
        <v>0</v>
      </c>
      <c r="Q19" s="67">
        <f t="shared" si="4"/>
        <v>0</v>
      </c>
      <c r="R19" s="67">
        <f t="shared" si="4"/>
        <v>0</v>
      </c>
      <c r="S19" s="67">
        <f t="shared" si="4"/>
        <v>0</v>
      </c>
      <c r="T19" s="67">
        <f t="shared" si="4"/>
        <v>0</v>
      </c>
      <c r="U19" s="67">
        <f t="shared" si="4"/>
        <v>0</v>
      </c>
      <c r="V19" s="67">
        <f t="shared" si="4"/>
        <v>0</v>
      </c>
      <c r="W19" s="67">
        <f t="shared" si="4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0</v>
      </c>
      <c r="J21" s="65">
        <f t="shared" si="5"/>
        <v>0</v>
      </c>
      <c r="K21" s="65">
        <f t="shared" si="5"/>
        <v>0</v>
      </c>
      <c r="L21" s="65">
        <f t="shared" si="5"/>
        <v>0</v>
      </c>
      <c r="M21" s="65">
        <f t="shared" si="5"/>
        <v>0</v>
      </c>
      <c r="N21" s="65">
        <f t="shared" si="5"/>
        <v>0</v>
      </c>
      <c r="O21" s="65">
        <f t="shared" si="5"/>
        <v>0</v>
      </c>
      <c r="P21" s="65">
        <f t="shared" si="5"/>
        <v>0</v>
      </c>
      <c r="Q21" s="65">
        <f t="shared" si="5"/>
        <v>0</v>
      </c>
      <c r="R21" s="65">
        <f t="shared" si="5"/>
        <v>0</v>
      </c>
      <c r="S21" s="65">
        <f t="shared" si="5"/>
        <v>0</v>
      </c>
      <c r="T21" s="65">
        <f t="shared" si="5"/>
        <v>0</v>
      </c>
      <c r="U21" s="65">
        <f t="shared" si="5"/>
        <v>0</v>
      </c>
      <c r="V21" s="65">
        <f t="shared" si="5"/>
        <v>0</v>
      </c>
      <c r="W21" s="65">
        <f t="shared" si="5"/>
        <v>0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</v>
      </c>
      <c r="J22" s="66">
        <f t="shared" si="5"/>
        <v>0</v>
      </c>
      <c r="K22" s="66">
        <f t="shared" si="5"/>
        <v>0</v>
      </c>
      <c r="L22" s="66">
        <f t="shared" si="5"/>
        <v>0</v>
      </c>
      <c r="M22" s="66">
        <f t="shared" si="5"/>
        <v>0</v>
      </c>
      <c r="N22" s="66">
        <f t="shared" si="5"/>
        <v>0</v>
      </c>
      <c r="O22" s="66">
        <f t="shared" si="5"/>
        <v>0</v>
      </c>
      <c r="P22" s="66">
        <f t="shared" si="5"/>
        <v>0</v>
      </c>
      <c r="Q22" s="66">
        <f t="shared" si="5"/>
        <v>0</v>
      </c>
      <c r="R22" s="66">
        <f t="shared" si="5"/>
        <v>0</v>
      </c>
      <c r="S22" s="66">
        <f t="shared" si="5"/>
        <v>0</v>
      </c>
      <c r="T22" s="66">
        <f t="shared" si="5"/>
        <v>0</v>
      </c>
      <c r="U22" s="66">
        <f t="shared" si="5"/>
        <v>0</v>
      </c>
      <c r="V22" s="66">
        <f t="shared" si="5"/>
        <v>0</v>
      </c>
      <c r="W22" s="66">
        <f t="shared" si="5"/>
        <v>0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</v>
      </c>
      <c r="J23" s="67">
        <f t="shared" si="5"/>
        <v>0</v>
      </c>
      <c r="K23" s="67">
        <f t="shared" si="5"/>
        <v>0</v>
      </c>
      <c r="L23" s="67">
        <f t="shared" si="5"/>
        <v>0</v>
      </c>
      <c r="M23" s="67">
        <f t="shared" si="5"/>
        <v>0</v>
      </c>
      <c r="N23" s="67">
        <f t="shared" si="5"/>
        <v>0</v>
      </c>
      <c r="O23" s="67">
        <f t="shared" si="5"/>
        <v>0</v>
      </c>
      <c r="P23" s="67">
        <f t="shared" si="5"/>
        <v>0</v>
      </c>
      <c r="Q23" s="67">
        <f t="shared" si="5"/>
        <v>0</v>
      </c>
      <c r="R23" s="67">
        <f t="shared" si="5"/>
        <v>0</v>
      </c>
      <c r="S23" s="67">
        <f t="shared" si="5"/>
        <v>0</v>
      </c>
      <c r="T23" s="67">
        <f t="shared" si="5"/>
        <v>0</v>
      </c>
      <c r="U23" s="67">
        <f t="shared" si="5"/>
        <v>0</v>
      </c>
      <c r="V23" s="67">
        <f t="shared" si="5"/>
        <v>0</v>
      </c>
      <c r="W23" s="67">
        <f t="shared" si="5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0</v>
      </c>
      <c r="J4" s="71">
        <f t="shared" si="1"/>
        <v>0</v>
      </c>
      <c r="K4" s="71">
        <f t="shared" si="1"/>
        <v>0</v>
      </c>
      <c r="L4" s="71">
        <f t="shared" si="1"/>
        <v>0</v>
      </c>
      <c r="M4" s="71">
        <f t="shared" si="1"/>
        <v>0</v>
      </c>
      <c r="N4" s="71">
        <f t="shared" si="1"/>
        <v>0</v>
      </c>
      <c r="O4" s="71">
        <f t="shared" si="1"/>
        <v>0</v>
      </c>
      <c r="P4" s="71">
        <f t="shared" si="1"/>
        <v>0</v>
      </c>
      <c r="Q4" s="71">
        <f t="shared" si="1"/>
        <v>0</v>
      </c>
      <c r="R4" s="71">
        <f t="shared" si="1"/>
        <v>0</v>
      </c>
      <c r="S4" s="71">
        <f t="shared" si="1"/>
        <v>0</v>
      </c>
      <c r="T4" s="71">
        <f t="shared" si="1"/>
        <v>0</v>
      </c>
      <c r="U4" s="71">
        <f t="shared" si="1"/>
        <v>0</v>
      </c>
      <c r="V4" s="71">
        <f t="shared" si="1"/>
        <v>0</v>
      </c>
      <c r="W4" s="71">
        <f t="shared" si="1"/>
        <v>0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0</v>
      </c>
      <c r="J10" s="71">
        <f t="shared" si="2"/>
        <v>0</v>
      </c>
      <c r="K10" s="71">
        <f t="shared" si="2"/>
        <v>0</v>
      </c>
      <c r="L10" s="71">
        <f t="shared" si="2"/>
        <v>0</v>
      </c>
      <c r="M10" s="71">
        <f t="shared" si="2"/>
        <v>0</v>
      </c>
      <c r="N10" s="71">
        <f t="shared" si="2"/>
        <v>0</v>
      </c>
      <c r="O10" s="71">
        <f t="shared" si="2"/>
        <v>0</v>
      </c>
      <c r="P10" s="71">
        <f t="shared" si="2"/>
        <v>0</v>
      </c>
      <c r="Q10" s="71">
        <f t="shared" si="2"/>
        <v>0</v>
      </c>
      <c r="R10" s="71">
        <f t="shared" si="2"/>
        <v>0</v>
      </c>
      <c r="S10" s="71">
        <f t="shared" si="2"/>
        <v>0</v>
      </c>
      <c r="T10" s="71">
        <f t="shared" si="2"/>
        <v>0</v>
      </c>
      <c r="U10" s="71">
        <f t="shared" si="2"/>
        <v>0</v>
      </c>
      <c r="V10" s="71">
        <f t="shared" si="2"/>
        <v>0</v>
      </c>
      <c r="W10" s="71">
        <f t="shared" si="2"/>
        <v>0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0</v>
      </c>
      <c r="J27" s="76">
        <f t="shared" si="3"/>
        <v>0</v>
      </c>
      <c r="K27" s="76">
        <f t="shared" si="3"/>
        <v>0</v>
      </c>
      <c r="L27" s="76">
        <f t="shared" si="3"/>
        <v>0</v>
      </c>
      <c r="M27" s="76">
        <f t="shared" si="3"/>
        <v>0</v>
      </c>
      <c r="N27" s="76">
        <f t="shared" si="3"/>
        <v>0</v>
      </c>
      <c r="O27" s="76">
        <f t="shared" si="3"/>
        <v>0</v>
      </c>
      <c r="P27" s="76">
        <f t="shared" si="3"/>
        <v>0</v>
      </c>
      <c r="Q27" s="76">
        <f t="shared" si="3"/>
        <v>0</v>
      </c>
      <c r="R27" s="76">
        <f t="shared" si="3"/>
        <v>0</v>
      </c>
      <c r="S27" s="76">
        <f t="shared" si="3"/>
        <v>0</v>
      </c>
      <c r="T27" s="76">
        <f t="shared" si="3"/>
        <v>0</v>
      </c>
      <c r="U27" s="76">
        <f t="shared" si="3"/>
        <v>0</v>
      </c>
      <c r="V27" s="76">
        <f t="shared" si="3"/>
        <v>0</v>
      </c>
      <c r="W27" s="76">
        <f t="shared" si="3"/>
        <v>0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</v>
      </c>
      <c r="J28" s="77">
        <f t="shared" si="3"/>
        <v>0</v>
      </c>
      <c r="K28" s="77">
        <f t="shared" si="3"/>
        <v>0</v>
      </c>
      <c r="L28" s="77">
        <f t="shared" si="3"/>
        <v>0</v>
      </c>
      <c r="M28" s="77">
        <f t="shared" si="3"/>
        <v>0</v>
      </c>
      <c r="N28" s="77">
        <f t="shared" si="3"/>
        <v>0</v>
      </c>
      <c r="O28" s="77">
        <f t="shared" si="3"/>
        <v>0</v>
      </c>
      <c r="P28" s="77">
        <f t="shared" si="3"/>
        <v>0</v>
      </c>
      <c r="Q28" s="77">
        <f t="shared" si="3"/>
        <v>0</v>
      </c>
      <c r="R28" s="77">
        <f t="shared" si="3"/>
        <v>0</v>
      </c>
      <c r="S28" s="77">
        <f t="shared" si="3"/>
        <v>0</v>
      </c>
      <c r="T28" s="77">
        <f t="shared" si="3"/>
        <v>0</v>
      </c>
      <c r="U28" s="77">
        <f t="shared" si="3"/>
        <v>0</v>
      </c>
      <c r="V28" s="77">
        <f t="shared" si="3"/>
        <v>0</v>
      </c>
      <c r="W28" s="77">
        <f t="shared" si="3"/>
        <v>0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</v>
      </c>
      <c r="J29" s="78">
        <f t="shared" si="4"/>
        <v>0</v>
      </c>
      <c r="K29" s="78">
        <f t="shared" si="4"/>
        <v>0</v>
      </c>
      <c r="L29" s="78">
        <f t="shared" si="4"/>
        <v>0</v>
      </c>
      <c r="M29" s="78">
        <f t="shared" si="4"/>
        <v>0</v>
      </c>
      <c r="N29" s="78">
        <f t="shared" si="4"/>
        <v>0</v>
      </c>
      <c r="O29" s="78">
        <f t="shared" si="4"/>
        <v>0</v>
      </c>
      <c r="P29" s="78">
        <f t="shared" si="4"/>
        <v>0</v>
      </c>
      <c r="Q29" s="78">
        <f t="shared" si="4"/>
        <v>0</v>
      </c>
      <c r="R29" s="78">
        <f t="shared" si="4"/>
        <v>0</v>
      </c>
      <c r="S29" s="78">
        <f t="shared" si="4"/>
        <v>0</v>
      </c>
      <c r="T29" s="78">
        <f t="shared" si="4"/>
        <v>0</v>
      </c>
      <c r="U29" s="78">
        <f t="shared" si="4"/>
        <v>0</v>
      </c>
      <c r="V29" s="78">
        <f t="shared" si="4"/>
        <v>0</v>
      </c>
      <c r="W29" s="78">
        <f t="shared" si="4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0</v>
      </c>
      <c r="J21" s="76">
        <f t="shared" si="2"/>
        <v>0</v>
      </c>
      <c r="K21" s="76">
        <f t="shared" si="2"/>
        <v>0</v>
      </c>
      <c r="L21" s="76">
        <f t="shared" si="2"/>
        <v>0</v>
      </c>
      <c r="M21" s="76">
        <f t="shared" si="2"/>
        <v>0</v>
      </c>
      <c r="N21" s="76">
        <f t="shared" si="2"/>
        <v>0</v>
      </c>
      <c r="O21" s="76">
        <f t="shared" si="2"/>
        <v>0</v>
      </c>
      <c r="P21" s="76">
        <f t="shared" si="2"/>
        <v>0</v>
      </c>
      <c r="Q21" s="76">
        <f t="shared" si="2"/>
        <v>0</v>
      </c>
      <c r="R21" s="76">
        <f t="shared" si="2"/>
        <v>0</v>
      </c>
      <c r="S21" s="76">
        <f t="shared" si="2"/>
        <v>0</v>
      </c>
      <c r="T21" s="76">
        <f t="shared" si="2"/>
        <v>0</v>
      </c>
      <c r="U21" s="76">
        <f t="shared" si="2"/>
        <v>0</v>
      </c>
      <c r="V21" s="76">
        <f t="shared" si="2"/>
        <v>0</v>
      </c>
      <c r="W21" s="76">
        <f t="shared" si="2"/>
        <v>0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</v>
      </c>
      <c r="J22" s="77">
        <f t="shared" si="2"/>
        <v>0</v>
      </c>
      <c r="K22" s="77">
        <f t="shared" si="2"/>
        <v>0</v>
      </c>
      <c r="L22" s="77">
        <f t="shared" si="2"/>
        <v>0</v>
      </c>
      <c r="M22" s="77">
        <f t="shared" si="2"/>
        <v>0</v>
      </c>
      <c r="N22" s="77">
        <f t="shared" si="2"/>
        <v>0</v>
      </c>
      <c r="O22" s="77">
        <f t="shared" si="2"/>
        <v>0</v>
      </c>
      <c r="P22" s="77">
        <f t="shared" si="2"/>
        <v>0</v>
      </c>
      <c r="Q22" s="77">
        <f t="shared" si="2"/>
        <v>0</v>
      </c>
      <c r="R22" s="77">
        <f t="shared" si="2"/>
        <v>0</v>
      </c>
      <c r="S22" s="77">
        <f t="shared" si="2"/>
        <v>0</v>
      </c>
      <c r="T22" s="77">
        <f t="shared" si="2"/>
        <v>0</v>
      </c>
      <c r="U22" s="77">
        <f t="shared" si="2"/>
        <v>0</v>
      </c>
      <c r="V22" s="77">
        <f t="shared" si="2"/>
        <v>0</v>
      </c>
      <c r="W22" s="77">
        <f t="shared" si="2"/>
        <v>0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f t="shared" si="2"/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>
        <f t="shared" si="2"/>
        <v>0</v>
      </c>
      <c r="U23" s="78">
        <f t="shared" si="2"/>
        <v>0</v>
      </c>
      <c r="V23" s="78">
        <f t="shared" si="2"/>
        <v>0</v>
      </c>
      <c r="W23" s="78">
        <f t="shared" si="2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FD6F1D-7792-4F1A-96EB-D7B06D295AD5}"/>
</file>

<file path=customXml/itemProps2.xml><?xml version="1.0" encoding="utf-8"?>
<ds:datastoreItem xmlns:ds="http://schemas.openxmlformats.org/officeDocument/2006/customXml" ds:itemID="{CE1B43AA-1482-45B6-AC32-AE1718500FEE}"/>
</file>

<file path=customXml/itemProps3.xml><?xml version="1.0" encoding="utf-8"?>
<ds:datastoreItem xmlns:ds="http://schemas.openxmlformats.org/officeDocument/2006/customXml" ds:itemID="{57B6FE4F-7634-4CF0-8DCC-4B5A351DEA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2024-05-20T16:47:38Z</dcterms:created>
  <dcterms:modified xsi:type="dcterms:W3CDTF">2024-05-20T16:47:38Z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