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W20" i="59"/>
  <c r="V20" i="59"/>
  <c r="U20" i="59"/>
  <c r="Y122" i="59"/>
  <c r="T90" i="59"/>
  <c r="Y89" i="59"/>
  <c r="U121" i="59"/>
  <c r="W87" i="59"/>
  <c r="T118" i="59"/>
  <c r="W117" i="59"/>
  <c r="W84" i="59"/>
  <c r="V115" i="59"/>
  <c r="V113" i="59"/>
  <c r="W80" i="59"/>
  <c r="T80" i="59"/>
  <c r="T112" i="59"/>
  <c r="V111" i="59"/>
  <c r="W110" i="59"/>
  <c r="U110" i="59"/>
  <c r="Y77" i="59"/>
  <c r="U109" i="59"/>
  <c r="Y75" i="59"/>
  <c r="T106" i="59"/>
  <c r="O106" i="59"/>
  <c r="M106" i="59"/>
  <c r="L106" i="59"/>
  <c r="G106" i="59"/>
  <c r="Y105" i="59"/>
  <c r="W73" i="59"/>
  <c r="Y71" i="59"/>
  <c r="V103" i="59"/>
  <c r="X102" i="59"/>
  <c r="Y69" i="59"/>
  <c r="W69" i="59"/>
  <c r="U101" i="59"/>
  <c r="Y68" i="59"/>
  <c r="U100" i="59"/>
  <c r="Y99" i="59"/>
  <c r="Y66" i="59"/>
  <c r="W98" i="59"/>
  <c r="T98" i="59"/>
  <c r="Y97" i="59"/>
  <c r="W85" i="59"/>
  <c r="E106" i="59"/>
  <c r="U115" i="59"/>
  <c r="X110" i="59"/>
  <c r="W104" i="59"/>
  <c r="W90" i="59"/>
  <c r="W122" i="59"/>
  <c r="Y120" i="59"/>
  <c r="Y84" i="59"/>
  <c r="U116" i="59"/>
  <c r="T83" i="59"/>
  <c r="Y82" i="59"/>
  <c r="Y114" i="59"/>
  <c r="W113" i="59"/>
  <c r="U113" i="59"/>
  <c r="Y80" i="59"/>
  <c r="Y111" i="59"/>
  <c r="U108" i="59"/>
  <c r="W74" i="59"/>
  <c r="Y73" i="59"/>
  <c r="Y72" i="59"/>
  <c r="T71" i="59"/>
  <c r="Y70" i="59"/>
  <c r="Y102" i="59"/>
  <c r="W101" i="59"/>
  <c r="V101" i="59"/>
  <c r="Y67" i="59"/>
  <c r="Y65" i="59"/>
  <c r="X20" i="59"/>
  <c r="Y13" i="59"/>
  <c r="V13" i="59"/>
  <c r="W5" i="59"/>
  <c r="T5" i="59"/>
  <c r="Y5" i="59"/>
  <c r="U5" i="59"/>
  <c r="W75" i="59" l="1"/>
  <c r="Y93" i="59"/>
  <c r="Y107" i="59"/>
  <c r="U103" i="59"/>
  <c r="U71" i="59"/>
  <c r="V94" i="59"/>
  <c r="X122" i="59"/>
  <c r="W65" i="59"/>
  <c r="W72" i="59"/>
  <c r="V74" i="59"/>
  <c r="T67" i="59"/>
  <c r="X100" i="59"/>
  <c r="Y103" i="59"/>
  <c r="J106" i="59"/>
  <c r="R106" i="59"/>
  <c r="Y74" i="59"/>
  <c r="U107" i="59"/>
  <c r="W112" i="59"/>
  <c r="Y115" i="59"/>
  <c r="U117" i="59"/>
  <c r="U93" i="59"/>
  <c r="W105" i="59"/>
  <c r="W81" i="59"/>
  <c r="U104" i="59"/>
  <c r="X112" i="59"/>
  <c r="Y118" i="59"/>
  <c r="W67" i="59"/>
  <c r="W78" i="59"/>
  <c r="W111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<sst xmlns="http://schemas.openxmlformats.org/spreadsheetml/2006/main" count="722" uniqueCount="281">
  <si>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</si>
  <si>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</si>
  <si>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</si>
  <si>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</si>
  <si>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</si>
  <si>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</si>
  <si>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</si>
  <si>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</si>
  <si>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</si>
  <si>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</si>
  <si>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</si>
  <si>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</si>
  <si>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</si>
  <si>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</si>
  <si>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</si>
  <si>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</si>
  <si>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</si>
  <si>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</si>
  <si>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</si>
  <si>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</si>
  <si>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</si>
  <si>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</si>
  <si>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</si>
  <si>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</si>
  <si>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</si>
  <si>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</si>
  <si>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</si>
  <si>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</si>
  <si>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</si>
  <si>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</si>
  <si>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</si>
  <si>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</si>
  <si>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</si>
  <si>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</si>
  <si>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</si>
  <si>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</si>
  <si>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</si>
  <si>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</si>
  <si>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</si>
  <si>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</si>
  <si>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</si>
  <si>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</si>
  <si>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</si>
  <si>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</si>
  <si>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</si>
  <si>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</si>
  <si>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</si>
  <si>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</si>
  <si>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</si>
  <si>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</si>
  <si>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</si>
  <si>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</si>
  <si>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</si>
  <si>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</si>
  <si>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</si>
  <si>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</si>
  <si>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</si>
  <si>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</si>
  <si>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</si>
  <si>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</si>
  <si>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</si>
  <si>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</si>
  <si>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</si>
  <si>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</si>
  <si>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</si>
  <si>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</si>
  <si>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</si>
  <si>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</si>
  <si>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</si>
  <si>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</si>
  <si>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</si>
  <si>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</si>
  <si>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</si>
  <si>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</si>
  <si>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</si>
  <si>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</si>
  <si>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</si>
  <si>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</si>
  <si>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</si>
  <si>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</si>
  <si>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</si>
  <si>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</si>
  <si>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</si>
  <si>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</si>
  <si>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</si>
  <si>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</si>
  <si>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</si>
  <si>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</si>
  <si>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</si>
  <si>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</si>
  <si>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</si>
  <si>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</si>
  <si>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</si>
  <si>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</si>
  <si>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</si>
  <si>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</si>
  <si>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</si>
  <si>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</si>
  <si>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</si>
  <si>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</si>
  <si>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</si>
  <si>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</si>
  <si>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</si>
  <si>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</si>
  <si>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</si>
  <si>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</si>
  <si>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</si>
  <si>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</si>
  <si>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</si>
  <si>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</si>
  <si>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</si>
  <si>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</si>
  <si>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</si>
  <si>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</si>
  <si>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</si>
  <si>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</si>
  <si>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</si>
  <si>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</si>
  <si>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</si>
  <si>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</si>
  <si>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</si>
  <si>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</si>
  <si>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</si>
  <si>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</si>
  <si>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</si>
  <si>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</si>
  <si>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</si>
  <si>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</si>
  <si>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</si>
  <si>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</si>
  <si>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</si>
  <si>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</si>
  <si>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</si>
  <si>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</si>
  <si>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</si>
  <si>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</si>
  <si>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</si>
  <si>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</si>
  <si>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</si>
  <si>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</si>
  <si>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</si>
  <si>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</si>
  <si>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</si>
  <si>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</si>
  <si>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</si>
  <si>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</si>
  <si>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</si>
  <si>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</si>
  <si>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</si>
  <si>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</si>
  <si>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</si>
  <si>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</si>
  <si>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</si>
  <si>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</si>
  <si>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</si>
  <si>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</si>
  <si>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</si>
  <si>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</si>
  <si>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</si>
  <si>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</si>
  <si>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</si>
  <si>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</si>
  <si>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</si>
  <si>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</si>
  <si>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</si>
  <si>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</si>
  <si>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</si>
  <si>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</si>
  <si>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</si>
  <si>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</si>
  <si>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</si>
  <si>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</si>
  <si>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</si>
  <si>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</si>
  <si>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</si>
  <si>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</si>
  <si>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</si>
  <si>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</si>
  <si>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</si>
  <si>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</si>
  <si>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</si>
  <si>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</si>
  <si>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</si>
  <si>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</si>
  <si>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</si>
  <si>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</si>
  <si>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</si>
  <si>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</si>
  <si>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</si>
  <si>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</si>
  <si>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</si>
  <si>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</si>
  <si>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</si>
  <si>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</si>
  <si>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</si>
  <si>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</si>
  <si>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</si>
  <si>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</si>
  <si>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</si>
  <si>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</si>
  <si>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</si>
  <si>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</si>
  <si>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</si>
  <si>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</si>
  <si>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</si>
  <si>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</si>
  <si>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</si>
  <si>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</si>
  <si>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</si>
  <si>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</si>
  <si>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</si>
  <si>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</si>
  <si>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</si>
  <si>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</si>
  <si>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</si>
  <si>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</si>
  <si>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</si>
  <si>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</si>
  <si>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</si>
  <si>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</si>
  <si>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</si>
  <si>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</si>
  <si>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</si>
  <si>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</si>
  <si>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</si>
  <si>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</si>
  <si>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</si>
  <si>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</si>
  <si>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</si>
  <si>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</si>
  <si>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</si>
  <si>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</si>
  <si>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</si>
  <si>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</si>
  <si>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</si>
  <si>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</si>
  <si>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</si>
  <si>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</si>
  <si>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</si>
  <si>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</si>
  <si>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</si>
  <si>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</si>
  <si>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</si>
  <si>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</si>
  <si>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</si>
  <si>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</si>
  <si>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</si>
  <si>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</si>
  <si>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</si>
  <si>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</si>
  <si>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</si>
  <si>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</si>
  <si>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</si>
  <si>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</si>
  <si>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</si>
  <si>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</si>
  <si>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</si>
  <si>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</si>
  <si>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</si>
  <si>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</si>
  <si>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</si>
  <si>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</si>
  <si>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</si>
  <si>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</si>
  <si>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</si>
  <si>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</si>
  <si>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</si>
  <si>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</si>
  <si>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</si>
  <si>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</si>
  <si>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</si>
  <si>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</si>
  <si>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</si>
  <si>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</si>
  <si>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</si>
  <si>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</si>
  <si>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</si>
  <si>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</si>
  <si>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</si>
  <si>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CZ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</si>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</sst>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45432.782905092594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66176.276603876147</v>
      </c>
      <c r="E2" s="19">
        <v>74737.282849039941</v>
      </c>
      <c r="F2" s="19">
        <v>86241.614724177416</v>
      </c>
      <c r="G2" s="19">
        <v>87526.352936262643</v>
      </c>
      <c r="H2" s="19">
        <v>95319.826307467592</v>
      </c>
      <c r="I2" s="19">
        <v>108912.16409051132</v>
      </c>
      <c r="J2" s="19">
        <v>122989.38555843175</v>
      </c>
      <c r="K2" s="19">
        <v>137225.24350563658</v>
      </c>
      <c r="L2" s="19">
        <v>159994.07668630077</v>
      </c>
      <c r="M2" s="19">
        <v>147674.90978786183</v>
      </c>
      <c r="N2" s="19">
        <v>155903.40987620194</v>
      </c>
      <c r="O2" s="19">
        <v>163090.60963200554</v>
      </c>
      <c r="P2" s="19">
        <v>160511.35896083026</v>
      </c>
      <c r="Q2" s="19">
        <v>157424.0806077648</v>
      </c>
      <c r="R2" s="19">
        <v>155805.35504062468</v>
      </c>
      <c r="S2" s="19">
        <v>167391.246204</v>
      </c>
      <c r="T2" s="19">
        <v>175171.35970722529</v>
      </c>
      <c r="U2" s="19">
        <v>191653.48723203858</v>
      </c>
      <c r="V2" s="19">
        <v>208273.49292819956</v>
      </c>
      <c r="W2" s="19">
        <v>222729.76959276022</v>
      </c>
      <c r="X2" s="19">
        <v>213047.28629985356</v>
      </c>
      <c r="Y2" s="19">
        <v>235204.99680933479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33036.2634514612</v>
      </c>
      <c r="E3" s="23">
        <v>36801.596327069419</v>
      </c>
      <c r="F3" s="23">
        <v>42507.295567076049</v>
      </c>
      <c r="G3" s="23">
        <v>43272.346169701137</v>
      </c>
      <c r="H3" s="23">
        <v>45985.846520714971</v>
      </c>
      <c r="I3" s="23">
        <v>51578.250072936666</v>
      </c>
      <c r="J3" s="23">
        <v>57224.234019792035</v>
      </c>
      <c r="K3" s="23">
        <v>62619.16584257636</v>
      </c>
      <c r="L3" s="23">
        <v>75094.736558887394</v>
      </c>
      <c r="M3" s="23">
        <v>71150.62176503829</v>
      </c>
      <c r="N3" s="23">
        <v>75756.1028088569</v>
      </c>
      <c r="O3" s="23">
        <v>79543.370175520613</v>
      </c>
      <c r="P3" s="23">
        <v>78590.187209302312</v>
      </c>
      <c r="Q3" s="23">
        <v>77306.260336730091</v>
      </c>
      <c r="R3" s="23">
        <v>74588.104770557009</v>
      </c>
      <c r="S3" s="23">
        <v>78204.613629999993</v>
      </c>
      <c r="T3" s="23">
        <v>82231.928502620489</v>
      </c>
      <c r="U3" s="23">
        <v>89897.692063462251</v>
      </c>
      <c r="V3" s="23">
        <v>97922.859521025413</v>
      </c>
      <c r="W3" s="23">
        <v>103300.19338778347</v>
      </c>
      <c r="X3" s="23">
        <v>95678.212992211629</v>
      </c>
      <c r="Y3" s="23">
        <v>105723.80936236851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61063.4</v>
      </c>
      <c r="E4" s="27">
        <v>69092.100000000006</v>
      </c>
      <c r="F4" s="27">
        <v>79882.5</v>
      </c>
      <c r="G4" s="27">
        <v>81050.899999999994</v>
      </c>
      <c r="H4" s="27">
        <v>87421</v>
      </c>
      <c r="I4" s="27">
        <v>99776.8</v>
      </c>
      <c r="J4" s="27">
        <v>113231.5</v>
      </c>
      <c r="K4" s="27">
        <v>125885.3</v>
      </c>
      <c r="L4" s="27">
        <v>147036.20000000001</v>
      </c>
      <c r="M4" s="27">
        <v>135353.1</v>
      </c>
      <c r="N4" s="27">
        <v>142917.6</v>
      </c>
      <c r="O4" s="27">
        <v>149203.1</v>
      </c>
      <c r="P4" s="27">
        <v>146229</v>
      </c>
      <c r="Q4" s="27">
        <v>142918.20000000001</v>
      </c>
      <c r="R4" s="27">
        <v>142743.20000000004</v>
      </c>
      <c r="S4" s="27">
        <v>152687.9</v>
      </c>
      <c r="T4" s="27">
        <v>159603.40000000002</v>
      </c>
      <c r="U4" s="27">
        <v>174451.9</v>
      </c>
      <c r="V4" s="27">
        <v>190124.2</v>
      </c>
      <c r="W4" s="27">
        <v>203852.3</v>
      </c>
      <c r="X4" s="27">
        <v>196415.8</v>
      </c>
      <c r="Y4" s="27">
        <v>216491.7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2178.9</v>
      </c>
      <c r="E6" s="19">
        <v>2425.1999999999998</v>
      </c>
      <c r="F6" s="19">
        <v>2323.4</v>
      </c>
      <c r="G6" s="19">
        <v>2163.3000000000002</v>
      </c>
      <c r="H6" s="19">
        <v>2332.1999999999998</v>
      </c>
      <c r="I6" s="19">
        <v>2520.4</v>
      </c>
      <c r="J6" s="19">
        <v>2697.1</v>
      </c>
      <c r="K6" s="19">
        <v>2903.6</v>
      </c>
      <c r="L6" s="19">
        <v>3111.5</v>
      </c>
      <c r="M6" s="19">
        <v>2627.9</v>
      </c>
      <c r="N6" s="19">
        <v>2432.9</v>
      </c>
      <c r="O6" s="19">
        <v>3275.2</v>
      </c>
      <c r="P6" s="19">
        <v>3660.1</v>
      </c>
      <c r="Q6" s="19">
        <v>3770.9</v>
      </c>
      <c r="R6" s="19">
        <v>3808.9</v>
      </c>
      <c r="S6" s="19">
        <v>3749.3</v>
      </c>
      <c r="T6" s="19">
        <v>3703.2</v>
      </c>
      <c r="U6" s="19">
        <v>3994.5</v>
      </c>
      <c r="V6" s="19">
        <v>4084.9</v>
      </c>
      <c r="W6" s="19">
        <v>4198.3</v>
      </c>
      <c r="X6" s="19">
        <v>4231.1000000000004</v>
      </c>
      <c r="Y6" s="19">
        <v>4396.6000000000004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18686.699999999997</v>
      </c>
      <c r="E7" s="23">
        <v>21524.600000000006</v>
      </c>
      <c r="F7" s="23">
        <v>23929.499999999989</v>
      </c>
      <c r="G7" s="23">
        <v>23385.699999999997</v>
      </c>
      <c r="H7" s="23">
        <v>26765.000000000011</v>
      </c>
      <c r="I7" s="23">
        <v>30433.400000000005</v>
      </c>
      <c r="J7" s="23">
        <v>35600.30000000001</v>
      </c>
      <c r="K7" s="23">
        <v>39461.000000000007</v>
      </c>
      <c r="L7" s="23">
        <v>45225.80000000001</v>
      </c>
      <c r="M7" s="23">
        <v>39916.900000000016</v>
      </c>
      <c r="N7" s="23">
        <v>42302.499999999993</v>
      </c>
      <c r="O7" s="23">
        <v>45993.599999999999</v>
      </c>
      <c r="P7" s="23">
        <v>44897.700000000012</v>
      </c>
      <c r="Q7" s="23">
        <v>43842.300000000017</v>
      </c>
      <c r="R7" s="23">
        <v>45357.500000000029</v>
      </c>
      <c r="S7" s="23">
        <v>48643.39999999998</v>
      </c>
      <c r="T7" s="23">
        <v>50559.800000000025</v>
      </c>
      <c r="U7" s="23">
        <v>53949.900000000009</v>
      </c>
      <c r="V7" s="23">
        <v>56396.4</v>
      </c>
      <c r="W7" s="23">
        <v>59646.900000000009</v>
      </c>
      <c r="X7" s="23">
        <v>55135.599999999991</v>
      </c>
      <c r="Y7" s="23">
        <v>59997.10000000002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3763.4</v>
      </c>
      <c r="E8" s="23">
        <v>4146.3999999999996</v>
      </c>
      <c r="F8" s="23">
        <v>5081.3999999999996</v>
      </c>
      <c r="G8" s="23">
        <v>5288.8</v>
      </c>
      <c r="H8" s="23">
        <v>5657.7</v>
      </c>
      <c r="I8" s="23">
        <v>6653.7</v>
      </c>
      <c r="J8" s="23">
        <v>7172.7</v>
      </c>
      <c r="K8" s="23">
        <v>8053.9</v>
      </c>
      <c r="L8" s="23">
        <v>9321.4</v>
      </c>
      <c r="M8" s="23">
        <v>9428.2999999999993</v>
      </c>
      <c r="N8" s="23">
        <v>10081</v>
      </c>
      <c r="O8" s="23">
        <v>9597.7999999999975</v>
      </c>
      <c r="P8" s="23">
        <v>8630</v>
      </c>
      <c r="Q8" s="23">
        <v>8215.7000000000007</v>
      </c>
      <c r="R8" s="23">
        <v>8048.3</v>
      </c>
      <c r="S8" s="23">
        <v>8636.5</v>
      </c>
      <c r="T8" s="23">
        <v>8721.2999999999993</v>
      </c>
      <c r="U8" s="23">
        <v>9547.7000000000025</v>
      </c>
      <c r="V8" s="23">
        <v>10630.7</v>
      </c>
      <c r="W8" s="23">
        <v>11489.5</v>
      </c>
      <c r="X8" s="23">
        <v>11088.6</v>
      </c>
      <c r="Y8" s="23">
        <v>12110.8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13600.1</v>
      </c>
      <c r="E9" s="23">
        <v>15118.3</v>
      </c>
      <c r="F9" s="23">
        <v>17708.900000000001</v>
      </c>
      <c r="G9" s="23">
        <v>17931.7</v>
      </c>
      <c r="H9" s="23">
        <v>18377.5</v>
      </c>
      <c r="I9" s="23">
        <v>20577.3</v>
      </c>
      <c r="J9" s="23">
        <v>23317.5</v>
      </c>
      <c r="K9" s="23">
        <v>25512.799999999999</v>
      </c>
      <c r="L9" s="23">
        <v>29609.1</v>
      </c>
      <c r="M9" s="23">
        <v>25114.5</v>
      </c>
      <c r="N9" s="23">
        <v>26804.400000000001</v>
      </c>
      <c r="O9" s="23">
        <v>27358.799999999999</v>
      </c>
      <c r="P9" s="23">
        <v>26838.9</v>
      </c>
      <c r="Q9" s="23">
        <v>25847.8</v>
      </c>
      <c r="R9" s="23">
        <v>25741.9</v>
      </c>
      <c r="S9" s="23">
        <v>28365</v>
      </c>
      <c r="T9" s="23">
        <v>29590.1</v>
      </c>
      <c r="U9" s="23">
        <v>33274.5</v>
      </c>
      <c r="V9" s="23">
        <v>35714.199999999997</v>
      </c>
      <c r="W9" s="23">
        <v>37774.5</v>
      </c>
      <c r="X9" s="23">
        <v>34408.5</v>
      </c>
      <c r="Y9" s="23">
        <v>38755.4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2623.5</v>
      </c>
      <c r="E10" s="23">
        <v>2971.2</v>
      </c>
      <c r="F10" s="23">
        <v>3565.6</v>
      </c>
      <c r="G10" s="23">
        <v>3704.3</v>
      </c>
      <c r="H10" s="23">
        <v>3928.7</v>
      </c>
      <c r="I10" s="23">
        <v>4822.8</v>
      </c>
      <c r="J10" s="23">
        <v>5678.5</v>
      </c>
      <c r="K10" s="23">
        <v>6548</v>
      </c>
      <c r="L10" s="23">
        <v>7569.2</v>
      </c>
      <c r="M10" s="23">
        <v>7212</v>
      </c>
      <c r="N10" s="23">
        <v>7338.6</v>
      </c>
      <c r="O10" s="23">
        <v>7724.2</v>
      </c>
      <c r="P10" s="23">
        <v>7535.1</v>
      </c>
      <c r="Q10" s="23">
        <v>7261.2</v>
      </c>
      <c r="R10" s="23">
        <v>7235.4</v>
      </c>
      <c r="S10" s="23">
        <v>7920.5</v>
      </c>
      <c r="T10" s="23">
        <v>8440.4</v>
      </c>
      <c r="U10" s="23">
        <v>9603.5</v>
      </c>
      <c r="V10" s="23">
        <v>11078.2</v>
      </c>
      <c r="W10" s="23">
        <v>12874.6</v>
      </c>
      <c r="X10" s="23">
        <v>13519.3</v>
      </c>
      <c r="Y10" s="23">
        <v>14975.5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1924.2</v>
      </c>
      <c r="E11" s="23">
        <v>2297.1999999999998</v>
      </c>
      <c r="F11" s="23">
        <v>2110.8000000000002</v>
      </c>
      <c r="G11" s="23">
        <v>2708.9</v>
      </c>
      <c r="H11" s="23">
        <v>2866.9</v>
      </c>
      <c r="I11" s="23">
        <v>3124.2</v>
      </c>
      <c r="J11" s="23">
        <v>3481.3</v>
      </c>
      <c r="K11" s="23">
        <v>4531</v>
      </c>
      <c r="L11" s="23">
        <v>5981.2</v>
      </c>
      <c r="M11" s="23">
        <v>5947.6</v>
      </c>
      <c r="N11" s="23">
        <v>6616.2</v>
      </c>
      <c r="O11" s="23">
        <v>6763.6</v>
      </c>
      <c r="P11" s="23">
        <v>6543.2</v>
      </c>
      <c r="Q11" s="23">
        <v>6571</v>
      </c>
      <c r="R11" s="23">
        <v>6084</v>
      </c>
      <c r="S11" s="23">
        <v>6512.8</v>
      </c>
      <c r="T11" s="23">
        <v>6638.3</v>
      </c>
      <c r="U11" s="23">
        <v>7144</v>
      </c>
      <c r="V11" s="23">
        <v>8108.4</v>
      </c>
      <c r="W11" s="23">
        <v>8234.7000000000007</v>
      </c>
      <c r="X11" s="23">
        <v>8081.3</v>
      </c>
      <c r="Y11" s="23">
        <v>8868.7999999999993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4804.3</v>
      </c>
      <c r="E12" s="23">
        <v>5318.7</v>
      </c>
      <c r="F12" s="23">
        <v>6254.4</v>
      </c>
      <c r="G12" s="23">
        <v>6331.9</v>
      </c>
      <c r="H12" s="23">
        <v>6821.3</v>
      </c>
      <c r="I12" s="23">
        <v>8040.7</v>
      </c>
      <c r="J12" s="23">
        <v>9079.2999999999993</v>
      </c>
      <c r="K12" s="23">
        <v>9971.4999999999982</v>
      </c>
      <c r="L12" s="23">
        <v>12400.4</v>
      </c>
      <c r="M12" s="23">
        <v>12490</v>
      </c>
      <c r="N12" s="23">
        <v>13061.3</v>
      </c>
      <c r="O12" s="23">
        <v>13396.4</v>
      </c>
      <c r="P12" s="23">
        <v>13176.7</v>
      </c>
      <c r="Q12" s="23">
        <v>12864.7</v>
      </c>
      <c r="R12" s="23">
        <v>12556</v>
      </c>
      <c r="S12" s="23">
        <v>13051.8</v>
      </c>
      <c r="T12" s="23">
        <v>13874.5</v>
      </c>
      <c r="U12" s="23">
        <v>15005.5</v>
      </c>
      <c r="V12" s="23">
        <v>17396</v>
      </c>
      <c r="W12" s="23">
        <v>18889.400000000001</v>
      </c>
      <c r="X12" s="23">
        <v>19085.3</v>
      </c>
      <c r="Y12" s="23">
        <v>20087.900000000001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3631</v>
      </c>
      <c r="E13" s="23">
        <v>4146.3999999999996</v>
      </c>
      <c r="F13" s="23">
        <v>5272.7</v>
      </c>
      <c r="G13" s="23">
        <v>5288.1</v>
      </c>
      <c r="H13" s="23">
        <v>5787.5</v>
      </c>
      <c r="I13" s="23">
        <v>6656.5</v>
      </c>
      <c r="J13" s="23">
        <v>7363.2999999999993</v>
      </c>
      <c r="K13" s="23">
        <v>8515.5999999999985</v>
      </c>
      <c r="L13" s="23">
        <v>10173.299999999997</v>
      </c>
      <c r="M13" s="23">
        <v>9293.2000000000007</v>
      </c>
      <c r="N13" s="23">
        <v>9710.9</v>
      </c>
      <c r="O13" s="23">
        <v>9724</v>
      </c>
      <c r="P13" s="23">
        <v>10066.999999999998</v>
      </c>
      <c r="Q13" s="23">
        <v>10071.700000000003</v>
      </c>
      <c r="R13" s="23">
        <v>9824.7000000000007</v>
      </c>
      <c r="S13" s="23">
        <v>10564.2</v>
      </c>
      <c r="T13" s="23">
        <v>11410.9</v>
      </c>
      <c r="U13" s="23">
        <v>12698.4</v>
      </c>
      <c r="V13" s="23">
        <v>13994.9</v>
      </c>
      <c r="W13" s="23">
        <v>14857.8</v>
      </c>
      <c r="X13" s="23">
        <v>13914.2</v>
      </c>
      <c r="Y13" s="23">
        <v>16141.8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8327.1</v>
      </c>
      <c r="E14" s="23">
        <v>9505.7000000000007</v>
      </c>
      <c r="F14" s="23">
        <v>11775.9</v>
      </c>
      <c r="G14" s="23">
        <v>12255.500000000002</v>
      </c>
      <c r="H14" s="23">
        <v>12774.2</v>
      </c>
      <c r="I14" s="23">
        <v>14642.399999999998</v>
      </c>
      <c r="J14" s="23">
        <v>16198</v>
      </c>
      <c r="K14" s="23">
        <v>17519.699999999997</v>
      </c>
      <c r="L14" s="23">
        <v>20532.7</v>
      </c>
      <c r="M14" s="23">
        <v>20336.800000000003</v>
      </c>
      <c r="N14" s="23">
        <v>21266.3</v>
      </c>
      <c r="O14" s="23">
        <v>21667.3</v>
      </c>
      <c r="P14" s="23">
        <v>21620</v>
      </c>
      <c r="Q14" s="23">
        <v>21316.2</v>
      </c>
      <c r="R14" s="23">
        <v>21014</v>
      </c>
      <c r="S14" s="23">
        <v>21968.799999999999</v>
      </c>
      <c r="T14" s="23">
        <v>23161.3</v>
      </c>
      <c r="U14" s="23">
        <v>25451.200000000001</v>
      </c>
      <c r="V14" s="23">
        <v>28641.9</v>
      </c>
      <c r="W14" s="23">
        <v>31382.799999999999</v>
      </c>
      <c r="X14" s="23">
        <v>33087.599999999999</v>
      </c>
      <c r="Y14" s="23">
        <v>36859.9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1524.2</v>
      </c>
      <c r="E15" s="23">
        <v>1638.4</v>
      </c>
      <c r="F15" s="23">
        <v>1859.8999999999996</v>
      </c>
      <c r="G15" s="23">
        <v>1992.7</v>
      </c>
      <c r="H15" s="23">
        <v>2110</v>
      </c>
      <c r="I15" s="23">
        <v>2305.4</v>
      </c>
      <c r="J15" s="23">
        <v>2643.5</v>
      </c>
      <c r="K15" s="23">
        <v>2868.2</v>
      </c>
      <c r="L15" s="23">
        <v>3111.6</v>
      </c>
      <c r="M15" s="23">
        <v>2985.9</v>
      </c>
      <c r="N15" s="23">
        <v>3303.5</v>
      </c>
      <c r="O15" s="23">
        <v>3702.2</v>
      </c>
      <c r="P15" s="23">
        <v>3260.3</v>
      </c>
      <c r="Q15" s="23">
        <v>3156.7</v>
      </c>
      <c r="R15" s="23">
        <v>3072.5</v>
      </c>
      <c r="S15" s="23">
        <v>3275.6</v>
      </c>
      <c r="T15" s="23">
        <v>3503.6</v>
      </c>
      <c r="U15" s="23">
        <v>3782.7</v>
      </c>
      <c r="V15" s="23">
        <v>4078.6</v>
      </c>
      <c r="W15" s="23">
        <v>4503.8</v>
      </c>
      <c r="X15" s="23">
        <v>3864.3</v>
      </c>
      <c r="Y15" s="23">
        <v>4297.8999999999996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61063.399999999994</v>
      </c>
      <c r="E16" s="30">
        <f t="shared" ref="E16:S16" si="0">SUM(E6:E15)</f>
        <v>69092.099999999991</v>
      </c>
      <c r="F16" s="30">
        <f t="shared" si="0"/>
        <v>79882.499999999985</v>
      </c>
      <c r="G16" s="30">
        <f t="shared" si="0"/>
        <v>81050.900000000009</v>
      </c>
      <c r="H16" s="30">
        <f t="shared" si="0"/>
        <v>87421</v>
      </c>
      <c r="I16" s="30">
        <f t="shared" si="0"/>
        <v>99776.799999999988</v>
      </c>
      <c r="J16" s="30">
        <f t="shared" si="0"/>
        <v>113231.50000000001</v>
      </c>
      <c r="K16" s="30">
        <f t="shared" si="0"/>
        <v>125885.29999999999</v>
      </c>
      <c r="L16" s="30">
        <f t="shared" si="0"/>
        <v>147036.20000000001</v>
      </c>
      <c r="M16" s="30">
        <f t="shared" si="0"/>
        <v>135353.1</v>
      </c>
      <c r="N16" s="30">
        <f t="shared" si="0"/>
        <v>142917.59999999998</v>
      </c>
      <c r="O16" s="30">
        <f t="shared" si="0"/>
        <v>149203.1</v>
      </c>
      <c r="P16" s="30">
        <f t="shared" si="0"/>
        <v>146229</v>
      </c>
      <c r="Q16" s="30">
        <f t="shared" si="0"/>
        <v>142918.20000000004</v>
      </c>
      <c r="R16" s="30">
        <f t="shared" si="0"/>
        <v>142743.20000000001</v>
      </c>
      <c r="S16" s="30">
        <f t="shared" si="0"/>
        <v>152687.9</v>
      </c>
      <c r="T16" s="30">
        <f t="shared" ref="T16:Y16" si="1">SUM(T6:T15)</f>
        <v>159603.40000000002</v>
      </c>
      <c r="U16" s="30">
        <f t="shared" si="1"/>
        <v>174451.90000000002</v>
      </c>
      <c r="V16" s="30">
        <f t="shared" si="1"/>
        <v>190124.19999999998</v>
      </c>
      <c r="W16" s="30">
        <f t="shared" si="1"/>
        <v>203852.3</v>
      </c>
      <c r="X16" s="30">
        <f t="shared" si="1"/>
        <v>196415.8</v>
      </c>
      <c r="Y16" s="30">
        <f t="shared" si="1"/>
        <v>216491.69999999998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2178.9</v>
      </c>
      <c r="E18" s="19">
        <v>2425.1999999999998</v>
      </c>
      <c r="F18" s="19">
        <v>2323.4</v>
      </c>
      <c r="G18" s="19">
        <v>2163.3000000000002</v>
      </c>
      <c r="H18" s="19">
        <v>2332.1999999999998</v>
      </c>
      <c r="I18" s="19">
        <v>2520.4</v>
      </c>
      <c r="J18" s="19">
        <v>2697.1</v>
      </c>
      <c r="K18" s="19">
        <v>2903.6</v>
      </c>
      <c r="L18" s="19">
        <v>3111.5</v>
      </c>
      <c r="M18" s="19">
        <v>2627.9</v>
      </c>
      <c r="N18" s="19">
        <v>2432.9</v>
      </c>
      <c r="O18" s="19">
        <v>3275.2</v>
      </c>
      <c r="P18" s="19">
        <v>3660.1</v>
      </c>
      <c r="Q18" s="19">
        <v>3770.9</v>
      </c>
      <c r="R18" s="19">
        <v>3808.9</v>
      </c>
      <c r="S18" s="19">
        <v>3749.3</v>
      </c>
      <c r="T18" s="19">
        <v>3703.2</v>
      </c>
      <c r="U18" s="19">
        <v>3994.5</v>
      </c>
      <c r="V18" s="19">
        <v>4084.9</v>
      </c>
      <c r="W18" s="19">
        <v>4198.3</v>
      </c>
      <c r="X18" s="19">
        <v>4231.1000000000004</v>
      </c>
      <c r="Y18" s="19">
        <v>4396.6000000000004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805.7</v>
      </c>
      <c r="E19" s="23">
        <v>887</v>
      </c>
      <c r="F19" s="23">
        <v>956.4</v>
      </c>
      <c r="G19" s="23">
        <v>864.2</v>
      </c>
      <c r="H19" s="23">
        <v>1010.8</v>
      </c>
      <c r="I19" s="23">
        <v>1235.5999999999999</v>
      </c>
      <c r="J19" s="23">
        <v>1471.5</v>
      </c>
      <c r="K19" s="23">
        <v>1612.9</v>
      </c>
      <c r="L19" s="23">
        <v>2040</v>
      </c>
      <c r="M19" s="23">
        <v>1658.3</v>
      </c>
      <c r="N19" s="23">
        <v>1781</v>
      </c>
      <c r="O19" s="23">
        <v>1894.2</v>
      </c>
      <c r="P19" s="23">
        <v>1709</v>
      </c>
      <c r="Q19" s="23">
        <v>1299.4000000000001</v>
      </c>
      <c r="R19" s="23">
        <v>1423.5</v>
      </c>
      <c r="S19" s="23">
        <v>1376.8</v>
      </c>
      <c r="T19" s="23">
        <v>1167.4999999999998</v>
      </c>
      <c r="U19" s="23">
        <v>1246.4000000000001</v>
      </c>
      <c r="V19" s="23">
        <v>1293</v>
      </c>
      <c r="W19" s="23">
        <v>1173</v>
      </c>
      <c r="X19" s="23">
        <v>1007</v>
      </c>
      <c r="Y19" s="23">
        <v>1070.2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15670.599999999999</v>
      </c>
      <c r="E20" s="23">
        <v>17902.100000000002</v>
      </c>
      <c r="F20" s="23">
        <v>19520.899999999987</v>
      </c>
      <c r="G20" s="23">
        <v>19201.699999999993</v>
      </c>
      <c r="H20" s="23">
        <v>21952.80000000001</v>
      </c>
      <c r="I20" s="23">
        <v>24959.100000000006</v>
      </c>
      <c r="J20" s="23">
        <v>28972.100000000013</v>
      </c>
      <c r="K20" s="23">
        <v>32246.700000000004</v>
      </c>
      <c r="L20" s="23">
        <v>35599.300000000017</v>
      </c>
      <c r="M20" s="23">
        <v>30460.300000000017</v>
      </c>
      <c r="N20" s="23">
        <v>33099.699999999983</v>
      </c>
      <c r="O20" s="23">
        <v>36521.1</v>
      </c>
      <c r="P20" s="23">
        <v>35678.100000000013</v>
      </c>
      <c r="Q20" s="23">
        <v>35023.300000000017</v>
      </c>
      <c r="R20" s="23">
        <v>37426.60000000002</v>
      </c>
      <c r="S20" s="23">
        <v>40561.299999999981</v>
      </c>
      <c r="T20" s="23">
        <v>42640.400000000031</v>
      </c>
      <c r="U20" s="23">
        <v>45686</v>
      </c>
      <c r="V20" s="23">
        <v>47837.200000000012</v>
      </c>
      <c r="W20" s="23">
        <v>51027.200000000012</v>
      </c>
      <c r="X20" s="23">
        <v>46079.299999999988</v>
      </c>
      <c r="Y20" s="23">
        <v>50220.200000000019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1624.2</v>
      </c>
      <c r="E21" s="23">
        <v>2084.6</v>
      </c>
      <c r="F21" s="23">
        <v>2636.5</v>
      </c>
      <c r="G21" s="23">
        <v>2497.3000000000002</v>
      </c>
      <c r="H21" s="23">
        <v>2738.8</v>
      </c>
      <c r="I21" s="23">
        <v>3141.5</v>
      </c>
      <c r="J21" s="23">
        <v>3941.6000000000004</v>
      </c>
      <c r="K21" s="23">
        <v>4282.3999999999996</v>
      </c>
      <c r="L21" s="23">
        <v>6010.1</v>
      </c>
      <c r="M21" s="23">
        <v>6261.7</v>
      </c>
      <c r="N21" s="23">
        <v>5766.5</v>
      </c>
      <c r="O21" s="23">
        <v>5814</v>
      </c>
      <c r="P21" s="23">
        <v>5840.7</v>
      </c>
      <c r="Q21" s="23">
        <v>5963.4</v>
      </c>
      <c r="R21" s="23">
        <v>4960.6000000000004</v>
      </c>
      <c r="S21" s="23">
        <v>5133.7</v>
      </c>
      <c r="T21" s="23">
        <v>5133.8999999999987</v>
      </c>
      <c r="U21" s="23">
        <v>5247.2</v>
      </c>
      <c r="V21" s="23">
        <v>5327.6</v>
      </c>
      <c r="W21" s="23">
        <v>5534.9</v>
      </c>
      <c r="X21" s="23">
        <v>6110.6</v>
      </c>
      <c r="Y21" s="23">
        <v>6176.6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586.20000000000005</v>
      </c>
      <c r="E22" s="23">
        <v>650.9</v>
      </c>
      <c r="F22" s="23">
        <v>815.7</v>
      </c>
      <c r="G22" s="23">
        <v>822.5</v>
      </c>
      <c r="H22" s="23">
        <v>1062.5999999999999</v>
      </c>
      <c r="I22" s="23">
        <v>1097.2</v>
      </c>
      <c r="J22" s="23">
        <v>1215.0999999999999</v>
      </c>
      <c r="K22" s="23">
        <v>1319</v>
      </c>
      <c r="L22" s="23">
        <v>1576.4</v>
      </c>
      <c r="M22" s="23">
        <v>1536.6</v>
      </c>
      <c r="N22" s="23">
        <v>1655.3</v>
      </c>
      <c r="O22" s="23">
        <v>1764.3</v>
      </c>
      <c r="P22" s="23">
        <v>1669.9</v>
      </c>
      <c r="Q22" s="23">
        <v>1556.2</v>
      </c>
      <c r="R22" s="23">
        <v>1546.8</v>
      </c>
      <c r="S22" s="23">
        <v>1571.6</v>
      </c>
      <c r="T22" s="23">
        <v>1618</v>
      </c>
      <c r="U22" s="23">
        <v>1770.3</v>
      </c>
      <c r="V22" s="23">
        <v>1938.6</v>
      </c>
      <c r="W22" s="23">
        <v>1911.8</v>
      </c>
      <c r="X22" s="23">
        <v>1938.7</v>
      </c>
      <c r="Y22" s="23">
        <v>2530.1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3763.4</v>
      </c>
      <c r="E23" s="23">
        <v>4146.3999999999996</v>
      </c>
      <c r="F23" s="23">
        <v>5081.3999999999996</v>
      </c>
      <c r="G23" s="23">
        <v>5288.8</v>
      </c>
      <c r="H23" s="23">
        <v>5657.7</v>
      </c>
      <c r="I23" s="23">
        <v>6653.7</v>
      </c>
      <c r="J23" s="23">
        <v>7172.7</v>
      </c>
      <c r="K23" s="23">
        <v>8053.9</v>
      </c>
      <c r="L23" s="23">
        <v>9321.4</v>
      </c>
      <c r="M23" s="23">
        <v>9428.2999999999993</v>
      </c>
      <c r="N23" s="23">
        <v>10081</v>
      </c>
      <c r="O23" s="23">
        <v>9597.7999999999975</v>
      </c>
      <c r="P23" s="23">
        <v>8630</v>
      </c>
      <c r="Q23" s="23">
        <v>8215.7000000000007</v>
      </c>
      <c r="R23" s="23">
        <v>8048.3</v>
      </c>
      <c r="S23" s="23">
        <v>8636.5</v>
      </c>
      <c r="T23" s="23">
        <v>8721.2999999999993</v>
      </c>
      <c r="U23" s="23">
        <v>9547.7000000000025</v>
      </c>
      <c r="V23" s="23">
        <v>10630.7</v>
      </c>
      <c r="W23" s="23">
        <v>11489.5</v>
      </c>
      <c r="X23" s="23">
        <v>11088.6</v>
      </c>
      <c r="Y23" s="23">
        <v>12110.8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7189.7000000000007</v>
      </c>
      <c r="E24" s="23">
        <v>8043.4999999999991</v>
      </c>
      <c r="F24" s="23">
        <v>9414.9000000000033</v>
      </c>
      <c r="G24" s="23">
        <v>9385.3000000000011</v>
      </c>
      <c r="H24" s="23">
        <v>9574.4</v>
      </c>
      <c r="I24" s="23">
        <v>11195</v>
      </c>
      <c r="J24" s="23">
        <v>12872.2</v>
      </c>
      <c r="K24" s="23">
        <v>13948.1</v>
      </c>
      <c r="L24" s="23">
        <v>16053.100000000002</v>
      </c>
      <c r="M24" s="23">
        <v>14000.5</v>
      </c>
      <c r="N24" s="23">
        <v>15065.9</v>
      </c>
      <c r="O24" s="23">
        <v>15420</v>
      </c>
      <c r="P24" s="23">
        <v>15478.800000000003</v>
      </c>
      <c r="Q24" s="23">
        <v>14846.299999999997</v>
      </c>
      <c r="R24" s="23">
        <v>14996.6</v>
      </c>
      <c r="S24" s="23">
        <v>16782.800000000003</v>
      </c>
      <c r="T24" s="23">
        <v>17257.399999999998</v>
      </c>
      <c r="U24" s="23">
        <v>19540.7</v>
      </c>
      <c r="V24" s="23">
        <v>21060.299999999996</v>
      </c>
      <c r="W24" s="23">
        <v>22284.099999999995</v>
      </c>
      <c r="X24" s="23">
        <v>21379.699999999997</v>
      </c>
      <c r="Y24" s="23">
        <v>23663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4446.2</v>
      </c>
      <c r="E25" s="23">
        <v>5051.8</v>
      </c>
      <c r="F25" s="23">
        <v>5846.8</v>
      </c>
      <c r="G25" s="23">
        <v>6115</v>
      </c>
      <c r="H25" s="23">
        <v>6265.5</v>
      </c>
      <c r="I25" s="23">
        <v>6819.1</v>
      </c>
      <c r="J25" s="23">
        <v>7703.5000000000009</v>
      </c>
      <c r="K25" s="23">
        <v>8524.2999999999975</v>
      </c>
      <c r="L25" s="23">
        <v>9627.1</v>
      </c>
      <c r="M25" s="23">
        <v>8110</v>
      </c>
      <c r="N25" s="23">
        <v>8731.2000000000007</v>
      </c>
      <c r="O25" s="23">
        <v>8696.5</v>
      </c>
      <c r="P25" s="23">
        <v>8488.1</v>
      </c>
      <c r="Q25" s="23">
        <v>8179.6</v>
      </c>
      <c r="R25" s="23">
        <v>8045.5</v>
      </c>
      <c r="S25" s="23">
        <v>8719.6</v>
      </c>
      <c r="T25" s="23">
        <v>9212.7000000000007</v>
      </c>
      <c r="U25" s="23">
        <v>10107</v>
      </c>
      <c r="V25" s="23">
        <v>10747.5</v>
      </c>
      <c r="W25" s="23">
        <v>11283.3</v>
      </c>
      <c r="X25" s="23">
        <v>10553.5</v>
      </c>
      <c r="Y25" s="23">
        <v>12354.3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1964.2</v>
      </c>
      <c r="E26" s="23">
        <v>2023</v>
      </c>
      <c r="F26" s="23">
        <v>2447.1999999999998</v>
      </c>
      <c r="G26" s="23">
        <v>2431.4</v>
      </c>
      <c r="H26" s="23">
        <v>2537.6</v>
      </c>
      <c r="I26" s="23">
        <v>2563.1999999999998</v>
      </c>
      <c r="J26" s="23">
        <v>2741.8</v>
      </c>
      <c r="K26" s="23">
        <v>3040.4</v>
      </c>
      <c r="L26" s="23">
        <v>3928.9</v>
      </c>
      <c r="M26" s="23">
        <v>3004</v>
      </c>
      <c r="N26" s="23">
        <v>3007.3</v>
      </c>
      <c r="O26" s="23">
        <v>3242.3</v>
      </c>
      <c r="P26" s="23">
        <v>2872</v>
      </c>
      <c r="Q26" s="23">
        <v>2821.9</v>
      </c>
      <c r="R26" s="23">
        <v>2699.8</v>
      </c>
      <c r="S26" s="23">
        <v>2862.6</v>
      </c>
      <c r="T26" s="23">
        <v>3120</v>
      </c>
      <c r="U26" s="23">
        <v>3626.8</v>
      </c>
      <c r="V26" s="23">
        <v>3906.4</v>
      </c>
      <c r="W26" s="23">
        <v>4207.1000000000004</v>
      </c>
      <c r="X26" s="23">
        <v>2475.3000000000002</v>
      </c>
      <c r="Y26" s="23">
        <v>2738.1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2623.5</v>
      </c>
      <c r="E27" s="23">
        <v>2971.2</v>
      </c>
      <c r="F27" s="23">
        <v>3565.6</v>
      </c>
      <c r="G27" s="23">
        <v>3704.3</v>
      </c>
      <c r="H27" s="23">
        <v>3928.7</v>
      </c>
      <c r="I27" s="23">
        <v>4822.8</v>
      </c>
      <c r="J27" s="23">
        <v>5678.5</v>
      </c>
      <c r="K27" s="23">
        <v>6548</v>
      </c>
      <c r="L27" s="23">
        <v>7569.2</v>
      </c>
      <c r="M27" s="23">
        <v>7212</v>
      </c>
      <c r="N27" s="23">
        <v>7338.6</v>
      </c>
      <c r="O27" s="23">
        <v>7724.2</v>
      </c>
      <c r="P27" s="23">
        <v>7535.1</v>
      </c>
      <c r="Q27" s="23">
        <v>7261.2</v>
      </c>
      <c r="R27" s="23">
        <v>7235.4</v>
      </c>
      <c r="S27" s="23">
        <v>7920.5</v>
      </c>
      <c r="T27" s="23">
        <v>8440.4</v>
      </c>
      <c r="U27" s="23">
        <v>9603.5</v>
      </c>
      <c r="V27" s="23">
        <v>11078.2</v>
      </c>
      <c r="W27" s="23">
        <v>12874.6</v>
      </c>
      <c r="X27" s="23">
        <v>13519.3</v>
      </c>
      <c r="Y27" s="23">
        <v>14975.5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1924.2</v>
      </c>
      <c r="E28" s="23">
        <v>2297.1999999999998</v>
      </c>
      <c r="F28" s="23">
        <v>2110.8000000000002</v>
      </c>
      <c r="G28" s="23">
        <v>2708.9</v>
      </c>
      <c r="H28" s="23">
        <v>2866.9</v>
      </c>
      <c r="I28" s="23">
        <v>3124.2</v>
      </c>
      <c r="J28" s="23">
        <v>3481.3</v>
      </c>
      <c r="K28" s="23">
        <v>4531</v>
      </c>
      <c r="L28" s="23">
        <v>5981.2</v>
      </c>
      <c r="M28" s="23">
        <v>5947.6</v>
      </c>
      <c r="N28" s="23">
        <v>6616.2</v>
      </c>
      <c r="O28" s="23">
        <v>6763.6</v>
      </c>
      <c r="P28" s="23">
        <v>6543.2</v>
      </c>
      <c r="Q28" s="23">
        <v>6571</v>
      </c>
      <c r="R28" s="23">
        <v>6084</v>
      </c>
      <c r="S28" s="23">
        <v>6512.8</v>
      </c>
      <c r="T28" s="23">
        <v>6638.3</v>
      </c>
      <c r="U28" s="23">
        <v>7144</v>
      </c>
      <c r="V28" s="23">
        <v>8108.4</v>
      </c>
      <c r="W28" s="23">
        <v>8234.7000000000007</v>
      </c>
      <c r="X28" s="23">
        <v>8081.3</v>
      </c>
      <c r="Y28" s="23">
        <v>8868.7999999999993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4804.3</v>
      </c>
      <c r="E29" s="23">
        <v>5318.7</v>
      </c>
      <c r="F29" s="23">
        <v>6254.4</v>
      </c>
      <c r="G29" s="23">
        <v>6331.9</v>
      </c>
      <c r="H29" s="23">
        <v>6821.3</v>
      </c>
      <c r="I29" s="23">
        <v>8040.7</v>
      </c>
      <c r="J29" s="23">
        <v>9079.2999999999993</v>
      </c>
      <c r="K29" s="23">
        <v>9971.4999999999982</v>
      </c>
      <c r="L29" s="23">
        <v>12400.4</v>
      </c>
      <c r="M29" s="23">
        <v>12490</v>
      </c>
      <c r="N29" s="23">
        <v>13061.3</v>
      </c>
      <c r="O29" s="23">
        <v>13396.4</v>
      </c>
      <c r="P29" s="23">
        <v>13176.7</v>
      </c>
      <c r="Q29" s="23">
        <v>12864.7</v>
      </c>
      <c r="R29" s="23">
        <v>12556</v>
      </c>
      <c r="S29" s="23">
        <v>13051.8</v>
      </c>
      <c r="T29" s="23">
        <v>13874.5</v>
      </c>
      <c r="U29" s="23">
        <v>15005.5</v>
      </c>
      <c r="V29" s="23">
        <v>17396</v>
      </c>
      <c r="W29" s="23">
        <v>18889.400000000001</v>
      </c>
      <c r="X29" s="23">
        <v>19085.3</v>
      </c>
      <c r="Y29" s="23">
        <v>20087.900000000001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2598.4000000000005</v>
      </c>
      <c r="E30" s="23">
        <v>2919.4999999999986</v>
      </c>
      <c r="F30" s="23">
        <v>3875</v>
      </c>
      <c r="G30" s="23">
        <v>3904.9</v>
      </c>
      <c r="H30" s="23">
        <v>4169.7999999999993</v>
      </c>
      <c r="I30" s="23">
        <v>4862</v>
      </c>
      <c r="J30" s="23">
        <v>5309.4</v>
      </c>
      <c r="K30" s="23">
        <v>6018.9</v>
      </c>
      <c r="L30" s="23">
        <v>7159.6999999999989</v>
      </c>
      <c r="M30" s="23">
        <v>6549.3</v>
      </c>
      <c r="N30" s="23">
        <v>6915.1999999999989</v>
      </c>
      <c r="O30" s="23">
        <v>7005.1</v>
      </c>
      <c r="P30" s="23">
        <v>7461.5</v>
      </c>
      <c r="Q30" s="23">
        <v>7391.6000000000022</v>
      </c>
      <c r="R30" s="23">
        <v>7228.0000000000009</v>
      </c>
      <c r="S30" s="23">
        <v>7812.2000000000007</v>
      </c>
      <c r="T30" s="23">
        <v>8434.2999999999993</v>
      </c>
      <c r="U30" s="23">
        <v>9271.9999999999982</v>
      </c>
      <c r="V30" s="23">
        <v>10161.6</v>
      </c>
      <c r="W30" s="23">
        <v>10698</v>
      </c>
      <c r="X30" s="23">
        <v>10381.000000000002</v>
      </c>
      <c r="Y30" s="23">
        <v>12103.1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1032.5999999999999</v>
      </c>
      <c r="E31" s="23">
        <v>1226.9000000000001</v>
      </c>
      <c r="F31" s="23">
        <v>1397.7</v>
      </c>
      <c r="G31" s="23">
        <v>1383.2</v>
      </c>
      <c r="H31" s="23">
        <v>1617.7</v>
      </c>
      <c r="I31" s="23">
        <v>1794.5</v>
      </c>
      <c r="J31" s="23">
        <v>2053.9</v>
      </c>
      <c r="K31" s="23">
        <v>2496.6999999999994</v>
      </c>
      <c r="L31" s="23">
        <v>3013.6</v>
      </c>
      <c r="M31" s="23">
        <v>2743.9</v>
      </c>
      <c r="N31" s="23">
        <v>2795.7</v>
      </c>
      <c r="O31" s="23">
        <v>2718.9</v>
      </c>
      <c r="P31" s="23">
        <v>2605.5</v>
      </c>
      <c r="Q31" s="23">
        <v>2680.1</v>
      </c>
      <c r="R31" s="23">
        <v>2596.6999999999998</v>
      </c>
      <c r="S31" s="23">
        <v>2752</v>
      </c>
      <c r="T31" s="23">
        <v>2976.6</v>
      </c>
      <c r="U31" s="23">
        <v>3426.4</v>
      </c>
      <c r="V31" s="23">
        <v>3833.3</v>
      </c>
      <c r="W31" s="23">
        <v>4159.8</v>
      </c>
      <c r="X31" s="23">
        <v>3533.2</v>
      </c>
      <c r="Y31" s="23">
        <v>4038.7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3956.9</v>
      </c>
      <c r="E32" s="23">
        <v>4431.1000000000004</v>
      </c>
      <c r="F32" s="23">
        <v>5662.9</v>
      </c>
      <c r="G32" s="23">
        <v>5750.7000000000007</v>
      </c>
      <c r="H32" s="23">
        <v>5902.1</v>
      </c>
      <c r="I32" s="23">
        <v>6739.4999999999973</v>
      </c>
      <c r="J32" s="23">
        <v>7430.2</v>
      </c>
      <c r="K32" s="23">
        <v>8028.699999999998</v>
      </c>
      <c r="L32" s="23">
        <v>9268.7000000000025</v>
      </c>
      <c r="M32" s="23">
        <v>8975</v>
      </c>
      <c r="N32" s="23">
        <v>9362.1</v>
      </c>
      <c r="O32" s="23">
        <v>9151.9000000000015</v>
      </c>
      <c r="P32" s="23">
        <v>8945.2999999999956</v>
      </c>
      <c r="Q32" s="23">
        <v>8756.4000000000015</v>
      </c>
      <c r="R32" s="23">
        <v>8549.2000000000007</v>
      </c>
      <c r="S32" s="23">
        <v>8997.1</v>
      </c>
      <c r="T32" s="23">
        <v>9427.1</v>
      </c>
      <c r="U32" s="23">
        <v>10235.700000000001</v>
      </c>
      <c r="V32" s="23">
        <v>11387.999999999995</v>
      </c>
      <c r="W32" s="23">
        <v>12096.599999999999</v>
      </c>
      <c r="X32" s="23">
        <v>12313.2</v>
      </c>
      <c r="Y32" s="23">
        <v>13064.200000000003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2277.1999999999998</v>
      </c>
      <c r="E33" s="23">
        <v>2599.8000000000002</v>
      </c>
      <c r="F33" s="23">
        <v>3127</v>
      </c>
      <c r="G33" s="23">
        <v>3398.4</v>
      </c>
      <c r="H33" s="23">
        <v>3570.3</v>
      </c>
      <c r="I33" s="23">
        <v>4102.5</v>
      </c>
      <c r="J33" s="23">
        <v>4574.2</v>
      </c>
      <c r="K33" s="23">
        <v>5026.7999999999993</v>
      </c>
      <c r="L33" s="23">
        <v>5788.6</v>
      </c>
      <c r="M33" s="23">
        <v>5733.6</v>
      </c>
      <c r="N33" s="23">
        <v>5998.5</v>
      </c>
      <c r="O33" s="23">
        <v>6323.2</v>
      </c>
      <c r="P33" s="23">
        <v>6296.7</v>
      </c>
      <c r="Q33" s="23">
        <v>6267.6</v>
      </c>
      <c r="R33" s="23">
        <v>6134.5</v>
      </c>
      <c r="S33" s="23">
        <v>6396.8</v>
      </c>
      <c r="T33" s="23">
        <v>6669.7</v>
      </c>
      <c r="U33" s="23">
        <v>7410.2</v>
      </c>
      <c r="V33" s="23">
        <v>8460.2000000000007</v>
      </c>
      <c r="W33" s="23">
        <v>9524.2000000000007</v>
      </c>
      <c r="X33" s="23">
        <v>10025.6</v>
      </c>
      <c r="Y33" s="23">
        <v>11196.3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2093</v>
      </c>
      <c r="E34" s="23">
        <v>2474.8000000000002</v>
      </c>
      <c r="F34" s="23">
        <v>2986</v>
      </c>
      <c r="G34" s="23">
        <v>3106.4</v>
      </c>
      <c r="H34" s="23">
        <v>3301.8</v>
      </c>
      <c r="I34" s="23">
        <v>3800.4</v>
      </c>
      <c r="J34" s="23">
        <v>4193.6000000000004</v>
      </c>
      <c r="K34" s="23">
        <v>4464.2</v>
      </c>
      <c r="L34" s="23">
        <v>5475.4</v>
      </c>
      <c r="M34" s="23">
        <v>5628.2</v>
      </c>
      <c r="N34" s="23">
        <v>5905.7</v>
      </c>
      <c r="O34" s="23">
        <v>6192.2</v>
      </c>
      <c r="P34" s="23">
        <v>6378</v>
      </c>
      <c r="Q34" s="23">
        <v>6292.2</v>
      </c>
      <c r="R34" s="23">
        <v>6330.3</v>
      </c>
      <c r="S34" s="23">
        <v>6574.9</v>
      </c>
      <c r="T34" s="23">
        <v>7064.5</v>
      </c>
      <c r="U34" s="23">
        <v>7805.3</v>
      </c>
      <c r="V34" s="23">
        <v>8793.7000000000007</v>
      </c>
      <c r="W34" s="23">
        <v>9762</v>
      </c>
      <c r="X34" s="23">
        <v>10748.8</v>
      </c>
      <c r="Y34" s="23">
        <v>12599.4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687.6</v>
      </c>
      <c r="E35" s="23">
        <v>770.19999999999982</v>
      </c>
      <c r="F35" s="23">
        <v>843.59999999999991</v>
      </c>
      <c r="G35" s="23">
        <v>883.7</v>
      </c>
      <c r="H35" s="23">
        <v>1010.9</v>
      </c>
      <c r="I35" s="23">
        <v>1135.6000000000001</v>
      </c>
      <c r="J35" s="23">
        <v>1306.5999999999997</v>
      </c>
      <c r="K35" s="23">
        <v>1384.1</v>
      </c>
      <c r="L35" s="23">
        <v>1587.3</v>
      </c>
      <c r="M35" s="23">
        <v>1478.8</v>
      </c>
      <c r="N35" s="23">
        <v>1487.6</v>
      </c>
      <c r="O35" s="23">
        <v>1631.8</v>
      </c>
      <c r="P35" s="23">
        <v>1469.8000000000002</v>
      </c>
      <c r="Q35" s="23">
        <v>1425.3</v>
      </c>
      <c r="R35" s="23">
        <v>1396.9</v>
      </c>
      <c r="S35" s="23">
        <v>1528.9</v>
      </c>
      <c r="T35" s="23">
        <v>1635.4</v>
      </c>
      <c r="U35" s="23">
        <v>1767.9</v>
      </c>
      <c r="V35" s="23">
        <v>1901.0999999999997</v>
      </c>
      <c r="W35" s="23">
        <v>2185.8000000000002</v>
      </c>
      <c r="X35" s="23">
        <v>1811.1000000000004</v>
      </c>
      <c r="Y35" s="23">
        <v>2028.4999999999993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814.7</v>
      </c>
      <c r="E36" s="23">
        <v>839.9</v>
      </c>
      <c r="F36" s="23">
        <v>978.9</v>
      </c>
      <c r="G36" s="23">
        <v>1068.1999999999998</v>
      </c>
      <c r="H36" s="23">
        <v>1056.8</v>
      </c>
      <c r="I36" s="23">
        <v>1120.3</v>
      </c>
      <c r="J36" s="23">
        <v>1280.4000000000003</v>
      </c>
      <c r="K36" s="23">
        <v>1423.8</v>
      </c>
      <c r="L36" s="23">
        <v>1438.3</v>
      </c>
      <c r="M36" s="23">
        <v>1402.3</v>
      </c>
      <c r="N36" s="23">
        <v>1712.2</v>
      </c>
      <c r="O36" s="23">
        <v>1965.9</v>
      </c>
      <c r="P36" s="23">
        <v>1676.5</v>
      </c>
      <c r="Q36" s="23">
        <v>1610.1</v>
      </c>
      <c r="R36" s="23">
        <v>1554.5</v>
      </c>
      <c r="S36" s="23">
        <v>1619.7</v>
      </c>
      <c r="T36" s="23">
        <v>1713.1</v>
      </c>
      <c r="U36" s="23">
        <v>1831.2</v>
      </c>
      <c r="V36" s="23">
        <v>1960.4</v>
      </c>
      <c r="W36" s="23">
        <v>2082</v>
      </c>
      <c r="X36" s="23">
        <v>1865.1</v>
      </c>
      <c r="Y36" s="23">
        <v>2033.9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21.9</v>
      </c>
      <c r="E37" s="23">
        <v>28.3</v>
      </c>
      <c r="F37" s="23">
        <v>37.4</v>
      </c>
      <c r="G37" s="23">
        <v>40.799999999999997</v>
      </c>
      <c r="H37" s="23">
        <v>42.3</v>
      </c>
      <c r="I37" s="23">
        <v>49.5</v>
      </c>
      <c r="J37" s="23">
        <v>56.5</v>
      </c>
      <c r="K37" s="23">
        <v>60.3</v>
      </c>
      <c r="L37" s="23">
        <v>86</v>
      </c>
      <c r="M37" s="23">
        <v>104.8</v>
      </c>
      <c r="N37" s="23">
        <v>103.7</v>
      </c>
      <c r="O37" s="23">
        <v>104.5</v>
      </c>
      <c r="P37" s="23">
        <v>114</v>
      </c>
      <c r="Q37" s="23">
        <v>121.3</v>
      </c>
      <c r="R37" s="23">
        <v>121.1</v>
      </c>
      <c r="S37" s="23">
        <v>127</v>
      </c>
      <c r="T37" s="23">
        <v>155.1</v>
      </c>
      <c r="U37" s="23">
        <v>183.6</v>
      </c>
      <c r="V37" s="23">
        <v>217.1</v>
      </c>
      <c r="W37" s="23">
        <v>236</v>
      </c>
      <c r="X37" s="23">
        <v>188.1</v>
      </c>
      <c r="Y37" s="23">
        <v>235.5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61063.399999999994</v>
      </c>
      <c r="E39" s="30">
        <f t="shared" ref="E39:S39" si="2">SUM(E18:E38)</f>
        <v>69092.099999999991</v>
      </c>
      <c r="F39" s="30">
        <f t="shared" si="2"/>
        <v>79882.499999999985</v>
      </c>
      <c r="G39" s="30">
        <f t="shared" si="2"/>
        <v>81050.89999999998</v>
      </c>
      <c r="H39" s="30">
        <f t="shared" si="2"/>
        <v>87421.000000000015</v>
      </c>
      <c r="I39" s="30">
        <f t="shared" si="2"/>
        <v>99776.8</v>
      </c>
      <c r="J39" s="30">
        <f t="shared" si="2"/>
        <v>113231.5</v>
      </c>
      <c r="K39" s="30">
        <f t="shared" si="2"/>
        <v>125885.3</v>
      </c>
      <c r="L39" s="30">
        <f t="shared" si="2"/>
        <v>147036.19999999998</v>
      </c>
      <c r="M39" s="30">
        <f t="shared" si="2"/>
        <v>135353.09999999998</v>
      </c>
      <c r="N39" s="30">
        <f t="shared" si="2"/>
        <v>142917.60000000003</v>
      </c>
      <c r="O39" s="30">
        <f t="shared" si="2"/>
        <v>149203.1</v>
      </c>
      <c r="P39" s="30">
        <f t="shared" si="2"/>
        <v>146229</v>
      </c>
      <c r="Q39" s="30">
        <f t="shared" si="2"/>
        <v>142918.20000000004</v>
      </c>
      <c r="R39" s="30">
        <f t="shared" si="2"/>
        <v>142743.20000000001</v>
      </c>
      <c r="S39" s="30">
        <f t="shared" si="2"/>
        <v>152687.89999999997</v>
      </c>
      <c r="T39" s="30">
        <f t="shared" ref="T39:Y39" si="3">SUM(T18:T38)</f>
        <v>159603.40000000005</v>
      </c>
      <c r="U39" s="30">
        <f t="shared" si="3"/>
        <v>174451.90000000002</v>
      </c>
      <c r="V39" s="30">
        <f t="shared" si="3"/>
        <v>190124.2</v>
      </c>
      <c r="W39" s="30">
        <f t="shared" si="3"/>
        <v>203852.30000000002</v>
      </c>
      <c r="X39" s="30">
        <f t="shared" si="3"/>
        <v>196415.80000000002</v>
      </c>
      <c r="Y39" s="30">
        <f t="shared" si="3"/>
        <v>216491.7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2053.1</v>
      </c>
      <c r="E41" s="19">
        <v>2400.6999999999998</v>
      </c>
      <c r="F41" s="19">
        <v>2664.7</v>
      </c>
      <c r="G41" s="19">
        <v>2490.3000000000002</v>
      </c>
      <c r="H41" s="19">
        <v>2672.7</v>
      </c>
      <c r="I41" s="19">
        <v>2722.1</v>
      </c>
      <c r="J41" s="19">
        <v>2837.7</v>
      </c>
      <c r="K41" s="19">
        <v>2951.5</v>
      </c>
      <c r="L41" s="19">
        <v>3333</v>
      </c>
      <c r="M41" s="19">
        <v>3306.5</v>
      </c>
      <c r="N41" s="19">
        <v>3256.2</v>
      </c>
      <c r="O41" s="19">
        <v>3355.3</v>
      </c>
      <c r="P41" s="19">
        <v>3292.1</v>
      </c>
      <c r="Q41" s="19">
        <v>3109.1</v>
      </c>
      <c r="R41" s="19">
        <v>3103.1</v>
      </c>
      <c r="S41" s="19">
        <v>3253.8</v>
      </c>
      <c r="T41" s="19">
        <v>3445</v>
      </c>
      <c r="U41" s="19">
        <v>3681.2</v>
      </c>
      <c r="V41" s="19">
        <v>3950.4</v>
      </c>
      <c r="W41" s="19">
        <v>4178.7</v>
      </c>
      <c r="X41" s="19">
        <v>4156.3</v>
      </c>
      <c r="Y41" s="19">
        <v>4347.8999999999996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867.7</v>
      </c>
      <c r="E42" s="23">
        <v>965.7</v>
      </c>
      <c r="F42" s="23">
        <v>980.3</v>
      </c>
      <c r="G42" s="23">
        <v>925.8</v>
      </c>
      <c r="H42" s="23">
        <v>841.2</v>
      </c>
      <c r="I42" s="23">
        <v>882.30000000000018</v>
      </c>
      <c r="J42" s="23">
        <v>944.79999999999984</v>
      </c>
      <c r="K42" s="23">
        <v>992.7</v>
      </c>
      <c r="L42" s="23">
        <v>1099.4000000000001</v>
      </c>
      <c r="M42" s="23">
        <v>960.6</v>
      </c>
      <c r="N42" s="23">
        <v>930.7</v>
      </c>
      <c r="O42" s="23">
        <v>958.2</v>
      </c>
      <c r="P42" s="23">
        <v>859.1</v>
      </c>
      <c r="Q42" s="23">
        <v>867.3</v>
      </c>
      <c r="R42" s="23">
        <v>897.9</v>
      </c>
      <c r="S42" s="23">
        <v>919.8</v>
      </c>
      <c r="T42" s="23">
        <v>970.6</v>
      </c>
      <c r="U42" s="23">
        <v>1044.8</v>
      </c>
      <c r="V42" s="23">
        <v>1043.5999999999999</v>
      </c>
      <c r="W42" s="23">
        <v>1103.4000000000001</v>
      </c>
      <c r="X42" s="23">
        <v>1042.7</v>
      </c>
      <c r="Y42" s="23">
        <v>1105.3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1027.4000000000001</v>
      </c>
      <c r="E43" s="23">
        <v>1194.9000000000001</v>
      </c>
      <c r="F43" s="23">
        <v>1387.4</v>
      </c>
      <c r="G43" s="23">
        <v>1354.7</v>
      </c>
      <c r="H43" s="23">
        <v>1564.3</v>
      </c>
      <c r="I43" s="23">
        <v>1702.5000000000002</v>
      </c>
      <c r="J43" s="23">
        <v>1902</v>
      </c>
      <c r="K43" s="23">
        <v>2120.1999999999998</v>
      </c>
      <c r="L43" s="23">
        <v>2315.3000000000006</v>
      </c>
      <c r="M43" s="23">
        <v>1928.4</v>
      </c>
      <c r="N43" s="23">
        <v>2048.3000000000002</v>
      </c>
      <c r="O43" s="23">
        <v>2012.6</v>
      </c>
      <c r="P43" s="23">
        <v>1890.9</v>
      </c>
      <c r="Q43" s="23">
        <v>1790.1</v>
      </c>
      <c r="R43" s="23">
        <v>1904.6</v>
      </c>
      <c r="S43" s="23">
        <v>2111.1</v>
      </c>
      <c r="T43" s="23">
        <v>2255</v>
      </c>
      <c r="U43" s="23">
        <v>2444</v>
      </c>
      <c r="V43" s="23">
        <v>2672.4</v>
      </c>
      <c r="W43" s="23">
        <v>2856.4</v>
      </c>
      <c r="X43" s="23">
        <v>2772.3</v>
      </c>
      <c r="Y43" s="23">
        <v>3119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240.3</v>
      </c>
      <c r="E44" s="23">
        <v>177.5</v>
      </c>
      <c r="F44" s="23">
        <v>136</v>
      </c>
      <c r="G44" s="23">
        <v>105.5</v>
      </c>
      <c r="H44" s="23">
        <v>159.30000000000001</v>
      </c>
      <c r="I44" s="23">
        <v>210.70000000000005</v>
      </c>
      <c r="J44" s="23">
        <v>234.3</v>
      </c>
      <c r="K44" s="23">
        <v>202.8</v>
      </c>
      <c r="L44" s="23">
        <v>265.7</v>
      </c>
      <c r="M44" s="23">
        <v>220.1</v>
      </c>
      <c r="N44" s="23">
        <v>212.1</v>
      </c>
      <c r="O44" s="23">
        <v>189.3</v>
      </c>
      <c r="P44" s="23">
        <v>180.5</v>
      </c>
      <c r="Q44" s="23">
        <v>183.9</v>
      </c>
      <c r="R44" s="23">
        <v>169.4</v>
      </c>
      <c r="S44" s="23">
        <v>177.7</v>
      </c>
      <c r="T44" s="23">
        <v>186.7</v>
      </c>
      <c r="U44" s="23">
        <v>139.4</v>
      </c>
      <c r="V44" s="23">
        <v>40.200000000000003</v>
      </c>
      <c r="W44" s="23">
        <v>41.6</v>
      </c>
      <c r="X44" s="23">
        <v>45.7</v>
      </c>
      <c r="Y44" s="23">
        <v>32.6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821.8</v>
      </c>
      <c r="E45" s="23">
        <v>763.5</v>
      </c>
      <c r="F45" s="23">
        <v>748.5</v>
      </c>
      <c r="G45" s="23">
        <v>794.4</v>
      </c>
      <c r="H45" s="23">
        <v>906.7</v>
      </c>
      <c r="I45" s="23">
        <v>972.3</v>
      </c>
      <c r="J45" s="23">
        <v>980.2</v>
      </c>
      <c r="K45" s="23">
        <v>1066.0999999999999</v>
      </c>
      <c r="L45" s="23">
        <v>1222.8</v>
      </c>
      <c r="M45" s="23">
        <v>916.5</v>
      </c>
      <c r="N45" s="23">
        <v>950.3</v>
      </c>
      <c r="O45" s="23">
        <v>1055.5</v>
      </c>
      <c r="P45" s="23">
        <v>1157.4000000000001</v>
      </c>
      <c r="Q45" s="23">
        <v>1041.2</v>
      </c>
      <c r="R45" s="23">
        <v>1239.8</v>
      </c>
      <c r="S45" s="23">
        <v>1488.9</v>
      </c>
      <c r="T45" s="23">
        <v>1443.9</v>
      </c>
      <c r="U45" s="23">
        <v>1816.3</v>
      </c>
      <c r="V45" s="23">
        <v>1764.1</v>
      </c>
      <c r="W45" s="23">
        <v>1882.1</v>
      </c>
      <c r="X45" s="23">
        <v>1501.7</v>
      </c>
      <c r="Y45" s="23">
        <v>1192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285.8</v>
      </c>
      <c r="E46" s="23">
        <v>303.89999999999998</v>
      </c>
      <c r="F46" s="23">
        <v>347.6</v>
      </c>
      <c r="G46" s="23">
        <v>362.3</v>
      </c>
      <c r="H46" s="23">
        <v>386.9</v>
      </c>
      <c r="I46" s="23">
        <v>476.3</v>
      </c>
      <c r="J46" s="23">
        <v>527.20000000000005</v>
      </c>
      <c r="K46" s="23">
        <v>526.20000000000005</v>
      </c>
      <c r="L46" s="23">
        <v>559.20000000000005</v>
      </c>
      <c r="M46" s="23">
        <v>575.1</v>
      </c>
      <c r="N46" s="23">
        <v>669.1</v>
      </c>
      <c r="O46" s="23">
        <v>639.70000000000016</v>
      </c>
      <c r="P46" s="23">
        <v>649.5</v>
      </c>
      <c r="Q46" s="23">
        <v>636.09999999999991</v>
      </c>
      <c r="R46" s="23">
        <v>671.5</v>
      </c>
      <c r="S46" s="23">
        <v>659.8</v>
      </c>
      <c r="T46" s="23">
        <v>661.1</v>
      </c>
      <c r="U46" s="23">
        <v>716.6</v>
      </c>
      <c r="V46" s="23">
        <v>688</v>
      </c>
      <c r="W46" s="23">
        <v>812.5</v>
      </c>
      <c r="X46" s="23">
        <v>889.5</v>
      </c>
      <c r="Y46" s="23">
        <v>894.7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2108</v>
      </c>
      <c r="E47" s="23">
        <v>2337.4</v>
      </c>
      <c r="F47" s="23">
        <v>2534.1</v>
      </c>
      <c r="G47" s="23">
        <v>2538</v>
      </c>
      <c r="H47" s="23">
        <v>2803.9</v>
      </c>
      <c r="I47" s="23">
        <v>3137.3</v>
      </c>
      <c r="J47" s="23">
        <v>3899.5999999999995</v>
      </c>
      <c r="K47" s="23">
        <v>4119.0000000000009</v>
      </c>
      <c r="L47" s="23">
        <v>4615.8999999999996</v>
      </c>
      <c r="M47" s="23">
        <v>4016.6</v>
      </c>
      <c r="N47" s="23">
        <v>4110.8</v>
      </c>
      <c r="O47" s="23">
        <v>4431.7</v>
      </c>
      <c r="P47" s="23">
        <v>4244.1000000000004</v>
      </c>
      <c r="Q47" s="23">
        <v>4193.0000000000009</v>
      </c>
      <c r="R47" s="23">
        <v>4504.2999999999993</v>
      </c>
      <c r="S47" s="23">
        <v>5074.5</v>
      </c>
      <c r="T47" s="23">
        <v>5156.6000000000004</v>
      </c>
      <c r="U47" s="23">
        <v>5344.5</v>
      </c>
      <c r="V47" s="23">
        <v>5570.7</v>
      </c>
      <c r="W47" s="23">
        <v>5941.4</v>
      </c>
      <c r="X47" s="23">
        <v>5467.7</v>
      </c>
      <c r="Y47" s="23">
        <v>6247.5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2275.8000000000002</v>
      </c>
      <c r="E48" s="23">
        <v>2699.2</v>
      </c>
      <c r="F48" s="23">
        <v>2952.8</v>
      </c>
      <c r="G48" s="23">
        <v>2994.2</v>
      </c>
      <c r="H48" s="23">
        <v>3492.4</v>
      </c>
      <c r="I48" s="23">
        <v>4252.2</v>
      </c>
      <c r="J48" s="23">
        <v>4765.8999999999987</v>
      </c>
      <c r="K48" s="23">
        <v>5169.8</v>
      </c>
      <c r="L48" s="23">
        <v>5556.7</v>
      </c>
      <c r="M48" s="23">
        <v>4115.8</v>
      </c>
      <c r="N48" s="23">
        <v>4469</v>
      </c>
      <c r="O48" s="23">
        <v>5160.8</v>
      </c>
      <c r="P48" s="23">
        <v>5065.2</v>
      </c>
      <c r="Q48" s="23">
        <v>5118</v>
      </c>
      <c r="R48" s="23">
        <v>5601.2</v>
      </c>
      <c r="S48" s="23">
        <v>6099.3</v>
      </c>
      <c r="T48" s="23">
        <v>6244.1</v>
      </c>
      <c r="U48" s="23">
        <v>6514.7</v>
      </c>
      <c r="V48" s="23">
        <v>6991.5</v>
      </c>
      <c r="W48" s="23">
        <v>7151</v>
      </c>
      <c r="X48" s="23">
        <v>6385.9</v>
      </c>
      <c r="Y48" s="23">
        <v>7198.4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525.6</v>
      </c>
      <c r="E49" s="23">
        <v>627.6</v>
      </c>
      <c r="F49" s="23">
        <v>765.2</v>
      </c>
      <c r="G49" s="23">
        <v>881.00000000000011</v>
      </c>
      <c r="H49" s="23">
        <v>959</v>
      </c>
      <c r="I49" s="23">
        <v>1122.7</v>
      </c>
      <c r="J49" s="23">
        <v>1452.5</v>
      </c>
      <c r="K49" s="23">
        <v>1701.5</v>
      </c>
      <c r="L49" s="23">
        <v>1859.8</v>
      </c>
      <c r="M49" s="23">
        <v>1583.5</v>
      </c>
      <c r="N49" s="23">
        <v>1755.8</v>
      </c>
      <c r="O49" s="23">
        <v>1919.8</v>
      </c>
      <c r="P49" s="23">
        <v>2235</v>
      </c>
      <c r="Q49" s="23">
        <v>2072.6</v>
      </c>
      <c r="R49" s="23">
        <v>2130.8000000000002</v>
      </c>
      <c r="S49" s="23">
        <v>2320.4</v>
      </c>
      <c r="T49" s="23">
        <v>2493.9</v>
      </c>
      <c r="U49" s="23">
        <v>2790.7</v>
      </c>
      <c r="V49" s="23">
        <v>3047.1</v>
      </c>
      <c r="W49" s="23">
        <v>2683.6</v>
      </c>
      <c r="X49" s="23">
        <v>2891.9</v>
      </c>
      <c r="Y49" s="23">
        <v>3102.9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858.7</v>
      </c>
      <c r="E50" s="23">
        <v>953.6</v>
      </c>
      <c r="F50" s="23">
        <v>939.2</v>
      </c>
      <c r="G50" s="23">
        <v>1028</v>
      </c>
      <c r="H50" s="23">
        <v>1240.9000000000003</v>
      </c>
      <c r="I50" s="23">
        <v>1413.5</v>
      </c>
      <c r="J50" s="23">
        <v>1740.2</v>
      </c>
      <c r="K50" s="23">
        <v>2113.1999999999998</v>
      </c>
      <c r="L50" s="23">
        <v>2198.1</v>
      </c>
      <c r="M50" s="23">
        <v>2028.9</v>
      </c>
      <c r="N50" s="23">
        <v>2357</v>
      </c>
      <c r="O50" s="23">
        <v>2904.7</v>
      </c>
      <c r="P50" s="23">
        <v>2759.7</v>
      </c>
      <c r="Q50" s="23">
        <v>2731.2</v>
      </c>
      <c r="R50" s="23">
        <v>2928.6</v>
      </c>
      <c r="S50" s="23">
        <v>3160.2</v>
      </c>
      <c r="T50" s="23">
        <v>3183.7</v>
      </c>
      <c r="U50" s="23">
        <v>3443.1</v>
      </c>
      <c r="V50" s="23">
        <v>3629.8</v>
      </c>
      <c r="W50" s="23">
        <v>3997.2</v>
      </c>
      <c r="X50" s="23">
        <v>3774.3</v>
      </c>
      <c r="Y50" s="23">
        <v>4261.6000000000004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1299.0999999999999</v>
      </c>
      <c r="E51" s="23">
        <v>1465.4</v>
      </c>
      <c r="F51" s="23">
        <v>1597.3</v>
      </c>
      <c r="G51" s="23">
        <v>1419.3</v>
      </c>
      <c r="H51" s="23">
        <v>1695.8999999999996</v>
      </c>
      <c r="I51" s="23">
        <v>2015.5000000000002</v>
      </c>
      <c r="J51" s="23">
        <v>2645</v>
      </c>
      <c r="K51" s="23">
        <v>3163.1</v>
      </c>
      <c r="L51" s="23">
        <v>3532.1</v>
      </c>
      <c r="M51" s="23">
        <v>2857.8</v>
      </c>
      <c r="N51" s="23">
        <v>3189.9</v>
      </c>
      <c r="O51" s="23">
        <v>3656.1</v>
      </c>
      <c r="P51" s="23">
        <v>3573.1</v>
      </c>
      <c r="Q51" s="23">
        <v>3635.2</v>
      </c>
      <c r="R51" s="23">
        <v>3667.3</v>
      </c>
      <c r="S51" s="23">
        <v>3851.9</v>
      </c>
      <c r="T51" s="23">
        <v>3791.9</v>
      </c>
      <c r="U51" s="23">
        <v>4065.8</v>
      </c>
      <c r="V51" s="23">
        <v>4113.3999999999996</v>
      </c>
      <c r="W51" s="23">
        <v>4649.1000000000004</v>
      </c>
      <c r="X51" s="23">
        <v>4114.6000000000004</v>
      </c>
      <c r="Y51" s="23">
        <v>4602.1000000000004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2091.9</v>
      </c>
      <c r="E52" s="23">
        <v>2621.7</v>
      </c>
      <c r="F52" s="23">
        <v>2919.4</v>
      </c>
      <c r="G52" s="23">
        <v>2769.1</v>
      </c>
      <c r="H52" s="23">
        <v>3555.8000000000006</v>
      </c>
      <c r="I52" s="23">
        <v>4125.6000000000013</v>
      </c>
      <c r="J52" s="23">
        <v>4846.3999999999987</v>
      </c>
      <c r="K52" s="23">
        <v>5577.1</v>
      </c>
      <c r="L52" s="23">
        <v>6177</v>
      </c>
      <c r="M52" s="23">
        <v>5413.5</v>
      </c>
      <c r="N52" s="23">
        <v>6558.7</v>
      </c>
      <c r="O52" s="23">
        <v>7343.7</v>
      </c>
      <c r="P52" s="23">
        <v>6999.7</v>
      </c>
      <c r="Q52" s="23">
        <v>6877.2</v>
      </c>
      <c r="R52" s="23">
        <v>7895.3</v>
      </c>
      <c r="S52" s="23">
        <v>8691.2000000000007</v>
      </c>
      <c r="T52" s="23">
        <v>9752.2999999999993</v>
      </c>
      <c r="U52" s="23">
        <v>10444.299999999999</v>
      </c>
      <c r="V52" s="23">
        <v>10802.7</v>
      </c>
      <c r="W52" s="23">
        <v>11816.1</v>
      </c>
      <c r="X52" s="23">
        <v>9272.7999999999993</v>
      </c>
      <c r="Y52" s="23">
        <v>10152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1215.3999999999949</v>
      </c>
      <c r="E53" s="23">
        <v>1391.000000000003</v>
      </c>
      <c r="F53" s="23">
        <v>1548.3999999999912</v>
      </c>
      <c r="G53" s="23">
        <v>1539.0999999999894</v>
      </c>
      <c r="H53" s="23">
        <v>1673.800000000009</v>
      </c>
      <c r="I53" s="23">
        <v>1926.1000000000038</v>
      </c>
      <c r="J53" s="23">
        <v>2196.3000000000202</v>
      </c>
      <c r="K53" s="23">
        <v>2543.5000000000036</v>
      </c>
      <c r="L53" s="23">
        <v>2864.3000000000129</v>
      </c>
      <c r="M53" s="23">
        <v>2537.0000000000186</v>
      </c>
      <c r="N53" s="23">
        <v>2591.7999999999847</v>
      </c>
      <c r="O53" s="23">
        <v>2893.7</v>
      </c>
      <c r="P53" s="23">
        <v>2771.8000000000116</v>
      </c>
      <c r="Q53" s="23">
        <v>2768.4000000000156</v>
      </c>
      <c r="R53" s="23">
        <v>2712.8000000000211</v>
      </c>
      <c r="S53" s="23">
        <v>2752.6999999999757</v>
      </c>
      <c r="T53" s="23">
        <v>3055.6000000000258</v>
      </c>
      <c r="U53" s="23">
        <v>3240.6000000000072</v>
      </c>
      <c r="V53" s="23">
        <v>3523.3000000000111</v>
      </c>
      <c r="W53" s="23">
        <v>3914.1000000000095</v>
      </c>
      <c r="X53" s="23">
        <v>3763.8999999999937</v>
      </c>
      <c r="Y53" s="23">
        <v>3964.200000000018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15670.599999999997</v>
      </c>
      <c r="E54" s="30">
        <f t="shared" ref="E54:S54" si="4">SUM(E41:E53)</f>
        <v>17902.100000000002</v>
      </c>
      <c r="F54" s="30">
        <f t="shared" si="4"/>
        <v>19520.899999999994</v>
      </c>
      <c r="G54" s="30">
        <f t="shared" si="4"/>
        <v>19201.69999999999</v>
      </c>
      <c r="H54" s="30">
        <f t="shared" si="4"/>
        <v>21952.800000000007</v>
      </c>
      <c r="I54" s="30">
        <f t="shared" si="4"/>
        <v>24959.100000000006</v>
      </c>
      <c r="J54" s="30">
        <f t="shared" si="4"/>
        <v>28972.100000000017</v>
      </c>
      <c r="K54" s="30">
        <f t="shared" si="4"/>
        <v>32246.7</v>
      </c>
      <c r="L54" s="30">
        <f t="shared" si="4"/>
        <v>35599.30000000001</v>
      </c>
      <c r="M54" s="30">
        <f t="shared" si="4"/>
        <v>30460.300000000021</v>
      </c>
      <c r="N54" s="30">
        <f t="shared" si="4"/>
        <v>33099.699999999983</v>
      </c>
      <c r="O54" s="30">
        <f t="shared" si="4"/>
        <v>36521.099999999991</v>
      </c>
      <c r="P54" s="30">
        <f t="shared" si="4"/>
        <v>35678.100000000006</v>
      </c>
      <c r="Q54" s="30">
        <f t="shared" si="4"/>
        <v>35023.300000000017</v>
      </c>
      <c r="R54" s="30">
        <f t="shared" si="4"/>
        <v>37426.60000000002</v>
      </c>
      <c r="S54" s="30">
        <f t="shared" si="4"/>
        <v>40561.299999999981</v>
      </c>
      <c r="T54" s="30">
        <f t="shared" ref="T54:Y54" si="5">SUM(T41:T53)</f>
        <v>42640.400000000031</v>
      </c>
      <c r="U54" s="30">
        <f t="shared" si="5"/>
        <v>45686</v>
      </c>
      <c r="V54" s="30">
        <f t="shared" si="5"/>
        <v>47837.200000000004</v>
      </c>
      <c r="W54" s="30">
        <f t="shared" si="5"/>
        <v>51027.200000000012</v>
      </c>
      <c r="X54" s="30">
        <f t="shared" si="5"/>
        <v>46079.3</v>
      </c>
      <c r="Y54" s="30">
        <f t="shared" si="5"/>
        <v>50220.200000000019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2053.1</v>
      </c>
      <c r="E56" s="19">
        <v>2400.6999999999998</v>
      </c>
      <c r="F56" s="19">
        <v>2664.7</v>
      </c>
      <c r="G56" s="19">
        <v>2490.3000000000002</v>
      </c>
      <c r="H56" s="19">
        <v>2672.7</v>
      </c>
      <c r="I56" s="19">
        <v>2722.1</v>
      </c>
      <c r="J56" s="19">
        <v>2837.7</v>
      </c>
      <c r="K56" s="19">
        <v>2951.5</v>
      </c>
      <c r="L56" s="19">
        <v>3333</v>
      </c>
      <c r="M56" s="19">
        <v>3306.5</v>
      </c>
      <c r="N56" s="19">
        <v>3256.2</v>
      </c>
      <c r="O56" s="19">
        <v>3355.3</v>
      </c>
      <c r="P56" s="19">
        <v>3292.1</v>
      </c>
      <c r="Q56" s="19">
        <v>3109.1</v>
      </c>
      <c r="R56" s="19">
        <v>3103.1</v>
      </c>
      <c r="S56" s="19">
        <v>3253.8</v>
      </c>
      <c r="T56" s="19">
        <v>3445</v>
      </c>
      <c r="U56" s="19">
        <v>3681.2</v>
      </c>
      <c r="V56" s="19">
        <v>3950.4</v>
      </c>
      <c r="W56" s="19">
        <v>4178.7</v>
      </c>
      <c r="X56" s="19">
        <v>4156.3</v>
      </c>
      <c r="Y56" s="19">
        <v>4347.8999999999996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867.7</v>
      </c>
      <c r="E57" s="23">
        <v>965.7</v>
      </c>
      <c r="F57" s="23">
        <v>980.3</v>
      </c>
      <c r="G57" s="23">
        <v>925.8</v>
      </c>
      <c r="H57" s="23">
        <v>841.2</v>
      </c>
      <c r="I57" s="23">
        <v>882.30000000000018</v>
      </c>
      <c r="J57" s="23">
        <v>944.79999999999984</v>
      </c>
      <c r="K57" s="23">
        <v>992.7</v>
      </c>
      <c r="L57" s="23">
        <v>1099.4000000000001</v>
      </c>
      <c r="M57" s="23">
        <v>960.6</v>
      </c>
      <c r="N57" s="23">
        <v>930.7</v>
      </c>
      <c r="O57" s="23">
        <v>958.2</v>
      </c>
      <c r="P57" s="23">
        <v>859.1</v>
      </c>
      <c r="Q57" s="23">
        <v>867.3</v>
      </c>
      <c r="R57" s="23">
        <v>897.9</v>
      </c>
      <c r="S57" s="23">
        <v>919.8</v>
      </c>
      <c r="T57" s="23">
        <v>970.6</v>
      </c>
      <c r="U57" s="23">
        <v>1044.8</v>
      </c>
      <c r="V57" s="23">
        <v>1043.5999999999999</v>
      </c>
      <c r="W57" s="23">
        <v>1103.4000000000001</v>
      </c>
      <c r="X57" s="23">
        <v>1042.7</v>
      </c>
      <c r="Y57" s="23">
        <v>1105.3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453.2</v>
      </c>
      <c r="E58" s="23">
        <v>548.70000000000005</v>
      </c>
      <c r="F58" s="23">
        <v>622.1</v>
      </c>
      <c r="G58" s="23">
        <v>657.9</v>
      </c>
      <c r="H58" s="23">
        <v>716.1</v>
      </c>
      <c r="I58" s="23">
        <v>791.6</v>
      </c>
      <c r="J58" s="23">
        <v>856.3</v>
      </c>
      <c r="K58" s="23">
        <v>933.6</v>
      </c>
      <c r="L58" s="23">
        <v>1066.9000000000003</v>
      </c>
      <c r="M58" s="23">
        <v>843.9</v>
      </c>
      <c r="N58" s="23">
        <v>835.7</v>
      </c>
      <c r="O58" s="23">
        <v>857.1</v>
      </c>
      <c r="P58" s="23">
        <v>846.2</v>
      </c>
      <c r="Q58" s="23">
        <v>793.7</v>
      </c>
      <c r="R58" s="23">
        <v>833.7</v>
      </c>
      <c r="S58" s="23">
        <v>901.1</v>
      </c>
      <c r="T58" s="23">
        <v>980</v>
      </c>
      <c r="U58" s="23">
        <v>1073</v>
      </c>
      <c r="V58" s="23">
        <v>1224</v>
      </c>
      <c r="W58" s="23">
        <v>1288.9000000000001</v>
      </c>
      <c r="X58" s="23">
        <v>1248.9999999999998</v>
      </c>
      <c r="Y58" s="23">
        <v>1404.3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357.9</v>
      </c>
      <c r="E59" s="23">
        <v>415.3</v>
      </c>
      <c r="F59" s="23">
        <v>438.2</v>
      </c>
      <c r="G59" s="23">
        <v>391.8</v>
      </c>
      <c r="H59" s="23">
        <v>490.8</v>
      </c>
      <c r="I59" s="23">
        <v>522.20000000000016</v>
      </c>
      <c r="J59" s="23">
        <v>574.70000000000005</v>
      </c>
      <c r="K59" s="23">
        <v>609</v>
      </c>
      <c r="L59" s="23">
        <v>587.40000000000009</v>
      </c>
      <c r="M59" s="23">
        <v>534</v>
      </c>
      <c r="N59" s="23">
        <v>592.20000000000005</v>
      </c>
      <c r="O59" s="23">
        <v>575.5</v>
      </c>
      <c r="P59" s="23">
        <v>547.5</v>
      </c>
      <c r="Q59" s="23">
        <v>528.9</v>
      </c>
      <c r="R59" s="23">
        <v>593.20000000000005</v>
      </c>
      <c r="S59" s="23">
        <v>694.2</v>
      </c>
      <c r="T59" s="23">
        <v>744.2</v>
      </c>
      <c r="U59" s="23">
        <v>831.7</v>
      </c>
      <c r="V59" s="23">
        <v>856.7</v>
      </c>
      <c r="W59" s="23">
        <v>957.8</v>
      </c>
      <c r="X59" s="23">
        <v>965.9</v>
      </c>
      <c r="Y59" s="23">
        <v>1084.4000000000001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216.30000000000018</v>
      </c>
      <c r="E60" s="23">
        <v>230.90000000000012</v>
      </c>
      <c r="F60" s="23">
        <v>327.10000000000002</v>
      </c>
      <c r="G60" s="23">
        <v>304.99999999999994</v>
      </c>
      <c r="H60" s="23">
        <v>357.40000000000009</v>
      </c>
      <c r="I60" s="23">
        <v>388.70000000000005</v>
      </c>
      <c r="J60" s="23">
        <v>471</v>
      </c>
      <c r="K60" s="23">
        <v>577.5999999999998</v>
      </c>
      <c r="L60" s="23">
        <v>661.00000000000034</v>
      </c>
      <c r="M60" s="23">
        <v>550.49999999999989</v>
      </c>
      <c r="N60" s="23">
        <v>620.40000000000009</v>
      </c>
      <c r="O60" s="23">
        <v>579.99999999999989</v>
      </c>
      <c r="P60" s="23">
        <v>497.20000000000005</v>
      </c>
      <c r="Q60" s="23">
        <v>467.49999999999994</v>
      </c>
      <c r="R60" s="23">
        <v>477.69999999999987</v>
      </c>
      <c r="S60" s="23">
        <v>515.79999999999995</v>
      </c>
      <c r="T60" s="23">
        <v>530.79999999999984</v>
      </c>
      <c r="U60" s="23">
        <v>539.29999999999984</v>
      </c>
      <c r="V60" s="23">
        <v>591.69999999999982</v>
      </c>
      <c r="W60" s="23">
        <v>609.70000000000016</v>
      </c>
      <c r="X60" s="23">
        <v>557.40000000000043</v>
      </c>
      <c r="Y60" s="23">
        <v>630.29999999999973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240.3</v>
      </c>
      <c r="E61" s="23">
        <v>177.5</v>
      </c>
      <c r="F61" s="23">
        <v>136</v>
      </c>
      <c r="G61" s="23">
        <v>105.5</v>
      </c>
      <c r="H61" s="23">
        <v>159.30000000000001</v>
      </c>
      <c r="I61" s="23">
        <v>210.70000000000005</v>
      </c>
      <c r="J61" s="23">
        <v>234.3</v>
      </c>
      <c r="K61" s="23">
        <v>202.8</v>
      </c>
      <c r="L61" s="23">
        <v>265.7</v>
      </c>
      <c r="M61" s="23">
        <v>220.1</v>
      </c>
      <c r="N61" s="23">
        <v>212.1</v>
      </c>
      <c r="O61" s="23">
        <v>189.3</v>
      </c>
      <c r="P61" s="23">
        <v>180.5</v>
      </c>
      <c r="Q61" s="23">
        <v>183.9</v>
      </c>
      <c r="R61" s="23">
        <v>169.4</v>
      </c>
      <c r="S61" s="23">
        <v>177.7</v>
      </c>
      <c r="T61" s="23">
        <v>186.7</v>
      </c>
      <c r="U61" s="23">
        <v>139.4</v>
      </c>
      <c r="V61" s="23">
        <v>40.200000000000003</v>
      </c>
      <c r="W61" s="23">
        <v>41.6</v>
      </c>
      <c r="X61" s="23">
        <v>45.7</v>
      </c>
      <c r="Y61" s="23">
        <v>32.6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821.8</v>
      </c>
      <c r="E62" s="23">
        <v>763.5</v>
      </c>
      <c r="F62" s="23">
        <v>748.5</v>
      </c>
      <c r="G62" s="23">
        <v>794.4</v>
      </c>
      <c r="H62" s="23">
        <v>906.7</v>
      </c>
      <c r="I62" s="23">
        <v>972.3</v>
      </c>
      <c r="J62" s="23">
        <v>980.2</v>
      </c>
      <c r="K62" s="23">
        <v>1066.0999999999999</v>
      </c>
      <c r="L62" s="23">
        <v>1222.8</v>
      </c>
      <c r="M62" s="23">
        <v>916.5</v>
      </c>
      <c r="N62" s="23">
        <v>950.3</v>
      </c>
      <c r="O62" s="23">
        <v>1055.5</v>
      </c>
      <c r="P62" s="23">
        <v>1157.4000000000001</v>
      </c>
      <c r="Q62" s="23">
        <v>1041.2</v>
      </c>
      <c r="R62" s="23">
        <v>1239.8</v>
      </c>
      <c r="S62" s="23">
        <v>1488.9</v>
      </c>
      <c r="T62" s="23">
        <v>1443.9</v>
      </c>
      <c r="U62" s="23">
        <v>1816.3</v>
      </c>
      <c r="V62" s="23">
        <v>1764.1</v>
      </c>
      <c r="W62" s="23">
        <v>1882.1</v>
      </c>
      <c r="X62" s="23">
        <v>1501.7</v>
      </c>
      <c r="Y62" s="23">
        <v>1192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285.8</v>
      </c>
      <c r="E63" s="23">
        <v>303.89999999999998</v>
      </c>
      <c r="F63" s="23">
        <v>347.6</v>
      </c>
      <c r="G63" s="23">
        <v>362.3</v>
      </c>
      <c r="H63" s="23">
        <v>386.9</v>
      </c>
      <c r="I63" s="23">
        <v>476.3</v>
      </c>
      <c r="J63" s="23">
        <v>527.20000000000005</v>
      </c>
      <c r="K63" s="23">
        <v>526.20000000000005</v>
      </c>
      <c r="L63" s="23">
        <v>559.20000000000005</v>
      </c>
      <c r="M63" s="23">
        <v>575.1</v>
      </c>
      <c r="N63" s="23">
        <v>669.1</v>
      </c>
      <c r="O63" s="23">
        <v>639.70000000000016</v>
      </c>
      <c r="P63" s="23">
        <v>649.5</v>
      </c>
      <c r="Q63" s="23">
        <v>636.09999999999991</v>
      </c>
      <c r="R63" s="23">
        <v>671.5</v>
      </c>
      <c r="S63" s="23">
        <v>659.8</v>
      </c>
      <c r="T63" s="23">
        <v>661.1</v>
      </c>
      <c r="U63" s="23">
        <v>716.6</v>
      </c>
      <c r="V63" s="23">
        <v>688</v>
      </c>
      <c r="W63" s="23">
        <v>812.5</v>
      </c>
      <c r="X63" s="23">
        <v>889.5</v>
      </c>
      <c r="Y63" s="23">
        <v>894.7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802.4</v>
      </c>
      <c r="E64" s="23">
        <v>879.7</v>
      </c>
      <c r="F64" s="23">
        <v>1064.0999999999999</v>
      </c>
      <c r="G64" s="23">
        <v>1167.5999999999999</v>
      </c>
      <c r="H64" s="23">
        <v>1347.2</v>
      </c>
      <c r="I64" s="23">
        <v>1535.2</v>
      </c>
      <c r="J64" s="23">
        <v>2077.5</v>
      </c>
      <c r="K64" s="23">
        <v>2153.1</v>
      </c>
      <c r="L64" s="23">
        <v>2479.8000000000002</v>
      </c>
      <c r="M64" s="23">
        <v>2323.5</v>
      </c>
      <c r="N64" s="23">
        <v>2476.3000000000002</v>
      </c>
      <c r="O64" s="23">
        <v>2633.2</v>
      </c>
      <c r="P64" s="23">
        <v>2593.3000000000002</v>
      </c>
      <c r="Q64" s="23">
        <v>2596.6</v>
      </c>
      <c r="R64" s="23">
        <v>2825.5</v>
      </c>
      <c r="S64" s="23">
        <v>3197.9</v>
      </c>
      <c r="T64" s="23">
        <v>3340.3</v>
      </c>
      <c r="U64" s="23">
        <v>3410.4</v>
      </c>
      <c r="V64" s="23">
        <v>3401.7</v>
      </c>
      <c r="W64" s="23">
        <v>3637.7</v>
      </c>
      <c r="X64" s="23">
        <v>3332.6</v>
      </c>
      <c r="Y64" s="23">
        <v>3779.1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1305.5999999999999</v>
      </c>
      <c r="E65" s="23">
        <v>1457.7000000000003</v>
      </c>
      <c r="F65" s="23">
        <v>1470.0000000000002</v>
      </c>
      <c r="G65" s="23">
        <v>1370.4000000000003</v>
      </c>
      <c r="H65" s="23">
        <v>1456.6999999999998</v>
      </c>
      <c r="I65" s="23">
        <v>1602.1</v>
      </c>
      <c r="J65" s="23">
        <v>1822.0999999999997</v>
      </c>
      <c r="K65" s="23">
        <v>1965.9000000000003</v>
      </c>
      <c r="L65" s="23">
        <v>2136.0999999999995</v>
      </c>
      <c r="M65" s="23">
        <v>1693.1</v>
      </c>
      <c r="N65" s="23">
        <v>1634.4999999999998</v>
      </c>
      <c r="O65" s="23">
        <v>1798.5000000000002</v>
      </c>
      <c r="P65" s="23">
        <v>1650.8000000000002</v>
      </c>
      <c r="Q65" s="23">
        <v>1596.4000000000003</v>
      </c>
      <c r="R65" s="23">
        <v>1678.7999999999997</v>
      </c>
      <c r="S65" s="23">
        <v>1876.6</v>
      </c>
      <c r="T65" s="23">
        <v>1816.3000000000006</v>
      </c>
      <c r="U65" s="23">
        <v>1934.0999999999995</v>
      </c>
      <c r="V65" s="23">
        <v>2169</v>
      </c>
      <c r="W65" s="23">
        <v>2303.6999999999998</v>
      </c>
      <c r="X65" s="23">
        <v>2135.1000000000004</v>
      </c>
      <c r="Y65" s="23">
        <v>2468.4000000000005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975.3</v>
      </c>
      <c r="E66" s="23">
        <v>1044.4000000000001</v>
      </c>
      <c r="F66" s="23">
        <v>1082.0000000000002</v>
      </c>
      <c r="G66" s="23">
        <v>1056.5</v>
      </c>
      <c r="H66" s="23">
        <v>1311</v>
      </c>
      <c r="I66" s="23">
        <v>1704.7000000000003</v>
      </c>
      <c r="J66" s="23">
        <v>1798.6</v>
      </c>
      <c r="K66" s="23">
        <v>1877.2</v>
      </c>
      <c r="L66" s="23">
        <v>1802.5</v>
      </c>
      <c r="M66" s="23">
        <v>1075.2</v>
      </c>
      <c r="N66" s="23">
        <v>1021.6</v>
      </c>
      <c r="O66" s="23">
        <v>1310.9</v>
      </c>
      <c r="P66" s="23">
        <v>1150.8000000000002</v>
      </c>
      <c r="Q66" s="23">
        <v>1230.9000000000003</v>
      </c>
      <c r="R66" s="23">
        <v>1434.4</v>
      </c>
      <c r="S66" s="23">
        <v>1508.4</v>
      </c>
      <c r="T66" s="23">
        <v>1453.5</v>
      </c>
      <c r="U66" s="23">
        <v>1380.7</v>
      </c>
      <c r="V66" s="23">
        <v>1505.9</v>
      </c>
      <c r="W66" s="23">
        <v>1348.2</v>
      </c>
      <c r="X66" s="23">
        <v>1087.4000000000001</v>
      </c>
      <c r="Y66" s="23">
        <v>1044.8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1300.5000000000005</v>
      </c>
      <c r="E67" s="23">
        <v>1654.8</v>
      </c>
      <c r="F67" s="23">
        <v>1870.8</v>
      </c>
      <c r="G67" s="23">
        <v>1937.7</v>
      </c>
      <c r="H67" s="23">
        <v>2181.4</v>
      </c>
      <c r="I67" s="23">
        <v>2547.5</v>
      </c>
      <c r="J67" s="23">
        <v>2967.2999999999988</v>
      </c>
      <c r="K67" s="23">
        <v>3292.6</v>
      </c>
      <c r="L67" s="23">
        <v>3754.1999999999994</v>
      </c>
      <c r="M67" s="23">
        <v>3040.6</v>
      </c>
      <c r="N67" s="23">
        <v>3447.4</v>
      </c>
      <c r="O67" s="23">
        <v>3849.9</v>
      </c>
      <c r="P67" s="23">
        <v>3914.4</v>
      </c>
      <c r="Q67" s="23">
        <v>3887.0999999999995</v>
      </c>
      <c r="R67" s="23">
        <v>4166.8</v>
      </c>
      <c r="S67" s="23">
        <v>4590.8999999999996</v>
      </c>
      <c r="T67" s="23">
        <v>4790.5999999999995</v>
      </c>
      <c r="U67" s="23">
        <v>5133.9999999999991</v>
      </c>
      <c r="V67" s="23">
        <v>5485.6</v>
      </c>
      <c r="W67" s="23">
        <v>5802.8</v>
      </c>
      <c r="X67" s="23">
        <v>5298.5</v>
      </c>
      <c r="Y67" s="23">
        <v>6153.6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525.6</v>
      </c>
      <c r="E68" s="23">
        <v>627.6</v>
      </c>
      <c r="F68" s="23">
        <v>765.2</v>
      </c>
      <c r="G68" s="23">
        <v>881.00000000000011</v>
      </c>
      <c r="H68" s="23">
        <v>959</v>
      </c>
      <c r="I68" s="23">
        <v>1122.7</v>
      </c>
      <c r="J68" s="23">
        <v>1452.5</v>
      </c>
      <c r="K68" s="23">
        <v>1701.5</v>
      </c>
      <c r="L68" s="23">
        <v>1859.8</v>
      </c>
      <c r="M68" s="23">
        <v>1583.5</v>
      </c>
      <c r="N68" s="23">
        <v>1755.8</v>
      </c>
      <c r="O68" s="23">
        <v>1919.8</v>
      </c>
      <c r="P68" s="23">
        <v>2235</v>
      </c>
      <c r="Q68" s="23">
        <v>2072.6</v>
      </c>
      <c r="R68" s="23">
        <v>2130.8000000000002</v>
      </c>
      <c r="S68" s="23">
        <v>2320.4</v>
      </c>
      <c r="T68" s="23">
        <v>2493.9</v>
      </c>
      <c r="U68" s="23">
        <v>2790.7</v>
      </c>
      <c r="V68" s="23">
        <v>3047.1</v>
      </c>
      <c r="W68" s="23">
        <v>2683.6</v>
      </c>
      <c r="X68" s="23">
        <v>2891.9</v>
      </c>
      <c r="Y68" s="23">
        <v>3102.9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858.7</v>
      </c>
      <c r="E69" s="23">
        <v>953.6</v>
      </c>
      <c r="F69" s="23">
        <v>939.2</v>
      </c>
      <c r="G69" s="23">
        <v>1028</v>
      </c>
      <c r="H69" s="23">
        <v>1240.9000000000003</v>
      </c>
      <c r="I69" s="23">
        <v>1413.5</v>
      </c>
      <c r="J69" s="23">
        <v>1740.2</v>
      </c>
      <c r="K69" s="23">
        <v>2113.1999999999998</v>
      </c>
      <c r="L69" s="23">
        <v>2198.1</v>
      </c>
      <c r="M69" s="23">
        <v>2028.9</v>
      </c>
      <c r="N69" s="23">
        <v>2357</v>
      </c>
      <c r="O69" s="23">
        <v>2904.7</v>
      </c>
      <c r="P69" s="23">
        <v>2759.7</v>
      </c>
      <c r="Q69" s="23">
        <v>2731.2</v>
      </c>
      <c r="R69" s="23">
        <v>2928.6</v>
      </c>
      <c r="S69" s="23">
        <v>3160.2</v>
      </c>
      <c r="T69" s="23">
        <v>3183.7</v>
      </c>
      <c r="U69" s="23">
        <v>3443.1</v>
      </c>
      <c r="V69" s="23">
        <v>3629.8</v>
      </c>
      <c r="W69" s="23">
        <v>3997.2</v>
      </c>
      <c r="X69" s="23">
        <v>3774.3</v>
      </c>
      <c r="Y69" s="23">
        <v>4261.6000000000004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1299.0999999999999</v>
      </c>
      <c r="E70" s="23">
        <v>1465.4</v>
      </c>
      <c r="F70" s="23">
        <v>1597.3</v>
      </c>
      <c r="G70" s="23">
        <v>1419.3</v>
      </c>
      <c r="H70" s="23">
        <v>1695.8999999999996</v>
      </c>
      <c r="I70" s="23">
        <v>2015.5000000000002</v>
      </c>
      <c r="J70" s="23">
        <v>2645</v>
      </c>
      <c r="K70" s="23">
        <v>3163.1</v>
      </c>
      <c r="L70" s="23">
        <v>3532.1</v>
      </c>
      <c r="M70" s="23">
        <v>2857.8</v>
      </c>
      <c r="N70" s="23">
        <v>3189.9</v>
      </c>
      <c r="O70" s="23">
        <v>3656.1</v>
      </c>
      <c r="P70" s="23">
        <v>3573.1</v>
      </c>
      <c r="Q70" s="23">
        <v>3635.2</v>
      </c>
      <c r="R70" s="23">
        <v>3667.3</v>
      </c>
      <c r="S70" s="23">
        <v>3851.9</v>
      </c>
      <c r="T70" s="23">
        <v>3791.9</v>
      </c>
      <c r="U70" s="23">
        <v>4065.8</v>
      </c>
      <c r="V70" s="23">
        <v>4113.3999999999996</v>
      </c>
      <c r="W70" s="23">
        <v>4649.1000000000004</v>
      </c>
      <c r="X70" s="23">
        <v>4114.6000000000004</v>
      </c>
      <c r="Y70" s="23">
        <v>4602.1000000000004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1904.2</v>
      </c>
      <c r="E71" s="23">
        <v>2393.9</v>
      </c>
      <c r="F71" s="23">
        <v>2644.5</v>
      </c>
      <c r="G71" s="23">
        <v>2495</v>
      </c>
      <c r="H71" s="23">
        <v>3270.5000000000005</v>
      </c>
      <c r="I71" s="23">
        <v>3798.3999999999996</v>
      </c>
      <c r="J71" s="23">
        <v>4490.8</v>
      </c>
      <c r="K71" s="23">
        <v>5128.1000000000004</v>
      </c>
      <c r="L71" s="23">
        <v>5591</v>
      </c>
      <c r="M71" s="23">
        <v>4825.8999999999996</v>
      </c>
      <c r="N71" s="23">
        <v>5924.2</v>
      </c>
      <c r="O71" s="23">
        <v>6545.3</v>
      </c>
      <c r="P71" s="23">
        <v>6222.4</v>
      </c>
      <c r="Q71" s="23">
        <v>6115</v>
      </c>
      <c r="R71" s="23">
        <v>7084.8</v>
      </c>
      <c r="S71" s="23">
        <v>7792.1</v>
      </c>
      <c r="T71" s="23">
        <v>8813.2000000000025</v>
      </c>
      <c r="U71" s="23">
        <v>9582.6</v>
      </c>
      <c r="V71" s="23">
        <v>9888.2000000000007</v>
      </c>
      <c r="W71" s="23">
        <v>10813.1</v>
      </c>
      <c r="X71" s="23">
        <v>8303</v>
      </c>
      <c r="Y71" s="23">
        <v>8995.6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187.69999999999985</v>
      </c>
      <c r="E72" s="23">
        <v>227.80000000000007</v>
      </c>
      <c r="F72" s="23">
        <v>274.90000000000009</v>
      </c>
      <c r="G72" s="23">
        <v>274.10000000000008</v>
      </c>
      <c r="H72" s="23">
        <v>285.3</v>
      </c>
      <c r="I72" s="23">
        <v>327.2000000000013</v>
      </c>
      <c r="J72" s="23">
        <v>355.59999999999923</v>
      </c>
      <c r="K72" s="23">
        <v>448.99999999999898</v>
      </c>
      <c r="L72" s="23">
        <v>586.00000000000068</v>
      </c>
      <c r="M72" s="23">
        <v>587.60000000000048</v>
      </c>
      <c r="N72" s="23">
        <v>634.49999999999966</v>
      </c>
      <c r="O72" s="23">
        <v>798.40000000000043</v>
      </c>
      <c r="P72" s="23">
        <v>777.30000000000064</v>
      </c>
      <c r="Q72" s="23">
        <v>762.19999999999959</v>
      </c>
      <c r="R72" s="23">
        <v>810.50000000000011</v>
      </c>
      <c r="S72" s="23">
        <v>899.10000000000025</v>
      </c>
      <c r="T72" s="23">
        <v>939.09999999999684</v>
      </c>
      <c r="U72" s="23">
        <v>861.69999999999925</v>
      </c>
      <c r="V72" s="23">
        <v>914.49999999999852</v>
      </c>
      <c r="W72" s="23">
        <v>1003.0000000000001</v>
      </c>
      <c r="X72" s="23">
        <v>969.79999999999825</v>
      </c>
      <c r="Y72" s="23">
        <v>1156.4000000000001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637.29999999999995</v>
      </c>
      <c r="E73" s="23">
        <v>750</v>
      </c>
      <c r="F73" s="23">
        <v>864.7</v>
      </c>
      <c r="G73" s="23">
        <v>847.5</v>
      </c>
      <c r="H73" s="23">
        <v>860.6</v>
      </c>
      <c r="I73" s="23">
        <v>991.6</v>
      </c>
      <c r="J73" s="23">
        <v>1081.5999999999999</v>
      </c>
      <c r="K73" s="23">
        <v>1178.0999999999999</v>
      </c>
      <c r="L73" s="23">
        <v>1328.9</v>
      </c>
      <c r="M73" s="23">
        <v>1170.5999999999999</v>
      </c>
      <c r="N73" s="23">
        <v>1196.3</v>
      </c>
      <c r="O73" s="23">
        <v>1315</v>
      </c>
      <c r="P73" s="23">
        <v>1252.5999999999999</v>
      </c>
      <c r="Q73" s="23">
        <v>1247.6999999999998</v>
      </c>
      <c r="R73" s="23">
        <v>1228</v>
      </c>
      <c r="S73" s="23">
        <v>1290.0999999999999</v>
      </c>
      <c r="T73" s="23">
        <v>1488.8</v>
      </c>
      <c r="U73" s="23">
        <v>1618.2</v>
      </c>
      <c r="V73" s="23">
        <v>1720.7</v>
      </c>
      <c r="W73" s="23">
        <v>1825.2</v>
      </c>
      <c r="X73" s="23">
        <v>1744.1</v>
      </c>
      <c r="Y73" s="23">
        <v>1883.3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578.09999999999502</v>
      </c>
      <c r="E74" s="23">
        <v>641.00000000000284</v>
      </c>
      <c r="F74" s="23">
        <v>683.69999999999129</v>
      </c>
      <c r="G74" s="23">
        <v>691.59999999998968</v>
      </c>
      <c r="H74" s="23">
        <v>813.20000000000903</v>
      </c>
      <c r="I74" s="23">
        <v>934.50000000000375</v>
      </c>
      <c r="J74" s="23">
        <v>1114.7000000000203</v>
      </c>
      <c r="K74" s="23">
        <v>1365.4000000000037</v>
      </c>
      <c r="L74" s="23">
        <v>1535.4000000000128</v>
      </c>
      <c r="M74" s="23">
        <v>1366.400000000019</v>
      </c>
      <c r="N74" s="23">
        <v>1395.4999999999848</v>
      </c>
      <c r="O74" s="23">
        <v>1578.6999999999998</v>
      </c>
      <c r="P74" s="23">
        <v>1519.2000000000119</v>
      </c>
      <c r="Q74" s="23">
        <v>1520.700000000016</v>
      </c>
      <c r="R74" s="23">
        <v>1484.8000000000209</v>
      </c>
      <c r="S74" s="23">
        <v>1462.5999999999754</v>
      </c>
      <c r="T74" s="23">
        <v>1566.8000000000254</v>
      </c>
      <c r="U74" s="23">
        <v>1622.4000000000069</v>
      </c>
      <c r="V74" s="23">
        <v>1802.6000000000111</v>
      </c>
      <c r="W74" s="23">
        <v>2088.9000000000092</v>
      </c>
      <c r="X74" s="23">
        <v>2019.7999999999934</v>
      </c>
      <c r="Y74" s="23">
        <v>2080.9000000000178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15670.599999999997</v>
      </c>
      <c r="E75" s="30">
        <f t="shared" ref="E75:S75" si="6">SUM(E56:E74)</f>
        <v>17902.100000000002</v>
      </c>
      <c r="F75" s="30">
        <f t="shared" si="6"/>
        <v>19520.899999999991</v>
      </c>
      <c r="G75" s="30">
        <f t="shared" si="6"/>
        <v>19201.69999999999</v>
      </c>
      <c r="H75" s="30">
        <f t="shared" si="6"/>
        <v>21952.800000000003</v>
      </c>
      <c r="I75" s="30">
        <f t="shared" si="6"/>
        <v>24959.100000000006</v>
      </c>
      <c r="J75" s="30">
        <f t="shared" si="6"/>
        <v>28972.100000000013</v>
      </c>
      <c r="K75" s="30">
        <f t="shared" si="6"/>
        <v>32246.7</v>
      </c>
      <c r="L75" s="30">
        <f t="shared" si="6"/>
        <v>35599.30000000001</v>
      </c>
      <c r="M75" s="30">
        <f t="shared" si="6"/>
        <v>30460.300000000025</v>
      </c>
      <c r="N75" s="30">
        <f t="shared" si="6"/>
        <v>33099.699999999983</v>
      </c>
      <c r="O75" s="30">
        <f t="shared" si="6"/>
        <v>36521.1</v>
      </c>
      <c r="P75" s="30">
        <f t="shared" si="6"/>
        <v>35678.100000000013</v>
      </c>
      <c r="Q75" s="30">
        <f t="shared" si="6"/>
        <v>35023.300000000017</v>
      </c>
      <c r="R75" s="30">
        <f t="shared" si="6"/>
        <v>37426.600000000013</v>
      </c>
      <c r="S75" s="30">
        <f t="shared" si="6"/>
        <v>40561.299999999981</v>
      </c>
      <c r="T75" s="30">
        <f t="shared" ref="T75:Y75" si="7">SUM(T56:T74)</f>
        <v>42640.400000000038</v>
      </c>
      <c r="U75" s="30">
        <f t="shared" si="7"/>
        <v>45686</v>
      </c>
      <c r="V75" s="30">
        <f t="shared" si="7"/>
        <v>47837.200000000004</v>
      </c>
      <c r="W75" s="30">
        <f t="shared" si="7"/>
        <v>51027.200000000004</v>
      </c>
      <c r="X75" s="30">
        <f t="shared" si="7"/>
        <v>46079.299999999996</v>
      </c>
      <c r="Y75" s="30">
        <f t="shared" si="7"/>
        <v>50220.200000000019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113859.4941654069</v>
      </c>
      <c r="E2" s="19">
        <v>117323.29102546221</v>
      </c>
      <c r="F2" s="19">
        <v>119165.98461286625</v>
      </c>
      <c r="G2" s="19">
        <v>123436.49931779579</v>
      </c>
      <c r="H2" s="19">
        <v>129378.79376649827</v>
      </c>
      <c r="I2" s="19">
        <v>137919.36492061507</v>
      </c>
      <c r="J2" s="19">
        <v>147253.87988605606</v>
      </c>
      <c r="K2" s="19">
        <v>155455.51131788496</v>
      </c>
      <c r="L2" s="19">
        <v>159631.71269847522</v>
      </c>
      <c r="M2" s="19">
        <v>152196.67294093707</v>
      </c>
      <c r="N2" s="19">
        <v>155903.40987620194</v>
      </c>
      <c r="O2" s="19">
        <v>158646.90969154536</v>
      </c>
      <c r="P2" s="19">
        <v>157402.65649505297</v>
      </c>
      <c r="Q2" s="19">
        <v>157329.68279808594</v>
      </c>
      <c r="R2" s="19">
        <v>160889.46204112421</v>
      </c>
      <c r="S2" s="19">
        <v>169558.2</v>
      </c>
      <c r="T2" s="19">
        <v>173860.45189990004</v>
      </c>
      <c r="U2" s="19">
        <v>182847.54925969182</v>
      </c>
      <c r="V2" s="19">
        <v>188733.87486357376</v>
      </c>
      <c r="W2" s="19">
        <v>194452.48868778281</v>
      </c>
      <c r="X2" s="19">
        <v>183751.74551275501</v>
      </c>
      <c r="Y2" s="19">
        <v>190281.44941657549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56733.120591199193</v>
      </c>
      <c r="E3" s="23">
        <v>58438.422115235284</v>
      </c>
      <c r="F3" s="23">
        <v>60246.181142746253</v>
      </c>
      <c r="G3" s="23">
        <v>63330.327493415774</v>
      </c>
      <c r="H3" s="23">
        <v>65151.447970070665</v>
      </c>
      <c r="I3" s="23">
        <v>67482.533589251441</v>
      </c>
      <c r="J3" s="23">
        <v>70014.479053237446</v>
      </c>
      <c r="K3" s="23">
        <v>72912.178012617587</v>
      </c>
      <c r="L3" s="23">
        <v>75096.238483657056</v>
      </c>
      <c r="M3" s="23">
        <v>74741.973596342548</v>
      </c>
      <c r="N3" s="23">
        <v>75756.1028088569</v>
      </c>
      <c r="O3" s="23">
        <v>76054.012100356267</v>
      </c>
      <c r="P3" s="23">
        <v>75232.558139534871</v>
      </c>
      <c r="Q3" s="23">
        <v>75916.979609869479</v>
      </c>
      <c r="R3" s="23">
        <v>76984.636504956303</v>
      </c>
      <c r="S3" s="23">
        <v>79963</v>
      </c>
      <c r="T3" s="23">
        <v>82987.948715417951</v>
      </c>
      <c r="U3" s="23">
        <v>86343.781996486854</v>
      </c>
      <c r="V3" s="23">
        <v>89372.584373967911</v>
      </c>
      <c r="W3" s="23">
        <v>91774.263619775826</v>
      </c>
      <c r="X3" s="23">
        <v>85132.054126963398</v>
      </c>
      <c r="Y3" s="23">
        <v>88631.269113776681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101440.95953219483</v>
      </c>
      <c r="E4" s="27">
        <v>104555.09821131323</v>
      </c>
      <c r="F4" s="27">
        <v>106672.14165531608</v>
      </c>
      <c r="G4" s="27">
        <v>109845.90572737374</v>
      </c>
      <c r="H4" s="27">
        <v>115177.66564340392</v>
      </c>
      <c r="I4" s="27">
        <v>122983.85307531124</v>
      </c>
      <c r="J4" s="27">
        <v>131937.61506373656</v>
      </c>
      <c r="K4" s="27">
        <v>138912.51572465847</v>
      </c>
      <c r="L4" s="27">
        <v>143876.66836275393</v>
      </c>
      <c r="M4" s="27">
        <v>136281.17480039067</v>
      </c>
      <c r="N4" s="27">
        <v>140372.64396491606</v>
      </c>
      <c r="O4" s="27">
        <v>142838.22853641724</v>
      </c>
      <c r="P4" s="27">
        <v>141639.86826811315</v>
      </c>
      <c r="Q4" s="27">
        <v>141616.74213973584</v>
      </c>
      <c r="R4" s="27">
        <v>145665.24481090682</v>
      </c>
      <c r="S4" s="27">
        <v>152687.9</v>
      </c>
      <c r="T4" s="27">
        <v>156503.07410203863</v>
      </c>
      <c r="U4" s="27">
        <v>164642.49985843449</v>
      </c>
      <c r="V4" s="27">
        <v>170253.87074531434</v>
      </c>
      <c r="W4" s="27">
        <v>175373.41167766412</v>
      </c>
      <c r="X4" s="27">
        <v>166141.49650657238</v>
      </c>
      <c r="Y4" s="27">
        <v>171825.62800111115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3619.675725961858</v>
      </c>
      <c r="E6" s="19">
        <v>3669.9857752489329</v>
      </c>
      <c r="F6" s="19">
        <v>3102.5825922068211</v>
      </c>
      <c r="G6" s="19">
        <v>2931.8569918412709</v>
      </c>
      <c r="H6" s="19">
        <v>3072.6867893703638</v>
      </c>
      <c r="I6" s="19">
        <v>3106.6190065327255</v>
      </c>
      <c r="J6" s="19">
        <v>3142.6673813241359</v>
      </c>
      <c r="K6" s="19">
        <v>3204.0784798393324</v>
      </c>
      <c r="L6" s="19">
        <v>3044.6397119261028</v>
      </c>
      <c r="M6" s="19">
        <v>2645.9187063905192</v>
      </c>
      <c r="N6" s="19">
        <v>2389.5769695422</v>
      </c>
      <c r="O6" s="19">
        <v>3135.4828827448878</v>
      </c>
      <c r="P6" s="19">
        <v>3545.2344052692756</v>
      </c>
      <c r="Q6" s="19">
        <v>3736.5610043698412</v>
      </c>
      <c r="R6" s="19">
        <v>3886.8706247321265</v>
      </c>
      <c r="S6" s="19">
        <v>3749.3</v>
      </c>
      <c r="T6" s="19">
        <v>3631.2646473362688</v>
      </c>
      <c r="U6" s="19">
        <v>3769.889956397818</v>
      </c>
      <c r="V6" s="19">
        <v>3657.9774516212801</v>
      </c>
      <c r="W6" s="19">
        <v>3611.7826202909523</v>
      </c>
      <c r="X6" s="19">
        <v>3578.9446972644691</v>
      </c>
      <c r="Y6" s="19">
        <v>3489.5035517282436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31043.092564289982</v>
      </c>
      <c r="E7" s="23">
        <v>32572.561363154877</v>
      </c>
      <c r="F7" s="23">
        <v>31954.570947840708</v>
      </c>
      <c r="G7" s="23">
        <v>31693.95278237063</v>
      </c>
      <c r="H7" s="23">
        <v>35263.040012648067</v>
      </c>
      <c r="I7" s="23">
        <v>37511.894490324179</v>
      </c>
      <c r="J7" s="23">
        <v>41481.554846076775</v>
      </c>
      <c r="K7" s="23">
        <v>43544.613890666733</v>
      </c>
      <c r="L7" s="23">
        <v>44253.982543348087</v>
      </c>
      <c r="M7" s="23">
        <v>40190.597972190633</v>
      </c>
      <c r="N7" s="23">
        <v>41549.212772435727</v>
      </c>
      <c r="O7" s="23">
        <v>44031.553955732554</v>
      </c>
      <c r="P7" s="23">
        <v>43488.667183262311</v>
      </c>
      <c r="Q7" s="23">
        <v>43443.05829427563</v>
      </c>
      <c r="R7" s="23">
        <v>46285.99710186341</v>
      </c>
      <c r="S7" s="23">
        <v>48643.39999999998</v>
      </c>
      <c r="T7" s="23">
        <v>49577.666428060154</v>
      </c>
      <c r="U7" s="23">
        <v>50916.306461050612</v>
      </c>
      <c r="V7" s="23">
        <v>50502.279016038185</v>
      </c>
      <c r="W7" s="23">
        <v>51314.016810192799</v>
      </c>
      <c r="X7" s="23">
        <v>46637.343303276881</v>
      </c>
      <c r="Y7" s="23">
        <v>47618.635660145257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6251.9104259419237</v>
      </c>
      <c r="E8" s="23">
        <v>6274.6284918737319</v>
      </c>
      <c r="F8" s="23">
        <v>6785.5139812515017</v>
      </c>
      <c r="G8" s="23">
        <v>7167.75540075353</v>
      </c>
      <c r="H8" s="23">
        <v>7454.0519887748515</v>
      </c>
      <c r="I8" s="23">
        <v>8201.2818932577356</v>
      </c>
      <c r="J8" s="23">
        <v>8357.6472233226905</v>
      </c>
      <c r="K8" s="23">
        <v>8887.3562711041468</v>
      </c>
      <c r="L8" s="23">
        <v>9121.1006301616508</v>
      </c>
      <c r="M8" s="23">
        <v>9492.9469688579211</v>
      </c>
      <c r="N8" s="23">
        <v>9901.4860577725831</v>
      </c>
      <c r="O8" s="23">
        <v>9188.3663935053974</v>
      </c>
      <c r="P8" s="23">
        <v>8359.1631150716785</v>
      </c>
      <c r="Q8" s="23">
        <v>8140.8852644199815</v>
      </c>
      <c r="R8" s="23">
        <v>8213.0538604404355</v>
      </c>
      <c r="S8" s="23">
        <v>8636.5</v>
      </c>
      <c r="T8" s="23">
        <v>8551.8871162275318</v>
      </c>
      <c r="U8" s="23">
        <v>9010.834481587046</v>
      </c>
      <c r="V8" s="23">
        <v>9519.6604310877483</v>
      </c>
      <c r="W8" s="23">
        <v>9884.3761560233652</v>
      </c>
      <c r="X8" s="23">
        <v>9379.472517805485</v>
      </c>
      <c r="Y8" s="23">
        <v>9612.12746537561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22593.029437171906</v>
      </c>
      <c r="E9" s="23">
        <v>22878.090856814262</v>
      </c>
      <c r="F9" s="23">
        <v>23647.811339903325</v>
      </c>
      <c r="G9" s="23">
        <v>24302.306670642127</v>
      </c>
      <c r="H9" s="23">
        <v>24212.460968893691</v>
      </c>
      <c r="I9" s="23">
        <v>25363.367434980897</v>
      </c>
      <c r="J9" s="23">
        <v>27169.606860711705</v>
      </c>
      <c r="K9" s="23">
        <v>28152.987133367173</v>
      </c>
      <c r="L9" s="23">
        <v>28972.856080472819</v>
      </c>
      <c r="M9" s="23">
        <v>25286.702443641196</v>
      </c>
      <c r="N9" s="23">
        <v>26327.089860823275</v>
      </c>
      <c r="O9" s="23">
        <v>26191.697939802405</v>
      </c>
      <c r="P9" s="23">
        <v>25996.609841146845</v>
      </c>
      <c r="Q9" s="23">
        <v>25612.421843260436</v>
      </c>
      <c r="R9" s="23">
        <v>26268.853195093576</v>
      </c>
      <c r="S9" s="23">
        <v>28365</v>
      </c>
      <c r="T9" s="23">
        <v>29015.306772830234</v>
      </c>
      <c r="U9" s="23">
        <v>31403.480624398348</v>
      </c>
      <c r="V9" s="23">
        <v>31981.624593672477</v>
      </c>
      <c r="W9" s="23">
        <v>32497.268558745342</v>
      </c>
      <c r="X9" s="23">
        <v>29104.988919152103</v>
      </c>
      <c r="Y9" s="23">
        <v>30759.474582324696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4358.2630075088045</v>
      </c>
      <c r="E10" s="23">
        <v>4496.231954238674</v>
      </c>
      <c r="F10" s="23">
        <v>4761.3706166706734</v>
      </c>
      <c r="G10" s="23">
        <v>5020.3290597132245</v>
      </c>
      <c r="H10" s="23">
        <v>5176.0846365660536</v>
      </c>
      <c r="I10" s="23">
        <v>5944.533464809565</v>
      </c>
      <c r="J10" s="23">
        <v>6616.6018037333079</v>
      </c>
      <c r="K10" s="23">
        <v>7225.6185032332105</v>
      </c>
      <c r="L10" s="23">
        <v>7406.5521155426832</v>
      </c>
      <c r="M10" s="23">
        <v>7261.4504777535012</v>
      </c>
      <c r="N10" s="23">
        <v>7207.9204030919427</v>
      </c>
      <c r="O10" s="23">
        <v>7394.6925021061497</v>
      </c>
      <c r="P10" s="23">
        <v>7298.6245641224332</v>
      </c>
      <c r="Q10" s="23">
        <v>7195.0772401629029</v>
      </c>
      <c r="R10" s="23">
        <v>7383.5132763230404</v>
      </c>
      <c r="S10" s="23">
        <v>7920.5</v>
      </c>
      <c r="T10" s="23">
        <v>8276.4436512683733</v>
      </c>
      <c r="U10" s="23">
        <v>9063.4968572453236</v>
      </c>
      <c r="V10" s="23">
        <v>9920.3911490001883</v>
      </c>
      <c r="W10" s="23">
        <v>11075.972780220063</v>
      </c>
      <c r="X10" s="23">
        <v>11435.519615638375</v>
      </c>
      <c r="Y10" s="23">
        <v>11885.789118615818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3196.5579108246397</v>
      </c>
      <c r="E11" s="23">
        <v>3476.2870373172723</v>
      </c>
      <c r="F11" s="23">
        <v>2818.6844002884391</v>
      </c>
      <c r="G11" s="23">
        <v>3671.2926571436315</v>
      </c>
      <c r="H11" s="23">
        <v>3777.1570862043982</v>
      </c>
      <c r="I11" s="23">
        <v>3850.8566498212749</v>
      </c>
      <c r="J11" s="23">
        <v>4056.4190999976695</v>
      </c>
      <c r="K11" s="23">
        <v>4999.8896515194983</v>
      </c>
      <c r="L11" s="23">
        <v>5852.6752514775535</v>
      </c>
      <c r="M11" s="23">
        <v>5988.3808737502386</v>
      </c>
      <c r="N11" s="23">
        <v>6498.3842927720425</v>
      </c>
      <c r="O11" s="23">
        <v>6475.0708432258552</v>
      </c>
      <c r="P11" s="23">
        <v>6337.8535451375437</v>
      </c>
      <c r="Q11" s="23">
        <v>6511.1624173842392</v>
      </c>
      <c r="R11" s="23">
        <v>6208.543380206951</v>
      </c>
      <c r="S11" s="23">
        <v>6512.8</v>
      </c>
      <c r="T11" s="23">
        <v>6509.3497808415295</v>
      </c>
      <c r="U11" s="23">
        <v>6742.2941165367411</v>
      </c>
      <c r="V11" s="23">
        <v>7260.9719622820603</v>
      </c>
      <c r="W11" s="23">
        <v>7084.2832440058855</v>
      </c>
      <c r="X11" s="23">
        <v>6835.6989392837204</v>
      </c>
      <c r="Y11" s="23">
        <v>7039.0094845033518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7981.0950893747095</v>
      </c>
      <c r="E12" s="23">
        <v>8048.6365424775286</v>
      </c>
      <c r="F12" s="23">
        <v>8351.8948802179311</v>
      </c>
      <c r="G12" s="23">
        <v>8581.4382132111787</v>
      </c>
      <c r="H12" s="23">
        <v>8987.1016192145034</v>
      </c>
      <c r="I12" s="23">
        <v>9910.8837667940352</v>
      </c>
      <c r="J12" s="23">
        <v>10579.222110880659</v>
      </c>
      <c r="K12" s="23">
        <v>11003.398733199443</v>
      </c>
      <c r="L12" s="23">
        <v>12133.938706015892</v>
      </c>
      <c r="M12" s="23">
        <v>12575.640109143265</v>
      </c>
      <c r="N12" s="23">
        <v>12828.715389979669</v>
      </c>
      <c r="O12" s="23">
        <v>12824.921498047024</v>
      </c>
      <c r="P12" s="23">
        <v>12763.173188686556</v>
      </c>
      <c r="Q12" s="23">
        <v>12747.550015358853</v>
      </c>
      <c r="R12" s="23">
        <v>12813.02936914505</v>
      </c>
      <c r="S12" s="23">
        <v>13051.8</v>
      </c>
      <c r="T12" s="23">
        <v>13604.985242349067</v>
      </c>
      <c r="U12" s="23">
        <v>14161.743332263728</v>
      </c>
      <c r="V12" s="23">
        <v>15577.902947049815</v>
      </c>
      <c r="W12" s="23">
        <v>16250.483916757716</v>
      </c>
      <c r="X12" s="23">
        <v>16143.611172201452</v>
      </c>
      <c r="Y12" s="23">
        <v>15943.410452795748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6031.9622566283479</v>
      </c>
      <c r="E13" s="23">
        <v>6274.6284918737319</v>
      </c>
      <c r="F13" s="23">
        <v>7040.9689394546385</v>
      </c>
      <c r="G13" s="23">
        <v>7166.8067113002462</v>
      </c>
      <c r="H13" s="23">
        <v>7625.0642284027881</v>
      </c>
      <c r="I13" s="23">
        <v>8204.7331443362509</v>
      </c>
      <c r="J13" s="23">
        <v>8579.7347999347476</v>
      </c>
      <c r="K13" s="23">
        <v>9396.8352055792184</v>
      </c>
      <c r="L13" s="23">
        <v>9954.6948999960841</v>
      </c>
      <c r="M13" s="23">
        <v>9356.9206294868054</v>
      </c>
      <c r="N13" s="23">
        <v>9537.9764863033197</v>
      </c>
      <c r="O13" s="23">
        <v>9309.1828138163437</v>
      </c>
      <c r="P13" s="23">
        <v>9751.0654784967064</v>
      </c>
      <c r="Q13" s="23">
        <v>9979.9839475222725</v>
      </c>
      <c r="R13" s="23">
        <v>10025.81790721881</v>
      </c>
      <c r="S13" s="23">
        <v>10564.2</v>
      </c>
      <c r="T13" s="23">
        <v>11189.241133152254</v>
      </c>
      <c r="U13" s="23">
        <v>11984.371165933671</v>
      </c>
      <c r="V13" s="23">
        <v>12532.259942151499</v>
      </c>
      <c r="W13" s="23">
        <v>12782.112716041947</v>
      </c>
      <c r="X13" s="23">
        <v>11769.552198406389</v>
      </c>
      <c r="Y13" s="23">
        <v>12811.460772252867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13833.31118346734</v>
      </c>
      <c r="E14" s="23">
        <v>14384.703852788962</v>
      </c>
      <c r="F14" s="23">
        <v>15725.102155276021</v>
      </c>
      <c r="G14" s="23">
        <v>16609.519421028381</v>
      </c>
      <c r="H14" s="23">
        <v>16830.081290101582</v>
      </c>
      <c r="I14" s="23">
        <v>18048.070997165043</v>
      </c>
      <c r="J14" s="23">
        <v>18873.94840483792</v>
      </c>
      <c r="K14" s="23">
        <v>19332.722738407891</v>
      </c>
      <c r="L14" s="23">
        <v>20091.49086069905</v>
      </c>
      <c r="M14" s="23">
        <v>20476.243216303024</v>
      </c>
      <c r="N14" s="23">
        <v>20887.607672890495</v>
      </c>
      <c r="O14" s="23">
        <v>20742.99226468561</v>
      </c>
      <c r="P14" s="23">
        <v>20941.49554436265</v>
      </c>
      <c r="Q14" s="23">
        <v>21122.088011177282</v>
      </c>
      <c r="R14" s="23">
        <v>21444.170051227626</v>
      </c>
      <c r="S14" s="23">
        <v>21968.799999999999</v>
      </c>
      <c r="T14" s="23">
        <v>22711.387415302852</v>
      </c>
      <c r="U14" s="23">
        <v>24020.083429283302</v>
      </c>
      <c r="V14" s="23">
        <v>25648.467372907915</v>
      </c>
      <c r="W14" s="23">
        <v>26998.511687127382</v>
      </c>
      <c r="X14" s="23">
        <v>27987.684187376293</v>
      </c>
      <c r="Y14" s="23">
        <v>29255.049803563634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2532.0619310253173</v>
      </c>
      <c r="E15" s="23">
        <v>2479.3438455252567</v>
      </c>
      <c r="F15" s="23">
        <v>2483.6418022060197</v>
      </c>
      <c r="G15" s="23">
        <v>2700.647819369528</v>
      </c>
      <c r="H15" s="23">
        <v>2779.9370232276256</v>
      </c>
      <c r="I15" s="23">
        <v>2841.6122272895354</v>
      </c>
      <c r="J15" s="23">
        <v>3080.2125329169676</v>
      </c>
      <c r="K15" s="23">
        <v>3165.0151177418288</v>
      </c>
      <c r="L15" s="23">
        <v>3044.7375631140162</v>
      </c>
      <c r="M15" s="23">
        <v>3006.3734028735689</v>
      </c>
      <c r="N15" s="23">
        <v>3244.6740593048039</v>
      </c>
      <c r="O15" s="23">
        <v>3544.2674427510146</v>
      </c>
      <c r="P15" s="23">
        <v>3157.9814025571486</v>
      </c>
      <c r="Q15" s="23">
        <v>3127.9541018044174</v>
      </c>
      <c r="R15" s="23">
        <v>3135.3960446557953</v>
      </c>
      <c r="S15" s="23">
        <v>3275.6</v>
      </c>
      <c r="T15" s="23">
        <v>3435.5419146703798</v>
      </c>
      <c r="U15" s="23">
        <v>3569.9994337378962</v>
      </c>
      <c r="V15" s="23">
        <v>3652.3358795031832</v>
      </c>
      <c r="W15" s="23">
        <v>3874.603188258674</v>
      </c>
      <c r="X15" s="23">
        <v>3268.6809561672112</v>
      </c>
      <c r="Y15" s="23">
        <v>3411.1671098059442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101440.95953219486</v>
      </c>
      <c r="E16" s="30">
        <f t="shared" ref="E16:S16" si="0">SUM(E6:E15)</f>
        <v>104555.09821131325</v>
      </c>
      <c r="F16" s="30">
        <f t="shared" si="0"/>
        <v>106672.14165531608</v>
      </c>
      <c r="G16" s="30">
        <f t="shared" si="0"/>
        <v>109845.90572737374</v>
      </c>
      <c r="H16" s="30">
        <f t="shared" si="0"/>
        <v>115177.66564340392</v>
      </c>
      <c r="I16" s="30">
        <f t="shared" si="0"/>
        <v>122983.85307531123</v>
      </c>
      <c r="J16" s="30">
        <f t="shared" si="0"/>
        <v>131937.61506373659</v>
      </c>
      <c r="K16" s="30">
        <f t="shared" si="0"/>
        <v>138912.51572465847</v>
      </c>
      <c r="L16" s="30">
        <f t="shared" si="0"/>
        <v>143876.66836275393</v>
      </c>
      <c r="M16" s="30">
        <f t="shared" si="0"/>
        <v>136281.17480039067</v>
      </c>
      <c r="N16" s="30">
        <f t="shared" si="0"/>
        <v>140372.64396491606</v>
      </c>
      <c r="O16" s="30">
        <f t="shared" si="0"/>
        <v>142838.22853641721</v>
      </c>
      <c r="P16" s="30">
        <f t="shared" si="0"/>
        <v>141639.86826811315</v>
      </c>
      <c r="Q16" s="30">
        <f t="shared" si="0"/>
        <v>141616.74213973584</v>
      </c>
      <c r="R16" s="30">
        <f t="shared" si="0"/>
        <v>145665.24481090679</v>
      </c>
      <c r="S16" s="30">
        <f t="shared" si="0"/>
        <v>152687.9</v>
      </c>
      <c r="T16" s="30">
        <f t="shared" ref="T16:Y16" si="1">SUM(T6:T15)</f>
        <v>156503.07410203863</v>
      </c>
      <c r="U16" s="30">
        <f t="shared" si="1"/>
        <v>164642.49985843449</v>
      </c>
      <c r="V16" s="30">
        <f t="shared" si="1"/>
        <v>170253.87074531434</v>
      </c>
      <c r="W16" s="30">
        <f t="shared" si="1"/>
        <v>175373.41167766412</v>
      </c>
      <c r="X16" s="30">
        <f t="shared" si="1"/>
        <v>166141.49650657235</v>
      </c>
      <c r="Y16" s="30">
        <f t="shared" si="1"/>
        <v>171825.62800111118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3619.675725961858</v>
      </c>
      <c r="E18" s="19">
        <v>3669.9857752489329</v>
      </c>
      <c r="F18" s="19">
        <v>3102.5825922068211</v>
      </c>
      <c r="G18" s="19">
        <v>2931.8569918412709</v>
      </c>
      <c r="H18" s="19">
        <v>3072.6867893703638</v>
      </c>
      <c r="I18" s="19">
        <v>3106.6190065327255</v>
      </c>
      <c r="J18" s="19">
        <v>3142.6673813241359</v>
      </c>
      <c r="K18" s="19">
        <v>3204.0784798393324</v>
      </c>
      <c r="L18" s="19">
        <v>3044.6397119261028</v>
      </c>
      <c r="M18" s="19">
        <v>2645.9187063905192</v>
      </c>
      <c r="N18" s="19">
        <v>2389.5769695422</v>
      </c>
      <c r="O18" s="19">
        <v>3135.4828827448878</v>
      </c>
      <c r="P18" s="19">
        <v>3545.2344052692756</v>
      </c>
      <c r="Q18" s="19">
        <v>3736.5610043698412</v>
      </c>
      <c r="R18" s="19">
        <v>3886.8706247321265</v>
      </c>
      <c r="S18" s="19">
        <v>3749.3</v>
      </c>
      <c r="T18" s="19">
        <v>3631.2646473362688</v>
      </c>
      <c r="U18" s="19">
        <v>3769.889956397818</v>
      </c>
      <c r="V18" s="19">
        <v>3657.9774516212801</v>
      </c>
      <c r="W18" s="19">
        <v>3611.7826202909523</v>
      </c>
      <c r="X18" s="19">
        <v>3578.9446972644691</v>
      </c>
      <c r="Y18" s="19">
        <v>3489.5035517282436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1338.4610273107849</v>
      </c>
      <c r="E19" s="23">
        <v>1342.2717230108049</v>
      </c>
      <c r="F19" s="23">
        <v>1277.141254707155</v>
      </c>
      <c r="G19" s="23">
        <v>1171.2248936112542</v>
      </c>
      <c r="H19" s="23">
        <v>1331.734759752836</v>
      </c>
      <c r="I19" s="23">
        <v>1522.9877973622581</v>
      </c>
      <c r="J19" s="23">
        <v>1714.5953252079885</v>
      </c>
      <c r="K19" s="23">
        <v>1779.8106420074596</v>
      </c>
      <c r="L19" s="23">
        <v>1996.1642334337939</v>
      </c>
      <c r="M19" s="23">
        <v>1669.6704558040253</v>
      </c>
      <c r="N19" s="23">
        <v>1749.285454706177</v>
      </c>
      <c r="O19" s="23">
        <v>1813.3951137320976</v>
      </c>
      <c r="P19" s="23">
        <v>1655.3661371561411</v>
      </c>
      <c r="Q19" s="23">
        <v>1287.5672569090063</v>
      </c>
      <c r="R19" s="23">
        <v>1452.6399575484213</v>
      </c>
      <c r="S19" s="23">
        <v>1376.8</v>
      </c>
      <c r="T19" s="23">
        <v>1144.8210941253762</v>
      </c>
      <c r="U19" s="23">
        <v>1176.3151437361976</v>
      </c>
      <c r="V19" s="23">
        <v>1157.8655156665561</v>
      </c>
      <c r="W19" s="23">
        <v>1009.1277454210721</v>
      </c>
      <c r="X19" s="23">
        <v>851.78731538969066</v>
      </c>
      <c r="Y19" s="23">
        <v>849.39878566609787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26032.626752608143</v>
      </c>
      <c r="E20" s="23">
        <v>27090.73575254987</v>
      </c>
      <c r="F20" s="23">
        <v>26067.489250327151</v>
      </c>
      <c r="G20" s="23">
        <v>26023.500393028477</v>
      </c>
      <c r="H20" s="23">
        <v>28922.939091711585</v>
      </c>
      <c r="I20" s="23">
        <v>30764.328854924202</v>
      </c>
      <c r="J20" s="23">
        <v>33758.36032718885</v>
      </c>
      <c r="K20" s="23">
        <v>35583.743461852537</v>
      </c>
      <c r="L20" s="23">
        <v>34834.337938862591</v>
      </c>
      <c r="M20" s="23">
        <v>30669.15695889006</v>
      </c>
      <c r="N20" s="23">
        <v>32510.288470038191</v>
      </c>
      <c r="O20" s="23">
        <v>34963.142375737152</v>
      </c>
      <c r="P20" s="23">
        <v>34558.407593955846</v>
      </c>
      <c r="Q20" s="23">
        <v>34704.366868478697</v>
      </c>
      <c r="R20" s="23">
        <v>38192.746494683372</v>
      </c>
      <c r="S20" s="23">
        <v>40561.299999999981</v>
      </c>
      <c r="T20" s="23">
        <v>41812.102254341524</v>
      </c>
      <c r="U20" s="23">
        <v>43117.084127673232</v>
      </c>
      <c r="V20" s="23">
        <v>42837.62122663897</v>
      </c>
      <c r="W20" s="23">
        <v>43898.519429795517</v>
      </c>
      <c r="X20" s="23">
        <v>38976.924768655575</v>
      </c>
      <c r="Y20" s="23">
        <v>39858.883289019417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2698.1859259751482</v>
      </c>
      <c r="E21" s="23">
        <v>3154.565539783905</v>
      </c>
      <c r="F21" s="23">
        <v>3520.6847741901024</v>
      </c>
      <c r="G21" s="23">
        <v>3384.5173881224082</v>
      </c>
      <c r="H21" s="23">
        <v>3608.3846062634225</v>
      </c>
      <c r="I21" s="23">
        <v>3872.1804511278197</v>
      </c>
      <c r="J21" s="23">
        <v>4592.7617627181844</v>
      </c>
      <c r="K21" s="23">
        <v>4725.5633289929592</v>
      </c>
      <c r="L21" s="23">
        <v>5880.9542447845315</v>
      </c>
      <c r="M21" s="23">
        <v>6304.634561362881</v>
      </c>
      <c r="N21" s="23">
        <v>5663.8150334436659</v>
      </c>
      <c r="O21" s="23">
        <v>5565.9799341349462</v>
      </c>
      <c r="P21" s="23">
        <v>5657.4002324680359</v>
      </c>
      <c r="Q21" s="23">
        <v>5909.0954131531225</v>
      </c>
      <c r="R21" s="23">
        <v>5062.1466620405336</v>
      </c>
      <c r="S21" s="23">
        <v>5133.7</v>
      </c>
      <c r="T21" s="23">
        <v>5034.1730322314934</v>
      </c>
      <c r="U21" s="23">
        <v>4952.1508522244667</v>
      </c>
      <c r="V21" s="23">
        <v>4770.7999391068406</v>
      </c>
      <c r="W21" s="23">
        <v>4761.6548662669156</v>
      </c>
      <c r="X21" s="23">
        <v>5168.7503171998442</v>
      </c>
      <c r="Y21" s="23">
        <v>4902.2580261121475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973.81885839590689</v>
      </c>
      <c r="E22" s="23">
        <v>984.98834781029643</v>
      </c>
      <c r="F22" s="23">
        <v>1089.2556686162968</v>
      </c>
      <c r="G22" s="23">
        <v>1114.7101076084894</v>
      </c>
      <c r="H22" s="23">
        <v>1399.9815549202249</v>
      </c>
      <c r="I22" s="23">
        <v>1352.3973869098977</v>
      </c>
      <c r="J22" s="23">
        <v>1415.8374309617579</v>
      </c>
      <c r="K22" s="23">
        <v>1455.4964578137758</v>
      </c>
      <c r="L22" s="23">
        <v>1542.5261262671729</v>
      </c>
      <c r="M22" s="23">
        <v>1547.1359961336702</v>
      </c>
      <c r="N22" s="23">
        <v>1625.8238142476894</v>
      </c>
      <c r="O22" s="23">
        <v>1689.0365321283602</v>
      </c>
      <c r="P22" s="23">
        <v>1617.4932196822938</v>
      </c>
      <c r="Q22" s="23">
        <v>1542.0287557347972</v>
      </c>
      <c r="R22" s="23">
        <v>1578.4639875910771</v>
      </c>
      <c r="S22" s="23">
        <v>1571.6</v>
      </c>
      <c r="T22" s="23">
        <v>1586.5700473617635</v>
      </c>
      <c r="U22" s="23">
        <v>1670.7563374167123</v>
      </c>
      <c r="V22" s="23">
        <v>1735.9923346258204</v>
      </c>
      <c r="W22" s="23">
        <v>1644.7147687092972</v>
      </c>
      <c r="X22" s="23">
        <v>1639.8809020317708</v>
      </c>
      <c r="Y22" s="23">
        <v>2008.0955593475931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6251.9104259419237</v>
      </c>
      <c r="E23" s="23">
        <v>6274.6284918737319</v>
      </c>
      <c r="F23" s="23">
        <v>6785.5139812515017</v>
      </c>
      <c r="G23" s="23">
        <v>7167.75540075353</v>
      </c>
      <c r="H23" s="23">
        <v>7454.0519887748515</v>
      </c>
      <c r="I23" s="23">
        <v>8201.2818932577356</v>
      </c>
      <c r="J23" s="23">
        <v>8357.6472233226905</v>
      </c>
      <c r="K23" s="23">
        <v>8887.3562711041468</v>
      </c>
      <c r="L23" s="23">
        <v>9121.1006301616508</v>
      </c>
      <c r="M23" s="23">
        <v>9492.9469688579211</v>
      </c>
      <c r="N23" s="23">
        <v>9901.4860577725831</v>
      </c>
      <c r="O23" s="23">
        <v>9188.3663935053974</v>
      </c>
      <c r="P23" s="23">
        <v>8359.1631150716785</v>
      </c>
      <c r="Q23" s="23">
        <v>8140.8852644199815</v>
      </c>
      <c r="R23" s="23">
        <v>8213.0538604404355</v>
      </c>
      <c r="S23" s="23">
        <v>8636.5</v>
      </c>
      <c r="T23" s="23">
        <v>8551.8871162275318</v>
      </c>
      <c r="U23" s="23">
        <v>9010.834481587046</v>
      </c>
      <c r="V23" s="23">
        <v>9519.6604310877483</v>
      </c>
      <c r="W23" s="23">
        <v>9884.3761560233652</v>
      </c>
      <c r="X23" s="23">
        <v>9379.472517805485</v>
      </c>
      <c r="Y23" s="23">
        <v>9612.12746537561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11943.816864907969</v>
      </c>
      <c r="E24" s="23">
        <v>12171.998426197753</v>
      </c>
      <c r="F24" s="23">
        <v>12572.309911064824</v>
      </c>
      <c r="G24" s="23">
        <v>12719.621608435205</v>
      </c>
      <c r="H24" s="23">
        <v>12614.326556962358</v>
      </c>
      <c r="I24" s="23">
        <v>13798.841365709357</v>
      </c>
      <c r="J24" s="23">
        <v>14998.718277364776</v>
      </c>
      <c r="K24" s="23">
        <v>15391.51640881905</v>
      </c>
      <c r="L24" s="23">
        <v>15708.149046929433</v>
      </c>
      <c r="M24" s="23">
        <v>14096.497145561272</v>
      </c>
      <c r="N24" s="23">
        <v>14797.619164546766</v>
      </c>
      <c r="O24" s="23">
        <v>14762.196522937887</v>
      </c>
      <c r="P24" s="23">
        <v>14993.02595893065</v>
      </c>
      <c r="Q24" s="23">
        <v>14711.104945550389</v>
      </c>
      <c r="R24" s="23">
        <v>15303.590015715248</v>
      </c>
      <c r="S24" s="23">
        <v>16782.800000000003</v>
      </c>
      <c r="T24" s="23">
        <v>16922.171777095733</v>
      </c>
      <c r="U24" s="23">
        <v>18441.929821249931</v>
      </c>
      <c r="V24" s="23">
        <v>18859.238298215289</v>
      </c>
      <c r="W24" s="23">
        <v>19170.932303271704</v>
      </c>
      <c r="X24" s="23">
        <v>18084.366699937404</v>
      </c>
      <c r="Y24" s="23">
        <v>18780.904004127147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7386.2050634593661</v>
      </c>
      <c r="E25" s="23">
        <v>7644.7444084622148</v>
      </c>
      <c r="F25" s="23">
        <v>7807.6008866810889</v>
      </c>
      <c r="G25" s="23">
        <v>8287.4800097579482</v>
      </c>
      <c r="H25" s="23">
        <v>8254.8319521481935</v>
      </c>
      <c r="I25" s="23">
        <v>8405.1522248243564</v>
      </c>
      <c r="J25" s="23">
        <v>8976.1366549369632</v>
      </c>
      <c r="K25" s="23">
        <v>9406.435523382841</v>
      </c>
      <c r="L25" s="23">
        <v>9420.2317116129798</v>
      </c>
      <c r="M25" s="23">
        <v>8165.6077890433853</v>
      </c>
      <c r="N25" s="23">
        <v>8575.7221572883627</v>
      </c>
      <c r="O25" s="23">
        <v>8325.5150493987894</v>
      </c>
      <c r="P25" s="23">
        <v>8221.7163889965141</v>
      </c>
      <c r="Q25" s="23">
        <v>8105.1140023186917</v>
      </c>
      <c r="R25" s="23">
        <v>8210.1965426454681</v>
      </c>
      <c r="S25" s="23">
        <v>8719.6</v>
      </c>
      <c r="T25" s="23">
        <v>9033.7415793137952</v>
      </c>
      <c r="U25" s="23">
        <v>9538.6851393948546</v>
      </c>
      <c r="V25" s="23">
        <v>9624.2533871819887</v>
      </c>
      <c r="W25" s="23">
        <v>9706.9830263508793</v>
      </c>
      <c r="X25" s="23">
        <v>8926.8494865591856</v>
      </c>
      <c r="Y25" s="23">
        <v>9805.3891027421723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3263.0075088045719</v>
      </c>
      <c r="E26" s="23">
        <v>3061.3480221542936</v>
      </c>
      <c r="F26" s="23">
        <v>3267.9005421574125</v>
      </c>
      <c r="G26" s="23">
        <v>3295.2050524489741</v>
      </c>
      <c r="H26" s="23">
        <v>3343.3024597831386</v>
      </c>
      <c r="I26" s="23">
        <v>3159.3738444471833</v>
      </c>
      <c r="J26" s="23">
        <v>3194.7519284099649</v>
      </c>
      <c r="K26" s="23">
        <v>3355.0352011652799</v>
      </c>
      <c r="L26" s="23">
        <v>3844.4753219304084</v>
      </c>
      <c r="M26" s="23">
        <v>3024.5975090365387</v>
      </c>
      <c r="N26" s="23">
        <v>2953.7485389881449</v>
      </c>
      <c r="O26" s="23">
        <v>3103.9863674657272</v>
      </c>
      <c r="P26" s="23">
        <v>2781.8674932196823</v>
      </c>
      <c r="Q26" s="23">
        <v>2796.2028953913536</v>
      </c>
      <c r="R26" s="23">
        <v>2755.0666367328613</v>
      </c>
      <c r="S26" s="23">
        <v>2862.6</v>
      </c>
      <c r="T26" s="23">
        <v>3059.3934164207058</v>
      </c>
      <c r="U26" s="23">
        <v>3422.8656637535628</v>
      </c>
      <c r="V26" s="23">
        <v>3498.1329082752009</v>
      </c>
      <c r="W26" s="23">
        <v>3619.3532291227561</v>
      </c>
      <c r="X26" s="23">
        <v>2093.7727326555128</v>
      </c>
      <c r="Y26" s="23">
        <v>2173.1814754553752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4358.2630075088045</v>
      </c>
      <c r="E27" s="23">
        <v>4496.231954238674</v>
      </c>
      <c r="F27" s="23">
        <v>4761.3706166706734</v>
      </c>
      <c r="G27" s="23">
        <v>5020.3290597132245</v>
      </c>
      <c r="H27" s="23">
        <v>5176.0846365660536</v>
      </c>
      <c r="I27" s="23">
        <v>5944.533464809565</v>
      </c>
      <c r="J27" s="23">
        <v>6616.6018037333079</v>
      </c>
      <c r="K27" s="23">
        <v>7225.6185032332105</v>
      </c>
      <c r="L27" s="23">
        <v>7406.5521155426832</v>
      </c>
      <c r="M27" s="23">
        <v>7261.4504777535012</v>
      </c>
      <c r="N27" s="23">
        <v>7207.9204030919427</v>
      </c>
      <c r="O27" s="23">
        <v>7394.6925021061497</v>
      </c>
      <c r="P27" s="23">
        <v>7298.6245641224332</v>
      </c>
      <c r="Q27" s="23">
        <v>7195.0772401629029</v>
      </c>
      <c r="R27" s="23">
        <v>7383.5132763230404</v>
      </c>
      <c r="S27" s="23">
        <v>7920.5</v>
      </c>
      <c r="T27" s="23">
        <v>8276.4436512683733</v>
      </c>
      <c r="U27" s="23">
        <v>9063.4968572453236</v>
      </c>
      <c r="V27" s="23">
        <v>9920.3911490001883</v>
      </c>
      <c r="W27" s="23">
        <v>11075.972780220063</v>
      </c>
      <c r="X27" s="23">
        <v>11435.519615638375</v>
      </c>
      <c r="Y27" s="23">
        <v>11885.789118615818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3196.5579108246397</v>
      </c>
      <c r="E28" s="23">
        <v>3476.2870373172723</v>
      </c>
      <c r="F28" s="23">
        <v>2818.6844002884391</v>
      </c>
      <c r="G28" s="23">
        <v>3671.2926571436315</v>
      </c>
      <c r="H28" s="23">
        <v>3777.1570862043982</v>
      </c>
      <c r="I28" s="23">
        <v>3850.8566498212749</v>
      </c>
      <c r="J28" s="23">
        <v>4056.4190999976695</v>
      </c>
      <c r="K28" s="23">
        <v>4999.8896515194983</v>
      </c>
      <c r="L28" s="23">
        <v>5852.6752514775535</v>
      </c>
      <c r="M28" s="23">
        <v>5988.3808737502386</v>
      </c>
      <c r="N28" s="23">
        <v>6498.3842927720425</v>
      </c>
      <c r="O28" s="23">
        <v>6475.0708432258552</v>
      </c>
      <c r="P28" s="23">
        <v>6337.8535451375437</v>
      </c>
      <c r="Q28" s="23">
        <v>6511.1624173842392</v>
      </c>
      <c r="R28" s="23">
        <v>6208.543380206951</v>
      </c>
      <c r="S28" s="23">
        <v>6512.8</v>
      </c>
      <c r="T28" s="23">
        <v>6509.3497808415295</v>
      </c>
      <c r="U28" s="23">
        <v>6742.2941165367411</v>
      </c>
      <c r="V28" s="23">
        <v>7260.9719622820603</v>
      </c>
      <c r="W28" s="23">
        <v>7084.2832440058855</v>
      </c>
      <c r="X28" s="23">
        <v>6835.6989392837204</v>
      </c>
      <c r="Y28" s="23">
        <v>7039.0094845033518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7981.0950893747095</v>
      </c>
      <c r="E29" s="23">
        <v>8048.6365424775286</v>
      </c>
      <c r="F29" s="23">
        <v>8351.8948802179311</v>
      </c>
      <c r="G29" s="23">
        <v>8581.4382132111787</v>
      </c>
      <c r="H29" s="23">
        <v>8987.1016192145034</v>
      </c>
      <c r="I29" s="23">
        <v>9910.8837667940352</v>
      </c>
      <c r="J29" s="23">
        <v>10579.222110880659</v>
      </c>
      <c r="K29" s="23">
        <v>11003.398733199443</v>
      </c>
      <c r="L29" s="23">
        <v>12133.938706015892</v>
      </c>
      <c r="M29" s="23">
        <v>12575.640109143265</v>
      </c>
      <c r="N29" s="23">
        <v>12828.715389979669</v>
      </c>
      <c r="O29" s="23">
        <v>12824.921498047024</v>
      </c>
      <c r="P29" s="23">
        <v>12763.173188686556</v>
      </c>
      <c r="Q29" s="23">
        <v>12747.550015358853</v>
      </c>
      <c r="R29" s="23">
        <v>12813.02936914505</v>
      </c>
      <c r="S29" s="23">
        <v>13051.8</v>
      </c>
      <c r="T29" s="23">
        <v>13604.985242349067</v>
      </c>
      <c r="U29" s="23">
        <v>14161.743332263728</v>
      </c>
      <c r="V29" s="23">
        <v>15577.902947049815</v>
      </c>
      <c r="W29" s="23">
        <v>16250.483916757716</v>
      </c>
      <c r="X29" s="23">
        <v>16143.611172201452</v>
      </c>
      <c r="Y29" s="23">
        <v>15943.410452795748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4316.565884776398</v>
      </c>
      <c r="E30" s="23">
        <v>4417.9958233709622</v>
      </c>
      <c r="F30" s="23">
        <v>5174.53195523863</v>
      </c>
      <c r="G30" s="23">
        <v>5292.1963516114165</v>
      </c>
      <c r="H30" s="23">
        <v>5493.7352604050011</v>
      </c>
      <c r="I30" s="23">
        <v>5992.8509799087888</v>
      </c>
      <c r="J30" s="23">
        <v>6186.5255994966319</v>
      </c>
      <c r="K30" s="23">
        <v>6641.7646929001785</v>
      </c>
      <c r="L30" s="23">
        <v>7005.8515010372212</v>
      </c>
      <c r="M30" s="23">
        <v>6594.2065465822252</v>
      </c>
      <c r="N30" s="23">
        <v>6792.0599530511809</v>
      </c>
      <c r="O30" s="23">
        <v>6706.2686681473533</v>
      </c>
      <c r="P30" s="23">
        <v>7227.334366524603</v>
      </c>
      <c r="Q30" s="23">
        <v>7324.2897769498331</v>
      </c>
      <c r="R30" s="23">
        <v>7375.9617935792003</v>
      </c>
      <c r="S30" s="23">
        <v>7812.2000000000007</v>
      </c>
      <c r="T30" s="23">
        <v>8270.4621449093465</v>
      </c>
      <c r="U30" s="23">
        <v>8750.6370448668331</v>
      </c>
      <c r="V30" s="23">
        <v>9099.5871801989779</v>
      </c>
      <c r="W30" s="23">
        <v>9203.4515093901355</v>
      </c>
      <c r="X30" s="23">
        <v>8780.9375581533059</v>
      </c>
      <c r="Y30" s="23">
        <v>9606.0161117504667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1715.3963718519501</v>
      </c>
      <c r="E31" s="23">
        <v>1856.6326685027698</v>
      </c>
      <c r="F31" s="23">
        <v>1866.4369842160083</v>
      </c>
      <c r="G31" s="23">
        <v>1874.6103596888299</v>
      </c>
      <c r="H31" s="23">
        <v>2131.3289679977865</v>
      </c>
      <c r="I31" s="23">
        <v>2211.8821644274622</v>
      </c>
      <c r="J31" s="23">
        <v>2393.2092004381161</v>
      </c>
      <c r="K31" s="23">
        <v>2755.0705126790399</v>
      </c>
      <c r="L31" s="23">
        <v>2948.8433989588634</v>
      </c>
      <c r="M31" s="23">
        <v>2762.7140829045802</v>
      </c>
      <c r="N31" s="23">
        <v>2745.9165332521388</v>
      </c>
      <c r="O31" s="23">
        <v>2602.9141456689899</v>
      </c>
      <c r="P31" s="23">
        <v>2523.7311119721039</v>
      </c>
      <c r="Q31" s="23">
        <v>2655.6941705724394</v>
      </c>
      <c r="R31" s="23">
        <v>2649.8561136396102</v>
      </c>
      <c r="S31" s="23">
        <v>2752</v>
      </c>
      <c r="T31" s="23">
        <v>2918.7789882429083</v>
      </c>
      <c r="U31" s="23">
        <v>3233.7341210668378</v>
      </c>
      <c r="V31" s="23">
        <v>3432.6727619525209</v>
      </c>
      <c r="W31" s="23">
        <v>3578.6612066518119</v>
      </c>
      <c r="X31" s="23">
        <v>2988.6146402530835</v>
      </c>
      <c r="Y31" s="23">
        <v>3205.4446605024009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6573.3603561698455</v>
      </c>
      <c r="E32" s="23">
        <v>6705.4568566326689</v>
      </c>
      <c r="F32" s="23">
        <v>7562.0276153086033</v>
      </c>
      <c r="G32" s="23">
        <v>7793.7549128560986</v>
      </c>
      <c r="H32" s="23">
        <v>7776.0503814179001</v>
      </c>
      <c r="I32" s="23">
        <v>8307.0380870208282</v>
      </c>
      <c r="J32" s="23">
        <v>8657.6868402041437</v>
      </c>
      <c r="K32" s="23">
        <v>8859.5484540177858</v>
      </c>
      <c r="L32" s="23">
        <v>9069.5330541312796</v>
      </c>
      <c r="M32" s="23">
        <v>9036.5388294284076</v>
      </c>
      <c r="N32" s="23">
        <v>9195.387622405784</v>
      </c>
      <c r="O32" s="23">
        <v>8761.4880906793296</v>
      </c>
      <c r="P32" s="23">
        <v>8664.5679969004232</v>
      </c>
      <c r="Q32" s="23">
        <v>8676.6614809897055</v>
      </c>
      <c r="R32" s="23">
        <v>8724.2076045472168</v>
      </c>
      <c r="S32" s="23">
        <v>8997.1</v>
      </c>
      <c r="T32" s="23">
        <v>9243.9768192114225</v>
      </c>
      <c r="U32" s="23">
        <v>9660.14836067121</v>
      </c>
      <c r="V32" s="23">
        <v>10197.813219188505</v>
      </c>
      <c r="W32" s="23">
        <v>10406.662135771985</v>
      </c>
      <c r="X32" s="23">
        <v>10415.320329549491</v>
      </c>
      <c r="Y32" s="23">
        <v>10368.824159688878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3782.9756129975408</v>
      </c>
      <c r="E33" s="23">
        <v>3934.20295995884</v>
      </c>
      <c r="F33" s="23">
        <v>4175.6803674919211</v>
      </c>
      <c r="G33" s="23">
        <v>4605.7517686281954</v>
      </c>
      <c r="H33" s="23">
        <v>4703.890594326821</v>
      </c>
      <c r="I33" s="23">
        <v>5056.699124861334</v>
      </c>
      <c r="J33" s="23">
        <v>5329.8687982102492</v>
      </c>
      <c r="K33" s="23">
        <v>5546.9974178455559</v>
      </c>
      <c r="L33" s="23">
        <v>5664.2138635563033</v>
      </c>
      <c r="M33" s="23">
        <v>5772.9135412156784</v>
      </c>
      <c r="N33" s="23">
        <v>5891.6837731920286</v>
      </c>
      <c r="O33" s="23">
        <v>6053.457915294478</v>
      </c>
      <c r="P33" s="23">
        <v>6099.0895001937233</v>
      </c>
      <c r="Q33" s="23">
        <v>6210.5252727434872</v>
      </c>
      <c r="R33" s="23">
        <v>6260.077147580464</v>
      </c>
      <c r="S33" s="23">
        <v>6396.8</v>
      </c>
      <c r="T33" s="23">
        <v>6540.1398299683278</v>
      </c>
      <c r="U33" s="23">
        <v>6993.5257366126198</v>
      </c>
      <c r="V33" s="23">
        <v>7576.0045132576952</v>
      </c>
      <c r="W33" s="23">
        <v>8193.6355268025363</v>
      </c>
      <c r="X33" s="23">
        <v>8480.3166923246099</v>
      </c>
      <c r="Y33" s="23">
        <v>8886.305012103654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3476.9752142999537</v>
      </c>
      <c r="E34" s="23">
        <v>3745.0440361974524</v>
      </c>
      <c r="F34" s="23">
        <v>3987.3941724754964</v>
      </c>
      <c r="G34" s="23">
        <v>4210.0127395440868</v>
      </c>
      <c r="H34" s="23">
        <v>4350.1403143568596</v>
      </c>
      <c r="I34" s="23">
        <v>4684.3337852828799</v>
      </c>
      <c r="J34" s="23">
        <v>4886.392766423528</v>
      </c>
      <c r="K34" s="23">
        <v>4926.1768665445479</v>
      </c>
      <c r="L34" s="23">
        <v>5357.7439430114682</v>
      </c>
      <c r="M34" s="23">
        <v>5666.7908456589375</v>
      </c>
      <c r="N34" s="23">
        <v>5800.5362772926837</v>
      </c>
      <c r="O34" s="23">
        <v>5928.0462587118018</v>
      </c>
      <c r="P34" s="23">
        <v>6177.8380472685012</v>
      </c>
      <c r="Q34" s="23">
        <v>6234.9012574440894</v>
      </c>
      <c r="R34" s="23">
        <v>6459.8852990999449</v>
      </c>
      <c r="S34" s="23">
        <v>6574.9</v>
      </c>
      <c r="T34" s="23">
        <v>6927.2707661231016</v>
      </c>
      <c r="U34" s="23">
        <v>7366.4093319994718</v>
      </c>
      <c r="V34" s="23">
        <v>7874.6496404617137</v>
      </c>
      <c r="W34" s="23">
        <v>8398.2140245528608</v>
      </c>
      <c r="X34" s="23">
        <v>9092.047165502192</v>
      </c>
      <c r="Y34" s="23">
        <v>9999.9206317711014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1142.2685892750349</v>
      </c>
      <c r="E35" s="23">
        <v>1165.5216246481643</v>
      </c>
      <c r="F35" s="23">
        <v>1126.5122986940148</v>
      </c>
      <c r="G35" s="23">
        <v>1197.6526712384464</v>
      </c>
      <c r="H35" s="23">
        <v>1331.8665103226572</v>
      </c>
      <c r="I35" s="23">
        <v>1399.7288302724025</v>
      </c>
      <c r="J35" s="23">
        <v>1522.4534501642931</v>
      </c>
      <c r="K35" s="23">
        <v>1527.3333186202026</v>
      </c>
      <c r="L35" s="23">
        <v>1553.1919057497357</v>
      </c>
      <c r="M35" s="23">
        <v>1488.9396792154571</v>
      </c>
      <c r="N35" s="23">
        <v>1461.1100743519983</v>
      </c>
      <c r="O35" s="23">
        <v>1562.1888642107681</v>
      </c>
      <c r="P35" s="23">
        <v>1423.6729949631929</v>
      </c>
      <c r="Q35" s="23">
        <v>1412.3207721043609</v>
      </c>
      <c r="R35" s="23">
        <v>1425.4954384962346</v>
      </c>
      <c r="S35" s="23">
        <v>1528.8999999999999</v>
      </c>
      <c r="T35" s="23">
        <v>1603.6320491071867</v>
      </c>
      <c r="U35" s="23">
        <v>1668.4912890013024</v>
      </c>
      <c r="V35" s="23">
        <v>1702.4115482085767</v>
      </c>
      <c r="W35" s="23">
        <v>1880.4359982449953</v>
      </c>
      <c r="X35" s="23">
        <v>1531.948368324001</v>
      </c>
      <c r="Y35" s="23">
        <v>1609.9845231953643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1353.4121868562695</v>
      </c>
      <c r="E36" s="23">
        <v>1270.9966405375142</v>
      </c>
      <c r="F36" s="23">
        <v>1307.1869241246695</v>
      </c>
      <c r="G36" s="23">
        <v>1447.7001057111104</v>
      </c>
      <c r="H36" s="23">
        <v>1392.3400218705947</v>
      </c>
      <c r="I36" s="23">
        <v>1380.8702083076544</v>
      </c>
      <c r="J36" s="23">
        <v>1491.9251473981033</v>
      </c>
      <c r="K36" s="23">
        <v>1571.1416653792678</v>
      </c>
      <c r="L36" s="23">
        <v>1407.3936357587381</v>
      </c>
      <c r="M36" s="23">
        <v>1411.9151421178224</v>
      </c>
      <c r="N36" s="23">
        <v>1681.7105870566627</v>
      </c>
      <c r="O36" s="23">
        <v>1882.036455541089</v>
      </c>
      <c r="P36" s="23">
        <v>1623.8860906625339</v>
      </c>
      <c r="Q36" s="23">
        <v>1595.4379254649768</v>
      </c>
      <c r="R36" s="23">
        <v>1586.3216115272364</v>
      </c>
      <c r="S36" s="23">
        <v>1619.7</v>
      </c>
      <c r="T36" s="23">
        <v>1679.8227120738177</v>
      </c>
      <c r="U36" s="23">
        <v>1728.2319409577381</v>
      </c>
      <c r="V36" s="23">
        <v>1755.5139651297113</v>
      </c>
      <c r="W36" s="23">
        <v>1791.137225888041</v>
      </c>
      <c r="X36" s="23">
        <v>1577.6251459119285</v>
      </c>
      <c r="Y36" s="23">
        <v>1614.2704075558554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36.381154894012894</v>
      </c>
      <c r="E37" s="23">
        <v>42.825580339578103</v>
      </c>
      <c r="F37" s="23">
        <v>49.942579387335421</v>
      </c>
      <c r="G37" s="23">
        <v>55.29504241997126</v>
      </c>
      <c r="H37" s="23">
        <v>55.730491034373728</v>
      </c>
      <c r="I37" s="23">
        <v>61.013188709478619</v>
      </c>
      <c r="J37" s="23">
        <v>65.833935354571082</v>
      </c>
      <c r="K37" s="23">
        <v>66.540133742358364</v>
      </c>
      <c r="L37" s="23">
        <v>84.152021605542288</v>
      </c>
      <c r="M37" s="23">
        <v>105.51858154028936</v>
      </c>
      <c r="N37" s="23">
        <v>101.85339789614292</v>
      </c>
      <c r="O37" s="23">
        <v>100.04212299915754</v>
      </c>
      <c r="P37" s="23">
        <v>110.42231693142193</v>
      </c>
      <c r="Q37" s="23">
        <v>120.19540423507962</v>
      </c>
      <c r="R37" s="23">
        <v>123.57899463232442</v>
      </c>
      <c r="S37" s="23">
        <v>127</v>
      </c>
      <c r="T37" s="23">
        <v>152.08715348937548</v>
      </c>
      <c r="U37" s="23">
        <v>173.27620377885577</v>
      </c>
      <c r="V37" s="23">
        <v>194.41036616489509</v>
      </c>
      <c r="W37" s="23">
        <v>203.02996412563769</v>
      </c>
      <c r="X37" s="23">
        <v>159.10744193128184</v>
      </c>
      <c r="Y37" s="23">
        <v>186.91217905472439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101440.95953219483</v>
      </c>
      <c r="E39" s="30">
        <f t="shared" ref="E39:S39" si="2">SUM(E18:E38)</f>
        <v>104555.09821131322</v>
      </c>
      <c r="F39" s="30">
        <f t="shared" si="2"/>
        <v>106672.14165531608</v>
      </c>
      <c r="G39" s="30">
        <f t="shared" si="2"/>
        <v>109845.90572737374</v>
      </c>
      <c r="H39" s="30">
        <f t="shared" si="2"/>
        <v>115177.66564340392</v>
      </c>
      <c r="I39" s="30">
        <f t="shared" si="2"/>
        <v>122983.85307531124</v>
      </c>
      <c r="J39" s="30">
        <f t="shared" si="2"/>
        <v>131937.61506373659</v>
      </c>
      <c r="K39" s="30">
        <f t="shared" si="2"/>
        <v>138912.51572465844</v>
      </c>
      <c r="L39" s="30">
        <f t="shared" si="2"/>
        <v>143876.66836275399</v>
      </c>
      <c r="M39" s="30">
        <f t="shared" si="2"/>
        <v>136281.1748003907</v>
      </c>
      <c r="N39" s="30">
        <f t="shared" si="2"/>
        <v>140372.64396491606</v>
      </c>
      <c r="O39" s="30">
        <f t="shared" si="2"/>
        <v>142838.22853641724</v>
      </c>
      <c r="P39" s="30">
        <f t="shared" si="2"/>
        <v>141639.86826811318</v>
      </c>
      <c r="Q39" s="30">
        <f t="shared" si="2"/>
        <v>141616.74213973584</v>
      </c>
      <c r="R39" s="30">
        <f t="shared" si="2"/>
        <v>145665.24481090682</v>
      </c>
      <c r="S39" s="30">
        <f t="shared" si="2"/>
        <v>152687.89999999997</v>
      </c>
      <c r="T39" s="30">
        <f t="shared" ref="T39:Y39" si="3">SUM(T18:T38)</f>
        <v>156503.07410203866</v>
      </c>
      <c r="U39" s="30">
        <f t="shared" si="3"/>
        <v>164642.49985843452</v>
      </c>
      <c r="V39" s="30">
        <f t="shared" si="3"/>
        <v>170253.87074531443</v>
      </c>
      <c r="W39" s="30">
        <f t="shared" si="3"/>
        <v>175373.41167766409</v>
      </c>
      <c r="X39" s="30">
        <f t="shared" si="3"/>
        <v>166141.49650657238</v>
      </c>
      <c r="Y39" s="30">
        <f t="shared" si="3"/>
        <v>171825.62800111118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3410.6917403149714</v>
      </c>
      <c r="E41" s="19">
        <v>3632.9106261917013</v>
      </c>
      <c r="F41" s="19">
        <v>3558.3420131933876</v>
      </c>
      <c r="G41" s="19">
        <v>3375.0304935895701</v>
      </c>
      <c r="H41" s="19">
        <v>3521.2974796115996</v>
      </c>
      <c r="I41" s="19">
        <v>3355.2323431529644</v>
      </c>
      <c r="J41" s="19">
        <v>3306.4948381533873</v>
      </c>
      <c r="K41" s="19">
        <v>3256.9354019995144</v>
      </c>
      <c r="L41" s="19">
        <v>3261.380093154331</v>
      </c>
      <c r="M41" s="19">
        <v>3329.1716589977746</v>
      </c>
      <c r="N41" s="19">
        <v>3198.2163377957627</v>
      </c>
      <c r="O41" s="19">
        <v>3212.1658880294094</v>
      </c>
      <c r="P41" s="19">
        <v>3188.783417280124</v>
      </c>
      <c r="Q41" s="19">
        <v>3080.7875623024406</v>
      </c>
      <c r="R41" s="19">
        <v>3166.6224462722207</v>
      </c>
      <c r="S41" s="19">
        <v>3253.8</v>
      </c>
      <c r="T41" s="19">
        <v>3378.0802306311962</v>
      </c>
      <c r="U41" s="19">
        <v>3474.2067611695202</v>
      </c>
      <c r="V41" s="19">
        <v>3537.5343643381002</v>
      </c>
      <c r="W41" s="19">
        <v>3594.9208097110263</v>
      </c>
      <c r="X41" s="19">
        <v>3515.6739016426723</v>
      </c>
      <c r="Y41" s="19">
        <v>3450.85122425493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1441.4579041796799</v>
      </c>
      <c r="E42" s="23">
        <v>1461.3661814109744</v>
      </c>
      <c r="F42" s="23">
        <v>1309.0564324439815</v>
      </c>
      <c r="G42" s="23">
        <v>1254.7095655002304</v>
      </c>
      <c r="H42" s="23">
        <v>1108.2857933360563</v>
      </c>
      <c r="I42" s="23">
        <v>1087.5138666337978</v>
      </c>
      <c r="J42" s="23">
        <v>1100.8832234159072</v>
      </c>
      <c r="K42" s="23">
        <v>1095.429365937631</v>
      </c>
      <c r="L42" s="23">
        <v>1075.7759599201536</v>
      </c>
      <c r="M42" s="23">
        <v>967.18654033971347</v>
      </c>
      <c r="N42" s="23">
        <v>914.12687967155466</v>
      </c>
      <c r="O42" s="23">
        <v>917.3240407444282</v>
      </c>
      <c r="P42" s="23">
        <v>832.13870592793501</v>
      </c>
      <c r="Q42" s="23">
        <v>859.40209474925439</v>
      </c>
      <c r="R42" s="23">
        <v>916.2805886074658</v>
      </c>
      <c r="S42" s="23">
        <v>919.8</v>
      </c>
      <c r="T42" s="23">
        <v>951.74591345446709</v>
      </c>
      <c r="U42" s="23">
        <v>986.05107684176755</v>
      </c>
      <c r="V42" s="23">
        <v>934.53089880094183</v>
      </c>
      <c r="W42" s="23">
        <v>949.2511119331723</v>
      </c>
      <c r="X42" s="23">
        <v>881.98474057282067</v>
      </c>
      <c r="Y42" s="23">
        <v>877.25703400928603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1706.7579241145595</v>
      </c>
      <c r="E43" s="23">
        <v>1808.2079840198546</v>
      </c>
      <c r="F43" s="23">
        <v>1852.6827444382129</v>
      </c>
      <c r="G43" s="23">
        <v>1835.9851462337028</v>
      </c>
      <c r="H43" s="23">
        <v>2060.9741637132583</v>
      </c>
      <c r="I43" s="23">
        <v>2098.4839147047951</v>
      </c>
      <c r="J43" s="23">
        <v>2216.2149565379505</v>
      </c>
      <c r="K43" s="23">
        <v>2339.6084835911806</v>
      </c>
      <c r="L43" s="23">
        <v>2265.5485537594432</v>
      </c>
      <c r="M43" s="23">
        <v>1941.6224488768512</v>
      </c>
      <c r="N43" s="23">
        <v>2011.8256018386653</v>
      </c>
      <c r="O43" s="23">
        <v>1926.744275101478</v>
      </c>
      <c r="P43" s="23">
        <v>1831.5575358388223</v>
      </c>
      <c r="Q43" s="23">
        <v>1773.7987891279145</v>
      </c>
      <c r="R43" s="23">
        <v>1943.5883829622221</v>
      </c>
      <c r="S43" s="23">
        <v>2111.1</v>
      </c>
      <c r="T43" s="23">
        <v>2211.1962032143242</v>
      </c>
      <c r="U43" s="23">
        <v>2306.5743030257272</v>
      </c>
      <c r="V43" s="23">
        <v>2393.1011632384411</v>
      </c>
      <c r="W43" s="23">
        <v>2457.3508030867438</v>
      </c>
      <c r="X43" s="23">
        <v>2344.9950093891157</v>
      </c>
      <c r="Y43" s="23">
        <v>2475.4950593277508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399.19595986444284</v>
      </c>
      <c r="E44" s="23">
        <v>268.60567174117011</v>
      </c>
      <c r="F44" s="23">
        <v>181.60937959031062</v>
      </c>
      <c r="G44" s="23">
        <v>142.98105331634727</v>
      </c>
      <c r="H44" s="23">
        <v>209.8786577251947</v>
      </c>
      <c r="I44" s="23">
        <v>259.70664365832619</v>
      </c>
      <c r="J44" s="23">
        <v>273.00692130223018</v>
      </c>
      <c r="K44" s="23">
        <v>223.78671845688686</v>
      </c>
      <c r="L44" s="23">
        <v>259.99060628596033</v>
      </c>
      <c r="M44" s="23">
        <v>221.6091583684894</v>
      </c>
      <c r="N44" s="23">
        <v>208.32310215787768</v>
      </c>
      <c r="O44" s="23">
        <v>181.22463046641647</v>
      </c>
      <c r="P44" s="23">
        <v>174.83533514141806</v>
      </c>
      <c r="Q44" s="23">
        <v>182.22534904230125</v>
      </c>
      <c r="R44" s="23">
        <v>172.86772659550584</v>
      </c>
      <c r="S44" s="23">
        <v>177.7</v>
      </c>
      <c r="T44" s="23">
        <v>183.07331757876469</v>
      </c>
      <c r="U44" s="23">
        <v>131.56156212839051</v>
      </c>
      <c r="V44" s="23">
        <v>35.998603039285044</v>
      </c>
      <c r="W44" s="23">
        <v>35.788332659434438</v>
      </c>
      <c r="X44" s="23">
        <v>38.656087699412971</v>
      </c>
      <c r="Y44" s="23">
        <v>25.874042620738916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1365.2069904977075</v>
      </c>
      <c r="E45" s="23">
        <v>1155.3827063345541</v>
      </c>
      <c r="F45" s="23">
        <v>999.51926928931982</v>
      </c>
      <c r="G45" s="23">
        <v>1076.6270024123817</v>
      </c>
      <c r="H45" s="23">
        <v>1194.5824165689517</v>
      </c>
      <c r="I45" s="23">
        <v>1198.4469370146678</v>
      </c>
      <c r="J45" s="23">
        <v>1142.1313882221341</v>
      </c>
      <c r="K45" s="23">
        <v>1176.4251506256758</v>
      </c>
      <c r="L45" s="23">
        <v>1196.5243258053154</v>
      </c>
      <c r="M45" s="23">
        <v>922.78416013048866</v>
      </c>
      <c r="N45" s="23">
        <v>933.37785940891638</v>
      </c>
      <c r="O45" s="23">
        <v>1010.4733093359883</v>
      </c>
      <c r="P45" s="23">
        <v>1121.0771018984892</v>
      </c>
      <c r="Q45" s="23">
        <v>1031.7185069213924</v>
      </c>
      <c r="R45" s="23">
        <v>1265.1795007857625</v>
      </c>
      <c r="S45" s="23">
        <v>1488.9</v>
      </c>
      <c r="T45" s="23">
        <v>1415.8519724262364</v>
      </c>
      <c r="U45" s="23">
        <v>1714.1697653787351</v>
      </c>
      <c r="V45" s="23">
        <v>1579.729741830914</v>
      </c>
      <c r="W45" s="23">
        <v>1619.1639639019606</v>
      </c>
      <c r="X45" s="23">
        <v>1270.237350070207</v>
      </c>
      <c r="Y45" s="23">
        <v>946.06928846382789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474.78237756661576</v>
      </c>
      <c r="E46" s="23">
        <v>459.88317544868494</v>
      </c>
      <c r="F46" s="23">
        <v>464.17220842347035</v>
      </c>
      <c r="G46" s="23">
        <v>491.01455560675464</v>
      </c>
      <c r="H46" s="23">
        <v>509.74295463827883</v>
      </c>
      <c r="I46" s="23">
        <v>587.08246024898312</v>
      </c>
      <c r="J46" s="23">
        <v>614.29470298990941</v>
      </c>
      <c r="K46" s="23">
        <v>580.6537043984905</v>
      </c>
      <c r="L46" s="23">
        <v>547.18384281185183</v>
      </c>
      <c r="M46" s="23">
        <v>579.04328476927878</v>
      </c>
      <c r="N46" s="23">
        <v>657.18523174840152</v>
      </c>
      <c r="O46" s="23">
        <v>612.41096729723529</v>
      </c>
      <c r="P46" s="23">
        <v>629.11662146454864</v>
      </c>
      <c r="Q46" s="23">
        <v>630.30747431108114</v>
      </c>
      <c r="R46" s="23">
        <v>685.24603547155948</v>
      </c>
      <c r="S46" s="23">
        <v>659.8</v>
      </c>
      <c r="T46" s="23">
        <v>648.25800884478485</v>
      </c>
      <c r="U46" s="23">
        <v>676.30570603446654</v>
      </c>
      <c r="V46" s="23">
        <v>616.09549480169426</v>
      </c>
      <c r="W46" s="23">
        <v>698.9908722545789</v>
      </c>
      <c r="X46" s="23">
        <v>752.3980308233663</v>
      </c>
      <c r="Y46" s="23">
        <v>710.1075439501567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3501.8938135424282</v>
      </c>
      <c r="E47" s="23">
        <v>3537.1205471989351</v>
      </c>
      <c r="F47" s="23">
        <v>3383.9435942632804</v>
      </c>
      <c r="G47" s="23">
        <v>3439.6769034776244</v>
      </c>
      <c r="H47" s="23">
        <v>3694.1542272170327</v>
      </c>
      <c r="I47" s="23">
        <v>3867.0035745100458</v>
      </c>
      <c r="J47" s="23">
        <v>4543.8232621006264</v>
      </c>
      <c r="K47" s="23">
        <v>4545.2539118536342</v>
      </c>
      <c r="L47" s="23">
        <v>4516.7129828956122</v>
      </c>
      <c r="M47" s="23">
        <v>4044.1405974687623</v>
      </c>
      <c r="N47" s="23">
        <v>4037.5983420584798</v>
      </c>
      <c r="O47" s="23">
        <v>4242.6476219652295</v>
      </c>
      <c r="P47" s="23">
        <v>4110.9066253390165</v>
      </c>
      <c r="Q47" s="23">
        <v>4154.8172296594303</v>
      </c>
      <c r="R47" s="23">
        <v>4596.5059085250114</v>
      </c>
      <c r="S47" s="23">
        <v>5074.5</v>
      </c>
      <c r="T47" s="23">
        <v>5056.4320804855815</v>
      </c>
      <c r="U47" s="23">
        <v>5043.9796900658748</v>
      </c>
      <c r="V47" s="23">
        <v>4988.4929838543576</v>
      </c>
      <c r="W47" s="23">
        <v>5111.3653765087447</v>
      </c>
      <c r="X47" s="23">
        <v>4624.9429040280156</v>
      </c>
      <c r="Y47" s="23">
        <v>4958.5301004008097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3780.6498770682442</v>
      </c>
      <c r="E48" s="23">
        <v>4084.6221361338949</v>
      </c>
      <c r="F48" s="23">
        <v>3943.0601180460972</v>
      </c>
      <c r="G48" s="23">
        <v>4057.9513728891657</v>
      </c>
      <c r="H48" s="23">
        <v>4601.2569004360948</v>
      </c>
      <c r="I48" s="23">
        <v>5241.2177985948483</v>
      </c>
      <c r="J48" s="23">
        <v>5553.2380974575271</v>
      </c>
      <c r="K48" s="23">
        <v>5704.7957449625919</v>
      </c>
      <c r="L48" s="23">
        <v>5437.2969587850794</v>
      </c>
      <c r="M48" s="23">
        <v>4144.0207815221656</v>
      </c>
      <c r="N48" s="23">
        <v>4389.4198186872009</v>
      </c>
      <c r="O48" s="23">
        <v>4940.6448648234664</v>
      </c>
      <c r="P48" s="23">
        <v>4906.2378922898106</v>
      </c>
      <c r="Q48" s="23">
        <v>5071.3938901495258</v>
      </c>
      <c r="R48" s="23">
        <v>5715.8601547033495</v>
      </c>
      <c r="S48" s="23">
        <v>6099.3</v>
      </c>
      <c r="T48" s="23">
        <v>6122.8071895745288</v>
      </c>
      <c r="U48" s="23">
        <v>6148.3795466128086</v>
      </c>
      <c r="V48" s="23">
        <v>6260.8018196308794</v>
      </c>
      <c r="W48" s="23">
        <v>6151.9799722984535</v>
      </c>
      <c r="X48" s="23">
        <v>5401.6172962731134</v>
      </c>
      <c r="Y48" s="23">
        <v>5713.2425889916267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873.14771745630946</v>
      </c>
      <c r="E49" s="23">
        <v>949.72912442117376</v>
      </c>
      <c r="F49" s="23">
        <v>1021.8198328125418</v>
      </c>
      <c r="G49" s="23">
        <v>1193.993440490066</v>
      </c>
      <c r="H49" s="23">
        <v>1263.4879645854469</v>
      </c>
      <c r="I49" s="23">
        <v>1383.828423517811</v>
      </c>
      <c r="J49" s="23">
        <v>1692.4564796905222</v>
      </c>
      <c r="K49" s="23">
        <v>1877.5793957317208</v>
      </c>
      <c r="L49" s="23">
        <v>1819.8363928138087</v>
      </c>
      <c r="M49" s="23">
        <v>1594.3575750863379</v>
      </c>
      <c r="N49" s="23">
        <v>1724.5341950438549</v>
      </c>
      <c r="O49" s="23">
        <v>1837.9030405146664</v>
      </c>
      <c r="P49" s="23">
        <v>2164.8585819449827</v>
      </c>
      <c r="Q49" s="23">
        <v>2053.7262557100248</v>
      </c>
      <c r="R49" s="23">
        <v>2174.4188419699167</v>
      </c>
      <c r="S49" s="23">
        <v>2320.4</v>
      </c>
      <c r="T49" s="23">
        <v>2445.4555260293587</v>
      </c>
      <c r="U49" s="23">
        <v>2633.7794220351461</v>
      </c>
      <c r="V49" s="23">
        <v>2728.6403811195387</v>
      </c>
      <c r="W49" s="23">
        <v>2308.6915751167853</v>
      </c>
      <c r="X49" s="23">
        <v>2446.1606130838595</v>
      </c>
      <c r="Y49" s="23">
        <v>2462.7167744751773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1426.506744634195</v>
      </c>
      <c r="E50" s="23">
        <v>1443.0555975908721</v>
      </c>
      <c r="F50" s="23">
        <v>1254.1730096413216</v>
      </c>
      <c r="G50" s="23">
        <v>1393.2182256796682</v>
      </c>
      <c r="H50" s="23">
        <v>1634.8928209114508</v>
      </c>
      <c r="I50" s="23">
        <v>1742.2654998151118</v>
      </c>
      <c r="J50" s="23">
        <v>2027.6852089207894</v>
      </c>
      <c r="K50" s="23">
        <v>2331.884089956081</v>
      </c>
      <c r="L50" s="23">
        <v>2150.8669615249128</v>
      </c>
      <c r="M50" s="23">
        <v>2042.8115466325678</v>
      </c>
      <c r="N50" s="23">
        <v>2315.0285327021106</v>
      </c>
      <c r="O50" s="23">
        <v>2780.7880830206018</v>
      </c>
      <c r="P50" s="23">
        <v>2673.09182487408</v>
      </c>
      <c r="Q50" s="23">
        <v>2706.3288379789733</v>
      </c>
      <c r="R50" s="23">
        <v>2988.5503194073108</v>
      </c>
      <c r="S50" s="23">
        <v>3160.2</v>
      </c>
      <c r="T50" s="23">
        <v>3121.8560320059619</v>
      </c>
      <c r="U50" s="23">
        <v>3249.4950829573982</v>
      </c>
      <c r="V50" s="23">
        <v>3250.4410276616131</v>
      </c>
      <c r="W50" s="23">
        <v>3438.7770025550803</v>
      </c>
      <c r="X50" s="23">
        <v>3192.5529935206646</v>
      </c>
      <c r="Y50" s="23">
        <v>3382.3564427159813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2158.1168183932486</v>
      </c>
      <c r="E51" s="23">
        <v>2217.5478950394968</v>
      </c>
      <c r="F51" s="23">
        <v>2132.9754560264937</v>
      </c>
      <c r="G51" s="23">
        <v>1923.5356300653241</v>
      </c>
      <c r="H51" s="23">
        <v>2234.3579135979762</v>
      </c>
      <c r="I51" s="23">
        <v>2484.2844816960437</v>
      </c>
      <c r="J51" s="23">
        <v>3081.9603365104517</v>
      </c>
      <c r="K51" s="23">
        <v>3490.4327867405268</v>
      </c>
      <c r="L51" s="23">
        <v>3456.2018082899526</v>
      </c>
      <c r="M51" s="23">
        <v>2877.3950603610588</v>
      </c>
      <c r="N51" s="23">
        <v>3133.0969522556056</v>
      </c>
      <c r="O51" s="23">
        <v>3500.1340277245922</v>
      </c>
      <c r="P51" s="23">
        <v>3460.9647423479273</v>
      </c>
      <c r="Q51" s="23">
        <v>3602.0967310417268</v>
      </c>
      <c r="R51" s="23">
        <v>3742.3719819580792</v>
      </c>
      <c r="S51" s="23">
        <v>3851.9</v>
      </c>
      <c r="T51" s="23">
        <v>3718.2416332454086</v>
      </c>
      <c r="U51" s="23">
        <v>3837.1807697389531</v>
      </c>
      <c r="V51" s="23">
        <v>3683.4988492983848</v>
      </c>
      <c r="W51" s="23">
        <v>3999.6042636292468</v>
      </c>
      <c r="X51" s="23">
        <v>3480.4012789497733</v>
      </c>
      <c r="Y51" s="23">
        <v>3652.6052621135764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3475.1478503555054</v>
      </c>
      <c r="E52" s="23">
        <v>3967.3436034018346</v>
      </c>
      <c r="F52" s="23">
        <v>3898.458990999653</v>
      </c>
      <c r="G52" s="23">
        <v>3752.8799501260401</v>
      </c>
      <c r="H52" s="23">
        <v>4684.786761702745</v>
      </c>
      <c r="I52" s="23">
        <v>5085.1719462590918</v>
      </c>
      <c r="J52" s="23">
        <v>5647.0368903078452</v>
      </c>
      <c r="K52" s="23">
        <v>6154.2451060448893</v>
      </c>
      <c r="L52" s="23">
        <v>6044.2678774120322</v>
      </c>
      <c r="M52" s="23">
        <v>5450.6187134385164</v>
      </c>
      <c r="N52" s="23">
        <v>6441.9082042568234</v>
      </c>
      <c r="O52" s="23">
        <v>7030.4242934824233</v>
      </c>
      <c r="P52" s="23">
        <v>6780.0271212708258</v>
      </c>
      <c r="Q52" s="23">
        <v>6814.5740643486361</v>
      </c>
      <c r="R52" s="23">
        <v>8056.9218523583077</v>
      </c>
      <c r="S52" s="23">
        <v>8691.2000000000007</v>
      </c>
      <c r="T52" s="23">
        <v>9562.8597483845024</v>
      </c>
      <c r="U52" s="23">
        <v>9857.018818777251</v>
      </c>
      <c r="V52" s="23">
        <v>9673.6843047881721</v>
      </c>
      <c r="W52" s="23">
        <v>10165.348979258251</v>
      </c>
      <c r="X52" s="23">
        <v>7843.5485780988301</v>
      </c>
      <c r="Y52" s="23">
        <v>8057.4625977221312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2019.0710346202322</v>
      </c>
      <c r="E53" s="23">
        <v>2104.9605036167231</v>
      </c>
      <c r="F53" s="23">
        <v>2067.6762011590836</v>
      </c>
      <c r="G53" s="23">
        <v>2085.8970536415982</v>
      </c>
      <c r="H53" s="23">
        <v>2205.2410376674998</v>
      </c>
      <c r="I53" s="23">
        <v>2374.0909651177171</v>
      </c>
      <c r="J53" s="23">
        <v>2559.1340215795717</v>
      </c>
      <c r="K53" s="23">
        <v>2806.7136015537108</v>
      </c>
      <c r="L53" s="23">
        <v>2802.7515754041378</v>
      </c>
      <c r="M53" s="23">
        <v>2554.3954328980544</v>
      </c>
      <c r="N53" s="23">
        <v>2545.6474124129381</v>
      </c>
      <c r="O53" s="23">
        <v>2770.2573332312168</v>
      </c>
      <c r="P53" s="23">
        <v>2684.8120883378651</v>
      </c>
      <c r="Q53" s="23">
        <v>2743.1900831359962</v>
      </c>
      <c r="R53" s="23">
        <v>2768.3327550666581</v>
      </c>
      <c r="S53" s="23">
        <v>2752.6999999999753</v>
      </c>
      <c r="T53" s="23">
        <v>2996.244398466406</v>
      </c>
      <c r="U53" s="23">
        <v>3058.3816229071963</v>
      </c>
      <c r="V53" s="23">
        <v>3155.0715942366514</v>
      </c>
      <c r="W53" s="23">
        <v>3367.2863668820355</v>
      </c>
      <c r="X53" s="23">
        <v>3183.7559845037249</v>
      </c>
      <c r="Y53" s="23">
        <v>3146.3153299734258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26032.626752608143</v>
      </c>
      <c r="E54" s="30">
        <f t="shared" ref="E54:S54" si="4">SUM(E41:E53)</f>
        <v>27090.73575254987</v>
      </c>
      <c r="F54" s="30">
        <f t="shared" si="4"/>
        <v>26067.489250327151</v>
      </c>
      <c r="G54" s="30">
        <f t="shared" si="4"/>
        <v>26023.500393028477</v>
      </c>
      <c r="H54" s="30">
        <f t="shared" si="4"/>
        <v>28922.939091711585</v>
      </c>
      <c r="I54" s="30">
        <f t="shared" si="4"/>
        <v>30764.328854924202</v>
      </c>
      <c r="J54" s="30">
        <f t="shared" si="4"/>
        <v>33758.36032718885</v>
      </c>
      <c r="K54" s="30">
        <f t="shared" si="4"/>
        <v>35583.743461852537</v>
      </c>
      <c r="L54" s="30">
        <f t="shared" si="4"/>
        <v>34834.337938862591</v>
      </c>
      <c r="M54" s="30">
        <f t="shared" si="4"/>
        <v>30669.15695889006</v>
      </c>
      <c r="N54" s="30">
        <f t="shared" si="4"/>
        <v>32510.288470038191</v>
      </c>
      <c r="O54" s="30">
        <f t="shared" si="4"/>
        <v>34963.142375737152</v>
      </c>
      <c r="P54" s="30">
        <f t="shared" si="4"/>
        <v>34558.407593955846</v>
      </c>
      <c r="Q54" s="30">
        <f t="shared" si="4"/>
        <v>34704.366868478697</v>
      </c>
      <c r="R54" s="30">
        <f t="shared" si="4"/>
        <v>38192.746494683372</v>
      </c>
      <c r="S54" s="30">
        <f t="shared" si="4"/>
        <v>40561.299999999981</v>
      </c>
      <c r="T54" s="30">
        <f t="shared" ref="T54:Y54" si="5">SUM(T41:T53)</f>
        <v>41812.102254341524</v>
      </c>
      <c r="U54" s="30">
        <f t="shared" si="5"/>
        <v>43117.084127673232</v>
      </c>
      <c r="V54" s="30">
        <f t="shared" si="5"/>
        <v>42837.62122663897</v>
      </c>
      <c r="W54" s="30">
        <f t="shared" si="5"/>
        <v>43898.519429795517</v>
      </c>
      <c r="X54" s="30">
        <f t="shared" si="5"/>
        <v>38976.924768655575</v>
      </c>
      <c r="Y54" s="30">
        <f t="shared" si="5"/>
        <v>39858.883289019417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3410.6917403149714</v>
      </c>
      <c r="E56" s="19">
        <v>3632.9106261917013</v>
      </c>
      <c r="F56" s="19">
        <v>3558.3420131933876</v>
      </c>
      <c r="G56" s="19">
        <v>3375.0304935895701</v>
      </c>
      <c r="H56" s="19">
        <v>3521.2974796115996</v>
      </c>
      <c r="I56" s="19">
        <v>3355.2323431529644</v>
      </c>
      <c r="J56" s="19">
        <v>3306.4948381533873</v>
      </c>
      <c r="K56" s="19">
        <v>3256.9354019995144</v>
      </c>
      <c r="L56" s="19">
        <v>3261.380093154331</v>
      </c>
      <c r="M56" s="19">
        <v>3329.1716589977746</v>
      </c>
      <c r="N56" s="19">
        <v>3198.2163377957627</v>
      </c>
      <c r="O56" s="19">
        <v>3212.1658880294094</v>
      </c>
      <c r="P56" s="19">
        <v>3188.783417280124</v>
      </c>
      <c r="Q56" s="19">
        <v>3080.7875623024406</v>
      </c>
      <c r="R56" s="19">
        <v>3166.6224462722207</v>
      </c>
      <c r="S56" s="19">
        <v>3253.8</v>
      </c>
      <c r="T56" s="19">
        <v>3378.0802306311962</v>
      </c>
      <c r="U56" s="19">
        <v>3474.2067611695202</v>
      </c>
      <c r="V56" s="19">
        <v>3537.5343643381002</v>
      </c>
      <c r="W56" s="19">
        <v>3594.9208097110263</v>
      </c>
      <c r="X56" s="19">
        <v>3515.6739016426723</v>
      </c>
      <c r="Y56" s="19">
        <v>3450.85122425493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1441.4579041796799</v>
      </c>
      <c r="E57" s="23">
        <v>1461.3661814109744</v>
      </c>
      <c r="F57" s="23">
        <v>1309.0564324439815</v>
      </c>
      <c r="G57" s="23">
        <v>1254.7095655002304</v>
      </c>
      <c r="H57" s="23">
        <v>1108.2857933360563</v>
      </c>
      <c r="I57" s="23">
        <v>1087.5138666337978</v>
      </c>
      <c r="J57" s="23">
        <v>1100.8832234159072</v>
      </c>
      <c r="K57" s="23">
        <v>1095.429365937631</v>
      </c>
      <c r="L57" s="23">
        <v>1075.7759599201536</v>
      </c>
      <c r="M57" s="23">
        <v>967.18654033971347</v>
      </c>
      <c r="N57" s="23">
        <v>914.12687967155466</v>
      </c>
      <c r="O57" s="23">
        <v>917.3240407444282</v>
      </c>
      <c r="P57" s="23">
        <v>832.13870592793501</v>
      </c>
      <c r="Q57" s="23">
        <v>859.40209474925439</v>
      </c>
      <c r="R57" s="23">
        <v>916.2805886074658</v>
      </c>
      <c r="S57" s="23">
        <v>919.8</v>
      </c>
      <c r="T57" s="23">
        <v>951.74591345446709</v>
      </c>
      <c r="U57" s="23">
        <v>986.05107684176755</v>
      </c>
      <c r="V57" s="23">
        <v>934.53089880094183</v>
      </c>
      <c r="W57" s="23">
        <v>949.2511119331723</v>
      </c>
      <c r="X57" s="23">
        <v>881.98474057282067</v>
      </c>
      <c r="Y57" s="23">
        <v>877.25703400928603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752.8739451126321</v>
      </c>
      <c r="E58" s="23">
        <v>830.3320117429862</v>
      </c>
      <c r="F58" s="23">
        <v>830.72937531714877</v>
      </c>
      <c r="G58" s="23">
        <v>891.63255902203673</v>
      </c>
      <c r="H58" s="23">
        <v>943.46583048971695</v>
      </c>
      <c r="I58" s="23">
        <v>975.71798348329844</v>
      </c>
      <c r="J58" s="23">
        <v>997.76281140034018</v>
      </c>
      <c r="K58" s="23">
        <v>1030.2134139612897</v>
      </c>
      <c r="L58" s="23">
        <v>1043.9743238482918</v>
      </c>
      <c r="M58" s="23">
        <v>849.68636413979198</v>
      </c>
      <c r="N58" s="23">
        <v>820.81855951597538</v>
      </c>
      <c r="O58" s="23">
        <v>820.53687677108064</v>
      </c>
      <c r="P58" s="23">
        <v>819.64354901201091</v>
      </c>
      <c r="Q58" s="23">
        <v>786.47231938485322</v>
      </c>
      <c r="R58" s="23">
        <v>850.76637345143581</v>
      </c>
      <c r="S58" s="23">
        <v>901.1</v>
      </c>
      <c r="T58" s="23">
        <v>960.96331669624738</v>
      </c>
      <c r="U58" s="23">
        <v>1012.6653957228336</v>
      </c>
      <c r="V58" s="23">
        <v>1096.0768686588281</v>
      </c>
      <c r="W58" s="23">
        <v>1108.836104921756</v>
      </c>
      <c r="X58" s="23">
        <v>1056.4869482837373</v>
      </c>
      <c r="Y58" s="23">
        <v>1114.5680384142227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594.55777792544359</v>
      </c>
      <c r="E59" s="23">
        <v>628.46160830483348</v>
      </c>
      <c r="F59" s="23">
        <v>585.15610394466262</v>
      </c>
      <c r="G59" s="23">
        <v>530.99503970942999</v>
      </c>
      <c r="H59" s="23">
        <v>646.63179668252064</v>
      </c>
      <c r="I59" s="23">
        <v>643.6583261432271</v>
      </c>
      <c r="J59" s="23">
        <v>669.64181678357534</v>
      </c>
      <c r="K59" s="23">
        <v>672.0222462536691</v>
      </c>
      <c r="L59" s="23">
        <v>574.77787780343658</v>
      </c>
      <c r="M59" s="23">
        <v>537.66147464231415</v>
      </c>
      <c r="N59" s="23">
        <v>581.65460206456942</v>
      </c>
      <c r="O59" s="23">
        <v>550.9496821628245</v>
      </c>
      <c r="P59" s="23">
        <v>530.31770631538166</v>
      </c>
      <c r="Q59" s="23">
        <v>524.08367106293167</v>
      </c>
      <c r="R59" s="23">
        <v>605.34318427658843</v>
      </c>
      <c r="S59" s="23">
        <v>694.2</v>
      </c>
      <c r="T59" s="23">
        <v>729.7437758013748</v>
      </c>
      <c r="U59" s="23">
        <v>784.93365295683202</v>
      </c>
      <c r="V59" s="23">
        <v>767.16425929740035</v>
      </c>
      <c r="W59" s="23">
        <v>823.99194762515162</v>
      </c>
      <c r="X59" s="23">
        <v>817.02221244776774</v>
      </c>
      <c r="Y59" s="23">
        <v>860.66907416960998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359.32620107648381</v>
      </c>
      <c r="E60" s="23">
        <v>349.41436397203495</v>
      </c>
      <c r="F60" s="23">
        <v>436.79726517640154</v>
      </c>
      <c r="G60" s="23">
        <v>413.35754750223612</v>
      </c>
      <c r="H60" s="23">
        <v>470.87653654102064</v>
      </c>
      <c r="I60" s="23">
        <v>479.10760507826956</v>
      </c>
      <c r="J60" s="23">
        <v>548.81032835403505</v>
      </c>
      <c r="K60" s="23">
        <v>637.37282337622185</v>
      </c>
      <c r="L60" s="23">
        <v>646.79635210771482</v>
      </c>
      <c r="M60" s="23">
        <v>554.27461009474507</v>
      </c>
      <c r="N60" s="23">
        <v>609.3524402581204</v>
      </c>
      <c r="O60" s="23">
        <v>555.25771616757288</v>
      </c>
      <c r="P60" s="23">
        <v>481.59628051142977</v>
      </c>
      <c r="Q60" s="23">
        <v>463.24279868012957</v>
      </c>
      <c r="R60" s="23">
        <v>487.47882523419787</v>
      </c>
      <c r="S60" s="23">
        <v>515.79999999999995</v>
      </c>
      <c r="T60" s="23">
        <v>520.48911071670204</v>
      </c>
      <c r="U60" s="23">
        <v>508.97525434606155</v>
      </c>
      <c r="V60" s="23">
        <v>529.86003528221272</v>
      </c>
      <c r="W60" s="23">
        <v>524.52275053983612</v>
      </c>
      <c r="X60" s="23">
        <v>471.48584865761063</v>
      </c>
      <c r="Y60" s="23">
        <v>500.25794674391818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399.19595986444284</v>
      </c>
      <c r="E61" s="23">
        <v>268.60567174117011</v>
      </c>
      <c r="F61" s="23">
        <v>181.60937959031062</v>
      </c>
      <c r="G61" s="23">
        <v>142.98105331634727</v>
      </c>
      <c r="H61" s="23">
        <v>209.8786577251947</v>
      </c>
      <c r="I61" s="23">
        <v>259.70664365832619</v>
      </c>
      <c r="J61" s="23">
        <v>273.00692130223018</v>
      </c>
      <c r="K61" s="23">
        <v>223.78671845688686</v>
      </c>
      <c r="L61" s="23">
        <v>259.99060628596033</v>
      </c>
      <c r="M61" s="23">
        <v>221.6091583684894</v>
      </c>
      <c r="N61" s="23">
        <v>208.32310215787768</v>
      </c>
      <c r="O61" s="23">
        <v>181.22463046641647</v>
      </c>
      <c r="P61" s="23">
        <v>174.83533514141806</v>
      </c>
      <c r="Q61" s="23">
        <v>182.22534904230125</v>
      </c>
      <c r="R61" s="23">
        <v>172.86772659550584</v>
      </c>
      <c r="S61" s="23">
        <v>177.7</v>
      </c>
      <c r="T61" s="23">
        <v>183.07331757876469</v>
      </c>
      <c r="U61" s="23">
        <v>131.56156212839051</v>
      </c>
      <c r="V61" s="23">
        <v>35.998603039285044</v>
      </c>
      <c r="W61" s="23">
        <v>35.788332659434438</v>
      </c>
      <c r="X61" s="23">
        <v>38.656087699412971</v>
      </c>
      <c r="Y61" s="23">
        <v>25.874042620738916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1365.2069904977075</v>
      </c>
      <c r="E62" s="23">
        <v>1155.3827063345541</v>
      </c>
      <c r="F62" s="23">
        <v>999.51926928931982</v>
      </c>
      <c r="G62" s="23">
        <v>1076.6270024123817</v>
      </c>
      <c r="H62" s="23">
        <v>1194.5824165689517</v>
      </c>
      <c r="I62" s="23">
        <v>1198.4469370146678</v>
      </c>
      <c r="J62" s="23">
        <v>1142.1313882221341</v>
      </c>
      <c r="K62" s="23">
        <v>1176.4251506256758</v>
      </c>
      <c r="L62" s="23">
        <v>1196.5243258053154</v>
      </c>
      <c r="M62" s="23">
        <v>922.78416013048866</v>
      </c>
      <c r="N62" s="23">
        <v>933.37785940891638</v>
      </c>
      <c r="O62" s="23">
        <v>1010.4733093359883</v>
      </c>
      <c r="P62" s="23">
        <v>1121.0771018984892</v>
      </c>
      <c r="Q62" s="23">
        <v>1031.7185069213924</v>
      </c>
      <c r="R62" s="23">
        <v>1265.1795007857625</v>
      </c>
      <c r="S62" s="23">
        <v>1488.9</v>
      </c>
      <c r="T62" s="23">
        <v>1415.8519724262364</v>
      </c>
      <c r="U62" s="23">
        <v>1714.1697653787351</v>
      </c>
      <c r="V62" s="23">
        <v>1579.729741830914</v>
      </c>
      <c r="W62" s="23">
        <v>1619.1639639019606</v>
      </c>
      <c r="X62" s="23">
        <v>1270.237350070207</v>
      </c>
      <c r="Y62" s="23">
        <v>946.06928846382789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474.78237756661576</v>
      </c>
      <c r="E63" s="23">
        <v>459.88317544868494</v>
      </c>
      <c r="F63" s="23">
        <v>464.17220842347035</v>
      </c>
      <c r="G63" s="23">
        <v>491.01455560675464</v>
      </c>
      <c r="H63" s="23">
        <v>509.74295463827883</v>
      </c>
      <c r="I63" s="23">
        <v>587.08246024898312</v>
      </c>
      <c r="J63" s="23">
        <v>614.29470298990941</v>
      </c>
      <c r="K63" s="23">
        <v>580.6537043984905</v>
      </c>
      <c r="L63" s="23">
        <v>547.18384281185183</v>
      </c>
      <c r="M63" s="23">
        <v>579.04328476927878</v>
      </c>
      <c r="N63" s="23">
        <v>657.18523174840152</v>
      </c>
      <c r="O63" s="23">
        <v>612.41096729723529</v>
      </c>
      <c r="P63" s="23">
        <v>629.11662146454864</v>
      </c>
      <c r="Q63" s="23">
        <v>630.30747431108114</v>
      </c>
      <c r="R63" s="23">
        <v>685.24603547155948</v>
      </c>
      <c r="S63" s="23">
        <v>659.8</v>
      </c>
      <c r="T63" s="23">
        <v>648.25800884478485</v>
      </c>
      <c r="U63" s="23">
        <v>676.30570603446654</v>
      </c>
      <c r="V63" s="23">
        <v>616.09549480169426</v>
      </c>
      <c r="W63" s="23">
        <v>698.9908722545789</v>
      </c>
      <c r="X63" s="23">
        <v>752.3980308233663</v>
      </c>
      <c r="Y63" s="23">
        <v>710.1075439501567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1332.9789354774405</v>
      </c>
      <c r="E64" s="23">
        <v>1331.2248418631398</v>
      </c>
      <c r="F64" s="23">
        <v>1420.959858985658</v>
      </c>
      <c r="G64" s="23">
        <v>1582.4140080774127</v>
      </c>
      <c r="H64" s="23">
        <v>1774.9436766314016</v>
      </c>
      <c r="I64" s="23">
        <v>1892.2716627634661</v>
      </c>
      <c r="J64" s="23">
        <v>2420.7079769756006</v>
      </c>
      <c r="K64" s="23">
        <v>2375.9131336761493</v>
      </c>
      <c r="L64" s="23">
        <v>2426.5137578770209</v>
      </c>
      <c r="M64" s="23">
        <v>2339.4315287105187</v>
      </c>
      <c r="N64" s="23">
        <v>2432.2041389606438</v>
      </c>
      <c r="O64" s="23">
        <v>2520.870031400781</v>
      </c>
      <c r="P64" s="23">
        <v>2511.9139868268117</v>
      </c>
      <c r="Q64" s="23">
        <v>2572.9545477065767</v>
      </c>
      <c r="R64" s="23">
        <v>2883.3397963140601</v>
      </c>
      <c r="S64" s="23">
        <v>3197.9</v>
      </c>
      <c r="T64" s="23">
        <v>3275.4140477147707</v>
      </c>
      <c r="U64" s="23">
        <v>3218.6337982974387</v>
      </c>
      <c r="V64" s="23">
        <v>3046.180297480993</v>
      </c>
      <c r="W64" s="23">
        <v>3129.5004258467466</v>
      </c>
      <c r="X64" s="23">
        <v>2818.9338701764477</v>
      </c>
      <c r="Y64" s="23">
        <v>2999.404738283265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2168.9148780649875</v>
      </c>
      <c r="E65" s="23">
        <v>2205.8957053357954</v>
      </c>
      <c r="F65" s="23">
        <v>1962.9837352776224</v>
      </c>
      <c r="G65" s="23">
        <v>1857.2628954002116</v>
      </c>
      <c r="H65" s="23">
        <v>1919.2105505856312</v>
      </c>
      <c r="I65" s="23">
        <v>1974.7319117465797</v>
      </c>
      <c r="J65" s="23">
        <v>2123.1152851250258</v>
      </c>
      <c r="K65" s="23">
        <v>2169.3407781774849</v>
      </c>
      <c r="L65" s="23">
        <v>2090.1992250185913</v>
      </c>
      <c r="M65" s="23">
        <v>1704.7090687582436</v>
      </c>
      <c r="N65" s="23">
        <v>1605.394203097836</v>
      </c>
      <c r="O65" s="23">
        <v>1721.7775905644485</v>
      </c>
      <c r="P65" s="23">
        <v>1598.9926385122048</v>
      </c>
      <c r="Q65" s="23">
        <v>1581.8626819528536</v>
      </c>
      <c r="R65" s="23">
        <v>1713.1661122109513</v>
      </c>
      <c r="S65" s="23">
        <v>1876.6</v>
      </c>
      <c r="T65" s="23">
        <v>1781.0180327708108</v>
      </c>
      <c r="U65" s="23">
        <v>1825.3458917684361</v>
      </c>
      <c r="V65" s="23">
        <v>1942.3126863733646</v>
      </c>
      <c r="W65" s="23">
        <v>1981.8649506619981</v>
      </c>
      <c r="X65" s="23">
        <v>1806.0090338515679</v>
      </c>
      <c r="Y65" s="23">
        <v>1959.1253621175447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1620.2073227456974</v>
      </c>
      <c r="E66" s="23">
        <v>1580.4606398111441</v>
      </c>
      <c r="F66" s="23">
        <v>1444.8628582111478</v>
      </c>
      <c r="G66" s="23">
        <v>1431.8434391347953</v>
      </c>
      <c r="H66" s="23">
        <v>1727.2499703561218</v>
      </c>
      <c r="I66" s="23">
        <v>2101.1956119807719</v>
      </c>
      <c r="J66" s="23">
        <v>2095.7330288271073</v>
      </c>
      <c r="K66" s="23">
        <v>2071.4616759727219</v>
      </c>
      <c r="L66" s="23">
        <v>1763.7676621394185</v>
      </c>
      <c r="M66" s="23">
        <v>1082.5723174820528</v>
      </c>
      <c r="N66" s="23">
        <v>1003.408209167788</v>
      </c>
      <c r="O66" s="23">
        <v>1254.9781726277092</v>
      </c>
      <c r="P66" s="23">
        <v>1114.6842309182489</v>
      </c>
      <c r="Q66" s="23">
        <v>1219.6910393483886</v>
      </c>
      <c r="R66" s="23">
        <v>1463.7630875359716</v>
      </c>
      <c r="S66" s="23">
        <v>1508.4</v>
      </c>
      <c r="T66" s="23">
        <v>1425.2654906306077</v>
      </c>
      <c r="U66" s="23">
        <v>1303.063477981842</v>
      </c>
      <c r="V66" s="23">
        <v>1348.5148337527201</v>
      </c>
      <c r="W66" s="23">
        <v>1159.8516848906133</v>
      </c>
      <c r="X66" s="23">
        <v>919.79496202060545</v>
      </c>
      <c r="Y66" s="23">
        <v>829.23925552601293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2160.442554322547</v>
      </c>
      <c r="E67" s="23">
        <v>2504.1614963227507</v>
      </c>
      <c r="F67" s="23">
        <v>2498.1972598349494</v>
      </c>
      <c r="G67" s="23">
        <v>2626.1079337543706</v>
      </c>
      <c r="H67" s="23">
        <v>2874.0069300799732</v>
      </c>
      <c r="I67" s="23">
        <v>3140.0221866140764</v>
      </c>
      <c r="J67" s="23">
        <v>3457.5050686304198</v>
      </c>
      <c r="K67" s="23">
        <v>3633.33406898987</v>
      </c>
      <c r="L67" s="23">
        <v>3673.5292966456609</v>
      </c>
      <c r="M67" s="23">
        <v>3061.4484640401129</v>
      </c>
      <c r="N67" s="23">
        <v>3386.011609519413</v>
      </c>
      <c r="O67" s="23">
        <v>3685.6666921957572</v>
      </c>
      <c r="P67" s="23">
        <v>3791.5536613715617</v>
      </c>
      <c r="Q67" s="23">
        <v>3851.7028508011372</v>
      </c>
      <c r="R67" s="23">
        <v>4252.0970671673776</v>
      </c>
      <c r="S67" s="23">
        <v>4590.8999999999996</v>
      </c>
      <c r="T67" s="23">
        <v>4697.5416989439209</v>
      </c>
      <c r="U67" s="23">
        <v>4845.3160686309666</v>
      </c>
      <c r="V67" s="23">
        <v>4912.2869858781596</v>
      </c>
      <c r="W67" s="23">
        <v>4992.1282874078406</v>
      </c>
      <c r="X67" s="23">
        <v>4481.822334252508</v>
      </c>
      <c r="Y67" s="23">
        <v>4884.0033334656137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873.14771745630946</v>
      </c>
      <c r="E68" s="23">
        <v>949.72912442117376</v>
      </c>
      <c r="F68" s="23">
        <v>1021.8198328125418</v>
      </c>
      <c r="G68" s="23">
        <v>1193.993440490066</v>
      </c>
      <c r="H68" s="23">
        <v>1263.4879645854469</v>
      </c>
      <c r="I68" s="23">
        <v>1383.828423517811</v>
      </c>
      <c r="J68" s="23">
        <v>1692.4564796905222</v>
      </c>
      <c r="K68" s="23">
        <v>1877.5793957317208</v>
      </c>
      <c r="L68" s="23">
        <v>1819.8363928138087</v>
      </c>
      <c r="M68" s="23">
        <v>1594.3575750863379</v>
      </c>
      <c r="N68" s="23">
        <v>1724.5341950438549</v>
      </c>
      <c r="O68" s="23">
        <v>1837.9030405146664</v>
      </c>
      <c r="P68" s="23">
        <v>2164.8585819449827</v>
      </c>
      <c r="Q68" s="23">
        <v>2053.7262557100248</v>
      </c>
      <c r="R68" s="23">
        <v>2174.4188419699167</v>
      </c>
      <c r="S68" s="23">
        <v>2320.4</v>
      </c>
      <c r="T68" s="23">
        <v>2445.4555260293587</v>
      </c>
      <c r="U68" s="23">
        <v>2633.7794220351461</v>
      </c>
      <c r="V68" s="23">
        <v>2728.6403811195387</v>
      </c>
      <c r="W68" s="23">
        <v>2308.6915751167853</v>
      </c>
      <c r="X68" s="23">
        <v>2446.1606130838595</v>
      </c>
      <c r="Y68" s="23">
        <v>2462.7167744751773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1426.506744634195</v>
      </c>
      <c r="E69" s="23">
        <v>1443.0555975908721</v>
      </c>
      <c r="F69" s="23">
        <v>1254.1730096413216</v>
      </c>
      <c r="G69" s="23">
        <v>1393.2182256796682</v>
      </c>
      <c r="H69" s="23">
        <v>1634.8928209114508</v>
      </c>
      <c r="I69" s="23">
        <v>1742.2654998151118</v>
      </c>
      <c r="J69" s="23">
        <v>2027.6852089207894</v>
      </c>
      <c r="K69" s="23">
        <v>2331.884089956081</v>
      </c>
      <c r="L69" s="23">
        <v>2150.8669615249128</v>
      </c>
      <c r="M69" s="23">
        <v>2042.8115466325678</v>
      </c>
      <c r="N69" s="23">
        <v>2315.0285327021106</v>
      </c>
      <c r="O69" s="23">
        <v>2780.7880830206018</v>
      </c>
      <c r="P69" s="23">
        <v>2673.09182487408</v>
      </c>
      <c r="Q69" s="23">
        <v>2706.3288379789733</v>
      </c>
      <c r="R69" s="23">
        <v>2988.5503194073108</v>
      </c>
      <c r="S69" s="23">
        <v>3160.2</v>
      </c>
      <c r="T69" s="23">
        <v>3121.8560320059619</v>
      </c>
      <c r="U69" s="23">
        <v>3249.4950829573982</v>
      </c>
      <c r="V69" s="23">
        <v>3250.4410276616131</v>
      </c>
      <c r="W69" s="23">
        <v>3438.7770025550803</v>
      </c>
      <c r="X69" s="23">
        <v>3192.5529935206646</v>
      </c>
      <c r="Y69" s="23">
        <v>3382.3564427159813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2158.1168183932486</v>
      </c>
      <c r="E70" s="23">
        <v>2217.5478950394968</v>
      </c>
      <c r="F70" s="23">
        <v>2132.9754560264937</v>
      </c>
      <c r="G70" s="23">
        <v>1923.5356300653241</v>
      </c>
      <c r="H70" s="23">
        <v>2234.3579135979762</v>
      </c>
      <c r="I70" s="23">
        <v>2484.2844816960437</v>
      </c>
      <c r="J70" s="23">
        <v>3081.9603365104517</v>
      </c>
      <c r="K70" s="23">
        <v>3490.4327867405268</v>
      </c>
      <c r="L70" s="23">
        <v>3456.2018082899526</v>
      </c>
      <c r="M70" s="23">
        <v>2877.3950603610588</v>
      </c>
      <c r="N70" s="23">
        <v>3133.0969522556056</v>
      </c>
      <c r="O70" s="23">
        <v>3500.1340277245922</v>
      </c>
      <c r="P70" s="23">
        <v>3460.9647423479273</v>
      </c>
      <c r="Q70" s="23">
        <v>3602.0967310417268</v>
      </c>
      <c r="R70" s="23">
        <v>3742.3719819580792</v>
      </c>
      <c r="S70" s="23">
        <v>3851.9</v>
      </c>
      <c r="T70" s="23">
        <v>3718.2416332454086</v>
      </c>
      <c r="U70" s="23">
        <v>3837.1807697389531</v>
      </c>
      <c r="V70" s="23">
        <v>3683.4988492983848</v>
      </c>
      <c r="W70" s="23">
        <v>3999.6042636292468</v>
      </c>
      <c r="X70" s="23">
        <v>3480.4012789497733</v>
      </c>
      <c r="Y70" s="23">
        <v>3652.6052621135764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3163.3331118346737</v>
      </c>
      <c r="E71" s="23">
        <v>3622.6203807390821</v>
      </c>
      <c r="F71" s="23">
        <v>3531.3676788718853</v>
      </c>
      <c r="G71" s="23">
        <v>3381.4002656330467</v>
      </c>
      <c r="H71" s="23">
        <v>4308.9023860028201</v>
      </c>
      <c r="I71" s="23">
        <v>4681.868605941082</v>
      </c>
      <c r="J71" s="23">
        <v>5232.6909184125279</v>
      </c>
      <c r="K71" s="23">
        <v>5658.780428593499</v>
      </c>
      <c r="L71" s="23">
        <v>5470.859916239383</v>
      </c>
      <c r="M71" s="23">
        <v>4858.9897199931529</v>
      </c>
      <c r="N71" s="23">
        <v>5818.706844901928</v>
      </c>
      <c r="O71" s="23">
        <v>6266.0833269510604</v>
      </c>
      <c r="P71" s="23">
        <v>6027.1212708252615</v>
      </c>
      <c r="Q71" s="23">
        <v>6059.3148961047973</v>
      </c>
      <c r="R71" s="23">
        <v>7229.8303977794558</v>
      </c>
      <c r="S71" s="23">
        <v>7792.1</v>
      </c>
      <c r="T71" s="23">
        <v>8642.0019415381321</v>
      </c>
      <c r="U71" s="23">
        <v>9043.7720606277962</v>
      </c>
      <c r="V71" s="23">
        <v>8854.7608600263284</v>
      </c>
      <c r="W71" s="23">
        <v>9302.471631724291</v>
      </c>
      <c r="X71" s="23">
        <v>7023.2274872697135</v>
      </c>
      <c r="Y71" s="23">
        <v>7139.6483987459815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311.81473852083172</v>
      </c>
      <c r="E72" s="23">
        <v>344.72322266275251</v>
      </c>
      <c r="F72" s="23">
        <v>367.09131212776765</v>
      </c>
      <c r="G72" s="23">
        <v>371.47968449299333</v>
      </c>
      <c r="H72" s="23">
        <v>375.88437569992493</v>
      </c>
      <c r="I72" s="23">
        <v>403.30334031800976</v>
      </c>
      <c r="J72" s="23">
        <v>414.34597189531723</v>
      </c>
      <c r="K72" s="23">
        <v>495.46467745139034</v>
      </c>
      <c r="L72" s="23">
        <v>573.40796117264927</v>
      </c>
      <c r="M72" s="23">
        <v>591.62899344536345</v>
      </c>
      <c r="N72" s="23">
        <v>623.20135935489543</v>
      </c>
      <c r="O72" s="23">
        <v>764.34096653136294</v>
      </c>
      <c r="P72" s="23">
        <v>752.90585044556428</v>
      </c>
      <c r="Q72" s="23">
        <v>755.25916824383876</v>
      </c>
      <c r="R72" s="23">
        <v>827.09145457885188</v>
      </c>
      <c r="S72" s="23">
        <v>899.10000000000036</v>
      </c>
      <c r="T72" s="23">
        <v>920.85780684637029</v>
      </c>
      <c r="U72" s="23">
        <v>813.24675814945476</v>
      </c>
      <c r="V72" s="23">
        <v>818.92344476184371</v>
      </c>
      <c r="W72" s="23">
        <v>862.87734753396035</v>
      </c>
      <c r="X72" s="23">
        <v>820.32109082911666</v>
      </c>
      <c r="Y72" s="23">
        <v>917.81419897614978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1058.70821981527</v>
      </c>
      <c r="E73" s="23">
        <v>1134.9535425683243</v>
      </c>
      <c r="F73" s="23">
        <v>1154.6884597922176</v>
      </c>
      <c r="G73" s="23">
        <v>1148.5918737971972</v>
      </c>
      <c r="H73" s="23">
        <v>1133.8454038813718</v>
      </c>
      <c r="I73" s="23">
        <v>1222.23591766301</v>
      </c>
      <c r="J73" s="23">
        <v>1260.2829111416652</v>
      </c>
      <c r="K73" s="23">
        <v>1300.0154487872701</v>
      </c>
      <c r="L73" s="23">
        <v>1300.3444361814552</v>
      </c>
      <c r="M73" s="23">
        <v>1178.6264460979266</v>
      </c>
      <c r="N73" s="23">
        <v>1174.9972989696796</v>
      </c>
      <c r="O73" s="23">
        <v>1258.90327027648</v>
      </c>
      <c r="P73" s="23">
        <v>1213.289422704378</v>
      </c>
      <c r="Q73" s="23">
        <v>1236.3380532902625</v>
      </c>
      <c r="R73" s="23">
        <v>1253.1379472212584</v>
      </c>
      <c r="S73" s="23">
        <v>1290.0999999999999</v>
      </c>
      <c r="T73" s="23">
        <v>1459.8797815279318</v>
      </c>
      <c r="U73" s="23">
        <v>1527.2088940901112</v>
      </c>
      <c r="V73" s="23">
        <v>1540.8655783506908</v>
      </c>
      <c r="W73" s="23">
        <v>1570.213095432686</v>
      </c>
      <c r="X73" s="23">
        <v>1475.2753294649051</v>
      </c>
      <c r="Y73" s="23">
        <v>1494.7418548355092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960.36281480496223</v>
      </c>
      <c r="E74" s="23">
        <v>970.00696104839881</v>
      </c>
      <c r="F74" s="23">
        <v>912.98774136686598</v>
      </c>
      <c r="G74" s="23">
        <v>937.30517984440098</v>
      </c>
      <c r="H74" s="23">
        <v>1071.395633786128</v>
      </c>
      <c r="I74" s="23">
        <v>1151.8550474547071</v>
      </c>
      <c r="J74" s="23">
        <v>1298.8511104379065</v>
      </c>
      <c r="K74" s="23">
        <v>1506.6981527664407</v>
      </c>
      <c r="L74" s="23">
        <v>1502.4071392226826</v>
      </c>
      <c r="M74" s="23">
        <v>1375.7689868001278</v>
      </c>
      <c r="N74" s="23">
        <v>1370.6501134432585</v>
      </c>
      <c r="O74" s="23">
        <v>1511.3540629547367</v>
      </c>
      <c r="P74" s="23">
        <v>1471.5226656334871</v>
      </c>
      <c r="Q74" s="23">
        <v>1506.8520298457338</v>
      </c>
      <c r="R74" s="23">
        <v>1515.1948078453997</v>
      </c>
      <c r="S74" s="23">
        <v>1462.5999999999754</v>
      </c>
      <c r="T74" s="23">
        <v>1536.3646169384742</v>
      </c>
      <c r="U74" s="23">
        <v>1531.172728817085</v>
      </c>
      <c r="V74" s="23">
        <v>1614.2060158859606</v>
      </c>
      <c r="W74" s="23">
        <v>1797.0732714493495</v>
      </c>
      <c r="X74" s="23">
        <v>1708.4806550388198</v>
      </c>
      <c r="Y74" s="23">
        <v>1651.5734751379166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26032.626752608139</v>
      </c>
      <c r="E75" s="30">
        <f t="shared" ref="E75:S75" si="6">SUM(E56:E74)</f>
        <v>27090.73575254987</v>
      </c>
      <c r="F75" s="30">
        <f t="shared" si="6"/>
        <v>26067.489250327148</v>
      </c>
      <c r="G75" s="30">
        <f t="shared" si="6"/>
        <v>26023.500393028477</v>
      </c>
      <c r="H75" s="30">
        <f t="shared" si="6"/>
        <v>28922.939091711585</v>
      </c>
      <c r="I75" s="30">
        <f t="shared" si="6"/>
        <v>30764.328854924199</v>
      </c>
      <c r="J75" s="30">
        <f t="shared" si="6"/>
        <v>33758.36032718885</v>
      </c>
      <c r="K75" s="30">
        <f t="shared" si="6"/>
        <v>35583.743461852537</v>
      </c>
      <c r="L75" s="30">
        <f t="shared" si="6"/>
        <v>34834.337938862591</v>
      </c>
      <c r="M75" s="30">
        <f t="shared" si="6"/>
        <v>30669.156958890057</v>
      </c>
      <c r="N75" s="30">
        <f t="shared" si="6"/>
        <v>32510.288470038191</v>
      </c>
      <c r="O75" s="30">
        <f t="shared" si="6"/>
        <v>34963.142375737145</v>
      </c>
      <c r="P75" s="30">
        <f t="shared" si="6"/>
        <v>34558.407593955846</v>
      </c>
      <c r="Q75" s="30">
        <f t="shared" si="6"/>
        <v>34704.366868478704</v>
      </c>
      <c r="R75" s="30">
        <f t="shared" si="6"/>
        <v>38192.746494683372</v>
      </c>
      <c r="S75" s="30">
        <f t="shared" si="6"/>
        <v>40561.299999999981</v>
      </c>
      <c r="T75" s="30">
        <f t="shared" ref="T75:Y75" si="7">SUM(T56:T74)</f>
        <v>41812.102254341524</v>
      </c>
      <c r="U75" s="30">
        <f t="shared" si="7"/>
        <v>43117.084127673239</v>
      </c>
      <c r="V75" s="30">
        <f t="shared" si="7"/>
        <v>42837.62122663897</v>
      </c>
      <c r="W75" s="30">
        <f t="shared" si="7"/>
        <v>43898.519429795517</v>
      </c>
      <c r="X75" s="30">
        <f t="shared" si="7"/>
        <v>38976.924768655575</v>
      </c>
      <c r="Y75" s="30">
        <f t="shared" si="7"/>
        <v>39858.883289019417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10278098</v>
      </c>
      <c r="E3" s="42">
        <v>10232027</v>
      </c>
      <c r="F3" s="42">
        <v>10201182</v>
      </c>
      <c r="G3" s="42">
        <v>10192649</v>
      </c>
      <c r="H3" s="42">
        <v>10195347</v>
      </c>
      <c r="I3" s="42">
        <v>10198855</v>
      </c>
      <c r="J3" s="42">
        <v>10223577</v>
      </c>
      <c r="K3" s="42">
        <v>10254233</v>
      </c>
      <c r="L3" s="42">
        <v>10343422</v>
      </c>
      <c r="M3" s="42">
        <v>10425783</v>
      </c>
      <c r="N3" s="42">
        <v>10462088</v>
      </c>
      <c r="O3" s="42">
        <v>10486731</v>
      </c>
      <c r="P3" s="42">
        <v>10505445</v>
      </c>
      <c r="Q3" s="42">
        <v>10516125</v>
      </c>
      <c r="R3" s="42">
        <v>10512419</v>
      </c>
      <c r="S3" s="42">
        <v>10538275</v>
      </c>
      <c r="T3" s="42">
        <v>10553843</v>
      </c>
      <c r="U3" s="42">
        <v>10578820</v>
      </c>
      <c r="V3" s="42">
        <v>10610055</v>
      </c>
      <c r="W3" s="42">
        <v>10649800</v>
      </c>
      <c r="X3" s="42">
        <v>10693939</v>
      </c>
      <c r="Y3" s="42">
        <v>10494836</v>
      </c>
    </row>
    <row r="4" spans="1:25" x14ac:dyDescent="0.25">
      <c r="A4" s="43" t="s">
        <v>239</v>
      </c>
      <c r="B4" s="44"/>
      <c r="C4" s="44"/>
      <c r="D4" s="45">
        <v>3946356</v>
      </c>
      <c r="E4" s="45">
        <v>3955534</v>
      </c>
      <c r="F4" s="45">
        <v>3970766</v>
      </c>
      <c r="G4" s="45">
        <v>3994954</v>
      </c>
      <c r="H4" s="45">
        <v>4023912</v>
      </c>
      <c r="I4" s="45">
        <v>4053599</v>
      </c>
      <c r="J4" s="45">
        <v>4061810</v>
      </c>
      <c r="K4" s="45">
        <v>4077230</v>
      </c>
      <c r="L4" s="45">
        <v>4134062</v>
      </c>
      <c r="M4" s="45">
        <v>4160328</v>
      </c>
      <c r="N4" s="45">
        <v>4192734</v>
      </c>
      <c r="O4" s="45">
        <v>4245124</v>
      </c>
      <c r="P4" s="45">
        <v>4315060</v>
      </c>
      <c r="Q4" s="45">
        <v>4374428</v>
      </c>
      <c r="R4" s="45">
        <v>4396662</v>
      </c>
      <c r="S4" s="45">
        <v>4418564</v>
      </c>
      <c r="T4" s="45">
        <v>4449344</v>
      </c>
      <c r="U4" s="45">
        <v>4467407</v>
      </c>
      <c r="V4" s="45">
        <v>4499599</v>
      </c>
      <c r="W4" s="45">
        <v>4555090</v>
      </c>
      <c r="X4" s="45">
        <v>4568107</v>
      </c>
      <c r="Y4" s="45">
        <v>4618080</v>
      </c>
    </row>
    <row r="5" spans="1:25" x14ac:dyDescent="0.25">
      <c r="A5" s="46" t="s">
        <v>240</v>
      </c>
      <c r="B5" s="47"/>
      <c r="C5" s="47"/>
      <c r="D5" s="48">
        <f>D3/D4</f>
        <v>2.6044528167251002</v>
      </c>
      <c r="E5" s="48">
        <f t="shared" ref="E5:S5" si="0">E3/E4</f>
        <v>2.5867624952787662</v>
      </c>
      <c r="F5" s="48">
        <f t="shared" si="0"/>
        <v>2.5690715594925515</v>
      </c>
      <c r="G5" s="48">
        <f t="shared" si="0"/>
        <v>2.5513808169005201</v>
      </c>
      <c r="H5" s="48">
        <f t="shared" si="0"/>
        <v>2.5336903490931215</v>
      </c>
      <c r="I5" s="48">
        <f t="shared" si="0"/>
        <v>2.5159999792776739</v>
      </c>
      <c r="J5" s="48">
        <f t="shared" si="0"/>
        <v>2.5170003028206636</v>
      </c>
      <c r="K5" s="48">
        <f t="shared" si="0"/>
        <v>2.5149998896309502</v>
      </c>
      <c r="L5" s="48">
        <f t="shared" si="0"/>
        <v>2.5019997281124473</v>
      </c>
      <c r="M5" s="48">
        <f t="shared" si="0"/>
        <v>2.5060002480573647</v>
      </c>
      <c r="N5" s="48">
        <f t="shared" si="0"/>
        <v>2.4952901853539959</v>
      </c>
      <c r="O5" s="48">
        <f t="shared" si="0"/>
        <v>2.4703002786255479</v>
      </c>
      <c r="P5" s="48">
        <f t="shared" si="0"/>
        <v>2.434599982387267</v>
      </c>
      <c r="Q5" s="48">
        <f t="shared" si="0"/>
        <v>2.404000020116916</v>
      </c>
      <c r="R5" s="48">
        <f t="shared" si="0"/>
        <v>2.3910000359363535</v>
      </c>
      <c r="S5" s="48">
        <f t="shared" si="0"/>
        <v>2.3849999683154981</v>
      </c>
      <c r="T5" s="48">
        <f t="shared" ref="T5:Y5" si="1">T3/T4</f>
        <v>2.3719997824398384</v>
      </c>
      <c r="U5" s="48">
        <f t="shared" si="1"/>
        <v>2.3680000501409428</v>
      </c>
      <c r="V5" s="48">
        <f t="shared" si="1"/>
        <v>2.3580001240110509</v>
      </c>
      <c r="W5" s="48">
        <f t="shared" si="1"/>
        <v>2.3379999077954552</v>
      </c>
      <c r="X5" s="48">
        <f t="shared" si="1"/>
        <v>2.3410001123003465</v>
      </c>
      <c r="Y5" s="48">
        <f t="shared" si="1"/>
        <v>2.2725539618196309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3097.45</v>
      </c>
      <c r="E8" s="42">
        <v>3560.09</v>
      </c>
      <c r="F8" s="42">
        <v>3273.97</v>
      </c>
      <c r="G8" s="42">
        <v>3460.67</v>
      </c>
      <c r="H8" s="42">
        <v>3470.78</v>
      </c>
      <c r="I8" s="42">
        <v>3550</v>
      </c>
      <c r="J8" s="42">
        <v>3430.32</v>
      </c>
      <c r="K8" s="42">
        <v>3180.25</v>
      </c>
      <c r="L8" s="42">
        <v>3210.66</v>
      </c>
      <c r="M8" s="42">
        <v>3333.48</v>
      </c>
      <c r="N8" s="42">
        <v>3828.88</v>
      </c>
      <c r="O8" s="42">
        <v>3234.6</v>
      </c>
      <c r="P8" s="42">
        <v>3399.61</v>
      </c>
      <c r="Q8" s="42">
        <v>3514.82</v>
      </c>
      <c r="R8" s="42">
        <v>2919.87</v>
      </c>
      <c r="S8" s="42">
        <v>3090.62</v>
      </c>
      <c r="T8" s="42">
        <v>3247.67</v>
      </c>
      <c r="U8" s="42">
        <v>3311.5</v>
      </c>
      <c r="V8" s="42">
        <v>2995.64</v>
      </c>
      <c r="W8" s="42">
        <v>2998.07</v>
      </c>
      <c r="X8" s="42">
        <v>3078.64</v>
      </c>
      <c r="Y8" s="42">
        <v>3452.39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3294.6471428571426</v>
      </c>
      <c r="E9" s="45">
        <f t="shared" si="2"/>
        <v>3294.6471428571426</v>
      </c>
      <c r="F9" s="45">
        <f t="shared" si="2"/>
        <v>3294.6471428571426</v>
      </c>
      <c r="G9" s="45">
        <f t="shared" si="2"/>
        <v>3294.6471428571426</v>
      </c>
      <c r="H9" s="45">
        <f t="shared" si="2"/>
        <v>3294.6471428571426</v>
      </c>
      <c r="I9" s="45">
        <f t="shared" si="2"/>
        <v>3294.6471428571426</v>
      </c>
      <c r="J9" s="45">
        <f t="shared" si="2"/>
        <v>3294.6471428571426</v>
      </c>
      <c r="K9" s="45">
        <f t="shared" si="2"/>
        <v>3294.6471428571426</v>
      </c>
      <c r="L9" s="45">
        <f t="shared" si="2"/>
        <v>3294.6471428571426</v>
      </c>
      <c r="M9" s="45">
        <f t="shared" si="2"/>
        <v>3294.6471428571426</v>
      </c>
      <c r="N9" s="45">
        <f t="shared" si="2"/>
        <v>3294.6471428571426</v>
      </c>
      <c r="O9" s="45">
        <f t="shared" si="2"/>
        <v>3294.6471428571426</v>
      </c>
      <c r="P9" s="45">
        <f t="shared" si="2"/>
        <v>3294.6471428571426</v>
      </c>
      <c r="Q9" s="45">
        <f t="shared" si="2"/>
        <v>3294.6471428571426</v>
      </c>
      <c r="R9" s="45">
        <f t="shared" si="2"/>
        <v>3294.6471428571426</v>
      </c>
      <c r="S9" s="45">
        <f t="shared" si="2"/>
        <v>3294.6471428571426</v>
      </c>
      <c r="T9" s="45">
        <f t="shared" si="2"/>
        <v>3294.6471428571426</v>
      </c>
      <c r="U9" s="45">
        <f t="shared" si="2"/>
        <v>3294.6471428571426</v>
      </c>
      <c r="V9" s="45">
        <f t="shared" si="2"/>
        <v>3294.6471428571426</v>
      </c>
      <c r="W9" s="45">
        <f t="shared" si="2"/>
        <v>3294.6471428571426</v>
      </c>
      <c r="X9" s="45">
        <f>AVERAGE($D8:$X8)</f>
        <v>3294.6471428571426</v>
      </c>
      <c r="Y9" s="45">
        <f t="shared" ref="Y9" si="3">AVERAGE($D8:$X8)</f>
        <v>3294.6471428571426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0.94014620251984493</v>
      </c>
      <c r="E10" s="53">
        <f t="shared" si="4"/>
        <v>1.0805679168764226</v>
      </c>
      <c r="F10" s="53">
        <f t="shared" si="4"/>
        <v>0.9937240190039861</v>
      </c>
      <c r="G10" s="53">
        <f t="shared" si="4"/>
        <v>1.0503916959674418</v>
      </c>
      <c r="H10" s="53">
        <f t="shared" si="4"/>
        <v>1.0534603098619277</v>
      </c>
      <c r="I10" s="53">
        <f t="shared" si="4"/>
        <v>1.0775053734347446</v>
      </c>
      <c r="J10" s="53">
        <f t="shared" si="4"/>
        <v>1.0411797838311756</v>
      </c>
      <c r="K10" s="53">
        <f t="shared" si="4"/>
        <v>0.96527787714530888</v>
      </c>
      <c r="L10" s="53">
        <f t="shared" si="4"/>
        <v>0.97450800063999921</v>
      </c>
      <c r="M10" s="53">
        <f t="shared" si="4"/>
        <v>1.0117866513344373</v>
      </c>
      <c r="N10" s="53">
        <f t="shared" si="4"/>
        <v>1.162151767390655</v>
      </c>
      <c r="O10" s="53">
        <f t="shared" si="4"/>
        <v>0.98177433265127467</v>
      </c>
      <c r="P10" s="53">
        <f t="shared" si="4"/>
        <v>1.031858603544364</v>
      </c>
      <c r="Q10" s="53">
        <f t="shared" si="4"/>
        <v>1.0668274469453265</v>
      </c>
      <c r="R10" s="53">
        <f t="shared" si="4"/>
        <v>0.88624665203687547</v>
      </c>
      <c r="S10" s="53">
        <f t="shared" si="4"/>
        <v>0.93807314288588461</v>
      </c>
      <c r="T10" s="53">
        <f t="shared" ref="T10:Y10" si="5">IF(T8=0,0,T8/T9)</f>
        <v>0.98574137356135694</v>
      </c>
      <c r="U10" s="53">
        <f t="shared" si="5"/>
        <v>1.005115223698354</v>
      </c>
      <c r="V10" s="53">
        <f t="shared" si="5"/>
        <v>0.90924456250029817</v>
      </c>
      <c r="W10" s="53">
        <f t="shared" si="5"/>
        <v>0.90998212251648036</v>
      </c>
      <c r="X10" s="53">
        <f t="shared" si="5"/>
        <v>0.93443694165384283</v>
      </c>
      <c r="Y10" s="53">
        <f t="shared" si="5"/>
        <v>1.0478785285048953</v>
      </c>
    </row>
    <row r="11" spans="1:25" x14ac:dyDescent="0.25">
      <c r="A11" s="43" t="s">
        <v>251</v>
      </c>
      <c r="B11" s="44"/>
      <c r="C11" s="44"/>
      <c r="D11" s="45">
        <v>16.53</v>
      </c>
      <c r="E11" s="45">
        <v>6.27</v>
      </c>
      <c r="F11" s="45">
        <v>9.1199999999999992</v>
      </c>
      <c r="G11" s="45">
        <v>38.229999999999997</v>
      </c>
      <c r="H11" s="45">
        <v>2.97</v>
      </c>
      <c r="I11" s="45">
        <v>12.4</v>
      </c>
      <c r="J11" s="45">
        <v>31.3</v>
      </c>
      <c r="K11" s="45">
        <v>21.75</v>
      </c>
      <c r="L11" s="45">
        <v>3.22</v>
      </c>
      <c r="M11" s="45">
        <v>4.62</v>
      </c>
      <c r="N11" s="45">
        <v>26.89</v>
      </c>
      <c r="O11" s="45">
        <v>13.34</v>
      </c>
      <c r="P11" s="45">
        <v>23.96</v>
      </c>
      <c r="Q11" s="45">
        <v>44.85</v>
      </c>
      <c r="R11" s="45">
        <v>9.52</v>
      </c>
      <c r="S11" s="45">
        <v>97.23</v>
      </c>
      <c r="T11" s="45">
        <v>10.52</v>
      </c>
      <c r="U11" s="45">
        <v>22.51</v>
      </c>
      <c r="V11" s="45">
        <v>45.88</v>
      </c>
      <c r="W11" s="45">
        <v>40.21</v>
      </c>
      <c r="X11" s="45">
        <v>6.08</v>
      </c>
      <c r="Y11" s="45">
        <v>10.76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23.209523809523809</v>
      </c>
      <c r="E12" s="45">
        <f t="shared" ref="E12" si="7">AVERAGE($D11:$X11)</f>
        <v>23.209523809523809</v>
      </c>
      <c r="F12" s="45">
        <f t="shared" ref="F12" si="8">AVERAGE($D11:$X11)</f>
        <v>23.209523809523809</v>
      </c>
      <c r="G12" s="45">
        <f t="shared" ref="G12" si="9">AVERAGE($D11:$X11)</f>
        <v>23.209523809523809</v>
      </c>
      <c r="H12" s="45">
        <f t="shared" ref="H12" si="10">AVERAGE($D11:$X11)</f>
        <v>23.209523809523809</v>
      </c>
      <c r="I12" s="45">
        <f t="shared" ref="I12" si="11">AVERAGE($D11:$X11)</f>
        <v>23.209523809523809</v>
      </c>
      <c r="J12" s="45">
        <f t="shared" ref="J12" si="12">AVERAGE($D11:$X11)</f>
        <v>23.209523809523809</v>
      </c>
      <c r="K12" s="45">
        <f t="shared" ref="K12" si="13">AVERAGE($D11:$X11)</f>
        <v>23.209523809523809</v>
      </c>
      <c r="L12" s="45">
        <f t="shared" ref="L12" si="14">AVERAGE($D11:$X11)</f>
        <v>23.209523809523809</v>
      </c>
      <c r="M12" s="45">
        <f t="shared" ref="M12" si="15">AVERAGE($D11:$X11)</f>
        <v>23.209523809523809</v>
      </c>
      <c r="N12" s="45">
        <f t="shared" ref="N12" si="16">AVERAGE($D11:$X11)</f>
        <v>23.209523809523809</v>
      </c>
      <c r="O12" s="45">
        <f t="shared" ref="O12" si="17">AVERAGE($D11:$X11)</f>
        <v>23.209523809523809</v>
      </c>
      <c r="P12" s="45">
        <f t="shared" ref="P12" si="18">AVERAGE($D11:$X11)</f>
        <v>23.209523809523809</v>
      </c>
      <c r="Q12" s="45">
        <f t="shared" ref="Q12" si="19">AVERAGE($D11:$X11)</f>
        <v>23.209523809523809</v>
      </c>
      <c r="R12" s="45">
        <f t="shared" ref="R12" si="20">AVERAGE($D11:$X11)</f>
        <v>23.209523809523809</v>
      </c>
      <c r="S12" s="45">
        <f t="shared" ref="S12" si="21">AVERAGE($D11:$X11)</f>
        <v>23.209523809523809</v>
      </c>
      <c r="T12" s="45">
        <f t="shared" ref="T12" si="22">AVERAGE($D11:$X11)</f>
        <v>23.209523809523809</v>
      </c>
      <c r="U12" s="45">
        <f t="shared" ref="U12" si="23">AVERAGE($D11:$X11)</f>
        <v>23.209523809523809</v>
      </c>
      <c r="V12" s="45">
        <f t="shared" ref="V12" si="24">AVERAGE($D11:$X11)</f>
        <v>23.209523809523809</v>
      </c>
      <c r="W12" s="45">
        <f t="shared" ref="W12" si="25">AVERAGE($D11:$X11)</f>
        <v>23.209523809523809</v>
      </c>
      <c r="X12" s="45">
        <f>AVERAGE($D11:$X11)</f>
        <v>23.209523809523809</v>
      </c>
      <c r="Y12" s="45">
        <f t="shared" ref="Y12" si="26">AVERAGE($D11:$X11)</f>
        <v>23.209523809523809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0.71220763233483797</v>
      </c>
      <c r="E13" s="55">
        <f t="shared" si="27"/>
        <v>0.27014772260976611</v>
      </c>
      <c r="F13" s="55">
        <f t="shared" ref="F13" si="28">IF(F11=0,0,F11/F12)</f>
        <v>0.39294214197784161</v>
      </c>
      <c r="G13" s="55">
        <f t="shared" ref="G13" si="29">IF(G11=0,0,G11/G12)</f>
        <v>1.6471686499794829</v>
      </c>
      <c r="H13" s="55">
        <f t="shared" ref="H13" si="30">IF(H11=0,0,H11/H12)</f>
        <v>0.12796471070988921</v>
      </c>
      <c r="I13" s="55">
        <f t="shared" ref="I13" si="31">IF(I11=0,0,I11/I12)</f>
        <v>0.53426343865408288</v>
      </c>
      <c r="J13" s="55">
        <f t="shared" ref="J13" si="32">IF(J11=0,0,J11/J12)</f>
        <v>1.3485843249897416</v>
      </c>
      <c r="K13" s="55">
        <f t="shared" ref="K13" si="33">IF(K11=0,0,K11/K12)</f>
        <v>0.93711530570373414</v>
      </c>
      <c r="L13" s="55">
        <f t="shared" ref="L13" si="34">IF(L11=0,0,L11/L12)</f>
        <v>0.13873615100533443</v>
      </c>
      <c r="M13" s="55">
        <f t="shared" ref="M13" si="35">IF(M11=0,0,M11/M12)</f>
        <v>0.19905621665982767</v>
      </c>
      <c r="N13" s="55">
        <f t="shared" ref="N13" si="36">IF(N11=0,0,N11/N12)</f>
        <v>1.1585761181780878</v>
      </c>
      <c r="O13" s="55">
        <f t="shared" ref="O13" si="37">IF(O11=0,0,O11/O12)</f>
        <v>0.57476405416495691</v>
      </c>
      <c r="P13" s="55">
        <f t="shared" ref="P13" si="38">IF(P11=0,0,P11/P12)</f>
        <v>1.03233483791547</v>
      </c>
      <c r="Q13" s="55">
        <f t="shared" ref="Q13" si="39">IF(Q11=0,0,Q11/Q12)</f>
        <v>1.9323963890028726</v>
      </c>
      <c r="R13" s="55">
        <f t="shared" ref="R13" si="40">IF(R11=0,0,R11/R12)</f>
        <v>0.41017644645055396</v>
      </c>
      <c r="S13" s="55">
        <f t="shared" ref="S13:Y13" si="41">IF(S11=0,0,S11/S12)</f>
        <v>4.1892285597045547</v>
      </c>
      <c r="T13" s="55">
        <f t="shared" si="41"/>
        <v>0.45326220763233482</v>
      </c>
      <c r="U13" s="55">
        <f t="shared" si="41"/>
        <v>0.96986048420188764</v>
      </c>
      <c r="V13" s="55">
        <f t="shared" si="41"/>
        <v>1.9767747230201069</v>
      </c>
      <c r="W13" s="55">
        <f t="shared" si="41"/>
        <v>1.7324784571194092</v>
      </c>
      <c r="X13" s="55">
        <f t="shared" si="41"/>
        <v>0.26196142798522776</v>
      </c>
      <c r="Y13" s="55">
        <f t="shared" si="41"/>
        <v>0.46360279031596224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113859.4941654069</v>
      </c>
      <c r="E16" s="42">
        <v>117323.29102546221</v>
      </c>
      <c r="F16" s="42">
        <v>119165.98461286625</v>
      </c>
      <c r="G16" s="42">
        <v>123436.49931779579</v>
      </c>
      <c r="H16" s="42">
        <v>129378.79376649827</v>
      </c>
      <c r="I16" s="42">
        <v>137919.36492061507</v>
      </c>
      <c r="J16" s="42">
        <v>147253.87988605606</v>
      </c>
      <c r="K16" s="42">
        <v>155455.51131788496</v>
      </c>
      <c r="L16" s="42">
        <v>159631.71269847522</v>
      </c>
      <c r="M16" s="42">
        <v>152196.67294093707</v>
      </c>
      <c r="N16" s="42">
        <v>155903.40987620194</v>
      </c>
      <c r="O16" s="42">
        <v>158646.90969154536</v>
      </c>
      <c r="P16" s="42">
        <v>157402.65649505297</v>
      </c>
      <c r="Q16" s="42">
        <v>157329.68279808594</v>
      </c>
      <c r="R16" s="42">
        <v>160889.46204112421</v>
      </c>
      <c r="S16" s="42">
        <v>169558.2</v>
      </c>
      <c r="T16" s="42">
        <v>173860.45189990004</v>
      </c>
      <c r="U16" s="42">
        <v>182847.54925969182</v>
      </c>
      <c r="V16" s="42">
        <v>188733.87486357376</v>
      </c>
      <c r="W16" s="42">
        <v>194452.48868778281</v>
      </c>
      <c r="X16" s="42">
        <v>183751.74551275501</v>
      </c>
      <c r="Y16" s="42">
        <v>190281.44941657549</v>
      </c>
    </row>
    <row r="17" spans="1:25" x14ac:dyDescent="0.25">
      <c r="A17" s="46" t="s">
        <v>141</v>
      </c>
      <c r="B17" s="47"/>
      <c r="C17" s="47"/>
      <c r="D17" s="57">
        <v>56733.120591199193</v>
      </c>
      <c r="E17" s="57">
        <v>58438.422115235284</v>
      </c>
      <c r="F17" s="57">
        <v>60246.181142746253</v>
      </c>
      <c r="G17" s="57">
        <v>63330.327493415774</v>
      </c>
      <c r="H17" s="57">
        <v>65151.447970070665</v>
      </c>
      <c r="I17" s="57">
        <v>67482.533589251441</v>
      </c>
      <c r="J17" s="57">
        <v>70014.479053237446</v>
      </c>
      <c r="K17" s="57">
        <v>72912.178012617587</v>
      </c>
      <c r="L17" s="57">
        <v>75096.238483657056</v>
      </c>
      <c r="M17" s="57">
        <v>74741.973596342548</v>
      </c>
      <c r="N17" s="57">
        <v>75756.1028088569</v>
      </c>
      <c r="O17" s="57">
        <v>76054.012100356267</v>
      </c>
      <c r="P17" s="57">
        <v>75232.558139534871</v>
      </c>
      <c r="Q17" s="57">
        <v>75916.979609869479</v>
      </c>
      <c r="R17" s="57">
        <v>76984.636504956303</v>
      </c>
      <c r="S17" s="57">
        <v>79963</v>
      </c>
      <c r="T17" s="57">
        <v>82987.948715417951</v>
      </c>
      <c r="U17" s="57">
        <v>86343.781996486854</v>
      </c>
      <c r="V17" s="57">
        <v>89372.584373967911</v>
      </c>
      <c r="W17" s="57">
        <v>91774.263619775826</v>
      </c>
      <c r="X17" s="57">
        <v>85132.054126963398</v>
      </c>
      <c r="Y17" s="57">
        <v>88631.269113776681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11077.875903246582</v>
      </c>
      <c r="E20" s="42">
        <f t="shared" ref="E20:S20" si="42">1000000*E16/E$3</f>
        <v>11466.280437440422</v>
      </c>
      <c r="F20" s="42">
        <f t="shared" si="42"/>
        <v>11681.585978258818</v>
      </c>
      <c r="G20" s="42">
        <f t="shared" si="42"/>
        <v>12110.345339842055</v>
      </c>
      <c r="H20" s="42">
        <f t="shared" si="42"/>
        <v>12689.984339571598</v>
      </c>
      <c r="I20" s="42">
        <f t="shared" si="42"/>
        <v>13523.024390543358</v>
      </c>
      <c r="J20" s="42">
        <f t="shared" si="42"/>
        <v>14403.361943286196</v>
      </c>
      <c r="K20" s="42">
        <f t="shared" si="42"/>
        <v>15160.130583914462</v>
      </c>
      <c r="L20" s="42">
        <f t="shared" si="42"/>
        <v>15433.162516087541</v>
      </c>
      <c r="M20" s="42">
        <f t="shared" si="42"/>
        <v>14598.104808141228</v>
      </c>
      <c r="N20" s="42">
        <f t="shared" si="42"/>
        <v>14901.749046289988</v>
      </c>
      <c r="O20" s="42">
        <f t="shared" si="42"/>
        <v>15128.347403165519</v>
      </c>
      <c r="P20" s="42">
        <f t="shared" si="42"/>
        <v>14982.959455316075</v>
      </c>
      <c r="Q20" s="42">
        <f t="shared" si="42"/>
        <v>14960.803793991221</v>
      </c>
      <c r="R20" s="42">
        <f t="shared" si="42"/>
        <v>15304.704087719887</v>
      </c>
      <c r="S20" s="42">
        <f t="shared" si="42"/>
        <v>16089.749033878885</v>
      </c>
      <c r="T20" s="42">
        <f t="shared" ref="T20:Y20" si="43">1000000*T16/T$3</f>
        <v>16473.662901741107</v>
      </c>
      <c r="U20" s="42">
        <f t="shared" si="43"/>
        <v>17284.304795779855</v>
      </c>
      <c r="V20" s="42">
        <f t="shared" si="43"/>
        <v>17788.208907830711</v>
      </c>
      <c r="W20" s="42">
        <f t="shared" si="43"/>
        <v>18258.792530167968</v>
      </c>
      <c r="X20" s="42">
        <f t="shared" si="43"/>
        <v>17182.793497583538</v>
      </c>
      <c r="Y20" s="42">
        <f t="shared" si="43"/>
        <v>18130.959780274366</v>
      </c>
    </row>
    <row r="21" spans="1:25" x14ac:dyDescent="0.25">
      <c r="A21" s="46" t="s">
        <v>141</v>
      </c>
      <c r="B21" s="47"/>
      <c r="C21" s="47"/>
      <c r="D21" s="57">
        <f>1000000*D17/D$3</f>
        <v>5519.8073214712676</v>
      </c>
      <c r="E21" s="57">
        <f t="shared" ref="E21:S21" si="44">1000000*E17/E$3</f>
        <v>5711.3240724672914</v>
      </c>
      <c r="F21" s="57">
        <f t="shared" si="44"/>
        <v>5905.803968868142</v>
      </c>
      <c r="G21" s="57">
        <f t="shared" si="44"/>
        <v>6213.3335007823553</v>
      </c>
      <c r="H21" s="57">
        <f t="shared" si="44"/>
        <v>6390.3119697711772</v>
      </c>
      <c r="I21" s="57">
        <f t="shared" si="44"/>
        <v>6616.6774200879845</v>
      </c>
      <c r="J21" s="57">
        <f t="shared" si="44"/>
        <v>6848.334888389596</v>
      </c>
      <c r="K21" s="57">
        <f t="shared" si="44"/>
        <v>7110.4467796487152</v>
      </c>
      <c r="L21" s="57">
        <f t="shared" si="44"/>
        <v>7260.2895331600175</v>
      </c>
      <c r="M21" s="57">
        <f t="shared" si="44"/>
        <v>7168.9554248676141</v>
      </c>
      <c r="N21" s="57">
        <f t="shared" si="44"/>
        <v>7241.011814167201</v>
      </c>
      <c r="O21" s="57">
        <f t="shared" si="44"/>
        <v>7252.4042144645709</v>
      </c>
      <c r="P21" s="57">
        <f t="shared" si="44"/>
        <v>7161.2918957297734</v>
      </c>
      <c r="Q21" s="57">
        <f t="shared" si="44"/>
        <v>7219.1020561156774</v>
      </c>
      <c r="R21" s="57">
        <f t="shared" si="44"/>
        <v>7323.2085312577719</v>
      </c>
      <c r="S21" s="57">
        <f t="shared" si="44"/>
        <v>7587.8642377428941</v>
      </c>
      <c r="T21" s="57">
        <f t="shared" ref="T21:Y21" si="45">1000000*T17/T$3</f>
        <v>7863.2919511326782</v>
      </c>
      <c r="U21" s="57">
        <f t="shared" si="45"/>
        <v>8161.9483077022624</v>
      </c>
      <c r="V21" s="57">
        <f t="shared" si="45"/>
        <v>8423.3855879133444</v>
      </c>
      <c r="W21" s="57">
        <f t="shared" si="45"/>
        <v>8617.4635786377057</v>
      </c>
      <c r="X21" s="57">
        <f t="shared" si="45"/>
        <v>7960.7761113059832</v>
      </c>
      <c r="Y21" s="57">
        <f t="shared" si="45"/>
        <v>8445.2266918488949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101440.95953219483</v>
      </c>
      <c r="E23" s="60">
        <v>104555.09821131323</v>
      </c>
      <c r="F23" s="60">
        <v>106672.14165531608</v>
      </c>
      <c r="G23" s="60">
        <v>109845.90572737374</v>
      </c>
      <c r="H23" s="60">
        <v>115177.66564340392</v>
      </c>
      <c r="I23" s="60">
        <v>122983.85307531124</v>
      </c>
      <c r="J23" s="60">
        <v>131937.61506373656</v>
      </c>
      <c r="K23" s="60">
        <v>138912.51572465847</v>
      </c>
      <c r="L23" s="60">
        <v>143876.66836275393</v>
      </c>
      <c r="M23" s="60">
        <v>136281.17480039067</v>
      </c>
      <c r="N23" s="60">
        <v>140372.64396491606</v>
      </c>
      <c r="O23" s="60">
        <v>142838.22853641724</v>
      </c>
      <c r="P23" s="60">
        <v>141639.86826811315</v>
      </c>
      <c r="Q23" s="60">
        <v>141616.74213973584</v>
      </c>
      <c r="R23" s="60">
        <v>145665.24481090682</v>
      </c>
      <c r="S23" s="60">
        <v>152687.9</v>
      </c>
      <c r="T23" s="60">
        <v>156503.07410203863</v>
      </c>
      <c r="U23" s="60">
        <v>164642.49985843449</v>
      </c>
      <c r="V23" s="60">
        <v>170253.87074531434</v>
      </c>
      <c r="W23" s="60">
        <v>175373.41167766412</v>
      </c>
      <c r="X23" s="60">
        <v>166141.49650657238</v>
      </c>
      <c r="Y23" s="60">
        <v>171825.62800111115</v>
      </c>
    </row>
    <row r="24" spans="1:25" x14ac:dyDescent="0.25">
      <c r="A24" s="61" t="s">
        <v>33</v>
      </c>
      <c r="B24" s="62"/>
      <c r="C24" s="62"/>
      <c r="D24" s="63">
        <v>3619.675725961858</v>
      </c>
      <c r="E24" s="63">
        <v>3669.9857752489329</v>
      </c>
      <c r="F24" s="63">
        <v>3102.5825922068211</v>
      </c>
      <c r="G24" s="63">
        <v>2931.8569918412709</v>
      </c>
      <c r="H24" s="63">
        <v>3072.6867893703638</v>
      </c>
      <c r="I24" s="63">
        <v>3106.6190065327255</v>
      </c>
      <c r="J24" s="63">
        <v>3142.6673813241359</v>
      </c>
      <c r="K24" s="63">
        <v>3204.0784798393324</v>
      </c>
      <c r="L24" s="63">
        <v>3044.6397119261028</v>
      </c>
      <c r="M24" s="63">
        <v>2645.9187063905192</v>
      </c>
      <c r="N24" s="63">
        <v>2389.5769695422</v>
      </c>
      <c r="O24" s="63">
        <v>3135.4828827448878</v>
      </c>
      <c r="P24" s="63">
        <v>3545.2344052692756</v>
      </c>
      <c r="Q24" s="63">
        <v>3736.5610043698412</v>
      </c>
      <c r="R24" s="63">
        <v>3886.8706247321265</v>
      </c>
      <c r="S24" s="63">
        <v>3749.3</v>
      </c>
      <c r="T24" s="63">
        <v>3631.2646473362688</v>
      </c>
      <c r="U24" s="63">
        <v>3769.889956397818</v>
      </c>
      <c r="V24" s="63">
        <v>3657.9774516212801</v>
      </c>
      <c r="W24" s="63">
        <v>3611.7826202909523</v>
      </c>
      <c r="X24" s="63">
        <v>3578.9446972644691</v>
      </c>
      <c r="Y24" s="63">
        <v>3489.5035517282436</v>
      </c>
    </row>
    <row r="25" spans="1:25" x14ac:dyDescent="0.25">
      <c r="A25" s="64" t="s">
        <v>56</v>
      </c>
      <c r="B25" s="65"/>
      <c r="C25" s="65"/>
      <c r="D25" s="66">
        <v>1338.4610273107849</v>
      </c>
      <c r="E25" s="66">
        <v>1342.2717230108049</v>
      </c>
      <c r="F25" s="66">
        <v>1277.141254707155</v>
      </c>
      <c r="G25" s="66">
        <v>1171.2248936112542</v>
      </c>
      <c r="H25" s="66">
        <v>1331.734759752836</v>
      </c>
      <c r="I25" s="66">
        <v>1522.9877973622581</v>
      </c>
      <c r="J25" s="66">
        <v>1714.5953252079885</v>
      </c>
      <c r="K25" s="66">
        <v>1779.8106420074596</v>
      </c>
      <c r="L25" s="66">
        <v>1996.1642334337939</v>
      </c>
      <c r="M25" s="66">
        <v>1669.6704558040253</v>
      </c>
      <c r="N25" s="66">
        <v>1749.285454706177</v>
      </c>
      <c r="O25" s="66">
        <v>1813.3951137320976</v>
      </c>
      <c r="P25" s="66">
        <v>1655.3661371561411</v>
      </c>
      <c r="Q25" s="66">
        <v>1287.5672569090063</v>
      </c>
      <c r="R25" s="66">
        <v>1452.6399575484213</v>
      </c>
      <c r="S25" s="66">
        <v>1376.8</v>
      </c>
      <c r="T25" s="66">
        <v>1144.8210941253762</v>
      </c>
      <c r="U25" s="66">
        <v>1176.3151437361976</v>
      </c>
      <c r="V25" s="66">
        <v>1157.8655156665561</v>
      </c>
      <c r="W25" s="66">
        <v>1009.1277454210721</v>
      </c>
      <c r="X25" s="66">
        <v>851.78731538969066</v>
      </c>
      <c r="Y25" s="66">
        <v>849.39878566609787</v>
      </c>
    </row>
    <row r="26" spans="1:25" x14ac:dyDescent="0.25">
      <c r="A26" s="67" t="s">
        <v>146</v>
      </c>
      <c r="B26" s="44"/>
      <c r="C26" s="44"/>
      <c r="D26" s="45">
        <v>62460.462489201935</v>
      </c>
      <c r="E26" s="45">
        <v>63992.917889894372</v>
      </c>
      <c r="F26" s="45">
        <v>66831.717544000217</v>
      </c>
      <c r="G26" s="45">
        <v>70104.355839861222</v>
      </c>
      <c r="H26" s="45">
        <v>71859.264041316987</v>
      </c>
      <c r="I26" s="45">
        <v>76668.310119561211</v>
      </c>
      <c r="J26" s="45">
        <v>81670.434154412636</v>
      </c>
      <c r="K26" s="45">
        <v>86238.661693628484</v>
      </c>
      <c r="L26" s="45">
        <v>90501.878742807938</v>
      </c>
      <c r="M26" s="45">
        <v>86874.616135885401</v>
      </c>
      <c r="N26" s="45">
        <v>89528.842092856503</v>
      </c>
      <c r="O26" s="45">
        <v>89683.215899517498</v>
      </c>
      <c r="P26" s="45">
        <v>89335.819449825663</v>
      </c>
      <c r="Q26" s="45">
        <v>89345.118362250912</v>
      </c>
      <c r="R26" s="45">
        <v>90372.982019307325</v>
      </c>
      <c r="S26" s="45">
        <v>94692.9</v>
      </c>
      <c r="T26" s="45">
        <v>97865.190574714914</v>
      </c>
      <c r="U26" s="45">
        <v>104147.39802563281</v>
      </c>
      <c r="V26" s="45">
        <v>109924.15219707893</v>
      </c>
      <c r="W26" s="45">
        <v>114005.02413131564</v>
      </c>
      <c r="X26" s="45">
        <v>109894.09754529613</v>
      </c>
      <c r="Y26" s="45">
        <v>114765.03035834756</v>
      </c>
    </row>
    <row r="27" spans="1:25" x14ac:dyDescent="0.25">
      <c r="A27" s="68" t="s">
        <v>148</v>
      </c>
      <c r="B27" s="69"/>
      <c r="C27" s="69"/>
      <c r="D27" s="70">
        <v>25624.79234500631</v>
      </c>
      <c r="E27" s="70">
        <v>26256.317908053636</v>
      </c>
      <c r="F27" s="70">
        <v>27927.115882808535</v>
      </c>
      <c r="G27" s="70">
        <v>29389.857154473746</v>
      </c>
      <c r="H27" s="70">
        <v>29760.08221235557</v>
      </c>
      <c r="I27" s="70">
        <v>31012.325896708986</v>
      </c>
      <c r="J27" s="70">
        <v>32567.29043834914</v>
      </c>
      <c r="K27" s="70">
        <v>33621.526781576213</v>
      </c>
      <c r="L27" s="70">
        <v>34909.389799992176</v>
      </c>
      <c r="M27" s="70">
        <v>33155.38819359841</v>
      </c>
      <c r="N27" s="70">
        <v>33878.188443519008</v>
      </c>
      <c r="O27" s="70">
        <v>33734.682545760894</v>
      </c>
      <c r="P27" s="70">
        <v>33368.752421542042</v>
      </c>
      <c r="Q27" s="70">
        <v>33435.725680991687</v>
      </c>
      <c r="R27" s="70">
        <v>33834.928669102192</v>
      </c>
      <c r="S27" s="70">
        <v>35079.9</v>
      </c>
      <c r="T27" s="70">
        <v>36408.154460144542</v>
      </c>
      <c r="U27" s="70">
        <v>38650.125521433023</v>
      </c>
      <c r="V27" s="70">
        <v>40473.26521657368</v>
      </c>
      <c r="W27" s="70">
        <v>42205.283940846013</v>
      </c>
      <c r="X27" s="70">
        <v>40540.254774914996</v>
      </c>
      <c r="Y27" s="70">
        <v>42843.604904956548</v>
      </c>
    </row>
    <row r="28" spans="1:25" x14ac:dyDescent="0.25">
      <c r="A28" s="68" t="s">
        <v>150</v>
      </c>
      <c r="B28" s="71"/>
      <c r="C28" s="71"/>
      <c r="D28" s="70">
        <v>22957.671606086788</v>
      </c>
      <c r="E28" s="70">
        <v>23609.606246784297</v>
      </c>
      <c r="F28" s="70">
        <v>24330.048340143683</v>
      </c>
      <c r="G28" s="70">
        <v>25942.861789499362</v>
      </c>
      <c r="H28" s="70">
        <v>27013.47808329271</v>
      </c>
      <c r="I28" s="70">
        <v>29352.890422778255</v>
      </c>
      <c r="J28" s="70">
        <v>31389.736897299059</v>
      </c>
      <c r="K28" s="70">
        <v>34263.423892653002</v>
      </c>
      <c r="L28" s="70">
        <v>36839.406630396494</v>
      </c>
      <c r="M28" s="70">
        <v>36699.825813791926</v>
      </c>
      <c r="N28" s="70">
        <v>37856.560557099772</v>
      </c>
      <c r="O28" s="70">
        <v>37985.946235735624</v>
      </c>
      <c r="P28" s="70">
        <v>37885.0251840372</v>
      </c>
      <c r="Q28" s="70">
        <v>38149.406950128316</v>
      </c>
      <c r="R28" s="70">
        <v>38140.804539053417</v>
      </c>
      <c r="S28" s="70">
        <v>39796</v>
      </c>
      <c r="T28" s="70">
        <v>41411.929673174411</v>
      </c>
      <c r="U28" s="70">
        <v>43853.413616716061</v>
      </c>
      <c r="V28" s="70">
        <v>47241.450331778164</v>
      </c>
      <c r="W28" s="70">
        <v>49187.019847039293</v>
      </c>
      <c r="X28" s="70">
        <v>47921.114513373155</v>
      </c>
      <c r="Y28" s="70">
        <v>49480.852414778361</v>
      </c>
    </row>
    <row r="29" spans="1:25" x14ac:dyDescent="0.25">
      <c r="A29" s="68" t="s">
        <v>152</v>
      </c>
      <c r="B29" s="71"/>
      <c r="C29" s="71"/>
      <c r="D29" s="70">
        <v>13877.998538108839</v>
      </c>
      <c r="E29" s="70">
        <v>14126.993735056449</v>
      </c>
      <c r="F29" s="70">
        <v>14574.553321047986</v>
      </c>
      <c r="G29" s="70">
        <v>14771.636895888096</v>
      </c>
      <c r="H29" s="70">
        <v>15085.70374566871</v>
      </c>
      <c r="I29" s="70">
        <v>16303.093800073961</v>
      </c>
      <c r="J29" s="70">
        <v>17713.406818764441</v>
      </c>
      <c r="K29" s="70">
        <v>18353.711019399267</v>
      </c>
      <c r="L29" s="70">
        <v>18753.08231241929</v>
      </c>
      <c r="M29" s="70">
        <v>17019.402128495072</v>
      </c>
      <c r="N29" s="70">
        <v>17794.093092237712</v>
      </c>
      <c r="O29" s="70">
        <v>17962.587118020983</v>
      </c>
      <c r="P29" s="70">
        <v>18082.041844246429</v>
      </c>
      <c r="Q29" s="70">
        <v>17759.985731130921</v>
      </c>
      <c r="R29" s="70">
        <v>18397.248811151727</v>
      </c>
      <c r="S29" s="70">
        <v>19816.999999999978</v>
      </c>
      <c r="T29" s="70">
        <v>20045.106441395968</v>
      </c>
      <c r="U29" s="70">
        <v>21643.858887483726</v>
      </c>
      <c r="V29" s="70">
        <v>22209.436648727071</v>
      </c>
      <c r="W29" s="70">
        <v>22612.720343430352</v>
      </c>
      <c r="X29" s="70">
        <v>21432.728257007995</v>
      </c>
      <c r="Y29" s="70">
        <v>22440.573038612656</v>
      </c>
    </row>
    <row r="30" spans="1:25" x14ac:dyDescent="0.25">
      <c r="A30" s="64" t="s">
        <v>154</v>
      </c>
      <c r="B30" s="65"/>
      <c r="C30" s="65"/>
      <c r="D30" s="66">
        <v>3097.3818858395912</v>
      </c>
      <c r="E30" s="66">
        <v>3423.1712115250753</v>
      </c>
      <c r="F30" s="66">
        <v>3702.2941537804131</v>
      </c>
      <c r="G30" s="66">
        <v>3527.4984414387554</v>
      </c>
      <c r="H30" s="66">
        <v>3818.2632639886174</v>
      </c>
      <c r="I30" s="66">
        <v>4131.887094786146</v>
      </c>
      <c r="J30" s="66">
        <v>4865.7686840204142</v>
      </c>
      <c r="K30" s="66">
        <v>4949.350047449846</v>
      </c>
      <c r="L30" s="66">
        <v>6140.9448510704915</v>
      </c>
      <c r="M30" s="66">
        <v>6526.2437197313702</v>
      </c>
      <c r="N30" s="66">
        <v>5872.1381356015436</v>
      </c>
      <c r="O30" s="66">
        <v>5747.204564601363</v>
      </c>
      <c r="P30" s="66">
        <v>5832.2355676094539</v>
      </c>
      <c r="Q30" s="66">
        <v>6091.3207621954234</v>
      </c>
      <c r="R30" s="66">
        <v>5235.0143886360393</v>
      </c>
      <c r="S30" s="66">
        <v>5311.4</v>
      </c>
      <c r="T30" s="66">
        <v>5217.2463498102579</v>
      </c>
      <c r="U30" s="66">
        <v>5083.7124143528572</v>
      </c>
      <c r="V30" s="66">
        <v>4806.7985421461253</v>
      </c>
      <c r="W30" s="66">
        <v>4797.4431989263503</v>
      </c>
      <c r="X30" s="66">
        <v>5207.4064048992568</v>
      </c>
      <c r="Y30" s="66">
        <v>4928.1320687328862</v>
      </c>
    </row>
    <row r="31" spans="1:25" x14ac:dyDescent="0.25">
      <c r="A31" s="64" t="s">
        <v>37</v>
      </c>
      <c r="B31" s="65"/>
      <c r="C31" s="65"/>
      <c r="D31" s="66">
        <v>6251.9104259419237</v>
      </c>
      <c r="E31" s="66">
        <v>6274.6284918737319</v>
      </c>
      <c r="F31" s="66">
        <v>6785.5139812515017</v>
      </c>
      <c r="G31" s="66">
        <v>7167.75540075353</v>
      </c>
      <c r="H31" s="66">
        <v>7454.0519887748515</v>
      </c>
      <c r="I31" s="66">
        <v>8201.2818932577356</v>
      </c>
      <c r="J31" s="66">
        <v>8357.6472233226905</v>
      </c>
      <c r="K31" s="66">
        <v>8887.3562711041468</v>
      </c>
      <c r="L31" s="66">
        <v>9121.1006301616508</v>
      </c>
      <c r="M31" s="66">
        <v>9492.9469688579211</v>
      </c>
      <c r="N31" s="66">
        <v>9901.4860577725831</v>
      </c>
      <c r="O31" s="66">
        <v>9188.3663935053974</v>
      </c>
      <c r="P31" s="66">
        <v>8359.1631150716785</v>
      </c>
      <c r="Q31" s="66">
        <v>8140.8852644199815</v>
      </c>
      <c r="R31" s="66">
        <v>8213.0538604404355</v>
      </c>
      <c r="S31" s="66">
        <v>8636.5</v>
      </c>
      <c r="T31" s="66">
        <v>8551.8871162275318</v>
      </c>
      <c r="U31" s="66">
        <v>9010.834481587046</v>
      </c>
      <c r="V31" s="66">
        <v>9519.6604310877483</v>
      </c>
      <c r="W31" s="66">
        <v>9884.3761560233652</v>
      </c>
      <c r="X31" s="66">
        <v>9379.472517805485</v>
      </c>
      <c r="Y31" s="66">
        <v>9612.12746537561</v>
      </c>
    </row>
    <row r="32" spans="1:25" x14ac:dyDescent="0.25">
      <c r="A32" s="64" t="s">
        <v>58</v>
      </c>
      <c r="B32" s="65"/>
      <c r="C32" s="65"/>
      <c r="D32" s="66">
        <v>24673.067977938739</v>
      </c>
      <c r="E32" s="66">
        <v>25852.123119760301</v>
      </c>
      <c r="F32" s="66">
        <v>24972.892129369975</v>
      </c>
      <c r="G32" s="66">
        <v>24943.21415986773</v>
      </c>
      <c r="H32" s="66">
        <v>27641.664800200262</v>
      </c>
      <c r="I32" s="66">
        <v>29352.767163811168</v>
      </c>
      <c r="J32" s="66">
        <v>32186.502295448714</v>
      </c>
      <c r="K32" s="66">
        <v>33853.258590629208</v>
      </c>
      <c r="L32" s="66">
        <v>33071.940193353948</v>
      </c>
      <c r="M32" s="66">
        <v>29071.778813721441</v>
      </c>
      <c r="N32" s="66">
        <v>30931.315254437053</v>
      </c>
      <c r="O32" s="66">
        <v>33270.563682316002</v>
      </c>
      <c r="P32" s="66">
        <v>32912.049593180942</v>
      </c>
      <c r="Q32" s="66">
        <v>33015.289489590657</v>
      </c>
      <c r="R32" s="66">
        <v>36504.683960242466</v>
      </c>
      <c r="S32" s="66">
        <v>38921.000000000007</v>
      </c>
      <c r="T32" s="66">
        <v>40092.664319824282</v>
      </c>
      <c r="U32" s="66">
        <v>41454.34983672775</v>
      </c>
      <c r="V32" s="66">
        <v>41187.416607713727</v>
      </c>
      <c r="W32" s="66">
        <v>42065.657825686736</v>
      </c>
      <c r="X32" s="66">
        <v>37229.788025917347</v>
      </c>
      <c r="Y32" s="66">
        <v>38181.435771260767</v>
      </c>
    </row>
    <row r="33" spans="1:25" x14ac:dyDescent="0.25">
      <c r="A33" s="72" t="s">
        <v>158</v>
      </c>
      <c r="B33" s="65"/>
      <c r="C33" s="65"/>
      <c r="D33" s="66">
        <v>1620.2073227456974</v>
      </c>
      <c r="E33" s="66">
        <v>1580.4606398111441</v>
      </c>
      <c r="F33" s="66">
        <v>1444.8628582111478</v>
      </c>
      <c r="G33" s="66">
        <v>1431.8434391347953</v>
      </c>
      <c r="H33" s="66">
        <v>1727.2499703561218</v>
      </c>
      <c r="I33" s="66">
        <v>2101.1956119807719</v>
      </c>
      <c r="J33" s="66">
        <v>2095.7330288271073</v>
      </c>
      <c r="K33" s="66">
        <v>2071.4616759727219</v>
      </c>
      <c r="L33" s="66">
        <v>1763.7676621394185</v>
      </c>
      <c r="M33" s="66">
        <v>1082.5723174820528</v>
      </c>
      <c r="N33" s="66">
        <v>1003.408209167788</v>
      </c>
      <c r="O33" s="66">
        <v>1254.9781726277092</v>
      </c>
      <c r="P33" s="66">
        <v>1114.6842309182489</v>
      </c>
      <c r="Q33" s="66">
        <v>1219.6910393483886</v>
      </c>
      <c r="R33" s="66">
        <v>1463.7630875359716</v>
      </c>
      <c r="S33" s="66">
        <v>1508.4</v>
      </c>
      <c r="T33" s="66">
        <v>1425.2654906306077</v>
      </c>
      <c r="U33" s="66">
        <v>1303.063477981842</v>
      </c>
      <c r="V33" s="66">
        <v>1348.5148337527201</v>
      </c>
      <c r="W33" s="66">
        <v>1159.8516848906133</v>
      </c>
      <c r="X33" s="66">
        <v>919.79496202060545</v>
      </c>
      <c r="Y33" s="66">
        <v>829.23925552601293</v>
      </c>
    </row>
    <row r="34" spans="1:25" x14ac:dyDescent="0.25">
      <c r="A34" s="73" t="s">
        <v>5</v>
      </c>
      <c r="B34" s="65"/>
      <c r="C34" s="65"/>
      <c r="D34" s="66">
        <v>1559.2741147274739</v>
      </c>
      <c r="E34" s="66">
        <v>1535.6542583598896</v>
      </c>
      <c r="F34" s="66">
        <v>1376.4745925413313</v>
      </c>
      <c r="G34" s="66">
        <v>1373.9813004226874</v>
      </c>
      <c r="H34" s="66">
        <v>1657.4501761582162</v>
      </c>
      <c r="I34" s="66">
        <v>1995.6038621937564</v>
      </c>
      <c r="J34" s="66">
        <v>1986.4261901843727</v>
      </c>
      <c r="K34" s="66">
        <v>1948.5944744886378</v>
      </c>
      <c r="L34" s="66">
        <v>1644.6762737574813</v>
      </c>
      <c r="M34" s="66">
        <v>944.76382979062635</v>
      </c>
      <c r="N34" s="66">
        <v>846.83259973940289</v>
      </c>
      <c r="O34" s="66">
        <v>1094.0948384572157</v>
      </c>
      <c r="P34" s="66">
        <v>922.44745417413549</v>
      </c>
      <c r="Q34" s="66">
        <v>1043.4011125103887</v>
      </c>
      <c r="R34" s="66">
        <v>1279.667321615291</v>
      </c>
      <c r="S34" s="66">
        <v>1297.7120134871068</v>
      </c>
      <c r="T34" s="66">
        <v>1210.0166881996167</v>
      </c>
      <c r="U34" s="66">
        <v>1061.8314842527127</v>
      </c>
      <c r="V34" s="66">
        <v>1157.1705204811474</v>
      </c>
      <c r="W34" s="66">
        <v>979.50971258898119</v>
      </c>
      <c r="X34" s="66">
        <v>740.26489473315314</v>
      </c>
      <c r="Y34" s="66">
        <v>604.91736698727073</v>
      </c>
    </row>
    <row r="35" spans="1:25" x14ac:dyDescent="0.25">
      <c r="A35" s="74" t="s">
        <v>270</v>
      </c>
      <c r="B35" s="44"/>
      <c r="C35" s="44"/>
      <c r="D35" s="45">
        <v>1444.2904780647598</v>
      </c>
      <c r="E35" s="45">
        <v>1413.3740095521482</v>
      </c>
      <c r="F35" s="45">
        <v>1278.9040059639842</v>
      </c>
      <c r="G35" s="45">
        <v>1292.1761887407595</v>
      </c>
      <c r="H35" s="45">
        <v>1549.3747822436915</v>
      </c>
      <c r="I35" s="45">
        <v>1837.4246056607842</v>
      </c>
      <c r="J35" s="45">
        <v>1839.3861951356348</v>
      </c>
      <c r="K35" s="45">
        <v>1788.0144230132591</v>
      </c>
      <c r="L35" s="45">
        <v>1502.1634371086288</v>
      </c>
      <c r="M35" s="45">
        <v>883.91179328178157</v>
      </c>
      <c r="N35" s="45">
        <v>787.2999346799179</v>
      </c>
      <c r="O35" s="45">
        <v>1016.1659926358298</v>
      </c>
      <c r="P35" s="45">
        <v>863.70049896153273</v>
      </c>
      <c r="Q35" s="45">
        <v>978.91937483982656</v>
      </c>
      <c r="R35" s="45">
        <v>1205.9768869457323</v>
      </c>
      <c r="S35" s="45">
        <v>1220.1794564885188</v>
      </c>
      <c r="T35" s="45">
        <v>1151.5806521711697</v>
      </c>
      <c r="U35" s="45">
        <v>1012.2352718175671</v>
      </c>
      <c r="V35" s="45">
        <v>1106.5802417984009</v>
      </c>
      <c r="W35" s="45">
        <v>934.63181554136293</v>
      </c>
      <c r="X35" s="45">
        <v>710.95243413551805</v>
      </c>
      <c r="Y35" s="45">
        <v>581.125782959091</v>
      </c>
    </row>
    <row r="36" spans="1:25" x14ac:dyDescent="0.25">
      <c r="A36" s="74" t="s">
        <v>15</v>
      </c>
      <c r="B36" s="44"/>
      <c r="C36" s="44"/>
      <c r="D36" s="45">
        <v>114.98363666271416</v>
      </c>
      <c r="E36" s="45">
        <v>122.28024880774137</v>
      </c>
      <c r="F36" s="45">
        <v>97.570586577347058</v>
      </c>
      <c r="G36" s="45">
        <v>81.805111681927883</v>
      </c>
      <c r="H36" s="45">
        <v>108.07539391452474</v>
      </c>
      <c r="I36" s="45">
        <v>158.1792565329722</v>
      </c>
      <c r="J36" s="45">
        <v>147.03999504873786</v>
      </c>
      <c r="K36" s="45">
        <v>160.5800514753787</v>
      </c>
      <c r="L36" s="45">
        <v>142.5128366488525</v>
      </c>
      <c r="M36" s="45">
        <v>60.852036508844776</v>
      </c>
      <c r="N36" s="45">
        <v>59.532665059484998</v>
      </c>
      <c r="O36" s="45">
        <v>77.928845821385949</v>
      </c>
      <c r="P36" s="45">
        <v>58.746955212602757</v>
      </c>
      <c r="Q36" s="45">
        <v>64.481737670562097</v>
      </c>
      <c r="R36" s="45">
        <v>73.690434669558726</v>
      </c>
      <c r="S36" s="45">
        <v>77.532556998588007</v>
      </c>
      <c r="T36" s="45">
        <v>58.436036028447006</v>
      </c>
      <c r="U36" s="45">
        <v>49.596212435145617</v>
      </c>
      <c r="V36" s="45">
        <v>50.59027868274643</v>
      </c>
      <c r="W36" s="45">
        <v>44.877897047618262</v>
      </c>
      <c r="X36" s="45">
        <v>29.312460597635095</v>
      </c>
      <c r="Y36" s="45">
        <v>23.791584028179727</v>
      </c>
    </row>
    <row r="37" spans="1:25" x14ac:dyDescent="0.25">
      <c r="A37" s="73" t="s">
        <v>269</v>
      </c>
      <c r="B37" s="65"/>
      <c r="C37" s="65"/>
      <c r="D37" s="66">
        <v>60.933208018223468</v>
      </c>
      <c r="E37" s="66">
        <v>44.806381451254538</v>
      </c>
      <c r="F37" s="66">
        <v>68.388265669816519</v>
      </c>
      <c r="G37" s="66">
        <v>57.862138712107935</v>
      </c>
      <c r="H37" s="66">
        <v>69.799794197905612</v>
      </c>
      <c r="I37" s="66">
        <v>105.59174978701549</v>
      </c>
      <c r="J37" s="66">
        <v>109.30683864273465</v>
      </c>
      <c r="K37" s="66">
        <v>122.86720148408403</v>
      </c>
      <c r="L37" s="66">
        <v>119.09138838193712</v>
      </c>
      <c r="M37" s="66">
        <v>137.80848769142642</v>
      </c>
      <c r="N37" s="66">
        <v>156.57560942838506</v>
      </c>
      <c r="O37" s="66">
        <v>160.88333417049355</v>
      </c>
      <c r="P37" s="66">
        <v>192.2367767441134</v>
      </c>
      <c r="Q37" s="66">
        <v>176.28992683799993</v>
      </c>
      <c r="R37" s="66">
        <v>184.09576592068061</v>
      </c>
      <c r="S37" s="66">
        <v>210.6879865128933</v>
      </c>
      <c r="T37" s="66">
        <v>215.24880243099096</v>
      </c>
      <c r="U37" s="66">
        <v>241.23199372912927</v>
      </c>
      <c r="V37" s="66">
        <v>191.34431327157267</v>
      </c>
      <c r="W37" s="66">
        <v>180.34197230163227</v>
      </c>
      <c r="X37" s="66">
        <v>179.53006728745231</v>
      </c>
      <c r="Y37" s="66">
        <v>224.3218885387422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26.908623816978153</v>
      </c>
      <c r="E39" s="45">
        <v>12.433519803072059</v>
      </c>
      <c r="F39" s="45">
        <v>9.8195222920015262</v>
      </c>
      <c r="G39" s="45">
        <v>14.230709353413481</v>
      </c>
      <c r="H39" s="45">
        <v>14.754051868186806</v>
      </c>
      <c r="I39" s="45">
        <v>31.396319675654272</v>
      </c>
      <c r="J39" s="45">
        <v>34.571319571946489</v>
      </c>
      <c r="K39" s="45">
        <v>38.860160445225169</v>
      </c>
      <c r="L39" s="45">
        <v>35.727416514581094</v>
      </c>
      <c r="M39" s="45">
        <v>25</v>
      </c>
      <c r="N39" s="45">
        <v>37</v>
      </c>
      <c r="O39" s="45">
        <v>48.265000251148088</v>
      </c>
      <c r="P39" s="45">
        <v>57.671033023234003</v>
      </c>
      <c r="Q39" s="45">
        <v>52.886978051399993</v>
      </c>
      <c r="R39" s="45">
        <v>55.228729776204155</v>
      </c>
      <c r="S39" s="45">
        <v>61.791690847487416</v>
      </c>
      <c r="T39" s="45">
        <v>76.42099409552327</v>
      </c>
      <c r="U39" s="45">
        <v>59.358209691502225</v>
      </c>
      <c r="V39" s="45">
        <v>60.563573973052883</v>
      </c>
      <c r="W39" s="45">
        <v>58.969656059143517</v>
      </c>
      <c r="X39" s="45">
        <v>72.261610307324645</v>
      </c>
      <c r="Y39" s="45">
        <v>72.799325696481588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26.908623816978153</v>
      </c>
      <c r="E41" s="45">
        <v>12.433519803072059</v>
      </c>
      <c r="F41" s="45">
        <v>9.8195222920015262</v>
      </c>
      <c r="G41" s="45">
        <v>14.230709353413481</v>
      </c>
      <c r="H41" s="45">
        <v>14.754051868186806</v>
      </c>
      <c r="I41" s="45">
        <v>31.396319675654272</v>
      </c>
      <c r="J41" s="45">
        <v>34.571319571946489</v>
      </c>
      <c r="K41" s="45">
        <v>38.860160445225169</v>
      </c>
      <c r="L41" s="45">
        <v>35.727416514581094</v>
      </c>
      <c r="M41" s="45">
        <v>25</v>
      </c>
      <c r="N41" s="45">
        <v>37</v>
      </c>
      <c r="O41" s="45">
        <v>48.265000251148088</v>
      </c>
      <c r="P41" s="45">
        <v>57.671033023234003</v>
      </c>
      <c r="Q41" s="45">
        <v>52.886978051399993</v>
      </c>
      <c r="R41" s="45">
        <v>55.228729776204155</v>
      </c>
      <c r="S41" s="45">
        <v>61.791690847487416</v>
      </c>
      <c r="T41" s="45">
        <v>76.42099409552327</v>
      </c>
      <c r="U41" s="45">
        <v>59.358209691502225</v>
      </c>
      <c r="V41" s="45">
        <v>60.563573973052883</v>
      </c>
      <c r="W41" s="45">
        <v>58.969656059143517</v>
      </c>
      <c r="X41" s="45">
        <v>72.261610307324645</v>
      </c>
      <c r="Y41" s="45">
        <v>72.799325696481588</v>
      </c>
    </row>
    <row r="42" spans="1:25" x14ac:dyDescent="0.25">
      <c r="A42" s="74" t="s">
        <v>13</v>
      </c>
      <c r="B42" s="44"/>
      <c r="C42" s="44"/>
      <c r="D42" s="45">
        <v>34.024584201245318</v>
      </c>
      <c r="E42" s="45">
        <v>32.372861648182479</v>
      </c>
      <c r="F42" s="45">
        <v>58.568743377814997</v>
      </c>
      <c r="G42" s="45">
        <v>43.631429358694454</v>
      </c>
      <c r="H42" s="45">
        <v>55.045742329718806</v>
      </c>
      <c r="I42" s="45">
        <v>74.195430111361219</v>
      </c>
      <c r="J42" s="45">
        <v>74.735519070788158</v>
      </c>
      <c r="K42" s="45">
        <v>84.007041038858858</v>
      </c>
      <c r="L42" s="45">
        <v>83.363971867356028</v>
      </c>
      <c r="M42" s="45">
        <v>112.80848769142642</v>
      </c>
      <c r="N42" s="45">
        <v>119.57560942838506</v>
      </c>
      <c r="O42" s="45">
        <v>112.61833391934546</v>
      </c>
      <c r="P42" s="45">
        <v>134.5657437208794</v>
      </c>
      <c r="Q42" s="45">
        <v>123.40294878659995</v>
      </c>
      <c r="R42" s="45">
        <v>128.86703614447646</v>
      </c>
      <c r="S42" s="45">
        <v>148.89629566540589</v>
      </c>
      <c r="T42" s="45">
        <v>138.82780833546769</v>
      </c>
      <c r="U42" s="45">
        <v>181.87378403762705</v>
      </c>
      <c r="V42" s="45">
        <v>130.78073929851979</v>
      </c>
      <c r="W42" s="45">
        <v>121.37231624248875</v>
      </c>
      <c r="X42" s="45">
        <v>107.26845698012768</v>
      </c>
      <c r="Y42" s="45">
        <v>151.52256284226061</v>
      </c>
    </row>
    <row r="43" spans="1:25" x14ac:dyDescent="0.25">
      <c r="A43" s="72" t="s">
        <v>271</v>
      </c>
      <c r="B43" s="65"/>
      <c r="C43" s="65"/>
      <c r="D43" s="66">
        <v>1839.9893680643231</v>
      </c>
      <c r="E43" s="66">
        <v>1615.2658817832389</v>
      </c>
      <c r="F43" s="66">
        <v>1463.6914777127902</v>
      </c>
      <c r="G43" s="66">
        <v>1567.6415580191363</v>
      </c>
      <c r="H43" s="66">
        <v>1704.3253712072305</v>
      </c>
      <c r="I43" s="66">
        <v>1785.5293972636509</v>
      </c>
      <c r="J43" s="66">
        <v>1756.4260912120435</v>
      </c>
      <c r="K43" s="66">
        <v>1757.0788550241664</v>
      </c>
      <c r="L43" s="66">
        <v>1743.7081686171673</v>
      </c>
      <c r="M43" s="66">
        <v>1501.8274448997674</v>
      </c>
      <c r="N43" s="66">
        <v>1590.563091157318</v>
      </c>
      <c r="O43" s="66">
        <v>1622.8842766332236</v>
      </c>
      <c r="P43" s="66">
        <v>1750.1937233630379</v>
      </c>
      <c r="Q43" s="66">
        <v>1662.0259812324734</v>
      </c>
      <c r="R43" s="66">
        <v>1950.4255362573219</v>
      </c>
      <c r="S43" s="66">
        <v>2148.6999999999998</v>
      </c>
      <c r="T43" s="66">
        <v>2064.1099812710213</v>
      </c>
      <c r="U43" s="66">
        <v>2390.4754714132014</v>
      </c>
      <c r="V43" s="66">
        <v>2195.8252366326083</v>
      </c>
      <c r="W43" s="66">
        <v>2318.1548361565397</v>
      </c>
      <c r="X43" s="66">
        <v>2022.6353808935733</v>
      </c>
      <c r="Y43" s="66">
        <v>1656.1768324139846</v>
      </c>
    </row>
    <row r="44" spans="1:25" x14ac:dyDescent="0.25">
      <c r="A44" s="73" t="s">
        <v>272</v>
      </c>
      <c r="B44" s="65"/>
      <c r="C44" s="65"/>
      <c r="D44" s="66">
        <v>1365.2069904977075</v>
      </c>
      <c r="E44" s="66">
        <v>1155.3827063345541</v>
      </c>
      <c r="F44" s="66">
        <v>999.51926928931982</v>
      </c>
      <c r="G44" s="66">
        <v>1076.6270024123817</v>
      </c>
      <c r="H44" s="66">
        <v>1194.5824165689517</v>
      </c>
      <c r="I44" s="66">
        <v>1198.4469370146678</v>
      </c>
      <c r="J44" s="66">
        <v>1142.1313882221341</v>
      </c>
      <c r="K44" s="66">
        <v>1176.4251506256758</v>
      </c>
      <c r="L44" s="66">
        <v>1196.5243258053154</v>
      </c>
      <c r="M44" s="66">
        <v>922.78416013048866</v>
      </c>
      <c r="N44" s="66">
        <v>933.37785940891638</v>
      </c>
      <c r="O44" s="66">
        <v>1010.4733093359883</v>
      </c>
      <c r="P44" s="66">
        <v>1121.0771018984892</v>
      </c>
      <c r="Q44" s="66">
        <v>1031.7185069213924</v>
      </c>
      <c r="R44" s="66">
        <v>1265.1795007857625</v>
      </c>
      <c r="S44" s="66">
        <v>1488.9</v>
      </c>
      <c r="T44" s="66">
        <v>1415.8519724262364</v>
      </c>
      <c r="U44" s="66">
        <v>1714.1697653787351</v>
      </c>
      <c r="V44" s="66">
        <v>1579.729741830914</v>
      </c>
      <c r="W44" s="66">
        <v>1619.1639639019606</v>
      </c>
      <c r="X44" s="66">
        <v>1270.237350070207</v>
      </c>
      <c r="Y44" s="66">
        <v>946.06928846382789</v>
      </c>
    </row>
    <row r="45" spans="1:25" x14ac:dyDescent="0.25">
      <c r="A45" s="74" t="s">
        <v>20</v>
      </c>
      <c r="B45" s="44"/>
      <c r="C45" s="44"/>
      <c r="D45" s="45">
        <v>572.30170245148395</v>
      </c>
      <c r="E45" s="45">
        <v>478.62571965156894</v>
      </c>
      <c r="F45" s="45">
        <v>635.96123859904287</v>
      </c>
      <c r="G45" s="45">
        <v>660.03610828377862</v>
      </c>
      <c r="H45" s="45">
        <v>869.06674709749768</v>
      </c>
      <c r="I45" s="45">
        <v>870.47134434854399</v>
      </c>
      <c r="J45" s="45">
        <v>772.52122825988863</v>
      </c>
      <c r="K45" s="45">
        <v>681.76813467811769</v>
      </c>
      <c r="L45" s="45">
        <v>654.82615191327579</v>
      </c>
      <c r="M45" s="45">
        <v>495.92038464317113</v>
      </c>
      <c r="N45" s="45">
        <v>528.41801972307371</v>
      </c>
      <c r="O45" s="45">
        <v>554.99059168197687</v>
      </c>
      <c r="P45" s="45">
        <v>617.99839483736855</v>
      </c>
      <c r="Q45" s="45">
        <v>517.6816730928241</v>
      </c>
      <c r="R45" s="45">
        <v>684.71105787956947</v>
      </c>
      <c r="S45" s="45">
        <v>837.74785897858305</v>
      </c>
      <c r="T45" s="45">
        <v>704.64078692613214</v>
      </c>
      <c r="U45" s="45">
        <v>998.11101524314756</v>
      </c>
      <c r="V45" s="45">
        <v>875.17222321693828</v>
      </c>
      <c r="W45" s="45">
        <v>878.65121397756752</v>
      </c>
      <c r="X45" s="45">
        <v>567.24605376970646</v>
      </c>
      <c r="Y45" s="45">
        <v>534.8117936307882</v>
      </c>
    </row>
    <row r="46" spans="1:25" x14ac:dyDescent="0.25">
      <c r="A46" s="74" t="s">
        <v>12</v>
      </c>
      <c r="B46" s="44"/>
      <c r="C46" s="44"/>
      <c r="D46" s="45">
        <v>792.90528804622352</v>
      </c>
      <c r="E46" s="45">
        <v>676.75698668298514</v>
      </c>
      <c r="F46" s="45">
        <v>363.55803069027695</v>
      </c>
      <c r="G46" s="45">
        <v>416.59089412860305</v>
      </c>
      <c r="H46" s="45">
        <v>325.51566947145398</v>
      </c>
      <c r="I46" s="45">
        <v>327.97559266612382</v>
      </c>
      <c r="J46" s="45">
        <v>369.61015996224546</v>
      </c>
      <c r="K46" s="45">
        <v>494.65701594755808</v>
      </c>
      <c r="L46" s="45">
        <v>541.69817389203956</v>
      </c>
      <c r="M46" s="45">
        <v>426.86377548731753</v>
      </c>
      <c r="N46" s="45">
        <v>404.95983968584267</v>
      </c>
      <c r="O46" s="45">
        <v>455.48271765401148</v>
      </c>
      <c r="P46" s="45">
        <v>503.07870706112067</v>
      </c>
      <c r="Q46" s="45">
        <v>514.03683382856832</v>
      </c>
      <c r="R46" s="45">
        <v>580.46844290619299</v>
      </c>
      <c r="S46" s="45">
        <v>651.15214102141704</v>
      </c>
      <c r="T46" s="45">
        <v>711.21118550010431</v>
      </c>
      <c r="U46" s="45">
        <v>716.0587501355875</v>
      </c>
      <c r="V46" s="45">
        <v>704.55751861397573</v>
      </c>
      <c r="W46" s="45">
        <v>740.51274992439312</v>
      </c>
      <c r="X46" s="45">
        <v>702.99129630050049</v>
      </c>
      <c r="Y46" s="45">
        <v>411.25749483303969</v>
      </c>
    </row>
    <row r="47" spans="1:25" x14ac:dyDescent="0.25">
      <c r="A47" s="73" t="s">
        <v>11</v>
      </c>
      <c r="B47" s="65"/>
      <c r="C47" s="65"/>
      <c r="D47" s="66">
        <v>474.78237756661576</v>
      </c>
      <c r="E47" s="66">
        <v>459.88317544868494</v>
      </c>
      <c r="F47" s="66">
        <v>464.17220842347035</v>
      </c>
      <c r="G47" s="66">
        <v>491.01455560675464</v>
      </c>
      <c r="H47" s="66">
        <v>509.74295463827883</v>
      </c>
      <c r="I47" s="66">
        <v>587.08246024898312</v>
      </c>
      <c r="J47" s="66">
        <v>614.29470298990941</v>
      </c>
      <c r="K47" s="66">
        <v>580.6537043984905</v>
      </c>
      <c r="L47" s="66">
        <v>547.18384281185183</v>
      </c>
      <c r="M47" s="66">
        <v>579.04328476927878</v>
      </c>
      <c r="N47" s="66">
        <v>657.18523174840152</v>
      </c>
      <c r="O47" s="66">
        <v>612.41096729723529</v>
      </c>
      <c r="P47" s="66">
        <v>629.11662146454864</v>
      </c>
      <c r="Q47" s="66">
        <v>630.30747431108114</v>
      </c>
      <c r="R47" s="66">
        <v>685.24603547155948</v>
      </c>
      <c r="S47" s="66">
        <v>659.8</v>
      </c>
      <c r="T47" s="66">
        <v>648.25800884478485</v>
      </c>
      <c r="U47" s="66">
        <v>676.30570603446654</v>
      </c>
      <c r="V47" s="66">
        <v>616.09549480169426</v>
      </c>
      <c r="W47" s="66">
        <v>698.9908722545789</v>
      </c>
      <c r="X47" s="66">
        <v>752.3980308233663</v>
      </c>
      <c r="Y47" s="66">
        <v>710.1075439501567</v>
      </c>
    </row>
    <row r="48" spans="1:25" x14ac:dyDescent="0.25">
      <c r="A48" s="72" t="s">
        <v>4</v>
      </c>
      <c r="B48" s="65"/>
      <c r="C48" s="65"/>
      <c r="D48" s="66">
        <v>2168.9148780649875</v>
      </c>
      <c r="E48" s="66">
        <v>2205.8957053357954</v>
      </c>
      <c r="F48" s="66">
        <v>1962.9837352776224</v>
      </c>
      <c r="G48" s="66">
        <v>1857.2628954002116</v>
      </c>
      <c r="H48" s="66">
        <v>1919.2105505856312</v>
      </c>
      <c r="I48" s="66">
        <v>1974.7319117465797</v>
      </c>
      <c r="J48" s="66">
        <v>2123.1152851250258</v>
      </c>
      <c r="K48" s="66">
        <v>2169.3407781774849</v>
      </c>
      <c r="L48" s="66">
        <v>2090.1992250185913</v>
      </c>
      <c r="M48" s="66">
        <v>1704.7090687582436</v>
      </c>
      <c r="N48" s="66">
        <v>1605.394203097836</v>
      </c>
      <c r="O48" s="66">
        <v>1721.7775905644485</v>
      </c>
      <c r="P48" s="66">
        <v>1598.9926385122048</v>
      </c>
      <c r="Q48" s="66">
        <v>1581.8626819528536</v>
      </c>
      <c r="R48" s="66">
        <v>1713.1661122109513</v>
      </c>
      <c r="S48" s="66">
        <v>1876.6</v>
      </c>
      <c r="T48" s="66">
        <v>1781.0180327708108</v>
      </c>
      <c r="U48" s="66">
        <v>1825.3458917684361</v>
      </c>
      <c r="V48" s="66">
        <v>1942.3126863733646</v>
      </c>
      <c r="W48" s="66">
        <v>1981.8649506619981</v>
      </c>
      <c r="X48" s="66">
        <v>1806.0090338515679</v>
      </c>
      <c r="Y48" s="66">
        <v>1959.1253621175447</v>
      </c>
    </row>
    <row r="49" spans="1:25" x14ac:dyDescent="0.25">
      <c r="A49" s="77" t="s">
        <v>10</v>
      </c>
      <c r="B49" s="44"/>
      <c r="C49" s="44"/>
      <c r="D49" s="45">
        <v>838.10469655844736</v>
      </c>
      <c r="E49" s="45">
        <v>720.15695776267091</v>
      </c>
      <c r="F49" s="45">
        <v>637.84735574202489</v>
      </c>
      <c r="G49" s="45">
        <v>616.14965636069553</v>
      </c>
      <c r="H49" s="45">
        <v>682.6036777332796</v>
      </c>
      <c r="I49" s="45">
        <v>718.39020493611542</v>
      </c>
      <c r="J49" s="45">
        <v>809.20558482000479</v>
      </c>
      <c r="K49" s="45">
        <v>861.44917617134934</v>
      </c>
      <c r="L49" s="45">
        <v>882.17032059836083</v>
      </c>
      <c r="M49" s="45">
        <v>727.69839958666387</v>
      </c>
      <c r="N49" s="45">
        <v>614.63681536041463</v>
      </c>
      <c r="O49" s="45">
        <v>693.44197682391166</v>
      </c>
      <c r="P49" s="45">
        <v>582.83210229834742</v>
      </c>
      <c r="Q49" s="45">
        <v>547.42728025141412</v>
      </c>
      <c r="R49" s="45">
        <v>602.53509048341982</v>
      </c>
      <c r="S49" s="45">
        <v>670.35749912387234</v>
      </c>
      <c r="T49" s="45">
        <v>639.90846169949339</v>
      </c>
      <c r="U49" s="45">
        <v>647.44656222040248</v>
      </c>
      <c r="V49" s="45">
        <v>721.60876514471977</v>
      </c>
      <c r="W49" s="45">
        <v>767.74596048250987</v>
      </c>
      <c r="X49" s="45">
        <v>756.51567885926238</v>
      </c>
      <c r="Y49" s="45">
        <v>875.89563853700156</v>
      </c>
    </row>
    <row r="50" spans="1:25" x14ac:dyDescent="0.25">
      <c r="A50" s="77" t="s">
        <v>18</v>
      </c>
      <c r="B50" s="44"/>
      <c r="C50" s="44"/>
      <c r="D50" s="45">
        <v>555.762241931581</v>
      </c>
      <c r="E50" s="45">
        <v>553.35366780245749</v>
      </c>
      <c r="F50" s="45">
        <v>606.47933288118088</v>
      </c>
      <c r="G50" s="45">
        <v>564.90013678389209</v>
      </c>
      <c r="H50" s="45">
        <v>671.87622220602384</v>
      </c>
      <c r="I50" s="45">
        <v>677.27239202697558</v>
      </c>
      <c r="J50" s="45">
        <v>757.51372835828874</v>
      </c>
      <c r="K50" s="45">
        <v>673.09240148254082</v>
      </c>
      <c r="L50" s="45">
        <v>645.18586592146482</v>
      </c>
      <c r="M50" s="45">
        <v>517.44904540122445</v>
      </c>
      <c r="N50" s="45">
        <v>544.86177866330615</v>
      </c>
      <c r="O50" s="45">
        <v>573.93562679422575</v>
      </c>
      <c r="P50" s="45">
        <v>595.9468175216914</v>
      </c>
      <c r="Q50" s="45">
        <v>610.35544658651281</v>
      </c>
      <c r="R50" s="45">
        <v>649.99455314795262</v>
      </c>
      <c r="S50" s="45">
        <v>714.08727844434759</v>
      </c>
      <c r="T50" s="45">
        <v>659.31071979781814</v>
      </c>
      <c r="U50" s="45">
        <v>680.41561094306576</v>
      </c>
      <c r="V50" s="45">
        <v>667.35117928477712</v>
      </c>
      <c r="W50" s="45">
        <v>547.49772708567991</v>
      </c>
      <c r="X50" s="45">
        <v>519.01822416694426</v>
      </c>
      <c r="Y50" s="45">
        <v>508.68447557196902</v>
      </c>
    </row>
    <row r="51" spans="1:25" x14ac:dyDescent="0.25">
      <c r="A51" s="77" t="s">
        <v>9</v>
      </c>
      <c r="B51" s="44"/>
      <c r="C51" s="44"/>
      <c r="D51" s="45">
        <v>775.04793957495917</v>
      </c>
      <c r="E51" s="45">
        <v>932.38507977066683</v>
      </c>
      <c r="F51" s="45">
        <v>718.65704665441649</v>
      </c>
      <c r="G51" s="45">
        <v>676.21310225562388</v>
      </c>
      <c r="H51" s="45">
        <v>564.7306506463276</v>
      </c>
      <c r="I51" s="45">
        <v>579.06931478348872</v>
      </c>
      <c r="J51" s="45">
        <v>556.39597194673229</v>
      </c>
      <c r="K51" s="45">
        <v>634.79920052359478</v>
      </c>
      <c r="L51" s="45">
        <v>562.84303849876562</v>
      </c>
      <c r="M51" s="45">
        <v>459.56162377035525</v>
      </c>
      <c r="N51" s="45">
        <v>445.89560907411521</v>
      </c>
      <c r="O51" s="45">
        <v>454.39998694631095</v>
      </c>
      <c r="P51" s="45">
        <v>420.21371869216603</v>
      </c>
      <c r="Q51" s="45">
        <v>424.07995511492652</v>
      </c>
      <c r="R51" s="45">
        <v>460.63646857957872</v>
      </c>
      <c r="S51" s="45">
        <v>492.15522243177986</v>
      </c>
      <c r="T51" s="45">
        <v>481.79885127349939</v>
      </c>
      <c r="U51" s="45">
        <v>497.48371860496786</v>
      </c>
      <c r="V51" s="45">
        <v>553.35274194386784</v>
      </c>
      <c r="W51" s="45">
        <v>666.62126309380835</v>
      </c>
      <c r="X51" s="45">
        <v>530.47513082536125</v>
      </c>
      <c r="Y51" s="45">
        <v>574.54524800857416</v>
      </c>
    </row>
    <row r="52" spans="1:25" x14ac:dyDescent="0.25">
      <c r="A52" s="72" t="s">
        <v>3</v>
      </c>
      <c r="B52" s="65"/>
      <c r="C52" s="65"/>
      <c r="D52" s="66">
        <v>953.8839790019274</v>
      </c>
      <c r="E52" s="66">
        <v>977.87597227686842</v>
      </c>
      <c r="F52" s="66">
        <v>1021.9533691210642</v>
      </c>
      <c r="G52" s="66">
        <v>944.3525872116661</v>
      </c>
      <c r="H52" s="66">
        <v>1117.5083332235413</v>
      </c>
      <c r="I52" s="66">
        <v>1122.7659312214967</v>
      </c>
      <c r="J52" s="66">
        <v>1218.4521451376104</v>
      </c>
      <c r="K52" s="66">
        <v>1309.3950696298909</v>
      </c>
      <c r="L52" s="66">
        <v>1221.5742299111514</v>
      </c>
      <c r="M52" s="66">
        <v>1091.9360847370592</v>
      </c>
      <c r="N52" s="66">
        <v>1191.0070423226898</v>
      </c>
      <c r="O52" s="66">
        <v>1106.2073983303974</v>
      </c>
      <c r="P52" s="66">
        <v>1011.9139868268114</v>
      </c>
      <c r="Q52" s="66">
        <v>987.32646974306124</v>
      </c>
      <c r="R52" s="66">
        <v>1092.8220095107863</v>
      </c>
      <c r="S52" s="66">
        <v>1210</v>
      </c>
      <c r="T52" s="66">
        <v>1250.2328865180768</v>
      </c>
      <c r="U52" s="66">
        <v>1293.9089073028936</v>
      </c>
      <c r="V52" s="66">
        <v>1297.0242945796131</v>
      </c>
      <c r="W52" s="66">
        <v>1348.5146981649877</v>
      </c>
      <c r="X52" s="66">
        <v>1288.5080611053784</v>
      </c>
      <c r="Y52" s="66">
        <v>1360.9270209135282</v>
      </c>
    </row>
    <row r="53" spans="1:25" x14ac:dyDescent="0.25">
      <c r="A53" s="73" t="s">
        <v>21</v>
      </c>
      <c r="B53" s="65"/>
      <c r="C53" s="65"/>
      <c r="D53" s="66">
        <v>594.55777792544359</v>
      </c>
      <c r="E53" s="66">
        <v>628.46160830483348</v>
      </c>
      <c r="F53" s="66">
        <v>585.15610394466262</v>
      </c>
      <c r="G53" s="66">
        <v>530.99503970942999</v>
      </c>
      <c r="H53" s="66">
        <v>646.63179668252064</v>
      </c>
      <c r="I53" s="66">
        <v>643.6583261432271</v>
      </c>
      <c r="J53" s="66">
        <v>669.64181678357534</v>
      </c>
      <c r="K53" s="66">
        <v>672.0222462536691</v>
      </c>
      <c r="L53" s="66">
        <v>574.77787780343658</v>
      </c>
      <c r="M53" s="66">
        <v>537.66147464231415</v>
      </c>
      <c r="N53" s="66">
        <v>581.65460206456942</v>
      </c>
      <c r="O53" s="66">
        <v>550.9496821628245</v>
      </c>
      <c r="P53" s="66">
        <v>530.31770631538166</v>
      </c>
      <c r="Q53" s="66">
        <v>524.08367106293167</v>
      </c>
      <c r="R53" s="66">
        <v>605.34318427658843</v>
      </c>
      <c r="S53" s="66">
        <v>694.2</v>
      </c>
      <c r="T53" s="66">
        <v>729.7437758013748</v>
      </c>
      <c r="U53" s="66">
        <v>784.93365295683202</v>
      </c>
      <c r="V53" s="66">
        <v>767.16425929740035</v>
      </c>
      <c r="W53" s="66">
        <v>823.99194762515162</v>
      </c>
      <c r="X53" s="66">
        <v>817.02221244776774</v>
      </c>
      <c r="Y53" s="66">
        <v>860.66907416960998</v>
      </c>
    </row>
    <row r="54" spans="1:25" x14ac:dyDescent="0.25">
      <c r="A54" s="74" t="s">
        <v>8</v>
      </c>
      <c r="B54" s="44"/>
      <c r="C54" s="44"/>
      <c r="D54" s="45">
        <v>53.106224025314532</v>
      </c>
      <c r="E54" s="45">
        <v>56.090470948056542</v>
      </c>
      <c r="F54" s="45">
        <v>53.230135769171035</v>
      </c>
      <c r="G54" s="45">
        <v>46.719163238412264</v>
      </c>
      <c r="H54" s="45">
        <v>57.133290309053173</v>
      </c>
      <c r="I54" s="45">
        <v>56.389022395857715</v>
      </c>
      <c r="J54" s="45">
        <v>55.207463386749737</v>
      </c>
      <c r="K54" s="45">
        <v>57.76577357957818</v>
      </c>
      <c r="L54" s="45">
        <v>48.529691388266457</v>
      </c>
      <c r="M54" s="45">
        <v>50.826796324452459</v>
      </c>
      <c r="N54" s="45">
        <v>55.978554290243395</v>
      </c>
      <c r="O54" s="45">
        <v>51.99987892528295</v>
      </c>
      <c r="P54" s="45">
        <v>49.4035829707001</v>
      </c>
      <c r="Q54" s="45">
        <v>44.1582339091634</v>
      </c>
      <c r="R54" s="45">
        <v>46.671233510759251</v>
      </c>
      <c r="S54" s="45">
        <v>50.103131936331465</v>
      </c>
      <c r="T54" s="45">
        <v>51.252143803350116</v>
      </c>
      <c r="U54" s="45">
        <v>51.097714469707462</v>
      </c>
      <c r="V54" s="45">
        <v>43.053065167921538</v>
      </c>
      <c r="W54" s="45">
        <v>62.365167310427431</v>
      </c>
      <c r="X54" s="45">
        <v>65.908173411931884</v>
      </c>
      <c r="Y54" s="45">
        <v>69.429111872872085</v>
      </c>
    </row>
    <row r="55" spans="1:25" x14ac:dyDescent="0.25">
      <c r="A55" s="74" t="s">
        <v>17</v>
      </c>
      <c r="B55" s="44"/>
      <c r="C55" s="44"/>
      <c r="D55" s="45">
        <v>541.45155390012906</v>
      </c>
      <c r="E55" s="45">
        <v>572.3711373567769</v>
      </c>
      <c r="F55" s="45">
        <v>531.92596817549156</v>
      </c>
      <c r="G55" s="45">
        <v>484.27587647101774</v>
      </c>
      <c r="H55" s="45">
        <v>589.49850637346742</v>
      </c>
      <c r="I55" s="45">
        <v>587.26930374736935</v>
      </c>
      <c r="J55" s="45">
        <v>614.4343533968256</v>
      </c>
      <c r="K55" s="45">
        <v>614.2564726740909</v>
      </c>
      <c r="L55" s="45">
        <v>526.24818641517015</v>
      </c>
      <c r="M55" s="45">
        <v>486.83467831786169</v>
      </c>
      <c r="N55" s="45">
        <v>525.67604777432598</v>
      </c>
      <c r="O55" s="45">
        <v>498.94980323754157</v>
      </c>
      <c r="P55" s="45">
        <v>480.91412334468157</v>
      </c>
      <c r="Q55" s="45">
        <v>479.92543715376826</v>
      </c>
      <c r="R55" s="45">
        <v>558.67195076582914</v>
      </c>
      <c r="S55" s="45">
        <v>644.09686806366858</v>
      </c>
      <c r="T55" s="45">
        <v>678.49163199802467</v>
      </c>
      <c r="U55" s="45">
        <v>733.83593848712451</v>
      </c>
      <c r="V55" s="45">
        <v>724.1111941294788</v>
      </c>
      <c r="W55" s="45">
        <v>761.62678031472421</v>
      </c>
      <c r="X55" s="45">
        <v>751.11403903583584</v>
      </c>
      <c r="Y55" s="45">
        <v>791.23996229673787</v>
      </c>
    </row>
    <row r="56" spans="1:25" x14ac:dyDescent="0.25">
      <c r="A56" s="73" t="s">
        <v>16</v>
      </c>
      <c r="B56" s="65"/>
      <c r="C56" s="65"/>
      <c r="D56" s="66">
        <v>359.32620107648381</v>
      </c>
      <c r="E56" s="66">
        <v>349.41436397203495</v>
      </c>
      <c r="F56" s="66">
        <v>436.79726517640154</v>
      </c>
      <c r="G56" s="66">
        <v>413.35754750223612</v>
      </c>
      <c r="H56" s="66">
        <v>470.87653654102064</v>
      </c>
      <c r="I56" s="66">
        <v>479.10760507826956</v>
      </c>
      <c r="J56" s="66">
        <v>548.81032835403505</v>
      </c>
      <c r="K56" s="66">
        <v>637.37282337622185</v>
      </c>
      <c r="L56" s="66">
        <v>646.79635210771482</v>
      </c>
      <c r="M56" s="66">
        <v>554.27461009474507</v>
      </c>
      <c r="N56" s="66">
        <v>609.3524402581204</v>
      </c>
      <c r="O56" s="66">
        <v>555.25771616757288</v>
      </c>
      <c r="P56" s="66">
        <v>481.59628051142977</v>
      </c>
      <c r="Q56" s="66">
        <v>463.24279868012957</v>
      </c>
      <c r="R56" s="66">
        <v>487.47882523419787</v>
      </c>
      <c r="S56" s="66">
        <v>515.79999999999995</v>
      </c>
      <c r="T56" s="66">
        <v>520.48911071670204</v>
      </c>
      <c r="U56" s="66">
        <v>508.97525434606155</v>
      </c>
      <c r="V56" s="66">
        <v>529.86003528221272</v>
      </c>
      <c r="W56" s="66">
        <v>524.52275053983612</v>
      </c>
      <c r="X56" s="66">
        <v>471.48584865761063</v>
      </c>
      <c r="Y56" s="66">
        <v>500.25794674391818</v>
      </c>
    </row>
    <row r="57" spans="1:25" x14ac:dyDescent="0.25">
      <c r="A57" s="72" t="s">
        <v>2</v>
      </c>
      <c r="B57" s="65"/>
      <c r="C57" s="65"/>
      <c r="D57" s="66">
        <v>3410.6917403149714</v>
      </c>
      <c r="E57" s="66">
        <v>3632.9106261917013</v>
      </c>
      <c r="F57" s="66">
        <v>3558.3420131933876</v>
      </c>
      <c r="G57" s="66">
        <v>3375.0304935895701</v>
      </c>
      <c r="H57" s="66">
        <v>3521.2974796115996</v>
      </c>
      <c r="I57" s="66">
        <v>3355.2323431529644</v>
      </c>
      <c r="J57" s="66">
        <v>3306.4948381533873</v>
      </c>
      <c r="K57" s="66">
        <v>3256.9354019995144</v>
      </c>
      <c r="L57" s="66">
        <v>3261.380093154331</v>
      </c>
      <c r="M57" s="66">
        <v>3329.1716589977746</v>
      </c>
      <c r="N57" s="66">
        <v>3198.2163377957627</v>
      </c>
      <c r="O57" s="66">
        <v>3212.1658880294094</v>
      </c>
      <c r="P57" s="66">
        <v>3188.783417280124</v>
      </c>
      <c r="Q57" s="66">
        <v>3080.7875623024406</v>
      </c>
      <c r="R57" s="66">
        <v>3166.6224462722207</v>
      </c>
      <c r="S57" s="66">
        <v>3253.8</v>
      </c>
      <c r="T57" s="66">
        <v>3378.0802306311962</v>
      </c>
      <c r="U57" s="66">
        <v>3474.2067611695202</v>
      </c>
      <c r="V57" s="66">
        <v>3537.5343643381002</v>
      </c>
      <c r="W57" s="66">
        <v>3594.9208097110263</v>
      </c>
      <c r="X57" s="66">
        <v>3515.6739016426723</v>
      </c>
      <c r="Y57" s="66">
        <v>3450.85122425493</v>
      </c>
    </row>
    <row r="58" spans="1:25" x14ac:dyDescent="0.25">
      <c r="A58" s="72" t="s">
        <v>275</v>
      </c>
      <c r="B58" s="65"/>
      <c r="C58" s="65"/>
      <c r="D58" s="66">
        <v>3475.1478503555054</v>
      </c>
      <c r="E58" s="66">
        <v>3967.3436034018346</v>
      </c>
      <c r="F58" s="66">
        <v>3898.458990999653</v>
      </c>
      <c r="G58" s="66">
        <v>3752.8799501260401</v>
      </c>
      <c r="H58" s="66">
        <v>4684.786761702745</v>
      </c>
      <c r="I58" s="66">
        <v>5085.1719462590918</v>
      </c>
      <c r="J58" s="66">
        <v>5647.0368903078452</v>
      </c>
      <c r="K58" s="66">
        <v>6154.2451060448893</v>
      </c>
      <c r="L58" s="66">
        <v>6044.2678774120322</v>
      </c>
      <c r="M58" s="66">
        <v>5450.6187134385164</v>
      </c>
      <c r="N58" s="66">
        <v>6441.9082042568234</v>
      </c>
      <c r="O58" s="66">
        <v>7030.4242934824233</v>
      </c>
      <c r="P58" s="66">
        <v>6780.0271212708258</v>
      </c>
      <c r="Q58" s="66">
        <v>6814.5740643486361</v>
      </c>
      <c r="R58" s="66">
        <v>8056.9218523583077</v>
      </c>
      <c r="S58" s="66">
        <v>8691.2000000000007</v>
      </c>
      <c r="T58" s="66">
        <v>9562.8597483845024</v>
      </c>
      <c r="U58" s="66">
        <v>9857.018818777251</v>
      </c>
      <c r="V58" s="66">
        <v>9673.6843047881721</v>
      </c>
      <c r="W58" s="66">
        <v>10165.348979258251</v>
      </c>
      <c r="X58" s="66">
        <v>7843.5485780988301</v>
      </c>
      <c r="Y58" s="66">
        <v>8057.4625977221312</v>
      </c>
    </row>
    <row r="59" spans="1:25" x14ac:dyDescent="0.25">
      <c r="A59" s="72" t="s">
        <v>276</v>
      </c>
      <c r="B59" s="65"/>
      <c r="C59" s="65"/>
      <c r="D59" s="66">
        <v>6618.2138348062999</v>
      </c>
      <c r="E59" s="66">
        <v>7114.4941133742941</v>
      </c>
      <c r="F59" s="66">
        <v>6907.165558315306</v>
      </c>
      <c r="G59" s="66">
        <v>7136.8552299894291</v>
      </c>
      <c r="H59" s="66">
        <v>8006.7456291748476</v>
      </c>
      <c r="I59" s="66">
        <v>8750.4005916430433</v>
      </c>
      <c r="J59" s="66">
        <v>10259.607093752184</v>
      </c>
      <c r="K59" s="66">
        <v>11333.230341418199</v>
      </c>
      <c r="L59" s="66">
        <v>11100.434459274336</v>
      </c>
      <c r="M59" s="66">
        <v>9576.012646120078</v>
      </c>
      <c r="N59" s="66">
        <v>10558.671289520984</v>
      </c>
      <c r="O59" s="66">
        <v>11804.491843455617</v>
      </c>
      <c r="P59" s="66">
        <v>12090.468810538552</v>
      </c>
      <c r="Q59" s="66">
        <v>12213.854675531862</v>
      </c>
      <c r="R59" s="66">
        <v>13157.438210502685</v>
      </c>
      <c r="S59" s="66">
        <v>13923.4</v>
      </c>
      <c r="T59" s="66">
        <v>13983.094890224649</v>
      </c>
      <c r="U59" s="66">
        <v>14565.771343362463</v>
      </c>
      <c r="V59" s="66">
        <v>14574.867243957697</v>
      </c>
      <c r="W59" s="66">
        <v>14739.201128708954</v>
      </c>
      <c r="X59" s="66">
        <v>13600.937219806805</v>
      </c>
      <c r="Y59" s="66">
        <v>14381.681812770348</v>
      </c>
    </row>
    <row r="60" spans="1:25" x14ac:dyDescent="0.25">
      <c r="A60" s="72" t="s">
        <v>1</v>
      </c>
      <c r="B60" s="65"/>
      <c r="C60" s="65"/>
      <c r="D60" s="66">
        <v>1441.4579041796799</v>
      </c>
      <c r="E60" s="66">
        <v>1461.3661814109744</v>
      </c>
      <c r="F60" s="66">
        <v>1309.0564324439815</v>
      </c>
      <c r="G60" s="66">
        <v>1254.7095655002304</v>
      </c>
      <c r="H60" s="66">
        <v>1108.2857933360563</v>
      </c>
      <c r="I60" s="66">
        <v>1087.5138666337978</v>
      </c>
      <c r="J60" s="66">
        <v>1100.8832234159072</v>
      </c>
      <c r="K60" s="66">
        <v>1095.429365937631</v>
      </c>
      <c r="L60" s="66">
        <v>1075.7759599201536</v>
      </c>
      <c r="M60" s="66">
        <v>967.18654033971347</v>
      </c>
      <c r="N60" s="66">
        <v>914.12687967155466</v>
      </c>
      <c r="O60" s="66">
        <v>917.3240407444282</v>
      </c>
      <c r="P60" s="66">
        <v>832.13870592793501</v>
      </c>
      <c r="Q60" s="66">
        <v>859.40209474925439</v>
      </c>
      <c r="R60" s="66">
        <v>916.2805886074658</v>
      </c>
      <c r="S60" s="66">
        <v>919.8</v>
      </c>
      <c r="T60" s="66">
        <v>951.74591345446709</v>
      </c>
      <c r="U60" s="66">
        <v>986.05107684176755</v>
      </c>
      <c r="V60" s="66">
        <v>934.53089880094183</v>
      </c>
      <c r="W60" s="66">
        <v>949.2511119331723</v>
      </c>
      <c r="X60" s="66">
        <v>881.98474057282067</v>
      </c>
      <c r="Y60" s="66">
        <v>877.25703400928603</v>
      </c>
    </row>
    <row r="61" spans="1:25" x14ac:dyDescent="0.25">
      <c r="A61" s="72" t="s">
        <v>0</v>
      </c>
      <c r="B61" s="65"/>
      <c r="C61" s="65"/>
      <c r="D61" s="66">
        <v>752.8739451126321</v>
      </c>
      <c r="E61" s="66">
        <v>830.3320117429862</v>
      </c>
      <c r="F61" s="66">
        <v>830.72937531714877</v>
      </c>
      <c r="G61" s="66">
        <v>891.63255902203673</v>
      </c>
      <c r="H61" s="66">
        <v>943.46583048971695</v>
      </c>
      <c r="I61" s="66">
        <v>975.71798348329844</v>
      </c>
      <c r="J61" s="66">
        <v>997.76281140034018</v>
      </c>
      <c r="K61" s="66">
        <v>1030.2134139612897</v>
      </c>
      <c r="L61" s="66">
        <v>1043.9743238482918</v>
      </c>
      <c r="M61" s="66">
        <v>849.68636413979198</v>
      </c>
      <c r="N61" s="66">
        <v>820.81855951597538</v>
      </c>
      <c r="O61" s="66">
        <v>820.53687677108064</v>
      </c>
      <c r="P61" s="66">
        <v>819.64354901201091</v>
      </c>
      <c r="Q61" s="66">
        <v>786.47231938485322</v>
      </c>
      <c r="R61" s="66">
        <v>850.76637345143581</v>
      </c>
      <c r="S61" s="66">
        <v>901.1</v>
      </c>
      <c r="T61" s="66">
        <v>960.96331669624738</v>
      </c>
      <c r="U61" s="66">
        <v>1012.6653957228336</v>
      </c>
      <c r="V61" s="66">
        <v>1096.0768686588281</v>
      </c>
      <c r="W61" s="66">
        <v>1108.836104921756</v>
      </c>
      <c r="X61" s="66">
        <v>1056.4869482837373</v>
      </c>
      <c r="Y61" s="66">
        <v>1114.5680384142227</v>
      </c>
    </row>
    <row r="62" spans="1:25" x14ac:dyDescent="0.25">
      <c r="A62" s="78" t="s">
        <v>277</v>
      </c>
      <c r="B62" s="79"/>
      <c r="C62" s="79"/>
      <c r="D62" s="80">
        <v>2391.6871552927105</v>
      </c>
      <c r="E62" s="80">
        <v>2466.1783844314641</v>
      </c>
      <c r="F62" s="80">
        <v>2575.6483187778758</v>
      </c>
      <c r="G62" s="80">
        <v>2731.0058818746102</v>
      </c>
      <c r="H62" s="80">
        <v>2908.7890805127736</v>
      </c>
      <c r="I62" s="80">
        <v>3114.5075804264761</v>
      </c>
      <c r="J62" s="80">
        <v>3680.990888117266</v>
      </c>
      <c r="K62" s="80">
        <v>3675.9285824634194</v>
      </c>
      <c r="L62" s="80">
        <v>3726.8581940584763</v>
      </c>
      <c r="M62" s="80">
        <v>3518.0579748084456</v>
      </c>
      <c r="N62" s="80">
        <v>3607.2014379303237</v>
      </c>
      <c r="O62" s="80">
        <v>3779.7733016772609</v>
      </c>
      <c r="P62" s="80">
        <v>3725.2034095311897</v>
      </c>
      <c r="Q62" s="80">
        <v>3809.2926009968392</v>
      </c>
      <c r="R62" s="80">
        <v>4136.477743535319</v>
      </c>
      <c r="S62" s="80">
        <v>4488</v>
      </c>
      <c r="T62" s="80">
        <v>4735.2938292427025</v>
      </c>
      <c r="U62" s="80">
        <v>4745.8426923875504</v>
      </c>
      <c r="V62" s="80">
        <v>4587.0458758316836</v>
      </c>
      <c r="W62" s="80">
        <v>4699.7135212794328</v>
      </c>
      <c r="X62" s="80">
        <v>4294.2091996413528</v>
      </c>
      <c r="Y62" s="80">
        <v>4494.146593118774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3.5682585640498241E-2</v>
      </c>
      <c r="E66" s="83">
        <f t="shared" ref="E66:S66" si="49">E24/E$23</f>
        <v>3.5100973917423256E-2</v>
      </c>
      <c r="F66" s="83">
        <f t="shared" si="49"/>
        <v>2.9085218915281822E-2</v>
      </c>
      <c r="G66" s="83">
        <f t="shared" si="49"/>
        <v>2.6690635144088475E-2</v>
      </c>
      <c r="H66" s="83">
        <f t="shared" si="49"/>
        <v>2.6677800528477135E-2</v>
      </c>
      <c r="I66" s="83">
        <f t="shared" si="49"/>
        <v>2.5260381170773165E-2</v>
      </c>
      <c r="J66" s="83">
        <f t="shared" si="49"/>
        <v>2.3819343557225685E-2</v>
      </c>
      <c r="K66" s="83">
        <f t="shared" si="49"/>
        <v>2.3065441318406515E-2</v>
      </c>
      <c r="L66" s="83">
        <f t="shared" si="49"/>
        <v>2.1161455478310782E-2</v>
      </c>
      <c r="M66" s="83">
        <f t="shared" si="49"/>
        <v>1.9415144536770859E-2</v>
      </c>
      <c r="N66" s="83">
        <f t="shared" si="49"/>
        <v>1.7023095825846504E-2</v>
      </c>
      <c r="O66" s="83">
        <f t="shared" si="49"/>
        <v>2.1951286534931246E-2</v>
      </c>
      <c r="P66" s="83">
        <f t="shared" si="49"/>
        <v>2.5029918825951077E-2</v>
      </c>
      <c r="Q66" s="83">
        <f t="shared" si="49"/>
        <v>2.6385023041152211E-2</v>
      </c>
      <c r="R66" s="83">
        <f t="shared" si="49"/>
        <v>2.6683582825661741E-2</v>
      </c>
      <c r="S66" s="83">
        <f t="shared" si="49"/>
        <v>2.4555318397856022E-2</v>
      </c>
      <c r="T66" s="83">
        <f t="shared" ref="T66:Y66" si="50">T24/T$23</f>
        <v>2.3202513229668039E-2</v>
      </c>
      <c r="U66" s="83">
        <f t="shared" si="50"/>
        <v>2.2897429033447041E-2</v>
      </c>
      <c r="V66" s="83">
        <f t="shared" si="50"/>
        <v>2.1485428998517811E-2</v>
      </c>
      <c r="W66" s="83">
        <f t="shared" si="50"/>
        <v>2.0594813009222855E-2</v>
      </c>
      <c r="X66" s="83">
        <f t="shared" si="50"/>
        <v>2.1541546046702966E-2</v>
      </c>
      <c r="Y66" s="83">
        <f t="shared" si="50"/>
        <v>2.0308399813942061E-2</v>
      </c>
    </row>
    <row r="67" spans="1:25" x14ac:dyDescent="0.25">
      <c r="A67" s="64" t="s">
        <v>56</v>
      </c>
      <c r="B67" s="65"/>
      <c r="C67" s="65"/>
      <c r="D67" s="83">
        <f t="shared" si="46"/>
        <v>1.3194483110996113E-2</v>
      </c>
      <c r="E67" s="83">
        <f t="shared" ref="E67:S67" si="51">E25/E$23</f>
        <v>1.283793660925055E-2</v>
      </c>
      <c r="F67" s="83">
        <f t="shared" si="51"/>
        <v>1.1972584733827811E-2</v>
      </c>
      <c r="G67" s="83">
        <f t="shared" si="51"/>
        <v>1.0662435580604288E-2</v>
      </c>
      <c r="H67" s="83">
        <f t="shared" si="51"/>
        <v>1.1562439230848423E-2</v>
      </c>
      <c r="I67" s="83">
        <f t="shared" si="51"/>
        <v>1.2383640285116378E-2</v>
      </c>
      <c r="J67" s="83">
        <f t="shared" si="51"/>
        <v>1.2995500368713652E-2</v>
      </c>
      <c r="K67" s="83">
        <f t="shared" si="51"/>
        <v>1.2812457054159621E-2</v>
      </c>
      <c r="L67" s="83">
        <f t="shared" si="51"/>
        <v>1.3874134396835609E-2</v>
      </c>
      <c r="M67" s="83">
        <f t="shared" si="51"/>
        <v>1.2251658809439901E-2</v>
      </c>
      <c r="N67" s="83">
        <f t="shared" si="51"/>
        <v>1.246172619747323E-2</v>
      </c>
      <c r="O67" s="83">
        <f t="shared" si="51"/>
        <v>1.2695446676376027E-2</v>
      </c>
      <c r="P67" s="83">
        <f t="shared" si="51"/>
        <v>1.1687148240089176E-2</v>
      </c>
      <c r="Q67" s="83">
        <f t="shared" si="51"/>
        <v>9.0919141159068618E-3</v>
      </c>
      <c r="R67" s="83">
        <f t="shared" si="51"/>
        <v>9.9724540293337945E-3</v>
      </c>
      <c r="S67" s="83">
        <f t="shared" si="51"/>
        <v>9.0170864881893072E-3</v>
      </c>
      <c r="T67" s="83">
        <f t="shared" ref="T67:Y67" si="52">T25/T$23</f>
        <v>7.3150070737841412E-3</v>
      </c>
      <c r="U67" s="83">
        <f t="shared" si="52"/>
        <v>7.1446627981695821E-3</v>
      </c>
      <c r="V67" s="83">
        <f t="shared" si="52"/>
        <v>6.800817570830015E-3</v>
      </c>
      <c r="W67" s="83">
        <f t="shared" si="52"/>
        <v>5.7541661291042583E-3</v>
      </c>
      <c r="X67" s="83">
        <f t="shared" si="52"/>
        <v>5.1268787948831008E-3</v>
      </c>
      <c r="Y67" s="83">
        <f t="shared" si="52"/>
        <v>4.9433765821045332E-3</v>
      </c>
    </row>
    <row r="68" spans="1:25" x14ac:dyDescent="0.25">
      <c r="A68" s="64" t="s">
        <v>146</v>
      </c>
      <c r="B68" s="65"/>
      <c r="C68" s="65"/>
      <c r="D68" s="83">
        <f t="shared" si="46"/>
        <v>0.61573217344595943</v>
      </c>
      <c r="E68" s="83">
        <f t="shared" ref="E68:S68" si="53">E26/E$23</f>
        <v>0.61204971335362501</v>
      </c>
      <c r="F68" s="83">
        <f t="shared" si="53"/>
        <v>0.62651519419146873</v>
      </c>
      <c r="G68" s="83">
        <f t="shared" si="53"/>
        <v>0.63820636168136324</v>
      </c>
      <c r="H68" s="83">
        <f t="shared" si="53"/>
        <v>0.62389929193214444</v>
      </c>
      <c r="I68" s="83">
        <f t="shared" si="53"/>
        <v>0.62340143199621556</v>
      </c>
      <c r="J68" s="83">
        <f t="shared" si="53"/>
        <v>0.61900796156546556</v>
      </c>
      <c r="K68" s="83">
        <f t="shared" si="53"/>
        <v>0.62081275573875583</v>
      </c>
      <c r="L68" s="83">
        <f t="shared" si="53"/>
        <v>0.62902400905355271</v>
      </c>
      <c r="M68" s="83">
        <f t="shared" si="53"/>
        <v>0.63746600558095834</v>
      </c>
      <c r="N68" s="83">
        <f t="shared" si="53"/>
        <v>0.63779408554299821</v>
      </c>
      <c r="O68" s="83">
        <f t="shared" si="53"/>
        <v>0.62786564086134944</v>
      </c>
      <c r="P68" s="83">
        <f t="shared" si="53"/>
        <v>0.63072509556927836</v>
      </c>
      <c r="Q68" s="83">
        <f t="shared" si="53"/>
        <v>0.63089375600868181</v>
      </c>
      <c r="R68" s="83">
        <f t="shared" si="53"/>
        <v>0.62041554343744576</v>
      </c>
      <c r="S68" s="83">
        <f t="shared" si="53"/>
        <v>0.62017291481512282</v>
      </c>
      <c r="T68" s="83">
        <f t="shared" ref="T68:Y68" si="54">T26/T$23</f>
        <v>0.62532439785117366</v>
      </c>
      <c r="U68" s="83">
        <f t="shared" si="54"/>
        <v>0.63256691385992359</v>
      </c>
      <c r="V68" s="83">
        <f t="shared" si="54"/>
        <v>0.64564847610141174</v>
      </c>
      <c r="W68" s="83">
        <f t="shared" si="54"/>
        <v>0.65007017335590522</v>
      </c>
      <c r="X68" s="83">
        <f t="shared" si="54"/>
        <v>0.66144882438174524</v>
      </c>
      <c r="Y68" s="83">
        <f t="shared" si="54"/>
        <v>0.66791567528916818</v>
      </c>
    </row>
    <row r="69" spans="1:25" x14ac:dyDescent="0.25">
      <c r="A69" s="68" t="s">
        <v>148</v>
      </c>
      <c r="B69" s="69"/>
      <c r="C69" s="69"/>
      <c r="D69" s="84">
        <f t="shared" si="46"/>
        <v>0.25260794518484064</v>
      </c>
      <c r="E69" s="84">
        <f t="shared" ref="E69:S69" si="55">E27/E$23</f>
        <v>0.25112422404298035</v>
      </c>
      <c r="F69" s="84">
        <f t="shared" si="55"/>
        <v>0.26180327355803834</v>
      </c>
      <c r="G69" s="84">
        <f t="shared" si="55"/>
        <v>0.26755532634430956</v>
      </c>
      <c r="H69" s="84">
        <f t="shared" si="55"/>
        <v>0.25838414111025954</v>
      </c>
      <c r="I69" s="84">
        <f t="shared" si="55"/>
        <v>0.25216583414180449</v>
      </c>
      <c r="J69" s="84">
        <f t="shared" si="55"/>
        <v>0.2468385564087732</v>
      </c>
      <c r="K69" s="84">
        <f t="shared" si="55"/>
        <v>0.24203381967552998</v>
      </c>
      <c r="L69" s="84">
        <f t="shared" si="55"/>
        <v>0.24263412683407218</v>
      </c>
      <c r="M69" s="84">
        <f t="shared" si="55"/>
        <v>0.24328663325775327</v>
      </c>
      <c r="N69" s="84">
        <f t="shared" si="55"/>
        <v>0.24134466293864443</v>
      </c>
      <c r="O69" s="84">
        <f t="shared" si="55"/>
        <v>0.23617404732207306</v>
      </c>
      <c r="P69" s="84">
        <f t="shared" si="55"/>
        <v>0.23558869991588535</v>
      </c>
      <c r="Q69" s="84">
        <f t="shared" si="55"/>
        <v>0.236100090821183</v>
      </c>
      <c r="R69" s="84">
        <f t="shared" si="55"/>
        <v>0.2322786654635737</v>
      </c>
      <c r="S69" s="84">
        <f t="shared" si="55"/>
        <v>0.22974905018668804</v>
      </c>
      <c r="T69" s="84">
        <f t="shared" ref="T69:Y69" si="56">T27/T$23</f>
        <v>0.23263539498531988</v>
      </c>
      <c r="U69" s="84">
        <f t="shared" si="56"/>
        <v>0.23475181411036508</v>
      </c>
      <c r="V69" s="84">
        <f t="shared" si="56"/>
        <v>0.23772302526453759</v>
      </c>
      <c r="W69" s="84">
        <f t="shared" si="56"/>
        <v>0.24065953634077222</v>
      </c>
      <c r="X69" s="84">
        <f t="shared" si="56"/>
        <v>0.2440104105677853</v>
      </c>
      <c r="Y69" s="84">
        <f t="shared" si="56"/>
        <v>0.24934350831925658</v>
      </c>
    </row>
    <row r="70" spans="1:25" x14ac:dyDescent="0.25">
      <c r="A70" s="68" t="s">
        <v>150</v>
      </c>
      <c r="B70" s="71"/>
      <c r="C70" s="71"/>
      <c r="D70" s="84">
        <f t="shared" si="46"/>
        <v>0.22631559985195718</v>
      </c>
      <c r="E70" s="84">
        <f t="shared" ref="E70:S70" si="57">E28/E$23</f>
        <v>0.22581018669283459</v>
      </c>
      <c r="F70" s="84">
        <f t="shared" si="57"/>
        <v>0.22808249616624415</v>
      </c>
      <c r="G70" s="84">
        <f t="shared" si="57"/>
        <v>0.23617504555779148</v>
      </c>
      <c r="H70" s="84">
        <f t="shared" si="57"/>
        <v>0.23453746811406867</v>
      </c>
      <c r="I70" s="84">
        <f t="shared" si="57"/>
        <v>0.23867271750547217</v>
      </c>
      <c r="J70" s="84">
        <f t="shared" si="57"/>
        <v>0.2379134781399169</v>
      </c>
      <c r="K70" s="84">
        <f t="shared" si="57"/>
        <v>0.24665469280368718</v>
      </c>
      <c r="L70" s="84">
        <f t="shared" si="57"/>
        <v>0.25604851050285576</v>
      </c>
      <c r="M70" s="84">
        <f t="shared" si="57"/>
        <v>0.26929490347838358</v>
      </c>
      <c r="N70" s="84">
        <f t="shared" si="57"/>
        <v>0.26968616881335816</v>
      </c>
      <c r="O70" s="84">
        <f t="shared" si="57"/>
        <v>0.26593683375211374</v>
      </c>
      <c r="P70" s="84">
        <f t="shared" si="57"/>
        <v>0.26747430400262601</v>
      </c>
      <c r="Q70" s="84">
        <f t="shared" si="57"/>
        <v>0.26938486490873792</v>
      </c>
      <c r="R70" s="84">
        <f t="shared" si="57"/>
        <v>0.26183874258108264</v>
      </c>
      <c r="S70" s="84">
        <f t="shared" si="57"/>
        <v>0.26063623902090477</v>
      </c>
      <c r="T70" s="84">
        <f t="shared" ref="T70:Y70" si="58">T28/T$23</f>
        <v>0.2646077715136394</v>
      </c>
      <c r="U70" s="84">
        <f t="shared" si="58"/>
        <v>0.26635536786930952</v>
      </c>
      <c r="V70" s="84">
        <f t="shared" si="58"/>
        <v>0.27747651272168405</v>
      </c>
      <c r="W70" s="84">
        <f t="shared" si="58"/>
        <v>0.28047022280347095</v>
      </c>
      <c r="X70" s="84">
        <f t="shared" si="58"/>
        <v>0.28843555355526396</v>
      </c>
      <c r="Y70" s="84">
        <f t="shared" si="58"/>
        <v>0.28797131714518387</v>
      </c>
    </row>
    <row r="71" spans="1:25" x14ac:dyDescent="0.25">
      <c r="A71" s="68" t="s">
        <v>152</v>
      </c>
      <c r="B71" s="71"/>
      <c r="C71" s="71"/>
      <c r="D71" s="84">
        <f t="shared" si="46"/>
        <v>0.13680862840916158</v>
      </c>
      <c r="E71" s="84">
        <f t="shared" ref="E71:S71" si="59">E29/E$23</f>
        <v>0.13511530261781016</v>
      </c>
      <c r="F71" s="84">
        <f t="shared" si="59"/>
        <v>0.13662942446718612</v>
      </c>
      <c r="G71" s="84">
        <f t="shared" si="59"/>
        <v>0.13447598977926206</v>
      </c>
      <c r="H71" s="84">
        <f t="shared" si="59"/>
        <v>0.13097768270781629</v>
      </c>
      <c r="I71" s="84">
        <f t="shared" si="59"/>
        <v>0.13256288034893887</v>
      </c>
      <c r="J71" s="84">
        <f t="shared" si="59"/>
        <v>0.13425592701677552</v>
      </c>
      <c r="K71" s="84">
        <f t="shared" si="59"/>
        <v>0.13212424325953867</v>
      </c>
      <c r="L71" s="84">
        <f t="shared" si="59"/>
        <v>0.13034137171662499</v>
      </c>
      <c r="M71" s="84">
        <f t="shared" si="59"/>
        <v>0.12488446884482159</v>
      </c>
      <c r="N71" s="84">
        <f t="shared" si="59"/>
        <v>0.12676325379099554</v>
      </c>
      <c r="O71" s="84">
        <f t="shared" si="59"/>
        <v>0.12575475978716261</v>
      </c>
      <c r="P71" s="84">
        <f t="shared" si="59"/>
        <v>0.12766209165076703</v>
      </c>
      <c r="Q71" s="84">
        <f t="shared" si="59"/>
        <v>0.12540880027876095</v>
      </c>
      <c r="R71" s="84">
        <f t="shared" si="59"/>
        <v>0.12629813539278942</v>
      </c>
      <c r="S71" s="84">
        <f t="shared" si="59"/>
        <v>0.12978762560752999</v>
      </c>
      <c r="T71" s="84">
        <f t="shared" ref="T71:Y71" si="60">T29/T$23</f>
        <v>0.12808123135221441</v>
      </c>
      <c r="U71" s="84">
        <f t="shared" si="60"/>
        <v>0.13145973188024895</v>
      </c>
      <c r="V71" s="84">
        <f t="shared" si="60"/>
        <v>0.13044893811519001</v>
      </c>
      <c r="W71" s="84">
        <f t="shared" si="60"/>
        <v>0.12894041421166211</v>
      </c>
      <c r="X71" s="84">
        <f t="shared" si="60"/>
        <v>0.12900286025869606</v>
      </c>
      <c r="Y71" s="84">
        <f t="shared" si="60"/>
        <v>0.13060084982472778</v>
      </c>
    </row>
    <row r="72" spans="1:25" x14ac:dyDescent="0.25">
      <c r="A72" s="64" t="s">
        <v>154</v>
      </c>
      <c r="B72" s="65"/>
      <c r="C72" s="65"/>
      <c r="D72" s="83">
        <f t="shared" si="46"/>
        <v>3.0533838600536496E-2</v>
      </c>
      <c r="E72" s="83">
        <f t="shared" ref="E72:S72" si="61">E30/E$23</f>
        <v>3.2740356712272455E-2</v>
      </c>
      <c r="F72" s="83">
        <f t="shared" si="61"/>
        <v>3.4707226238537857E-2</v>
      </c>
      <c r="G72" s="83">
        <f t="shared" si="61"/>
        <v>3.2113153586203244E-2</v>
      </c>
      <c r="H72" s="83">
        <f t="shared" si="61"/>
        <v>3.3151073540682446E-2</v>
      </c>
      <c r="I72" s="83">
        <f t="shared" si="61"/>
        <v>3.3596988478283525E-2</v>
      </c>
      <c r="J72" s="83">
        <f t="shared" si="61"/>
        <v>3.6879313618560207E-2</v>
      </c>
      <c r="K72" s="83">
        <f t="shared" si="61"/>
        <v>3.5629259333695033E-2</v>
      </c>
      <c r="L72" s="83">
        <f t="shared" si="61"/>
        <v>4.2682006199833776E-2</v>
      </c>
      <c r="M72" s="83">
        <f t="shared" si="61"/>
        <v>4.7888079401210606E-2</v>
      </c>
      <c r="N72" s="83">
        <f t="shared" si="61"/>
        <v>4.1832496487486499E-2</v>
      </c>
      <c r="O72" s="83">
        <f t="shared" si="61"/>
        <v>4.0235759176585471E-2</v>
      </c>
      <c r="P72" s="83">
        <f t="shared" si="61"/>
        <v>4.1176510815228169E-2</v>
      </c>
      <c r="Q72" s="83">
        <f t="shared" si="61"/>
        <v>4.3012716365025579E-2</v>
      </c>
      <c r="R72" s="83">
        <f t="shared" si="61"/>
        <v>3.5938664678947921E-2</v>
      </c>
      <c r="S72" s="83">
        <f t="shared" si="61"/>
        <v>3.4785991555322984E-2</v>
      </c>
      <c r="T72" s="83">
        <f t="shared" ref="T72:Y72" si="62">T30/T$23</f>
        <v>3.3336382558266292E-2</v>
      </c>
      <c r="U72" s="83">
        <f t="shared" si="62"/>
        <v>3.0877279066608046E-2</v>
      </c>
      <c r="V72" s="83">
        <f t="shared" si="62"/>
        <v>2.8233123400387746E-2</v>
      </c>
      <c r="W72" s="83">
        <f t="shared" si="62"/>
        <v>2.7355590297484994E-2</v>
      </c>
      <c r="X72" s="83">
        <f t="shared" si="62"/>
        <v>3.1343201514338455E-2</v>
      </c>
      <c r="Y72" s="83">
        <f t="shared" si="62"/>
        <v>2.8681007170251793E-2</v>
      </c>
    </row>
    <row r="73" spans="1:25" x14ac:dyDescent="0.25">
      <c r="A73" s="64" t="s">
        <v>37</v>
      </c>
      <c r="B73" s="65"/>
      <c r="C73" s="65"/>
      <c r="D73" s="83">
        <f t="shared" si="46"/>
        <v>6.1631026113842344E-2</v>
      </c>
      <c r="E73" s="83">
        <f t="shared" ref="E73:S73" si="63">E31/E$23</f>
        <v>6.0012649781957687E-2</v>
      </c>
      <c r="F73" s="83">
        <f t="shared" si="63"/>
        <v>6.3610928551309731E-2</v>
      </c>
      <c r="G73" s="83">
        <f t="shared" si="63"/>
        <v>6.5252822609002489E-2</v>
      </c>
      <c r="H73" s="83">
        <f t="shared" si="63"/>
        <v>6.4717859553196588E-2</v>
      </c>
      <c r="I73" s="83">
        <f t="shared" si="63"/>
        <v>6.6685842801132128E-2</v>
      </c>
      <c r="J73" s="83">
        <f t="shared" si="63"/>
        <v>6.3345447159138576E-2</v>
      </c>
      <c r="K73" s="83">
        <f t="shared" si="63"/>
        <v>6.3978081634630896E-2</v>
      </c>
      <c r="L73" s="83">
        <f t="shared" si="63"/>
        <v>6.3395272728756599E-2</v>
      </c>
      <c r="M73" s="83">
        <f t="shared" si="63"/>
        <v>6.9657067329821021E-2</v>
      </c>
      <c r="N73" s="83">
        <f t="shared" si="63"/>
        <v>7.053714867867919E-2</v>
      </c>
      <c r="O73" s="83">
        <f t="shared" si="63"/>
        <v>6.4327081675916914E-2</v>
      </c>
      <c r="P73" s="83">
        <f t="shared" si="63"/>
        <v>5.9017021247495367E-2</v>
      </c>
      <c r="Q73" s="83">
        <f t="shared" si="63"/>
        <v>5.7485330769629063E-2</v>
      </c>
      <c r="R73" s="83">
        <f t="shared" si="63"/>
        <v>5.6383071137539292E-2</v>
      </c>
      <c r="S73" s="83">
        <f t="shared" si="63"/>
        <v>5.6563093735652922E-2</v>
      </c>
      <c r="T73" s="83">
        <f t="shared" ref="T73:Y73" si="64">T31/T$23</f>
        <v>5.4643572755968844E-2</v>
      </c>
      <c r="U73" s="83">
        <f t="shared" si="64"/>
        <v>5.4729699131967041E-2</v>
      </c>
      <c r="V73" s="83">
        <f t="shared" si="64"/>
        <v>5.5914502204348529E-2</v>
      </c>
      <c r="W73" s="83">
        <f t="shared" si="64"/>
        <v>5.6361885541639706E-2</v>
      </c>
      <c r="X73" s="83">
        <f t="shared" si="64"/>
        <v>5.6454725129037486E-2</v>
      </c>
      <c r="Y73" s="83">
        <f t="shared" si="64"/>
        <v>5.5941174650113605E-2</v>
      </c>
    </row>
    <row r="74" spans="1:25" x14ac:dyDescent="0.25">
      <c r="A74" s="64" t="s">
        <v>58</v>
      </c>
      <c r="B74" s="65"/>
      <c r="C74" s="65"/>
      <c r="D74" s="83">
        <f t="shared" si="46"/>
        <v>0.24322589308816744</v>
      </c>
      <c r="E74" s="83">
        <f t="shared" ref="E74:S74" si="65">E32/E$23</f>
        <v>0.24725836962547093</v>
      </c>
      <c r="F74" s="83">
        <f t="shared" si="65"/>
        <v>0.23410884736957405</v>
      </c>
      <c r="G74" s="83">
        <f t="shared" si="65"/>
        <v>0.2270745913987384</v>
      </c>
      <c r="H74" s="83">
        <f t="shared" si="65"/>
        <v>0.23999153521465094</v>
      </c>
      <c r="I74" s="83">
        <f t="shared" si="65"/>
        <v>0.23867171526847922</v>
      </c>
      <c r="J74" s="83">
        <f t="shared" si="65"/>
        <v>0.2439524337308964</v>
      </c>
      <c r="K74" s="83">
        <f t="shared" si="65"/>
        <v>0.2437020049203521</v>
      </c>
      <c r="L74" s="83">
        <f t="shared" si="65"/>
        <v>0.22986312214271043</v>
      </c>
      <c r="M74" s="83">
        <f t="shared" si="65"/>
        <v>0.2133220443417993</v>
      </c>
      <c r="N74" s="83">
        <f t="shared" si="65"/>
        <v>0.22035144726751638</v>
      </c>
      <c r="O74" s="83">
        <f t="shared" si="65"/>
        <v>0.23292478507484096</v>
      </c>
      <c r="P74" s="83">
        <f t="shared" si="65"/>
        <v>0.2323643053019579</v>
      </c>
      <c r="Q74" s="83">
        <f t="shared" si="65"/>
        <v>0.23313125969960433</v>
      </c>
      <c r="R74" s="83">
        <f t="shared" si="65"/>
        <v>0.25060668389107149</v>
      </c>
      <c r="S74" s="83">
        <f t="shared" si="65"/>
        <v>0.25490559500785598</v>
      </c>
      <c r="T74" s="83">
        <f t="shared" ref="T74:Y74" si="66">T32/T$23</f>
        <v>0.25617812653113903</v>
      </c>
      <c r="U74" s="83">
        <f t="shared" si="66"/>
        <v>0.25178401610988466</v>
      </c>
      <c r="V74" s="83">
        <f t="shared" si="66"/>
        <v>0.2419176517245043</v>
      </c>
      <c r="W74" s="83">
        <f t="shared" si="66"/>
        <v>0.23986337166664298</v>
      </c>
      <c r="X74" s="83">
        <f t="shared" si="66"/>
        <v>0.22408482413329278</v>
      </c>
      <c r="Y74" s="83">
        <f t="shared" si="66"/>
        <v>0.22221036649441989</v>
      </c>
    </row>
    <row r="75" spans="1:25" x14ac:dyDescent="0.25">
      <c r="A75" s="85" t="s">
        <v>158</v>
      </c>
      <c r="B75" s="86"/>
      <c r="C75" s="86"/>
      <c r="D75" s="87">
        <f t="shared" si="46"/>
        <v>1.5971924262324078E-2</v>
      </c>
      <c r="E75" s="87">
        <f t="shared" ref="E75:S75" si="67">E33/E$23</f>
        <v>1.511605523641632E-2</v>
      </c>
      <c r="F75" s="87">
        <f t="shared" si="67"/>
        <v>1.3544894063155261E-2</v>
      </c>
      <c r="G75" s="87">
        <f t="shared" si="67"/>
        <v>1.3035018735140513E-2</v>
      </c>
      <c r="H75" s="87">
        <f t="shared" si="67"/>
        <v>1.4996396746777088E-2</v>
      </c>
      <c r="I75" s="87">
        <f t="shared" si="67"/>
        <v>1.7085134019130699E-2</v>
      </c>
      <c r="J75" s="87">
        <f t="shared" si="67"/>
        <v>1.5884272486013169E-2</v>
      </c>
      <c r="K75" s="87">
        <f t="shared" si="67"/>
        <v>1.4911987340857113E-2</v>
      </c>
      <c r="L75" s="87">
        <f t="shared" si="67"/>
        <v>1.2258885907007935E-2</v>
      </c>
      <c r="M75" s="87">
        <f t="shared" si="67"/>
        <v>7.9436673411986871E-3</v>
      </c>
      <c r="N75" s="87">
        <f t="shared" si="67"/>
        <v>7.1481748923855424E-3</v>
      </c>
      <c r="O75" s="87">
        <f t="shared" si="67"/>
        <v>8.786010478334565E-3</v>
      </c>
      <c r="P75" s="87">
        <f t="shared" si="67"/>
        <v>7.8698479781712256E-3</v>
      </c>
      <c r="Q75" s="87">
        <f t="shared" si="67"/>
        <v>8.6126189666536537E-3</v>
      </c>
      <c r="R75" s="87">
        <f t="shared" si="67"/>
        <v>1.0048814934791988E-2</v>
      </c>
      <c r="S75" s="87">
        <f t="shared" si="67"/>
        <v>9.8789753477518533E-3</v>
      </c>
      <c r="T75" s="87">
        <f t="shared" ref="T75:Y75" si="68">T33/T$23</f>
        <v>9.1069488494605992E-3</v>
      </c>
      <c r="U75" s="87">
        <f t="shared" si="68"/>
        <v>7.914502507567988E-3</v>
      </c>
      <c r="V75" s="87">
        <f t="shared" si="68"/>
        <v>7.9206118947509063E-3</v>
      </c>
      <c r="W75" s="87">
        <f t="shared" si="68"/>
        <v>6.6136119141162507E-3</v>
      </c>
      <c r="X75" s="87">
        <f t="shared" si="68"/>
        <v>5.5362145000554955E-3</v>
      </c>
      <c r="Y75" s="87">
        <f t="shared" si="68"/>
        <v>4.8260510680086122E-3</v>
      </c>
    </row>
    <row r="76" spans="1:25" x14ac:dyDescent="0.25">
      <c r="A76" s="88" t="s">
        <v>5</v>
      </c>
      <c r="B76" s="44"/>
      <c r="C76" s="44"/>
      <c r="D76" s="89">
        <f t="shared" si="46"/>
        <v>1.5371247688490164E-2</v>
      </c>
      <c r="E76" s="89">
        <f t="shared" ref="E76:S76" si="69">E34/E$23</f>
        <v>1.468751198775811E-2</v>
      </c>
      <c r="F76" s="89">
        <f t="shared" si="69"/>
        <v>1.2903786979257051E-2</v>
      </c>
      <c r="G76" s="89">
        <f t="shared" si="69"/>
        <v>1.2508261380563131E-2</v>
      </c>
      <c r="H76" s="89">
        <f t="shared" si="69"/>
        <v>1.4390378263870782E-2</v>
      </c>
      <c r="I76" s="89">
        <f t="shared" si="69"/>
        <v>1.6226551797590166E-2</v>
      </c>
      <c r="J76" s="89">
        <f t="shared" si="69"/>
        <v>1.5055798827535027E-2</v>
      </c>
      <c r="K76" s="89">
        <f t="shared" si="69"/>
        <v>1.4027493954187609E-2</v>
      </c>
      <c r="L76" s="89">
        <f t="shared" si="69"/>
        <v>1.1431153448805093E-2</v>
      </c>
      <c r="M76" s="89">
        <f t="shared" si="69"/>
        <v>6.9324602695450058E-3</v>
      </c>
      <c r="N76" s="89">
        <f t="shared" si="69"/>
        <v>6.0327466650201122E-3</v>
      </c>
      <c r="O76" s="89">
        <f t="shared" si="69"/>
        <v>7.6596780124465868E-3</v>
      </c>
      <c r="P76" s="89">
        <f t="shared" si="69"/>
        <v>6.5126257561043113E-3</v>
      </c>
      <c r="Q76" s="89">
        <f t="shared" si="69"/>
        <v>7.3677807916301703E-3</v>
      </c>
      <c r="R76" s="89">
        <f t="shared" si="69"/>
        <v>8.784987271853846E-3</v>
      </c>
      <c r="S76" s="89">
        <f t="shared" si="69"/>
        <v>8.4991149494302223E-3</v>
      </c>
      <c r="T76" s="89">
        <f t="shared" ref="T76:Y76" si="70">T34/T$23</f>
        <v>7.7315841566836987E-3</v>
      </c>
      <c r="U76" s="89">
        <f t="shared" si="70"/>
        <v>6.449315852017027E-3</v>
      </c>
      <c r="V76" s="89">
        <f t="shared" si="70"/>
        <v>6.7967354599072719E-3</v>
      </c>
      <c r="W76" s="89">
        <f t="shared" si="70"/>
        <v>5.5852805919595011E-3</v>
      </c>
      <c r="X76" s="89">
        <f t="shared" si="70"/>
        <v>4.4556291492406841E-3</v>
      </c>
      <c r="Y76" s="89">
        <f t="shared" si="70"/>
        <v>3.5205305170388137E-3</v>
      </c>
    </row>
    <row r="77" spans="1:25" x14ac:dyDescent="0.25">
      <c r="A77" s="88" t="s">
        <v>269</v>
      </c>
      <c r="B77" s="44"/>
      <c r="C77" s="44"/>
      <c r="D77" s="89">
        <f>D37/D$23</f>
        <v>6.0067657383391362E-4</v>
      </c>
      <c r="E77" s="89">
        <f t="shared" ref="E77:S77" si="71">E37/E$23</f>
        <v>4.2854324865821157E-4</v>
      </c>
      <c r="F77" s="89">
        <f t="shared" si="71"/>
        <v>6.4110708389821045E-4</v>
      </c>
      <c r="G77" s="89">
        <f t="shared" si="71"/>
        <v>5.2675735457738241E-4</v>
      </c>
      <c r="H77" s="89">
        <f t="shared" si="71"/>
        <v>6.0601848290630777E-4</v>
      </c>
      <c r="I77" s="89">
        <f t="shared" si="71"/>
        <v>8.5858222154053504E-4</v>
      </c>
      <c r="J77" s="89">
        <f t="shared" si="71"/>
        <v>8.2847365847814195E-4</v>
      </c>
      <c r="K77" s="89">
        <f t="shared" si="71"/>
        <v>8.8449338666950498E-4</v>
      </c>
      <c r="L77" s="89">
        <f t="shared" si="71"/>
        <v>8.2773245820284022E-4</v>
      </c>
      <c r="M77" s="89">
        <f t="shared" si="71"/>
        <v>1.0112070716536807E-3</v>
      </c>
      <c r="N77" s="89">
        <f t="shared" si="71"/>
        <v>1.1154282273654309E-3</v>
      </c>
      <c r="O77" s="89">
        <f t="shared" si="71"/>
        <v>1.1263324658879793E-3</v>
      </c>
      <c r="P77" s="89">
        <f t="shared" si="71"/>
        <v>1.3572222220669132E-3</v>
      </c>
      <c r="Q77" s="89">
        <f t="shared" si="71"/>
        <v>1.244838175023483E-3</v>
      </c>
      <c r="R77" s="89">
        <f t="shared" si="71"/>
        <v>1.2638276629381414E-3</v>
      </c>
      <c r="S77" s="89">
        <f t="shared" si="71"/>
        <v>1.3798603983216306E-3</v>
      </c>
      <c r="T77" s="89">
        <f t="shared" ref="T77:Y77" si="72">T37/T$23</f>
        <v>1.3753646927769012E-3</v>
      </c>
      <c r="U77" s="89">
        <f t="shared" si="72"/>
        <v>1.4651866555509614E-3</v>
      </c>
      <c r="V77" s="89">
        <f t="shared" si="72"/>
        <v>1.1238764348436335E-3</v>
      </c>
      <c r="W77" s="89">
        <f t="shared" si="72"/>
        <v>1.0283313221567494E-3</v>
      </c>
      <c r="X77" s="89">
        <f t="shared" si="72"/>
        <v>1.0805853508148117E-3</v>
      </c>
      <c r="Y77" s="89">
        <f t="shared" si="72"/>
        <v>1.3055205509697981E-3</v>
      </c>
    </row>
    <row r="78" spans="1:25" x14ac:dyDescent="0.25">
      <c r="A78" s="68" t="s">
        <v>271</v>
      </c>
      <c r="B78" s="44"/>
      <c r="C78" s="44"/>
      <c r="D78" s="89">
        <f>D43/D$23</f>
        <v>1.8138524877422482E-2</v>
      </c>
      <c r="E78" s="89">
        <f t="shared" ref="E78:S78" si="73">E43/E$23</f>
        <v>1.5448944235303309E-2</v>
      </c>
      <c r="F78" s="89">
        <f t="shared" si="73"/>
        <v>1.3721403311113198E-2</v>
      </c>
      <c r="G78" s="89">
        <f t="shared" si="73"/>
        <v>1.4271278912387155E-2</v>
      </c>
      <c r="H78" s="89">
        <f t="shared" si="73"/>
        <v>1.4797359902083022E-2</v>
      </c>
      <c r="I78" s="89">
        <f t="shared" si="73"/>
        <v>1.4518405080138868E-2</v>
      </c>
      <c r="J78" s="89">
        <f t="shared" si="73"/>
        <v>1.3312549952972451E-2</v>
      </c>
      <c r="K78" s="89">
        <f t="shared" si="73"/>
        <v>1.2648816025381836E-2</v>
      </c>
      <c r="L78" s="89">
        <f t="shared" si="73"/>
        <v>1.2119464458412284E-2</v>
      </c>
      <c r="M78" s="89">
        <f t="shared" si="73"/>
        <v>1.102006529588166E-2</v>
      </c>
      <c r="N78" s="89">
        <f t="shared" si="73"/>
        <v>1.1331004718803005E-2</v>
      </c>
      <c r="O78" s="89">
        <f t="shared" si="73"/>
        <v>1.1361694227532807E-2</v>
      </c>
      <c r="P78" s="89">
        <f t="shared" si="73"/>
        <v>1.2356646082514413E-2</v>
      </c>
      <c r="Q78" s="89">
        <f t="shared" si="73"/>
        <v>1.1736083997699381E-2</v>
      </c>
      <c r="R78" s="89">
        <f t="shared" si="73"/>
        <v>1.3389779688279368E-2</v>
      </c>
      <c r="S78" s="89">
        <f t="shared" si="73"/>
        <v>1.4072496903814905E-2</v>
      </c>
      <c r="T78" s="89">
        <f t="shared" ref="T78:Y78" si="74">T43/T$23</f>
        <v>1.3188942090206098E-2</v>
      </c>
      <c r="U78" s="89">
        <f t="shared" si="74"/>
        <v>1.4519188383732133E-2</v>
      </c>
      <c r="V78" s="89">
        <f t="shared" si="74"/>
        <v>1.2897358673961549E-2</v>
      </c>
      <c r="W78" s="89">
        <f t="shared" si="74"/>
        <v>1.3218393905783747E-2</v>
      </c>
      <c r="X78" s="89">
        <f t="shared" si="74"/>
        <v>1.2174173360798877E-2</v>
      </c>
      <c r="Y78" s="89">
        <f t="shared" si="74"/>
        <v>9.6387067033054837E-3</v>
      </c>
    </row>
    <row r="79" spans="1:25" x14ac:dyDescent="0.25">
      <c r="A79" s="88" t="s">
        <v>272</v>
      </c>
      <c r="B79" s="44"/>
      <c r="C79" s="44"/>
      <c r="D79" s="89">
        <f>D44/D$23</f>
        <v>1.3458143503309674E-2</v>
      </c>
      <c r="E79" s="89">
        <f t="shared" ref="E79:S79" si="75">E44/E$23</f>
        <v>1.1050467419574741E-2</v>
      </c>
      <c r="F79" s="89">
        <f t="shared" si="75"/>
        <v>9.3700122054267213E-3</v>
      </c>
      <c r="G79" s="89">
        <f t="shared" si="75"/>
        <v>9.8012483513446498E-3</v>
      </c>
      <c r="H79" s="89">
        <f t="shared" si="75"/>
        <v>1.0371649832420128E-2</v>
      </c>
      <c r="I79" s="89">
        <f t="shared" si="75"/>
        <v>9.7447502826308301E-3</v>
      </c>
      <c r="J79" s="89">
        <f t="shared" si="75"/>
        <v>8.6566017406816999E-3</v>
      </c>
      <c r="K79" s="89">
        <f t="shared" si="75"/>
        <v>8.4688204262133859E-3</v>
      </c>
      <c r="L79" s="89">
        <f t="shared" si="75"/>
        <v>8.3163193825738155E-3</v>
      </c>
      <c r="M79" s="89">
        <f t="shared" si="75"/>
        <v>6.7711784953576977E-3</v>
      </c>
      <c r="N79" s="89">
        <f t="shared" si="75"/>
        <v>6.649286022155425E-3</v>
      </c>
      <c r="O79" s="89">
        <f t="shared" si="75"/>
        <v>7.074249797758894E-3</v>
      </c>
      <c r="P79" s="89">
        <f t="shared" si="75"/>
        <v>7.9149826641774224E-3</v>
      </c>
      <c r="Q79" s="89">
        <f t="shared" si="75"/>
        <v>7.2852862686487788E-3</v>
      </c>
      <c r="R79" s="89">
        <f t="shared" si="75"/>
        <v>8.6855275767952506E-3</v>
      </c>
      <c r="S79" s="89">
        <f t="shared" si="75"/>
        <v>9.7512638526039072E-3</v>
      </c>
      <c r="T79" s="89">
        <f t="shared" ref="T79:Y79" si="76">T44/T$23</f>
        <v>9.0467997548924397E-3</v>
      </c>
      <c r="U79" s="89">
        <f t="shared" si="76"/>
        <v>1.0411465853911594E-2</v>
      </c>
      <c r="V79" s="89">
        <f t="shared" si="76"/>
        <v>9.2786715210373023E-3</v>
      </c>
      <c r="W79" s="89">
        <f t="shared" si="76"/>
        <v>9.2326650226659205E-3</v>
      </c>
      <c r="X79" s="89">
        <f t="shared" si="76"/>
        <v>7.6455152793207066E-3</v>
      </c>
      <c r="Y79" s="89">
        <f t="shared" si="76"/>
        <v>5.5059847559975738E-3</v>
      </c>
    </row>
    <row r="80" spans="1:25" x14ac:dyDescent="0.25">
      <c r="A80" s="88" t="s">
        <v>11</v>
      </c>
      <c r="B80" s="44"/>
      <c r="C80" s="44"/>
      <c r="D80" s="89">
        <f>D47/D$23</f>
        <v>4.6803813741128075E-3</v>
      </c>
      <c r="E80" s="89">
        <f t="shared" ref="E80:S80" si="77">E47/E$23</f>
        <v>4.3984768157285699E-3</v>
      </c>
      <c r="F80" s="89">
        <f t="shared" si="77"/>
        <v>4.3513911056864774E-3</v>
      </c>
      <c r="G80" s="89">
        <f t="shared" si="77"/>
        <v>4.4700305610425057E-3</v>
      </c>
      <c r="H80" s="89">
        <f t="shared" si="77"/>
        <v>4.4257100696628955E-3</v>
      </c>
      <c r="I80" s="89">
        <f t="shared" si="77"/>
        <v>4.7736547975080375E-3</v>
      </c>
      <c r="J80" s="89">
        <f t="shared" si="77"/>
        <v>4.6559482122907501E-3</v>
      </c>
      <c r="K80" s="89">
        <f t="shared" si="77"/>
        <v>4.1799955991684498E-3</v>
      </c>
      <c r="L80" s="89">
        <f t="shared" si="77"/>
        <v>3.8031450758384674E-3</v>
      </c>
      <c r="M80" s="89">
        <f t="shared" si="77"/>
        <v>4.2488868005239626E-3</v>
      </c>
      <c r="N80" s="89">
        <f t="shared" si="77"/>
        <v>4.6817186966475795E-3</v>
      </c>
      <c r="O80" s="89">
        <f t="shared" si="77"/>
        <v>4.2874444297739131E-3</v>
      </c>
      <c r="P80" s="89">
        <f t="shared" si="77"/>
        <v>4.441663418336992E-3</v>
      </c>
      <c r="Q80" s="89">
        <f t="shared" si="77"/>
        <v>4.4507977290506031E-3</v>
      </c>
      <c r="R80" s="89">
        <f t="shared" si="77"/>
        <v>4.7042521114841187E-3</v>
      </c>
      <c r="S80" s="89">
        <f t="shared" si="77"/>
        <v>4.3212330512109997E-3</v>
      </c>
      <c r="T80" s="89">
        <f t="shared" ref="T80:Y80" si="78">T47/T$23</f>
        <v>4.1421423353136585E-3</v>
      </c>
      <c r="U80" s="89">
        <f t="shared" si="78"/>
        <v>4.107722529820541E-3</v>
      </c>
      <c r="V80" s="89">
        <f t="shared" si="78"/>
        <v>3.6186871529242468E-3</v>
      </c>
      <c r="W80" s="89">
        <f t="shared" si="78"/>
        <v>3.9857288831178263E-3</v>
      </c>
      <c r="X80" s="89">
        <f t="shared" si="78"/>
        <v>4.5286580814781711E-3</v>
      </c>
      <c r="Y80" s="89">
        <f t="shared" si="78"/>
        <v>4.1327219473079107E-3</v>
      </c>
    </row>
    <row r="81" spans="1:25" x14ac:dyDescent="0.25">
      <c r="A81" s="68" t="s">
        <v>4</v>
      </c>
      <c r="B81" s="44"/>
      <c r="C81" s="44"/>
      <c r="D81" s="89">
        <f>D48/D$23</f>
        <v>2.1381056410222816E-2</v>
      </c>
      <c r="E81" s="89">
        <f t="shared" ref="E81:S81" si="79">E48/E$23</f>
        <v>2.1097925812068239E-2</v>
      </c>
      <c r="F81" s="89">
        <f t="shared" si="79"/>
        <v>1.8402027978593562E-2</v>
      </c>
      <c r="G81" s="89">
        <f t="shared" si="79"/>
        <v>1.690789368162476E-2</v>
      </c>
      <c r="H81" s="89">
        <f t="shared" si="79"/>
        <v>1.6663044348611888E-2</v>
      </c>
      <c r="I81" s="89">
        <f t="shared" si="79"/>
        <v>1.6056838864345217E-2</v>
      </c>
      <c r="J81" s="89">
        <f t="shared" si="79"/>
        <v>1.6091811907463911E-2</v>
      </c>
      <c r="K81" s="89">
        <f t="shared" si="79"/>
        <v>1.5616597013312916E-2</v>
      </c>
      <c r="L81" s="89">
        <f t="shared" si="79"/>
        <v>1.452771494366693E-2</v>
      </c>
      <c r="M81" s="89">
        <f t="shared" si="79"/>
        <v>1.2508764114009948E-2</v>
      </c>
      <c r="N81" s="89">
        <f t="shared" si="79"/>
        <v>1.1436660005485677E-2</v>
      </c>
      <c r="O81" s="89">
        <f t="shared" si="79"/>
        <v>1.2054039091681073E-2</v>
      </c>
      <c r="P81" s="89">
        <f t="shared" si="79"/>
        <v>1.1289142372579995E-2</v>
      </c>
      <c r="Q81" s="89">
        <f t="shared" si="79"/>
        <v>1.1170025930917126E-2</v>
      </c>
      <c r="R81" s="89">
        <f t="shared" si="79"/>
        <v>1.176098055809313E-2</v>
      </c>
      <c r="S81" s="89">
        <f t="shared" si="79"/>
        <v>1.2290430348442804E-2</v>
      </c>
      <c r="T81" s="89">
        <f t="shared" ref="T81:Y81" si="80">T48/T$23</f>
        <v>1.1380083381682348E-2</v>
      </c>
      <c r="U81" s="89">
        <f t="shared" si="80"/>
        <v>1.108672361837274E-2</v>
      </c>
      <c r="V81" s="89">
        <f t="shared" si="80"/>
        <v>1.1408332027169609E-2</v>
      </c>
      <c r="W81" s="89">
        <f t="shared" si="80"/>
        <v>1.1300829080662813E-2</v>
      </c>
      <c r="X81" s="89">
        <f t="shared" si="80"/>
        <v>1.0870306767581836E-2</v>
      </c>
      <c r="Y81" s="89">
        <f t="shared" si="80"/>
        <v>1.1401822795054039E-2</v>
      </c>
    </row>
    <row r="82" spans="1:25" x14ac:dyDescent="0.25">
      <c r="A82" s="68" t="s">
        <v>3</v>
      </c>
      <c r="B82" s="44"/>
      <c r="C82" s="44"/>
      <c r="D82" s="89">
        <f>D52/D$23</f>
        <v>9.4033414451209756E-3</v>
      </c>
      <c r="E82" s="89">
        <f t="shared" ref="E82:S82" si="81">E52/E$23</f>
        <v>9.352733525251079E-3</v>
      </c>
      <c r="F82" s="89">
        <f t="shared" si="81"/>
        <v>9.5803210966106476E-3</v>
      </c>
      <c r="G82" s="89">
        <f t="shared" si="81"/>
        <v>8.5970667814916305E-3</v>
      </c>
      <c r="H82" s="89">
        <f t="shared" si="81"/>
        <v>9.7024742338797307E-3</v>
      </c>
      <c r="I82" s="89">
        <f t="shared" si="81"/>
        <v>9.1293767689482937E-3</v>
      </c>
      <c r="J82" s="89">
        <f t="shared" si="81"/>
        <v>9.2350626813210105E-3</v>
      </c>
      <c r="K82" s="89">
        <f t="shared" si="81"/>
        <v>9.4260410071708121E-3</v>
      </c>
      <c r="L82" s="89">
        <f t="shared" si="81"/>
        <v>8.4904261671615577E-3</v>
      </c>
      <c r="M82" s="89">
        <f t="shared" si="81"/>
        <v>8.0123765174199904E-3</v>
      </c>
      <c r="N82" s="89">
        <f t="shared" si="81"/>
        <v>8.484609313338597E-3</v>
      </c>
      <c r="O82" s="89">
        <f t="shared" si="81"/>
        <v>7.7444771589866429E-3</v>
      </c>
      <c r="P82" s="89">
        <f t="shared" si="81"/>
        <v>7.1442737076776834E-3</v>
      </c>
      <c r="Q82" s="89">
        <f t="shared" si="81"/>
        <v>6.9718202440277018E-3</v>
      </c>
      <c r="R82" s="89">
        <f t="shared" si="81"/>
        <v>7.5022838215760869E-3</v>
      </c>
      <c r="S82" s="89">
        <f t="shared" si="81"/>
        <v>7.9246620066161112E-3</v>
      </c>
      <c r="T82" s="89">
        <f t="shared" ref="T82:Y82" si="82">T52/T$23</f>
        <v>7.988551622333858E-3</v>
      </c>
      <c r="U82" s="89">
        <f t="shared" si="82"/>
        <v>7.8588997884230551E-3</v>
      </c>
      <c r="V82" s="89">
        <f t="shared" si="82"/>
        <v>7.6181780120573809E-3</v>
      </c>
      <c r="W82" s="89">
        <f t="shared" si="82"/>
        <v>7.6893907991226994E-3</v>
      </c>
      <c r="X82" s="89">
        <f t="shared" si="82"/>
        <v>7.7554860657849337E-3</v>
      </c>
      <c r="Y82" s="89">
        <f t="shared" si="82"/>
        <v>7.9203960244203352E-3</v>
      </c>
    </row>
    <row r="83" spans="1:25" x14ac:dyDescent="0.25">
      <c r="A83" s="88" t="s">
        <v>21</v>
      </c>
      <c r="B83" s="44"/>
      <c r="C83" s="44"/>
      <c r="D83" s="89">
        <f>D53/D$23</f>
        <v>5.8611213918648491E-3</v>
      </c>
      <c r="E83" s="89">
        <f t="shared" ref="E83:S83" si="83">E53/E$23</f>
        <v>6.0108174451203537E-3</v>
      </c>
      <c r="F83" s="89">
        <f t="shared" si="83"/>
        <v>5.4855569117140809E-3</v>
      </c>
      <c r="G83" s="89">
        <f t="shared" si="83"/>
        <v>4.8339993757009489E-3</v>
      </c>
      <c r="H83" s="89">
        <f t="shared" si="83"/>
        <v>5.6142116882671204E-3</v>
      </c>
      <c r="I83" s="89">
        <f t="shared" si="83"/>
        <v>5.2336815772804912E-3</v>
      </c>
      <c r="J83" s="89">
        <f t="shared" si="83"/>
        <v>5.0754427875635321E-3</v>
      </c>
      <c r="K83" s="89">
        <f t="shared" si="83"/>
        <v>4.8377372099840093E-3</v>
      </c>
      <c r="L83" s="89">
        <f t="shared" si="83"/>
        <v>3.9949345807359007E-3</v>
      </c>
      <c r="M83" s="89">
        <f t="shared" si="83"/>
        <v>3.94523657012658E-3</v>
      </c>
      <c r="N83" s="89">
        <f t="shared" si="83"/>
        <v>4.1436464088397797E-3</v>
      </c>
      <c r="O83" s="89">
        <f t="shared" si="83"/>
        <v>3.857158463865697E-3</v>
      </c>
      <c r="P83" s="89">
        <f t="shared" si="83"/>
        <v>3.7441273618776028E-3</v>
      </c>
      <c r="Q83" s="89">
        <f t="shared" si="83"/>
        <v>3.7007183129930264E-3</v>
      </c>
      <c r="R83" s="89">
        <f t="shared" si="83"/>
        <v>4.1557145979633356E-3</v>
      </c>
      <c r="S83" s="89">
        <f t="shared" si="83"/>
        <v>4.546529227266863E-3</v>
      </c>
      <c r="T83" s="89">
        <f t="shared" ref="T83:Y83" si="84">T53/T$23</f>
        <v>4.6628079351693002E-3</v>
      </c>
      <c r="U83" s="89">
        <f t="shared" si="84"/>
        <v>4.7675032487465028E-3</v>
      </c>
      <c r="V83" s="89">
        <f t="shared" si="84"/>
        <v>4.5060018661485495E-3</v>
      </c>
      <c r="W83" s="89">
        <f t="shared" si="84"/>
        <v>4.6984998452310814E-3</v>
      </c>
      <c r="X83" s="89">
        <f t="shared" si="84"/>
        <v>4.917628826194227E-3</v>
      </c>
      <c r="Y83" s="89">
        <f t="shared" si="84"/>
        <v>5.0089680112447733E-3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3.5422200532561274E-3</v>
      </c>
      <c r="E84" s="89">
        <f t="shared" ref="E84:S84" si="86">E56/E$23</f>
        <v>3.3419160801307253E-3</v>
      </c>
      <c r="F84" s="89">
        <f t="shared" si="86"/>
        <v>4.0947641848965675E-3</v>
      </c>
      <c r="G84" s="89">
        <f t="shared" si="86"/>
        <v>3.763067405790682E-3</v>
      </c>
      <c r="H84" s="89">
        <f t="shared" si="86"/>
        <v>4.0882625456126111E-3</v>
      </c>
      <c r="I84" s="89">
        <f t="shared" si="86"/>
        <v>3.895695191667803E-3</v>
      </c>
      <c r="J84" s="89">
        <f t="shared" si="86"/>
        <v>4.1596198937574793E-3</v>
      </c>
      <c r="K84" s="89">
        <f t="shared" si="86"/>
        <v>4.588303797186802E-3</v>
      </c>
      <c r="L84" s="89">
        <f t="shared" si="86"/>
        <v>4.4954915864256571E-3</v>
      </c>
      <c r="M84" s="89">
        <f t="shared" si="86"/>
        <v>4.0671399472934112E-3</v>
      </c>
      <c r="N84" s="89">
        <f t="shared" si="86"/>
        <v>4.3409629044988173E-3</v>
      </c>
      <c r="O84" s="89">
        <f t="shared" si="86"/>
        <v>3.8873186951209455E-3</v>
      </c>
      <c r="P84" s="89">
        <f t="shared" si="86"/>
        <v>3.400146345800081E-3</v>
      </c>
      <c r="Q84" s="89">
        <f t="shared" si="86"/>
        <v>3.2711019310346754E-3</v>
      </c>
      <c r="R84" s="89">
        <f t="shared" si="86"/>
        <v>3.3465692236127518E-3</v>
      </c>
      <c r="S84" s="89">
        <f t="shared" si="86"/>
        <v>3.3781327793492477E-3</v>
      </c>
      <c r="T84" s="89">
        <f t="shared" ref="T84:Y84" si="87">T56/T$23</f>
        <v>3.3257436871645583E-3</v>
      </c>
      <c r="U84" s="89">
        <f t="shared" si="87"/>
        <v>3.0913965396765519E-3</v>
      </c>
      <c r="V84" s="89">
        <f t="shared" si="87"/>
        <v>3.1121761459088314E-3</v>
      </c>
      <c r="W84" s="89">
        <f t="shared" si="87"/>
        <v>2.9908909538916171E-3</v>
      </c>
      <c r="X84" s="89">
        <f t="shared" si="87"/>
        <v>2.8378572395907071E-3</v>
      </c>
      <c r="Y84" s="89">
        <f t="shared" si="87"/>
        <v>2.9114280131755615E-3</v>
      </c>
    </row>
    <row r="85" spans="1:25" x14ac:dyDescent="0.25">
      <c r="A85" s="68" t="s">
        <v>2</v>
      </c>
      <c r="B85" s="44"/>
      <c r="C85" s="44"/>
      <c r="D85" s="89">
        <f t="shared" si="85"/>
        <v>3.3622431767638232E-2</v>
      </c>
      <c r="E85" s="89">
        <f t="shared" ref="E85:S85" si="88">E57/E$23</f>
        <v>3.474637476643494E-2</v>
      </c>
      <c r="F85" s="89">
        <f t="shared" si="88"/>
        <v>3.3357744186774327E-2</v>
      </c>
      <c r="G85" s="89">
        <f t="shared" si="88"/>
        <v>3.0725136920132911E-2</v>
      </c>
      <c r="H85" s="89">
        <f t="shared" si="88"/>
        <v>3.0572745678955855E-2</v>
      </c>
      <c r="I85" s="89">
        <f t="shared" si="88"/>
        <v>2.7281893185590236E-2</v>
      </c>
      <c r="J85" s="89">
        <f t="shared" si="88"/>
        <v>2.5061047500033119E-2</v>
      </c>
      <c r="K85" s="89">
        <f t="shared" si="88"/>
        <v>2.3445946429011169E-2</v>
      </c>
      <c r="L85" s="89">
        <f t="shared" si="88"/>
        <v>2.2667887227771119E-2</v>
      </c>
      <c r="M85" s="89">
        <f t="shared" si="88"/>
        <v>2.442869797588677E-2</v>
      </c>
      <c r="N85" s="89">
        <f t="shared" si="88"/>
        <v>2.2783757913650945E-2</v>
      </c>
      <c r="O85" s="89">
        <f t="shared" si="88"/>
        <v>2.2488138651274671E-2</v>
      </c>
      <c r="P85" s="89">
        <f t="shared" si="88"/>
        <v>2.2513318151666219E-2</v>
      </c>
      <c r="Q85" s="89">
        <f t="shared" si="88"/>
        <v>2.1754402168513175E-2</v>
      </c>
      <c r="R85" s="89">
        <f t="shared" si="88"/>
        <v>2.1739039057552298E-2</v>
      </c>
      <c r="S85" s="89">
        <f t="shared" si="88"/>
        <v>2.1310136559609505E-2</v>
      </c>
      <c r="T85" s="89">
        <f t="shared" ref="T85:Y85" si="89">T57/T$23</f>
        <v>2.1584753207011878E-2</v>
      </c>
      <c r="U85" s="89">
        <f t="shared" si="89"/>
        <v>2.1101518527456564E-2</v>
      </c>
      <c r="V85" s="89">
        <f t="shared" si="89"/>
        <v>2.0777996698999917E-2</v>
      </c>
      <c r="W85" s="89">
        <f t="shared" si="89"/>
        <v>2.0498664964780873E-2</v>
      </c>
      <c r="X85" s="89">
        <f t="shared" si="89"/>
        <v>2.1160721286169443E-2</v>
      </c>
      <c r="Y85" s="89">
        <f t="shared" si="89"/>
        <v>2.0083448926679404E-2</v>
      </c>
    </row>
    <row r="86" spans="1:25" x14ac:dyDescent="0.25">
      <c r="A86" s="68" t="s">
        <v>275</v>
      </c>
      <c r="B86" s="44"/>
      <c r="C86" s="44"/>
      <c r="D86" s="89">
        <f t="shared" si="85"/>
        <v>3.4257836936692029E-2</v>
      </c>
      <c r="E86" s="89">
        <f t="shared" ref="E86:S86" si="90">E58/E$23</f>
        <v>3.7945003842696917E-2</v>
      </c>
      <c r="F86" s="89">
        <f t="shared" si="90"/>
        <v>3.6546177197759211E-2</v>
      </c>
      <c r="G86" s="89">
        <f t="shared" si="90"/>
        <v>3.4164950666803209E-2</v>
      </c>
      <c r="H86" s="89">
        <f t="shared" si="90"/>
        <v>4.0674437492135757E-2</v>
      </c>
      <c r="I86" s="89">
        <f t="shared" si="90"/>
        <v>4.134828938190041E-2</v>
      </c>
      <c r="J86" s="89">
        <f t="shared" si="90"/>
        <v>4.2800810728463361E-2</v>
      </c>
      <c r="K86" s="89">
        <f t="shared" si="90"/>
        <v>4.4303028232843704E-2</v>
      </c>
      <c r="L86" s="89">
        <f t="shared" si="90"/>
        <v>4.2010062828065471E-2</v>
      </c>
      <c r="M86" s="89">
        <f t="shared" si="90"/>
        <v>3.9995389835918049E-2</v>
      </c>
      <c r="N86" s="89">
        <f t="shared" si="90"/>
        <v>4.5891478726203069E-2</v>
      </c>
      <c r="O86" s="89">
        <f t="shared" si="90"/>
        <v>4.9219486726482228E-2</v>
      </c>
      <c r="P86" s="89">
        <f t="shared" si="90"/>
        <v>4.7868069945086134E-2</v>
      </c>
      <c r="Q86" s="89">
        <f t="shared" si="90"/>
        <v>4.8119833583126569E-2</v>
      </c>
      <c r="R86" s="89">
        <f t="shared" si="90"/>
        <v>5.5311216226061895E-2</v>
      </c>
      <c r="S86" s="89">
        <f t="shared" si="90"/>
        <v>5.6921340852811524E-2</v>
      </c>
      <c r="T86" s="89">
        <f t="shared" ref="T86:Y86" si="91">T58/T$23</f>
        <v>6.1103334891361952E-2</v>
      </c>
      <c r="U86" s="89">
        <f t="shared" si="91"/>
        <v>5.9869224697466743E-2</v>
      </c>
      <c r="V86" s="89">
        <f t="shared" si="91"/>
        <v>5.6819173992579589E-2</v>
      </c>
      <c r="W86" s="89">
        <f t="shared" si="91"/>
        <v>5.7964025914841281E-2</v>
      </c>
      <c r="X86" s="89">
        <f t="shared" si="91"/>
        <v>4.7210051329882825E-2</v>
      </c>
      <c r="Y86" s="89">
        <f t="shared" si="91"/>
        <v>4.6893252720543094E-2</v>
      </c>
    </row>
    <row r="87" spans="1:25" x14ac:dyDescent="0.25">
      <c r="A87" s="68" t="s">
        <v>276</v>
      </c>
      <c r="B87" s="44"/>
      <c r="C87" s="44"/>
      <c r="D87" s="89">
        <f t="shared" si="85"/>
        <v>6.5242027139006356E-2</v>
      </c>
      <c r="E87" s="89">
        <f t="shared" ref="E87:S87" si="92">E59/E$23</f>
        <v>6.8045406059448185E-2</v>
      </c>
      <c r="F87" s="89">
        <f t="shared" si="92"/>
        <v>6.4751353550527344E-2</v>
      </c>
      <c r="G87" s="89">
        <f t="shared" si="92"/>
        <v>6.497151789801224E-2</v>
      </c>
      <c r="H87" s="89">
        <f t="shared" si="92"/>
        <v>6.9516477734182874E-2</v>
      </c>
      <c r="I87" s="89">
        <f t="shared" si="92"/>
        <v>7.1150808604805924E-2</v>
      </c>
      <c r="J87" s="89">
        <f t="shared" si="92"/>
        <v>7.7761047058459876E-2</v>
      </c>
      <c r="K87" s="89">
        <f t="shared" si="92"/>
        <v>8.1585379706764813E-2</v>
      </c>
      <c r="L87" s="89">
        <f t="shared" si="92"/>
        <v>7.7152429129697317E-2</v>
      </c>
      <c r="M87" s="89">
        <f t="shared" si="92"/>
        <v>7.0266584215655195E-2</v>
      </c>
      <c r="N87" s="89">
        <f t="shared" si="92"/>
        <v>7.5218867375326764E-2</v>
      </c>
      <c r="O87" s="89">
        <f t="shared" si="92"/>
        <v>8.2642384776187627E-2</v>
      </c>
      <c r="P87" s="89">
        <f t="shared" si="92"/>
        <v>8.5360632979778292E-2</v>
      </c>
      <c r="Q87" s="89">
        <f t="shared" si="92"/>
        <v>8.6245838528612867E-2</v>
      </c>
      <c r="R87" s="89">
        <f t="shared" si="92"/>
        <v>9.0326544451854784E-2</v>
      </c>
      <c r="S87" s="89">
        <f t="shared" si="92"/>
        <v>9.1188627258610544E-2</v>
      </c>
      <c r="T87" s="89">
        <f t="shared" ref="T87:Y87" si="93">T59/T$23</f>
        <v>8.9347094109523975E-2</v>
      </c>
      <c r="U87" s="89">
        <f t="shared" si="93"/>
        <v>8.8469085174767356E-2</v>
      </c>
      <c r="V87" s="89">
        <f t="shared" si="93"/>
        <v>8.5606671849243809E-2</v>
      </c>
      <c r="W87" s="89">
        <f t="shared" si="93"/>
        <v>8.4044673520975735E-2</v>
      </c>
      <c r="X87" s="89">
        <f t="shared" si="93"/>
        <v>8.186357716639904E-2</v>
      </c>
      <c r="Y87" s="89">
        <f t="shared" si="93"/>
        <v>8.3699282697673863E-2</v>
      </c>
    </row>
    <row r="88" spans="1:25" x14ac:dyDescent="0.25">
      <c r="A88" s="68" t="s">
        <v>1</v>
      </c>
      <c r="B88" s="44"/>
      <c r="C88" s="44"/>
      <c r="D88" s="89">
        <f t="shared" si="85"/>
        <v>1.4209821267731572E-2</v>
      </c>
      <c r="E88" s="89">
        <f t="shared" ref="E88:S88" si="94">E60/E$23</f>
        <v>1.3976995922833434E-2</v>
      </c>
      <c r="F88" s="89">
        <f t="shared" si="94"/>
        <v>1.2271774168309706E-2</v>
      </c>
      <c r="G88" s="89">
        <f t="shared" si="94"/>
        <v>1.1422451817314799E-2</v>
      </c>
      <c r="H88" s="89">
        <f t="shared" si="94"/>
        <v>9.6224019400372902E-3</v>
      </c>
      <c r="I88" s="89">
        <f t="shared" si="94"/>
        <v>8.8427369889593575E-3</v>
      </c>
      <c r="J88" s="89">
        <f t="shared" si="94"/>
        <v>8.3439678887941952E-3</v>
      </c>
      <c r="K88" s="89">
        <f t="shared" si="94"/>
        <v>7.8857499644517659E-3</v>
      </c>
      <c r="L88" s="89">
        <f t="shared" si="94"/>
        <v>7.4770702724907207E-3</v>
      </c>
      <c r="M88" s="89">
        <f t="shared" si="94"/>
        <v>7.0969929761490495E-3</v>
      </c>
      <c r="N88" s="89">
        <f t="shared" si="94"/>
        <v>6.5121440606335399E-3</v>
      </c>
      <c r="O88" s="89">
        <f t="shared" si="94"/>
        <v>6.4221185752842934E-3</v>
      </c>
      <c r="P88" s="89">
        <f t="shared" si="94"/>
        <v>5.8750316284731487E-3</v>
      </c>
      <c r="Q88" s="89">
        <f t="shared" si="94"/>
        <v>6.0685063203986611E-3</v>
      </c>
      <c r="R88" s="89">
        <f t="shared" si="94"/>
        <v>6.2903171569643939E-3</v>
      </c>
      <c r="S88" s="89">
        <f t="shared" si="94"/>
        <v>6.0240529865169404E-3</v>
      </c>
      <c r="T88" s="89">
        <f t="shared" ref="T88:Y88" si="95">T60/T$23</f>
        <v>6.0813240820684266E-3</v>
      </c>
      <c r="U88" s="89">
        <f t="shared" si="95"/>
        <v>5.9890433982089045E-3</v>
      </c>
      <c r="V88" s="89">
        <f t="shared" si="95"/>
        <v>5.4890434778949752E-3</v>
      </c>
      <c r="W88" s="89">
        <f t="shared" si="95"/>
        <v>5.412742461085797E-3</v>
      </c>
      <c r="X88" s="89">
        <f t="shared" si="95"/>
        <v>5.3086360669559176E-3</v>
      </c>
      <c r="Y88" s="89">
        <f t="shared" si="95"/>
        <v>5.1055075090638575E-3</v>
      </c>
    </row>
    <row r="89" spans="1:25" x14ac:dyDescent="0.25">
      <c r="A89" s="68" t="s">
        <v>0</v>
      </c>
      <c r="B89" s="44"/>
      <c r="C89" s="44"/>
      <c r="D89" s="89">
        <f t="shared" si="85"/>
        <v>7.4217943972985454E-3</v>
      </c>
      <c r="E89" s="89">
        <f t="shared" ref="E89:S89" si="96">E61/E$23</f>
        <v>7.941573638664913E-3</v>
      </c>
      <c r="F89" s="89">
        <f t="shared" si="96"/>
        <v>7.7876881669952745E-3</v>
      </c>
      <c r="G89" s="89">
        <f t="shared" si="96"/>
        <v>8.1171214631793123E-3</v>
      </c>
      <c r="H89" s="89">
        <f t="shared" si="96"/>
        <v>8.191395660081674E-3</v>
      </c>
      <c r="I89" s="89">
        <f t="shared" si="96"/>
        <v>7.9337080363371046E-3</v>
      </c>
      <c r="J89" s="89">
        <f t="shared" si="96"/>
        <v>7.5623832590754336E-3</v>
      </c>
      <c r="K89" s="89">
        <f t="shared" si="96"/>
        <v>7.4162749741232686E-3</v>
      </c>
      <c r="L89" s="89">
        <f t="shared" si="96"/>
        <v>7.2560362686195654E-3</v>
      </c>
      <c r="M89" s="89">
        <f t="shared" si="96"/>
        <v>6.2348036358236339E-3</v>
      </c>
      <c r="N89" s="89">
        <f t="shared" si="96"/>
        <v>5.8474253695835927E-3</v>
      </c>
      <c r="O89" s="89">
        <f t="shared" si="96"/>
        <v>5.7445187130830393E-3</v>
      </c>
      <c r="P89" s="89">
        <f t="shared" si="96"/>
        <v>5.7868138330974019E-3</v>
      </c>
      <c r="Q89" s="89">
        <f t="shared" si="96"/>
        <v>5.5535264228068924E-3</v>
      </c>
      <c r="R89" s="89">
        <f t="shared" si="96"/>
        <v>5.8405584294032907E-3</v>
      </c>
      <c r="S89" s="89">
        <f t="shared" si="96"/>
        <v>5.9015809373237828E-3</v>
      </c>
      <c r="T89" s="89">
        <f t="shared" ref="T89:Y89" si="97">T61/T$23</f>
        <v>6.1402200704997511E-3</v>
      </c>
      <c r="U89" s="89">
        <f t="shared" si="97"/>
        <v>6.1506925404653089E-3</v>
      </c>
      <c r="V89" s="89">
        <f t="shared" si="97"/>
        <v>6.4378969115977871E-3</v>
      </c>
      <c r="W89" s="89">
        <f t="shared" si="97"/>
        <v>6.3227150245545429E-3</v>
      </c>
      <c r="X89" s="89">
        <f t="shared" si="97"/>
        <v>6.3589589024915507E-3</v>
      </c>
      <c r="Y89" s="89">
        <f t="shared" si="97"/>
        <v>6.4866228127914366E-3</v>
      </c>
    </row>
    <row r="90" spans="1:25" x14ac:dyDescent="0.25">
      <c r="A90" s="90" t="s">
        <v>278</v>
      </c>
      <c r="B90" s="47"/>
      <c r="C90" s="47"/>
      <c r="D90" s="91">
        <f t="shared" si="85"/>
        <v>2.3577134584710318E-2</v>
      </c>
      <c r="E90" s="91">
        <f t="shared" ref="E90:S90" si="98">E62/E$23</f>
        <v>2.3587356586353574E-2</v>
      </c>
      <c r="F90" s="91">
        <f t="shared" si="98"/>
        <v>2.4145463649735549E-2</v>
      </c>
      <c r="G90" s="91">
        <f t="shared" si="98"/>
        <v>2.4862154522651815E-2</v>
      </c>
      <c r="H90" s="91">
        <f t="shared" si="98"/>
        <v>2.5254801477905767E-2</v>
      </c>
      <c r="I90" s="91">
        <f t="shared" si="98"/>
        <v>2.5324524338323134E-2</v>
      </c>
      <c r="J90" s="91">
        <f t="shared" si="98"/>
        <v>2.78994802682999E-2</v>
      </c>
      <c r="K90" s="91">
        <f t="shared" si="98"/>
        <v>2.6462184226434697E-2</v>
      </c>
      <c r="L90" s="91">
        <f t="shared" si="98"/>
        <v>2.5903144939817543E-2</v>
      </c>
      <c r="M90" s="91">
        <f t="shared" si="98"/>
        <v>2.5814702433856335E-2</v>
      </c>
      <c r="N90" s="91">
        <f t="shared" si="98"/>
        <v>2.5697324892105668E-2</v>
      </c>
      <c r="O90" s="91">
        <f t="shared" si="98"/>
        <v>2.6461916675993995E-2</v>
      </c>
      <c r="P90" s="91">
        <f t="shared" si="98"/>
        <v>2.6300528622913374E-2</v>
      </c>
      <c r="Q90" s="91">
        <f t="shared" si="98"/>
        <v>2.6898603536848351E-2</v>
      </c>
      <c r="R90" s="91">
        <f t="shared" si="98"/>
        <v>2.8397149566494233E-2</v>
      </c>
      <c r="S90" s="91">
        <f t="shared" si="98"/>
        <v>2.9393291806357937E-2</v>
      </c>
      <c r="T90" s="91">
        <f t="shared" ref="T90:Y90" si="99">T62/T$23</f>
        <v>3.0256874226990152E-2</v>
      </c>
      <c r="U90" s="91">
        <f t="shared" si="99"/>
        <v>2.8825137473423908E-2</v>
      </c>
      <c r="V90" s="91">
        <f t="shared" si="99"/>
        <v>2.6942388186248778E-2</v>
      </c>
      <c r="W90" s="91">
        <f t="shared" si="99"/>
        <v>2.6798324080719228E-2</v>
      </c>
      <c r="X90" s="91">
        <f t="shared" si="99"/>
        <v>2.5846698687172823E-2</v>
      </c>
      <c r="Y90" s="91">
        <f t="shared" si="99"/>
        <v>2.6155275236879747E-2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3.0421677923699209E-2</v>
      </c>
      <c r="F93" s="92">
        <f t="shared" ref="F93:F94" si="101">IF(E16=0,"",F16/E16-1)</f>
        <v>1.5706119145636022E-2</v>
      </c>
      <c r="G93" s="92">
        <f t="shared" ref="G93:G94" si="102">IF(F16=0,"",G16/F16-1)</f>
        <v>3.5836692146698823E-2</v>
      </c>
      <c r="H93" s="92">
        <f t="shared" ref="H93:H94" si="103">IF(G16=0,"",H16/G16-1)</f>
        <v>4.8140497191220932E-2</v>
      </c>
      <c r="I93" s="92">
        <f t="shared" ref="I93:I94" si="104">IF(H16=0,"",I16/H16-1)</f>
        <v>6.6012140826809285E-2</v>
      </c>
      <c r="J93" s="92">
        <f t="shared" ref="J93:J94" si="105">IF(I16=0,"",J16/I16-1)</f>
        <v>6.7680959601386315E-2</v>
      </c>
      <c r="K93" s="92">
        <f t="shared" ref="K93:K94" si="106">IF(J16=0,"",K16/J16-1)</f>
        <v>5.5697217880949834E-2</v>
      </c>
      <c r="L93" s="92">
        <f t="shared" ref="L93:L94" si="107">IF(K16=0,"",L16/K16-1)</f>
        <v>2.6864286413432525E-2</v>
      </c>
      <c r="M93" s="92">
        <f t="shared" ref="M93:M94" si="108">IF(L16=0,"",M16/L16-1)</f>
        <v>-4.6576207395469305E-2</v>
      </c>
      <c r="N93" s="92">
        <f t="shared" ref="N93:N94" si="109">IF(M16=0,"",N16/M16-1)</f>
        <v>2.4354914359417945E-2</v>
      </c>
      <c r="O93" s="92">
        <f t="shared" ref="O93:O94" si="110">IF(N16=0,"",O16/N16-1)</f>
        <v>1.7597433035762E-2</v>
      </c>
      <c r="P93" s="92">
        <f t="shared" ref="P93:P94" si="111">IF(O16=0,"",P16/O16-1)</f>
        <v>-7.842908499835044E-3</v>
      </c>
      <c r="Q93" s="92">
        <f t="shared" ref="Q93:Q94" si="112">IF(P16=0,"",Q16/P16-1)</f>
        <v>-4.636115971100585E-4</v>
      </c>
      <c r="R93" s="92">
        <f t="shared" ref="R93:R94" si="113">IF(Q16=0,"",R16/Q16-1)</f>
        <v>2.2626240514365126E-2</v>
      </c>
      <c r="S93" s="92">
        <f t="shared" ref="S93:S94" si="114">IF(R16=0,"",S16/R16-1)</f>
        <v>5.388008542573175E-2</v>
      </c>
      <c r="T93" s="92">
        <f t="shared" ref="T93:T94" si="115">IF(S16=0,"",T16/S16-1)</f>
        <v>2.5373304858744783E-2</v>
      </c>
      <c r="U93" s="92">
        <f t="shared" ref="U93:U94" si="116">IF(T16=0,"",U16/T16-1)</f>
        <v>5.1691441392123449E-2</v>
      </c>
      <c r="V93" s="92">
        <f t="shared" ref="V93:V94" si="117">IF(U16=0,"",V16/U16-1)</f>
        <v>3.2192532126978701E-2</v>
      </c>
      <c r="W93" s="92">
        <f t="shared" ref="W93:W94" si="118">IF(V16=0,"",W16/V16-1)</f>
        <v>3.0299880338612972E-2</v>
      </c>
      <c r="X93" s="92">
        <f t="shared" ref="X93:X94" si="119">IF(W16=0,"",X16/W16-1)</f>
        <v>-5.5030116853938327E-2</v>
      </c>
      <c r="Y93" s="92">
        <f t="shared" ref="Y93:Y94" si="120">IF(X16=0,"",Y16/X16-1)</f>
        <v>3.5535465992986959E-2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3.0058306440147176E-2</v>
      </c>
      <c r="F94" s="93">
        <f t="shared" si="101"/>
        <v>3.0934425709616686E-2</v>
      </c>
      <c r="G94" s="93">
        <f t="shared" si="102"/>
        <v>5.1192395802847734E-2</v>
      </c>
      <c r="H94" s="93">
        <f t="shared" si="103"/>
        <v>2.8755898614991837E-2</v>
      </c>
      <c r="I94" s="93">
        <f t="shared" si="104"/>
        <v>3.5779490584025631E-2</v>
      </c>
      <c r="J94" s="93">
        <f t="shared" si="105"/>
        <v>3.7520011910004758E-2</v>
      </c>
      <c r="K94" s="93">
        <f t="shared" si="106"/>
        <v>4.1387138754211072E-2</v>
      </c>
      <c r="L94" s="93">
        <f t="shared" si="107"/>
        <v>2.9954673287382994E-2</v>
      </c>
      <c r="M94" s="93">
        <f t="shared" si="108"/>
        <v>-4.7174784578805085E-3</v>
      </c>
      <c r="N94" s="93">
        <f t="shared" si="109"/>
        <v>1.3568402916296352E-2</v>
      </c>
      <c r="O94" s="93">
        <f t="shared" si="110"/>
        <v>3.9324791066803755E-3</v>
      </c>
      <c r="P94" s="93">
        <f t="shared" si="111"/>
        <v>-1.0800928683912914E-2</v>
      </c>
      <c r="Q94" s="93">
        <f t="shared" si="112"/>
        <v>9.0974105794090487E-3</v>
      </c>
      <c r="R94" s="93">
        <f t="shared" si="113"/>
        <v>1.4063479613828367E-2</v>
      </c>
      <c r="S94" s="93">
        <f t="shared" si="114"/>
        <v>3.8687764601602614E-2</v>
      </c>
      <c r="T94" s="93">
        <f t="shared" si="115"/>
        <v>3.7829355019420863E-2</v>
      </c>
      <c r="U94" s="93">
        <f t="shared" si="116"/>
        <v>4.0437597663447677E-2</v>
      </c>
      <c r="V94" s="93">
        <f t="shared" si="117"/>
        <v>3.5078407587060489E-2</v>
      </c>
      <c r="W94" s="93">
        <f t="shared" si="118"/>
        <v>2.6872661931296449E-2</v>
      </c>
      <c r="X94" s="93">
        <f t="shared" si="119"/>
        <v>-7.2375513905852173E-2</v>
      </c>
      <c r="Y94" s="93">
        <f t="shared" si="120"/>
        <v>4.11033778369152E-2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3.5061282287880635E-2</v>
      </c>
      <c r="F95" s="92">
        <f t="shared" ref="F95:F96" si="122">IF(E20=0,"",F20/E20-1)</f>
        <v>1.8777278472569492E-2</v>
      </c>
      <c r="G95" s="92">
        <f t="shared" ref="G95:G96" si="123">IF(F20=0,"",G20/F20-1)</f>
        <v>3.6703865586507067E-2</v>
      </c>
      <c r="H95" s="92">
        <f t="shared" ref="H95:H96" si="124">IF(G20=0,"",H20/G20-1)</f>
        <v>4.7863127224174074E-2</v>
      </c>
      <c r="I95" s="92">
        <f t="shared" ref="I95:I96" si="125">IF(H20=0,"",I20/H20-1)</f>
        <v>6.5645475099134876E-2</v>
      </c>
      <c r="J95" s="92">
        <f t="shared" ref="J95:J96" si="126">IF(I20=0,"",J20/I20-1)</f>
        <v>6.5099161793900073E-2</v>
      </c>
      <c r="K95" s="92">
        <f t="shared" ref="K95:K96" si="127">IF(J20=0,"",K20/J20-1)</f>
        <v>5.2541111138362906E-2</v>
      </c>
      <c r="L95" s="92">
        <f t="shared" ref="L95:L96" si="128">IF(K20=0,"",L20/K20-1)</f>
        <v>1.8009866779299166E-2</v>
      </c>
      <c r="M95" s="92">
        <f t="shared" ref="M95:M96" si="129">IF(L20=0,"",M20/L20-1)</f>
        <v>-5.4108009753402686E-2</v>
      </c>
      <c r="N95" s="92">
        <f t="shared" ref="N95:N96" si="130">IF(M20=0,"",N20/M20-1)</f>
        <v>2.0800250590023106E-2</v>
      </c>
      <c r="O95" s="92">
        <f t="shared" ref="O95:O96" si="131">IF(N20=0,"",O20/N20-1)</f>
        <v>1.5206158429566852E-2</v>
      </c>
      <c r="P95" s="92">
        <f t="shared" ref="P95:P96" si="132">IF(O20=0,"",P20/O20-1)</f>
        <v>-9.6102993919231494E-3</v>
      </c>
      <c r="Q95" s="92">
        <f t="shared" ref="Q95:Q96" si="133">IF(P20=0,"",Q20/P20-1)</f>
        <v>-1.4787239724520784E-3</v>
      </c>
      <c r="R95" s="92">
        <f t="shared" ref="R95:R96" si="134">IF(Q20=0,"",R20/Q20-1)</f>
        <v>2.2986752480958828E-2</v>
      </c>
      <c r="S95" s="92">
        <f t="shared" ref="S95:S96" si="135">IF(R20=0,"",S20/R20-1)</f>
        <v>5.1294356405681807E-2</v>
      </c>
      <c r="T95" s="92">
        <f t="shared" ref="T95:T96" si="136">IF(S20=0,"",T20/S20-1)</f>
        <v>2.386077415215393E-2</v>
      </c>
      <c r="U95" s="92">
        <f t="shared" ref="U95:U96" si="137">IF(T20=0,"",U20/T20-1)</f>
        <v>4.920835753856978E-2</v>
      </c>
      <c r="V95" s="92">
        <f t="shared" ref="V95:V96" si="138">IF(U20=0,"",V20/U20-1)</f>
        <v>2.9153854783554145E-2</v>
      </c>
      <c r="W95" s="92">
        <f t="shared" ref="W95:W96" si="139">IF(V20=0,"",W20/V20-1)</f>
        <v>2.6454806370645789E-2</v>
      </c>
      <c r="X95" s="92">
        <f t="shared" ref="X95:X96" si="140">IF(W20=0,"",X20/W20-1)</f>
        <v>-5.8930459437918303E-2</v>
      </c>
      <c r="Y95" s="92">
        <f t="shared" ref="Y95:Y96" si="141">IF(X20=0,"",Y20/X20-1)</f>
        <v>5.5181148677842851E-2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3.4696274678112538E-2</v>
      </c>
      <c r="F96" s="93">
        <f t="shared" si="122"/>
        <v>3.4051630398349131E-2</v>
      </c>
      <c r="G96" s="93">
        <f t="shared" si="123"/>
        <v>5.2072424607271905E-2</v>
      </c>
      <c r="H96" s="93">
        <f t="shared" si="124"/>
        <v>2.8483658404387491E-2</v>
      </c>
      <c r="I96" s="93">
        <f t="shared" si="125"/>
        <v>3.5423223684165839E-2</v>
      </c>
      <c r="J96" s="93">
        <f t="shared" si="126"/>
        <v>3.5011147377127294E-2</v>
      </c>
      <c r="K96" s="93">
        <f t="shared" si="127"/>
        <v>3.8273813347459607E-2</v>
      </c>
      <c r="L96" s="93">
        <f t="shared" si="128"/>
        <v>2.107360594276253E-2</v>
      </c>
      <c r="M96" s="93">
        <f t="shared" si="129"/>
        <v>-1.2579953991538773E-2</v>
      </c>
      <c r="N96" s="93">
        <f t="shared" si="130"/>
        <v>1.0051169944457872E-2</v>
      </c>
      <c r="O96" s="93">
        <f t="shared" si="131"/>
        <v>1.5733160765019072E-3</v>
      </c>
      <c r="P96" s="93">
        <f t="shared" si="132"/>
        <v>-1.256305027139526E-2</v>
      </c>
      <c r="Q96" s="93">
        <f t="shared" si="133"/>
        <v>8.0725881904597507E-3</v>
      </c>
      <c r="R96" s="93">
        <f t="shared" si="134"/>
        <v>1.4420972903950169E-2</v>
      </c>
      <c r="S96" s="93">
        <f t="shared" si="135"/>
        <v>3.613931043414742E-2</v>
      </c>
      <c r="T96" s="93">
        <f t="shared" si="136"/>
        <v>3.6298450362326706E-2</v>
      </c>
      <c r="U96" s="93">
        <f t="shared" si="137"/>
        <v>3.7981084566822476E-2</v>
      </c>
      <c r="V96" s="93">
        <f t="shared" si="138"/>
        <v>3.20312344987983E-2</v>
      </c>
      <c r="W96" s="93">
        <f t="shared" si="139"/>
        <v>2.3040378325176247E-2</v>
      </c>
      <c r="X96" s="93">
        <f t="shared" si="140"/>
        <v>-7.6204263741783684E-2</v>
      </c>
      <c r="Y96" s="93">
        <f t="shared" si="141"/>
        <v>6.0854692277413802E-2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3.0699026246198358E-2</v>
      </c>
      <c r="F97" s="89">
        <f t="shared" ref="F97:F106" si="143">IF(E23=0,"",F23/E23-1)</f>
        <v>2.0248113006638313E-2</v>
      </c>
      <c r="G97" s="89">
        <f t="shared" ref="G97:G106" si="144">IF(F23=0,"",G23/F23-1)</f>
        <v>2.9752511038100948E-2</v>
      </c>
      <c r="H97" s="89">
        <f t="shared" ref="H97:H106" si="145">IF(G23=0,"",H23/G23-1)</f>
        <v>4.8538540246215955E-2</v>
      </c>
      <c r="I97" s="89">
        <f t="shared" ref="I97:I106" si="146">IF(H23=0,"",I23/H23-1)</f>
        <v>6.7775183567929664E-2</v>
      </c>
      <c r="J97" s="89">
        <f t="shared" ref="J97:J106" si="147">IF(I23=0,"",J23/I23-1)</f>
        <v>7.2804370366753135E-2</v>
      </c>
      <c r="K97" s="89">
        <f t="shared" ref="K97:K106" si="148">IF(J23=0,"",K23/J23-1)</f>
        <v>5.2865141283268358E-2</v>
      </c>
      <c r="L97" s="89">
        <f t="shared" ref="L97:L106" si="149">IF(K23=0,"",L23/K23-1)</f>
        <v>3.5735819858989659E-2</v>
      </c>
      <c r="M97" s="89">
        <f t="shared" ref="M97:M106" si="150">IF(L23=0,"",M23/L23-1)</f>
        <v>-5.2791697561503592E-2</v>
      </c>
      <c r="N97" s="89">
        <f t="shared" ref="N97:N106" si="151">IF(M23=0,"",N23/M23-1)</f>
        <v>3.0022262212797246E-2</v>
      </c>
      <c r="O97" s="89">
        <f t="shared" ref="O97:O106" si="152">IF(N23=0,"",O23/N23-1)</f>
        <v>1.7564566014140359E-2</v>
      </c>
      <c r="P97" s="89">
        <f t="shared" ref="P97:P106" si="153">IF(O23=0,"",P23/O23-1)</f>
        <v>-8.3896326675499955E-3</v>
      </c>
      <c r="Q97" s="89">
        <f t="shared" ref="Q97:Q106" si="154">IF(P23=0,"",Q23/P23-1)</f>
        <v>-1.632741449146824E-4</v>
      </c>
      <c r="R97" s="89">
        <f t="shared" ref="R97:R106" si="155">IF(Q23=0,"",R23/Q23-1)</f>
        <v>2.858774047475432E-2</v>
      </c>
      <c r="S97" s="89">
        <f t="shared" ref="S97:S106" si="156">IF(R23=0,"",S23/R23-1)</f>
        <v>4.8210918110284551E-2</v>
      </c>
      <c r="T97" s="89">
        <f t="shared" ref="T97:T106" si="157">IF(S23=0,"",T23/S23-1)</f>
        <v>2.4986748144670612E-2</v>
      </c>
      <c r="U97" s="89">
        <f t="shared" ref="U97:U106" si="158">IF(T23=0,"",U23/T23-1)</f>
        <v>5.2008088678750397E-2</v>
      </c>
      <c r="V97" s="89">
        <f t="shared" ref="V97:V106" si="159">IF(U23=0,"",V23/U23-1)</f>
        <v>3.4082153099623147E-2</v>
      </c>
      <c r="W97" s="89">
        <f t="shared" ref="W97:W106" si="160">IF(V23=0,"",W23/V23-1)</f>
        <v>3.0070041344365084E-2</v>
      </c>
      <c r="X97" s="89">
        <f t="shared" ref="X97:X106" si="161">IF(W23=0,"",X23/W23-1)</f>
        <v>-5.2641475596426068E-2</v>
      </c>
      <c r="Y97" s="89">
        <f t="shared" ref="Y97:Y106" si="162">IF(X23=0,"",Y23/X23-1)</f>
        <v>3.4212593566676608E-2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1.389904872589276E-2</v>
      </c>
      <c r="F98" s="83">
        <f t="shared" si="143"/>
        <v>-0.1546063711932576</v>
      </c>
      <c r="G98" s="83">
        <f t="shared" si="144"/>
        <v>-5.5026931690516423E-2</v>
      </c>
      <c r="H98" s="83">
        <f t="shared" si="145"/>
        <v>4.8034333844042321E-2</v>
      </c>
      <c r="I98" s="83">
        <f t="shared" si="146"/>
        <v>1.1043174748479601E-2</v>
      </c>
      <c r="J98" s="83">
        <f t="shared" si="147"/>
        <v>1.1603732133102396E-2</v>
      </c>
      <c r="K98" s="83">
        <f t="shared" si="148"/>
        <v>1.9541074846209705E-2</v>
      </c>
      <c r="L98" s="83">
        <f t="shared" si="149"/>
        <v>-4.976119309075866E-2</v>
      </c>
      <c r="M98" s="83">
        <f t="shared" si="150"/>
        <v>-0.13095835411124701</v>
      </c>
      <c r="N98" s="83">
        <f t="shared" si="151"/>
        <v>-9.6881939807596296E-2</v>
      </c>
      <c r="O98" s="83">
        <f t="shared" si="152"/>
        <v>0.31214977492254192</v>
      </c>
      <c r="P98" s="83">
        <f t="shared" si="153"/>
        <v>0.13068211112850348</v>
      </c>
      <c r="Q98" s="83">
        <f t="shared" si="154"/>
        <v>5.3967263438546409E-2</v>
      </c>
      <c r="R98" s="83">
        <f t="shared" si="155"/>
        <v>4.0226727246390759E-2</v>
      </c>
      <c r="S98" s="83">
        <f t="shared" si="156"/>
        <v>-3.5393672188820946E-2</v>
      </c>
      <c r="T98" s="83">
        <f t="shared" si="157"/>
        <v>-3.1481970678188254E-2</v>
      </c>
      <c r="U98" s="83">
        <f t="shared" si="158"/>
        <v>3.817549050390423E-2</v>
      </c>
      <c r="V98" s="83">
        <f t="shared" si="159"/>
        <v>-2.9685881039209883E-2</v>
      </c>
      <c r="W98" s="83">
        <f t="shared" si="160"/>
        <v>-1.2628517245193316E-2</v>
      </c>
      <c r="X98" s="83">
        <f t="shared" si="161"/>
        <v>-9.0918879896038085E-3</v>
      </c>
      <c r="Y98" s="83">
        <f t="shared" si="162"/>
        <v>-2.4990926963635141E-2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2.8470725872955516E-3</v>
      </c>
      <c r="F99" s="83">
        <f t="shared" si="143"/>
        <v>-4.8522566025273828E-2</v>
      </c>
      <c r="G99" s="83">
        <f t="shared" si="144"/>
        <v>-8.2932377844287197E-2</v>
      </c>
      <c r="H99" s="83">
        <f t="shared" si="145"/>
        <v>0.13704444553486184</v>
      </c>
      <c r="I99" s="83">
        <f t="shared" si="146"/>
        <v>0.14361195891959588</v>
      </c>
      <c r="J99" s="83">
        <f t="shared" si="147"/>
        <v>0.12581028434868968</v>
      </c>
      <c r="K99" s="83">
        <f t="shared" si="148"/>
        <v>3.803539869768402E-2</v>
      </c>
      <c r="L99" s="83">
        <f t="shared" si="149"/>
        <v>0.1215598931256574</v>
      </c>
      <c r="M99" s="83">
        <f t="shared" si="150"/>
        <v>-0.16356057891496001</v>
      </c>
      <c r="N99" s="83">
        <f t="shared" si="151"/>
        <v>4.7683061424125928E-2</v>
      </c>
      <c r="O99" s="83">
        <f t="shared" si="152"/>
        <v>3.6649055106154238E-2</v>
      </c>
      <c r="P99" s="83">
        <f t="shared" si="153"/>
        <v>-8.7145363621677241E-2</v>
      </c>
      <c r="Q99" s="83">
        <f t="shared" si="154"/>
        <v>-0.22218581858814623</v>
      </c>
      <c r="R99" s="83">
        <f t="shared" si="155"/>
        <v>0.12820510909519101</v>
      </c>
      <c r="S99" s="83">
        <f t="shared" si="156"/>
        <v>-5.2208365296803616E-2</v>
      </c>
      <c r="T99" s="83">
        <f t="shared" si="157"/>
        <v>-0.168491361036188</v>
      </c>
      <c r="U99" s="83">
        <f t="shared" si="158"/>
        <v>2.7510018615513276E-2</v>
      </c>
      <c r="V99" s="83">
        <f t="shared" si="159"/>
        <v>-1.5684256185839796E-2</v>
      </c>
      <c r="W99" s="83">
        <f t="shared" si="160"/>
        <v>-0.12845858887148842</v>
      </c>
      <c r="X99" s="83">
        <f t="shared" si="161"/>
        <v>-0.15591725700270886</v>
      </c>
      <c r="Y99" s="83">
        <f t="shared" si="162"/>
        <v>-2.804138639350473E-3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2.4534807134310999E-2</v>
      </c>
      <c r="F100" s="83">
        <f t="shared" si="143"/>
        <v>4.4361153510615869E-2</v>
      </c>
      <c r="G100" s="83">
        <f t="shared" si="144"/>
        <v>4.8968340424685231E-2</v>
      </c>
      <c r="H100" s="83">
        <f t="shared" si="145"/>
        <v>2.5032798325178129E-2</v>
      </c>
      <c r="I100" s="83">
        <f t="shared" si="146"/>
        <v>6.6923118993803765E-2</v>
      </c>
      <c r="J100" s="83">
        <f t="shared" si="147"/>
        <v>6.5243697520537713E-2</v>
      </c>
      <c r="K100" s="83">
        <f t="shared" si="148"/>
        <v>5.5934899655103898E-2</v>
      </c>
      <c r="L100" s="83">
        <f t="shared" si="149"/>
        <v>4.9435102139281373E-2</v>
      </c>
      <c r="M100" s="83">
        <f t="shared" si="150"/>
        <v>-4.0079417768007275E-2</v>
      </c>
      <c r="N100" s="83">
        <f t="shared" si="151"/>
        <v>3.0552376229432632E-2</v>
      </c>
      <c r="O100" s="83">
        <f t="shared" si="152"/>
        <v>1.7242913350858924E-3</v>
      </c>
      <c r="P100" s="83">
        <f t="shared" si="153"/>
        <v>-3.8735949219423915E-3</v>
      </c>
      <c r="Q100" s="83">
        <f t="shared" si="154"/>
        <v>1.0408940649475618E-4</v>
      </c>
      <c r="R100" s="83">
        <f t="shared" si="155"/>
        <v>1.1504418774050063E-2</v>
      </c>
      <c r="S100" s="83">
        <f t="shared" si="156"/>
        <v>4.7800989678195682E-2</v>
      </c>
      <c r="T100" s="83">
        <f t="shared" si="157"/>
        <v>3.35008282005822E-2</v>
      </c>
      <c r="U100" s="83">
        <f t="shared" si="158"/>
        <v>6.4192461221661334E-2</v>
      </c>
      <c r="V100" s="83">
        <f t="shared" si="159"/>
        <v>5.5467100292072136E-2</v>
      </c>
      <c r="W100" s="83">
        <f t="shared" si="160"/>
        <v>3.7124434009008889E-2</v>
      </c>
      <c r="X100" s="83">
        <f t="shared" si="161"/>
        <v>-3.6059170350987158E-2</v>
      </c>
      <c r="Y100" s="83">
        <f t="shared" si="162"/>
        <v>4.4323880188776643E-2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2.4645099735623566E-2</v>
      </c>
      <c r="F101" s="84">
        <f t="shared" si="143"/>
        <v>6.3634131053936338E-2</v>
      </c>
      <c r="G101" s="84">
        <f t="shared" si="144"/>
        <v>5.2377097506357551E-2</v>
      </c>
      <c r="H101" s="84">
        <f t="shared" si="145"/>
        <v>1.2597034954471287E-2</v>
      </c>
      <c r="I101" s="84">
        <f t="shared" si="146"/>
        <v>4.2077964550565561E-2</v>
      </c>
      <c r="J101" s="84">
        <f t="shared" si="147"/>
        <v>5.01402102770101E-2</v>
      </c>
      <c r="K101" s="84">
        <f t="shared" si="148"/>
        <v>3.2371017945836522E-2</v>
      </c>
      <c r="L101" s="84">
        <f t="shared" si="149"/>
        <v>3.8304715511066068E-2</v>
      </c>
      <c r="M101" s="84">
        <f t="shared" si="150"/>
        <v>-5.0244407491595866E-2</v>
      </c>
      <c r="N101" s="84">
        <f t="shared" si="151"/>
        <v>2.1800385677889667E-2</v>
      </c>
      <c r="O101" s="84">
        <f t="shared" si="152"/>
        <v>-4.2359377626511874E-3</v>
      </c>
      <c r="P101" s="84">
        <f t="shared" si="153"/>
        <v>-1.0847297102098752E-2</v>
      </c>
      <c r="Q101" s="84">
        <f t="shared" si="154"/>
        <v>2.0070651309818111E-3</v>
      </c>
      <c r="R101" s="84">
        <f t="shared" si="155"/>
        <v>1.1939414502896595E-2</v>
      </c>
      <c r="S101" s="84">
        <f t="shared" si="156"/>
        <v>3.6795447186348307E-2</v>
      </c>
      <c r="T101" s="84">
        <f t="shared" si="157"/>
        <v>3.7863690037444275E-2</v>
      </c>
      <c r="U101" s="84">
        <f t="shared" si="158"/>
        <v>6.1578816463842889E-2</v>
      </c>
      <c r="V101" s="84">
        <f t="shared" si="159"/>
        <v>4.7170343447646923E-2</v>
      </c>
      <c r="W101" s="84">
        <f t="shared" si="160"/>
        <v>4.2794143615649594E-2</v>
      </c>
      <c r="X101" s="84">
        <f t="shared" si="161"/>
        <v>-3.9450727739793967E-2</v>
      </c>
      <c r="Y101" s="84">
        <f t="shared" si="162"/>
        <v>5.6816370366443492E-2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2.8397245673845273E-2</v>
      </c>
      <c r="F102" s="84">
        <f t="shared" si="143"/>
        <v>3.051478647415018E-2</v>
      </c>
      <c r="G102" s="84">
        <f t="shared" si="144"/>
        <v>6.6288953758246283E-2</v>
      </c>
      <c r="H102" s="84">
        <f t="shared" si="145"/>
        <v>4.1268241818513962E-2</v>
      </c>
      <c r="I102" s="84">
        <f t="shared" si="146"/>
        <v>8.6601670924131069E-2</v>
      </c>
      <c r="J102" s="84">
        <f t="shared" si="147"/>
        <v>6.9391683244256708E-2</v>
      </c>
      <c r="K102" s="84">
        <f t="shared" si="148"/>
        <v>9.1548616821991002E-2</v>
      </c>
      <c r="L102" s="84">
        <f t="shared" si="149"/>
        <v>7.5181708220813714E-2</v>
      </c>
      <c r="M102" s="84">
        <f t="shared" si="150"/>
        <v>-3.7888996965927957E-3</v>
      </c>
      <c r="N102" s="84">
        <f t="shared" si="151"/>
        <v>3.1518807450937381E-2</v>
      </c>
      <c r="O102" s="84">
        <f t="shared" si="152"/>
        <v>3.4177874780962902E-3</v>
      </c>
      <c r="P102" s="84">
        <f t="shared" si="153"/>
        <v>-2.6567997298821977E-3</v>
      </c>
      <c r="Q102" s="84">
        <f t="shared" si="154"/>
        <v>6.9785295062312347E-3</v>
      </c>
      <c r="R102" s="84">
        <f t="shared" si="155"/>
        <v>-2.2549265539417718E-4</v>
      </c>
      <c r="S102" s="84">
        <f t="shared" si="156"/>
        <v>4.339697289950406E-2</v>
      </c>
      <c r="T102" s="84">
        <f t="shared" si="157"/>
        <v>4.0605329007297408E-2</v>
      </c>
      <c r="U102" s="84">
        <f t="shared" si="158"/>
        <v>5.8956053552925436E-2</v>
      </c>
      <c r="V102" s="84">
        <f t="shared" si="159"/>
        <v>7.7258220869051097E-2</v>
      </c>
      <c r="W102" s="84">
        <f t="shared" si="160"/>
        <v>4.1183526365031975E-2</v>
      </c>
      <c r="X102" s="84">
        <f t="shared" si="161"/>
        <v>-2.5736573136628804E-2</v>
      </c>
      <c r="Y102" s="84">
        <f t="shared" si="162"/>
        <v>3.2548030596615929E-2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1.7941722379049896E-2</v>
      </c>
      <c r="F103" s="84">
        <f t="shared" si="143"/>
        <v>3.1681162629874304E-2</v>
      </c>
      <c r="G103" s="84">
        <f t="shared" si="144"/>
        <v>1.3522443569882192E-2</v>
      </c>
      <c r="H103" s="84">
        <f t="shared" si="145"/>
        <v>2.1261479143725781E-2</v>
      </c>
      <c r="I103" s="84">
        <f t="shared" si="146"/>
        <v>8.0698260746024486E-2</v>
      </c>
      <c r="J103" s="84">
        <f t="shared" si="147"/>
        <v>8.6505851955785307E-2</v>
      </c>
      <c r="K103" s="84">
        <f t="shared" si="148"/>
        <v>3.6147998360006595E-2</v>
      </c>
      <c r="L103" s="84">
        <f t="shared" si="149"/>
        <v>2.1759702579925211E-2</v>
      </c>
      <c r="M103" s="84">
        <f t="shared" si="150"/>
        <v>-9.24477456581142E-2</v>
      </c>
      <c r="N103" s="84">
        <f t="shared" si="151"/>
        <v>4.5518106799157021E-2</v>
      </c>
      <c r="O103" s="84">
        <f t="shared" si="152"/>
        <v>9.4690988132895004E-3</v>
      </c>
      <c r="P103" s="84">
        <f t="shared" si="153"/>
        <v>6.6501960681155659E-3</v>
      </c>
      <c r="Q103" s="84">
        <f t="shared" si="154"/>
        <v>-1.7810826669333424E-2</v>
      </c>
      <c r="R103" s="84">
        <f t="shared" si="155"/>
        <v>3.5881959009897546E-2</v>
      </c>
      <c r="S103" s="84">
        <f t="shared" si="156"/>
        <v>7.7171929532618533E-2</v>
      </c>
      <c r="T103" s="84">
        <f t="shared" si="157"/>
        <v>1.1510644466669495E-2</v>
      </c>
      <c r="U103" s="84">
        <f t="shared" si="158"/>
        <v>7.9757742906573448E-2</v>
      </c>
      <c r="V103" s="84">
        <f t="shared" si="159"/>
        <v>2.6131096316212243E-2</v>
      </c>
      <c r="W103" s="84">
        <f t="shared" si="160"/>
        <v>1.8158213604503759E-2</v>
      </c>
      <c r="X103" s="84">
        <f t="shared" si="161"/>
        <v>-5.2182668361048345E-2</v>
      </c>
      <c r="Y103" s="84">
        <f t="shared" si="162"/>
        <v>4.7023634579751672E-2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0.10518216277266501</v>
      </c>
      <c r="F104" s="83">
        <f t="shared" si="143"/>
        <v>8.153928769779073E-2</v>
      </c>
      <c r="G104" s="83">
        <f t="shared" si="144"/>
        <v>-4.7212810511875092E-2</v>
      </c>
      <c r="H104" s="83">
        <f t="shared" si="145"/>
        <v>8.24280513165212E-2</v>
      </c>
      <c r="I104" s="83">
        <f t="shared" si="146"/>
        <v>8.213782264712477E-2</v>
      </c>
      <c r="J104" s="83">
        <f t="shared" si="147"/>
        <v>0.17761414394897734</v>
      </c>
      <c r="K104" s="83">
        <f t="shared" si="148"/>
        <v>1.7177422285592714E-2</v>
      </c>
      <c r="L104" s="83">
        <f t="shared" si="149"/>
        <v>0.24075783531104555</v>
      </c>
      <c r="M104" s="83">
        <f t="shared" si="150"/>
        <v>6.2742603622912174E-2</v>
      </c>
      <c r="N104" s="83">
        <f t="shared" si="151"/>
        <v>-0.10022696243356821</v>
      </c>
      <c r="O104" s="83">
        <f t="shared" si="152"/>
        <v>-2.1275652601347117E-2</v>
      </c>
      <c r="P104" s="83">
        <f t="shared" si="153"/>
        <v>1.4795193393988493E-2</v>
      </c>
      <c r="Q104" s="83">
        <f t="shared" si="154"/>
        <v>4.4422964673247023E-2</v>
      </c>
      <c r="R104" s="83">
        <f t="shared" si="155"/>
        <v>-0.14057811220086791</v>
      </c>
      <c r="S104" s="83">
        <f t="shared" si="156"/>
        <v>1.4591289668615781E-2</v>
      </c>
      <c r="T104" s="83">
        <f t="shared" si="157"/>
        <v>-1.7726710507538823E-2</v>
      </c>
      <c r="U104" s="83">
        <f t="shared" si="158"/>
        <v>-2.5594715392777467E-2</v>
      </c>
      <c r="V104" s="83">
        <f t="shared" si="159"/>
        <v>-5.4470798038244728E-2</v>
      </c>
      <c r="W104" s="83">
        <f t="shared" si="160"/>
        <v>-1.9462732081960699E-3</v>
      </c>
      <c r="X104" s="83">
        <f t="shared" si="161"/>
        <v>8.5454520037809845E-2</v>
      </c>
      <c r="Y104" s="83">
        <f t="shared" si="162"/>
        <v>-5.3630217127593971E-2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3.6337798183321279E-3</v>
      </c>
      <c r="F105" s="83">
        <f t="shared" si="143"/>
        <v>8.1420834721835256E-2</v>
      </c>
      <c r="G105" s="83">
        <f t="shared" si="144"/>
        <v>5.633197729135464E-2</v>
      </c>
      <c r="H105" s="83">
        <f t="shared" si="145"/>
        <v>3.9942293230489367E-2</v>
      </c>
      <c r="I105" s="83">
        <f t="shared" si="146"/>
        <v>0.10024479378573514</v>
      </c>
      <c r="J105" s="83">
        <f t="shared" si="147"/>
        <v>1.9065962138614223E-2</v>
      </c>
      <c r="K105" s="83">
        <f t="shared" si="148"/>
        <v>6.3380163534931366E-2</v>
      </c>
      <c r="L105" s="83">
        <f t="shared" si="149"/>
        <v>2.6300775160492673E-2</v>
      </c>
      <c r="M105" s="83">
        <f t="shared" si="150"/>
        <v>4.076770488274728E-2</v>
      </c>
      <c r="N105" s="83">
        <f t="shared" si="151"/>
        <v>4.3036065644830312E-2</v>
      </c>
      <c r="O105" s="83">
        <f t="shared" si="152"/>
        <v>-7.2021478402970907E-2</v>
      </c>
      <c r="P105" s="83">
        <f t="shared" si="153"/>
        <v>-9.0244907845623556E-2</v>
      </c>
      <c r="Q105" s="83">
        <f t="shared" si="154"/>
        <v>-2.6112404752353657E-2</v>
      </c>
      <c r="R105" s="83">
        <f t="shared" si="155"/>
        <v>8.8649567800531681E-3</v>
      </c>
      <c r="S105" s="83">
        <f t="shared" si="156"/>
        <v>5.1557696656436613E-2</v>
      </c>
      <c r="T105" s="83">
        <f t="shared" si="157"/>
        <v>-9.7971265874449154E-3</v>
      </c>
      <c r="U105" s="83">
        <f t="shared" si="158"/>
        <v>5.3666209471900483E-2</v>
      </c>
      <c r="V105" s="83">
        <f t="shared" si="159"/>
        <v>5.6468238379081326E-2</v>
      </c>
      <c r="W105" s="83">
        <f t="shared" si="160"/>
        <v>3.8311841853579942E-2</v>
      </c>
      <c r="X105" s="83">
        <f t="shared" si="161"/>
        <v>-5.1080981768404365E-2</v>
      </c>
      <c r="Y105" s="83">
        <f t="shared" si="162"/>
        <v>2.4804694200922794E-2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4.7787131412915684E-2</v>
      </c>
      <c r="F106" s="83">
        <f t="shared" si="143"/>
        <v>-3.4010010950252578E-2</v>
      </c>
      <c r="G106" s="83">
        <f t="shared" si="144"/>
        <v>-1.1884073878387635E-3</v>
      </c>
      <c r="H106" s="83">
        <f t="shared" si="145"/>
        <v>0.10818375783639755</v>
      </c>
      <c r="I106" s="83">
        <f t="shared" si="146"/>
        <v>6.1903014018117597E-2</v>
      </c>
      <c r="J106" s="83">
        <f t="shared" si="147"/>
        <v>9.654064694558806E-2</v>
      </c>
      <c r="K106" s="83">
        <f t="shared" si="148"/>
        <v>5.1784324990671093E-2</v>
      </c>
      <c r="L106" s="83">
        <f t="shared" si="149"/>
        <v>-2.3079562494215389E-2</v>
      </c>
      <c r="M106" s="83">
        <f t="shared" si="150"/>
        <v>-0.12095333253040808</v>
      </c>
      <c r="N106" s="83">
        <f t="shared" si="151"/>
        <v>6.396362784096099E-2</v>
      </c>
      <c r="O106" s="83">
        <f t="shared" si="152"/>
        <v>7.5627189100644143E-2</v>
      </c>
      <c r="P106" s="83">
        <f t="shared" si="153"/>
        <v>-1.0775714308850715E-2</v>
      </c>
      <c r="Q106" s="83">
        <f t="shared" si="154"/>
        <v>3.1368419070170184E-3</v>
      </c>
      <c r="R106" s="83">
        <f t="shared" si="155"/>
        <v>0.10569025819846201</v>
      </c>
      <c r="S106" s="83">
        <f t="shared" si="156"/>
        <v>6.6191945186792278E-2</v>
      </c>
      <c r="T106" s="83">
        <f t="shared" si="157"/>
        <v>3.0103654063982743E-2</v>
      </c>
      <c r="U106" s="83">
        <f t="shared" si="158"/>
        <v>3.396345790444677E-2</v>
      </c>
      <c r="V106" s="83">
        <f t="shared" si="159"/>
        <v>-6.4392091557428088E-3</v>
      </c>
      <c r="W106" s="83">
        <f t="shared" si="160"/>
        <v>2.1323046947511859E-2</v>
      </c>
      <c r="X106" s="83">
        <f t="shared" si="161"/>
        <v>-0.11496004222276635</v>
      </c>
      <c r="Y106" s="83">
        <f t="shared" si="162"/>
        <v>2.5561460212476517E-2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-2.4531849953125962E-2</v>
      </c>
      <c r="F107" s="87">
        <f t="shared" ref="F107:F108" si="164">IF(E33=0,"",F33/E33-1)</f>
        <v>-8.5796367327565681E-2</v>
      </c>
      <c r="G107" s="87">
        <f t="shared" ref="G107:G108" si="165">IF(F33=0,"",G33/F33-1)</f>
        <v>-9.0108337980752129E-3</v>
      </c>
      <c r="H107" s="87">
        <f t="shared" ref="H107:H108" si="166">IF(G33=0,"",H33/G33-1)</f>
        <v>0.20631203324843161</v>
      </c>
      <c r="I107" s="87">
        <f t="shared" ref="I107:I108" si="167">IF(H33=0,"",I33/H33-1)</f>
        <v>0.21649769752061454</v>
      </c>
      <c r="J107" s="87">
        <f t="shared" ref="J107:J108" si="168">IF(I33=0,"",J33/I33-1)</f>
        <v>-2.5997499340458807E-3</v>
      </c>
      <c r="K107" s="87">
        <f t="shared" ref="K107:K108" si="169">IF(J33=0,"",K33/J33-1)</f>
        <v>-1.1581319051868544E-2</v>
      </c>
      <c r="L107" s="87">
        <f t="shared" ref="L107:L108" si="170">IF(K33=0,"",L33/K33-1)</f>
        <v>-0.14853956382698497</v>
      </c>
      <c r="M107" s="87">
        <f t="shared" ref="M107:M108" si="171">IF(L33=0,"",M33/L33-1)</f>
        <v>-0.38621603019475248</v>
      </c>
      <c r="N107" s="87">
        <f t="shared" ref="N107:N108" si="172">IF(M33=0,"",N33/M33-1)</f>
        <v>-7.3125930744647238E-2</v>
      </c>
      <c r="O107" s="87">
        <f t="shared" ref="O107:O108" si="173">IF(N33=0,"",O33/N33-1)</f>
        <v>0.25071547268740169</v>
      </c>
      <c r="P107" s="87">
        <f t="shared" ref="P107:P108" si="174">IF(O33=0,"",P33/O33-1)</f>
        <v>-0.11178994564957956</v>
      </c>
      <c r="Q107" s="87">
        <f t="shared" ref="Q107:Q108" si="175">IF(P33=0,"",Q33/P33-1)</f>
        <v>9.4203188237118818E-2</v>
      </c>
      <c r="R107" s="87">
        <f t="shared" ref="R107:R108" si="176">IF(Q33=0,"",R33/Q33-1)</f>
        <v>0.20010973296809409</v>
      </c>
      <c r="S107" s="87">
        <f t="shared" ref="S107:S108" si="177">IF(R33=0,"",S33/R33-1)</f>
        <v>3.0494629113218208E-2</v>
      </c>
      <c r="T107" s="87">
        <f t="shared" ref="T107:T108" si="178">IF(S33=0,"",T33/S33-1)</f>
        <v>-5.5114365797793941E-2</v>
      </c>
      <c r="U107" s="87">
        <f t="shared" ref="U107:U108" si="179">IF(T33=0,"",U33/T33-1)</f>
        <v>-8.5739824230710582E-2</v>
      </c>
      <c r="V107" s="87">
        <f t="shared" ref="V107:V108" si="180">IF(U33=0,"",V33/U33-1)</f>
        <v>3.4880384984215862E-2</v>
      </c>
      <c r="W107" s="87">
        <f t="shared" ref="W107:W108" si="181">IF(V33=0,"",W33/V33-1)</f>
        <v>-0.1399043926992517</v>
      </c>
      <c r="X107" s="87">
        <f t="shared" ref="X107:X108" si="182">IF(W33=0,"",X33/W33-1)</f>
        <v>-0.20697191373451151</v>
      </c>
      <c r="Y107" s="87">
        <f t="shared" ref="Y107:Y108" si="183">IF(X33=0,"",Y33/X33-1)</f>
        <v>-9.8452057506011714E-2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-1.5147982092752588E-2</v>
      </c>
      <c r="F108" s="89">
        <f t="shared" si="164"/>
        <v>-0.10365592707603699</v>
      </c>
      <c r="G108" s="89">
        <f t="shared" si="165"/>
        <v>-1.8113607996502745E-3</v>
      </c>
      <c r="H108" s="89">
        <f t="shared" si="166"/>
        <v>0.20631203324843161</v>
      </c>
      <c r="I108" s="89">
        <f t="shared" si="167"/>
        <v>0.20402042299657097</v>
      </c>
      <c r="J108" s="89">
        <f t="shared" si="168"/>
        <v>-4.5989448022488721E-3</v>
      </c>
      <c r="K108" s="89">
        <f t="shared" si="169"/>
        <v>-1.9045115233918386E-2</v>
      </c>
      <c r="L108" s="89">
        <f t="shared" si="170"/>
        <v>-0.15596790646289427</v>
      </c>
      <c r="M108" s="89">
        <f t="shared" si="171"/>
        <v>-0.42556243750498823</v>
      </c>
      <c r="N108" s="89">
        <f t="shared" si="172"/>
        <v>-0.10365683672810211</v>
      </c>
      <c r="O108" s="89">
        <f t="shared" si="173"/>
        <v>0.29198478990287247</v>
      </c>
      <c r="P108" s="89">
        <f t="shared" si="174"/>
        <v>-0.15688528841349836</v>
      </c>
      <c r="Q108" s="89">
        <f t="shared" si="175"/>
        <v>0.13112254555956526</v>
      </c>
      <c r="R108" s="89">
        <f t="shared" si="176"/>
        <v>0.22643852519617669</v>
      </c>
      <c r="S108" s="89">
        <f t="shared" si="177"/>
        <v>1.4101080466006222E-2</v>
      </c>
      <c r="T108" s="89">
        <f t="shared" si="178"/>
        <v>-6.757687713150029E-2</v>
      </c>
      <c r="U108" s="89">
        <f t="shared" si="179"/>
        <v>-0.1224654216690092</v>
      </c>
      <c r="V108" s="89">
        <f t="shared" si="180"/>
        <v>8.9787351046132891E-2</v>
      </c>
      <c r="W108" s="89">
        <f t="shared" si="181"/>
        <v>-0.15353036112456053</v>
      </c>
      <c r="X108" s="89">
        <f t="shared" si="182"/>
        <v>-0.24424956157246314</v>
      </c>
      <c r="Y108" s="89">
        <f t="shared" si="183"/>
        <v>-0.18283661525604533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-0.26466400000055523</v>
      </c>
      <c r="F109" s="89">
        <f t="shared" ref="F109" si="185">IF(E37=0,"",F37/E37-1)</f>
        <v>0.52630637544826131</v>
      </c>
      <c r="G109" s="89">
        <f t="shared" ref="G109" si="186">IF(F37=0,"",G37/F37-1)</f>
        <v>-0.15391715018084362</v>
      </c>
      <c r="H109" s="89">
        <f t="shared" ref="H109" si="187">IF(G37=0,"",H37/G37-1)</f>
        <v>0.20631203324842984</v>
      </c>
      <c r="I109" s="89">
        <f t="shared" ref="I109" si="188">IF(H37=0,"",I37/H37-1)</f>
        <v>0.51278024527733979</v>
      </c>
      <c r="J109" s="89">
        <f t="shared" ref="J109" si="189">IF(I37=0,"",J37/I37-1)</f>
        <v>3.5183514462187704E-2</v>
      </c>
      <c r="K109" s="89">
        <f t="shared" ref="K109" si="190">IF(J37=0,"",K37/J37-1)</f>
        <v>0.12405777177099542</v>
      </c>
      <c r="L109" s="89">
        <f t="shared" ref="L109" si="191">IF(K37=0,"",L37/K37-1)</f>
        <v>-3.0730846446730742E-2</v>
      </c>
      <c r="M109" s="89">
        <f t="shared" ref="M109" si="192">IF(L37=0,"",M37/L37-1)</f>
        <v>0.15716585022471841</v>
      </c>
      <c r="N109" s="89">
        <f t="shared" ref="N109" si="193">IF(M37=0,"",N37/M37-1)</f>
        <v>0.13618262598586095</v>
      </c>
      <c r="O109" s="89">
        <f t="shared" ref="O109" si="194">IF(N37=0,"",O37/N37-1)</f>
        <v>2.7512105862687264E-2</v>
      </c>
      <c r="P109" s="89">
        <f t="shared" ref="P109" si="195">IF(O37=0,"",P37/O37-1)</f>
        <v>0.19488309796211412</v>
      </c>
      <c r="Q109" s="89">
        <f t="shared" ref="Q109" si="196">IF(P37=0,"",Q37/P37-1)</f>
        <v>-8.2954209783387856E-2</v>
      </c>
      <c r="R109" s="89">
        <f t="shared" ref="R109" si="197">IF(Q37=0,"",R37/Q37-1)</f>
        <v>4.4278418073505632E-2</v>
      </c>
      <c r="S109" s="89">
        <f t="shared" ref="S109" si="198">IF(R37=0,"",S37/R37-1)</f>
        <v>0.144447757715787</v>
      </c>
      <c r="T109" s="89">
        <f t="shared" ref="T109" si="199">IF(S37=0,"",T37/S37-1)</f>
        <v>2.1647251908302634E-2</v>
      </c>
      <c r="U109" s="89">
        <f t="shared" ref="U109" si="200">IF(T37=0,"",U37/T37-1)</f>
        <v>0.1207123617167094</v>
      </c>
      <c r="V109" s="89">
        <f t="shared" ref="V109" si="201">IF(U37=0,"",V37/U37-1)</f>
        <v>-0.20680374806989188</v>
      </c>
      <c r="W109" s="89">
        <f t="shared" ref="W109" si="202">IF(V37=0,"",W37/V37-1)</f>
        <v>-5.7500224500139252E-2</v>
      </c>
      <c r="X109" s="89">
        <f t="shared" ref="X109" si="203">IF(W37=0,"",X37/W37-1)</f>
        <v>-4.5020302474123586E-3</v>
      </c>
      <c r="Y109" s="89">
        <f t="shared" ref="Y109" si="204">IF(X37=0,"",Y37/X37-1)</f>
        <v>0.24949481681846652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-0.1221330352128579</v>
      </c>
      <c r="F110" s="89">
        <f t="shared" ref="F110:F111" si="206">IF(E43=0,"",F43/E43-1)</f>
        <v>-9.3838671255231376E-2</v>
      </c>
      <c r="G110" s="89">
        <f t="shared" ref="G110:G111" si="207">IF(F43=0,"",G43/F43-1)</f>
        <v>7.1019119731968283E-2</v>
      </c>
      <c r="H110" s="89">
        <f t="shared" ref="H110:H111" si="208">IF(G43=0,"",H43/G43-1)</f>
        <v>8.7190730871416378E-2</v>
      </c>
      <c r="I110" s="89">
        <f t="shared" ref="I110:I111" si="209">IF(H43=0,"",I43/H43-1)</f>
        <v>4.7645847106589034E-2</v>
      </c>
      <c r="J110" s="89">
        <f t="shared" ref="J110:J111" si="210">IF(I43=0,"",J43/I43-1)</f>
        <v>-1.6299539002947006E-2</v>
      </c>
      <c r="K110" s="89">
        <f t="shared" ref="K110:K111" si="211">IF(J43=0,"",K43/J43-1)</f>
        <v>3.7164319944271718E-4</v>
      </c>
      <c r="L110" s="89">
        <f t="shared" ref="L110:L111" si="212">IF(K43=0,"",L43/K43-1)</f>
        <v>-7.6096108997995016E-3</v>
      </c>
      <c r="M110" s="89">
        <f t="shared" ref="M110:M111" si="213">IF(L43=0,"",M43/L43-1)</f>
        <v>-0.1387162875478305</v>
      </c>
      <c r="N110" s="89">
        <f t="shared" ref="N110:N111" si="214">IF(M43=0,"",N43/M43-1)</f>
        <v>5.9085114311167031E-2</v>
      </c>
      <c r="O110" s="89">
        <f t="shared" ref="O110:O111" si="215">IF(N43=0,"",O43/N43-1)</f>
        <v>2.0320593163260403E-2</v>
      </c>
      <c r="P110" s="89">
        <f t="shared" ref="P110:P111" si="216">IF(O43=0,"",P43/O43-1)</f>
        <v>7.8446410851872761E-2</v>
      </c>
      <c r="Q110" s="89">
        <f t="shared" ref="Q110:Q111" si="217">IF(P43=0,"",Q43/P43-1)</f>
        <v>-5.0375990356740674E-2</v>
      </c>
      <c r="R110" s="89">
        <f t="shared" ref="R110:R111" si="218">IF(Q43=0,"",R43/Q43-1)</f>
        <v>0.17352289210965655</v>
      </c>
      <c r="S110" s="89">
        <f t="shared" ref="S110:S111" si="219">IF(R43=0,"",S43/R43-1)</f>
        <v>0.10165702820070099</v>
      </c>
      <c r="T110" s="89">
        <f t="shared" ref="T110:T111" si="220">IF(S43=0,"",T43/S43-1)</f>
        <v>-3.9367998663833226E-2</v>
      </c>
      <c r="U110" s="89">
        <f t="shared" ref="U110:U111" si="221">IF(T43=0,"",U43/T43-1)</f>
        <v>0.15811438978712422</v>
      </c>
      <c r="V110" s="89">
        <f t="shared" ref="V110:V111" si="222">IF(U43=0,"",V43/U43-1)</f>
        <v>-8.1427413545272609E-2</v>
      </c>
      <c r="W110" s="89">
        <f t="shared" ref="W110:W111" si="223">IF(V43=0,"",W43/V43-1)</f>
        <v>5.5710079965894277E-2</v>
      </c>
      <c r="X110" s="89">
        <f t="shared" ref="X110:X111" si="224">IF(W43=0,"",X43/W43-1)</f>
        <v>-0.12748046448568229</v>
      </c>
      <c r="Y110" s="89">
        <f t="shared" ref="Y110:Y111" si="225">IF(X43=0,"",Y43/X43-1)</f>
        <v>-0.18117874924035604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-0.15369411790563614</v>
      </c>
      <c r="F111" s="89">
        <f t="shared" si="206"/>
        <v>-0.13490199930351243</v>
      </c>
      <c r="G111" s="89">
        <f t="shared" si="207"/>
        <v>7.7144819006728316E-2</v>
      </c>
      <c r="H111" s="89">
        <f t="shared" si="208"/>
        <v>0.10956014840076378</v>
      </c>
      <c r="I111" s="89">
        <f t="shared" si="209"/>
        <v>3.2350387818496085E-3</v>
      </c>
      <c r="J111" s="89">
        <f t="shared" si="210"/>
        <v>-4.6990439921199889E-2</v>
      </c>
      <c r="K111" s="89">
        <f t="shared" si="211"/>
        <v>3.002610974287645E-2</v>
      </c>
      <c r="L111" s="89">
        <f t="shared" si="212"/>
        <v>1.7084958757427104E-2</v>
      </c>
      <c r="M111" s="89">
        <f t="shared" si="213"/>
        <v>-0.22877944039339704</v>
      </c>
      <c r="N111" s="89">
        <f t="shared" si="214"/>
        <v>1.1480148593935313E-2</v>
      </c>
      <c r="O111" s="89">
        <f t="shared" si="215"/>
        <v>8.2598327301115271E-2</v>
      </c>
      <c r="P111" s="89">
        <f t="shared" si="216"/>
        <v>0.10945741123551489</v>
      </c>
      <c r="Q111" s="89">
        <f t="shared" si="217"/>
        <v>-7.9707804954514128E-2</v>
      </c>
      <c r="R111" s="89">
        <f t="shared" si="218"/>
        <v>0.22628361544178222</v>
      </c>
      <c r="S111" s="89">
        <f t="shared" si="219"/>
        <v>0.17682905791256665</v>
      </c>
      <c r="T111" s="89">
        <f t="shared" si="220"/>
        <v>-4.9061741939528281E-2</v>
      </c>
      <c r="U111" s="89">
        <f t="shared" si="221"/>
        <v>0.21069843370793517</v>
      </c>
      <c r="V111" s="89">
        <f t="shared" si="222"/>
        <v>-7.8428651737488475E-2</v>
      </c>
      <c r="W111" s="89">
        <f t="shared" si="223"/>
        <v>2.4962638245540791E-2</v>
      </c>
      <c r="X111" s="89">
        <f t="shared" si="224"/>
        <v>-0.21549801107905642</v>
      </c>
      <c r="Y111" s="89">
        <f t="shared" si="225"/>
        <v>-0.25520274741445925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-3.1381118638592165E-2</v>
      </c>
      <c r="F112" s="89">
        <f t="shared" ref="F112:F113" si="227">IF(E47=0,"",F47/E47-1)</f>
        <v>9.3263533083174366E-3</v>
      </c>
      <c r="G112" s="89">
        <f t="shared" ref="G112:G113" si="228">IF(F47=0,"",G47/F47-1)</f>
        <v>5.7828423796531192E-2</v>
      </c>
      <c r="H112" s="89">
        <f t="shared" ref="H112:H113" si="229">IF(G47=0,"",H47/G47-1)</f>
        <v>3.8142248162849723E-2</v>
      </c>
      <c r="I112" s="89">
        <f t="shared" ref="I112:I113" si="230">IF(H47=0,"",I47/H47-1)</f>
        <v>0.15172255919767563</v>
      </c>
      <c r="J112" s="89">
        <f t="shared" ref="J112:J113" si="231">IF(I47=0,"",J47/I47-1)</f>
        <v>4.6351653444706153E-2</v>
      </c>
      <c r="K112" s="89">
        <f t="shared" ref="K112:K113" si="232">IF(J47=0,"",K47/J47-1)</f>
        <v>-5.4763614967996088E-2</v>
      </c>
      <c r="L112" s="89">
        <f t="shared" ref="L112:L113" si="233">IF(K47=0,"",L47/K47-1)</f>
        <v>-5.7641691309471055E-2</v>
      </c>
      <c r="M112" s="89">
        <f t="shared" ref="M112:M113" si="234">IF(L47=0,"",M47/L47-1)</f>
        <v>5.822438358871973E-2</v>
      </c>
      <c r="N112" s="89">
        <f t="shared" ref="N112:N113" si="235">IF(M47=0,"",N47/M47-1)</f>
        <v>0.13495009619230558</v>
      </c>
      <c r="O112" s="89">
        <f t="shared" ref="O112:O113" si="236">IF(N47=0,"",O47/N47-1)</f>
        <v>-6.8130356995465324E-2</v>
      </c>
      <c r="P112" s="89">
        <f t="shared" ref="P112:P113" si="237">IF(O47=0,"",P47/O47-1)</f>
        <v>2.7278502605922794E-2</v>
      </c>
      <c r="Q112" s="89">
        <f t="shared" ref="Q112:Q113" si="238">IF(P47=0,"",Q47/P47-1)</f>
        <v>1.892896811024114E-3</v>
      </c>
      <c r="R112" s="89">
        <f t="shared" ref="R112:R113" si="239">IF(Q47=0,"",R47/Q47-1)</f>
        <v>8.7161525762526448E-2</v>
      </c>
      <c r="S112" s="89">
        <f t="shared" ref="S112:S113" si="240">IF(R47=0,"",S47/R47-1)</f>
        <v>-3.7134159344750617E-2</v>
      </c>
      <c r="T112" s="89">
        <f t="shared" ref="T112:T113" si="241">IF(S47=0,"",T47/S47-1)</f>
        <v>-1.749316634618836E-2</v>
      </c>
      <c r="U112" s="89">
        <f t="shared" ref="U112:U113" si="242">IF(T47=0,"",U47/T47-1)</f>
        <v>4.3266256347011423E-2</v>
      </c>
      <c r="V112" s="89">
        <f t="shared" ref="V112:V113" si="243">IF(U47=0,"",V47/U47-1)</f>
        <v>-8.9028098825036039E-2</v>
      </c>
      <c r="W112" s="89">
        <f t="shared" ref="W112:W113" si="244">IF(V47=0,"",W47/V47-1)</f>
        <v>0.13454955952821335</v>
      </c>
      <c r="X112" s="89">
        <f t="shared" ref="X112:X113" si="245">IF(W47=0,"",X47/W47-1)</f>
        <v>7.6406088675412764E-2</v>
      </c>
      <c r="Y112" s="89">
        <f t="shared" ref="Y112:Y113" si="246">IF(X47=0,"",Y47/X47-1)</f>
        <v>-5.6207599090776661E-2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1.7050382034264233E-2</v>
      </c>
      <c r="F113" s="89">
        <f t="shared" si="227"/>
        <v>-0.1101194265307277</v>
      </c>
      <c r="G113" s="89">
        <f t="shared" si="228"/>
        <v>-5.3857216428978116E-2</v>
      </c>
      <c r="H113" s="89">
        <f t="shared" si="229"/>
        <v>3.3354273828892111E-2</v>
      </c>
      <c r="I113" s="89">
        <f t="shared" si="230"/>
        <v>2.892927049823002E-2</v>
      </c>
      <c r="J113" s="89">
        <f t="shared" si="231"/>
        <v>7.514102167276282E-2</v>
      </c>
      <c r="K113" s="89">
        <f t="shared" si="232"/>
        <v>2.1772483753625727E-2</v>
      </c>
      <c r="L113" s="89">
        <f t="shared" si="233"/>
        <v>-3.6481844602295421E-2</v>
      </c>
      <c r="M113" s="89">
        <f t="shared" si="234"/>
        <v>-0.1844274706670217</v>
      </c>
      <c r="N113" s="89">
        <f t="shared" si="235"/>
        <v>-5.8259129068135462E-2</v>
      </c>
      <c r="O113" s="89">
        <f t="shared" si="236"/>
        <v>7.2495208492739271E-2</v>
      </c>
      <c r="P113" s="89">
        <f t="shared" si="237"/>
        <v>-7.1312899369303073E-2</v>
      </c>
      <c r="Q113" s="89">
        <f t="shared" si="238"/>
        <v>-1.0712967744047841E-2</v>
      </c>
      <c r="R113" s="89">
        <f t="shared" si="239"/>
        <v>8.3005580545082447E-2</v>
      </c>
      <c r="S113" s="89">
        <f t="shared" si="240"/>
        <v>9.5398739575887737E-2</v>
      </c>
      <c r="T113" s="89">
        <f t="shared" si="241"/>
        <v>-5.0933585862298347E-2</v>
      </c>
      <c r="U113" s="89">
        <f t="shared" si="242"/>
        <v>2.4889056810201149E-2</v>
      </c>
      <c r="V113" s="89">
        <f t="shared" si="243"/>
        <v>6.4079249380843972E-2</v>
      </c>
      <c r="W113" s="89">
        <f t="shared" si="244"/>
        <v>2.0363489651341604E-2</v>
      </c>
      <c r="X113" s="89">
        <f t="shared" si="245"/>
        <v>-8.8732542927150271E-2</v>
      </c>
      <c r="Y113" s="89">
        <f t="shared" si="246"/>
        <v>8.4781595992039271E-2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2.5151898766603065E-2</v>
      </c>
      <c r="F114" s="89">
        <f t="shared" ref="F114:F115" si="248">IF(E52=0,"",F52/E52-1)</f>
        <v>4.5074629190005266E-2</v>
      </c>
      <c r="G114" s="89">
        <f t="shared" ref="G114:G115" si="249">IF(F52=0,"",G52/F52-1)</f>
        <v>-7.5933779616714769E-2</v>
      </c>
      <c r="H114" s="89">
        <f t="shared" ref="H114:H115" si="250">IF(G52=0,"",H52/G52-1)</f>
        <v>0.18335921175706416</v>
      </c>
      <c r="I114" s="89">
        <f t="shared" ref="I114:I115" si="251">IF(H52=0,"",I52/H52-1)</f>
        <v>4.7047505970621017E-3</v>
      </c>
      <c r="J114" s="89">
        <f t="shared" ref="J114:J115" si="252">IF(I52=0,"",J52/I52-1)</f>
        <v>8.5223652816053486E-2</v>
      </c>
      <c r="K114" s="89">
        <f t="shared" ref="K114:K115" si="253">IF(J52=0,"",K52/J52-1)</f>
        <v>7.4638076559017996E-2</v>
      </c>
      <c r="L114" s="89">
        <f t="shared" ref="L114:L115" si="254">IF(K52=0,"",L52/K52-1)</f>
        <v>-6.7069780355567321E-2</v>
      </c>
      <c r="M114" s="89">
        <f t="shared" ref="M114:M115" si="255">IF(L52=0,"",M52/L52-1)</f>
        <v>-0.10612383758580202</v>
      </c>
      <c r="N114" s="89">
        <f t="shared" ref="N114:N115" si="256">IF(M52=0,"",N52/M52-1)</f>
        <v>9.0729630580426379E-2</v>
      </c>
      <c r="O114" s="89">
        <f t="shared" ref="O114:O115" si="257">IF(N52=0,"",O52/N52-1)</f>
        <v>-7.1199951787788818E-2</v>
      </c>
      <c r="P114" s="89">
        <f t="shared" ref="P114:P115" si="258">IF(O52=0,"",P52/O52-1)</f>
        <v>-8.5240264751350714E-2</v>
      </c>
      <c r="Q114" s="89">
        <f t="shared" ref="Q114:Q115" si="259">IF(P52=0,"",Q52/P52-1)</f>
        <v>-2.4298030666472403E-2</v>
      </c>
      <c r="R114" s="89">
        <f t="shared" ref="R114:R115" si="260">IF(Q52=0,"",R52/Q52-1)</f>
        <v>0.10684970270793914</v>
      </c>
      <c r="S114" s="89">
        <f t="shared" ref="S114:S115" si="261">IF(R52=0,"",S52/R52-1)</f>
        <v>0.10722513773461584</v>
      </c>
      <c r="T114" s="89">
        <f t="shared" ref="T114:T115" si="262">IF(S52=0,"",T52/S52-1)</f>
        <v>3.3250319436427089E-2</v>
      </c>
      <c r="U114" s="89">
        <f t="shared" ref="U114:U115" si="263">IF(T52=0,"",U52/T52-1)</f>
        <v>3.4934308044363815E-2</v>
      </c>
      <c r="V114" s="89">
        <f t="shared" ref="V114:V115" si="264">IF(U52=0,"",V52/U52-1)</f>
        <v>2.4077330785312601E-3</v>
      </c>
      <c r="W114" s="89">
        <f t="shared" ref="W114:W115" si="265">IF(V52=0,"",W52/V52-1)</f>
        <v>3.9698873645280131E-2</v>
      </c>
      <c r="X114" s="89">
        <f t="shared" ref="X114:X115" si="266">IF(W52=0,"",X52/W52-1)</f>
        <v>-4.4498318884669485E-2</v>
      </c>
      <c r="Y114" s="89">
        <f t="shared" ref="Y114:Y115" si="267">IF(X52=0,"",Y52/X52-1)</f>
        <v>5.6203730495891113E-2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5.7023609206978243E-2</v>
      </c>
      <c r="F115" s="89">
        <f t="shared" si="248"/>
        <v>-6.8907159622653702E-2</v>
      </c>
      <c r="G115" s="89">
        <f t="shared" si="249"/>
        <v>-9.255831712276652E-2</v>
      </c>
      <c r="H115" s="89">
        <f t="shared" si="250"/>
        <v>0.21777370469669388</v>
      </c>
      <c r="I115" s="89">
        <f t="shared" si="251"/>
        <v>-4.5983982763431186E-3</v>
      </c>
      <c r="J115" s="89">
        <f t="shared" si="252"/>
        <v>4.0368452616841299E-2</v>
      </c>
      <c r="K115" s="89">
        <f t="shared" si="253"/>
        <v>3.5547801980579941E-3</v>
      </c>
      <c r="L115" s="89">
        <f t="shared" si="254"/>
        <v>-0.14470409125939199</v>
      </c>
      <c r="M115" s="89">
        <f t="shared" si="255"/>
        <v>-6.4575211737386229E-2</v>
      </c>
      <c r="N115" s="89">
        <f t="shared" si="256"/>
        <v>8.1823097798707334E-2</v>
      </c>
      <c r="O115" s="89">
        <f t="shared" si="257"/>
        <v>-5.2788922829387963E-2</v>
      </c>
      <c r="P115" s="89">
        <f t="shared" si="258"/>
        <v>-3.7448022052484653E-2</v>
      </c>
      <c r="Q115" s="89">
        <f t="shared" si="259"/>
        <v>-1.1755284008455491E-2</v>
      </c>
      <c r="R115" s="89">
        <f t="shared" si="260"/>
        <v>0.15505064878065844</v>
      </c>
      <c r="S115" s="89">
        <f t="shared" si="261"/>
        <v>0.14678750505731619</v>
      </c>
      <c r="T115" s="89">
        <f t="shared" si="262"/>
        <v>5.1201059927074022E-2</v>
      </c>
      <c r="U115" s="89">
        <f t="shared" si="263"/>
        <v>7.5629116664749807E-2</v>
      </c>
      <c r="V115" s="89">
        <f t="shared" si="264"/>
        <v>-2.263808360425712E-2</v>
      </c>
      <c r="W115" s="89">
        <f t="shared" si="265"/>
        <v>7.4074994551748707E-2</v>
      </c>
      <c r="X115" s="89">
        <f t="shared" si="266"/>
        <v>-8.4584991363950701E-3</v>
      </c>
      <c r="Y115" s="89">
        <f t="shared" si="267"/>
        <v>5.3421878936532163E-2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-2.7584509770661292E-2</v>
      </c>
      <c r="F116" s="89">
        <f t="shared" ref="F116:F122" si="269">IF(E56=0,"",F56/E56-1)</f>
        <v>0.25008388381927027</v>
      </c>
      <c r="G116" s="89">
        <f t="shared" ref="G116:G122" si="270">IF(F56=0,"",G56/F56-1)</f>
        <v>-5.3662693297081954E-2</v>
      </c>
      <c r="H116" s="89">
        <f t="shared" ref="H116:H122" si="271">IF(G56=0,"",H56/G56-1)</f>
        <v>0.13915069263002477</v>
      </c>
      <c r="I116" s="89">
        <f t="shared" ref="I116:I122" si="272">IF(H56=0,"",I56/H56-1)</f>
        <v>1.7480311500999823E-2</v>
      </c>
      <c r="J116" s="89">
        <f t="shared" ref="J116:J122" si="273">IF(I56=0,"",J56/I56-1)</f>
        <v>0.14548448519070889</v>
      </c>
      <c r="K116" s="89">
        <f t="shared" ref="K116:K122" si="274">IF(J56=0,"",K56/J56-1)</f>
        <v>0.16137177171537398</v>
      </c>
      <c r="L116" s="89">
        <f t="shared" ref="L116:L122" si="275">IF(K56=0,"",L56/K56-1)</f>
        <v>1.4784955344621764E-2</v>
      </c>
      <c r="M116" s="89">
        <f t="shared" ref="M116:M122" si="276">IF(L56=0,"",M56/L56-1)</f>
        <v>-0.14304617166047584</v>
      </c>
      <c r="N116" s="89">
        <f t="shared" ref="N116:N122" si="277">IF(M56=0,"",N56/M56-1)</f>
        <v>9.9369210063510849E-2</v>
      </c>
      <c r="O116" s="89">
        <f t="shared" ref="O116:O122" si="278">IF(N56=0,"",O56/N56-1)</f>
        <v>-8.8774115793535002E-2</v>
      </c>
      <c r="P116" s="89">
        <f t="shared" ref="P116:P122" si="279">IF(O56=0,"",P56/O56-1)</f>
        <v>-0.13266170556720835</v>
      </c>
      <c r="Q116" s="89">
        <f t="shared" ref="Q116:Q122" si="280">IF(P56=0,"",Q56/P56-1)</f>
        <v>-3.8109683512941084E-2</v>
      </c>
      <c r="R116" s="89">
        <f t="shared" ref="R116:R122" si="281">IF(Q56=0,"",R56/Q56-1)</f>
        <v>5.2318193878289287E-2</v>
      </c>
      <c r="S116" s="89">
        <f t="shared" ref="S116:S122" si="282">IF(R56=0,"",S56/R56-1)</f>
        <v>5.8097240946200834E-2</v>
      </c>
      <c r="T116" s="89">
        <f t="shared" ref="T116:T122" si="283">IF(S56=0,"",T56/S56-1)</f>
        <v>9.0909474926368361E-3</v>
      </c>
      <c r="U116" s="89">
        <f t="shared" ref="U116:U122" si="284">IF(T56=0,"",U56/T56-1)</f>
        <v>-2.2121224313004673E-2</v>
      </c>
      <c r="V116" s="89">
        <f t="shared" ref="V116:V122" si="285">IF(U56=0,"",V56/U56-1)</f>
        <v>4.103299867295962E-2</v>
      </c>
      <c r="W116" s="89">
        <f t="shared" ref="W116:W122" si="286">IF(V56=0,"",W56/V56-1)</f>
        <v>-1.0073008694709062E-2</v>
      </c>
      <c r="X116" s="89">
        <f t="shared" ref="X116:X122" si="287">IF(W56=0,"",X56/W56-1)</f>
        <v>-0.10111458812347074</v>
      </c>
      <c r="Y116" s="89">
        <f t="shared" ref="Y116:Y122" si="288">IF(X56=0,"",Y56/X56-1)</f>
        <v>6.1024308933610438E-2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6.5153611875873763E-2</v>
      </c>
      <c r="F117" s="89">
        <f t="shared" si="269"/>
        <v>-2.0525859474963881E-2</v>
      </c>
      <c r="G117" s="89">
        <f t="shared" si="270"/>
        <v>-5.1515992258233445E-2</v>
      </c>
      <c r="H117" s="89">
        <f t="shared" si="271"/>
        <v>4.3337974664182877E-2</v>
      </c>
      <c r="I117" s="89">
        <f t="shared" si="272"/>
        <v>-4.7160212228633425E-2</v>
      </c>
      <c r="J117" s="89">
        <f t="shared" si="273"/>
        <v>-1.452582116974277E-2</v>
      </c>
      <c r="K117" s="89">
        <f t="shared" si="274"/>
        <v>-1.4988511574858809E-2</v>
      </c>
      <c r="L117" s="89">
        <f t="shared" si="275"/>
        <v>1.364685081591599E-3</v>
      </c>
      <c r="M117" s="89">
        <f t="shared" si="276"/>
        <v>2.0786159204730037E-2</v>
      </c>
      <c r="N117" s="89">
        <f t="shared" si="277"/>
        <v>-3.9335707081393112E-2</v>
      </c>
      <c r="O117" s="89">
        <f t="shared" si="278"/>
        <v>4.3616656161731271E-3</v>
      </c>
      <c r="P117" s="89">
        <f t="shared" si="279"/>
        <v>-7.2793471957420808E-3</v>
      </c>
      <c r="Q117" s="89">
        <f t="shared" si="280"/>
        <v>-3.3867416141356688E-2</v>
      </c>
      <c r="R117" s="89">
        <f t="shared" si="281"/>
        <v>2.7861344618526962E-2</v>
      </c>
      <c r="S117" s="89">
        <f t="shared" si="282"/>
        <v>2.753013824884798E-2</v>
      </c>
      <c r="T117" s="89">
        <f t="shared" si="283"/>
        <v>3.8195411712826921E-2</v>
      </c>
      <c r="U117" s="89">
        <f t="shared" si="284"/>
        <v>2.8455964327514627E-2</v>
      </c>
      <c r="V117" s="89">
        <f t="shared" si="285"/>
        <v>1.8227931588982837E-2</v>
      </c>
      <c r="W117" s="89">
        <f t="shared" si="286"/>
        <v>1.6222159126265678E-2</v>
      </c>
      <c r="X117" s="89">
        <f t="shared" si="287"/>
        <v>-2.2044131780116771E-2</v>
      </c>
      <c r="Y117" s="89">
        <f t="shared" si="288"/>
        <v>-1.8438193985356399E-2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0.14163303958304341</v>
      </c>
      <c r="F118" s="89">
        <f t="shared" si="269"/>
        <v>-1.7362905583251154E-2</v>
      </c>
      <c r="G118" s="89">
        <f t="shared" si="270"/>
        <v>-3.7342714444274061E-2</v>
      </c>
      <c r="H118" s="89">
        <f t="shared" si="271"/>
        <v>0.24831777833591695</v>
      </c>
      <c r="I118" s="89">
        <f t="shared" si="272"/>
        <v>8.5464975232047102E-2</v>
      </c>
      <c r="J118" s="89">
        <f t="shared" si="273"/>
        <v>0.11049084475149162</v>
      </c>
      <c r="K118" s="89">
        <f t="shared" si="274"/>
        <v>8.9818470392424521E-2</v>
      </c>
      <c r="L118" s="89">
        <f t="shared" si="275"/>
        <v>-1.7870141136373308E-2</v>
      </c>
      <c r="M118" s="89">
        <f t="shared" si="276"/>
        <v>-9.8216885156932832E-2</v>
      </c>
      <c r="N118" s="89">
        <f t="shared" si="277"/>
        <v>0.18186733340460592</v>
      </c>
      <c r="O118" s="89">
        <f t="shared" si="278"/>
        <v>9.1357416244569833E-2</v>
      </c>
      <c r="P118" s="89">
        <f t="shared" si="279"/>
        <v>-3.5616224819279951E-2</v>
      </c>
      <c r="Q118" s="89">
        <f t="shared" si="280"/>
        <v>5.0953989504594066E-3</v>
      </c>
      <c r="R118" s="89">
        <f t="shared" si="281"/>
        <v>0.1823074745799862</v>
      </c>
      <c r="S118" s="89">
        <f t="shared" si="282"/>
        <v>7.8724624523450748E-2</v>
      </c>
      <c r="T118" s="89">
        <f t="shared" si="283"/>
        <v>0.10029222068120647</v>
      </c>
      <c r="U118" s="89">
        <f t="shared" si="284"/>
        <v>3.0760575615724317E-2</v>
      </c>
      <c r="V118" s="89">
        <f t="shared" si="285"/>
        <v>-1.8599387640392151E-2</v>
      </c>
      <c r="W118" s="89">
        <f t="shared" si="286"/>
        <v>5.0824965853673909E-2</v>
      </c>
      <c r="X118" s="89">
        <f t="shared" si="287"/>
        <v>-0.22840341299614086</v>
      </c>
      <c r="Y118" s="89">
        <f t="shared" si="288"/>
        <v>2.727260722533198E-2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7.4987041965609125E-2</v>
      </c>
      <c r="F119" s="89">
        <f t="shared" si="269"/>
        <v>-2.9141714330642055E-2</v>
      </c>
      <c r="G119" s="89">
        <f t="shared" si="270"/>
        <v>3.3253824558701517E-2</v>
      </c>
      <c r="H119" s="89">
        <f t="shared" si="271"/>
        <v>0.12188707366937956</v>
      </c>
      <c r="I119" s="89">
        <f t="shared" si="272"/>
        <v>9.287855477242557E-2</v>
      </c>
      <c r="J119" s="89">
        <f t="shared" si="273"/>
        <v>0.17247284696319931</v>
      </c>
      <c r="K119" s="89">
        <f t="shared" si="274"/>
        <v>0.10464564947324573</v>
      </c>
      <c r="L119" s="89">
        <f t="shared" si="275"/>
        <v>-2.0540999797126758E-2</v>
      </c>
      <c r="M119" s="89">
        <f t="shared" si="276"/>
        <v>-0.13732992332391225</v>
      </c>
      <c r="N119" s="89">
        <f t="shared" si="277"/>
        <v>0.10261668188158146</v>
      </c>
      <c r="O119" s="89">
        <f t="shared" si="278"/>
        <v>0.11799027735346357</v>
      </c>
      <c r="P119" s="89">
        <f t="shared" si="279"/>
        <v>2.4226114166996604E-2</v>
      </c>
      <c r="Q119" s="89">
        <f t="shared" si="280"/>
        <v>1.0205217591377602E-2</v>
      </c>
      <c r="R119" s="89">
        <f t="shared" si="281"/>
        <v>7.7255179469354118E-2</v>
      </c>
      <c r="S119" s="89">
        <f t="shared" si="282"/>
        <v>5.8215115833559317E-2</v>
      </c>
      <c r="T119" s="89">
        <f t="shared" si="283"/>
        <v>4.2873788172894667E-3</v>
      </c>
      <c r="U119" s="89">
        <f t="shared" si="284"/>
        <v>4.1670063581214389E-2</v>
      </c>
      <c r="V119" s="89">
        <f t="shared" si="285"/>
        <v>6.2447091752404482E-4</v>
      </c>
      <c r="W119" s="89">
        <f t="shared" si="286"/>
        <v>1.1275154826496658E-2</v>
      </c>
      <c r="X119" s="89">
        <f t="shared" si="287"/>
        <v>-7.7226974444703278E-2</v>
      </c>
      <c r="Y119" s="89">
        <f t="shared" si="288"/>
        <v>5.7403734782817573E-2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1.3811209591045426E-2</v>
      </c>
      <c r="F120" s="89">
        <f t="shared" si="269"/>
        <v>-0.10422421902492307</v>
      </c>
      <c r="G120" s="89">
        <f t="shared" si="270"/>
        <v>-4.1516061184838748E-2</v>
      </c>
      <c r="H120" s="89">
        <f t="shared" si="271"/>
        <v>-0.11669933520096942</v>
      </c>
      <c r="I120" s="89">
        <f t="shared" si="272"/>
        <v>-1.8742391923777024E-2</v>
      </c>
      <c r="J120" s="89">
        <f t="shared" si="273"/>
        <v>1.2293504655248144E-2</v>
      </c>
      <c r="K120" s="89">
        <f t="shared" si="274"/>
        <v>-4.95407447608609E-3</v>
      </c>
      <c r="L120" s="89">
        <f t="shared" si="275"/>
        <v>-1.7941280952108785E-2</v>
      </c>
      <c r="M120" s="89">
        <f t="shared" si="276"/>
        <v>-0.10094055233256916</v>
      </c>
      <c r="N120" s="89">
        <f t="shared" si="277"/>
        <v>-5.4859800519476032E-2</v>
      </c>
      <c r="O120" s="89">
        <f t="shared" si="278"/>
        <v>3.4975025283385808E-3</v>
      </c>
      <c r="P120" s="89">
        <f t="shared" si="279"/>
        <v>-9.2862860922475643E-2</v>
      </c>
      <c r="Q120" s="89">
        <f t="shared" si="280"/>
        <v>3.2763034127726742E-2</v>
      </c>
      <c r="R120" s="89">
        <f t="shared" si="281"/>
        <v>6.6183797090704877E-2</v>
      </c>
      <c r="S120" s="89">
        <f t="shared" si="282"/>
        <v>3.8409756097559367E-3</v>
      </c>
      <c r="T120" s="89">
        <f t="shared" si="283"/>
        <v>3.473136926991427E-2</v>
      </c>
      <c r="U120" s="89">
        <f t="shared" si="284"/>
        <v>3.6044455670722009E-2</v>
      </c>
      <c r="V120" s="89">
        <f t="shared" si="285"/>
        <v>-5.2248995260813613E-2</v>
      </c>
      <c r="W120" s="89">
        <f t="shared" si="286"/>
        <v>1.5751446154554483E-2</v>
      </c>
      <c r="X120" s="89">
        <f t="shared" si="287"/>
        <v>-7.0862567886132988E-2</v>
      </c>
      <c r="Y120" s="89">
        <f t="shared" si="288"/>
        <v>-5.3603042615727459E-3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0.10288318135218</v>
      </c>
      <c r="F121" s="89">
        <f t="shared" si="269"/>
        <v>4.7855986345557433E-4</v>
      </c>
      <c r="G121" s="89">
        <f t="shared" si="270"/>
        <v>7.3312904917605559E-2</v>
      </c>
      <c r="H121" s="89">
        <f t="shared" si="271"/>
        <v>5.8132995417453204E-2</v>
      </c>
      <c r="I121" s="89">
        <f t="shared" si="272"/>
        <v>3.4184760010694371E-2</v>
      </c>
      <c r="J121" s="89">
        <f t="shared" si="273"/>
        <v>2.2593442255048002E-2</v>
      </c>
      <c r="K121" s="89">
        <f t="shared" si="274"/>
        <v>3.2523363458902388E-2</v>
      </c>
      <c r="L121" s="89">
        <f t="shared" si="275"/>
        <v>1.3357339072192609E-2</v>
      </c>
      <c r="M121" s="89">
        <f t="shared" si="276"/>
        <v>-0.18610415531324243</v>
      </c>
      <c r="N121" s="89">
        <f t="shared" si="277"/>
        <v>-3.3974659170907029E-2</v>
      </c>
      <c r="O121" s="89">
        <f t="shared" si="278"/>
        <v>-3.4317297242991707E-4</v>
      </c>
      <c r="P121" s="89">
        <f t="shared" si="279"/>
        <v>-1.0887112869139015E-3</v>
      </c>
      <c r="Q121" s="89">
        <f t="shared" si="280"/>
        <v>-4.0470311353199673E-2</v>
      </c>
      <c r="R121" s="89">
        <f t="shared" si="281"/>
        <v>8.1749926198128264E-2</v>
      </c>
      <c r="S121" s="89">
        <f t="shared" si="282"/>
        <v>5.9162689216744724E-2</v>
      </c>
      <c r="T121" s="89">
        <f t="shared" si="283"/>
        <v>6.643359970729934E-2</v>
      </c>
      <c r="U121" s="89">
        <f t="shared" si="284"/>
        <v>5.3802344093982546E-2</v>
      </c>
      <c r="V121" s="89">
        <f t="shared" si="285"/>
        <v>8.2368246499087583E-2</v>
      </c>
      <c r="W121" s="89">
        <f t="shared" si="286"/>
        <v>1.1640822489521474E-2</v>
      </c>
      <c r="X121" s="89">
        <f t="shared" si="287"/>
        <v>-4.7210905566348438E-2</v>
      </c>
      <c r="Y121" s="89">
        <f t="shared" si="288"/>
        <v>5.4975681644565455E-2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3.1145891708247664E-2</v>
      </c>
      <c r="F122" s="91">
        <f t="shared" si="269"/>
        <v>4.4388489915196505E-2</v>
      </c>
      <c r="G122" s="91">
        <f t="shared" si="270"/>
        <v>6.0317847729479679E-2</v>
      </c>
      <c r="H122" s="91">
        <f t="shared" si="271"/>
        <v>6.5098065082207057E-2</v>
      </c>
      <c r="I122" s="91">
        <f t="shared" si="272"/>
        <v>7.0723072116812835E-2</v>
      </c>
      <c r="J122" s="91">
        <f t="shared" si="273"/>
        <v>0.18188535203796818</v>
      </c>
      <c r="K122" s="91">
        <f t="shared" si="274"/>
        <v>-1.3752562306492688E-3</v>
      </c>
      <c r="L122" s="91">
        <f t="shared" si="275"/>
        <v>1.3854896919930582E-2</v>
      </c>
      <c r="M122" s="91">
        <f t="shared" si="276"/>
        <v>-5.6025801996681612E-2</v>
      </c>
      <c r="N122" s="91">
        <f t="shared" si="277"/>
        <v>2.5338827205294123E-2</v>
      </c>
      <c r="O122" s="91">
        <f t="shared" si="278"/>
        <v>4.7840927854018611E-2</v>
      </c>
      <c r="P122" s="91">
        <f t="shared" si="279"/>
        <v>-1.4437345256091416E-2</v>
      </c>
      <c r="Q122" s="91">
        <f t="shared" si="280"/>
        <v>2.2573046951074316E-2</v>
      </c>
      <c r="R122" s="91">
        <f t="shared" si="281"/>
        <v>8.5891312852381052E-2</v>
      </c>
      <c r="S122" s="91">
        <f t="shared" si="282"/>
        <v>8.4981058344640203E-2</v>
      </c>
      <c r="T122" s="91">
        <f t="shared" si="283"/>
        <v>5.5101120597750075E-2</v>
      </c>
      <c r="U122" s="91">
        <f t="shared" si="284"/>
        <v>2.2277103650261143E-3</v>
      </c>
      <c r="V122" s="91">
        <f t="shared" si="285"/>
        <v>-3.3460193868326216E-2</v>
      </c>
      <c r="W122" s="91">
        <f t="shared" si="286"/>
        <v>2.4562136176002669E-2</v>
      </c>
      <c r="X122" s="91">
        <f t="shared" si="287"/>
        <v>-8.6282774429128795E-2</v>
      </c>
      <c r="Y122" s="91">
        <f t="shared" si="288"/>
        <v>4.6559770188681071E-2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2619D6-D7FE-4609-A5B4-74C514679C72}"/>
</file>

<file path=customXml/itemProps2.xml><?xml version="1.0" encoding="utf-8"?>
<ds:datastoreItem xmlns:ds="http://schemas.openxmlformats.org/officeDocument/2006/customXml" ds:itemID="{D962BE8C-E469-4CD8-A541-21E995259428}"/>
</file>

<file path=customXml/itemProps3.xml><?xml version="1.0" encoding="utf-8"?>
<ds:datastoreItem xmlns:ds="http://schemas.openxmlformats.org/officeDocument/2006/customXml" ds:itemID="{117A861D-0C3D-4317-8239-A1FAF15F3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2024-05-20T16:47:23Z</dcterms:created>
  <dcterms:modified xsi:type="dcterms:W3CDTF">2024-05-20T16:47:23Z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