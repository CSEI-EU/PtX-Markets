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E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B26" i="1"/>
  <c r="B25" i="1"/>
  <c r="B24" i="1"/>
  <c r="C242" i="3" l="1"/>
  <c r="W14" i="18"/>
  <c r="S242" i="3"/>
  <c r="E3" i="20"/>
  <c r="E22" i="20" s="1"/>
  <c r="C18" i="20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2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3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R242" i="3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R29" i="3"/>
  <c r="R123" i="3" s="1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A117" i="3"/>
  <c r="A147" i="3"/>
  <c r="A54" i="3"/>
  <c r="A176" i="3"/>
  <c r="A55" i="3"/>
  <c r="A177" i="3"/>
  <c r="A84" i="3"/>
  <c r="A206" i="3"/>
  <c r="A85" i="3"/>
  <c r="A146" i="3"/>
  <c r="A116" i="3"/>
  <c r="D21" i="20"/>
  <c r="D22" i="20"/>
  <c r="I21" i="18"/>
  <c r="N3" i="18"/>
  <c r="N17" i="18" s="1"/>
  <c r="U14" i="18"/>
  <c r="E21" i="20"/>
  <c r="P14" i="18"/>
  <c r="J14" i="20"/>
  <c r="O3" i="20"/>
  <c r="O23" i="20" s="1"/>
  <c r="O3" i="18"/>
  <c r="O18" i="18" s="1"/>
  <c r="N3" i="20"/>
  <c r="F20" i="19"/>
  <c r="L10" i="20"/>
  <c r="J21" i="19"/>
  <c r="Q14" i="20"/>
  <c r="Q3" i="20"/>
  <c r="Q22" i="20" s="1"/>
  <c r="C19" i="20"/>
  <c r="E14" i="18"/>
  <c r="M14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W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22" i="18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W10" i="20"/>
  <c r="B14" i="20"/>
  <c r="U15" i="20"/>
  <c r="S18" i="20"/>
  <c r="S15" i="20"/>
  <c r="S3" i="20"/>
  <c r="S23" i="20" s="1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K20" i="19" l="1"/>
  <c r="F24" i="19"/>
  <c r="W17" i="20"/>
  <c r="U24" i="19"/>
  <c r="R21" i="18"/>
  <c r="P24" i="19"/>
  <c r="N13" i="20"/>
  <c r="P10" i="20"/>
  <c r="N24" i="19"/>
  <c r="N10" i="20"/>
  <c r="N20" i="19"/>
  <c r="E18" i="18"/>
  <c r="R212" i="3"/>
  <c r="E19" i="18"/>
  <c r="R23" i="18"/>
  <c r="F89" i="3"/>
  <c r="F181" i="3" s="1"/>
  <c r="J11" i="20"/>
  <c r="W3" i="19"/>
  <c r="W28" i="19" s="1"/>
  <c r="S22" i="18"/>
  <c r="L21" i="20"/>
  <c r="S23" i="18"/>
  <c r="M23" i="20"/>
  <c r="G24" i="19"/>
  <c r="T23" i="18"/>
  <c r="N241" i="3"/>
  <c r="E23" i="18"/>
  <c r="U18" i="18"/>
  <c r="G23" i="20"/>
  <c r="L23" i="18"/>
  <c r="U19" i="18"/>
  <c r="E22" i="18"/>
  <c r="K23" i="18"/>
  <c r="H25" i="19"/>
  <c r="G18" i="18"/>
  <c r="R21" i="19"/>
  <c r="M24" i="19"/>
  <c r="Q10" i="20"/>
  <c r="T20" i="19"/>
  <c r="I213" i="3"/>
  <c r="R25" i="19"/>
  <c r="M22" i="20"/>
  <c r="G25" i="19"/>
  <c r="T24" i="19"/>
  <c r="F22" i="20"/>
  <c r="O11" i="20"/>
  <c r="H20" i="19"/>
  <c r="Q11" i="20"/>
  <c r="W24" i="19"/>
  <c r="S10" i="20"/>
  <c r="Q25" i="19"/>
  <c r="H3" i="19"/>
  <c r="H23" i="19" s="1"/>
  <c r="L20" i="19"/>
  <c r="O21" i="19"/>
  <c r="Q24" i="19"/>
  <c r="Q21" i="19"/>
  <c r="M22" i="18"/>
  <c r="E13" i="18"/>
  <c r="M23" i="18"/>
  <c r="F19" i="18"/>
  <c r="U29" i="3"/>
  <c r="U121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3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Q123" i="3"/>
  <c r="Q241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F18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K183" i="3"/>
  <c r="E183" i="3"/>
  <c r="D181" i="3"/>
  <c r="D182" i="3"/>
  <c r="R183" i="3"/>
  <c r="R181" i="3"/>
  <c r="I182" i="3"/>
  <c r="C183" i="3"/>
  <c r="J182" i="3"/>
  <c r="M123" i="3"/>
  <c r="M121" i="3"/>
  <c r="Q122" i="3"/>
  <c r="O123" i="3"/>
  <c r="E123" i="3"/>
  <c r="W123" i="3"/>
  <c r="G123" i="3"/>
  <c r="B123" i="3"/>
  <c r="R122" i="3"/>
  <c r="R121" i="3"/>
  <c r="U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W27" i="19" l="1"/>
  <c r="W19" i="19"/>
  <c r="M29" i="19"/>
  <c r="F152" i="3"/>
  <c r="W23" i="19"/>
  <c r="W9" i="20"/>
  <c r="W29" i="19"/>
  <c r="P9" i="20"/>
  <c r="D123" i="3"/>
  <c r="U182" i="3"/>
  <c r="G28" i="19"/>
  <c r="M182" i="3"/>
  <c r="Q23" i="19"/>
  <c r="H28" i="19"/>
  <c r="H27" i="19"/>
  <c r="F153" i="3"/>
  <c r="M19" i="19"/>
  <c r="M27" i="19"/>
  <c r="H9" i="20"/>
  <c r="H29" i="19"/>
  <c r="E28" i="19"/>
  <c r="H19" i="19"/>
  <c r="M9" i="20"/>
  <c r="P27" i="19"/>
  <c r="E23" i="19"/>
  <c r="F241" i="3"/>
  <c r="N29" i="19"/>
  <c r="E27" i="19"/>
  <c r="T241" i="3"/>
  <c r="N9" i="20"/>
  <c r="T123" i="3"/>
  <c r="L121" i="3"/>
  <c r="P121" i="3"/>
  <c r="P122" i="3"/>
  <c r="N19" i="19"/>
  <c r="G27" i="19"/>
  <c r="N27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W10" i="5" l="1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 l="1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22" i="13" l="1"/>
  <c r="W85" i="4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I100" i="4" s="1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217" i="4" l="1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F84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R60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N84" i="4" l="1"/>
  <c r="H75" i="7"/>
  <c r="E75" i="7"/>
  <c r="Q75" i="7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Q59" i="7" s="1"/>
  <c r="G60" i="7"/>
  <c r="I75" i="7"/>
  <c r="V60" i="7"/>
  <c r="W23" i="9"/>
  <c r="W26" i="10"/>
  <c r="W232" i="3"/>
  <c r="R100" i="4"/>
  <c r="R31" i="4"/>
  <c r="T4" i="6"/>
  <c r="J100" i="4"/>
  <c r="J84" i="4" s="1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111" i="5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70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216" i="4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212" i="4" s="1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Q177" i="4" s="1"/>
  <c r="O74" i="4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205" i="4" s="1"/>
  <c r="D15" i="4"/>
  <c r="D206" i="4" s="1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S70" i="5" s="1"/>
  <c r="S125" i="7" s="1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73" i="4" s="1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99" i="5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205" i="4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202" i="4" s="1"/>
  <c r="S175" i="4"/>
  <c r="S62" i="6"/>
  <c r="S204" i="7" s="1"/>
  <c r="G176" i="4"/>
  <c r="G63" i="6"/>
  <c r="O12" i="4"/>
  <c r="O203" i="4" s="1"/>
  <c r="O176" i="4"/>
  <c r="O63" i="6"/>
  <c r="C40" i="4"/>
  <c r="C177" i="4" s="1"/>
  <c r="M40" i="4"/>
  <c r="M177" i="4" s="1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H58" i="4" s="1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73" i="4" s="1"/>
  <c r="V19" i="7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201" i="4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Q117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77" i="5" s="1"/>
  <c r="M132" i="7" s="1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77" i="5" s="1"/>
  <c r="O132" i="7" s="1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132" i="6"/>
  <c r="J40" i="6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I268" i="4"/>
  <c r="I266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258" i="4"/>
  <c r="R70" i="5"/>
  <c r="O46" i="4"/>
  <c r="O265" i="4" s="1"/>
  <c r="O184" i="4"/>
  <c r="O71" i="6"/>
  <c r="O213" i="7" s="1"/>
  <c r="P190" i="4"/>
  <c r="P83" i="5"/>
  <c r="P138" i="7" s="1"/>
  <c r="K112" i="4"/>
  <c r="N47" i="7"/>
  <c r="P106" i="5"/>
  <c r="G216" i="4"/>
  <c r="G103" i="6"/>
  <c r="G109" i="5"/>
  <c r="Q170" i="4"/>
  <c r="Q63" i="5"/>
  <c r="Q118" i="7" s="1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64" i="6"/>
  <c r="P31" i="4"/>
  <c r="P64" i="6"/>
  <c r="Q184" i="4"/>
  <c r="R190" i="4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77" i="6"/>
  <c r="B83" i="5"/>
  <c r="K177" i="4"/>
  <c r="K64" i="6"/>
  <c r="K206" i="7" s="1"/>
  <c r="H184" i="4"/>
  <c r="H71" i="6"/>
  <c r="H213" i="7" s="1"/>
  <c r="H77" i="5"/>
  <c r="H132" i="7" s="1"/>
  <c r="R184" i="4"/>
  <c r="R77" i="5"/>
  <c r="R132" i="7" s="1"/>
  <c r="G77" i="6"/>
  <c r="G83" i="5"/>
  <c r="V77" i="6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V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6" i="4"/>
  <c r="S218" i="4"/>
  <c r="S105" i="6"/>
  <c r="S111" i="5"/>
  <c r="F58" i="4"/>
  <c r="F13" i="7"/>
  <c r="O20" i="7"/>
  <c r="V20" i="7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89" i="6"/>
  <c r="I95" i="5"/>
  <c r="C213" i="4"/>
  <c r="C100" i="6"/>
  <c r="C106" i="5"/>
  <c r="E215" i="4"/>
  <c r="E102" i="6"/>
  <c r="E108" i="5"/>
  <c r="H218" i="4"/>
  <c r="H105" i="6"/>
  <c r="H111" i="5"/>
  <c r="O92" i="5"/>
  <c r="S89" i="6"/>
  <c r="S95" i="5"/>
  <c r="Q46" i="4"/>
  <c r="Q265" i="4" s="1"/>
  <c r="V184" i="4"/>
  <c r="V71" i="6"/>
  <c r="V213" i="7" s="1"/>
  <c r="V77" i="5"/>
  <c r="V132" i="7" s="1"/>
  <c r="J77" i="6"/>
  <c r="J219" i="7" s="1"/>
  <c r="D26" i="4"/>
  <c r="D218" i="4"/>
  <c r="D105" i="6"/>
  <c r="D111" i="5"/>
  <c r="P73" i="4"/>
  <c r="P19" i="7" s="1"/>
  <c r="P20" i="7"/>
  <c r="V127" i="4"/>
  <c r="V46" i="7" s="1"/>
  <c r="V47" i="7"/>
  <c r="U198" i="4"/>
  <c r="U85" i="6"/>
  <c r="U91" i="5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E205" i="4"/>
  <c r="E92" i="6"/>
  <c r="E98" i="5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2" i="4"/>
  <c r="R270" i="4"/>
  <c r="R268" i="4"/>
  <c r="R266" i="4"/>
  <c r="M184" i="4"/>
  <c r="M71" i="6"/>
  <c r="M213" i="7" s="1"/>
  <c r="O213" i="4"/>
  <c r="O100" i="6"/>
  <c r="O106" i="5"/>
  <c r="S214" i="4"/>
  <c r="S101" i="6"/>
  <c r="S107" i="5"/>
  <c r="N77" i="6"/>
  <c r="N271" i="4"/>
  <c r="N83" i="5"/>
  <c r="U46" i="4"/>
  <c r="U265" i="4" s="1"/>
  <c r="U83" i="5"/>
  <c r="D73" i="4"/>
  <c r="D26" i="7"/>
  <c r="U73" i="4"/>
  <c r="J47" i="7"/>
  <c r="S47" i="7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258" i="4"/>
  <c r="Q64" i="6"/>
  <c r="V46" i="4"/>
  <c r="N71" i="6"/>
  <c r="N265" i="4"/>
  <c r="N77" i="5"/>
  <c r="T184" i="4"/>
  <c r="O77" i="6"/>
  <c r="O271" i="4"/>
  <c r="O83" i="5"/>
  <c r="I58" i="4"/>
  <c r="I4" i="7" s="1"/>
  <c r="I13" i="7"/>
  <c r="R73" i="4"/>
  <c r="R19" i="7" s="1"/>
  <c r="R20" i="7"/>
  <c r="M47" i="7"/>
  <c r="N250" i="4"/>
  <c r="E252" i="4"/>
  <c r="R253" i="4"/>
  <c r="O109" i="5"/>
  <c r="V83" i="6"/>
  <c r="Q215" i="4"/>
  <c r="Q102" i="6"/>
  <c r="Q108" i="5"/>
  <c r="O4" i="6"/>
  <c r="O47" i="6" s="1"/>
  <c r="L4" i="6"/>
  <c r="T42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E20" i="4"/>
  <c r="C15" i="4"/>
  <c r="K15" i="4"/>
  <c r="G16" i="4"/>
  <c r="K17" i="4"/>
  <c r="G18" i="4"/>
  <c r="K11" i="4"/>
  <c r="H16" i="4"/>
  <c r="P16" i="4"/>
  <c r="T17" i="4"/>
  <c r="H18" i="4"/>
  <c r="P18" i="4"/>
  <c r="C100" i="4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T125" i="6" l="1"/>
  <c r="T18" i="5"/>
  <c r="U256" i="4"/>
  <c r="U250" i="4"/>
  <c r="U263" i="4"/>
  <c r="U170" i="4"/>
  <c r="R105" i="6"/>
  <c r="I88" i="6"/>
  <c r="J251" i="4"/>
  <c r="U63" i="5"/>
  <c r="Q206" i="7"/>
  <c r="J254" i="4"/>
  <c r="B219" i="7"/>
  <c r="J213" i="7"/>
  <c r="M216" i="4"/>
  <c r="M58" i="4"/>
  <c r="M4" i="7" s="1"/>
  <c r="P70" i="5"/>
  <c r="Q125" i="7"/>
  <c r="J127" i="4"/>
  <c r="J46" i="7" s="1"/>
  <c r="N18" i="5"/>
  <c r="V59" i="7"/>
  <c r="E190" i="4"/>
  <c r="M200" i="4"/>
  <c r="R218" i="4"/>
  <c r="E58" i="4"/>
  <c r="E168" i="4" s="1"/>
  <c r="O26" i="4"/>
  <c r="R13" i="7"/>
  <c r="B98" i="5"/>
  <c r="H86" i="6"/>
  <c r="I202" i="4"/>
  <c r="O112" i="5"/>
  <c r="V219" i="7"/>
  <c r="T206" i="7"/>
  <c r="R177" i="4"/>
  <c r="I270" i="4"/>
  <c r="M64" i="6"/>
  <c r="M206" i="7" s="1"/>
  <c r="T118" i="6"/>
  <c r="Q18" i="5"/>
  <c r="Q61" i="5" s="1"/>
  <c r="I59" i="7"/>
  <c r="R26" i="4"/>
  <c r="R19" i="4" s="1"/>
  <c r="R244" i="4" s="1"/>
  <c r="R58" i="4"/>
  <c r="B92" i="6"/>
  <c r="H199" i="4"/>
  <c r="O106" i="6"/>
  <c r="V190" i="4"/>
  <c r="T177" i="4"/>
  <c r="Q100" i="6"/>
  <c r="I272" i="4"/>
  <c r="C118" i="6"/>
  <c r="B77" i="5"/>
  <c r="B132" i="7" s="1"/>
  <c r="B207" i="4"/>
  <c r="B190" i="4"/>
  <c r="M26" i="7"/>
  <c r="S105" i="5"/>
  <c r="M203" i="4"/>
  <c r="S91" i="5"/>
  <c r="H109" i="5"/>
  <c r="Q213" i="4"/>
  <c r="B59" i="7"/>
  <c r="B71" i="6"/>
  <c r="B213" i="7" s="1"/>
  <c r="O206" i="7"/>
  <c r="D47" i="6"/>
  <c r="O125" i="7"/>
  <c r="U125" i="7"/>
  <c r="B73" i="4"/>
  <c r="B19" i="7" s="1"/>
  <c r="S112" i="4"/>
  <c r="J112" i="4"/>
  <c r="S99" i="6"/>
  <c r="F229" i="4"/>
  <c r="V94" i="5"/>
  <c r="S85" i="6"/>
  <c r="M98" i="5"/>
  <c r="B184" i="4"/>
  <c r="G184" i="4"/>
  <c r="H103" i="6"/>
  <c r="Q98" i="5"/>
  <c r="D99" i="5"/>
  <c r="D71" i="6"/>
  <c r="D213" i="7" s="1"/>
  <c r="C58" i="4"/>
  <c r="C4" i="7" s="1"/>
  <c r="F95" i="5"/>
  <c r="V88" i="6"/>
  <c r="C64" i="6"/>
  <c r="C206" i="7" s="1"/>
  <c r="M92" i="6"/>
  <c r="G46" i="4"/>
  <c r="G271" i="4" s="1"/>
  <c r="Q92" i="6"/>
  <c r="D93" i="6"/>
  <c r="G77" i="5"/>
  <c r="G132" i="7" s="1"/>
  <c r="U59" i="7"/>
  <c r="G112" i="4"/>
  <c r="I199" i="4"/>
  <c r="F89" i="6"/>
  <c r="R47" i="7"/>
  <c r="B138" i="7"/>
  <c r="N127" i="4"/>
  <c r="N46" i="7" s="1"/>
  <c r="J18" i="6"/>
  <c r="J55" i="6" s="1"/>
  <c r="U118" i="7"/>
  <c r="T213" i="7"/>
  <c r="M13" i="4"/>
  <c r="K184" i="4"/>
  <c r="B57" i="6"/>
  <c r="P71" i="6"/>
  <c r="P213" i="7" s="1"/>
  <c r="O6" i="4"/>
  <c r="O143" i="4" s="1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150" i="4" s="1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I211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P125" i="7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57" i="4" s="1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63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97" i="4" s="1"/>
  <c r="B6" i="4"/>
  <c r="B84" i="6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43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76" i="5" s="1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150" i="4"/>
  <c r="D204" i="4"/>
  <c r="D91" i="6"/>
  <c r="D97" i="5"/>
  <c r="B197" i="4"/>
  <c r="M204" i="4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J4" i="7"/>
  <c r="G209" i="4"/>
  <c r="G96" i="6"/>
  <c r="G102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19" i="7"/>
  <c r="D163" i="4"/>
  <c r="D217" i="4"/>
  <c r="D104" i="6"/>
  <c r="D110" i="5"/>
  <c r="T31" i="7"/>
  <c r="P20" i="4"/>
  <c r="P157" i="4" s="1"/>
  <c r="P215" i="4"/>
  <c r="P102" i="6"/>
  <c r="P108" i="5"/>
  <c r="S143" i="4"/>
  <c r="S197" i="4"/>
  <c r="S84" i="6"/>
  <c r="S90" i="5"/>
  <c r="O4" i="7"/>
  <c r="S4" i="4"/>
  <c r="S223" i="4" s="1"/>
  <c r="F204" i="4"/>
  <c r="J163" i="4"/>
  <c r="J217" i="4"/>
  <c r="J104" i="6"/>
  <c r="J110" i="5"/>
  <c r="B177" i="4"/>
  <c r="B64" i="6"/>
  <c r="B206" i="7" s="1"/>
  <c r="B70" i="5"/>
  <c r="B125" i="7" s="1"/>
  <c r="R150" i="4"/>
  <c r="R204" i="4"/>
  <c r="R91" i="6"/>
  <c r="R97" i="5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270" i="4"/>
  <c r="E268" i="4"/>
  <c r="C25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B20" i="4"/>
  <c r="B213" i="4"/>
  <c r="B100" i="6"/>
  <c r="B106" i="5"/>
  <c r="H20" i="4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4" i="4" s="1"/>
  <c r="D225" i="4" s="1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S231" i="4"/>
  <c r="G199" i="4"/>
  <c r="G86" i="6"/>
  <c r="G92" i="5"/>
  <c r="Q143" i="4"/>
  <c r="Q197" i="4"/>
  <c r="Q84" i="6"/>
  <c r="Q90" i="5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N183" i="4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97" i="4"/>
  <c r="E84" i="6"/>
  <c r="F6" i="4"/>
  <c r="F4" i="4" s="1"/>
  <c r="F231" i="4" s="1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V265" i="4"/>
  <c r="H261" i="4"/>
  <c r="H257" i="4"/>
  <c r="R168" i="4"/>
  <c r="F183" i="4"/>
  <c r="C6" i="4"/>
  <c r="T20" i="4"/>
  <c r="R4" i="4"/>
  <c r="R143" i="4"/>
  <c r="P13" i="4"/>
  <c r="H19" i="4"/>
  <c r="H242" i="4" s="1"/>
  <c r="H157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C46" i="4"/>
  <c r="C271" i="4" s="1"/>
  <c r="E19" i="4"/>
  <c r="E238" i="4" s="1"/>
  <c r="R104" i="6" l="1"/>
  <c r="B143" i="4"/>
  <c r="J183" i="4"/>
  <c r="H57" i="4"/>
  <c r="H3" i="7" s="1"/>
  <c r="M57" i="4"/>
  <c r="M3" i="7" s="1"/>
  <c r="J57" i="4"/>
  <c r="J3" i="7" s="1"/>
  <c r="S242" i="4"/>
  <c r="R163" i="4"/>
  <c r="B90" i="5"/>
  <c r="Q211" i="4"/>
  <c r="R110" i="5"/>
  <c r="R217" i="4"/>
  <c r="S244" i="4"/>
  <c r="E90" i="5"/>
  <c r="K143" i="4"/>
  <c r="K104" i="6"/>
  <c r="B17" i="5"/>
  <c r="B144" i="5" s="1"/>
  <c r="K217" i="4"/>
  <c r="N97" i="5"/>
  <c r="H254" i="4"/>
  <c r="I157" i="4"/>
  <c r="K90" i="5"/>
  <c r="N91" i="6"/>
  <c r="K4" i="4"/>
  <c r="K223" i="4" s="1"/>
  <c r="K84" i="6"/>
  <c r="E269" i="4"/>
  <c r="N204" i="4"/>
  <c r="H168" i="4"/>
  <c r="I90" i="5"/>
  <c r="B204" i="4"/>
  <c r="O90" i="5"/>
  <c r="E273" i="4"/>
  <c r="J97" i="5"/>
  <c r="G98" i="6"/>
  <c r="H259" i="4"/>
  <c r="O84" i="6"/>
  <c r="E264" i="4"/>
  <c r="E70" i="6"/>
  <c r="J91" i="6"/>
  <c r="O4" i="4"/>
  <c r="O232" i="4" s="1"/>
  <c r="Q17" i="5"/>
  <c r="Q157" i="5" s="1"/>
  <c r="E271" i="4"/>
  <c r="O197" i="4"/>
  <c r="E266" i="4"/>
  <c r="E30" i="4"/>
  <c r="J204" i="4"/>
  <c r="H61" i="5"/>
  <c r="N111" i="4"/>
  <c r="N30" i="7" s="1"/>
  <c r="H249" i="4"/>
  <c r="H253" i="4"/>
  <c r="B4" i="4"/>
  <c r="B231" i="4" s="1"/>
  <c r="H263" i="4"/>
  <c r="H255" i="4"/>
  <c r="O183" i="4"/>
  <c r="I104" i="5"/>
  <c r="H250" i="4"/>
  <c r="I98" i="6"/>
  <c r="C57" i="4"/>
  <c r="C3" i="7" s="1"/>
  <c r="E272" i="4"/>
  <c r="H251" i="4"/>
  <c r="H260" i="4"/>
  <c r="I19" i="4"/>
  <c r="I244" i="4" s="1"/>
  <c r="H252" i="4"/>
  <c r="H262" i="4"/>
  <c r="E267" i="4"/>
  <c r="O57" i="4"/>
  <c r="O3" i="7" s="1"/>
  <c r="E76" i="5"/>
  <c r="C111" i="4"/>
  <c r="C30" i="7" s="1"/>
  <c r="D57" i="4"/>
  <c r="D3" i="7" s="1"/>
  <c r="I84" i="6"/>
  <c r="B110" i="5"/>
  <c r="I197" i="4"/>
  <c r="B104" i="6"/>
  <c r="B164" i="5"/>
  <c r="B217" i="4"/>
  <c r="S17" i="5"/>
  <c r="S162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56" i="5"/>
  <c r="S160" i="5"/>
  <c r="S154" i="5"/>
  <c r="S147" i="5"/>
  <c r="S161" i="5"/>
  <c r="S158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45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37" i="6"/>
  <c r="H135" i="6"/>
  <c r="H141" i="6"/>
  <c r="H149" i="6"/>
  <c r="H146" i="6"/>
  <c r="H148" i="6"/>
  <c r="H140" i="6"/>
  <c r="H139" i="6"/>
  <c r="H159" i="6"/>
  <c r="H156" i="6"/>
  <c r="H147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59" i="5"/>
  <c r="J161" i="5"/>
  <c r="K17" i="6"/>
  <c r="K151" i="6" s="1"/>
  <c r="H136" i="6"/>
  <c r="N17" i="6"/>
  <c r="N136" i="6" s="1"/>
  <c r="N55" i="6"/>
  <c r="T57" i="4"/>
  <c r="T3" i="7" s="1"/>
  <c r="F76" i="5"/>
  <c r="I70" i="6"/>
  <c r="H151" i="6"/>
  <c r="E17" i="6"/>
  <c r="E136" i="6" s="1"/>
  <c r="E55" i="6"/>
  <c r="R152" i="6"/>
  <c r="U17" i="5"/>
  <c r="U60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225" i="4"/>
  <c r="O234" i="4"/>
  <c r="O235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222" i="4"/>
  <c r="K234" i="4"/>
  <c r="H204" i="4"/>
  <c r="H91" i="6"/>
  <c r="H97" i="5"/>
  <c r="B157" i="4"/>
  <c r="Q241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J148" i="5" l="1"/>
  <c r="J144" i="5"/>
  <c r="K88" i="5"/>
  <c r="O230" i="4"/>
  <c r="K82" i="6"/>
  <c r="O229" i="4"/>
  <c r="O222" i="4"/>
  <c r="K233" i="4"/>
  <c r="K224" i="4"/>
  <c r="U157" i="5"/>
  <c r="J146" i="5"/>
  <c r="O236" i="4"/>
  <c r="K230" i="4"/>
  <c r="O88" i="5"/>
  <c r="J142" i="5"/>
  <c r="J141" i="5"/>
  <c r="E167" i="4"/>
  <c r="K226" i="4"/>
  <c r="K141" i="4"/>
  <c r="O227" i="4"/>
  <c r="O82" i="6"/>
  <c r="K227" i="4"/>
  <c r="K195" i="4"/>
  <c r="K228" i="4"/>
  <c r="O228" i="4"/>
  <c r="O195" i="4"/>
  <c r="J153" i="5"/>
  <c r="K229" i="4"/>
  <c r="K231" i="4"/>
  <c r="K236" i="4"/>
  <c r="O224" i="4"/>
  <c r="O233" i="4"/>
  <c r="O141" i="4"/>
  <c r="J152" i="5"/>
  <c r="H154" i="6"/>
  <c r="S141" i="5"/>
  <c r="O231" i="4"/>
  <c r="K235" i="4"/>
  <c r="K232" i="4"/>
  <c r="O226" i="4"/>
  <c r="O223" i="4"/>
  <c r="H158" i="6"/>
  <c r="H142" i="6"/>
  <c r="J167" i="4"/>
  <c r="S151" i="5"/>
  <c r="S142" i="5"/>
  <c r="S145" i="5"/>
  <c r="J155" i="5"/>
  <c r="S155" i="5"/>
  <c r="S166" i="5"/>
  <c r="S159" i="5"/>
  <c r="Q240" i="4"/>
  <c r="Q237" i="4"/>
  <c r="P103" i="5"/>
  <c r="S150" i="5"/>
  <c r="S164" i="5"/>
  <c r="S152" i="5"/>
  <c r="Q242" i="4"/>
  <c r="E54" i="6"/>
  <c r="Q245" i="4"/>
  <c r="Q97" i="6"/>
  <c r="P246" i="4"/>
  <c r="U54" i="6"/>
  <c r="D167" i="4"/>
  <c r="S144" i="5"/>
  <c r="S148" i="5"/>
  <c r="Q239" i="4"/>
  <c r="Q210" i="4"/>
  <c r="M242" i="4"/>
  <c r="Q238" i="4"/>
  <c r="S157" i="5"/>
  <c r="S165" i="5"/>
  <c r="S146" i="5"/>
  <c r="Q103" i="5"/>
  <c r="Q243" i="4"/>
  <c r="Q156" i="4"/>
  <c r="M239" i="4"/>
  <c r="S149" i="5"/>
  <c r="S163" i="5"/>
  <c r="Q246" i="4"/>
  <c r="M156" i="4"/>
  <c r="S143" i="5"/>
  <c r="S153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11" i="6" l="1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E25" i="8"/>
  <c r="J15" i="8"/>
  <c r="J27" i="10" s="1"/>
  <c r="R15" i="8"/>
  <c r="R27" i="10" s="1"/>
  <c r="G4" i="8"/>
  <c r="E36" i="8" l="1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O54" i="8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S80" i="8"/>
  <c r="O80" i="8"/>
  <c r="N80" i="8"/>
  <c r="R79" i="8"/>
  <c r="O79" i="8"/>
  <c r="K79" i="8"/>
  <c r="V77" i="8"/>
  <c r="S77" i="8"/>
  <c r="O77" i="8"/>
  <c r="N77" i="8"/>
  <c r="S76" i="8"/>
  <c r="R76" i="8"/>
  <c r="P76" i="8"/>
  <c r="O76" i="8"/>
  <c r="V75" i="8"/>
  <c r="T75" i="8"/>
  <c r="N75" i="8"/>
  <c r="L75" i="8"/>
  <c r="K75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S20" i="3"/>
  <c r="R20" i="3"/>
  <c r="V19" i="3"/>
  <c r="U19" i="3"/>
  <c r="T19" i="3"/>
  <c r="S19" i="3"/>
  <c r="R19" i="3"/>
  <c r="V12" i="3"/>
  <c r="U12" i="3"/>
  <c r="T12" i="3"/>
  <c r="S12" i="3"/>
  <c r="R12" i="3"/>
  <c r="V11" i="3"/>
  <c r="U11" i="3"/>
  <c r="T11" i="3"/>
  <c r="S11" i="3"/>
  <c r="V10" i="3"/>
  <c r="U10" i="3"/>
  <c r="T10" i="3"/>
  <c r="S10" i="3"/>
  <c r="R10" i="3"/>
  <c r="V8" i="3"/>
  <c r="U8" i="3"/>
  <c r="T8" i="3"/>
  <c r="S8" i="3"/>
  <c r="R8" i="3"/>
  <c r="R220" i="3" s="1"/>
  <c r="V7" i="3"/>
  <c r="U7" i="3"/>
  <c r="T7" i="3"/>
  <c r="S7" i="3"/>
  <c r="R7" i="3"/>
  <c r="V6" i="3"/>
  <c r="U6" i="3"/>
  <c r="T6" i="3"/>
  <c r="T218" i="3" s="1"/>
  <c r="S6" i="3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N6" i="3"/>
  <c r="N218" i="3" s="1"/>
  <c r="M6" i="3"/>
  <c r="L6" i="3"/>
  <c r="K6" i="3"/>
  <c r="J6" i="3"/>
  <c r="I6" i="3"/>
  <c r="H6" i="3"/>
  <c r="G6" i="3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3" i="1"/>
  <c r="B8" i="1"/>
  <c r="B21" i="1"/>
  <c r="B22" i="1"/>
  <c r="B15" i="1"/>
  <c r="B6" i="1"/>
  <c r="B17" i="1"/>
  <c r="B12" i="1"/>
  <c r="B18" i="1"/>
  <c r="B11" i="1"/>
  <c r="B7" i="1"/>
  <c r="B16" i="1"/>
  <c r="B20" i="1"/>
  <c r="B4" i="1"/>
  <c r="B9" i="1"/>
  <c r="G222" i="3" l="1"/>
  <c r="O222" i="3"/>
  <c r="S218" i="3"/>
  <c r="V219" i="3"/>
  <c r="T222" i="3"/>
  <c r="S224" i="3"/>
  <c r="G218" i="3"/>
  <c r="O218" i="3"/>
  <c r="T224" i="3"/>
  <c r="T232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191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 s="1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52" i="3" s="1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N225" i="3" s="1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P67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2" i="3"/>
  <c r="V128" i="3"/>
  <c r="V134" i="3"/>
  <c r="V131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D234" i="3" l="1"/>
  <c r="P77" i="3"/>
  <c r="P173" i="3" s="1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234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50" i="3"/>
  <c r="I149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I199" i="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P170" i="3" l="1"/>
  <c r="C77" i="3"/>
  <c r="C178" i="3" s="1"/>
  <c r="I140" i="3"/>
  <c r="I143" i="3"/>
  <c r="I142" i="3"/>
  <c r="I144" i="3"/>
  <c r="I141" i="3"/>
  <c r="I146" i="3"/>
  <c r="I139" i="3"/>
  <c r="I145" i="3"/>
  <c r="I148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64" i="3" l="1"/>
  <c r="B168" i="3" s="1"/>
  <c r="B53" i="12"/>
  <c r="R144" i="3"/>
  <c r="B17" i="12"/>
  <c r="B67" i="12" s="1"/>
  <c r="R139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<sst xmlns="http://schemas.openxmlformats.org/spreadsheetml/2006/main" count="2655" uniqueCount="1167">
  <si>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</si>
  <si>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</si>
  <si>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</si>
  <si>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</si>
  <si>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</si>
  <si>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</si>
  <si>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</si>
  <si>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</si>
  <si>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</si>
  <si>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</si>
  <si>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</si>
  <si>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</si>
  <si>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</si>
  <si>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</si>
  <si>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</si>
  <si>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</si>
  <si>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</si>
  <si>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</si>
  <si>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</si>
  <si>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</si>
  <si>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</si>
  <si>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</si>
  <si>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</si>
  <si>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</si>
  <si>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</si>
  <si>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</si>
  <si>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</si>
  <si>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</si>
  <si>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</si>
  <si>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</si>
  <si>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</si>
  <si>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</si>
  <si>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</si>
  <si>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</si>
  <si>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</si>
  <si>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</si>
  <si>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</si>
  <si>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</si>
  <si>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</si>
  <si>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</si>
  <si>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</si>
  <si>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</si>
  <si>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</si>
  <si>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</si>
  <si>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</si>
  <si>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</si>
  <si>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</si>
  <si>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</si>
  <si>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</si>
  <si>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</si>
  <si>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</si>
  <si>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</si>
  <si>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</si>
  <si>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</si>
  <si>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</si>
  <si>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</si>
  <si>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</si>
  <si>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</si>
  <si>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</si>
  <si>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</si>
  <si>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</si>
  <si>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</si>
  <si>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</si>
  <si>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</si>
  <si>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</si>
  <si>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</si>
  <si>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</si>
  <si>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</si>
  <si>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</si>
  <si>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</si>
  <si>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</si>
  <si>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</si>
  <si>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</si>
  <si>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</si>
  <si>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</si>
  <si>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</si>
  <si>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</si>
  <si>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</si>
  <si>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</si>
  <si>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</si>
  <si>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</si>
  <si>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</si>
  <si>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</si>
  <si>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</si>
  <si>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</si>
  <si>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</si>
  <si>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</si>
  <si>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</si>
  <si>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</si>
  <si>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</si>
  <si>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</si>
  <si>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</si>
  <si>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</si>
  <si>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</si>
  <si>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</si>
  <si>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</si>
  <si>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</si>
  <si>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</si>
  <si>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</si>
  <si>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</si>
  <si>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</si>
  <si>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</si>
  <si>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</si>
  <si>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</si>
  <si>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</si>
  <si>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</si>
  <si>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</si>
  <si>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</si>
  <si>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</si>
  <si>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</si>
  <si>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</si>
  <si>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</si>
  <si>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</si>
  <si>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</si>
  <si>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</si>
  <si>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</si>
  <si>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</si>
  <si>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</si>
  <si>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</si>
  <si>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</si>
  <si>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</si>
  <si>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</si>
  <si>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</si>
  <si>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</si>
  <si>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</si>
  <si>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</si>
  <si>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</si>
  <si>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</si>
  <si>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</si>
  <si>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</si>
  <si>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</si>
  <si>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</si>
  <si>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</si>
  <si>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</si>
  <si>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</si>
  <si>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</si>
  <si>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</si>
  <si>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</si>
  <si>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</si>
  <si>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</si>
  <si>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</si>
  <si>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</si>
  <si>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</si>
  <si>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</si>
  <si>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</si>
  <si>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</si>
  <si>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</si>
  <si>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</si>
  <si>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</si>
  <si>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</si>
  <si>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</si>
  <si>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</si>
  <si>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</si>
  <si>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</si>
  <si>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</si>
  <si>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</si>
  <si>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</si>
  <si>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</si>
  <si>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</si>
  <si>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</si>
  <si>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</si>
  <si>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</si>
  <si>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</si>
  <si>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</si>
  <si>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</si>
  <si>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</si>
  <si>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</si>
  <si>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</si>
  <si>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</si>
  <si>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</si>
  <si>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</si>
  <si>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</si>
  <si>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</si>
  <si>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</si>
  <si>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</si>
  <si>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</si>
  <si>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</si>
  <si>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</si>
  <si>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</si>
  <si>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</si>
  <si>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</si>
  <si>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</si>
  <si>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</si>
  <si>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</si>
  <si>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</si>
  <si>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</si>
  <si>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SE</t>
  </si>
  <si>
    <t>Sweden</t>
  </si>
  <si>
    <t>Aviation - SE - Sweden</t>
  </si>
  <si>
    <t>Activity.Mpkm.SE.Tr.Avia.Passenger</t>
  </si>
  <si>
    <t>Activity.Mpkm.SE.Tr.Avia.Passenger.Domestic</t>
  </si>
  <si>
    <t>Activity.Mpkm.SE.Tr.Avia.Passenger.IntraEEAwUK</t>
  </si>
  <si>
    <t>Activity.Mpkm.SE.Tr.Avia.Passenger.ExtraEEAwUK</t>
  </si>
  <si>
    <t>Activity.Mtkm.SE.Tr.Avia.Freight</t>
  </si>
  <si>
    <t>Activity.Mtkm.SE.Tr.Avia.Freight.Domestic</t>
  </si>
  <si>
    <t>Activity.Mtkm.SE.Tr.Avia.Freight.IntraEEAwUK</t>
  </si>
  <si>
    <t>Activity.Mtkm.SE.Tr.Avia.Freight.ExtraEEAwUK</t>
  </si>
  <si>
    <t>VehicleKm.Mkm.SE.Tr.Avia</t>
  </si>
  <si>
    <t>VehicleKm.Mkm.SE.Tr.Avia.Passenger</t>
  </si>
  <si>
    <t>VehicleKm.Mkm.SE.Tr.Avia.Passenger.Domestic</t>
  </si>
  <si>
    <t>VehicleKm.Mkm.SE.Tr.Avia.Passenger.IntraEEAwUK</t>
  </si>
  <si>
    <t>VehicleKm.Mkm.SE.Tr.Avia.Passenger.ExtraEEAwUK</t>
  </si>
  <si>
    <t>VehicleKm.Mkm.SE.Tr.Avia.Freight</t>
  </si>
  <si>
    <t>VehicleKm.Mkm.SE.Tr.Avia.Freight.Domestic</t>
  </si>
  <si>
    <t>VehicleKm.Mkm.SE.Tr.Avia.Freight.IntraEEAwUK</t>
  </si>
  <si>
    <t>VehicleKm.Mkm.SE.Tr.Avia.Freight.ExtraEEAwUK</t>
  </si>
  <si>
    <t>Flights.number.SE.Tr.Avia</t>
  </si>
  <si>
    <t>Flights.number.SE.Tr.Avia.Passenger</t>
  </si>
  <si>
    <t>Flights.number.SE.Tr.Avia.Passenger.Domestic</t>
  </si>
  <si>
    <t>Flights.number.SE.Tr.Avia.Passenger.IntraEEAwUK</t>
  </si>
  <si>
    <t>Flights.number.SE.Tr.Avia.Passenger.ExtraEEAwUK</t>
  </si>
  <si>
    <t>Flights.number.SE.Tr.Avia.Freight</t>
  </si>
  <si>
    <t>Flights.number.SE.Tr.Avia.Freight.Domestic</t>
  </si>
  <si>
    <t>Flights.number.SE.Tr.Avia.Freight.IntraEEAwUK</t>
  </si>
  <si>
    <t>Flights.number.SE.Tr.Avia.Freight.ExtraEEAwUK</t>
  </si>
  <si>
    <t>VolCarried.passenger.SE.Tr.Avia.Passenger</t>
  </si>
  <si>
    <t>VolCarried.passenger.SE.Tr.Avia.Passenger.Domestic</t>
  </si>
  <si>
    <t>VolCarried.passenger.SE.Tr.Avia.Passenger.IntraEEAwUK</t>
  </si>
  <si>
    <t>VolCarried.passenger.SE.Tr.Avia.Passenger.ExtraEEAwUK</t>
  </si>
  <si>
    <t>VolCarried.t.SE.Tr.Avia.Freight</t>
  </si>
  <si>
    <t>VolCarried.t.SE.Tr.Avia.Freight.Domestic</t>
  </si>
  <si>
    <t>VolCarried.t.SE.Tr.Avia.Freight.IntraEEAwUK</t>
  </si>
  <si>
    <t>VolCarried.t.SE.Tr.Avia.Freight.ExtraEEAwUK</t>
  </si>
  <si>
    <t>Stock.number.SE.Tr.Avia</t>
  </si>
  <si>
    <t>Stock.number.SE.Tr.Avia.Passenger</t>
  </si>
  <si>
    <t>Stock.number.SE.Tr.Avia.Passenger.Domestic</t>
  </si>
  <si>
    <t>Stock.number.SE.Tr.Avia.Passenger.IntraEEAwUK</t>
  </si>
  <si>
    <t>Stock.number.SE.Tr.Avia.Passenger.ExtraEEAwUK</t>
  </si>
  <si>
    <t>Stock.number.SE.Tr.Avia.Freight</t>
  </si>
  <si>
    <t>Stock.number.SE.Tr.Avia.Freight.Domestic</t>
  </si>
  <si>
    <t>Stock.number.SE.Tr.Avia.Freight.IntraEEAwUK</t>
  </si>
  <si>
    <t>Stock.number.SE.Tr.Avia.Freight.ExtraEEAwUK</t>
  </si>
  <si>
    <t>StockNew.number.SE.Tr.Avia</t>
  </si>
  <si>
    <t>StockNew.number.SE.Tr.Avia.Passenger</t>
  </si>
  <si>
    <t>StockNew.number.SE.Tr.Avia.Passenger.Domestic</t>
  </si>
  <si>
    <t>StockNew.number.SE.Tr.Avia.Passenger.IntraEEAwUK</t>
  </si>
  <si>
    <t>StockNew.number.SE.Tr.Avia.Passenger.ExtraEEAwUK</t>
  </si>
  <si>
    <t>StockNew.number.SE.Tr.Avia.Freight</t>
  </si>
  <si>
    <t>StockNew.number.SE.Tr.Avia.Freight.Domestic</t>
  </si>
  <si>
    <t>StockNew.number.SE.Tr.Avia.Freight.IntraEEAwUK</t>
  </si>
  <si>
    <t>StockNew.number.SE.Tr.Avia.Freight.ExtraEEAwUK</t>
  </si>
  <si>
    <t>Load.passenger_per_movement.SE.Tr.Avia.Passenger</t>
  </si>
  <si>
    <t>Load.passenger_per_movement.SE.Tr.Avia.Passenger.Domestic</t>
  </si>
  <si>
    <t>Load.passenger_per_movement.SE.Tr.Avia.Passenger.IntraEEAwUK</t>
  </si>
  <si>
    <t>Load.passenger_per_movement.SE.Tr.Avia.Passenger.ExtraEEAwUK</t>
  </si>
  <si>
    <t>Load.t_per_movement.SE.Tr.Avia.Freight</t>
  </si>
  <si>
    <t>Load.t_per_movement.SE.Tr.Avia.Freight.Domestic</t>
  </si>
  <si>
    <t>Load.t_per_movement.SE.Tr.Avia.Freight.IntraEEAwUK</t>
  </si>
  <si>
    <t>Load.t_per_movement.SE.Tr.Avia.Freight.ExtraEEAwUK</t>
  </si>
  <si>
    <t>VehicleKm_per_flight.km.SE.Tr.Avia</t>
  </si>
  <si>
    <t>VehicleKm_per_flight.km.SE.Tr.Avia.Passenger</t>
  </si>
  <si>
    <t>VehicleKm_per_flight.km.SE.Tr.Avia.Passenger.Domestic</t>
  </si>
  <si>
    <t>VehicleKm_per_flight.km.SE.Tr.Avia.Passenger.IntraEEAwUK</t>
  </si>
  <si>
    <t>VehicleKm_per_flight.km.SE.Tr.Avia.Passenger.ExtraEEAwUK</t>
  </si>
  <si>
    <t>VehicleKm_per_flight.km.SE.Tr.Avia.Freight</t>
  </si>
  <si>
    <t>VehicleKm_per_flight.km.SE.Tr.Avia.Freight.Domestic</t>
  </si>
  <si>
    <t>VehicleKm_per_flight.km.SE.Tr.Avia.Freight.IntraEEAwUK</t>
  </si>
  <si>
    <t>VehicleKm_per_flight.km.SE.Tr.Avia.Freight.ExtraEEAwUK</t>
  </si>
  <si>
    <t>Activity_per_flight.pkm.SE.Tr.Avia.Passenger</t>
  </si>
  <si>
    <t>Activity_per_flight.pkm.SE.Tr.Avia.Passenger.Domestic</t>
  </si>
  <si>
    <t>Activity_per_flight.pkm.SE.Tr.Avia.Passenger.IntraEEAwUK</t>
  </si>
  <si>
    <t>Activity_per_flight.pkm.SE.Tr.Avia.Passenger.ExtraEEAwUK</t>
  </si>
  <si>
    <t>Activity_per_flight.tkm.SE.Tr.Avia.Freight</t>
  </si>
  <si>
    <t>Activity_per_flight.tkm.SE.Tr.Avia.Freight.Domestic</t>
  </si>
  <si>
    <t>Activity_per_flight.tkm.SE.Tr.Avia.Freight.IntraEEAwUK</t>
  </si>
  <si>
    <t>Activity_per_flight.tkm.SE.Tr.Avia.Freight.ExtraEEAwUK</t>
  </si>
  <si>
    <t>Flights_per_vehicle.number.SE.Tr.Avia</t>
  </si>
  <si>
    <t>Flights_per_vehicle.number.SE.Tr.Avia.Passenger</t>
  </si>
  <si>
    <t>Flights_per_vehicle.number.SE.Tr.Avia.Passenger.Domestic</t>
  </si>
  <si>
    <t>Flights_per_vehicle.number.SE.Tr.Avia.Passenger.IntraEEAwUK</t>
  </si>
  <si>
    <t>Flights_per_vehicle.number.SE.Tr.Avia.Passenger.ExtraEEAwUK</t>
  </si>
  <si>
    <t>Flights_per_vehicle.number.SE.Tr.Avia.Freight</t>
  </si>
  <si>
    <t>Flights_per_vehicle.number.SE.Tr.Avia.Freight.Domestic</t>
  </si>
  <si>
    <t>Flights_per_vehicle.number.SE.Tr.Avia.Freight.IntraEEAwUK</t>
  </si>
  <si>
    <t>Flights_per_vehicle.number.SE.Tr.Avia.Freight.ExtraEEAwUK</t>
  </si>
  <si>
    <t>Aviation / energy consumption - SE - Sweden</t>
  </si>
  <si>
    <t>FEC.ktoe.SE.Tr.Avia</t>
  </si>
  <si>
    <t>FEC.ktoe.SE.Tr.Avia.Domestic</t>
  </si>
  <si>
    <t>FEC.ktoe.SE.Tr.Avia.International</t>
  </si>
  <si>
    <t>FEC.ktoe.SE.Tr.Avia.Passenger</t>
  </si>
  <si>
    <t>FEC.ktoe.SE.Tr.Avia.Passenger.Domestic</t>
  </si>
  <si>
    <t>FEC.ktoe.SE.Tr.Avia.Passenger.IntraEEAwUK</t>
  </si>
  <si>
    <t>FEC.ktoe.SE.Tr.Avia.Passenger.ExtraEEAwUK</t>
  </si>
  <si>
    <t>FEC.ktoe.SE.Tr.Avia.Freight</t>
  </si>
  <si>
    <t>FEC.ktoe.SE.Tr.Avia.Freight.Domestic</t>
  </si>
  <si>
    <t>FEC.ktoe.SE.Tr.Avia.Freight.IntraEEAwUK</t>
  </si>
  <si>
    <t>FEC.ktoe.SE.Tr.Avia.Freight.ExtraEEAwUK</t>
  </si>
  <si>
    <t>Eff.kgoe_per_100km.SE.Tr.Avia</t>
  </si>
  <si>
    <t>Eff.kgoe_per_100km.SE.Tr.Avia.Passenger</t>
  </si>
  <si>
    <t>Eff.kgoe_per_100km.SE.Tr.Avia.Passenger.Domestic</t>
  </si>
  <si>
    <t>Eff.kgoe_per_100km.SE.Tr.Avia.Passenger.IntraEEAwUK</t>
  </si>
  <si>
    <t>Eff.kgoe_per_100km.SE.Tr.Avia.Passenger.ExtraEEAwUK</t>
  </si>
  <si>
    <t>Eff.kgoe_per_100km.SE.Tr.Avia.Freight</t>
  </si>
  <si>
    <t>Eff.kgoe_per_100km.SE.Tr.Avia.Freight.Domestic</t>
  </si>
  <si>
    <t>Eff.kgoe_per_100km.SE.Tr.Avia.Freight.IntraEEAwUK</t>
  </si>
  <si>
    <t>Eff.kgoe_per_100km.SE.Tr.Avia.Freight.ExtraEEAwUK</t>
  </si>
  <si>
    <t>Eff.kgoe_per_kpkm.SE.Tr.Avia.Passenger</t>
  </si>
  <si>
    <t>Eff.kgoe_per_kpkm.SE.Tr.Avia.Passenger.Domestic</t>
  </si>
  <si>
    <t>Eff.kgoe_per_kpkm.SE.Tr.Avia.Passenger.IntraEEAwUK</t>
  </si>
  <si>
    <t>Eff.kgoe_per_kpkm.SE.Tr.Avia.Passenger.ExtraEEAwUK</t>
  </si>
  <si>
    <t>Eff.kgoe_per_ktkm.SE.Tr.Avia.Freight</t>
  </si>
  <si>
    <t>Eff.kgoe_per_ktkm.SE.Tr.Avia.Freight.Domestic</t>
  </si>
  <si>
    <t>Eff.kgoe_per_ktkm.SE.Tr.Avia.Freight.IntraEEAwUK</t>
  </si>
  <si>
    <t>Eff.kgoe_per_ktkm.SE.Tr.Avia.Freight.ExtraEEAwUK</t>
  </si>
  <si>
    <t>FEC_per_flight.kgoe.SE.Tr.Avia</t>
  </si>
  <si>
    <t>FEC_per_flight.kgoe.SE.Tr.Avia.Passenger</t>
  </si>
  <si>
    <t>FEC_per_flight.kgoe.SE.Tr.Avia.Passenger.Domestic</t>
  </si>
  <si>
    <t>FEC_per_flight.kgoe.SE.Tr.Avia.Passenger.IntraEEAwUK</t>
  </si>
  <si>
    <t>FEC_per_flight.kgoe.SE.Tr.Avia.Passenger.ExtraEEAwUK</t>
  </si>
  <si>
    <t>FEC_per_flight.kgoe.SE.Tr.Avia.Freight</t>
  </si>
  <si>
    <t>FEC_per_flight.kgoe.SE.Tr.Avia.Freight.Domestic</t>
  </si>
  <si>
    <t>FEC_per_flight.kgoe.SE.Tr.Avia.Freight.IntraEEAwUK</t>
  </si>
  <si>
    <t>FEC_per_flight.kgoe.SE.Tr.Avia.Freight.ExtraEEAwUK</t>
  </si>
  <si>
    <t>Eff_theor.kgoe_per_100km.SE.Tr.Avia</t>
  </si>
  <si>
    <t>Eff_theor.kgoe_per_100km.SE.Tr.Avia.Passenger</t>
  </si>
  <si>
    <t>Eff_theor.kgoe_per_100km.SE.Tr.Avia.Passenger.Domestic</t>
  </si>
  <si>
    <t>Eff_theor.kgoe_per_100km.SE.Tr.Avia.Passenger.IntraEEAwUK</t>
  </si>
  <si>
    <t>Eff_theor.kgoe_per_100km.SE.Tr.Avia.Passenger.ExtraEEAwUK</t>
  </si>
  <si>
    <t>Eff_theor.kgoe_per_100km.SE.Tr.Avia.Freight</t>
  </si>
  <si>
    <t>Eff_theor.kgoe_per_100km.SE.Tr.Avia.Freight.Domestic</t>
  </si>
  <si>
    <t>Eff_theor.kgoe_per_100km.SE.Tr.Avia.Freight.IntraEEAwUK</t>
  </si>
  <si>
    <t>Eff_theor.kgoe_per_100km.SE.Tr.Avia.Freight.ExtraEEAwUK</t>
  </si>
  <si>
    <t>Aviation / CO2 emissions - SE - Sweden</t>
  </si>
  <si>
    <t>EMI.ktCO2.SE.Tr.Avia</t>
  </si>
  <si>
    <t>EMI.ktCO2.SE.Tr.Avia.Domestic</t>
  </si>
  <si>
    <t>EMI.ktCO2.SE.Tr.Avia.International</t>
  </si>
  <si>
    <t>EMI.ktCO2.SE.Tr.Avia.Passenger</t>
  </si>
  <si>
    <t>EMI.ktCO2.SE.Tr.Avia.Passenger.Domestic</t>
  </si>
  <si>
    <t>EMI.ktCO2.SE.Tr.Avia.Passenger.IntraEEAwUK</t>
  </si>
  <si>
    <t>EMI.ktCO2.SE.Tr.Avia.Passenger.ExtraEEAwUK</t>
  </si>
  <si>
    <t>EMI.ktCO2.SE.Tr.Avia.Freight</t>
  </si>
  <si>
    <t>EMI.ktCO2.SE.Tr.Avia.Freight.Domestic</t>
  </si>
  <si>
    <t>EMI.ktCO2.SE.Tr.Avia.Freight.IntraEEAwUK</t>
  </si>
  <si>
    <t>EMI.ktCO2.SE.Tr.Avia.Freight.ExtraEEAwUK</t>
  </si>
  <si>
    <t>EMIint.gCO2_per_km.SE.Tr.Avia</t>
  </si>
  <si>
    <t>EMIint.gCO2_per_km.SE.Tr.Avia.Passenger</t>
  </si>
  <si>
    <t>EMIint.gCO2_per_km.SE.Tr.Avia.Passenger.Domestic</t>
  </si>
  <si>
    <t>EMIint.gCO2_per_km.SE.Tr.Avia.Passenger.IntraEEAwUK</t>
  </si>
  <si>
    <t>EMIint.gCO2_per_km.SE.Tr.Avia.Passenger.ExtraEEAwUK</t>
  </si>
  <si>
    <t>EMIint.gCO2_per_km.SE.Tr.Avia.Freight</t>
  </si>
  <si>
    <t>EMIint.gCO2_per_km.SE.Tr.Avia.Freight.Domestic</t>
  </si>
  <si>
    <t>EMIint.gCO2_per_km.SE.Tr.Avia.Freight.IntraEEAwUK</t>
  </si>
  <si>
    <t>EMIint.gCO2_per_km.SE.Tr.Avia.Freight.ExtraEEAwUK</t>
  </si>
  <si>
    <t>EMIint.gCO2_per_pkm.SE.Tr.Avia.Passenger</t>
  </si>
  <si>
    <t>EMIint.gCO2_per_pkm.SE.Tr.Avia.Passenger.Domestic</t>
  </si>
  <si>
    <t>EMIint.gCO2_per_pkm.SE.Tr.Avia.Passenger.IntraEEAwUK</t>
  </si>
  <si>
    <t>EMIint.gCO2_per_pkm.SE.Tr.Avia.Passenger.ExtraEEAwUK</t>
  </si>
  <si>
    <t>EMIint.gCO2_per_tkm.SE.Tr.Avia.Freight</t>
  </si>
  <si>
    <t>EMIint.gCO2_per_tkm.SE.Tr.Avia.Freight.Domestic</t>
  </si>
  <si>
    <t>EMIint.gCO2_per_tkm.SE.Tr.Avia.Freight.IntraEEAwUK</t>
  </si>
  <si>
    <t>EMIint.gCO2_per_tkm.SE.Tr.Avia.Freight.ExtraEEAwUK</t>
  </si>
  <si>
    <t>EMI_per_flight.kgCO2.SE.Tr.Avia</t>
  </si>
  <si>
    <t>EMI_per_flight.kgCO2.SE.Tr.Avia.Passenger</t>
  </si>
  <si>
    <t>EMI_per_flight.kgCO2.SE.Tr.Avia.Passenger.Domestic</t>
  </si>
  <si>
    <t>EMI_per_flight.kgCO2.SE.Tr.Avia.Passenger.IntraEEAwUK</t>
  </si>
  <si>
    <t>EMI_per_flight.kgCO2.SE.Tr.Avia.Passenger.ExtraEEAwUK</t>
  </si>
  <si>
    <t>EMI_per_flight.kgCO2.SE.Tr.Avia.Freight</t>
  </si>
  <si>
    <t>EMI_per_flight.kgCO2.SE.Tr.Avia.Freight.Domestic</t>
  </si>
  <si>
    <t>EMI_per_flight.kgCO2.SE.Tr.Avia.Freight.IntraEEAwUK</t>
  </si>
  <si>
    <t>EMI_per_flight.kgCO2.SE.Tr.Avia.Freight.ExtraEEAwUK</t>
  </si>
  <si>
    <t>Aviation / passenger transport specific data - SE - Sweden</t>
  </si>
  <si>
    <t>TrCap.seats.SE.Tr.Avia.Passenger</t>
  </si>
  <si>
    <t>TrCap.seats.SE.Tr.Avia.Passenger.Domestic</t>
  </si>
  <si>
    <t>TrCap.seats.SE.Tr.Avia.Passenger.IntraEEAwUK</t>
  </si>
  <si>
    <t>TrCap.seats.SE.Tr.Avia.Passenger.ExtraEEAwUK</t>
  </si>
  <si>
    <t>TrCap_per_flight.seats.SE.Tr.Avia.Passenger</t>
  </si>
  <si>
    <t>TrCap_per_flight.seats.SE.Tr.Avia.Passenger.Domestic</t>
  </si>
  <si>
    <t>TrCap_per_flight.seats.SE.Tr.Avia.Passenger.IntraEEAwUK</t>
  </si>
  <si>
    <t>TrCap_per_flight.seats.SE.Tr.Avia.Passenger.ExtraEEAwUK</t>
  </si>
  <si>
    <t>Transport overview - SE - Sweden</t>
  </si>
  <si>
    <t>Activity.Mpkm.SE.Tr</t>
  </si>
  <si>
    <t>Activity.Mpkm.SE.Tr.Road.Passenger</t>
  </si>
  <si>
    <t>Activity.Mpkm.SE.Tr.Road.Passenger.P2W</t>
  </si>
  <si>
    <t>Activity.Mpkm.SE.Tr.Road.Passenger.Car</t>
  </si>
  <si>
    <t>Activity.Mpkm.SE.Tr.Road.Passenger.Bus</t>
  </si>
  <si>
    <t>Activity.Mpkm.SE.Tr.Rail.Passenger</t>
  </si>
  <si>
    <t>Activity.Mpkm.SE.Tr.Rail.Passenger.MTU</t>
  </si>
  <si>
    <t>Activity.Mpkm.SE.Tr.Rail.Passenger.CPT</t>
  </si>
  <si>
    <t>Activity.Mpkm.SE.Tr.Rail.Passenger.HST</t>
  </si>
  <si>
    <t>Activity.Mtkm.SE.Tr</t>
  </si>
  <si>
    <t>Activity.Mtkm.SE.Tr.Road.Freight</t>
  </si>
  <si>
    <t>Activity.Mtkm.SE.Tr.Road.Freight.LCV</t>
  </si>
  <si>
    <t>Activity.Mtkm.SE.Tr.Road.Freight.HGV</t>
  </si>
  <si>
    <t>Activity.Mtkm.SE.Tr.Rail.Freight</t>
  </si>
  <si>
    <t>Activity.Mtkm.SE.Tr.DNavi.Freight</t>
  </si>
  <si>
    <t>Activity.Mtkm.SE.Tr.DNavi.Freight.DCS</t>
  </si>
  <si>
    <t>Activity.Mtkm.SE.Tr.DNavi.Freight.IWW</t>
  </si>
  <si>
    <t>Activity.Mtkm.SE.MBunk.Freight</t>
  </si>
  <si>
    <t>Activity.Mtkm.SE.MBunk.Freight.IntraEEA</t>
  </si>
  <si>
    <t>Activity.Mtkm.SE.MBunk.Freight.ExtraEEA</t>
  </si>
  <si>
    <t>FEC.ktoe.SE.Tr.Road.Passenger</t>
  </si>
  <si>
    <t>FEC.ktoe.SE.Tr.Road.Passenger.P2W</t>
  </si>
  <si>
    <t>FEC.ktoe.SE.Tr.Road.Passenger.Car</t>
  </si>
  <si>
    <t>FEC.ktoe.SE.Tr.Road.Passenger.Bus</t>
  </si>
  <si>
    <t>FEC.ktoe.SE.Tr.Rail.Passenger</t>
  </si>
  <si>
    <t>FEC.ktoe.SE.Tr.Rail.Passenger.MTU</t>
  </si>
  <si>
    <t>FEC.ktoe.SE.Tr.Rail.Passenger.CPT</t>
  </si>
  <si>
    <t>FEC.ktoe.SE.Tr.Rail.Passenger.HST</t>
  </si>
  <si>
    <t>FEC.ktoe.SE.Tr.Road.Freight</t>
  </si>
  <si>
    <t>FEC.ktoe.SE.Tr.Road.Freight.LCV</t>
  </si>
  <si>
    <t>FEC.ktoe.SE.Tr.Road.Freight.HGV</t>
  </si>
  <si>
    <t>FEC.ktoe.SE.Tr.Rail.Freight</t>
  </si>
  <si>
    <t>EMI.ktCO2.SE.Tr.Road.Passenger</t>
  </si>
  <si>
    <t>EMI.ktCO2.SE.Tr.Road.Passenger.P2W</t>
  </si>
  <si>
    <t>EMI.ktCO2.SE.Tr.Road.Passenger.Car</t>
  </si>
  <si>
    <t>EMI.ktCO2.SE.Tr.Road.Passenger.Bus</t>
  </si>
  <si>
    <t>EMI.ktCO2.SE.Tr.Rail.Passenger</t>
  </si>
  <si>
    <t>EMI.ktCO2.SE.Tr.Rail.Passenger.MTU</t>
  </si>
  <si>
    <t>EMI.ktCO2.SE.Tr.Rail.Passenger.CPT</t>
  </si>
  <si>
    <t>EMI.ktCO2.SE.Tr.Rail.Passenger.HST</t>
  </si>
  <si>
    <t>EMI.ktCO2.SE.Tr.Road.Freight</t>
  </si>
  <si>
    <t>EMI.ktCO2.SE.Tr.Road.Freight.LCV</t>
  </si>
  <si>
    <t>EMI.ktCO2.SE.Tr.Road.Freight.HGV</t>
  </si>
  <si>
    <t>EMI.ktCO2.SE.Tr.Rail.Freight</t>
  </si>
  <si>
    <t>Eff.kgoe_per_kpkm.SE.Tr</t>
  </si>
  <si>
    <t>Eff.kgoe_per_kpkm.SE.Tr.Road.Passenger</t>
  </si>
  <si>
    <t>Eff.kgoe_per_kpkm.SE.Tr.Road.Passenger.P2W</t>
  </si>
  <si>
    <t>Eff.kgoe_per_kpkm.SE.Tr.Road.Passenger.Car</t>
  </si>
  <si>
    <t>Eff.kgoe_per_kpkm.SE.Tr.Road.Passenger.Bus</t>
  </si>
  <si>
    <t>Eff.kgoe_per_kpkm.SE.Tr.Rail.Passenger</t>
  </si>
  <si>
    <t>Eff.kgoe_per_kpkm.SE.Tr.Rail.Passenger.MTU</t>
  </si>
  <si>
    <t>Eff.kgoe_per_kpkm.SE.Tr.Rail.Passenger.CPT</t>
  </si>
  <si>
    <t>Eff.kgoe_per_kpkm.SE.Tr.Rail.Passenger.HST</t>
  </si>
  <si>
    <t>Eff.kgoe_per_ktkm.SE.Tr</t>
  </si>
  <si>
    <t>Eff.kgoe_per_ktkm.SE.Tr.Road.Freight</t>
  </si>
  <si>
    <t>Eff.kgoe_per_ktkm.SE.Tr.Road.Freight.LCV</t>
  </si>
  <si>
    <t>Eff.kgoe_per_ktkm.SE.Tr.Road.Freight.HGV</t>
  </si>
  <si>
    <t>Eff.kgoe_per_ktkm.SE.Tr.Rail.Freight</t>
  </si>
  <si>
    <t>Eff.kgoe_per_ktkm.SE.Tr.DNavi.Freight</t>
  </si>
  <si>
    <t>Eff.kgoe_per_ktkm.SE.Tr.DNavi.Freight.DCS</t>
  </si>
  <si>
    <t>Eff.kgoe_per_ktkm.SE.Tr.DNavi.Freight.IWW</t>
  </si>
  <si>
    <t>Eff.kgoe_per_ktkm.SE.MBunk.Freight</t>
  </si>
  <si>
    <t>Eff.kgoe_per_ktkm.SE.MBunk.Freight.IntraEEA</t>
  </si>
  <si>
    <t>Eff.kgoe_per_ktkm.SE.MBunk.Freight.ExtraEEA</t>
  </si>
  <si>
    <t>EMIint.gCO2_per_pkm.SE.Tr</t>
  </si>
  <si>
    <t>EMIint.gCO2_per_pkm.SE.Tr.Road.Passenger</t>
  </si>
  <si>
    <t>EMIint.gCO2_per_pkm.SE.Tr.Road.Passenger.P2W</t>
  </si>
  <si>
    <t>EMIint.gCO2_per_pkm.SE.Tr.Road.Passenger.Car</t>
  </si>
  <si>
    <t>EMIint.gCO2_per_pkm.SE.Tr.Road.Passenger.Bus</t>
  </si>
  <si>
    <t>EMIint.gCO2_per_pkm.SE.Tr.Rail.Passenger</t>
  </si>
  <si>
    <t>EMIint.gCO2_per_pkm.SE.Tr.Rail.Passenger.MTU</t>
  </si>
  <si>
    <t>EMIint.gCO2_per_pkm.SE.Tr.Rail.Passenger.CPT</t>
  </si>
  <si>
    <t>EMIint.gCO2_per_pkm.SE.Tr.Rail.Passenger.HST</t>
  </si>
  <si>
    <t>EMIint.gCO2_per_tkm.SE.Tr</t>
  </si>
  <si>
    <t>EMIint.gCO2_per_tkm.SE.Tr.Road.Freight</t>
  </si>
  <si>
    <t>EMIint.gCO2_per_tkm.SE.Tr.Road.Freight.LCV</t>
  </si>
  <si>
    <t>EMIint.gCO2_per_tkm.SE.Tr.Road.Freight.HGV</t>
  </si>
  <si>
    <t>EMIint.gCO2_per_tkm.SE.Tr.Rail.Freight</t>
  </si>
  <si>
    <t>EMIint.gCO2_per_tkm.SE.Tr.DNavi.Freight</t>
  </si>
  <si>
    <t>EMIint.gCO2_per_tkm.SE.Tr.DNavi.Freight.DCS</t>
  </si>
  <si>
    <t>EMIint.gCO2_per_tkm.SE.Tr.DNavi.Freight.IWW</t>
  </si>
  <si>
    <t>EMIint.gCO2_per_tkm.SE.MBunk.Freight</t>
  </si>
  <si>
    <t>EMIint.gCO2_per_tkm.SE.MBunk.Freight.IntraEEA</t>
  </si>
  <si>
    <t>EMIint.gCO2_per_tkm.SE.MBunk.Freight.ExtraEEA</t>
  </si>
  <si>
    <t>Road transport - SE - Sweden</t>
  </si>
  <si>
    <t>Activity.Mpkm.SE.Tr.Road.Passenger.Car.ICE.Gasoline</t>
  </si>
  <si>
    <t>Activity.Mpkm.SE.Tr.Road.Passenger.Car.ICE.Diesel</t>
  </si>
  <si>
    <t>Activity.Mpkm.SE.Tr.Road.Passenger.Car.ICE.LPG</t>
  </si>
  <si>
    <t>Activity.Mpkm.SE.Tr.Road.Passenger.Car.ICE.NGas</t>
  </si>
  <si>
    <t>Activity.Mpkm.SE.Tr.Road.Passenger.Car.PHEV</t>
  </si>
  <si>
    <t>Activity.Mpkm.SE.Tr.Road.Passenger.Car.BEV</t>
  </si>
  <si>
    <t>Activity.Mpkm.SE.Tr.Road.Passenger.Bus.ICE.Gasoline</t>
  </si>
  <si>
    <t>Activity.Mpkm.SE.Tr.Road.Passenger.Bus.ICE.Diesel</t>
  </si>
  <si>
    <t>Activity.Mpkm.SE.Tr.Road.Passenger.Bus.ICE.LPG</t>
  </si>
  <si>
    <t>Activity.Mpkm.SE.Tr.Road.Passenger.Bus.ICE.NGas</t>
  </si>
  <si>
    <t>Activity.Mpkm.SE.Tr.Road.Passenger.Bus.ICE.BEV</t>
  </si>
  <si>
    <t>Activity.Mtkm.SE.Tr.Road.Freight.LCV.ICE.Gasoline</t>
  </si>
  <si>
    <t>Activity.Mtkm.SE.Tr.Road.Freight.LCV.ICE.Diesel</t>
  </si>
  <si>
    <t>Activity.Mtkm.SE.Tr.Road.Freight.LCV.ICE.LPG</t>
  </si>
  <si>
    <t>Activity.Mtkm.SE.Tr.Road.Freight.LCV.ICE.NGas</t>
  </si>
  <si>
    <t>Activity.Mtkm.SE.Tr.Road.Freight.LCV.ICE.BEV</t>
  </si>
  <si>
    <t>Activity.Mtkm.SE.Tr.Road.Freight.HGV.Domestic</t>
  </si>
  <si>
    <t>Activity.Mtkm.SE.Tr.Road.Freight.HGV.International</t>
  </si>
  <si>
    <t>VehicleKm.Mkm.SE.Tr.Road</t>
  </si>
  <si>
    <t>VehicleKm.Mkm.SE.Tr.Road.Passenger</t>
  </si>
  <si>
    <t>VehicleKm.Mkm.SE.Tr.Road.Passenger.P2W</t>
  </si>
  <si>
    <t>VehicleKm.Mkm.SE.Tr.Road.Passenger.Car</t>
  </si>
  <si>
    <t>VehicleKm.Mkm.SE.Tr.Road.Passenger.Car.ICE.Gasoline</t>
  </si>
  <si>
    <t>VehicleKm.Mkm.SE.Tr.Road.Passenger.Car.ICE.Diesel</t>
  </si>
  <si>
    <t>VehicleKm.Mkm.SE.Tr.Road.Passenger.Car.ICE.LPG</t>
  </si>
  <si>
    <t>VehicleKm.Mkm.SE.Tr.Road.Passenger.Car.ICE.NGas</t>
  </si>
  <si>
    <t>VehicleKm.Mkm.SE.Tr.Road.Passenger.Car.PHEV</t>
  </si>
  <si>
    <t>VehicleKm.Mkm.SE.Tr.Road.Passenger.Car.BEV</t>
  </si>
  <si>
    <t>VehicleKm.Mkm.SE.Tr.Road.Passenger.Bus</t>
  </si>
  <si>
    <t>VehicleKm.Mkm.SE.Tr.Road.Passenger.Bus.ICE.Gasoline</t>
  </si>
  <si>
    <t>VehicleKm.Mkm.SE.Tr.Road.Passenger.Bus.ICE.Diesel</t>
  </si>
  <si>
    <t>VehicleKm.Mkm.SE.Tr.Road.Passenger.Bus.ICE.LPG</t>
  </si>
  <si>
    <t>VehicleKm.Mkm.SE.Tr.Road.Passenger.Bus.ICE.NGas</t>
  </si>
  <si>
    <t>VehicleKm.Mkm.SE.Tr.Road.Passenger.Bus.ICE.BEV</t>
  </si>
  <si>
    <t>VehicleKm.Mkm.SE.Tr.Road.Freight</t>
  </si>
  <si>
    <t>VehicleKm.Mkm.SE.Tr.Road.Freight.LCV</t>
  </si>
  <si>
    <t>VehicleKm.Mkm.SE.Tr.Road.Freight.LCV.ICE.Gasoline</t>
  </si>
  <si>
    <t>VehicleKm.Mkm.SE.Tr.Road.Freight.LCV.ICE.Diesel</t>
  </si>
  <si>
    <t>VehicleKm.Mkm.SE.Tr.Road.Freight.LCV.ICE.LPG</t>
  </si>
  <si>
    <t>VehicleKm.Mkm.SE.Tr.Road.Freight.LCV.ICE.NGas</t>
  </si>
  <si>
    <t>VehicleKm.Mkm.SE.Tr.Road.Freight.LCV.ICE.BEV</t>
  </si>
  <si>
    <t>VehicleKm.Mkm.SE.Tr.Road.Freight.HGV</t>
  </si>
  <si>
    <t>VehicleKm.Mkm.SE.Tr.Road.Freight.HGV.Domestic</t>
  </si>
  <si>
    <t>VehicleKm.Mkm.SE.Tr.Road.Freight.HGV.International</t>
  </si>
  <si>
    <t>Stock.number.SE.Tr.Road</t>
  </si>
  <si>
    <t>Stock.number.SE.Tr.Road.Passenger</t>
  </si>
  <si>
    <t>Stock.number.SE.Tr.Road.Passenger.P2W</t>
  </si>
  <si>
    <t>Stock.number.SE.Tr.Road.Passenger.Car</t>
  </si>
  <si>
    <t>Stock.number.SE.Tr.Road.Passenger.Car.ICE.Gasoline</t>
  </si>
  <si>
    <t>Stock.number.SE.Tr.Road.Passenger.Car.ICE.Diesel</t>
  </si>
  <si>
    <t>Stock.number.SE.Tr.Road.Passenger.Car.ICE.LPG</t>
  </si>
  <si>
    <t>Stock.number.SE.Tr.Road.Passenger.Car.ICE.NGas</t>
  </si>
  <si>
    <t>Stock.number.SE.Tr.Road.Passenger.Car.PHEV</t>
  </si>
  <si>
    <t>Stock.number.SE.Tr.Road.Passenger.Car.BEV</t>
  </si>
  <si>
    <t>Stock.number.SE.Tr.Road.Passenger.Bus</t>
  </si>
  <si>
    <t>Stock.number.SE.Tr.Road.Passenger.Bus.ICE.Gasoline</t>
  </si>
  <si>
    <t>Stock.number.SE.Tr.Road.Passenger.Bus.ICE.Diesel</t>
  </si>
  <si>
    <t>Stock.number.SE.Tr.Road.Passenger.Bus.ICE.LPG</t>
  </si>
  <si>
    <t>Stock.number.SE.Tr.Road.Passenger.Bus.ICE.NGas</t>
  </si>
  <si>
    <t>Stock.number.SE.Tr.Road.Passenger.Bus.ICE.BEV</t>
  </si>
  <si>
    <t>Stock.number.SE.Tr.Road.Freight</t>
  </si>
  <si>
    <t>Stock.number.SE.Tr.Road.Freight.LCV</t>
  </si>
  <si>
    <t>Stock.number.SE.Tr.Road.Freight.LCV.ICE.Gasoline</t>
  </si>
  <si>
    <t>Stock.number.SE.Tr.Road.Freight.LCV.ICE.Diesel</t>
  </si>
  <si>
    <t>Stock.number.SE.Tr.Road.Freight.LCV.ICE.LPG</t>
  </si>
  <si>
    <t>Stock.number.SE.Tr.Road.Freight.LCV.ICE.NGas</t>
  </si>
  <si>
    <t>Stock.number.SE.Tr.Road.Freight.LCV.ICE.BEV</t>
  </si>
  <si>
    <t>Stock.number.SE.Tr.Road.Freight.HGV</t>
  </si>
  <si>
    <t>Stock.number.SE.Tr.Road.Freight.HGV.Domestic</t>
  </si>
  <si>
    <t>Stock.number.SE.Tr.Road.Freight.HGV.International</t>
  </si>
  <si>
    <t>StockNew.number.SE.Tr.Road</t>
  </si>
  <si>
    <t>StockNew.number.SE.Tr.Road.Passenger</t>
  </si>
  <si>
    <t>StockNew.number.SE.Tr.Road.Passenger.P2W</t>
  </si>
  <si>
    <t>StockNew.number.SE.Tr.Road.Passenger.Car</t>
  </si>
  <si>
    <t>StockNew.number.SE.Tr.Road.Passenger.Car.ICE.Gasoline</t>
  </si>
  <si>
    <t>StockNew.number.SE.Tr.Road.Passenger.Car.ICE.Diesel</t>
  </si>
  <si>
    <t>StockNew.number.SE.Tr.Road.Passenger.Car.ICE.LPG</t>
  </si>
  <si>
    <t>StockNew.number.SE.Tr.Road.Passenger.Car.ICE.NGas</t>
  </si>
  <si>
    <t>StockNew.number.SE.Tr.Road.Passenger.Car.PHEV</t>
  </si>
  <si>
    <t>StockNew.number.SE.Tr.Road.Passenger.Car.BEV</t>
  </si>
  <si>
    <t>StockNew.number.SE.Tr.Road.Passenger.Bus</t>
  </si>
  <si>
    <t>StockNew.number.SE.Tr.Road.Passenger.Bus.ICE.Gasoline</t>
  </si>
  <si>
    <t>StockNew.number.SE.Tr.Road.Passenger.Bus.ICE.Diesel</t>
  </si>
  <si>
    <t>StockNew.number.SE.Tr.Road.Passenger.Bus.ICE.LPG</t>
  </si>
  <si>
    <t>StockNew.number.SE.Tr.Road.Passenger.Bus.ICE.NGas</t>
  </si>
  <si>
    <t>StockNew.number.SE.Tr.Road.Passenger.Bus.ICE.BEV</t>
  </si>
  <si>
    <t>StockNew.number.SE.Tr.Road.Freight</t>
  </si>
  <si>
    <t>StockNew.number.SE.Tr.Road.Freight.LCV</t>
  </si>
  <si>
    <t>StockNew.number.SE.Tr.Road.Freight.LCV.ICE.Gasoline</t>
  </si>
  <si>
    <t>StockNew.number.SE.Tr.Road.Freight.LCV.ICE.Diesel</t>
  </si>
  <si>
    <t>StockNew.number.SE.Tr.Road.Freight.LCV.ICE.LPG</t>
  </si>
  <si>
    <t>StockNew.number.SE.Tr.Road.Freight.LCV.ICE.NGas</t>
  </si>
  <si>
    <t>StockNew.number.SE.Tr.Road.Freight.LCV.ICE.BEV</t>
  </si>
  <si>
    <t>StockNew.number.SE.Tr.Road.Freight.HGV</t>
  </si>
  <si>
    <t>StockNew.number.SE.Tr.Road.Freight.HGV.Domestic</t>
  </si>
  <si>
    <t>StockNew.number.SE.Tr.Road.Freight.HGV.International</t>
  </si>
  <si>
    <t>Load.passenger_per_movement.SE.Tr.Road.Passenger</t>
  </si>
  <si>
    <t>Load.passenger_per_movement.SE.Tr.Road.Passenger.P2W</t>
  </si>
  <si>
    <t>Load.passenger_per_movement.SE.Tr.Road.Passenger.Car</t>
  </si>
  <si>
    <t>Load.passenger_per_movement.SE.Tr.Road.Passenger.Car.ICE.Gasoline</t>
  </si>
  <si>
    <t>Load.passenger_per_movement.SE.Tr.Road.Passenger.Car.ICE.Diesel</t>
  </si>
  <si>
    <t>Load.passenger_per_movement.SE.Tr.Road.Passenger.Car.ICE.LPG</t>
  </si>
  <si>
    <t>Load.passenger_per_movement.SE.Tr.Road.Passenger.Car.ICE.NGas</t>
  </si>
  <si>
    <t>Load.passenger_per_movement.SE.Tr.Road.Passenger.Car.PHEV</t>
  </si>
  <si>
    <t>Load.passenger_per_movement.SE.Tr.Road.Passenger.Car.BEV</t>
  </si>
  <si>
    <t>Load.passenger_per_movement.SE.Tr.Road.Passenger.Bus</t>
  </si>
  <si>
    <t>Load.passenger_per_movement.SE.Tr.Road.Passenger.Bus.ICE.Gasoline</t>
  </si>
  <si>
    <t>Load.passenger_per_movement.SE.Tr.Road.Passenger.Bus.ICE.Diesel</t>
  </si>
  <si>
    <t>Load.passenger_per_movement.SE.Tr.Road.Passenger.Bus.ICE.LPG</t>
  </si>
  <si>
    <t>Load.passenger_per_movement.SE.Tr.Road.Passenger.Bus.ICE.NGas</t>
  </si>
  <si>
    <t>Load.passenger_per_movement.SE.Tr.Road.Passenger.Bus.ICE.BEV</t>
  </si>
  <si>
    <t>Load.t_per_movement.SE.Tr.Road.Freight</t>
  </si>
  <si>
    <t>Load.t_per_movement.SE.Tr.Road.Freight.LCV</t>
  </si>
  <si>
    <t>Load.t_per_movement.SE.Tr.Road.Freight.LCV.ICE.Gasoline</t>
  </si>
  <si>
    <t>Load.t_per_movement.SE.Tr.Road.Freight.LCV.ICE.Diesel</t>
  </si>
  <si>
    <t>Load.t_per_movement.SE.Tr.Road.Freight.LCV.ICE.LPG</t>
  </si>
  <si>
    <t>Load.t_per_movement.SE.Tr.Road.Freight.LCV.ICE.NGas</t>
  </si>
  <si>
    <t>Load.t_per_movement.SE.Tr.Road.Freight.LCV.ICE.BEV</t>
  </si>
  <si>
    <t>Load.t_per_movement.SE.Tr.Road.Freight.HGV</t>
  </si>
  <si>
    <t>Load.t_per_movement.SE.Tr.Road.Freight.HGV.Domestic</t>
  </si>
  <si>
    <t>Load.t_per_movement.SE.Tr.Road.Freight.HGV.International</t>
  </si>
  <si>
    <t>VehicleKm_per_vehicle.km.SE.Tr.Road</t>
  </si>
  <si>
    <t>VehicleKm_per_vehicle.km.SE.Tr.Road.Passenger</t>
  </si>
  <si>
    <t>VehicleKm_per_vehicle.km.SE.Tr.Road.Passenger.P2W</t>
  </si>
  <si>
    <t>VehicleKm_per_vehicle.km.SE.Tr.Road.Passenger.Car</t>
  </si>
  <si>
    <t>VehicleKm_per_vehicle.km.SE.Tr.Road.Passenger.Car.ICE.Gasoline</t>
  </si>
  <si>
    <t>VehicleKm_per_vehicle.km.SE.Tr.Road.Passenger.Car.ICE.Diesel</t>
  </si>
  <si>
    <t>VehicleKm_per_vehicle.km.SE.Tr.Road.Passenger.Car.ICE.LPG</t>
  </si>
  <si>
    <t>VehicleKm_per_vehicle.km.SE.Tr.Road.Passenger.Car.ICE.NGas</t>
  </si>
  <si>
    <t>VehicleKm_per_vehicle.km.SE.Tr.Road.Passenger.Car.PHEV</t>
  </si>
  <si>
    <t>VehicleKm_per_vehicle.km.SE.Tr.Road.Passenger.Car.BEV</t>
  </si>
  <si>
    <t>VehicleKm_per_vehicle.km.SE.Tr.Road.Passenger.Bus</t>
  </si>
  <si>
    <t>VehicleKm_per_vehicle.km.SE.Tr.Road.Passenger.Bus.ICE.Gasoline</t>
  </si>
  <si>
    <t>VehicleKm_per_vehicle.km.SE.Tr.Road.Passenger.Bus.ICE.Diesel</t>
  </si>
  <si>
    <t>VehicleKm_per_vehicle.km.SE.Tr.Road.Passenger.Bus.ICE.LPG</t>
  </si>
  <si>
    <t>VehicleKm_per_vehicle.km.SE.Tr.Road.Passenger.Bus.ICE.NGas</t>
  </si>
  <si>
    <t>VehicleKm_per_vehicle.km.SE.Tr.Road.Passenger.Bus.ICE.BEV</t>
  </si>
  <si>
    <t>VehicleKm_per_vehicle.km.SE.Tr.Road.Freight</t>
  </si>
  <si>
    <t>VehicleKm_per_vehicle.km.SE.Tr.Road.Freight.LCV</t>
  </si>
  <si>
    <t>VehicleKm_per_vehicle.km.SE.Tr.Road.Freight.LCV.ICE.Gasoline</t>
  </si>
  <si>
    <t>VehicleKm_per_vehicle.km.SE.Tr.Road.Freight.LCV.ICE.Diesel</t>
  </si>
  <si>
    <t>VehicleKm_per_vehicle.km.SE.Tr.Road.Freight.LCV.ICE.LPG</t>
  </si>
  <si>
    <t>VehicleKm_per_vehicle.km.SE.Tr.Road.Freight.LCV.ICE.NGas</t>
  </si>
  <si>
    <t>VehicleKm_per_vehicle.km.SE.Tr.Road.Freight.LCV.ICE.BEV</t>
  </si>
  <si>
    <t>VehicleKm_per_vehicle.km.SE.Tr.Road.Freight.HGV</t>
  </si>
  <si>
    <t>VehicleKm_per_vehicle.km.SE.Tr.Road.Freight.HGV.Domestic</t>
  </si>
  <si>
    <t>VehicleKm_per_vehicle.km.SE.Tr.Road.Freight.HGV.International</t>
  </si>
  <si>
    <t>Activity_per_vehicle.pkm.SE.Tr.Road.Passenger</t>
  </si>
  <si>
    <t>Activity_per_vehicle.pkm.SE.Tr.Road.Passenger.P2W</t>
  </si>
  <si>
    <t>Activity_per_vehicle.pkm.SE.Tr.Road.Passenger.Car</t>
  </si>
  <si>
    <t>Activity_per_vehicle.pkm.SE.Tr.Road.Passenger.Car.ICE.Gasoline</t>
  </si>
  <si>
    <t>Activity_per_vehicle.pkm.SE.Tr.Road.Passenger.Car.ICE.Diesel</t>
  </si>
  <si>
    <t>Activity_per_vehicle.pkm.SE.Tr.Road.Passenger.Car.ICE.LPG</t>
  </si>
  <si>
    <t>Activity_per_vehicle.pkm.SE.Tr.Road.Passenger.Car.ICE.NGas</t>
  </si>
  <si>
    <t>Activity_per_vehicle.pkm.SE.Tr.Road.Passenger.Car.PHEV</t>
  </si>
  <si>
    <t>Activity_per_vehicle.pkm.SE.Tr.Road.Passenger.Car.BEV</t>
  </si>
  <si>
    <t>Activity_per_vehicle.pkm.SE.Tr.Road.Passenger.Bus</t>
  </si>
  <si>
    <t>Activity_per_vehicle.pkm.SE.Tr.Road.Passenger.Bus.ICE.Gasoline</t>
  </si>
  <si>
    <t>Activity_per_vehicle.pkm.SE.Tr.Road.Passenger.Bus.ICE.Diesel</t>
  </si>
  <si>
    <t>Activity_per_vehicle.pkm.SE.Tr.Road.Passenger.Bus.ICE.LPG</t>
  </si>
  <si>
    <t>Activity_per_vehicle.pkm.SE.Tr.Road.Passenger.Bus.ICE.NGas</t>
  </si>
  <si>
    <t>Activity_per_vehicle.pkm.SE.Tr.Road.Passenger.Bus.ICE.BEV</t>
  </si>
  <si>
    <t>Activity_per_vehicle.tkm.SE.Tr.Road.Freight</t>
  </si>
  <si>
    <t>Activity_per_vehicle.tkm.SE.Tr.Road.Freight.LCV</t>
  </si>
  <si>
    <t>Activity_per_vehicle.tkm.SE.Tr.Road.Freight.LCV.ICE.Gasoline</t>
  </si>
  <si>
    <t>Activity_per_vehicle.tkm.SE.Tr.Road.Freight.LCV.ICE.Diesel</t>
  </si>
  <si>
    <t>Activity_per_vehicle.tkm.SE.Tr.Road.Freight.LCV.ICE.LPG</t>
  </si>
  <si>
    <t>Activity_per_vehicle.tkm.SE.Tr.Road.Freight.LCV.ICE.NGas</t>
  </si>
  <si>
    <t>Activity_per_vehicle.tkm.SE.Tr.Road.Freight.LCV.ICE.BEV</t>
  </si>
  <si>
    <t>Activity_per_vehicle.tkm.SE.Tr.Road.Freight.HGV</t>
  </si>
  <si>
    <t>Activity_per_vehicle.tkm.SE.Tr.Road.Freight.HGV.Domestic</t>
  </si>
  <si>
    <t>Activity_per_vehicle.tkm.SE.Tr.Road.Freight.HGV.International</t>
  </si>
  <si>
    <t>Road transport / energy consumption - SE - Sweden</t>
  </si>
  <si>
    <t>FEC.ktoe.SE.ES.Tr.Road</t>
  </si>
  <si>
    <t>FEC.ktoe.SE.ES.Tr.Road.LPG</t>
  </si>
  <si>
    <t>FEC.ktoe.SE.ES.Tr.Road.Gasoline</t>
  </si>
  <si>
    <t>FEC.ktoe.SE.ES.Tr.Road.Diesel</t>
  </si>
  <si>
    <t>FEC.ktoe.SE.ES.Tr.Road.NG</t>
  </si>
  <si>
    <t>FEC.ktoe.SE.ES.Tr.Road.Biogas</t>
  </si>
  <si>
    <t>FEC.ktoe.SE.ES.Tr.Road.Biogasoline</t>
  </si>
  <si>
    <t>FEC.ktoe.SE.ES.Tr.Road.Biodiesel</t>
  </si>
  <si>
    <t>FEC.ktoe.SE.ES.Tr.Road.OthLiqBio</t>
  </si>
  <si>
    <t>FEC.ktoe.SE.ES.Tr.Road.Elec</t>
  </si>
  <si>
    <t>FEC.ktoe.SE.Tr.Road</t>
  </si>
  <si>
    <t>FEC.ktoe.SE.Tr.Road.Passenger.P2W.Biogasoline</t>
  </si>
  <si>
    <t>FEC.ktoe.SE.Tr.Road.Passenger.Car.ICE.Gasoline</t>
  </si>
  <si>
    <t>FEC.ktoe.SE.Tr.Road.Passenger.Car.ICE.Gasoline.Biogasoline</t>
  </si>
  <si>
    <t>FEC.ktoe.SE.Tr.Road.Passenger.Car.ICE.Diesel</t>
  </si>
  <si>
    <t>FEC.ktoe.SE.Tr.Road.Passenger.Car.ICE.Diesel.BioDiesel_OthLiqBio</t>
  </si>
  <si>
    <t>FEC.ktoe.SE.Tr.Road.Passenger.Car.ICE.LPG</t>
  </si>
  <si>
    <t>FEC.ktoe.SE.Tr.Road.Passenger.Car.ICE.NGas</t>
  </si>
  <si>
    <t>FEC.ktoe.SE.Tr.Road.Passenger.Car.ICE.NGas.Biogas</t>
  </si>
  <si>
    <t>FEC.ktoe.SE.Tr.Road.Passenger.Car.PHEV</t>
  </si>
  <si>
    <t>FEC.ktoe.SE.Tr.Road.Passenger.Car.PHEV.Biogasoline</t>
  </si>
  <si>
    <t>FEC.ktoe.SE.Tr.Road.Passenger.Car.PHEV.Elec</t>
  </si>
  <si>
    <t>FEC.ktoe.SE.Tr.Road.Passenger.Car.BEV</t>
  </si>
  <si>
    <t>FEC.ktoe.SE.Tr.Road.Passenger.Bus.ICE.Gasoline</t>
  </si>
  <si>
    <t>FEC.ktoe.SE.Tr.Road.Passenger.Bus.ICE.Gasoline.Biogasoline</t>
  </si>
  <si>
    <t>FEC.ktoe.SE.Tr.Road.Passenger.Bus.ICE.Diesel</t>
  </si>
  <si>
    <t>FEC.ktoe.SE.Tr.Road.Passenger.Bus.ICE.Diesel.BioDiesel_OthLiqBio</t>
  </si>
  <si>
    <t>FEC.ktoe.SE.Tr.Road.Passenger.Bus.ICE.LPG</t>
  </si>
  <si>
    <t>FEC.ktoe.SE.Tr.Road.Passenger.Bus.ICE.NGas</t>
  </si>
  <si>
    <t>FEC.ktoe.SE.Tr.Road.Passenger.Bus.ICE.NGas.Biogas</t>
  </si>
  <si>
    <t>FEC.ktoe.SE.Tr.Road.Passenger.Bus.ICE.BEV</t>
  </si>
  <si>
    <t>FEC.ktoe.SE.Tr.Road.Freight.LCV.ICE.Gasoline</t>
  </si>
  <si>
    <t>FEC.ktoe.SE.Tr.Road.Freight.LCV.ICE.Gasoline.Biogasoline</t>
  </si>
  <si>
    <t>FEC.ktoe.SE.Tr.Road.Freight.LCV.ICE.Diesel</t>
  </si>
  <si>
    <t>FEC.ktoe.SE.Tr.Road.Freight.LCV.ICE.Diesel.BioDiesel_OthLiqBio</t>
  </si>
  <si>
    <t>FEC.ktoe.SE.Tr.Road.Freight.LCV.ICE.LPG</t>
  </si>
  <si>
    <t>FEC.ktoe.SE.Tr.Road.Freight.LCV.ICE.NGas</t>
  </si>
  <si>
    <t>FEC.ktoe.SE.Tr.Road.Freight.LCV.ICE.NGas.Biogas</t>
  </si>
  <si>
    <t>FEC.ktoe.SE.Tr.Road.Freight.LCV.ICE.BEV</t>
  </si>
  <si>
    <t>FEC.ktoe.SE.Tr.Road.Freight.HGV.Domestic</t>
  </si>
  <si>
    <t>FEC.ktoe.SE.Tr.Road.Freight.HGV.Domestic.BioDiesel_OthLiqBio</t>
  </si>
  <si>
    <t>FEC.ktoe.SE.Tr.Road.Freight.HGV.International</t>
  </si>
  <si>
    <t>FEC.ktoe.SE.Tr.Road.Freight.HGV.International.BioDiesel_OthLiqBio</t>
  </si>
  <si>
    <t>Eff.kgoe_per_100km.SE.Tr.Road</t>
  </si>
  <si>
    <t>Eff.kgoe_per_100km.SE.Tr.Road.Passenger</t>
  </si>
  <si>
    <t>Eff.kgoe_per_100km.SE.Tr.Road.Passenger.P2W</t>
  </si>
  <si>
    <t>Eff.kgoe_per_100km.SE.Tr.Road.Passenger.Car</t>
  </si>
  <si>
    <t>Eff.kgoe_per_100km.SE.Tr.Road.Passenger.Car.ICE.Gasoline</t>
  </si>
  <si>
    <t>Eff.kgoe_per_100km.SE.Tr.Road.Passenger.Car.ICE.Diesel</t>
  </si>
  <si>
    <t>Eff.kgoe_per_100km.SE.Tr.Road.Passenger.Car.ICE.LPG</t>
  </si>
  <si>
    <t>Eff.kgoe_per_100km.SE.Tr.Road.Passenger.Car.ICE.NGas</t>
  </si>
  <si>
    <t>Eff.kgoe_per_100km.SE.Tr.Road.Passenger.Car.PHEV</t>
  </si>
  <si>
    <t>Eff.kgoe_per_100km.SE.Tr.Road.Passenger.Car.BEV</t>
  </si>
  <si>
    <t>Eff.kgoe_per_100km.SE.Tr.Road.Passenger.Bus</t>
  </si>
  <si>
    <t>Eff.kgoe_per_100km.SE.Tr.Road.Passenger.Bus.ICE.Gasoline</t>
  </si>
  <si>
    <t>Eff.kgoe_per_100km.SE.Tr.Road.Passenger.Bus.ICE.Diesel</t>
  </si>
  <si>
    <t>Eff.kgoe_per_100km.SE.Tr.Road.Passenger.Bus.ICE.LPG</t>
  </si>
  <si>
    <t>Eff.kgoe_per_100km.SE.Tr.Road.Passenger.Bus.ICE.NGas</t>
  </si>
  <si>
    <t>Eff.kgoe_per_100km.SE.Tr.Road.Passenger.Bus.ICE.BEV</t>
  </si>
  <si>
    <t>Eff.kgoe_per_100km.SE.Tr.Road.Freight</t>
  </si>
  <si>
    <t>Eff.kgoe_per_100km.SE.Tr.Road.Freight.LCV</t>
  </si>
  <si>
    <t>Eff.kgoe_per_100km.SE.Tr.Road.Freight.LCV.ICE.Gasoline</t>
  </si>
  <si>
    <t>Eff.kgoe_per_100km.SE.Tr.Road.Freight.LCV.ICE.Diesel</t>
  </si>
  <si>
    <t>Eff.kgoe_per_100km.SE.Tr.Road.Freight.LCV.ICE.LPG</t>
  </si>
  <si>
    <t>Eff.kgoe_per_100km.SE.Tr.Road.Freight.LCV.ICE.NGas</t>
  </si>
  <si>
    <t>Eff.kgoe_per_100km.SE.Tr.Road.Freight.LCV.ICE.BEV</t>
  </si>
  <si>
    <t>Eff.kgoe_per_100km.SE.Tr.Road.Freight.HGV</t>
  </si>
  <si>
    <t>Eff.kgoe_per_100km.SE.Tr.Road.Freight.HGV.Domestic</t>
  </si>
  <si>
    <t>Eff.kgoe_per_100km.SE.Tr.Road.Freight.HGV.International</t>
  </si>
  <si>
    <t>Eff.kgoe_per_kpkm.SE.Tr.Road.Passenger.Car.ICE.Gasoline</t>
  </si>
  <si>
    <t>Eff.kgoe_per_kpkm.SE.Tr.Road.Passenger.Car.ICE.Diesel</t>
  </si>
  <si>
    <t>Eff.kgoe_per_kpkm.SE.Tr.Road.Passenger.Car.ICE.LPG</t>
  </si>
  <si>
    <t>Eff.kgoe_per_kpkm.SE.Tr.Road.Passenger.Car.ICE.NGas</t>
  </si>
  <si>
    <t>Eff.kgoe_per_kpkm.SE.Tr.Road.Passenger.Car.PHEV</t>
  </si>
  <si>
    <t>Eff.kgoe_per_kpkm.SE.Tr.Road.Passenger.Car.BEV</t>
  </si>
  <si>
    <t>Eff.kgoe_per_kpkm.SE.Tr.Road.Passenger.Bus.ICE.Gasoline</t>
  </si>
  <si>
    <t>Eff.kgoe_per_kpkm.SE.Tr.Road.Passenger.Bus.ICE.Diesel</t>
  </si>
  <si>
    <t>Eff.kgoe_per_kpkm.SE.Tr.Road.Passenger.Bus.ICE.LPG</t>
  </si>
  <si>
    <t>Eff.kgoe_per_kpkm.SE.Tr.Road.Passenger.Bus.ICE.NGas</t>
  </si>
  <si>
    <t>Eff.kgoe_per_kpkm.SE.Tr.Road.Passenger.Bus.ICE.BEV</t>
  </si>
  <si>
    <t>Eff.kgoe_per_ktkm.SE.Tr.Road.Freight.LCV.ICE.Gasoline</t>
  </si>
  <si>
    <t>Eff.kgoe_per_ktkm.SE.Tr.Road.Freight.LCV.ICE.Diesel</t>
  </si>
  <si>
    <t>Eff.kgoe_per_ktkm.SE.Tr.Road.Freight.LCV.ICE.LPG</t>
  </si>
  <si>
    <t>Eff.kgoe_per_ktkm.SE.Tr.Road.Freight.LCV.ICE.NGas</t>
  </si>
  <si>
    <t>Eff.kgoe_per_ktkm.SE.Tr.Road.Freight.LCV.ICE.BEV</t>
  </si>
  <si>
    <t>Eff.kgoe_per_ktkm.SE.Tr.Road.Freight.HGV.Domestic</t>
  </si>
  <si>
    <t>Eff.kgoe_per_ktkm.SE.Tr.Road.Freight.HGV.International</t>
  </si>
  <si>
    <t>FEC_per_vehicle.kgoe.SE.Tr.Road.Passenger.P2W</t>
  </si>
  <si>
    <t>FEC_per_vehicle.kgoe.SE.Tr.Road.Passenger.Car</t>
  </si>
  <si>
    <t>FEC_per_vehicle.kgoe.SE.Tr.Road.Passenger.Car.ICE.Gasoline</t>
  </si>
  <si>
    <t>FEC_per_vehicle.kgoe.SE.Tr.Road.Passenger.Car.ICE.Diesel</t>
  </si>
  <si>
    <t>FEC_per_vehicle.kgoe.SE.Tr.Road.Passenger.Car.ICE.LPG</t>
  </si>
  <si>
    <t>FEC_per_vehicle.kgoe.SE.Tr.Road.Passenger.Car.ICE.NGas</t>
  </si>
  <si>
    <t>FEC_per_vehicle.kgoe.SE.Tr.Road.Passenger.Car.PHEV</t>
  </si>
  <si>
    <t>FEC_per_vehicle.kgoe.SE.Tr.Road.Passenger.Car.BEV</t>
  </si>
  <si>
    <t>FEC_per_vehicle.kgoe.SE.Tr.Road.Passenger.Bus</t>
  </si>
  <si>
    <t>FEC_per_vehicle.kgoe.SE.Tr.Road.Passenger.Bus.ICE.Gasoline</t>
  </si>
  <si>
    <t>FEC_per_vehicle.kgoe.SE.Tr.Road.Passenger.Bus.ICE.Diesel</t>
  </si>
  <si>
    <t>FEC_per_vehicle.kgoe.SE.Tr.Road.Passenger.Bus.ICE.LPG</t>
  </si>
  <si>
    <t>FEC_per_vehicle.kgoe.SE.Tr.Road.Passenger.Bus.ICE.NGas</t>
  </si>
  <si>
    <t>FEC_per_vehicle.kgoe.SE.Tr.Road.Passenger.Bus.ICE.BEV</t>
  </si>
  <si>
    <t>FEC_per_vehicle.kgoe.SE.Tr.Road.Freight.LCV</t>
  </si>
  <si>
    <t>FEC_per_vehicle.kgoe.SE.Tr.Road.Freight.LCV.ICE.Gasoline</t>
  </si>
  <si>
    <t>FEC_per_vehicle.kgoe.SE.Tr.Road.Freight.LCV.ICE.Diesel</t>
  </si>
  <si>
    <t>FEC_per_vehicle.kgoe.SE.Tr.Road.Freight.LCV.ICE.LPG</t>
  </si>
  <si>
    <t>FEC_per_vehicle.kgoe.SE.Tr.Road.Freight.LCV.ICE.NGas</t>
  </si>
  <si>
    <t>FEC_per_vehicle.kgoe.SE.Tr.Road.Freight.LCV.ICE.BEV</t>
  </si>
  <si>
    <t>FEC_per_vehicle.kgoe.SE.Tr.Road.Freight.HGV</t>
  </si>
  <si>
    <t>FEC_per_vehicle.kgoe.SE.Tr.Road.Freight.HGV.Domestic</t>
  </si>
  <si>
    <t>FEC_per_vehicle.kgoe.SE.Tr.Road.Freight.HGV.International</t>
  </si>
  <si>
    <t>Road transport / CO2 emissions - SE - Sweden</t>
  </si>
  <si>
    <t>EMI.ktCO2.SE.ES.Tr.Road</t>
  </si>
  <si>
    <t>EMI.ktCO2.SE.ES.Tr.Road.LPG</t>
  </si>
  <si>
    <t>EMI.ktCO2.SE.ES.Tr.Road.Gasoline</t>
  </si>
  <si>
    <t>EMI.ktCO2.SE.ES.Tr.Road.Diesel</t>
  </si>
  <si>
    <t>EMI.ktCO2.SE.ES.Tr.Road.NG</t>
  </si>
  <si>
    <t>EMI.ktCO2.SE.ES.Tr.Road.Biogas</t>
  </si>
  <si>
    <t>EMI.ktCO2.SE.ES.Tr.Road.Biogasoline</t>
  </si>
  <si>
    <t>EMI.ktCO2.SE.ES.Tr.Road.Biodiesel</t>
  </si>
  <si>
    <t>EMI.ktCO2.SE.ES.Tr.Road.OthLiqBio</t>
  </si>
  <si>
    <t>EMI.ktCO2.SE.ES.Tr.Road.Elec</t>
  </si>
  <si>
    <t>EMI.ktCO2.SE.Tr.Road</t>
  </si>
  <si>
    <t>EMI.ktCO2.SE.Tr.Road.Passenger.Car.ICE.Gasoline</t>
  </si>
  <si>
    <t>EMI.ktCO2.SE.Tr.Road.Passenger.Car.ICE.Diesel</t>
  </si>
  <si>
    <t>EMI.ktCO2.SE.Tr.Road.Passenger.Car.ICE.LPG</t>
  </si>
  <si>
    <t>EMI.ktCO2.SE.Tr.Road.Passenger.Car.ICE.NGas</t>
  </si>
  <si>
    <t>EMI.ktCO2.SE.Tr.Road.Passenger.Car.PHEV</t>
  </si>
  <si>
    <t>EMI.ktCO2.SE.Tr.Road.Passenger.Car.BEV</t>
  </si>
  <si>
    <t>EMI.ktCO2.SE.Tr.Road.Passenger.Bus.ICE.Gasoline</t>
  </si>
  <si>
    <t>EMI.ktCO2.SE.Tr.Road.Passenger.Bus.ICE.Diesel</t>
  </si>
  <si>
    <t>EMI.ktCO2.SE.Tr.Road.Passenger.Bus.ICE.LPG</t>
  </si>
  <si>
    <t>EMI.ktCO2.SE.Tr.Road.Passenger.Bus.ICE.NGas</t>
  </si>
  <si>
    <t>EMI.ktCO2.SE.Tr.Road.Passenger.Bus.ICE.BEV</t>
  </si>
  <si>
    <t>EMI.ktCO2.SE.Tr.Road.Freight.LCV.ICE.Gasoline</t>
  </si>
  <si>
    <t>EMI.ktCO2.SE.Tr.Road.Freight.LCV.ICE.Diesel</t>
  </si>
  <si>
    <t>EMI.ktCO2.SE.Tr.Road.Freight.LCV.ICE.LPG</t>
  </si>
  <si>
    <t>EMI.ktCO2.SE.Tr.Road.Freight.LCV.ICE.NGas</t>
  </si>
  <si>
    <t>EMI.ktCO2.SE.Tr.Road.Freight.LCV.ICE.BEV</t>
  </si>
  <si>
    <t>EMI.ktCO2.SE.Tr.Road.Freight.HGV.Domestic</t>
  </si>
  <si>
    <t>EMI.ktCO2.SE.Tr.Road.Freight.HGV.International</t>
  </si>
  <si>
    <t>EMIint.gCO2_per_km.SE.Tr.Road</t>
  </si>
  <si>
    <t>EMIint.gCO2_per_km.SE.Tr.Road.Passenger</t>
  </si>
  <si>
    <t>EMIint.gCO2_per_km.SE.Tr.Road.Passenger.P2W</t>
  </si>
  <si>
    <t>EMIint.gCO2_per_km.SE.Tr.Road.Passenger.Car</t>
  </si>
  <si>
    <t>EMIint.gCO2_per_km.SE.Tr.Road.Passenger.Car.ICE.Gasoline</t>
  </si>
  <si>
    <t>EMIint.gCO2_per_km.SE.Tr.Road.Passenger.Car.ICE.Diesel</t>
  </si>
  <si>
    <t>EMIint.gCO2_per_km.SE.Tr.Road.Passenger.Car.ICE.LPG</t>
  </si>
  <si>
    <t>EMIint.gCO2_per_km.SE.Tr.Road.Passenger.Car.ICE.NGas</t>
  </si>
  <si>
    <t>EMIint.gCO2_per_km.SE.Tr.Road.Passenger.Car.PHEV</t>
  </si>
  <si>
    <t>EMIint.gCO2_per_km.SE.Tr.Road.Passenger.Car.BEV</t>
  </si>
  <si>
    <t>EMIint.gCO2_per_km.SE.Tr.Road.Passenger.Bus</t>
  </si>
  <si>
    <t>EMIint.gCO2_per_km.SE.Tr.Road.Passenger.Bus.ICE.Gasoline</t>
  </si>
  <si>
    <t>EMIint.gCO2_per_km.SE.Tr.Road.Passenger.Bus.ICE.Diesel</t>
  </si>
  <si>
    <t>EMIint.gCO2_per_km.SE.Tr.Road.Passenger.Bus.ICE.LPG</t>
  </si>
  <si>
    <t>EMIint.gCO2_per_km.SE.Tr.Road.Passenger.Bus.ICE.NGas</t>
  </si>
  <si>
    <t>EMIint.gCO2_per_km.SE.Tr.Road.Passenger.Bus.ICE.BEV</t>
  </si>
  <si>
    <t>EMIint.gCO2_per_km.SE.Tr.Road.Freight</t>
  </si>
  <si>
    <t>EMIint.gCO2_per_km.SE.Tr.Road.Freight.LCV</t>
  </si>
  <si>
    <t>EMIint.gCO2_per_km.SE.Tr.Road.Freight.LCV.ICE.Gasoline</t>
  </si>
  <si>
    <t>EMIint.gCO2_per_km.SE.Tr.Road.Freight.LCV.ICE.Diesel</t>
  </si>
  <si>
    <t>EMIint.gCO2_per_km.SE.Tr.Road.Freight.LCV.ICE.LPG</t>
  </si>
  <si>
    <t>EMIint.gCO2_per_km.SE.Tr.Road.Freight.LCV.ICE.NGas</t>
  </si>
  <si>
    <t>EMIint.gCO2_per_km.SE.Tr.Road.Freight.LCV.ICE.BEV</t>
  </si>
  <si>
    <t>EMIint.gCO2_per_km.SE.Tr.Road.Freight.HGV</t>
  </si>
  <si>
    <t>EMIint.gCO2_per_km.SE.Tr.Road.Freight.HGV.Domestic</t>
  </si>
  <si>
    <t>EMIint.gCO2_per_km.SE.Tr.Road.Freight.HGV.International</t>
  </si>
  <si>
    <t>EMIint.gCO2_per_pkm.SE.Tr.Road.Passenger.Car.ICE.Gasoline</t>
  </si>
  <si>
    <t>EMIint.gCO2_per_pkm.SE.Tr.Road.Passenger.Car.ICE.Diesel</t>
  </si>
  <si>
    <t>EMIint.gCO2_per_pkm.SE.Tr.Road.Passenger.Car.ICE.LPG</t>
  </si>
  <si>
    <t>EMIint.gCO2_per_pkm.SE.Tr.Road.Passenger.Car.ICE.NGas</t>
  </si>
  <si>
    <t>EMIint.gCO2_per_pkm.SE.Tr.Road.Passenger.Car.PHEV</t>
  </si>
  <si>
    <t>EMIint.gCO2_per_pkm.SE.Tr.Road.Passenger.Car.BEV</t>
  </si>
  <si>
    <t>EMIint.gCO2_per_pkm.SE.Tr.Road.Passenger.Bus.ICE.Gasoline</t>
  </si>
  <si>
    <t>EMIint.gCO2_per_pkm.SE.Tr.Road.Passenger.Bus.ICE.Diesel</t>
  </si>
  <si>
    <t>EMIint.gCO2_per_pkm.SE.Tr.Road.Passenger.Bus.ICE.LPG</t>
  </si>
  <si>
    <t>EMIint.gCO2_per_pkm.SE.Tr.Road.Passenger.Bus.ICE.NGas</t>
  </si>
  <si>
    <t>EMIint.gCO2_per_pkm.SE.Tr.Road.Passenger.Bus.ICE.BEV</t>
  </si>
  <si>
    <t>EMIint.gCO2_per_tkm.SE.Tr.Road.Freight.LCV.ICE.Gasoline</t>
  </si>
  <si>
    <t>EMIint.gCO2_per_tkm.SE.Tr.Road.Freight.LCV.ICE.Diesel</t>
  </si>
  <si>
    <t>EMIint.gCO2_per_tkm.SE.Tr.Road.Freight.LCV.ICE.LPG</t>
  </si>
  <si>
    <t>EMIint.gCO2_per_tkm.SE.Tr.Road.Freight.LCV.ICE.NGas</t>
  </si>
  <si>
    <t>EMIint.gCO2_per_tkm.SE.Tr.Road.Freight.LCV.ICE.BEV</t>
  </si>
  <si>
    <t>EMIint.gCO2_per_tkm.SE.Tr.Road.Freight.HGV.Domestic</t>
  </si>
  <si>
    <t>EMIint.gCO2_per_tkm.SE.Tr.Road.Freight.HGV.International</t>
  </si>
  <si>
    <t>EMI_per_vehicle.kgCO2.SE.Tr.Road.Passenger.P2W</t>
  </si>
  <si>
    <t>EMI_per_vehicle.kgCO2.SE.Tr.Road.Passenger.Car</t>
  </si>
  <si>
    <t>EMI_per_vehicle.kgCO2.SE.Tr.Road.Passenger.Car.ICE.Gasoline</t>
  </si>
  <si>
    <t>EMI_per_vehicle.kgCO2.SE.Tr.Road.Passenger.Car.ICE.Diesel</t>
  </si>
  <si>
    <t>EMI_per_vehicle.kgCO2.SE.Tr.Road.Passenger.Car.ICE.LPG</t>
  </si>
  <si>
    <t>EMI_per_vehicle.kgCO2.SE.Tr.Road.Passenger.Car.ICE.NGas</t>
  </si>
  <si>
    <t>EMI_per_vehicle.kgCO2.SE.Tr.Road.Passenger.Car.PHEV</t>
  </si>
  <si>
    <t>EMI_per_vehicle.kgCO2.SE.Tr.Road.Passenger.Car.BEV</t>
  </si>
  <si>
    <t>EMI_per_vehicle.kgCO2.SE.Tr.Road.Passenger.Bus</t>
  </si>
  <si>
    <t>EMI_per_vehicle.kgCO2.SE.Tr.Road.Passenger.Bus.ICE.Gasoline</t>
  </si>
  <si>
    <t>EMI_per_vehicle.kgCO2.SE.Tr.Road.Passenger.Bus.ICE.Diesel</t>
  </si>
  <si>
    <t>EMI_per_vehicle.kgCO2.SE.Tr.Road.Passenger.Bus.ICE.LPG</t>
  </si>
  <si>
    <t>EMI_per_vehicle.kgCO2.SE.Tr.Road.Passenger.Bus.ICE.NGas</t>
  </si>
  <si>
    <t>EMI_per_vehicle.kgCO2.SE.Tr.Road.Passenger.Bus.ICE.BEV</t>
  </si>
  <si>
    <t>EMI_per_vehicle.kgCO2.SE.Tr.Road.Freight.LCV</t>
  </si>
  <si>
    <t>EMI_per_vehicle.kgCO2.SE.Tr.Road.Freight.LCV.ICE.Gasoline</t>
  </si>
  <si>
    <t>EMI_per_vehicle.kgCO2.SE.Tr.Road.Freight.LCV.ICE.Diesel</t>
  </si>
  <si>
    <t>EMI_per_vehicle.kgCO2.SE.Tr.Road.Freight.LCV.ICE.LPG</t>
  </si>
  <si>
    <t>EMI_per_vehicle.kgCO2.SE.Tr.Road.Freight.LCV.ICE.NGas</t>
  </si>
  <si>
    <t>EMI_per_vehicle.kgCO2.SE.Tr.Road.Freight.LCV.ICE.BEV</t>
  </si>
  <si>
    <t>EMI_per_vehicle.kgCO2.SE.Tr.Road.Freight.HGV</t>
  </si>
  <si>
    <t>EMI_per_vehicle.kgCO2.SE.Tr.Road.Freight.HGV.Domestic</t>
  </si>
  <si>
    <t>EMI_per_vehicle.kgCO2.SE.Tr.Road.Freight.HGV.International</t>
  </si>
  <si>
    <t>Road transport / technologies - SE - Sweden</t>
  </si>
  <si>
    <t>StockVin.number.SE.Tr.Road</t>
  </si>
  <si>
    <t>StockVin.number.SE.Tr.Road.Passenger</t>
  </si>
  <si>
    <t>StockVin.number.SE.Tr.Road.Passenger.P2W</t>
  </si>
  <si>
    <t>StockVin.number.SE.Tr.Road.Passenger.Car</t>
  </si>
  <si>
    <t>StockVin.number.SE.Tr.Road.Passenger.Car.ICE.Gasoline</t>
  </si>
  <si>
    <t>StockVin.number.SE.Tr.Road.Passenger.Car.ICE.Diesel</t>
  </si>
  <si>
    <t>StockVin.number.SE.Tr.Road.Passenger.Car.ICE.LPG</t>
  </si>
  <si>
    <t>StockVin.number.SE.Tr.Road.Passenger.Car.ICE.NGas</t>
  </si>
  <si>
    <t>StockVin.number.SE.Tr.Road.Passenger.Car.PHEV</t>
  </si>
  <si>
    <t>StockVin.number.SE.Tr.Road.Passenger.Car.BEV</t>
  </si>
  <si>
    <t>StockVin.number.SE.Tr.Road.Passenger.Bus</t>
  </si>
  <si>
    <t>StockVin.number.SE.Tr.Road.Passenger.Bus.ICE.Gasoline</t>
  </si>
  <si>
    <t>StockVin.number.SE.Tr.Road.Passenger.Bus.ICE.Diesel</t>
  </si>
  <si>
    <t>StockVin.number.SE.Tr.Road.Passenger.Bus.ICE.LPG</t>
  </si>
  <si>
    <t>StockVin.number.SE.Tr.Road.Passenger.Bus.ICE.NGas</t>
  </si>
  <si>
    <t>StockVin.number.SE.Tr.Road.Passenger.Bus.ICE.BEV</t>
  </si>
  <si>
    <t>StockVin.number.SE.Tr.Road.Freight</t>
  </si>
  <si>
    <t>StockVin.number.SE.Tr.Road.Freight.LCV</t>
  </si>
  <si>
    <t>StockVin.number.SE.Tr.Road.Freight.LCV.ICE.Gasoline</t>
  </si>
  <si>
    <t>StockVin.number.SE.Tr.Road.Freight.LCV.ICE.Diesel</t>
  </si>
  <si>
    <t>StockVin.number.SE.Tr.Road.Freight.LCV.ICE.LPG</t>
  </si>
  <si>
    <t>StockVin.number.SE.Tr.Road.Freight.LCV.ICE.NGas</t>
  </si>
  <si>
    <t>StockVin.number.SE.Tr.Road.Freight.LCV.ICE.BEV</t>
  </si>
  <si>
    <t>StockVin.number.SE.Tr.Road.Freight.HGV</t>
  </si>
  <si>
    <t>StockVin.number.SE.Tr.Road.Freight.HGV.Domestic</t>
  </si>
  <si>
    <t>StockVin.number.SE.Tr.Road.Freight.HGV.International</t>
  </si>
  <si>
    <t>Eff_test_stock.kgoe_per_100km.SE.Tr.Road.Passenger.P2W</t>
  </si>
  <si>
    <t>Eff_test_stock.kgoe_per_100km.SE.Tr.Road.Passenger.Car</t>
  </si>
  <si>
    <t>Eff_test_stock.kgoe_per_100km.SE.Tr.Road.Passenger.Car.ICE.Gasoline</t>
  </si>
  <si>
    <t>Eff_test_stock.kgoe_per_100km.SE.Tr.Road.Passenger.Car.ICE.Diesel</t>
  </si>
  <si>
    <t>Eff_test_stock.kgoe_per_100km.SE.Tr.Road.Passenger.Car.ICE.LPG</t>
  </si>
  <si>
    <t>Eff_test_stock.kgoe_per_100km.SE.Tr.Road.Passenger.Car.ICE.NGas</t>
  </si>
  <si>
    <t>Eff_test_stock.kgoe_per_100km.SE.Tr.Road.Passenger.Car.PHEV</t>
  </si>
  <si>
    <t>Eff_test_stock.kgoe_per_100km.SE.Tr.Road.Passenger.Car.BEV</t>
  </si>
  <si>
    <t>Eff_test_stock.kgoe_per_100km.SE.Tr.Road.Passenger.Bus</t>
  </si>
  <si>
    <t>Eff_test_stock.kgoe_per_100km.SE.Tr.Road.Passenger.Bus.ICE.Gasoline</t>
  </si>
  <si>
    <t>Eff_test_stock.kgoe_per_100km.SE.Tr.Road.Passenger.Bus.ICE.Diesel</t>
  </si>
  <si>
    <t>Eff_test_stock.kgoe_per_100km.SE.Tr.Road.Passenger.Bus.ICE.LPG</t>
  </si>
  <si>
    <t>Eff_test_stock.kgoe_per_100km.SE.Tr.Road.Passenger.Bus.ICE.NGas</t>
  </si>
  <si>
    <t>Eff_test_stock.kgoe_per_100km.SE.Tr.Road.Passenger.Bus.ICE.BEV</t>
  </si>
  <si>
    <t>Eff_test_stock.kgoe_per_100km.SE.Tr.Road.Freight.LCV</t>
  </si>
  <si>
    <t>Eff_test_stock.kgoe_per_100km.SE.Tr.Road.Freight.LCV.ICE.Gasoline</t>
  </si>
  <si>
    <t>Eff_test_stock.kgoe_per_100km.SE.Tr.Road.Freight.LCV.ICE.Diesel</t>
  </si>
  <si>
    <t>Eff_test_stock.kgoe_per_100km.SE.Tr.Road.Freight.LCV.ICE.LPG</t>
  </si>
  <si>
    <t>Eff_test_stock.kgoe_per_100km.SE.Tr.Road.Freight.LCV.ICE.NGas</t>
  </si>
  <si>
    <t>Eff_test_stock.kgoe_per_100km.SE.Tr.Road.Freight.LCV.ICE.BEV</t>
  </si>
  <si>
    <t>Eff_test_stock.kgoe_per_100km.SE.Tr.Road.Freight.HGV</t>
  </si>
  <si>
    <t>Eff_test_stock.kgoe_per_100km.SE.Tr.Road.Freight.HGV.Domestic</t>
  </si>
  <si>
    <t>Eff_test_stock.kgoe_per_100km.SE.Tr.Road.Freight.HGV.International</t>
  </si>
  <si>
    <t>Eff_test_new.kgoe_per_100km.SE.Tr.Road.Passenger.P2W</t>
  </si>
  <si>
    <t>Eff_test_new.kgoe_per_100km.SE.Tr.Road.Passenger.Car</t>
  </si>
  <si>
    <t>Eff_test_new.kgoe_per_100km.SE.Tr.Road.Passenger.Car.ICE.Gasoline</t>
  </si>
  <si>
    <t>Eff_test_new.kgoe_per_100km.SE.Tr.Road.Passenger.Car.ICE.Diesel</t>
  </si>
  <si>
    <t>Eff_test_new.kgoe_per_100km.SE.Tr.Road.Passenger.Car.ICE.LPG</t>
  </si>
  <si>
    <t>Eff_test_new.kgoe_per_100km.SE.Tr.Road.Passenger.Car.ICE.NGas</t>
  </si>
  <si>
    <t>Eff_test_new.kgoe_per_100km.SE.Tr.Road.Passenger.Car.PHEV</t>
  </si>
  <si>
    <t>Eff_test_new.kgoe_per_100km.SE.Tr.Road.Passenger.Car.BEV</t>
  </si>
  <si>
    <t>Eff_test_new.kgoe_per_100km.SE.Tr.Road.Passenger.Bus</t>
  </si>
  <si>
    <t>Eff_test_new.kgoe_per_100km.SE.Tr.Road.Passenger.Bus.ICE.Gasoline</t>
  </si>
  <si>
    <t>Eff_test_new.kgoe_per_100km.SE.Tr.Road.Passenger.Bus.ICE.Diesel</t>
  </si>
  <si>
    <t>Eff_test_new.kgoe_per_100km.SE.Tr.Road.Passenger.Bus.ICE.LPG</t>
  </si>
  <si>
    <t>Eff_test_new.kgoe_per_100km.SE.Tr.Road.Passenger.Bus.ICE.NGas</t>
  </si>
  <si>
    <t>Eff_test_new.kgoe_per_100km.SE.Tr.Road.Passenger.Bus.ICE.BEV</t>
  </si>
  <si>
    <t>Eff_test_new.kgoe_per_100km.SE.Tr.Road.Freight.LCV</t>
  </si>
  <si>
    <t>Eff_test_new.kgoe_per_100km.SE.Tr.Road.Freight.LCV.ICE.Gasoline</t>
  </si>
  <si>
    <t>Eff_test_new.kgoe_per_100km.SE.Tr.Road.Freight.LCV.ICE.Diesel</t>
  </si>
  <si>
    <t>Eff_test_new.kgoe_per_100km.SE.Tr.Road.Freight.LCV.ICE.LPG</t>
  </si>
  <si>
    <t>Eff_test_new.kgoe_per_100km.SE.Tr.Road.Freight.LCV.ICE.NGas</t>
  </si>
  <si>
    <t>Eff_test_new.kgoe_per_100km.SE.Tr.Road.Freight.LCV.ICE.BEV</t>
  </si>
  <si>
    <t>Eff_test_new.kgoe_per_100km.SE.Tr.Road.Freight.HGV</t>
  </si>
  <si>
    <t>Eff_test_new.kgoe_per_100km.SE.Tr.Road.Freight.HGV.Domestic</t>
  </si>
  <si>
    <t>Eff_test_new.kgoe_per_100km.SE.Tr.Road.Freight.HGV.International</t>
  </si>
  <si>
    <t>EMIint_test_stock.gCO2_per_km.SE.Tr.Road.Passenger.P2W</t>
  </si>
  <si>
    <t>EMIint_test_stock.gCO2_per_km.SE.Tr.Road.Passenger.Car</t>
  </si>
  <si>
    <t>EMIint_test_stock.gCO2_per_km.SE.Tr.Road.Passenger.Car.ICE.Gasoline</t>
  </si>
  <si>
    <t>EMIint_test_stock.gCO2_per_km.SE.Tr.Road.Passenger.Car.ICE.Diesel</t>
  </si>
  <si>
    <t>EMIint_test_stock.gCO2_per_km.SE.Tr.Road.Passenger.Car.ICE.LPG</t>
  </si>
  <si>
    <t>EMIint_test_stock.gCO2_per_km.SE.Tr.Road.Passenger.Car.ICE.NGas</t>
  </si>
  <si>
    <t>EMIint_test_stock.gCO2_per_km.SE.Tr.Road.Passenger.Car.PHEV</t>
  </si>
  <si>
    <t>EMIint_test_stock.gCO2_per_km.SE.Tr.Road.Passenger.Car.BEV</t>
  </si>
  <si>
    <t>EMIint_test_stock.gCO2_per_km.SE.Tr.Road.Passenger.Bus</t>
  </si>
  <si>
    <t>EMIint_test_stock.gCO2_per_km.SE.Tr.Road.Passenger.Bus.ICE.Gasoline</t>
  </si>
  <si>
    <t>EMIint_test_stock.gCO2_per_km.SE.Tr.Road.Passenger.Bus.ICE.Diesel</t>
  </si>
  <si>
    <t>EMIint_test_stock.gCO2_per_km.SE.Tr.Road.Passenger.Bus.ICE.LPG</t>
  </si>
  <si>
    <t>EMIint_test_stock.gCO2_per_km.SE.Tr.Road.Passenger.Bus.ICE.NGas</t>
  </si>
  <si>
    <t>EMIint_test_stock.gCO2_per_km.SE.Tr.Road.Passenger.Bus.ICE.BEV</t>
  </si>
  <si>
    <t>EMIint_test_stock.gCO2_per_km.SE.Tr.Road.Freight.LCV</t>
  </si>
  <si>
    <t>EMIint_test_stock.gCO2_per_km.SE.Tr.Road.Freight.LCV.ICE.Gasoline</t>
  </si>
  <si>
    <t>EMIint_test_stock.gCO2_per_km.SE.Tr.Road.Freight.LCV.ICE.Diesel</t>
  </si>
  <si>
    <t>EMIint_test_stock.gCO2_per_km.SE.Tr.Road.Freight.LCV.ICE.LPG</t>
  </si>
  <si>
    <t>EMIint_test_stock.gCO2_per_km.SE.Tr.Road.Freight.LCV.ICE.NGas</t>
  </si>
  <si>
    <t>EMIint_test_stock.gCO2_per_km.SE.Tr.Road.Freight.LCV.ICE.BEV</t>
  </si>
  <si>
    <t>EMIint_test_stock.gCO2_per_km.SE.Tr.Road.Freight.HGV</t>
  </si>
  <si>
    <t>EMIint_test_stock.gCO2_per_km.SE.Tr.Road.Freight.HGV.Domestic</t>
  </si>
  <si>
    <t>EMIint_test_stock.gCO2_per_km.SE.Tr.Road.Freight.HGV.International</t>
  </si>
  <si>
    <t>EMIint_test_new.gCO2_per_km.SE.Tr.Road.Passenger.P2W</t>
  </si>
  <si>
    <t>EMIint_test_new.gCO2_per_km.SE.Tr.Road.Passenger.Car</t>
  </si>
  <si>
    <t>EMIint_test_new.gCO2_per_km.SE.Tr.Road.Passenger.Car.ICE.Gasoline</t>
  </si>
  <si>
    <t>EMIint_test_new.gCO2_per_km.SE.Tr.Road.Passenger.Car.ICE.Diesel</t>
  </si>
  <si>
    <t>EMIint_test_new.gCO2_per_km.SE.Tr.Road.Passenger.Car.ICE.LPG</t>
  </si>
  <si>
    <t>EMIint_test_new.gCO2_per_km.SE.Tr.Road.Passenger.Car.ICE.NGas</t>
  </si>
  <si>
    <t>EMIint_test_new.gCO2_per_km.SE.Tr.Road.Passenger.Car.PHEV</t>
  </si>
  <si>
    <t>EMIint_test_new.gCO2_per_km.SE.Tr.Road.Passenger.Car.BEV</t>
  </si>
  <si>
    <t>EMIint_test_new.gCO2_per_km.SE.Tr.Road.Passenger.Bus</t>
  </si>
  <si>
    <t>EMIint_test_new.gCO2_per_km.SE.Tr.Road.Passenger.Bus.ICE.Gasoline</t>
  </si>
  <si>
    <t>EMIint_test_new.gCO2_per_km.SE.Tr.Road.Passenger.Bus.ICE.Diesel</t>
  </si>
  <si>
    <t>EMIint_test_new.gCO2_per_km.SE.Tr.Road.Passenger.Bus.ICE.LPG</t>
  </si>
  <si>
    <t>EMIint_test_new.gCO2_per_km.SE.Tr.Road.Passenger.Bus.ICE.NGas</t>
  </si>
  <si>
    <t>EMIint_test_new.gCO2_per_km.SE.Tr.Road.Passenger.Bus.ICE.BEV</t>
  </si>
  <si>
    <t>EMIint_test_new.gCO2_per_km.SE.Tr.Road.Freight.LCV</t>
  </si>
  <si>
    <t>EMIint_test_new.gCO2_per_km.SE.Tr.Road.Freight.LCV.ICE.Gasoline</t>
  </si>
  <si>
    <t>EMIint_test_new.gCO2_per_km.SE.Tr.Road.Freight.LCV.ICE.Diesel</t>
  </si>
  <si>
    <t>EMIint_test_new.gCO2_per_km.SE.Tr.Road.Freight.LCV.ICE.LPG</t>
  </si>
  <si>
    <t>EMIint_test_new.gCO2_per_km.SE.Tr.Road.Freight.LCV.ICE.NGas</t>
  </si>
  <si>
    <t>EMIint_test_new.gCO2_per_km.SE.Tr.Road.Freight.LCV.ICE.BEV</t>
  </si>
  <si>
    <t>EMIint_test_new.gCO2_per_km.SE.Tr.Road.Freight.HGV</t>
  </si>
  <si>
    <t>EMIint_test_new.gCO2_per_km.SE.Tr.Road.Freight.HGV.Domestic</t>
  </si>
  <si>
    <t>EMIint_test_new.gCO2_per_km.SE.Tr.Road.Freight.HGV.International</t>
  </si>
  <si>
    <t>FEC.ktoe.SE.MBunk</t>
  </si>
  <si>
    <t>FEC.ktoe.SE.MBunk.IntraEEA</t>
  </si>
  <si>
    <t>FEC.ktoe.SE.MBunk.ExtraEEA</t>
  </si>
  <si>
    <t>EMI.ktCO2.SE.MBunk</t>
  </si>
  <si>
    <t>EMI.ktCO2.SE.MBunk.IntraEEA</t>
  </si>
  <si>
    <t>EMI.ktCO2.SE.MBunk.ExtraEEA</t>
  </si>
  <si>
    <t>International maritime bunkers - SE - Sweden</t>
  </si>
  <si>
    <t>VehicleKm.Mkm.SE.MBunk.Freight</t>
  </si>
  <si>
    <t>VehicleKm.Mkm.SE.MBunk.Freight.IntraEEA</t>
  </si>
  <si>
    <t>VehicleKm.Mkm.SE.MBunk.Freight.ExtraEEA</t>
  </si>
  <si>
    <t>Load.t_per_movement.SE.MBunk.Freight</t>
  </si>
  <si>
    <t>Load.t_per_movement.SE.MBunk.Freight.IntraEEA</t>
  </si>
  <si>
    <t>Load.t_per_movement.SE.MBunk.Freight.ExtraEEA</t>
  </si>
  <si>
    <t>International maritime bunkers / energy consumption - SE - Sweden</t>
  </si>
  <si>
    <t>FEC.ktoe.SE.ES.MBunk</t>
  </si>
  <si>
    <t>FEC.ktoe.SE.ES.MBunk.IntraEEA</t>
  </si>
  <si>
    <t>FEC.ktoe.SE.ES.MBunk.IntraEEA.Diesel</t>
  </si>
  <si>
    <t>FEC.ktoe.SE.ES.MBunk.IntraEEA.RFO_Other</t>
  </si>
  <si>
    <t>FEC.ktoe.SE.ES.MBunk.IntraEEA.LiqBio</t>
  </si>
  <si>
    <t>FEC.ktoe.SE.ES.MBunk.IntraEEA.NG</t>
  </si>
  <si>
    <t>FEC.ktoe.SE.ES.MBunk.IntraEEA.Biogas</t>
  </si>
  <si>
    <t>FEC.ktoe.SE.ES.MBunk.ExtraEEA</t>
  </si>
  <si>
    <t>FEC.ktoe.SE.ES.MBunk.ExtraEEA.Diesel</t>
  </si>
  <si>
    <t>FEC.ktoe.SE.ES.MBunk.ExtraEEA.RFO_Other</t>
  </si>
  <si>
    <t>FEC.ktoe.SE.ES.MBunk.ExtraEEA.LiqBio</t>
  </si>
  <si>
    <t>FEC.ktoe.SE.ES.MBunk.ExtraEEA.NG</t>
  </si>
  <si>
    <t>FEC.ktoe.SE.ES.MBunk.ExtraEEA.Biogas</t>
  </si>
  <si>
    <t>Eff.kgoe_per_100km.SE.MBunk.Freight</t>
  </si>
  <si>
    <t>Eff.kgoe_per_100km.SE.MBunk.Freight.IntraEEA</t>
  </si>
  <si>
    <t>Eff.kgoe_per_100km.SE.MBunk.Freight.ExtraEEA</t>
  </si>
  <si>
    <t>International maritime bunkers / CO2 emissions - SE - Sweden</t>
  </si>
  <si>
    <t>EMI.ktCO2.SE.ES.MBunk</t>
  </si>
  <si>
    <t>EMI.ktCO2.SE.ES.MBunk.IntraEEA</t>
  </si>
  <si>
    <t>EMI.ktCO2.SE.ES.MBunk.ExtraEEA</t>
  </si>
  <si>
    <t>EMIint.gCO2_per_km.SE.MBunk.Freight</t>
  </si>
  <si>
    <t>EMIint.gCO2_per_km.SE.MBunk.Freight.IntraEEA</t>
  </si>
  <si>
    <t>EMIint.gCO2_per_km.SE.MBunk.Freight.ExtraEEA</t>
  </si>
  <si>
    <t>FEC.ktoe.SE.Tr.DNavi</t>
  </si>
  <si>
    <t>FEC.ktoe.SE.Tr.Dnavi.DCS</t>
  </si>
  <si>
    <t>FEC.ktoe.SE.Tr.Dnavi.IWW</t>
  </si>
  <si>
    <t>EMI.ktCO2.SE.Tr.DNavi</t>
  </si>
  <si>
    <t>EMI.ktCO2.SE.Tr.Dnavi.DCS</t>
  </si>
  <si>
    <t>EMI.ktCO2.SE.Tr.Dnavi.IWW</t>
  </si>
  <si>
    <t>Domestic navigation - SE - Sweden</t>
  </si>
  <si>
    <t>VehicleKm.Mkm.SE.Tr.DNavi.Freight</t>
  </si>
  <si>
    <t>VehicleKm.Mkm.SE.Tr.DNavi.Freight.DCS</t>
  </si>
  <si>
    <t>VehicleKm.Mkm.SE.Tr.DNavi.Freight.IWW</t>
  </si>
  <si>
    <t>Load.t_per_movement.SE.Tr.DNavi.Freight</t>
  </si>
  <si>
    <t>Load.t_per_movement.SE.Tr.DNavi.Freight.DCS</t>
  </si>
  <si>
    <t>Load.t_per_movement.SE.Tr.DNavi.Freight.IWW</t>
  </si>
  <si>
    <t>Domestic navigation / energy consumption - SE - Sweden</t>
  </si>
  <si>
    <t>FEC.ktoe.SE.ES.Tr.DNavi</t>
  </si>
  <si>
    <t>FEC.ktoe.SE.ES.Tr.DNavi.DCS</t>
  </si>
  <si>
    <t>FEC.ktoe.SE.ES.Tr.DNavi.DCS.Diesel</t>
  </si>
  <si>
    <t>FEC.ktoe.SE.ES.Tr.DNavi.DCS.RFO_Other</t>
  </si>
  <si>
    <t>FEC.ktoe.SE.ES.Tr.DNavi.DCS.LiqBio</t>
  </si>
  <si>
    <t>FEC.ktoe.SE.ES.Tr.DNavi.DCS.NG</t>
  </si>
  <si>
    <t>FEC.ktoe.SE.ES.Tr.DNavi.DCS.Biogas</t>
  </si>
  <si>
    <t>FEC.ktoe.SE.ES.Tr.DNavi.IWW</t>
  </si>
  <si>
    <t>FEC.ktoe.SE.ES.Tr.DNavi.IWW.Diesel</t>
  </si>
  <si>
    <t>FEC.ktoe.SE.ES.Tr.DNavi.IWW.RFO_Other</t>
  </si>
  <si>
    <t>FEC.ktoe.SE.ES.Tr.DNavi.IWW.LiqBio</t>
  </si>
  <si>
    <t>FEC.ktoe.SE.ES.Tr.DNavi.IWW.NG</t>
  </si>
  <si>
    <t>FEC.ktoe.SE.ES.Tr.DNavi.IWW.Biogas</t>
  </si>
  <si>
    <t>Eff.kgoe_per_100km.SE.Tr.DNavi.Freight</t>
  </si>
  <si>
    <t>Eff.kgoe_per_100km.SE.Tr.DNavi.Freight.DCS</t>
  </si>
  <si>
    <t>Eff.kgoe_per_100km.SE.Tr.DNavi.Freight.IWW</t>
  </si>
  <si>
    <t>Domestic navigation / CO2 emissions - SE - Sweden</t>
  </si>
  <si>
    <t>EMI.ktCO2.SE.ES.Tr.DNavi</t>
  </si>
  <si>
    <t>EMI.ktCO2.SE.ES.Tr.DNavi.DCS</t>
  </si>
  <si>
    <t>EMI.ktCO2.SE.ES.Tr.DNavi.IWW</t>
  </si>
  <si>
    <t>EMIint.gCO2_per_km.SE.Tr.DNavi.Freight</t>
  </si>
  <si>
    <t>EMIint.gCO2_per_km.SE.Tr.DNavi.Freight.DCS</t>
  </si>
  <si>
    <t>EMIint.gCO2_per_km.SE.Tr.DNavi.Freight.IWW</t>
  </si>
  <si>
    <t>Rail, metro and tram - SE - Sweden</t>
  </si>
  <si>
    <t>Activity.Mpkm.SE.Tr.Rail.Passenger.CPT.Diesel</t>
  </si>
  <si>
    <t>Activity.Mpkm.SE.Tr.Rail.Passenger.CPT.Elc</t>
  </si>
  <si>
    <t>Activity.Mtkm.SE.Tr.Rail.Freight.Diesel</t>
  </si>
  <si>
    <t>Activity.Mtkm.SE.Tr.Rail.Freight.Elc</t>
  </si>
  <si>
    <t>VehicleKm.Mkm.SE.Tr.Rail</t>
  </si>
  <si>
    <t>VehicleKm.Mkm.SE.Tr.Rail.Passenger</t>
  </si>
  <si>
    <t>VehicleKm.Mkm.SE.Tr.Rail.Passenger.MTU</t>
  </si>
  <si>
    <t>VehicleKm.Mkm.SE.Tr.Rail.Passenger.CPT</t>
  </si>
  <si>
    <t>VehicleKm.Mkm.SE.Tr.Rail.Passenger.CPT.Diesel</t>
  </si>
  <si>
    <t>VehicleKm.Mkm.SE.Tr.Rail.Passenger.CPT.Elc</t>
  </si>
  <si>
    <t>VehicleKm.Mkm.SE.Tr.Rail.Passenger.HST</t>
  </si>
  <si>
    <t>VehicleKm.Mkm.SE.Tr.Rail.Freight</t>
  </si>
  <si>
    <t>VehicleKm.Mkm.SE.Tr.Rail.Freight.Diesel</t>
  </si>
  <si>
    <t>VehicleKm.Mkm.SE.Tr.Rail.Freight.Elc</t>
  </si>
  <si>
    <t>Stock.number.SE.Tr.Rail</t>
  </si>
  <si>
    <t>Stock.number.SE.Tr.Rail.Passenger</t>
  </si>
  <si>
    <t>Stock.number.SE.Tr.Rail.Passenger.MTU</t>
  </si>
  <si>
    <t>Stock.number.SE.Tr.Rail.Passenger.CPT</t>
  </si>
  <si>
    <t>Stock.number.SE.Tr.Rail.Passenger.CPT.Diesel</t>
  </si>
  <si>
    <t>Stock.number.SE.Tr.Rail.Passenger.CPT.Elc</t>
  </si>
  <si>
    <t>Stock.number.SE.Tr.Rail.Passenger.HST</t>
  </si>
  <si>
    <t>Stock.number.SE.Tr.Rail.Freight</t>
  </si>
  <si>
    <t>Stock.number.SE.Tr.Rail.Freight.Diesel</t>
  </si>
  <si>
    <t>Stock.number.SE.Tr.Rail.Freight.Elc</t>
  </si>
  <si>
    <t>StockNew.number.SE.Tr.Rail</t>
  </si>
  <si>
    <t>StockNew.number.SE.Tr.Rail.Passenger</t>
  </si>
  <si>
    <t>StockNew.number.SE.Tr.Rail.Passenger.MTU</t>
  </si>
  <si>
    <t>StockNew.number.SE.Tr.Rail.Passenger.CPT</t>
  </si>
  <si>
    <t>StockNew.number.SE.Tr.Rail.Passenger.CPT.Diesel</t>
  </si>
  <si>
    <t>StockNew.number.SE.Tr.Rail.Passenger.CPT.Elc</t>
  </si>
  <si>
    <t>StockNew.number.SE.Tr.Rail.Passenger.HST</t>
  </si>
  <si>
    <t>StockNew.number.SE.Tr.Rail.Freight</t>
  </si>
  <si>
    <t>StockNew.number.SE.Tr.Rail.Freight.Diesel</t>
  </si>
  <si>
    <t>StockNew.number.SE.Tr.Rail.Freight.Elc</t>
  </si>
  <si>
    <t>Load.passenger_per_movement.SE.Tr.Rail.Passenger</t>
  </si>
  <si>
    <t>Load.passenger_per_movement.SE.Tr.Rail.Passenger.MTU</t>
  </si>
  <si>
    <t>Load.passenger_per_movement.SE.Tr.Rail.Passenger.CPT</t>
  </si>
  <si>
    <t>Load.passenger_per_movement.SE.Tr.Rail.Passenger.CPT.Diesel</t>
  </si>
  <si>
    <t>Load.passenger_per_movement.SE.Tr.Rail.Passenger.CPT.Elc</t>
  </si>
  <si>
    <t>Load.passenger_per_movement.SE.Tr.Rail.Passenger.HST</t>
  </si>
  <si>
    <t>Load.t_per_movement.SE.Tr.Rail.Freight</t>
  </si>
  <si>
    <t>Load.t_per_movement.SE.Tr.Rail.Freight.Diesel</t>
  </si>
  <si>
    <t>Load.t_per_movement.SE.Tr.Rail.Freight.Elc</t>
  </si>
  <si>
    <t>TrCap.seats.SE.Tr.Rail.Passenger</t>
  </si>
  <si>
    <t>TrCap.seats.SE.Tr.Rail.Passenger.MTU</t>
  </si>
  <si>
    <t>TrCap.seats.SE.Tr.Rail.Passenger.CPT</t>
  </si>
  <si>
    <t>TrCap.seats.SE.Tr.Rail.Passenger.CPT.Diesel</t>
  </si>
  <si>
    <t>TrCap.seats.SE.Tr.Rail.Passenger.CPT.Elc</t>
  </si>
  <si>
    <t>TrCap.seats.SE.Tr.Rail.Passenger.HST</t>
  </si>
  <si>
    <t>TrCap.t.SE.Tr.Rail.Freight</t>
  </si>
  <si>
    <t>TrCap.t.SE.Tr.Rail.Freight.Diesel</t>
  </si>
  <si>
    <t>TrCap.t.SE.Tr.Rail.Freight.Elc</t>
  </si>
  <si>
    <t>VehicleKm_per_vehicle.km.SE.Tr.Rail</t>
  </si>
  <si>
    <t>VehicleKm_per_vehicle.km.SE.Tr.Rail.Passenger</t>
  </si>
  <si>
    <t>VehicleKm_per_vehicle.km.SE.Tr.Rail.Passenger.MTU</t>
  </si>
  <si>
    <t>VehicleKm_per_vehicle.km.SE.Tr.Rail.Passenger.CPT</t>
  </si>
  <si>
    <t>VehicleKm_per_vehicle.km.SE.Tr.Rail.Passenger.CPT.Diesel</t>
  </si>
  <si>
    <t>VehicleKm_per_vehicle.km.SE.Tr.Rail.Passenger.CPT.Elc</t>
  </si>
  <si>
    <t>VehicleKm_per_vehicle.km.SE.Tr.Rail.Passenger.HST</t>
  </si>
  <si>
    <t>VehicleKm_per_vehicle.km.SE.Tr.Rail.Freight</t>
  </si>
  <si>
    <t>VehicleKm_per_vehicle.km.SE.Tr.Rail.Freight.Diesel</t>
  </si>
  <si>
    <t>VehicleKm_per_vehicle.km.SE.Tr.Rail.Freight.Elc</t>
  </si>
  <si>
    <t>Activity_per_vehicle.pkm.SE.Tr.Rail.Passenger</t>
  </si>
  <si>
    <t>Activity_per_vehicle.pkm.SE.Tr.Rail.Passenger.MTU</t>
  </si>
  <si>
    <t>Activity_per_vehicle.pkm.SE.Tr.Rail.Passenger.CPT</t>
  </si>
  <si>
    <t>Activity_per_vehicle.pkm.SE.Tr.Rail.Passenger.CPT.Diesel</t>
  </si>
  <si>
    <t>Activity_per_vehicle.pkm.SE.Tr.Rail.Passenger.CPT.Elc</t>
  </si>
  <si>
    <t>Activity_per_vehicle.pkm.SE.Tr.Rail.Passenger.HST</t>
  </si>
  <si>
    <t>Activity_per_vehicle.tkm.SE.Tr.Rail.Freight</t>
  </si>
  <si>
    <t>Activity_per_vehicle.tkm.SE.Tr.Rail.Freight.Diesel</t>
  </si>
  <si>
    <t>Activity_per_vehicle.tkm.SE.Tr.Rail.Freight.Elc</t>
  </si>
  <si>
    <t>Rail, metro and tram / energy consumption - SE - Sweden</t>
  </si>
  <si>
    <t>FEC.ktoe.SE.ES.Tr.Rail</t>
  </si>
  <si>
    <t>FEC.ktoe.SE.ES.Tr.Rail.Diesel</t>
  </si>
  <si>
    <t>FEC.ktoe.SE.ES.Tr.Rail.LiqBio</t>
  </si>
  <si>
    <t>FEC.ktoe.SE.ES.Tr.Rail.Elec</t>
  </si>
  <si>
    <t>FEC.ktoe.SE.Tr.Rail</t>
  </si>
  <si>
    <t>FEC.ktoe.SE.Tr.Rail.Passenger.CPT.Diesel</t>
  </si>
  <si>
    <t>FEC.ktoe.SE.Tr.Rail.Passenger.CPT.Elc</t>
  </si>
  <si>
    <t>FEC.ktoe.SE.Tr.Rail.Freight.Diesel</t>
  </si>
  <si>
    <t>FEC.ktoe.SE.Tr.Rail.Freight.Elc</t>
  </si>
  <si>
    <t>Eff.kgoe_per_100km.SE.Tr.Rail</t>
  </si>
  <si>
    <t>Eff.kgoe_per_100km.SE.Tr.Rail.Passenger</t>
  </si>
  <si>
    <t>Eff.kgoe_per_100km.SE.Tr.Rail.Passenger.MTU</t>
  </si>
  <si>
    <t>Eff.kgoe_per_100km.SE.Tr.Rail.Passenger.CPT</t>
  </si>
  <si>
    <t>Eff.kgoe_per_100km.SE.Tr.Rail.Passenger.CPT.Diesel</t>
  </si>
  <si>
    <t>Eff.kgoe_per_100km.SE.Tr.Rail.Passenger.CPT.Elc</t>
  </si>
  <si>
    <t>Eff.kgoe_per_100km.SE.Tr.Rail.Passenger.HST</t>
  </si>
  <si>
    <t>Eff.kgoe_per_100km.SE.Tr.Rail.Freight</t>
  </si>
  <si>
    <t>Eff.kgoe_per_100km.SE.Tr.Rail.Freight.Diesel</t>
  </si>
  <si>
    <t>Eff.kgoe_per_100km.SE.Tr.Rail.Freight.Elc</t>
  </si>
  <si>
    <t>Eff.kgoe_per_kpkm.SE.Tr.Rail.Passenger.CPT.Diesel</t>
  </si>
  <si>
    <t>Eff.kgoe_per_kpkm.SE.Tr.Rail.Passenger.CPT.Elc</t>
  </si>
  <si>
    <t>Eff.kgoe_per_ktkm.SE.Tr.Rail.Freight.Diesel</t>
  </si>
  <si>
    <t>Eff.kgoe_per_ktkm.SE.Tr.Rail.Freight.Elc</t>
  </si>
  <si>
    <t>FEC_per_vehicle.kgoe.SE.Tr.Rail</t>
  </si>
  <si>
    <t>FEC_per_vehicle.kgoe.SE.Tr.Rail.Passenger</t>
  </si>
  <si>
    <t>FEC_per_vehicle.kgoe.SE.Tr.Rail.Passenger.MTU</t>
  </si>
  <si>
    <t>FEC_per_vehicle.kgoe.SE.Tr.Rail.Passenger.CPT</t>
  </si>
  <si>
    <t>FEC_per_vehicle.kgoe.SE.Tr.Rail.Passenger.CPT.Diesel</t>
  </si>
  <si>
    <t>FEC_per_vehicle.kgoe.SE.Tr.Rail.Passenger.CPT.Elc</t>
  </si>
  <si>
    <t>FEC_per_vehicle.kgoe.SE.Tr.Rail.Passenger.HST</t>
  </si>
  <si>
    <t>FEC_per_vehicle.kgoe.SE.Tr.Rail.Freight</t>
  </si>
  <si>
    <t>FEC_per_vehicle.kgoe.SE.Tr.Rail.Freight.Diesel</t>
  </si>
  <si>
    <t>FEC_per_vehicle.kgoe.SE.Tr.Rail.Freight.Elc</t>
  </si>
  <si>
    <t>Rail, metro and tram / CO2 emissions - SE - Sweden</t>
  </si>
  <si>
    <t>EMI.ktCO2.SE.ES.Tr.Rail</t>
  </si>
  <si>
    <t>EMI.ktCO2.SE.ES.Tr.Rail.Diesel</t>
  </si>
  <si>
    <t>EMI.ktCO2.SE.ES.Tr.Rail.Elec</t>
  </si>
  <si>
    <t>EMI.ktCO2.SE.Tr.Rail</t>
  </si>
  <si>
    <t>EMI.ktCO2.SE.Tr.Rail.Passenger.CPT.Diesel</t>
  </si>
  <si>
    <t>EMI.ktCO2.SE.Tr.Rail.Passenger.CPT.Elc</t>
  </si>
  <si>
    <t>EMI.ktCO2.SE.Tr.Rail.Freight.Diesel</t>
  </si>
  <si>
    <t>EMI.ktCO2.SE.Tr.Rail.Freight.Elc</t>
  </si>
  <si>
    <t>EMIint.gCO2_per_km.SE.Tr.Rail</t>
  </si>
  <si>
    <t>EMIint.gCO2_per_km.SE.Tr.Rail.Passenger</t>
  </si>
  <si>
    <t>EMIint.gCO2_per_km.SE.Tr.Rail.Passenger.MTU</t>
  </si>
  <si>
    <t>EMIint.gCO2_per_km.SE.Tr.Rail.Passenger.CPT</t>
  </si>
  <si>
    <t>EMIint.gCO2_per_km.SE.Tr.Rail.Passenger.CPT.Diesel</t>
  </si>
  <si>
    <t>EMIint.gCO2_per_km.SE.Tr.Rail.Passenger.CPT.Elc</t>
  </si>
  <si>
    <t>EMIint.gCO2_per_km.SE.Tr.Rail.Passenger.HST</t>
  </si>
  <si>
    <t>EMIint.gCO2_per_km.SE.Tr.Rail.Freight</t>
  </si>
  <si>
    <t>EMIint.gCO2_per_km.SE.Tr.Rail.Freight.Diesel</t>
  </si>
  <si>
    <t>EMIint.gCO2_per_km.SE.Tr.Rail.Freight.Elc</t>
  </si>
  <si>
    <t>EMIint.gCO2_per_pkm.SE.Tr.Rail.Passenger.CPT.Diesel</t>
  </si>
  <si>
    <t>EMIint.gCO2_per_pkm.SE.Tr.Rail.Passenger.CPT.Elc</t>
  </si>
  <si>
    <t>EMIint.gCO2_per_tkm.SE.Tr.Rail.Freight.Diesel</t>
  </si>
  <si>
    <t>EMIint.gCO2_per_tkm.SE.Tr.Rail.Freight.Elc</t>
  </si>
  <si>
    <t>EMI_per_vehicle.tCO2.SE.Tr.Rail</t>
  </si>
  <si>
    <t>EMI_per_vehicle.tCO2.SE.Tr.Rail.Passenger</t>
  </si>
  <si>
    <t>EMI_per_vehicle.tCO2.SE.Tr.Rail.Passenger.MTU</t>
  </si>
  <si>
    <t>EMI_per_vehicle.tCO2.SE.Tr.Rail.Passenger.CPT</t>
  </si>
  <si>
    <t>EMI_per_vehicle.tCO2.SE.Tr.Rail.Passenger.CPT.Diesel</t>
  </si>
  <si>
    <t>EMI_per_vehicle.tCO2.SE.Tr.Rail.Passenger.CPT.Elc</t>
  </si>
  <si>
    <t>EMI_per_vehicle.tCO2.SE.Tr.Rail.Passenger.HST</t>
  </si>
  <si>
    <t>EMI_per_vehicle.tCO2.SE.Tr.Rail.Freight</t>
  </si>
  <si>
    <t>EMI_per_vehicle.tCO2.SE.Tr.Rail.Freight.Diesel</t>
  </si>
  <si>
    <t>EMI_per_vehicle.tCO2.SE.Tr.Rail.Freight.Elc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</si>
</sst>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45432.788819444446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142466.63534064079</v>
      </c>
      <c r="C4" s="28">
        <f t="shared" si="0"/>
        <v>143958.90948709947</v>
      </c>
      <c r="D4" s="28">
        <f t="shared" si="0"/>
        <v>144110.46778899664</v>
      </c>
      <c r="E4" s="28">
        <f t="shared" si="0"/>
        <v>143563.21706399682</v>
      </c>
      <c r="F4" s="28">
        <f t="shared" si="0"/>
        <v>145522.88266060466</v>
      </c>
      <c r="G4" s="28">
        <f t="shared" si="0"/>
        <v>147072.77894899121</v>
      </c>
      <c r="H4" s="28">
        <f t="shared" si="0"/>
        <v>150969.12599413292</v>
      </c>
      <c r="I4" s="28">
        <f t="shared" si="0"/>
        <v>155237.32734449339</v>
      </c>
      <c r="J4" s="28">
        <f t="shared" si="0"/>
        <v>156116.92480107836</v>
      </c>
      <c r="K4" s="28">
        <f t="shared" si="0"/>
        <v>153741.63342556171</v>
      </c>
      <c r="L4" s="28">
        <f t="shared" si="0"/>
        <v>154027.81712725502</v>
      </c>
      <c r="M4" s="28">
        <f t="shared" si="0"/>
        <v>157567.15416446869</v>
      </c>
      <c r="N4" s="28">
        <f t="shared" si="0"/>
        <v>157738.90598342</v>
      </c>
      <c r="O4" s="28">
        <f t="shared" si="0"/>
        <v>159591.63773377441</v>
      </c>
      <c r="P4" s="28">
        <f t="shared" si="0"/>
        <v>163783.81798858344</v>
      </c>
      <c r="Q4" s="28">
        <f t="shared" si="0"/>
        <v>166922.83165527318</v>
      </c>
      <c r="R4" s="28">
        <f t="shared" ref="R4:V4" si="1">R5+R9+R13</f>
        <v>150872.8795886267</v>
      </c>
      <c r="S4" s="28">
        <f t="shared" si="1"/>
        <v>156368.27962558775</v>
      </c>
      <c r="T4" s="28">
        <f t="shared" si="1"/>
        <v>158182.55304673017</v>
      </c>
      <c r="U4" s="28">
        <f t="shared" si="1"/>
        <v>156788.98973322724</v>
      </c>
      <c r="V4" s="28">
        <f t="shared" si="1"/>
        <v>117777.12020245731</v>
      </c>
      <c r="W4" s="28">
        <f t="shared" ref="W4" si="2">W5+W9+W13</f>
        <v>117854.19020267051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113359.65732731049</v>
      </c>
      <c r="C5" s="137">
        <f t="shared" si="3"/>
        <v>114579.26939890647</v>
      </c>
      <c r="D5" s="137">
        <f t="shared" si="3"/>
        <v>116522.24105445961</v>
      </c>
      <c r="E5" s="137">
        <f t="shared" si="3"/>
        <v>117291.35963932412</v>
      </c>
      <c r="F5" s="137">
        <f t="shared" si="3"/>
        <v>118307.56962520881</v>
      </c>
      <c r="G5" s="137">
        <f t="shared" si="3"/>
        <v>117950.38397600151</v>
      </c>
      <c r="H5" s="137">
        <f t="shared" si="3"/>
        <v>118250.97434218026</v>
      </c>
      <c r="I5" s="137">
        <f t="shared" si="3"/>
        <v>120526.31310220739</v>
      </c>
      <c r="J5" s="137">
        <f t="shared" si="3"/>
        <v>119479.16048161787</v>
      </c>
      <c r="K5" s="137">
        <f t="shared" si="3"/>
        <v>118989.12052858873</v>
      </c>
      <c r="L5" s="137">
        <f t="shared" si="3"/>
        <v>118198.6503575659</v>
      </c>
      <c r="M5" s="137">
        <f t="shared" si="3"/>
        <v>119460.8096529825</v>
      </c>
      <c r="N5" s="137">
        <f t="shared" si="3"/>
        <v>118576.14833921712</v>
      </c>
      <c r="O5" s="137">
        <f t="shared" si="3"/>
        <v>118668.96224589035</v>
      </c>
      <c r="P5" s="137">
        <f t="shared" si="3"/>
        <v>120796.49885276491</v>
      </c>
      <c r="Q5" s="137">
        <f t="shared" si="3"/>
        <v>122491.58272207818</v>
      </c>
      <c r="R5" s="137">
        <f t="shared" ref="R5:V5" si="4">R6+R7+R8</f>
        <v>104399.3609360089</v>
      </c>
      <c r="S5" s="137">
        <f t="shared" si="4"/>
        <v>106190.34673726856</v>
      </c>
      <c r="T5" s="137">
        <f t="shared" si="4"/>
        <v>107063.82351556089</v>
      </c>
      <c r="U5" s="137">
        <f t="shared" si="4"/>
        <v>106465.51778041333</v>
      </c>
      <c r="V5" s="137">
        <f t="shared" si="4"/>
        <v>99896.998688761945</v>
      </c>
      <c r="W5" s="137">
        <f t="shared" ref="W5" si="5">W6+W7+W8</f>
        <v>99059.933179220359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480.82362964602419</v>
      </c>
      <c r="C6" s="102">
        <f>TrRoad_act!C$5</f>
        <v>524.99179946654351</v>
      </c>
      <c r="D6" s="102">
        <f>TrRoad_act!D$5</f>
        <v>593.72315555625642</v>
      </c>
      <c r="E6" s="102">
        <f>TrRoad_act!E$5</f>
        <v>642.27130319275875</v>
      </c>
      <c r="F6" s="102">
        <f>TrRoad_act!F$5</f>
        <v>692.71812850835681</v>
      </c>
      <c r="G6" s="102">
        <f>TrRoad_act!G$5</f>
        <v>713.26806988406781</v>
      </c>
      <c r="H6" s="102">
        <f>TrRoad_act!H$5</f>
        <v>781.94219644661052</v>
      </c>
      <c r="I6" s="102">
        <f>TrRoad_act!I$5</f>
        <v>869.74720213495948</v>
      </c>
      <c r="J6" s="102">
        <f>TrRoad_act!J$5</f>
        <v>843.70830467751546</v>
      </c>
      <c r="K6" s="102">
        <f>TrRoad_act!K$5</f>
        <v>853.08251804833856</v>
      </c>
      <c r="L6" s="102">
        <f>TrRoad_act!L$5</f>
        <v>811.82174595235301</v>
      </c>
      <c r="M6" s="102">
        <f>TrRoad_act!M$5</f>
        <v>784.82459702528615</v>
      </c>
      <c r="N6" s="102">
        <f>TrRoad_act!N$5</f>
        <v>680.80931987115468</v>
      </c>
      <c r="O6" s="102">
        <f>TrRoad_act!O$5</f>
        <v>759.17402238984096</v>
      </c>
      <c r="P6" s="102">
        <f>TrRoad_act!P$5</f>
        <v>763.0213086133258</v>
      </c>
      <c r="Q6" s="102">
        <f>TrRoad_act!Q$5</f>
        <v>767.86439189501323</v>
      </c>
      <c r="R6" s="102">
        <f>TrRoad_act!R$5</f>
        <v>811.36093600889717</v>
      </c>
      <c r="S6" s="102">
        <f>TrRoad_act!S$5</f>
        <v>770.34673726856704</v>
      </c>
      <c r="T6" s="102">
        <f>TrRoad_act!T$5</f>
        <v>735.82351556089486</v>
      </c>
      <c r="U6" s="102">
        <f>TrRoad_act!U$5</f>
        <v>783.51778041331352</v>
      </c>
      <c r="V6" s="102">
        <f>TrRoad_act!V$5</f>
        <v>700.99868876193909</v>
      </c>
      <c r="W6" s="102">
        <f>TrRoad_act!W$5</f>
        <v>728.93317922037136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103654.83369766446</v>
      </c>
      <c r="C7" s="102">
        <f>TrRoad_act!C$6</f>
        <v>104834.27759943993</v>
      </c>
      <c r="D7" s="102">
        <f>TrRoad_act!D$6</f>
        <v>106622.51789890334</v>
      </c>
      <c r="E7" s="102">
        <f>TrRoad_act!E$6</f>
        <v>107322.08833613136</v>
      </c>
      <c r="F7" s="102">
        <f>TrRoad_act!F$6</f>
        <v>108359.85149670046</v>
      </c>
      <c r="G7" s="102">
        <f>TrRoad_act!G$6</f>
        <v>107983.11590611744</v>
      </c>
      <c r="H7" s="102">
        <f>TrRoad_act!H$6</f>
        <v>108137.03214573364</v>
      </c>
      <c r="I7" s="102">
        <f>TrRoad_act!I$6</f>
        <v>110238.56590007244</v>
      </c>
      <c r="J7" s="102">
        <f>TrRoad_act!J$6</f>
        <v>109468.45217694035</v>
      </c>
      <c r="K7" s="102">
        <f>TrRoad_act!K$6</f>
        <v>108897.03801054039</v>
      </c>
      <c r="L7" s="102">
        <f>TrRoad_act!L$6</f>
        <v>108012.82861161354</v>
      </c>
      <c r="M7" s="102">
        <f>TrRoad_act!M$6</f>
        <v>109028.98505595721</v>
      </c>
      <c r="N7" s="102">
        <f>TrRoad_act!N$6</f>
        <v>108372.33901934596</v>
      </c>
      <c r="O7" s="102">
        <f>TrRoad_act!O$6</f>
        <v>108205.78822350051</v>
      </c>
      <c r="P7" s="102">
        <f>TrRoad_act!P$6</f>
        <v>110340.47754415158</v>
      </c>
      <c r="Q7" s="102">
        <f>TrRoad_act!Q$6</f>
        <v>111895.51589094302</v>
      </c>
      <c r="R7" s="102">
        <f>TrRoad_act!R$6</f>
        <v>93736</v>
      </c>
      <c r="S7" s="102">
        <f>TrRoad_act!S$6</f>
        <v>95440.999999999985</v>
      </c>
      <c r="T7" s="102">
        <f>TrRoad_act!T$6</f>
        <v>96343.999999999985</v>
      </c>
      <c r="U7" s="102">
        <f>TrRoad_act!U$6</f>
        <v>95621.000000000015</v>
      </c>
      <c r="V7" s="102">
        <f>TrRoad_act!V$6</f>
        <v>90196</v>
      </c>
      <c r="W7" s="102">
        <f>TrRoad_act!W$6</f>
        <v>89451.999999999985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9224</v>
      </c>
      <c r="C8" s="102">
        <f>TrRoad_act!C$13</f>
        <v>9220.0000000000018</v>
      </c>
      <c r="D8" s="102">
        <f>TrRoad_act!D$13</f>
        <v>9306</v>
      </c>
      <c r="E8" s="102">
        <f>TrRoad_act!E$13</f>
        <v>9327</v>
      </c>
      <c r="F8" s="102">
        <f>TrRoad_act!F$13</f>
        <v>9255</v>
      </c>
      <c r="G8" s="102">
        <f>TrRoad_act!G$13</f>
        <v>9254</v>
      </c>
      <c r="H8" s="102">
        <f>TrRoad_act!H$13</f>
        <v>9332</v>
      </c>
      <c r="I8" s="102">
        <f>TrRoad_act!I$13</f>
        <v>9417.9999999999982</v>
      </c>
      <c r="J8" s="102">
        <f>TrRoad_act!J$13</f>
        <v>9167</v>
      </c>
      <c r="K8" s="102">
        <f>TrRoad_act!K$13</f>
        <v>9239</v>
      </c>
      <c r="L8" s="102">
        <f>TrRoad_act!L$13</f>
        <v>9374</v>
      </c>
      <c r="M8" s="102">
        <f>TrRoad_act!M$13</f>
        <v>9647</v>
      </c>
      <c r="N8" s="102">
        <f>TrRoad_act!N$13</f>
        <v>9522.9999999999982</v>
      </c>
      <c r="O8" s="102">
        <f>TrRoad_act!O$13</f>
        <v>9704</v>
      </c>
      <c r="P8" s="102">
        <f>TrRoad_act!P$13</f>
        <v>9693</v>
      </c>
      <c r="Q8" s="102">
        <f>TrRoad_act!Q$13</f>
        <v>9828.2024392401509</v>
      </c>
      <c r="R8" s="102">
        <f>TrRoad_act!R$13</f>
        <v>9852.0000000000018</v>
      </c>
      <c r="S8" s="102">
        <f>TrRoad_act!S$13</f>
        <v>9979</v>
      </c>
      <c r="T8" s="102">
        <f>TrRoad_act!T$13</f>
        <v>9984</v>
      </c>
      <c r="U8" s="102">
        <f>TrRoad_act!U$13</f>
        <v>10061</v>
      </c>
      <c r="V8" s="102">
        <f>TrRoad_act!V$13</f>
        <v>8999.9999999999982</v>
      </c>
      <c r="W8" s="102">
        <f>TrRoad_act!W$13</f>
        <v>8879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10225</v>
      </c>
      <c r="C9" s="110">
        <f t="shared" si="6"/>
        <v>10723</v>
      </c>
      <c r="D9" s="110">
        <f t="shared" si="6"/>
        <v>10867</v>
      </c>
      <c r="E9" s="110">
        <f t="shared" si="6"/>
        <v>10828</v>
      </c>
      <c r="F9" s="110">
        <f t="shared" si="6"/>
        <v>10652</v>
      </c>
      <c r="G9" s="110">
        <f t="shared" si="6"/>
        <v>10924</v>
      </c>
      <c r="H9" s="110">
        <f t="shared" si="6"/>
        <v>11756</v>
      </c>
      <c r="I9" s="110">
        <f t="shared" si="6"/>
        <v>12465</v>
      </c>
      <c r="J9" s="110">
        <f t="shared" si="6"/>
        <v>13385</v>
      </c>
      <c r="K9" s="110">
        <f t="shared" si="6"/>
        <v>13560</v>
      </c>
      <c r="L9" s="110">
        <f t="shared" si="6"/>
        <v>13435</v>
      </c>
      <c r="M9" s="110">
        <f t="shared" si="6"/>
        <v>13719</v>
      </c>
      <c r="N9" s="110">
        <f t="shared" si="6"/>
        <v>14165</v>
      </c>
      <c r="O9" s="110">
        <f t="shared" si="6"/>
        <v>14291</v>
      </c>
      <c r="P9" s="110">
        <f t="shared" si="6"/>
        <v>14564</v>
      </c>
      <c r="Q9" s="110">
        <f t="shared" si="6"/>
        <v>15240.8</v>
      </c>
      <c r="R9" s="110">
        <f t="shared" ref="R9:V9" si="7">R10+R11+R12</f>
        <v>15408</v>
      </c>
      <c r="S9" s="110">
        <f t="shared" si="7"/>
        <v>15978</v>
      </c>
      <c r="T9" s="110">
        <f t="shared" si="7"/>
        <v>16284</v>
      </c>
      <c r="U9" s="110">
        <f t="shared" si="7"/>
        <v>17321</v>
      </c>
      <c r="V9" s="110">
        <f t="shared" si="7"/>
        <v>9817</v>
      </c>
      <c r="W9" s="110">
        <f t="shared" ref="W9" si="8">W10+W11+W12</f>
        <v>9619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1982.0000000000002</v>
      </c>
      <c r="C10" s="102">
        <f>TrRail_act!C$5</f>
        <v>1990.9999999999998</v>
      </c>
      <c r="D10" s="102">
        <f>TrRail_act!D$5</f>
        <v>1993</v>
      </c>
      <c r="E10" s="102">
        <f>TrRail_act!E$5</f>
        <v>1994</v>
      </c>
      <c r="F10" s="102">
        <f>TrRail_act!F$5</f>
        <v>2018.0000000000002</v>
      </c>
      <c r="G10" s="102">
        <f>TrRail_act!G$5</f>
        <v>2013.9999999999998</v>
      </c>
      <c r="H10" s="102">
        <f>TrRail_act!H$5</f>
        <v>2139.0000000000005</v>
      </c>
      <c r="I10" s="102">
        <f>TrRail_act!I$5</f>
        <v>2203.9999999999995</v>
      </c>
      <c r="J10" s="102">
        <f>TrRail_act!J$5</f>
        <v>2239</v>
      </c>
      <c r="K10" s="102">
        <f>TrRail_act!K$5</f>
        <v>2239</v>
      </c>
      <c r="L10" s="102">
        <f>TrRail_act!L$5</f>
        <v>2280.0000000000005</v>
      </c>
      <c r="M10" s="102">
        <f>TrRail_act!M$5</f>
        <v>2340</v>
      </c>
      <c r="N10" s="102">
        <f>TrRail_act!N$5</f>
        <v>2373</v>
      </c>
      <c r="O10" s="102">
        <f>TrRail_act!O$5</f>
        <v>2449</v>
      </c>
      <c r="P10" s="102">
        <f>TrRail_act!P$5</f>
        <v>2443</v>
      </c>
      <c r="Q10" s="102">
        <f>TrRail_act!Q$5</f>
        <v>2499.8000000000002</v>
      </c>
      <c r="R10" s="102">
        <f>TrRail_act!R$5</f>
        <v>2608</v>
      </c>
      <c r="S10" s="102">
        <f>TrRail_act!S$5</f>
        <v>2647.0000000000005</v>
      </c>
      <c r="T10" s="102">
        <f>TrRail_act!T$5</f>
        <v>2737</v>
      </c>
      <c r="U10" s="102">
        <f>TrRail_act!U$5</f>
        <v>2704</v>
      </c>
      <c r="V10" s="102">
        <f>TrRail_act!V$5</f>
        <v>1688</v>
      </c>
      <c r="W10" s="102">
        <f>TrRail_act!W$5</f>
        <v>1592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6196</v>
      </c>
      <c r="C11" s="102">
        <f>TrRail_act!C$6</f>
        <v>6505</v>
      </c>
      <c r="D11" s="102">
        <f>TrRail_act!D$6</f>
        <v>6484</v>
      </c>
      <c r="E11" s="102">
        <f>TrRail_act!E$6</f>
        <v>6434</v>
      </c>
      <c r="F11" s="102">
        <f>TrRail_act!F$6</f>
        <v>6212</v>
      </c>
      <c r="G11" s="102">
        <f>TrRail_act!G$6</f>
        <v>6580</v>
      </c>
      <c r="H11" s="102">
        <f>TrRail_act!H$6</f>
        <v>7127</v>
      </c>
      <c r="I11" s="102">
        <f>TrRail_act!I$6</f>
        <v>7486</v>
      </c>
      <c r="J11" s="102">
        <f>TrRail_act!J$6</f>
        <v>8154</v>
      </c>
      <c r="K11" s="102">
        <f>TrRail_act!K$6</f>
        <v>8271</v>
      </c>
      <c r="L11" s="102">
        <f>TrRail_act!L$6</f>
        <v>8216.5</v>
      </c>
      <c r="M11" s="102">
        <f>TrRail_act!M$6</f>
        <v>8552</v>
      </c>
      <c r="N11" s="102">
        <f>TrRail_act!N$6</f>
        <v>8844</v>
      </c>
      <c r="O11" s="102">
        <f>TrRail_act!O$6</f>
        <v>8787</v>
      </c>
      <c r="P11" s="102">
        <f>TrRail_act!P$6</f>
        <v>8893</v>
      </c>
      <c r="Q11" s="102">
        <f>TrRail_act!Q$6</f>
        <v>9376</v>
      </c>
      <c r="R11" s="102">
        <f>TrRail_act!R$6</f>
        <v>9319</v>
      </c>
      <c r="S11" s="102">
        <f>TrRail_act!S$6</f>
        <v>9727</v>
      </c>
      <c r="T11" s="102">
        <f>TrRail_act!T$6</f>
        <v>10024</v>
      </c>
      <c r="U11" s="102">
        <f>TrRail_act!U$6</f>
        <v>10717</v>
      </c>
      <c r="V11" s="102">
        <f>TrRail_act!V$6</f>
        <v>6331</v>
      </c>
      <c r="W11" s="102">
        <f>TrRail_act!W$6</f>
        <v>6087.9999999999991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2047.0000000000002</v>
      </c>
      <c r="C12" s="102">
        <f>TrRail_act!C$9</f>
        <v>2227</v>
      </c>
      <c r="D12" s="102">
        <f>TrRail_act!D$9</f>
        <v>2390</v>
      </c>
      <c r="E12" s="102">
        <f>TrRail_act!E$9</f>
        <v>2400</v>
      </c>
      <c r="F12" s="102">
        <f>TrRail_act!F$9</f>
        <v>2422</v>
      </c>
      <c r="G12" s="102">
        <f>TrRail_act!G$9</f>
        <v>2330</v>
      </c>
      <c r="H12" s="102">
        <f>TrRail_act!H$9</f>
        <v>2490</v>
      </c>
      <c r="I12" s="102">
        <f>TrRail_act!I$9</f>
        <v>2775</v>
      </c>
      <c r="J12" s="102">
        <f>TrRail_act!J$9</f>
        <v>2992</v>
      </c>
      <c r="K12" s="102">
        <f>TrRail_act!K$9</f>
        <v>3050</v>
      </c>
      <c r="L12" s="102">
        <f>TrRail_act!L$9</f>
        <v>2938.5</v>
      </c>
      <c r="M12" s="102">
        <f>TrRail_act!M$9</f>
        <v>2827</v>
      </c>
      <c r="N12" s="102">
        <f>TrRail_act!N$9</f>
        <v>2948</v>
      </c>
      <c r="O12" s="102">
        <f>TrRail_act!O$9</f>
        <v>3055</v>
      </c>
      <c r="P12" s="102">
        <f>TrRail_act!P$9</f>
        <v>3228</v>
      </c>
      <c r="Q12" s="102">
        <f>TrRail_act!Q$9</f>
        <v>3365</v>
      </c>
      <c r="R12" s="102">
        <f>TrRail_act!R$9</f>
        <v>3481</v>
      </c>
      <c r="S12" s="102">
        <f>TrRail_act!S$9</f>
        <v>3604</v>
      </c>
      <c r="T12" s="102">
        <f>TrRail_act!T$9</f>
        <v>3523</v>
      </c>
      <c r="U12" s="102">
        <f>TrRail_act!U$9</f>
        <v>3900</v>
      </c>
      <c r="V12" s="102">
        <f>TrRail_act!V$9</f>
        <v>1798</v>
      </c>
      <c r="W12" s="102">
        <f>TrRail_act!W$9</f>
        <v>1939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18881.978013330307</v>
      </c>
      <c r="C13" s="110">
        <f t="shared" ref="C13:V13" si="10">C14+C15+C16</f>
        <v>18656.640088193009</v>
      </c>
      <c r="D13" s="110">
        <f t="shared" si="10"/>
        <v>16721.226734537038</v>
      </c>
      <c r="E13" s="110">
        <f t="shared" si="10"/>
        <v>15443.857424672693</v>
      </c>
      <c r="F13" s="110">
        <f t="shared" si="10"/>
        <v>16563.313035395848</v>
      </c>
      <c r="G13" s="110">
        <f t="shared" si="10"/>
        <v>18198.394972989699</v>
      </c>
      <c r="H13" s="110">
        <f t="shared" si="10"/>
        <v>20962.151651952656</v>
      </c>
      <c r="I13" s="110">
        <f t="shared" si="10"/>
        <v>22246.014242286019</v>
      </c>
      <c r="J13" s="110">
        <f t="shared" si="10"/>
        <v>23252.764319460497</v>
      </c>
      <c r="K13" s="110">
        <f t="shared" si="10"/>
        <v>21192.512896973003</v>
      </c>
      <c r="L13" s="110">
        <f t="shared" si="10"/>
        <v>22394.166769689124</v>
      </c>
      <c r="M13" s="110">
        <f t="shared" si="10"/>
        <v>24387.344511486197</v>
      </c>
      <c r="N13" s="110">
        <f t="shared" si="10"/>
        <v>24997.757644202873</v>
      </c>
      <c r="O13" s="110">
        <f t="shared" si="10"/>
        <v>26631.675487884058</v>
      </c>
      <c r="P13" s="110">
        <f t="shared" si="10"/>
        <v>28423.319135818536</v>
      </c>
      <c r="Q13" s="110">
        <f t="shared" si="10"/>
        <v>29190.448933194992</v>
      </c>
      <c r="R13" s="110">
        <f t="shared" si="10"/>
        <v>31065.518652617811</v>
      </c>
      <c r="S13" s="110">
        <f t="shared" si="10"/>
        <v>34199.932888319207</v>
      </c>
      <c r="T13" s="110">
        <f t="shared" si="10"/>
        <v>34834.729531169294</v>
      </c>
      <c r="U13" s="110">
        <f t="shared" si="10"/>
        <v>33002.471952813903</v>
      </c>
      <c r="V13" s="110">
        <f t="shared" si="10"/>
        <v>8063.1215136953624</v>
      </c>
      <c r="W13" s="110">
        <f t="shared" ref="W13" si="11">W14+W15+W16</f>
        <v>9175.2570234501509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3801.1395656481045</v>
      </c>
      <c r="C14" s="102">
        <f>TrAvia_act!C$5</f>
        <v>3807.0084480390524</v>
      </c>
      <c r="D14" s="102">
        <f>TrAvia_act!D$5</f>
        <v>3542.0252043307314</v>
      </c>
      <c r="E14" s="102">
        <f>TrAvia_act!E$5</f>
        <v>3246.0611296523157</v>
      </c>
      <c r="F14" s="102">
        <f>TrAvia_act!F$5</f>
        <v>3330.0776551527547</v>
      </c>
      <c r="G14" s="102">
        <f>TrAvia_act!G$5</f>
        <v>3484.4698847569002</v>
      </c>
      <c r="H14" s="102">
        <f>TrAvia_act!H$5</f>
        <v>3457.456032398532</v>
      </c>
      <c r="I14" s="102">
        <f>TrAvia_act!I$5</f>
        <v>3401.9302261107632</v>
      </c>
      <c r="J14" s="102">
        <f>TrAvia_act!J$5</f>
        <v>3384.3830434114052</v>
      </c>
      <c r="K14" s="102">
        <f>TrAvia_act!K$5</f>
        <v>3040.1297578433364</v>
      </c>
      <c r="L14" s="102">
        <f>TrAvia_act!L$5</f>
        <v>3108.8674286069936</v>
      </c>
      <c r="M14" s="102">
        <f>TrAvia_act!M$5</f>
        <v>3444.8090104102594</v>
      </c>
      <c r="N14" s="102">
        <f>TrAvia_act!N$5</f>
        <v>3624.4654815520753</v>
      </c>
      <c r="O14" s="102">
        <f>TrAvia_act!O$5</f>
        <v>3634.3524236877192</v>
      </c>
      <c r="P14" s="102">
        <f>TrAvia_act!P$5</f>
        <v>3793.6997628960789</v>
      </c>
      <c r="Q14" s="102">
        <f>TrAvia_act!Q$5</f>
        <v>3797.5357989533459</v>
      </c>
      <c r="R14" s="102">
        <f>TrAvia_act!R$5</f>
        <v>3992.3740108359907</v>
      </c>
      <c r="S14" s="102">
        <f>TrAvia_act!S$5</f>
        <v>4107.5734443686033</v>
      </c>
      <c r="T14" s="102">
        <f>TrAvia_act!T$5</f>
        <v>3976.5545698936685</v>
      </c>
      <c r="U14" s="102">
        <f>TrAvia_act!U$5</f>
        <v>3584.2012254829801</v>
      </c>
      <c r="V14" s="102">
        <f>TrAvia_act!V$5</f>
        <v>1093.5281767439519</v>
      </c>
      <c r="W14" s="102">
        <f>TrAvia_act!W$5</f>
        <v>1199.6667969953382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10506.131764784195</v>
      </c>
      <c r="C15" s="102">
        <f>TrAvia_act!C$6</f>
        <v>10641.678828539338</v>
      </c>
      <c r="D15" s="102">
        <f>TrAvia_act!D$6</f>
        <v>9741.7604406373775</v>
      </c>
      <c r="E15" s="102">
        <f>TrAvia_act!E$6</f>
        <v>8803.3294424110336</v>
      </c>
      <c r="F15" s="102">
        <f>TrAvia_act!F$6</f>
        <v>9113.1395334726712</v>
      </c>
      <c r="G15" s="102">
        <f>TrAvia_act!G$6</f>
        <v>9451.4319557715007</v>
      </c>
      <c r="H15" s="102">
        <f>TrAvia_act!H$6</f>
        <v>11704.055773468921</v>
      </c>
      <c r="I15" s="102">
        <f>TrAvia_act!I$6</f>
        <v>11927.556785028786</v>
      </c>
      <c r="J15" s="102">
        <f>TrAvia_act!J$6</f>
        <v>11802.796800067317</v>
      </c>
      <c r="K15" s="102">
        <f>TrAvia_act!K$6</f>
        <v>10531.897855482193</v>
      </c>
      <c r="L15" s="102">
        <f>TrAvia_act!L$6</f>
        <v>11259.410573504512</v>
      </c>
      <c r="M15" s="102">
        <f>TrAvia_act!M$6</f>
        <v>12784.783541355437</v>
      </c>
      <c r="N15" s="102">
        <f>TrAvia_act!N$6</f>
        <v>13187.45477416273</v>
      </c>
      <c r="O15" s="102">
        <f>TrAvia_act!O$6</f>
        <v>14394.010140187951</v>
      </c>
      <c r="P15" s="102">
        <f>TrAvia_act!P$6</f>
        <v>15079.293874122806</v>
      </c>
      <c r="Q15" s="102">
        <f>TrAvia_act!Q$6</f>
        <v>15466.299024961369</v>
      </c>
      <c r="R15" s="102">
        <f>TrAvia_act!R$6</f>
        <v>16972.065220204775</v>
      </c>
      <c r="S15" s="102">
        <f>TrAvia_act!S$6</f>
        <v>19119.028701974086</v>
      </c>
      <c r="T15" s="102">
        <f>TrAvia_act!T$6</f>
        <v>18832.927142829092</v>
      </c>
      <c r="U15" s="102">
        <f>TrAvia_act!U$6</f>
        <v>17953.676583268862</v>
      </c>
      <c r="V15" s="102">
        <f>TrAvia_act!V$6</f>
        <v>4032.3145723331763</v>
      </c>
      <c r="W15" s="102">
        <f>TrAvia_act!W$6</f>
        <v>5392.5128549166284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4574.7066828980069</v>
      </c>
      <c r="C16" s="102">
        <f>TrAvia_act!C$7</f>
        <v>4207.9528116146175</v>
      </c>
      <c r="D16" s="102">
        <f>TrAvia_act!D$7</f>
        <v>3437.4410895689289</v>
      </c>
      <c r="E16" s="102">
        <f>TrAvia_act!E$7</f>
        <v>3394.4668526093446</v>
      </c>
      <c r="F16" s="102">
        <f>TrAvia_act!F$7</f>
        <v>4120.0958467704231</v>
      </c>
      <c r="G16" s="102">
        <f>TrAvia_act!G$7</f>
        <v>5262.493132461299</v>
      </c>
      <c r="H16" s="102">
        <f>TrAvia_act!H$7</f>
        <v>5800.6398460852042</v>
      </c>
      <c r="I16" s="102">
        <f>TrAvia_act!I$7</f>
        <v>6916.5272311464687</v>
      </c>
      <c r="J16" s="102">
        <f>TrAvia_act!J$7</f>
        <v>8065.5844759817755</v>
      </c>
      <c r="K16" s="102">
        <f>TrAvia_act!K$7</f>
        <v>7620.4852836474729</v>
      </c>
      <c r="L16" s="102">
        <f>TrAvia_act!L$7</f>
        <v>8025.8887675776159</v>
      </c>
      <c r="M16" s="102">
        <f>TrAvia_act!M$7</f>
        <v>8157.7519597205001</v>
      </c>
      <c r="N16" s="102">
        <f>TrAvia_act!N$7</f>
        <v>8185.8373884880675</v>
      </c>
      <c r="O16" s="102">
        <f>TrAvia_act!O$7</f>
        <v>8603.312924008389</v>
      </c>
      <c r="P16" s="102">
        <f>TrAvia_act!P$7</f>
        <v>9550.3254987996534</v>
      </c>
      <c r="Q16" s="102">
        <f>TrAvia_act!Q$7</f>
        <v>9926.6141092802754</v>
      </c>
      <c r="R16" s="102">
        <f>TrAvia_act!R$7</f>
        <v>10101.079421577047</v>
      </c>
      <c r="S16" s="102">
        <f>TrAvia_act!S$7</f>
        <v>10973.330741976515</v>
      </c>
      <c r="T16" s="102">
        <f>TrAvia_act!T$7</f>
        <v>12025.247818446534</v>
      </c>
      <c r="U16" s="102">
        <f>TrAvia_act!U$7</f>
        <v>11464.594144062063</v>
      </c>
      <c r="V16" s="102">
        <f>TrAvia_act!V$7</f>
        <v>2937.2787646182342</v>
      </c>
      <c r="W16" s="102">
        <f>TrAvia_act!W$7</f>
        <v>2583.0773715381843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61343.260901765141</v>
      </c>
      <c r="C17" s="28">
        <f t="shared" si="12"/>
        <v>59998.802668572862</v>
      </c>
      <c r="D17" s="28">
        <f t="shared" si="12"/>
        <v>62627.966787596517</v>
      </c>
      <c r="E17" s="28">
        <f t="shared" si="12"/>
        <v>63539.631617677791</v>
      </c>
      <c r="F17" s="28">
        <f t="shared" si="12"/>
        <v>66916.831984707605</v>
      </c>
      <c r="G17" s="28">
        <f t="shared" si="12"/>
        <v>70451.228021461167</v>
      </c>
      <c r="H17" s="28">
        <f t="shared" si="12"/>
        <v>73961.728935117571</v>
      </c>
      <c r="I17" s="28">
        <f t="shared" si="12"/>
        <v>74961.055435816423</v>
      </c>
      <c r="J17" s="28">
        <f t="shared" si="12"/>
        <v>75762.332143389853</v>
      </c>
      <c r="K17" s="28">
        <f t="shared" si="12"/>
        <v>64990.091564632043</v>
      </c>
      <c r="L17" s="28">
        <f t="shared" si="12"/>
        <v>70931.595743463215</v>
      </c>
      <c r="M17" s="28">
        <f t="shared" si="12"/>
        <v>70751.178310797841</v>
      </c>
      <c r="N17" s="28">
        <f t="shared" si="12"/>
        <v>66372.05864456702</v>
      </c>
      <c r="O17" s="28">
        <f t="shared" si="12"/>
        <v>67205.147959300535</v>
      </c>
      <c r="P17" s="28">
        <f t="shared" si="12"/>
        <v>75069.952097390807</v>
      </c>
      <c r="Q17" s="28">
        <f t="shared" si="12"/>
        <v>75057.796100288455</v>
      </c>
      <c r="R17" s="28">
        <f t="shared" ref="R17:V17" si="13">R18+R21+R22+R26</f>
        <v>77682.190294401647</v>
      </c>
      <c r="S17" s="28">
        <f t="shared" si="13"/>
        <v>77817.746779343404</v>
      </c>
      <c r="T17" s="28">
        <f t="shared" si="13"/>
        <v>81367.490080656993</v>
      </c>
      <c r="U17" s="28">
        <f t="shared" si="13"/>
        <v>79269.642524718307</v>
      </c>
      <c r="V17" s="28">
        <f t="shared" si="13"/>
        <v>80006.183928252096</v>
      </c>
      <c r="W17" s="28">
        <f t="shared" ref="W17" si="14">W18+W21+W22+W26</f>
        <v>87465.825738546526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39668.043158322071</v>
      </c>
      <c r="C18" s="137">
        <f t="shared" si="15"/>
        <v>38848.677455927704</v>
      </c>
      <c r="D18" s="137">
        <f t="shared" si="15"/>
        <v>41274.510187645559</v>
      </c>
      <c r="E18" s="137">
        <f t="shared" si="15"/>
        <v>41127.164836564545</v>
      </c>
      <c r="F18" s="137">
        <f t="shared" si="15"/>
        <v>43855.448629221166</v>
      </c>
      <c r="G18" s="137">
        <f t="shared" si="15"/>
        <v>46194.539947213569</v>
      </c>
      <c r="H18" s="137">
        <f t="shared" si="15"/>
        <v>47956.882180056848</v>
      </c>
      <c r="I18" s="137">
        <f t="shared" si="15"/>
        <v>49170.609261028323</v>
      </c>
      <c r="J18" s="137">
        <f t="shared" si="15"/>
        <v>50171.087353127448</v>
      </c>
      <c r="K18" s="137">
        <f t="shared" si="15"/>
        <v>42075.953017338128</v>
      </c>
      <c r="L18" s="137">
        <f t="shared" si="15"/>
        <v>43813.836551077366</v>
      </c>
      <c r="M18" s="137">
        <f t="shared" si="15"/>
        <v>44333.919228941319</v>
      </c>
      <c r="N18" s="137">
        <f t="shared" si="15"/>
        <v>41042.659222601345</v>
      </c>
      <c r="O18" s="137">
        <f t="shared" si="15"/>
        <v>42704.935908143321</v>
      </c>
      <c r="P18" s="137">
        <f t="shared" si="15"/>
        <v>50366.708256273792</v>
      </c>
      <c r="Q18" s="137">
        <f t="shared" si="15"/>
        <v>51039.585208243268</v>
      </c>
      <c r="R18" s="137">
        <f t="shared" ref="R18:V18" si="16">R19+R20</f>
        <v>52934.444447727903</v>
      </c>
      <c r="S18" s="137">
        <f t="shared" si="16"/>
        <v>52254.462204973046</v>
      </c>
      <c r="T18" s="137">
        <f t="shared" si="16"/>
        <v>54649.411334092751</v>
      </c>
      <c r="U18" s="137">
        <f t="shared" si="16"/>
        <v>53342.573116951484</v>
      </c>
      <c r="V18" s="137">
        <f t="shared" si="16"/>
        <v>54181.801781270224</v>
      </c>
      <c r="W18" s="137">
        <f t="shared" ref="W18" si="17">W19+W20</f>
        <v>59593.523062748332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697.70023024089778</v>
      </c>
      <c r="C19" s="102">
        <f>TrRoad_act!C$20</f>
        <v>827.56357150300005</v>
      </c>
      <c r="D19" s="102">
        <f>TrRoad_act!D$20</f>
        <v>909.59824066516364</v>
      </c>
      <c r="E19" s="102">
        <f>TrRoad_act!E$20</f>
        <v>994.07814219835132</v>
      </c>
      <c r="F19" s="102">
        <f>TrRoad_act!F$20</f>
        <v>1106.3056422552168</v>
      </c>
      <c r="G19" s="102">
        <f>TrRoad_act!G$20</f>
        <v>1079.2220296018368</v>
      </c>
      <c r="H19" s="102">
        <f>TrRoad_act!H$20</f>
        <v>1168.4077179453104</v>
      </c>
      <c r="I19" s="102">
        <f>TrRoad_act!I$20</f>
        <v>1235.4986912314348</v>
      </c>
      <c r="J19" s="102">
        <f>TrRoad_act!J$20</f>
        <v>1274.234465818249</v>
      </c>
      <c r="K19" s="102">
        <f>TrRoad_act!K$20</f>
        <v>1288.9071229423187</v>
      </c>
      <c r="L19" s="102">
        <f>TrRoad_act!L$20</f>
        <v>1364.8268018523415</v>
      </c>
      <c r="M19" s="102">
        <f>TrRoad_act!M$20</f>
        <v>1430.2953759057552</v>
      </c>
      <c r="N19" s="102">
        <f>TrRoad_act!N$20</f>
        <v>1450.0706317021795</v>
      </c>
      <c r="O19" s="102">
        <f>TrRoad_act!O$20</f>
        <v>1488.8216253631367</v>
      </c>
      <c r="P19" s="102">
        <f>TrRoad_act!P$20</f>
        <v>1540.8419659307272</v>
      </c>
      <c r="Q19" s="102">
        <f>TrRoad_act!Q$20</f>
        <v>1632.3704047563263</v>
      </c>
      <c r="R19" s="102">
        <f>TrRoad_act!R$20</f>
        <v>1687.7690137413986</v>
      </c>
      <c r="S19" s="102">
        <f>TrRoad_act!S$20</f>
        <v>1810.9016871924612</v>
      </c>
      <c r="T19" s="102">
        <f>TrRoad_act!T$20</f>
        <v>1807.411334092754</v>
      </c>
      <c r="U19" s="102">
        <f>TrRoad_act!U$20</f>
        <v>1838.5731169514809</v>
      </c>
      <c r="V19" s="102">
        <f>TrRoad_act!V$20</f>
        <v>1860.8017812702265</v>
      </c>
      <c r="W19" s="102">
        <f>TrRoad_act!W$20</f>
        <v>1900.5230627483336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38970.342928081176</v>
      </c>
      <c r="C20" s="102">
        <f>TrRoad_act!C$26</f>
        <v>38021.113884424703</v>
      </c>
      <c r="D20" s="102">
        <f>TrRoad_act!D$26</f>
        <v>40364.911946980399</v>
      </c>
      <c r="E20" s="102">
        <f>TrRoad_act!E$26</f>
        <v>40133.086694366197</v>
      </c>
      <c r="F20" s="102">
        <f>TrRoad_act!F$26</f>
        <v>42749.142986965948</v>
      </c>
      <c r="G20" s="102">
        <f>TrRoad_act!G$26</f>
        <v>45115.317917611734</v>
      </c>
      <c r="H20" s="102">
        <f>TrRoad_act!H$26</f>
        <v>46788.474462111539</v>
      </c>
      <c r="I20" s="102">
        <f>TrRoad_act!I$26</f>
        <v>47935.110569796889</v>
      </c>
      <c r="J20" s="102">
        <f>TrRoad_act!J$26</f>
        <v>48896.8528873092</v>
      </c>
      <c r="K20" s="102">
        <f>TrRoad_act!K$26</f>
        <v>40787.045894395807</v>
      </c>
      <c r="L20" s="102">
        <f>TrRoad_act!L$26</f>
        <v>42449.009749225021</v>
      </c>
      <c r="M20" s="102">
        <f>TrRoad_act!M$26</f>
        <v>42903.623853035562</v>
      </c>
      <c r="N20" s="102">
        <f>TrRoad_act!N$26</f>
        <v>39592.588590899162</v>
      </c>
      <c r="O20" s="102">
        <f>TrRoad_act!O$26</f>
        <v>41216.114282780181</v>
      </c>
      <c r="P20" s="102">
        <f>TrRoad_act!P$26</f>
        <v>48825.866290343067</v>
      </c>
      <c r="Q20" s="102">
        <f>TrRoad_act!Q$26</f>
        <v>49407.214803486939</v>
      </c>
      <c r="R20" s="102">
        <f>TrRoad_act!R$26</f>
        <v>51246.675433986507</v>
      </c>
      <c r="S20" s="102">
        <f>TrRoad_act!S$26</f>
        <v>50443.560517780585</v>
      </c>
      <c r="T20" s="102">
        <f>TrRoad_act!T$26</f>
        <v>52842</v>
      </c>
      <c r="U20" s="102">
        <f>TrRoad_act!U$26</f>
        <v>51504</v>
      </c>
      <c r="V20" s="102">
        <f>TrRoad_act!V$26</f>
        <v>52321</v>
      </c>
      <c r="W20" s="102">
        <f>TrRoad_act!W$26</f>
        <v>57693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19475</v>
      </c>
      <c r="C21" s="110">
        <f>TrRail_act!C$10</f>
        <v>18954</v>
      </c>
      <c r="D21" s="110">
        <f>TrRail_act!D$10</f>
        <v>19197</v>
      </c>
      <c r="E21" s="110">
        <f>TrRail_act!E$10</f>
        <v>20170</v>
      </c>
      <c r="F21" s="110">
        <f>TrRail_act!F$10</f>
        <v>20856</v>
      </c>
      <c r="G21" s="110">
        <f>TrRail_act!G$10</f>
        <v>21675</v>
      </c>
      <c r="H21" s="110">
        <f>TrRail_act!H$10</f>
        <v>22271</v>
      </c>
      <c r="I21" s="110">
        <f>TrRail_act!I$10</f>
        <v>23250</v>
      </c>
      <c r="J21" s="110">
        <f>TrRail_act!J$10</f>
        <v>22924</v>
      </c>
      <c r="K21" s="110">
        <f>TrRail_act!K$10</f>
        <v>20389</v>
      </c>
      <c r="L21" s="110">
        <f>TrRail_act!L$10</f>
        <v>23464</v>
      </c>
      <c r="M21" s="110">
        <f>TrRail_act!M$10</f>
        <v>22864</v>
      </c>
      <c r="N21" s="110">
        <f>TrRail_act!N$10</f>
        <v>22043</v>
      </c>
      <c r="O21" s="110">
        <f>TrRail_act!O$10</f>
        <v>20970</v>
      </c>
      <c r="P21" s="110">
        <f>TrRail_act!P$10</f>
        <v>21296</v>
      </c>
      <c r="Q21" s="110">
        <f>TrRail_act!Q$10</f>
        <v>20699</v>
      </c>
      <c r="R21" s="110">
        <f>TrRail_act!R$10</f>
        <v>21406</v>
      </c>
      <c r="S21" s="110">
        <f>TrRail_act!S$10</f>
        <v>21838</v>
      </c>
      <c r="T21" s="110">
        <f>TrRail_act!T$10</f>
        <v>22794</v>
      </c>
      <c r="U21" s="110">
        <f>TrRail_act!U$10</f>
        <v>22222</v>
      </c>
      <c r="V21" s="110">
        <f>TrRail_act!V$10</f>
        <v>22094</v>
      </c>
      <c r="W21" s="110">
        <f>TrRail_act!W$10</f>
        <v>23449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124.31174344306478</v>
      </c>
      <c r="C22" s="110">
        <f t="shared" ref="C22:V22" si="19">C23+C24+C25</f>
        <v>159.76021264516322</v>
      </c>
      <c r="D22" s="110">
        <f t="shared" si="19"/>
        <v>200.32859995096277</v>
      </c>
      <c r="E22" s="110">
        <f t="shared" si="19"/>
        <v>244.85678111324629</v>
      </c>
      <c r="F22" s="110">
        <f t="shared" si="19"/>
        <v>272.02435548643535</v>
      </c>
      <c r="G22" s="110">
        <f t="shared" si="19"/>
        <v>343.25507424758814</v>
      </c>
      <c r="H22" s="110">
        <f t="shared" si="19"/>
        <v>372.00375506072464</v>
      </c>
      <c r="I22" s="110">
        <f t="shared" si="19"/>
        <v>412.97617478809468</v>
      </c>
      <c r="J22" s="110">
        <f t="shared" si="19"/>
        <v>434.88279026239672</v>
      </c>
      <c r="K22" s="110">
        <f t="shared" si="19"/>
        <v>351.36554729391253</v>
      </c>
      <c r="L22" s="110">
        <f t="shared" si="19"/>
        <v>416.16419238583774</v>
      </c>
      <c r="M22" s="110">
        <f t="shared" si="19"/>
        <v>374.89208185652961</v>
      </c>
      <c r="N22" s="110">
        <f t="shared" si="19"/>
        <v>322.78442196567732</v>
      </c>
      <c r="O22" s="110">
        <f t="shared" si="19"/>
        <v>238.00505115721788</v>
      </c>
      <c r="P22" s="110">
        <f t="shared" si="19"/>
        <v>242.46184111700322</v>
      </c>
      <c r="Q22" s="110">
        <f t="shared" si="19"/>
        <v>224.73989204517639</v>
      </c>
      <c r="R22" s="110">
        <f t="shared" si="19"/>
        <v>201.24284667374832</v>
      </c>
      <c r="S22" s="110">
        <f t="shared" si="19"/>
        <v>182.54557437035737</v>
      </c>
      <c r="T22" s="110">
        <f t="shared" si="19"/>
        <v>161.04574656423239</v>
      </c>
      <c r="U22" s="110">
        <f t="shared" si="19"/>
        <v>141.00240776682875</v>
      </c>
      <c r="V22" s="110">
        <f t="shared" si="19"/>
        <v>98.108146981881404</v>
      </c>
      <c r="W22" s="110">
        <f t="shared" ref="W22" si="20">W23+W24+W25</f>
        <v>94.721675798176875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2.973075840622637</v>
      </c>
      <c r="C23" s="102">
        <f>TrAvia_act!C$9</f>
        <v>2.4351928251593598</v>
      </c>
      <c r="D23" s="102">
        <f>TrAvia_act!D$9</f>
        <v>3.1416070287933002</v>
      </c>
      <c r="E23" s="102">
        <f>TrAvia_act!E$9</f>
        <v>3.6895052501774561</v>
      </c>
      <c r="F23" s="102">
        <f>TrAvia_act!F$9</f>
        <v>5.397943877936128</v>
      </c>
      <c r="G23" s="102">
        <f>TrAvia_act!G$9</f>
        <v>5.697498867209382</v>
      </c>
      <c r="H23" s="102">
        <f>TrAvia_act!H$9</f>
        <v>6.7308455599436021</v>
      </c>
      <c r="I23" s="102">
        <f>TrAvia_act!I$9</f>
        <v>7.9912213432665604</v>
      </c>
      <c r="J23" s="102">
        <f>TrAvia_act!J$9</f>
        <v>8.4200391996009429</v>
      </c>
      <c r="K23" s="102">
        <f>TrAvia_act!K$9</f>
        <v>6.9948279733431207</v>
      </c>
      <c r="L23" s="102">
        <f>TrAvia_act!L$9</f>
        <v>6.3891537567847818</v>
      </c>
      <c r="M23" s="102">
        <f>TrAvia_act!M$9</f>
        <v>5.9992877182148616</v>
      </c>
      <c r="N23" s="102">
        <f>TrAvia_act!N$9</f>
        <v>6.1546172223842497</v>
      </c>
      <c r="O23" s="102">
        <f>TrAvia_act!O$9</f>
        <v>5.9825584567055357</v>
      </c>
      <c r="P23" s="102">
        <f>TrAvia_act!P$9</f>
        <v>6.1866942577669555</v>
      </c>
      <c r="Q23" s="102">
        <f>TrAvia_act!Q$9</f>
        <v>5.9938626751592858</v>
      </c>
      <c r="R23" s="102">
        <f>TrAvia_act!R$9</f>
        <v>5.9307335432903097</v>
      </c>
      <c r="S23" s="102">
        <f>TrAvia_act!S$9</f>
        <v>5.943066496504219</v>
      </c>
      <c r="T23" s="102">
        <f>TrAvia_act!T$9</f>
        <v>4.5222554208574088</v>
      </c>
      <c r="U23" s="102">
        <f>TrAvia_act!U$9</f>
        <v>3.1147036369635877</v>
      </c>
      <c r="V23" s="102">
        <f>TrAvia_act!V$9</f>
        <v>2.170834409141523</v>
      </c>
      <c r="W23" s="102">
        <f>TrAvia_act!W$9</f>
        <v>2.8333343888505693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24.854296605725914</v>
      </c>
      <c r="C24" s="102">
        <f>TrAvia_act!C$10</f>
        <v>21.673046862039634</v>
      </c>
      <c r="D24" s="102">
        <f>TrAvia_act!D$10</f>
        <v>26.370071394487752</v>
      </c>
      <c r="E24" s="102">
        <f>TrAvia_act!E$10</f>
        <v>30.166543142849989</v>
      </c>
      <c r="F24" s="102">
        <f>TrAvia_act!F$10</f>
        <v>36.803725387743732</v>
      </c>
      <c r="G24" s="102">
        <f>TrAvia_act!G$10</f>
        <v>39.099638352805378</v>
      </c>
      <c r="H24" s="102">
        <f>TrAvia_act!H$10</f>
        <v>44.225854588794739</v>
      </c>
      <c r="I24" s="102">
        <f>TrAvia_act!I$10</f>
        <v>52.249281032758908</v>
      </c>
      <c r="J24" s="102">
        <f>TrAvia_act!J$10</f>
        <v>52.688755944518419</v>
      </c>
      <c r="K24" s="102">
        <f>TrAvia_act!K$10</f>
        <v>42.486914938445501</v>
      </c>
      <c r="L24" s="102">
        <f>TrAvia_act!L$10</f>
        <v>47.130322686969429</v>
      </c>
      <c r="M24" s="102">
        <f>TrAvia_act!M$10</f>
        <v>37.115328219480801</v>
      </c>
      <c r="N24" s="102">
        <f>TrAvia_act!N$10</f>
        <v>33.760274515822687</v>
      </c>
      <c r="O24" s="102">
        <f>TrAvia_act!O$10</f>
        <v>32.655851977048286</v>
      </c>
      <c r="P24" s="102">
        <f>TrAvia_act!P$10</f>
        <v>36.145249807991412</v>
      </c>
      <c r="Q24" s="102">
        <f>TrAvia_act!Q$10</f>
        <v>35.90787152376685</v>
      </c>
      <c r="R24" s="102">
        <f>TrAvia_act!R$10</f>
        <v>34.429763275750254</v>
      </c>
      <c r="S24" s="102">
        <f>TrAvia_act!S$10</f>
        <v>36.102250731619456</v>
      </c>
      <c r="T24" s="102">
        <f>TrAvia_act!T$10</f>
        <v>36.964380348489492</v>
      </c>
      <c r="U24" s="102">
        <f>TrAvia_act!U$10</f>
        <v>60.752651012876136</v>
      </c>
      <c r="V24" s="102">
        <f>TrAvia_act!V$10</f>
        <v>46.074330774966953</v>
      </c>
      <c r="W24" s="102">
        <f>TrAvia_act!W$10</f>
        <v>52.574050517993015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96.484370996716237</v>
      </c>
      <c r="C25" s="102">
        <f>TrAvia_act!C$11</f>
        <v>135.65197295796423</v>
      </c>
      <c r="D25" s="102">
        <f>TrAvia_act!D$11</f>
        <v>170.81692152768173</v>
      </c>
      <c r="E25" s="102">
        <f>TrAvia_act!E$11</f>
        <v>211.00073272021885</v>
      </c>
      <c r="F25" s="102">
        <f>TrAvia_act!F$11</f>
        <v>229.82268622075549</v>
      </c>
      <c r="G25" s="102">
        <f>TrAvia_act!G$11</f>
        <v>298.45793702757339</v>
      </c>
      <c r="H25" s="102">
        <f>TrAvia_act!H$11</f>
        <v>321.04705491198632</v>
      </c>
      <c r="I25" s="102">
        <f>TrAvia_act!I$11</f>
        <v>352.73567241206922</v>
      </c>
      <c r="J25" s="102">
        <f>TrAvia_act!J$11</f>
        <v>373.77399511827736</v>
      </c>
      <c r="K25" s="102">
        <f>TrAvia_act!K$11</f>
        <v>301.88380438212391</v>
      </c>
      <c r="L25" s="102">
        <f>TrAvia_act!L$11</f>
        <v>362.64471594208351</v>
      </c>
      <c r="M25" s="102">
        <f>TrAvia_act!M$11</f>
        <v>331.77746591883397</v>
      </c>
      <c r="N25" s="102">
        <f>TrAvia_act!N$11</f>
        <v>282.86953022747042</v>
      </c>
      <c r="O25" s="102">
        <f>TrAvia_act!O$11</f>
        <v>199.36664072346406</v>
      </c>
      <c r="P25" s="102">
        <f>TrAvia_act!P$11</f>
        <v>200.12989705124485</v>
      </c>
      <c r="Q25" s="102">
        <f>TrAvia_act!Q$11</f>
        <v>182.83815784625025</v>
      </c>
      <c r="R25" s="102">
        <f>TrAvia_act!R$11</f>
        <v>160.88234985470777</v>
      </c>
      <c r="S25" s="102">
        <f>TrAvia_act!S$11</f>
        <v>140.50025714223369</v>
      </c>
      <c r="T25" s="102">
        <f>TrAvia_act!T$11</f>
        <v>119.55911079488547</v>
      </c>
      <c r="U25" s="102">
        <f>TrAvia_act!U$11</f>
        <v>77.135053116989013</v>
      </c>
      <c r="V25" s="102">
        <f>TrAvia_act!V$11</f>
        <v>49.862981797772932</v>
      </c>
      <c r="W25" s="102">
        <f>TrAvia_act!W$11</f>
        <v>39.314290891333286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2075.9059999999999</v>
      </c>
      <c r="C26" s="110">
        <f t="shared" si="21"/>
        <v>2036.365</v>
      </c>
      <c r="D26" s="110">
        <f t="shared" si="21"/>
        <v>1956.1279999999999</v>
      </c>
      <c r="E26" s="110">
        <f t="shared" si="21"/>
        <v>1997.61</v>
      </c>
      <c r="F26" s="110">
        <f t="shared" si="21"/>
        <v>1933.3589999999999</v>
      </c>
      <c r="G26" s="110">
        <f t="shared" si="21"/>
        <v>2238.433</v>
      </c>
      <c r="H26" s="110">
        <f t="shared" si="21"/>
        <v>3361.8429999999998</v>
      </c>
      <c r="I26" s="110">
        <f t="shared" si="21"/>
        <v>2127.4699999999998</v>
      </c>
      <c r="J26" s="110">
        <f t="shared" si="21"/>
        <v>2232.3620000000001</v>
      </c>
      <c r="K26" s="110">
        <f t="shared" si="21"/>
        <v>2173.7730000000001</v>
      </c>
      <c r="L26" s="110">
        <f t="shared" si="21"/>
        <v>3237.5949999999998</v>
      </c>
      <c r="M26" s="110">
        <f t="shared" si="21"/>
        <v>3178.3670000000002</v>
      </c>
      <c r="N26" s="110">
        <f t="shared" si="21"/>
        <v>2963.6149999999998</v>
      </c>
      <c r="O26" s="110">
        <f t="shared" si="21"/>
        <v>3292.2069999999999</v>
      </c>
      <c r="P26" s="110">
        <f t="shared" si="21"/>
        <v>3164.7820000000002</v>
      </c>
      <c r="Q26" s="110">
        <f t="shared" si="21"/>
        <v>3094.471</v>
      </c>
      <c r="R26" s="110">
        <f t="shared" ref="R26:V26" si="22">R27+R28</f>
        <v>3140.5030000000002</v>
      </c>
      <c r="S26" s="110">
        <f t="shared" si="22"/>
        <v>3542.739</v>
      </c>
      <c r="T26" s="110">
        <f t="shared" si="22"/>
        <v>3763.0329999999999</v>
      </c>
      <c r="U26" s="110">
        <f t="shared" si="22"/>
        <v>3564.067</v>
      </c>
      <c r="V26" s="110">
        <f t="shared" si="22"/>
        <v>3632.2739999999999</v>
      </c>
      <c r="W26" s="110">
        <f t="shared" ref="W26" si="23">W27+W28</f>
        <v>4328.5810000000001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2075.9059999999999</v>
      </c>
      <c r="C27" s="102">
        <f>TrNavi_act!C4</f>
        <v>2036.365</v>
      </c>
      <c r="D27" s="102">
        <f>TrNavi_act!D4</f>
        <v>1956.1279999999999</v>
      </c>
      <c r="E27" s="102">
        <f>TrNavi_act!E4</f>
        <v>1997.61</v>
      </c>
      <c r="F27" s="102">
        <f>TrNavi_act!F4</f>
        <v>1933.3589999999999</v>
      </c>
      <c r="G27" s="102">
        <f>TrNavi_act!G4</f>
        <v>2238.433</v>
      </c>
      <c r="H27" s="102">
        <f>TrNavi_act!H4</f>
        <v>3361.8429999999998</v>
      </c>
      <c r="I27" s="102">
        <f>TrNavi_act!I4</f>
        <v>2127.4699999999998</v>
      </c>
      <c r="J27" s="102">
        <f>TrNavi_act!J4</f>
        <v>2232.3620000000001</v>
      </c>
      <c r="K27" s="102">
        <f>TrNavi_act!K4</f>
        <v>2173.7730000000001</v>
      </c>
      <c r="L27" s="102">
        <f>TrNavi_act!L4</f>
        <v>3237.5949999999998</v>
      </c>
      <c r="M27" s="102">
        <f>TrNavi_act!M4</f>
        <v>3178.3670000000002</v>
      </c>
      <c r="N27" s="102">
        <f>TrNavi_act!N4</f>
        <v>2963.6149999999998</v>
      </c>
      <c r="O27" s="102">
        <f>TrNavi_act!O4</f>
        <v>3292.2069999999999</v>
      </c>
      <c r="P27" s="102">
        <f>TrNavi_act!P4</f>
        <v>3164.7820000000002</v>
      </c>
      <c r="Q27" s="102">
        <f>TrNavi_act!Q4</f>
        <v>3094.471</v>
      </c>
      <c r="R27" s="102">
        <f>TrNavi_act!R4</f>
        <v>3124.5030000000002</v>
      </c>
      <c r="S27" s="102">
        <f>TrNavi_act!S4</f>
        <v>3537.739</v>
      </c>
      <c r="T27" s="102">
        <f>TrNavi_act!T4</f>
        <v>3720.0329999999999</v>
      </c>
      <c r="U27" s="102">
        <f>TrNavi_act!U4</f>
        <v>3515.067</v>
      </c>
      <c r="V27" s="102">
        <f>TrNavi_act!V4</f>
        <v>3553.2739999999999</v>
      </c>
      <c r="W27" s="102">
        <f>TrNavi_act!W4</f>
        <v>4186.5810000000001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16</v>
      </c>
      <c r="S28" s="169">
        <f>TrNavi_act!S5</f>
        <v>5</v>
      </c>
      <c r="T28" s="169">
        <f>TrNavi_act!T5</f>
        <v>43</v>
      </c>
      <c r="U28" s="169">
        <f>TrNavi_act!U5</f>
        <v>49</v>
      </c>
      <c r="V28" s="169">
        <f>TrNavi_act!V5</f>
        <v>79</v>
      </c>
      <c r="W28" s="169">
        <f>TrNavi_act!W5</f>
        <v>142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89816.344649000006</v>
      </c>
      <c r="C29" s="28">
        <f t="shared" si="24"/>
        <v>87235.793468000003</v>
      </c>
      <c r="D29" s="28">
        <f t="shared" si="24"/>
        <v>90113.444034999993</v>
      </c>
      <c r="E29" s="28">
        <f t="shared" si="24"/>
        <v>93056.359414000006</v>
      </c>
      <c r="F29" s="28">
        <f t="shared" si="24"/>
        <v>94731.369028999994</v>
      </c>
      <c r="G29" s="28">
        <f t="shared" si="24"/>
        <v>107572.43254099999</v>
      </c>
      <c r="H29" s="28">
        <f t="shared" si="24"/>
        <v>101158.43492</v>
      </c>
      <c r="I29" s="28">
        <f t="shared" si="24"/>
        <v>101381.31027799999</v>
      </c>
      <c r="J29" s="28">
        <f t="shared" si="24"/>
        <v>111220.82791299999</v>
      </c>
      <c r="K29" s="28">
        <f t="shared" si="24"/>
        <v>96066.949261000002</v>
      </c>
      <c r="L29" s="28">
        <f t="shared" si="24"/>
        <v>118202.346622</v>
      </c>
      <c r="M29" s="28">
        <f t="shared" si="24"/>
        <v>106437.979131</v>
      </c>
      <c r="N29" s="28">
        <f t="shared" si="24"/>
        <v>99053.801480000009</v>
      </c>
      <c r="O29" s="28">
        <f t="shared" si="24"/>
        <v>105367.96379600001</v>
      </c>
      <c r="P29" s="28">
        <f t="shared" si="24"/>
        <v>114924.18195299999</v>
      </c>
      <c r="Q29" s="28">
        <f t="shared" si="24"/>
        <v>119470.392659</v>
      </c>
      <c r="R29" s="28">
        <f t="shared" si="24"/>
        <v>117291.07980000001</v>
      </c>
      <c r="S29" s="28">
        <f t="shared" si="24"/>
        <v>104643.24972399999</v>
      </c>
      <c r="T29" s="28">
        <f t="shared" si="24"/>
        <v>101399.28187899999</v>
      </c>
      <c r="U29" s="28">
        <f t="shared" si="24"/>
        <v>104961.11478</v>
      </c>
      <c r="V29" s="28">
        <f t="shared" si="24"/>
        <v>110212.08341799999</v>
      </c>
      <c r="W29" s="28">
        <f t="shared" si="24"/>
        <v>91397.873068000001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39462.719531000002</v>
      </c>
      <c r="C30" s="102">
        <f>MBunk_act!C$4</f>
        <v>36394.281114000005</v>
      </c>
      <c r="D30" s="102">
        <f>MBunk_act!D$4</f>
        <v>38799.212320999999</v>
      </c>
      <c r="E30" s="102">
        <f>MBunk_act!E$4</f>
        <v>40164.920035999996</v>
      </c>
      <c r="F30" s="102">
        <f>MBunk_act!F$4</f>
        <v>42387.706074000002</v>
      </c>
      <c r="G30" s="102">
        <f>MBunk_act!G$4</f>
        <v>44408.550412999997</v>
      </c>
      <c r="H30" s="102">
        <f>MBunk_act!H$4</f>
        <v>44184.977018999998</v>
      </c>
      <c r="I30" s="102">
        <f>MBunk_act!I$4</f>
        <v>46832.666888</v>
      </c>
      <c r="J30" s="102">
        <f>MBunk_act!J$4</f>
        <v>48780.631793999994</v>
      </c>
      <c r="K30" s="102">
        <f>MBunk_act!K$4</f>
        <v>43067.462741999996</v>
      </c>
      <c r="L30" s="102">
        <f>MBunk_act!L$4</f>
        <v>47698.706839999999</v>
      </c>
      <c r="M30" s="102">
        <f>MBunk_act!M$4</f>
        <v>47464.70263</v>
      </c>
      <c r="N30" s="102">
        <f>MBunk_act!N$4</f>
        <v>43223.329148000004</v>
      </c>
      <c r="O30" s="102">
        <f>MBunk_act!O$4</f>
        <v>47094.360276000007</v>
      </c>
      <c r="P30" s="102">
        <f>MBunk_act!P$4</f>
        <v>47241.184694999996</v>
      </c>
      <c r="Q30" s="102">
        <f>MBunk_act!Q$4</f>
        <v>46558.083744000003</v>
      </c>
      <c r="R30" s="102">
        <f>MBunk_act!R$4</f>
        <v>49288.407225000003</v>
      </c>
      <c r="S30" s="102">
        <f>MBunk_act!S$4</f>
        <v>49971.718003999995</v>
      </c>
      <c r="T30" s="102">
        <f>MBunk_act!T$4</f>
        <v>50311.995518999996</v>
      </c>
      <c r="U30" s="102">
        <f>MBunk_act!U$4</f>
        <v>49685.261286000001</v>
      </c>
      <c r="V30" s="102">
        <f>MBunk_act!V$4</f>
        <v>49822.493647999996</v>
      </c>
      <c r="W30" s="102">
        <f>MBunk_act!W$4</f>
        <v>50350.223901999998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50353.625117999996</v>
      </c>
      <c r="C31" s="86">
        <f>MBunk_act!C$5</f>
        <v>50841.512353999999</v>
      </c>
      <c r="D31" s="86">
        <f>MBunk_act!D$5</f>
        <v>51314.231714000001</v>
      </c>
      <c r="E31" s="86">
        <f>MBunk_act!E$5</f>
        <v>52891.439378000003</v>
      </c>
      <c r="F31" s="86">
        <f>MBunk_act!F$5</f>
        <v>52343.662955</v>
      </c>
      <c r="G31" s="86">
        <f>MBunk_act!G$5</f>
        <v>63163.882127999997</v>
      </c>
      <c r="H31" s="86">
        <f>MBunk_act!H$5</f>
        <v>56973.457901000002</v>
      </c>
      <c r="I31" s="86">
        <f>MBunk_act!I$5</f>
        <v>54548.643389999997</v>
      </c>
      <c r="J31" s="86">
        <f>MBunk_act!J$5</f>
        <v>62440.196119</v>
      </c>
      <c r="K31" s="86">
        <f>MBunk_act!K$5</f>
        <v>52999.486518999998</v>
      </c>
      <c r="L31" s="86">
        <f>MBunk_act!L$5</f>
        <v>70503.639781999998</v>
      </c>
      <c r="M31" s="86">
        <f>MBunk_act!M$5</f>
        <v>58973.276501</v>
      </c>
      <c r="N31" s="86">
        <f>MBunk_act!N$5</f>
        <v>55830.472332000005</v>
      </c>
      <c r="O31" s="86">
        <f>MBunk_act!O$5</f>
        <v>58273.603520000004</v>
      </c>
      <c r="P31" s="86">
        <f>MBunk_act!P$5</f>
        <v>67682.997258000003</v>
      </c>
      <c r="Q31" s="86">
        <f>MBunk_act!Q$5</f>
        <v>72912.308915000001</v>
      </c>
      <c r="R31" s="86">
        <f>MBunk_act!R$5</f>
        <v>68002.672575000004</v>
      </c>
      <c r="S31" s="86">
        <f>MBunk_act!S$5</f>
        <v>54671.531719999999</v>
      </c>
      <c r="T31" s="86">
        <f>MBunk_act!T$5</f>
        <v>51087.286359999998</v>
      </c>
      <c r="U31" s="86">
        <f>MBunk_act!U$5</f>
        <v>55275.853493999995</v>
      </c>
      <c r="V31" s="86">
        <f>MBunk_act!V$5</f>
        <v>60389.589769999999</v>
      </c>
      <c r="W31" s="86">
        <f>MBunk_act!W$5</f>
        <v>41047.649166000003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6206.7975340545845</v>
      </c>
      <c r="C34" s="28">
        <f t="shared" si="25"/>
        <v>6150.623735177137</v>
      </c>
      <c r="D34" s="28">
        <f t="shared" si="25"/>
        <v>6051.75119178157</v>
      </c>
      <c r="E34" s="28">
        <f t="shared" si="25"/>
        <v>6062.1801811090627</v>
      </c>
      <c r="F34" s="28">
        <f t="shared" si="25"/>
        <v>6204.3019671220363</v>
      </c>
      <c r="G34" s="28">
        <f t="shared" si="25"/>
        <v>5956.1412853308047</v>
      </c>
      <c r="H34" s="28">
        <f t="shared" si="25"/>
        <v>5995.0260808633575</v>
      </c>
      <c r="I34" s="28">
        <f t="shared" si="25"/>
        <v>6050.2400307394555</v>
      </c>
      <c r="J34" s="28">
        <f t="shared" si="25"/>
        <v>6063.7858817888164</v>
      </c>
      <c r="K34" s="28">
        <f t="shared" si="25"/>
        <v>6007.8571662133554</v>
      </c>
      <c r="L34" s="28">
        <f t="shared" si="25"/>
        <v>5979.1480835469802</v>
      </c>
      <c r="M34" s="28">
        <f t="shared" si="25"/>
        <v>6081.3947231806924</v>
      </c>
      <c r="N34" s="28">
        <f t="shared" si="25"/>
        <v>5968.2756688543759</v>
      </c>
      <c r="O34" s="28">
        <f t="shared" si="25"/>
        <v>6027.9884307394432</v>
      </c>
      <c r="P34" s="28">
        <f t="shared" si="25"/>
        <v>5965.7050754145548</v>
      </c>
      <c r="Q34" s="28">
        <f t="shared" si="25"/>
        <v>6123.6376429140264</v>
      </c>
      <c r="R34" s="28">
        <f t="shared" ref="R34:V34" si="26">R35+R39+R43</f>
        <v>6232.8680382354287</v>
      </c>
      <c r="S34" s="28">
        <f t="shared" si="26"/>
        <v>6303.1122200654736</v>
      </c>
      <c r="T34" s="28">
        <f t="shared" si="26"/>
        <v>6269.8433196952928</v>
      </c>
      <c r="U34" s="28">
        <f t="shared" si="26"/>
        <v>6099.4422472581309</v>
      </c>
      <c r="V34" s="28">
        <f t="shared" si="26"/>
        <v>5078.7141317975111</v>
      </c>
      <c r="W34" s="28">
        <f t="shared" ref="W34" si="27">W35+W39+W43</f>
        <v>5223.1874587153288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5082.6525194651676</v>
      </c>
      <c r="C35" s="137">
        <f t="shared" si="28"/>
        <v>5020.7164322461304</v>
      </c>
      <c r="D35" s="137">
        <f t="shared" si="28"/>
        <v>5151.1451900797683</v>
      </c>
      <c r="E35" s="137">
        <f t="shared" si="28"/>
        <v>5189.9673064450908</v>
      </c>
      <c r="F35" s="137">
        <f t="shared" si="28"/>
        <v>5191.9079051456938</v>
      </c>
      <c r="G35" s="137">
        <f t="shared" si="28"/>
        <v>4949.1252726395223</v>
      </c>
      <c r="H35" s="137">
        <f t="shared" si="28"/>
        <v>4970.5119629769697</v>
      </c>
      <c r="I35" s="137">
        <f t="shared" si="28"/>
        <v>5041.255083018943</v>
      </c>
      <c r="J35" s="137">
        <f t="shared" si="28"/>
        <v>4957.8743511735565</v>
      </c>
      <c r="K35" s="137">
        <f t="shared" si="28"/>
        <v>4976.4446512404902</v>
      </c>
      <c r="L35" s="137">
        <f t="shared" si="28"/>
        <v>4992.1315815573707</v>
      </c>
      <c r="M35" s="137">
        <f t="shared" si="28"/>
        <v>5005.1614560008557</v>
      </c>
      <c r="N35" s="137">
        <f t="shared" si="28"/>
        <v>4917.304555470665</v>
      </c>
      <c r="O35" s="137">
        <f t="shared" si="28"/>
        <v>4870.8368752065844</v>
      </c>
      <c r="P35" s="137">
        <f t="shared" si="28"/>
        <v>4884.0404274076136</v>
      </c>
      <c r="Q35" s="137">
        <f t="shared" si="28"/>
        <v>5024.2528790997512</v>
      </c>
      <c r="R35" s="137">
        <f t="shared" ref="R35:V35" si="29">R36+R37+R38</f>
        <v>5029.4370023805313</v>
      </c>
      <c r="S35" s="137">
        <f t="shared" si="29"/>
        <v>5066.5468710436589</v>
      </c>
      <c r="T35" s="137">
        <f t="shared" si="29"/>
        <v>4983.1791072338528</v>
      </c>
      <c r="U35" s="137">
        <f t="shared" si="29"/>
        <v>4884.562550486472</v>
      </c>
      <c r="V35" s="137">
        <f t="shared" si="29"/>
        <v>4530.976568438221</v>
      </c>
      <c r="W35" s="137">
        <f t="shared" ref="W35" si="30">W36+W37+W38</f>
        <v>4633.6302135386104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22.71495622002292</v>
      </c>
      <c r="C36" s="102">
        <f>TrRoad_ene!C$19</f>
        <v>24.372989851088295</v>
      </c>
      <c r="D36" s="102">
        <f>TrRoad_ene!D$19</f>
        <v>27.053455862730857</v>
      </c>
      <c r="E36" s="102">
        <f>TrRoad_ene!E$19</f>
        <v>28.89891993675371</v>
      </c>
      <c r="F36" s="102">
        <f>TrRoad_ene!F$19</f>
        <v>30.81305118199127</v>
      </c>
      <c r="G36" s="102">
        <f>TrRoad_ene!G$19</f>
        <v>31.120026018421655</v>
      </c>
      <c r="H36" s="102">
        <f>TrRoad_ene!H$19</f>
        <v>33.263686542663812</v>
      </c>
      <c r="I36" s="102">
        <f>TrRoad_ene!I$19</f>
        <v>36.391626213900018</v>
      </c>
      <c r="J36" s="102">
        <f>TrRoad_ene!J$19</f>
        <v>35.111153523686482</v>
      </c>
      <c r="K36" s="102">
        <f>TrRoad_ene!K$19</f>
        <v>34.670957195974616</v>
      </c>
      <c r="L36" s="102">
        <f>TrRoad_ene!L$19</f>
        <v>32.338771778545635</v>
      </c>
      <c r="M36" s="102">
        <f>TrRoad_ene!M$19</f>
        <v>31.724210007686562</v>
      </c>
      <c r="N36" s="102">
        <f>TrRoad_ene!N$19</f>
        <v>27.010612597051438</v>
      </c>
      <c r="O36" s="102">
        <f>TrRoad_ene!O$19</f>
        <v>29.71357766512131</v>
      </c>
      <c r="P36" s="102">
        <f>TrRoad_ene!P$19</f>
        <v>28.928022409406559</v>
      </c>
      <c r="Q36" s="102">
        <f>TrRoad_ene!Q$19</f>
        <v>28.907112488024673</v>
      </c>
      <c r="R36" s="102">
        <f>TrRoad_ene!R$19</f>
        <v>29.913355386583493</v>
      </c>
      <c r="S36" s="102">
        <f>TrRoad_ene!S$19</f>
        <v>27.867517628053278</v>
      </c>
      <c r="T36" s="102">
        <f>TrRoad_ene!T$19</f>
        <v>26.231014910939798</v>
      </c>
      <c r="U36" s="102">
        <f>TrRoad_ene!U$19</f>
        <v>27.479953796767695</v>
      </c>
      <c r="V36" s="102">
        <f>TrRoad_ene!V$19</f>
        <v>24.410747498100385</v>
      </c>
      <c r="W36" s="102">
        <f>TrRoad_ene!W$19</f>
        <v>23.816923293523981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4442.2434293631632</v>
      </c>
      <c r="C37" s="102">
        <f>TrRoad_ene!C$21</f>
        <v>4398.8940240038264</v>
      </c>
      <c r="D37" s="102">
        <f>TrRoad_ene!D$21</f>
        <v>4540.3244513393029</v>
      </c>
      <c r="E37" s="102">
        <f>TrRoad_ene!E$21</f>
        <v>4570.5023545203421</v>
      </c>
      <c r="F37" s="102">
        <f>TrRoad_ene!F$21</f>
        <v>4579.0684133313152</v>
      </c>
      <c r="G37" s="102">
        <f>TrRoad_ene!G$21</f>
        <v>4400.3706280868555</v>
      </c>
      <c r="H37" s="102">
        <f>TrRoad_ene!H$21</f>
        <v>4395.6682085852472</v>
      </c>
      <c r="I37" s="102">
        <f>TrRoad_ene!I$21</f>
        <v>4487.9207742819171</v>
      </c>
      <c r="J37" s="102">
        <f>TrRoad_ene!J$21</f>
        <v>4407.2780270288431</v>
      </c>
      <c r="K37" s="102">
        <f>TrRoad_ene!K$21</f>
        <v>4448.2517573820651</v>
      </c>
      <c r="L37" s="102">
        <f>TrRoad_ene!L$21</f>
        <v>4444.7725153248084</v>
      </c>
      <c r="M37" s="102">
        <f>TrRoad_ene!M$21</f>
        <v>4432.616188456198</v>
      </c>
      <c r="N37" s="102">
        <f>TrRoad_ene!N$21</f>
        <v>4343.9476931197632</v>
      </c>
      <c r="O37" s="102">
        <f>TrRoad_ene!O$21</f>
        <v>4315.3670677033579</v>
      </c>
      <c r="P37" s="102">
        <f>TrRoad_ene!P$21</f>
        <v>4355.0150747461348</v>
      </c>
      <c r="Q37" s="102">
        <f>TrRoad_ene!Q$21</f>
        <v>4495.5509124380742</v>
      </c>
      <c r="R37" s="102">
        <f>TrRoad_ene!R$21</f>
        <v>4508.526845936467</v>
      </c>
      <c r="S37" s="102">
        <f>TrRoad_ene!S$21</f>
        <v>4547.4498405668519</v>
      </c>
      <c r="T37" s="102">
        <f>TrRoad_ene!T$21</f>
        <v>4467.4955689031676</v>
      </c>
      <c r="U37" s="102">
        <f>TrRoad_ene!U$21</f>
        <v>4382.1581220356711</v>
      </c>
      <c r="V37" s="102">
        <f>TrRoad_ene!V$21</f>
        <v>4077.9394461474644</v>
      </c>
      <c r="W37" s="102">
        <f>TrRoad_ene!W$21</f>
        <v>4192.9750236142709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617.69413388198188</v>
      </c>
      <c r="C38" s="102">
        <f>TrRoad_ene!C$33</f>
        <v>597.44941839121589</v>
      </c>
      <c r="D38" s="102">
        <f>TrRoad_ene!D$33</f>
        <v>583.76728287773517</v>
      </c>
      <c r="E38" s="102">
        <f>TrRoad_ene!E$33</f>
        <v>590.56603198799496</v>
      </c>
      <c r="F38" s="102">
        <f>TrRoad_ene!F$33</f>
        <v>582.02644063238802</v>
      </c>
      <c r="G38" s="102">
        <f>TrRoad_ene!G$33</f>
        <v>517.63461853424508</v>
      </c>
      <c r="H38" s="102">
        <f>TrRoad_ene!H$33</f>
        <v>541.58006784905865</v>
      </c>
      <c r="I38" s="102">
        <f>TrRoad_ene!I$33</f>
        <v>516.942682523126</v>
      </c>
      <c r="J38" s="102">
        <f>TrRoad_ene!J$33</f>
        <v>515.48517062102644</v>
      </c>
      <c r="K38" s="102">
        <f>TrRoad_ene!K$33</f>
        <v>493.52193666245091</v>
      </c>
      <c r="L38" s="102">
        <f>TrRoad_ene!L$33</f>
        <v>515.02029445401729</v>
      </c>
      <c r="M38" s="102">
        <f>TrRoad_ene!M$33</f>
        <v>540.82105753697113</v>
      </c>
      <c r="N38" s="102">
        <f>TrRoad_ene!N$33</f>
        <v>546.3462497538502</v>
      </c>
      <c r="O38" s="102">
        <f>TrRoad_ene!O$33</f>
        <v>525.75622983810547</v>
      </c>
      <c r="P38" s="102">
        <f>TrRoad_ene!P$33</f>
        <v>500.09733025207231</v>
      </c>
      <c r="Q38" s="102">
        <f>TrRoad_ene!Q$33</f>
        <v>499.79485417365271</v>
      </c>
      <c r="R38" s="102">
        <f>TrRoad_ene!R$33</f>
        <v>490.99680105748121</v>
      </c>
      <c r="S38" s="102">
        <f>TrRoad_ene!S$33</f>
        <v>491.22951284875359</v>
      </c>
      <c r="T38" s="102">
        <f>TrRoad_ene!T$33</f>
        <v>489.45252341974532</v>
      </c>
      <c r="U38" s="102">
        <f>TrRoad_ene!U$33</f>
        <v>474.92447465403336</v>
      </c>
      <c r="V38" s="102">
        <f>TrRoad_ene!V$33</f>
        <v>428.62637479265595</v>
      </c>
      <c r="W38" s="102">
        <f>TrRoad_ene!W$33</f>
        <v>416.83826663081516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179.61328115939918</v>
      </c>
      <c r="C39" s="110">
        <f t="shared" si="31"/>
        <v>170.49190397181079</v>
      </c>
      <c r="D39" s="110">
        <f t="shared" si="31"/>
        <v>173.46237993055595</v>
      </c>
      <c r="E39" s="110">
        <f t="shared" si="31"/>
        <v>171.10540803084174</v>
      </c>
      <c r="F39" s="110">
        <f t="shared" si="31"/>
        <v>172.54025185948512</v>
      </c>
      <c r="G39" s="110">
        <f t="shared" si="31"/>
        <v>159.42725968409823</v>
      </c>
      <c r="H39" s="110">
        <f t="shared" si="31"/>
        <v>163.22168374972614</v>
      </c>
      <c r="I39" s="110">
        <f t="shared" si="31"/>
        <v>162.90648228914884</v>
      </c>
      <c r="J39" s="110">
        <f t="shared" si="31"/>
        <v>144.89010331474557</v>
      </c>
      <c r="K39" s="110">
        <f t="shared" si="31"/>
        <v>156.45676389808909</v>
      </c>
      <c r="L39" s="110">
        <f t="shared" si="31"/>
        <v>149.89605708713441</v>
      </c>
      <c r="M39" s="110">
        <f t="shared" si="31"/>
        <v>164.57416475219867</v>
      </c>
      <c r="N39" s="110">
        <f t="shared" si="31"/>
        <v>173.29095353031741</v>
      </c>
      <c r="O39" s="110">
        <f t="shared" si="31"/>
        <v>180.34599050560175</v>
      </c>
      <c r="P39" s="110">
        <f t="shared" si="31"/>
        <v>175.08396021453967</v>
      </c>
      <c r="Q39" s="110">
        <f t="shared" si="31"/>
        <v>175.81684023596983</v>
      </c>
      <c r="R39" s="110">
        <f t="shared" ref="R39:V39" si="32">R40+R41+R42</f>
        <v>181.89672012438925</v>
      </c>
      <c r="S39" s="110">
        <f t="shared" si="32"/>
        <v>164.32678345695481</v>
      </c>
      <c r="T39" s="110">
        <f t="shared" si="32"/>
        <v>177.1971860201823</v>
      </c>
      <c r="U39" s="110">
        <f t="shared" si="32"/>
        <v>172.61704517051123</v>
      </c>
      <c r="V39" s="110">
        <f t="shared" si="32"/>
        <v>155.86580746491094</v>
      </c>
      <c r="W39" s="110">
        <f t="shared" ref="W39" si="33">W40+W41+W42</f>
        <v>174.45905251312524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13.159133621069508</v>
      </c>
      <c r="C40" s="102">
        <f>TrRail_ene!C$12</f>
        <v>13.060838119795735</v>
      </c>
      <c r="D40" s="102">
        <f>TrRail_ene!D$12</f>
        <v>12.061395205247324</v>
      </c>
      <c r="E40" s="102">
        <f>TrRail_ene!E$12</f>
        <v>11.956159866324967</v>
      </c>
      <c r="F40" s="102">
        <f>TrRail_ene!F$12</f>
        <v>11.880759165510957</v>
      </c>
      <c r="G40" s="102">
        <f>TrRail_ene!G$12</f>
        <v>11.500950285146017</v>
      </c>
      <c r="H40" s="102">
        <f>TrRail_ene!H$12</f>
        <v>12.073210807926676</v>
      </c>
      <c r="I40" s="102">
        <f>TrRail_ene!I$12</f>
        <v>12.487855243274488</v>
      </c>
      <c r="J40" s="102">
        <f>TrRail_ene!J$12</f>
        <v>12.326539414169222</v>
      </c>
      <c r="K40" s="102">
        <f>TrRail_ene!K$12</f>
        <v>12.254763308428476</v>
      </c>
      <c r="L40" s="102">
        <f>TrRail_ene!L$12</f>
        <v>12.377476769679815</v>
      </c>
      <c r="M40" s="102">
        <f>TrRail_ene!M$12</f>
        <v>12.646943657447071</v>
      </c>
      <c r="N40" s="102">
        <f>TrRail_ene!N$12</f>
        <v>12.761261139306418</v>
      </c>
      <c r="O40" s="102">
        <f>TrRail_ene!O$12</f>
        <v>13.074526339320876</v>
      </c>
      <c r="P40" s="102">
        <f>TrRail_ene!P$12</f>
        <v>12.859609085255608</v>
      </c>
      <c r="Q40" s="102">
        <f>TrRail_ene!Q$12</f>
        <v>13.075352244082447</v>
      </c>
      <c r="R40" s="102">
        <f>TrRail_ene!R$12</f>
        <v>13.546857326081748</v>
      </c>
      <c r="S40" s="102">
        <f>TrRail_ene!S$12</f>
        <v>13.609687246394479</v>
      </c>
      <c r="T40" s="102">
        <f>TrRail_ene!T$12</f>
        <v>13.298114716520246</v>
      </c>
      <c r="U40" s="102">
        <f>TrRail_ene!U$12</f>
        <v>13.075066677093064</v>
      </c>
      <c r="V40" s="102">
        <f>TrRail_ene!V$12</f>
        <v>12.991403951958192</v>
      </c>
      <c r="W40" s="102">
        <f>TrRail_ene!W$12</f>
        <v>13.02799191411091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136.40813675975343</v>
      </c>
      <c r="C41" s="102">
        <f>TrRail_ene!C$13</f>
        <v>125.62672829263209</v>
      </c>
      <c r="D41" s="102">
        <f>TrRail_ene!D$13</f>
        <v>128.02549618147046</v>
      </c>
      <c r="E41" s="102">
        <f>TrRail_ene!E$13</f>
        <v>126.1178673878287</v>
      </c>
      <c r="F41" s="102">
        <f>TrRail_ene!F$13</f>
        <v>127.90298973408284</v>
      </c>
      <c r="G41" s="102">
        <f>TrRail_ene!G$13</f>
        <v>116.95578138827294</v>
      </c>
      <c r="H41" s="102">
        <f>TrRail_ene!H$13</f>
        <v>122.41187642760896</v>
      </c>
      <c r="I41" s="102">
        <f>TrRail_ene!I$13</f>
        <v>122.03165154522459</v>
      </c>
      <c r="J41" s="102">
        <f>TrRail_ene!J$13</f>
        <v>103.66454637438703</v>
      </c>
      <c r="K41" s="102">
        <f>TrRail_ene!K$13</f>
        <v>114.70767237077079</v>
      </c>
      <c r="L41" s="102">
        <f>TrRail_ene!L$13</f>
        <v>109.20365583889358</v>
      </c>
      <c r="M41" s="102">
        <f>TrRail_ene!M$13</f>
        <v>123.07033726662617</v>
      </c>
      <c r="N41" s="102">
        <f>TrRail_ene!N$13</f>
        <v>131.60258486972634</v>
      </c>
      <c r="O41" s="102">
        <f>TrRail_ene!O$13</f>
        <v>136.70453323160919</v>
      </c>
      <c r="P41" s="102">
        <f>TrRail_ene!P$13</f>
        <v>128.27979982845633</v>
      </c>
      <c r="Q41" s="102">
        <f>TrRail_ene!Q$13</f>
        <v>130.6924872828705</v>
      </c>
      <c r="R41" s="102">
        <f>TrRail_ene!R$13</f>
        <v>135.35950614377327</v>
      </c>
      <c r="S41" s="102">
        <f>TrRail_ene!S$13</f>
        <v>115.74276775247688</v>
      </c>
      <c r="T41" s="102">
        <f>TrRail_ene!T$13</f>
        <v>130.67123755686626</v>
      </c>
      <c r="U41" s="102">
        <f>TrRail_ene!U$13</f>
        <v>123.19332791325306</v>
      </c>
      <c r="V41" s="102">
        <f>TrRail_ene!V$13</f>
        <v>113.80894713033038</v>
      </c>
      <c r="W41" s="102">
        <f>TrRail_ene!W$13</f>
        <v>131.77794962423368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30.046010778576221</v>
      </c>
      <c r="C42" s="102">
        <f>TrRail_ene!C$16</f>
        <v>31.804337559382969</v>
      </c>
      <c r="D42" s="102">
        <f>TrRail_ene!D$16</f>
        <v>33.375488543838173</v>
      </c>
      <c r="E42" s="102">
        <f>TrRail_ene!E$16</f>
        <v>33.031380776688081</v>
      </c>
      <c r="F42" s="102">
        <f>TrRail_ene!F$16</f>
        <v>32.756502959891314</v>
      </c>
      <c r="G42" s="102">
        <f>TrRail_ene!G$16</f>
        <v>30.970528010679278</v>
      </c>
      <c r="H42" s="102">
        <f>TrRail_ene!H$16</f>
        <v>28.736596514190499</v>
      </c>
      <c r="I42" s="102">
        <f>TrRail_ene!I$16</f>
        <v>28.386975500649765</v>
      </c>
      <c r="J42" s="102">
        <f>TrRail_ene!J$16</f>
        <v>28.899017526189329</v>
      </c>
      <c r="K42" s="102">
        <f>TrRail_ene!K$16</f>
        <v>29.494328218889827</v>
      </c>
      <c r="L42" s="102">
        <f>TrRail_ene!L$16</f>
        <v>28.314924478561011</v>
      </c>
      <c r="M42" s="102">
        <f>TrRail_ene!M$16</f>
        <v>28.856883828125444</v>
      </c>
      <c r="N42" s="102">
        <f>TrRail_ene!N$16</f>
        <v>28.927107521284654</v>
      </c>
      <c r="O42" s="102">
        <f>TrRail_ene!O$16</f>
        <v>30.566930934671696</v>
      </c>
      <c r="P42" s="102">
        <f>TrRail_ene!P$16</f>
        <v>33.944551300827733</v>
      </c>
      <c r="Q42" s="102">
        <f>TrRail_ene!Q$16</f>
        <v>32.049000709016894</v>
      </c>
      <c r="R42" s="102">
        <f>TrRail_ene!R$16</f>
        <v>32.990356654534224</v>
      </c>
      <c r="S42" s="102">
        <f>TrRail_ene!S$16</f>
        <v>34.974328458083448</v>
      </c>
      <c r="T42" s="102">
        <f>TrRail_ene!T$16</f>
        <v>33.22783374679581</v>
      </c>
      <c r="U42" s="102">
        <f>TrRail_ene!U$16</f>
        <v>36.348650580165113</v>
      </c>
      <c r="V42" s="102">
        <f>TrRail_ene!V$16</f>
        <v>29.065456382622376</v>
      </c>
      <c r="W42" s="102">
        <f>TrRail_ene!W$16</f>
        <v>29.653110974780638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944.53173343001765</v>
      </c>
      <c r="C43" s="110">
        <f t="shared" si="34"/>
        <v>959.41539895919561</v>
      </c>
      <c r="D43" s="110">
        <f t="shared" si="34"/>
        <v>727.14362177124553</v>
      </c>
      <c r="E43" s="110">
        <f t="shared" si="34"/>
        <v>701.1074666331308</v>
      </c>
      <c r="F43" s="110">
        <f t="shared" si="34"/>
        <v>839.85381011685672</v>
      </c>
      <c r="G43" s="110">
        <f t="shared" si="34"/>
        <v>847.5887530071841</v>
      </c>
      <c r="H43" s="110">
        <f t="shared" si="34"/>
        <v>861.2924341366612</v>
      </c>
      <c r="I43" s="110">
        <f t="shared" si="34"/>
        <v>846.07846543136372</v>
      </c>
      <c r="J43" s="110">
        <f t="shared" si="34"/>
        <v>961.02142730051423</v>
      </c>
      <c r="K43" s="110">
        <f t="shared" si="34"/>
        <v>874.955751074776</v>
      </c>
      <c r="L43" s="110">
        <f t="shared" si="34"/>
        <v>837.12044490247513</v>
      </c>
      <c r="M43" s="110">
        <f t="shared" si="34"/>
        <v>911.65910242763744</v>
      </c>
      <c r="N43" s="110">
        <f t="shared" si="34"/>
        <v>877.68015985339355</v>
      </c>
      <c r="O43" s="110">
        <f t="shared" si="34"/>
        <v>976.80556502725756</v>
      </c>
      <c r="P43" s="110">
        <f t="shared" si="34"/>
        <v>906.58068779240136</v>
      </c>
      <c r="Q43" s="110">
        <f t="shared" si="34"/>
        <v>923.56792357830579</v>
      </c>
      <c r="R43" s="110">
        <f t="shared" ref="R43:V43" si="35">R44+R45+R46</f>
        <v>1021.5343157305075</v>
      </c>
      <c r="S43" s="110">
        <f t="shared" si="35"/>
        <v>1072.2385655648591</v>
      </c>
      <c r="T43" s="110">
        <f t="shared" si="35"/>
        <v>1109.4670264412582</v>
      </c>
      <c r="U43" s="110">
        <f t="shared" si="35"/>
        <v>1042.262651601148</v>
      </c>
      <c r="V43" s="110">
        <f t="shared" si="35"/>
        <v>391.87175589437868</v>
      </c>
      <c r="W43" s="110">
        <f t="shared" ref="W43" si="36">W44+W45+W46</f>
        <v>415.09819266359358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243.12907724753327</v>
      </c>
      <c r="C44" s="102">
        <f>TrAvia_ene!C$7</f>
        <v>246.46845462909079</v>
      </c>
      <c r="D44" s="102">
        <f>TrAvia_ene!D$7</f>
        <v>204.20905236578014</v>
      </c>
      <c r="E44" s="102">
        <f>TrAvia_ene!E$7</f>
        <v>197.71902651633701</v>
      </c>
      <c r="F44" s="102">
        <f>TrAvia_ene!F$7</f>
        <v>225.20565389853633</v>
      </c>
      <c r="G44" s="102">
        <f>TrAvia_ene!G$7</f>
        <v>231.67042355775573</v>
      </c>
      <c r="H44" s="102">
        <f>TrAvia_ene!H$7</f>
        <v>218.37515175487957</v>
      </c>
      <c r="I44" s="102">
        <f>TrAvia_ene!I$7</f>
        <v>212.71921587524065</v>
      </c>
      <c r="J44" s="102">
        <f>TrAvia_ene!J$7</f>
        <v>198.95123713975275</v>
      </c>
      <c r="K44" s="102">
        <f>TrAvia_ene!K$7</f>
        <v>174.76676139809558</v>
      </c>
      <c r="L44" s="102">
        <f>TrAvia_ene!L$7</f>
        <v>164.60810198351476</v>
      </c>
      <c r="M44" s="102">
        <f>TrAvia_ene!M$7</f>
        <v>181.35926972033675</v>
      </c>
      <c r="N44" s="102">
        <f>TrAvia_ene!N$7</f>
        <v>178.18700242999819</v>
      </c>
      <c r="O44" s="102">
        <f>TrAvia_ene!O$7</f>
        <v>179.47774824142019</v>
      </c>
      <c r="P44" s="102">
        <f>TrAvia_ene!P$7</f>
        <v>178.66435960348784</v>
      </c>
      <c r="Q44" s="102">
        <f>TrAvia_ene!Q$7</f>
        <v>176.57362453433865</v>
      </c>
      <c r="R44" s="102">
        <f>TrAvia_ene!R$7</f>
        <v>188.37399115528578</v>
      </c>
      <c r="S44" s="102">
        <f>TrAvia_ene!S$7</f>
        <v>186.67284483087289</v>
      </c>
      <c r="T44" s="102">
        <f>TrAvia_ene!T$7</f>
        <v>176.53485705831486</v>
      </c>
      <c r="U44" s="102">
        <f>TrAvia_ene!U$7</f>
        <v>158.99431411642624</v>
      </c>
      <c r="V44" s="102">
        <f>TrAvia_ene!V$7</f>
        <v>61.195604366532685</v>
      </c>
      <c r="W44" s="102">
        <f>TrAvia_ene!W$7</f>
        <v>69.863650048822777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496.62562880427367</v>
      </c>
      <c r="C45" s="102">
        <f>TrAvia_ene!C$8</f>
        <v>509.77507062277914</v>
      </c>
      <c r="D45" s="102">
        <f>TrAvia_ene!D$8</f>
        <v>379.06008650875111</v>
      </c>
      <c r="E45" s="102">
        <f>TrAvia_ene!E$8</f>
        <v>371.03716821740102</v>
      </c>
      <c r="F45" s="102">
        <f>TrAvia_ene!F$8</f>
        <v>451.87470048098913</v>
      </c>
      <c r="G45" s="102">
        <f>TrAvia_ene!G$8</f>
        <v>452.71689266121831</v>
      </c>
      <c r="H45" s="102">
        <f>TrAvia_ene!H$8</f>
        <v>476.12835080418176</v>
      </c>
      <c r="I45" s="102">
        <f>TrAvia_ene!I$8</f>
        <v>471.74063889367119</v>
      </c>
      <c r="J45" s="102">
        <f>TrAvia_ene!J$8</f>
        <v>564.52377873691762</v>
      </c>
      <c r="K45" s="102">
        <f>TrAvia_ene!K$8</f>
        <v>508.35622750681932</v>
      </c>
      <c r="L45" s="102">
        <f>TrAvia_ene!L$8</f>
        <v>488.55085114238102</v>
      </c>
      <c r="M45" s="102">
        <f>TrAvia_ene!M$8</f>
        <v>534.26473679765866</v>
      </c>
      <c r="N45" s="102">
        <f>TrAvia_ene!N$8</f>
        <v>506.47129133709711</v>
      </c>
      <c r="O45" s="102">
        <f>TrAvia_ene!O$8</f>
        <v>578.06452536402571</v>
      </c>
      <c r="P45" s="102">
        <f>TrAvia_ene!P$8</f>
        <v>529.13228718757284</v>
      </c>
      <c r="Q45" s="102">
        <f>TrAvia_ene!Q$8</f>
        <v>543.26520978441499</v>
      </c>
      <c r="R45" s="102">
        <f>TrAvia_ene!R$8</f>
        <v>615.22572590242339</v>
      </c>
      <c r="S45" s="102">
        <f>TrAvia_ene!S$8</f>
        <v>660.89329452876734</v>
      </c>
      <c r="T45" s="102">
        <f>TrAvia_ene!T$8</f>
        <v>691.27907845479785</v>
      </c>
      <c r="U45" s="102">
        <f>TrAvia_ene!U$8</f>
        <v>644.43144156850678</v>
      </c>
      <c r="V45" s="102">
        <f>TrAvia_ene!V$8</f>
        <v>223.51416549703401</v>
      </c>
      <c r="W45" s="102">
        <f>TrAvia_ene!W$8</f>
        <v>243.67955663302402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204.7770273782107</v>
      </c>
      <c r="C46" s="102">
        <f>TrAvia_ene!C$9</f>
        <v>203.17187370732572</v>
      </c>
      <c r="D46" s="102">
        <f>TrAvia_ene!D$9</f>
        <v>143.87448289671437</v>
      </c>
      <c r="E46" s="102">
        <f>TrAvia_ene!E$9</f>
        <v>132.35127189939274</v>
      </c>
      <c r="F46" s="102">
        <f>TrAvia_ene!F$9</f>
        <v>162.77345573733118</v>
      </c>
      <c r="G46" s="102">
        <f>TrAvia_ene!G$9</f>
        <v>163.20143678821003</v>
      </c>
      <c r="H46" s="102">
        <f>TrAvia_ene!H$9</f>
        <v>166.78893157759993</v>
      </c>
      <c r="I46" s="102">
        <f>TrAvia_ene!I$9</f>
        <v>161.61861066245191</v>
      </c>
      <c r="J46" s="102">
        <f>TrAvia_ene!J$9</f>
        <v>197.54641142384389</v>
      </c>
      <c r="K46" s="102">
        <f>TrAvia_ene!K$9</f>
        <v>191.83276216986107</v>
      </c>
      <c r="L46" s="102">
        <f>TrAvia_ene!L$9</f>
        <v>183.96149177657938</v>
      </c>
      <c r="M46" s="102">
        <f>TrAvia_ene!M$9</f>
        <v>196.03509590964197</v>
      </c>
      <c r="N46" s="102">
        <f>TrAvia_ene!N$9</f>
        <v>193.02186608629827</v>
      </c>
      <c r="O46" s="102">
        <f>TrAvia_ene!O$9</f>
        <v>219.26329142181172</v>
      </c>
      <c r="P46" s="102">
        <f>TrAvia_ene!P$9</f>
        <v>198.78404100134074</v>
      </c>
      <c r="Q46" s="102">
        <f>TrAvia_ene!Q$9</f>
        <v>203.7290892595521</v>
      </c>
      <c r="R46" s="102">
        <f>TrAvia_ene!R$9</f>
        <v>217.9345986727983</v>
      </c>
      <c r="S46" s="102">
        <f>TrAvia_ene!S$9</f>
        <v>224.67242620521873</v>
      </c>
      <c r="T46" s="102">
        <f>TrAvia_ene!T$9</f>
        <v>241.6530909281455</v>
      </c>
      <c r="U46" s="102">
        <f>TrAvia_ene!U$9</f>
        <v>238.83689591621496</v>
      </c>
      <c r="V46" s="102">
        <f>TrAvia_ene!V$9</f>
        <v>107.161986030812</v>
      </c>
      <c r="W46" s="102">
        <f>TrAvia_ene!W$9</f>
        <v>101.55498598174675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1958.908907970279</v>
      </c>
      <c r="C47" s="28">
        <f t="shared" si="37"/>
        <v>1989.3636166055444</v>
      </c>
      <c r="D47" s="28">
        <f t="shared" si="37"/>
        <v>1990.0266732266018</v>
      </c>
      <c r="E47" s="28">
        <f t="shared" si="37"/>
        <v>2089.8896666784876</v>
      </c>
      <c r="F47" s="28">
        <f t="shared" si="37"/>
        <v>2264.4823804739431</v>
      </c>
      <c r="G47" s="28">
        <f t="shared" si="37"/>
        <v>2165.5644413853279</v>
      </c>
      <c r="H47" s="28">
        <f t="shared" si="37"/>
        <v>2245.7077964750192</v>
      </c>
      <c r="I47" s="28">
        <f t="shared" si="37"/>
        <v>2287.0287911492251</v>
      </c>
      <c r="J47" s="28">
        <f t="shared" si="37"/>
        <v>2272.2484121557445</v>
      </c>
      <c r="K47" s="28">
        <f t="shared" si="37"/>
        <v>2098.5524953334534</v>
      </c>
      <c r="L47" s="28">
        <f t="shared" si="37"/>
        <v>2230.3815990007133</v>
      </c>
      <c r="M47" s="28">
        <f t="shared" si="37"/>
        <v>2189.2099206777098</v>
      </c>
      <c r="N47" s="28">
        <f t="shared" si="37"/>
        <v>1987.1808471154725</v>
      </c>
      <c r="O47" s="28">
        <f t="shared" si="37"/>
        <v>1936.399567597115</v>
      </c>
      <c r="P47" s="28">
        <f t="shared" si="37"/>
        <v>1922.0822923994667</v>
      </c>
      <c r="Q47" s="28">
        <f t="shared" si="37"/>
        <v>1933.1687695427515</v>
      </c>
      <c r="R47" s="28">
        <f t="shared" ref="R47:V47" si="38">R48+R51+R52+R56</f>
        <v>1839.7828900038219</v>
      </c>
      <c r="S47" s="28">
        <f t="shared" si="38"/>
        <v>1907.4149081704161</v>
      </c>
      <c r="T47" s="28">
        <f t="shared" si="38"/>
        <v>1812.3195719721045</v>
      </c>
      <c r="U47" s="28">
        <f t="shared" si="38"/>
        <v>1823.6830869354035</v>
      </c>
      <c r="V47" s="28">
        <f t="shared" si="38"/>
        <v>1884.0307285938522</v>
      </c>
      <c r="W47" s="28">
        <f t="shared" ref="W47" si="39">W48+W51+W52+W56</f>
        <v>1973.1538147179472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1669.5184109517852</v>
      </c>
      <c r="C48" s="137">
        <f t="shared" si="40"/>
        <v>1717.6825274471269</v>
      </c>
      <c r="D48" s="137">
        <f t="shared" si="40"/>
        <v>1724.486673208713</v>
      </c>
      <c r="E48" s="137">
        <f t="shared" si="40"/>
        <v>1795.330830250457</v>
      </c>
      <c r="F48" s="137">
        <f t="shared" si="40"/>
        <v>1980.5570959326583</v>
      </c>
      <c r="G48" s="137">
        <f t="shared" si="40"/>
        <v>1889.9611075589837</v>
      </c>
      <c r="H48" s="137">
        <f t="shared" si="40"/>
        <v>1961.8802118678555</v>
      </c>
      <c r="I48" s="137">
        <f t="shared" si="40"/>
        <v>2002.3053123865047</v>
      </c>
      <c r="J48" s="137">
        <f t="shared" si="40"/>
        <v>2012.7405962533776</v>
      </c>
      <c r="K48" s="137">
        <f t="shared" si="40"/>
        <v>1854.3543482254931</v>
      </c>
      <c r="L48" s="137">
        <f t="shared" si="40"/>
        <v>1968.9349883505984</v>
      </c>
      <c r="M48" s="137">
        <f t="shared" si="40"/>
        <v>1924.6039789151555</v>
      </c>
      <c r="N48" s="137">
        <f t="shared" si="40"/>
        <v>1745.7094841449275</v>
      </c>
      <c r="O48" s="137">
        <f t="shared" si="40"/>
        <v>1696.7901601033195</v>
      </c>
      <c r="P48" s="137">
        <f t="shared" si="40"/>
        <v>1700.8057538199935</v>
      </c>
      <c r="Q48" s="137">
        <f t="shared" si="40"/>
        <v>1718.7537913105957</v>
      </c>
      <c r="R48" s="137">
        <f t="shared" ref="R48:V48" si="41">R49+R50</f>
        <v>1620.5202027288819</v>
      </c>
      <c r="S48" s="137">
        <f t="shared" si="41"/>
        <v>1689.9217877167357</v>
      </c>
      <c r="T48" s="137">
        <f t="shared" si="41"/>
        <v>1597.8298721377587</v>
      </c>
      <c r="U48" s="137">
        <f t="shared" si="41"/>
        <v>1611.5736177569338</v>
      </c>
      <c r="V48" s="137">
        <f t="shared" si="41"/>
        <v>1701.3960649540018</v>
      </c>
      <c r="W48" s="137">
        <f t="shared" ref="W48" si="42">W49+W50</f>
        <v>1791.7452817347348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395.95543144006433</v>
      </c>
      <c r="C49" s="102">
        <f>TrRoad_ene!C$43</f>
        <v>439.92123451987368</v>
      </c>
      <c r="D49" s="102">
        <f>TrRoad_ene!D$43</f>
        <v>463.27044107741671</v>
      </c>
      <c r="E49" s="102">
        <f>TrRoad_ene!E$43</f>
        <v>503.48021915734591</v>
      </c>
      <c r="F49" s="102">
        <f>TrRoad_ene!F$43</f>
        <v>563.9043150357279</v>
      </c>
      <c r="G49" s="102">
        <f>TrRoad_ene!G$43</f>
        <v>509.26647733573378</v>
      </c>
      <c r="H49" s="102">
        <f>TrRoad_ene!H$43</f>
        <v>547.92804050918551</v>
      </c>
      <c r="I49" s="102">
        <f>TrRoad_ene!I$43</f>
        <v>563.35282338040486</v>
      </c>
      <c r="J49" s="102">
        <f>TrRoad_ene!J$43</f>
        <v>572.12039924968497</v>
      </c>
      <c r="K49" s="102">
        <f>TrRoad_ene!K$43</f>
        <v>566.82372234021716</v>
      </c>
      <c r="L49" s="102">
        <f>TrRoad_ene!L$43</f>
        <v>607.81758620089761</v>
      </c>
      <c r="M49" s="102">
        <f>TrRoad_ene!M$43</f>
        <v>622.24238753552822</v>
      </c>
      <c r="N49" s="102">
        <f>TrRoad_ene!N$43</f>
        <v>600.73064599598399</v>
      </c>
      <c r="O49" s="102">
        <f>TrRoad_ene!O$43</f>
        <v>591.13409983032147</v>
      </c>
      <c r="P49" s="102">
        <f>TrRoad_ene!P$43</f>
        <v>573.80678128330442</v>
      </c>
      <c r="Q49" s="102">
        <f>TrRoad_ene!Q$43</f>
        <v>598.26175978182687</v>
      </c>
      <c r="R49" s="102">
        <f>TrRoad_ene!R$43</f>
        <v>586.72491370968589</v>
      </c>
      <c r="S49" s="102">
        <f>TrRoad_ene!S$43</f>
        <v>629.770799904304</v>
      </c>
      <c r="T49" s="102">
        <f>TrRoad_ene!T$43</f>
        <v>600.38582292180479</v>
      </c>
      <c r="U49" s="102">
        <f>TrRoad_ene!U$43</f>
        <v>611.33732590529269</v>
      </c>
      <c r="V49" s="102">
        <f>TrRoad_ene!V$43</f>
        <v>630.85807585741168</v>
      </c>
      <c r="W49" s="102">
        <f>TrRoad_ene!W$43</f>
        <v>643.49388346323758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1273.5629795117209</v>
      </c>
      <c r="C50" s="102">
        <f>TrRoad_ene!C$52</f>
        <v>1277.7612929272532</v>
      </c>
      <c r="D50" s="102">
        <f>TrRoad_ene!D$52</f>
        <v>1261.2162321312962</v>
      </c>
      <c r="E50" s="102">
        <f>TrRoad_ene!E$52</f>
        <v>1291.850611093111</v>
      </c>
      <c r="F50" s="102">
        <f>TrRoad_ene!F$52</f>
        <v>1416.6527808969304</v>
      </c>
      <c r="G50" s="102">
        <f>TrRoad_ene!G$52</f>
        <v>1380.69463022325</v>
      </c>
      <c r="H50" s="102">
        <f>TrRoad_ene!H$52</f>
        <v>1413.9521713586698</v>
      </c>
      <c r="I50" s="102">
        <f>TrRoad_ene!I$52</f>
        <v>1438.9524890061</v>
      </c>
      <c r="J50" s="102">
        <f>TrRoad_ene!J$52</f>
        <v>1440.6201970036925</v>
      </c>
      <c r="K50" s="102">
        <f>TrRoad_ene!K$52</f>
        <v>1287.5306258852759</v>
      </c>
      <c r="L50" s="102">
        <f>TrRoad_ene!L$52</f>
        <v>1361.1174021497006</v>
      </c>
      <c r="M50" s="102">
        <f>TrRoad_ene!M$52</f>
        <v>1302.3615913796273</v>
      </c>
      <c r="N50" s="102">
        <f>TrRoad_ene!N$52</f>
        <v>1144.9788381489434</v>
      </c>
      <c r="O50" s="102">
        <f>TrRoad_ene!O$52</f>
        <v>1105.656060272998</v>
      </c>
      <c r="P50" s="102">
        <f>TrRoad_ene!P$52</f>
        <v>1126.9989725366891</v>
      </c>
      <c r="Q50" s="102">
        <f>TrRoad_ene!Q$52</f>
        <v>1120.4920315287688</v>
      </c>
      <c r="R50" s="102">
        <f>TrRoad_ene!R$52</f>
        <v>1033.7952890191962</v>
      </c>
      <c r="S50" s="102">
        <f>TrRoad_ene!S$52</f>
        <v>1060.1509878124318</v>
      </c>
      <c r="T50" s="102">
        <f>TrRoad_ene!T$52</f>
        <v>997.44404921595401</v>
      </c>
      <c r="U50" s="102">
        <f>TrRoad_ene!U$52</f>
        <v>1000.2362918516412</v>
      </c>
      <c r="V50" s="102">
        <f>TrRoad_ene!V$52</f>
        <v>1070.5379890965901</v>
      </c>
      <c r="W50" s="102">
        <f>TrRoad_ene!W$52</f>
        <v>1148.2513982714972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119.67020981222595</v>
      </c>
      <c r="C51" s="110">
        <f>TrRail_ene!C$17</f>
        <v>100.24472543489598</v>
      </c>
      <c r="D51" s="110">
        <f>TrRail_ene!D$17</f>
        <v>100.78525549506746</v>
      </c>
      <c r="E51" s="110">
        <f>TrRail_ene!E$17</f>
        <v>98.59459196915823</v>
      </c>
      <c r="F51" s="110">
        <f>TrRail_ene!F$17</f>
        <v>106.03524255152088</v>
      </c>
      <c r="G51" s="110">
        <f>TrRail_ene!G$17</f>
        <v>104.043333609109</v>
      </c>
      <c r="H51" s="110">
        <f>TrRail_ene!H$17</f>
        <v>107.27315717890673</v>
      </c>
      <c r="I51" s="110">
        <f>TrRail_ene!I$17</f>
        <v>110.47399922417875</v>
      </c>
      <c r="J51" s="110">
        <f>TrRail_ene!J$17</f>
        <v>81.9865948795794</v>
      </c>
      <c r="K51" s="110">
        <f>TrRail_ene!K$17</f>
        <v>73.645471699503318</v>
      </c>
      <c r="L51" s="110">
        <f>TrRail_ene!L$17</f>
        <v>76.612025458007494</v>
      </c>
      <c r="M51" s="110">
        <f>TrRail_ene!M$17</f>
        <v>81.895568695780668</v>
      </c>
      <c r="N51" s="110">
        <f>TrRail_ene!N$17</f>
        <v>76.885830648530444</v>
      </c>
      <c r="O51" s="110">
        <f>TrRail_ene!O$17</f>
        <v>73.341025831457571</v>
      </c>
      <c r="P51" s="110">
        <f>TrRail_ene!P$17</f>
        <v>65.139255606612537</v>
      </c>
      <c r="Q51" s="110">
        <f>TrRail_ene!Q$17</f>
        <v>62.313942223187503</v>
      </c>
      <c r="R51" s="110">
        <f>TrRail_ene!R$17</f>
        <v>61.628817278878167</v>
      </c>
      <c r="S51" s="110">
        <f>TrRail_ene!S$17</f>
        <v>61.923345519829411</v>
      </c>
      <c r="T51" s="110">
        <f>TrRail_ene!T$17</f>
        <v>58.310638571391124</v>
      </c>
      <c r="U51" s="110">
        <f>TrRail_ene!U$17</f>
        <v>55.119928174286734</v>
      </c>
      <c r="V51" s="110">
        <f>TrRail_ene!V$17</f>
        <v>52.547692105166462</v>
      </c>
      <c r="W51" s="110">
        <f>TrRail_ene!W$17</f>
        <v>56.968290565120633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12.951327618993396</v>
      </c>
      <c r="C52" s="110">
        <f t="shared" si="43"/>
        <v>14.915813422575598</v>
      </c>
      <c r="D52" s="110">
        <f t="shared" si="43"/>
        <v>16.512612106656249</v>
      </c>
      <c r="E52" s="110">
        <f t="shared" si="43"/>
        <v>21.482559162225879</v>
      </c>
      <c r="F52" s="110">
        <f t="shared" si="43"/>
        <v>29.146361852188733</v>
      </c>
      <c r="G52" s="110">
        <f t="shared" si="43"/>
        <v>33.498693252489126</v>
      </c>
      <c r="H52" s="110">
        <f t="shared" si="43"/>
        <v>37.563627772195204</v>
      </c>
      <c r="I52" s="110">
        <f t="shared" si="43"/>
        <v>38.300898283167463</v>
      </c>
      <c r="J52" s="110">
        <f t="shared" si="43"/>
        <v>43.368856448410867</v>
      </c>
      <c r="K52" s="110">
        <f t="shared" si="43"/>
        <v>33.738401977674485</v>
      </c>
      <c r="L52" s="110">
        <f t="shared" si="43"/>
        <v>36.657972982305537</v>
      </c>
      <c r="M52" s="110">
        <f t="shared" si="43"/>
        <v>31.279074700479601</v>
      </c>
      <c r="N52" s="110">
        <f t="shared" si="43"/>
        <v>25.204276947981977</v>
      </c>
      <c r="O52" s="110">
        <f t="shared" si="43"/>
        <v>19.977839959844538</v>
      </c>
      <c r="P52" s="110">
        <f t="shared" si="43"/>
        <v>14.414755027890818</v>
      </c>
      <c r="Q52" s="110">
        <f t="shared" si="43"/>
        <v>13.176358450928877</v>
      </c>
      <c r="R52" s="110">
        <f t="shared" si="43"/>
        <v>11.076604303886338</v>
      </c>
      <c r="S52" s="110">
        <f t="shared" si="43"/>
        <v>10.723429276069581</v>
      </c>
      <c r="T52" s="110">
        <f t="shared" si="43"/>
        <v>10.152578029936702</v>
      </c>
      <c r="U52" s="110">
        <f t="shared" si="43"/>
        <v>12.080168691199315</v>
      </c>
      <c r="V52" s="110">
        <f t="shared" si="43"/>
        <v>13.996773770281617</v>
      </c>
      <c r="W52" s="110">
        <f t="shared" ref="W52" si="44">W53+W54+W55</f>
        <v>14.475840010525024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1.2628402073247793</v>
      </c>
      <c r="C53" s="102">
        <f>TrAvia_ene!C$11</f>
        <v>1.0785789048731036</v>
      </c>
      <c r="D53" s="102">
        <f>TrAvia_ene!D$11</f>
        <v>1.2055650030934626</v>
      </c>
      <c r="E53" s="102">
        <f>TrAvia_ene!E$11</f>
        <v>1.3757284277729698</v>
      </c>
      <c r="F53" s="102">
        <f>TrAvia_ene!F$11</f>
        <v>2.3284819570096826</v>
      </c>
      <c r="G53" s="102">
        <f>TrAvia_ene!G$11</f>
        <v>2.684434567781695</v>
      </c>
      <c r="H53" s="102">
        <f>TrAvia_ene!H$11</f>
        <v>3.2023203001505083</v>
      </c>
      <c r="I53" s="102">
        <f>TrAvia_ene!I$11</f>
        <v>3.8613516226096962</v>
      </c>
      <c r="J53" s="102">
        <f>TrAvia_ene!J$11</f>
        <v>3.8698290683298167</v>
      </c>
      <c r="K53" s="102">
        <f>TrAvia_ene!K$11</f>
        <v>2.9299711900385357</v>
      </c>
      <c r="L53" s="102">
        <f>TrAvia_ene!L$11</f>
        <v>2.3990347318764691</v>
      </c>
      <c r="M53" s="102">
        <f>TrAvia_ene!M$11</f>
        <v>2.1421060320277818</v>
      </c>
      <c r="N53" s="102">
        <f>TrAvia_ene!N$11</f>
        <v>2.1264971400791577</v>
      </c>
      <c r="O53" s="102">
        <f>TrAvia_ene!O$11</f>
        <v>2.0434039511851663</v>
      </c>
      <c r="P53" s="102">
        <f>TrAvia_ene!P$11</f>
        <v>1.8538691153427511</v>
      </c>
      <c r="Q53" s="102">
        <f>TrAvia_ene!Q$11</f>
        <v>1.787166523270902</v>
      </c>
      <c r="R53" s="102">
        <f>TrAvia_ene!R$11</f>
        <v>1.5886055773023449</v>
      </c>
      <c r="S53" s="102">
        <f>TrAvia_ene!S$11</f>
        <v>1.7061749455673527</v>
      </c>
      <c r="T53" s="102">
        <f>TrAvia_ene!T$11</f>
        <v>1.2436468109886434</v>
      </c>
      <c r="U53" s="102">
        <f>TrAvia_ene!U$11</f>
        <v>0.79648553963565771</v>
      </c>
      <c r="V53" s="102">
        <f>TrAvia_ene!V$11</f>
        <v>0.58969228007091734</v>
      </c>
      <c r="W53" s="102">
        <f>TrAvia_ene!W$11</f>
        <v>0.81132845504652296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4.6927312819903992</v>
      </c>
      <c r="C54" s="102">
        <f>TrAvia_ene!C$12</f>
        <v>4.0788433652267306</v>
      </c>
      <c r="D54" s="102">
        <f>TrAvia_ene!D$12</f>
        <v>4.4068133523707411</v>
      </c>
      <c r="E54" s="102">
        <f>TrAvia_ene!E$12</f>
        <v>5.0216215244897384</v>
      </c>
      <c r="F54" s="102">
        <f>TrAvia_ene!F$12</f>
        <v>7.3399744077836635</v>
      </c>
      <c r="G54" s="102">
        <f>TrAvia_ene!G$12</f>
        <v>8.6692607967965092</v>
      </c>
      <c r="H54" s="102">
        <f>TrAvia_ene!H$12</f>
        <v>10.014653755723831</v>
      </c>
      <c r="I54" s="102">
        <f>TrAvia_ene!I$12</f>
        <v>11.596328397311273</v>
      </c>
      <c r="J54" s="102">
        <f>TrAvia_ene!J$12</f>
        <v>13.574977813843896</v>
      </c>
      <c r="K54" s="102">
        <f>TrAvia_ene!K$12</f>
        <v>10.984950813181007</v>
      </c>
      <c r="L54" s="102">
        <f>TrAvia_ene!L$12</f>
        <v>10.735490158220575</v>
      </c>
      <c r="M54" s="102">
        <f>TrAvia_ene!M$12</f>
        <v>7.904835808694882</v>
      </c>
      <c r="N54" s="102">
        <f>TrAvia_ene!N$12</f>
        <v>6.4779462873370397</v>
      </c>
      <c r="O54" s="102">
        <f>TrAvia_ene!O$12</f>
        <v>6.5693060245926373</v>
      </c>
      <c r="P54" s="102">
        <f>TrAvia_ene!P$12</f>
        <v>5.7000851892864794</v>
      </c>
      <c r="Q54" s="102">
        <f>TrAvia_ene!Q$12</f>
        <v>5.9849287131613513</v>
      </c>
      <c r="R54" s="102">
        <f>TrAvia_ene!R$12</f>
        <v>5.5915978710947813</v>
      </c>
      <c r="S54" s="102">
        <f>TrAvia_ene!S$12</f>
        <v>6.0652577721198586</v>
      </c>
      <c r="T54" s="102">
        <f>TrAvia_ene!T$12</f>
        <v>6.5098166735984657</v>
      </c>
      <c r="U54" s="102">
        <f>TrAvia_ene!U$12</f>
        <v>9.6333707885265767</v>
      </c>
      <c r="V54" s="102">
        <f>TrAvia_ene!V$12</f>
        <v>11.047351683360858</v>
      </c>
      <c r="W54" s="102">
        <f>TrAvia_ene!W$12</f>
        <v>11.326696623533872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6.9957561296782176</v>
      </c>
      <c r="C55" s="102">
        <f>TrAvia_ene!C$13</f>
        <v>9.7583911524757632</v>
      </c>
      <c r="D55" s="102">
        <f>TrAvia_ene!D$13</f>
        <v>10.900233751192046</v>
      </c>
      <c r="E55" s="102">
        <f>TrAvia_ene!E$13</f>
        <v>15.085209209963171</v>
      </c>
      <c r="F55" s="102">
        <f>TrAvia_ene!F$13</f>
        <v>19.477905487395386</v>
      </c>
      <c r="G55" s="102">
        <f>TrAvia_ene!G$13</f>
        <v>22.144997887910922</v>
      </c>
      <c r="H55" s="102">
        <f>TrAvia_ene!H$13</f>
        <v>24.346653716320869</v>
      </c>
      <c r="I55" s="102">
        <f>TrAvia_ene!I$13</f>
        <v>22.843218263246495</v>
      </c>
      <c r="J55" s="102">
        <f>TrAvia_ene!J$13</f>
        <v>25.924049566237152</v>
      </c>
      <c r="K55" s="102">
        <f>TrAvia_ene!K$13</f>
        <v>19.823479974454941</v>
      </c>
      <c r="L55" s="102">
        <f>TrAvia_ene!L$13</f>
        <v>23.52344809220849</v>
      </c>
      <c r="M55" s="102">
        <f>TrAvia_ene!M$13</f>
        <v>21.232132859756938</v>
      </c>
      <c r="N55" s="102">
        <f>TrAvia_ene!N$13</f>
        <v>16.599833520565781</v>
      </c>
      <c r="O55" s="102">
        <f>TrAvia_ene!O$13</f>
        <v>11.365129984066733</v>
      </c>
      <c r="P55" s="102">
        <f>TrAvia_ene!P$13</f>
        <v>6.8608007232615877</v>
      </c>
      <c r="Q55" s="102">
        <f>TrAvia_ene!Q$13</f>
        <v>5.4042632144966225</v>
      </c>
      <c r="R55" s="102">
        <f>TrAvia_ene!R$13</f>
        <v>3.8964008554892118</v>
      </c>
      <c r="S55" s="102">
        <f>TrAvia_ene!S$13</f>
        <v>2.9519965583823686</v>
      </c>
      <c r="T55" s="102">
        <f>TrAvia_ene!T$13</f>
        <v>2.3991145453495926</v>
      </c>
      <c r="U55" s="102">
        <f>TrAvia_ene!U$13</f>
        <v>1.6503123630370811</v>
      </c>
      <c r="V55" s="102">
        <f>TrAvia_ene!V$13</f>
        <v>2.3597298068498409</v>
      </c>
      <c r="W55" s="102">
        <f>TrAvia_ene!W$13</f>
        <v>2.3378149319446297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156.76895958727425</v>
      </c>
      <c r="C56" s="110">
        <f t="shared" si="45"/>
        <v>156.52055030094584</v>
      </c>
      <c r="D56" s="110">
        <f t="shared" si="45"/>
        <v>148.24213241616508</v>
      </c>
      <c r="E56" s="110">
        <f t="shared" si="45"/>
        <v>174.48168529664662</v>
      </c>
      <c r="F56" s="110">
        <f t="shared" si="45"/>
        <v>148.74368013757521</v>
      </c>
      <c r="G56" s="110">
        <f t="shared" si="45"/>
        <v>138.06130696474634</v>
      </c>
      <c r="H56" s="110">
        <f t="shared" si="45"/>
        <v>138.99079965606188</v>
      </c>
      <c r="I56" s="110">
        <f t="shared" si="45"/>
        <v>135.94858125537405</v>
      </c>
      <c r="J56" s="110">
        <f t="shared" si="45"/>
        <v>134.15236457437661</v>
      </c>
      <c r="K56" s="110">
        <f t="shared" si="45"/>
        <v>136.81427343078246</v>
      </c>
      <c r="L56" s="110">
        <f t="shared" si="45"/>
        <v>148.17661220980222</v>
      </c>
      <c r="M56" s="110">
        <f t="shared" si="45"/>
        <v>151.4312983662941</v>
      </c>
      <c r="N56" s="110">
        <f t="shared" si="45"/>
        <v>139.38125537403266</v>
      </c>
      <c r="O56" s="110">
        <f t="shared" si="45"/>
        <v>146.2905417024935</v>
      </c>
      <c r="P56" s="110">
        <f t="shared" si="45"/>
        <v>141.7225279449699</v>
      </c>
      <c r="Q56" s="110">
        <f t="shared" si="45"/>
        <v>138.92467755803955</v>
      </c>
      <c r="R56" s="110">
        <f t="shared" ref="R56:V56" si="46">R57+R58</f>
        <v>146.55726569217541</v>
      </c>
      <c r="S56" s="110">
        <f t="shared" si="46"/>
        <v>144.84634565778157</v>
      </c>
      <c r="T56" s="110">
        <f t="shared" si="46"/>
        <v>146.02648323301801</v>
      </c>
      <c r="U56" s="110">
        <f t="shared" si="46"/>
        <v>144.90937231298369</v>
      </c>
      <c r="V56" s="110">
        <f t="shared" si="46"/>
        <v>116.09019776440238</v>
      </c>
      <c r="W56" s="110">
        <f t="shared" ref="W56" si="47">W57+W58</f>
        <v>109.96440240756667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156.76895958727425</v>
      </c>
      <c r="C57" s="102">
        <f>TrNavi_ene!C4</f>
        <v>156.52055030094584</v>
      </c>
      <c r="D57" s="102">
        <f>TrNavi_ene!D4</f>
        <v>148.24213241616508</v>
      </c>
      <c r="E57" s="102">
        <f>TrNavi_ene!E4</f>
        <v>174.48168529664662</v>
      </c>
      <c r="F57" s="102">
        <f>TrNavi_ene!F4</f>
        <v>148.74368013757521</v>
      </c>
      <c r="G57" s="102">
        <f>TrNavi_ene!G4</f>
        <v>138.06130696474634</v>
      </c>
      <c r="H57" s="102">
        <f>TrNavi_ene!H4</f>
        <v>138.99079965606188</v>
      </c>
      <c r="I57" s="102">
        <f>TrNavi_ene!I4</f>
        <v>135.94858125537405</v>
      </c>
      <c r="J57" s="102">
        <f>TrNavi_ene!J4</f>
        <v>134.15236457437661</v>
      </c>
      <c r="K57" s="102">
        <f>TrNavi_ene!K4</f>
        <v>136.81427343078246</v>
      </c>
      <c r="L57" s="102">
        <f>TrNavi_ene!L4</f>
        <v>148.17661220980222</v>
      </c>
      <c r="M57" s="102">
        <f>TrNavi_ene!M4</f>
        <v>151.4312983662941</v>
      </c>
      <c r="N57" s="102">
        <f>TrNavi_ene!N4</f>
        <v>139.38125537403266</v>
      </c>
      <c r="O57" s="102">
        <f>TrNavi_ene!O4</f>
        <v>146.2905417024935</v>
      </c>
      <c r="P57" s="102">
        <f>TrNavi_ene!P4</f>
        <v>141.7225279449699</v>
      </c>
      <c r="Q57" s="102">
        <f>TrNavi_ene!Q4</f>
        <v>138.92467755803955</v>
      </c>
      <c r="R57" s="102">
        <f>TrNavi_ene!R4</f>
        <v>146.32507159856439</v>
      </c>
      <c r="S57" s="102">
        <f>TrNavi_ene!S4</f>
        <v>144.78708161835399</v>
      </c>
      <c r="T57" s="102">
        <f>TrNavi_ene!T4</f>
        <v>145.53253717455681</v>
      </c>
      <c r="U57" s="102">
        <f>TrNavi_ene!U4</f>
        <v>144.33649229479201</v>
      </c>
      <c r="V57" s="102">
        <f>TrNavi_ene!V4</f>
        <v>115.34625163425702</v>
      </c>
      <c r="W57" s="102">
        <f>TrNavi_ene!W4</f>
        <v>108.87723996154207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0.23219409361101828</v>
      </c>
      <c r="S58" s="169">
        <f>TrNavi_ene!S10</f>
        <v>5.9264039427586956E-2</v>
      </c>
      <c r="T58" s="169">
        <f>TrNavi_ene!T10</f>
        <v>0.49394605846121808</v>
      </c>
      <c r="U58" s="169">
        <f>TrNavi_ene!U10</f>
        <v>0.57288001819167322</v>
      </c>
      <c r="V58" s="169">
        <f>TrNavi_ene!V10</f>
        <v>0.74394613014536271</v>
      </c>
      <c r="W58" s="169">
        <f>TrNavi_ene!W10</f>
        <v>1.0871624460245908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1357.3469475494408</v>
      </c>
      <c r="C59" s="28">
        <f t="shared" ref="C59:W59" si="48">C60+C61</f>
        <v>1388.1341358555455</v>
      </c>
      <c r="D59" s="28">
        <f t="shared" si="48"/>
        <v>1204.5906276870162</v>
      </c>
      <c r="E59" s="28">
        <f t="shared" si="48"/>
        <v>1612.2098882201203</v>
      </c>
      <c r="F59" s="28">
        <f t="shared" si="48"/>
        <v>1894.3537403267414</v>
      </c>
      <c r="G59" s="28">
        <f t="shared" si="48"/>
        <v>1934.3508168529659</v>
      </c>
      <c r="H59" s="28">
        <f t="shared" si="48"/>
        <v>2077.6918314703353</v>
      </c>
      <c r="I59" s="28">
        <f t="shared" si="48"/>
        <v>2067.1730008598452</v>
      </c>
      <c r="J59" s="28">
        <f t="shared" si="48"/>
        <v>2031.6662080825445</v>
      </c>
      <c r="K59" s="28">
        <f t="shared" si="48"/>
        <v>2112.7018056749785</v>
      </c>
      <c r="L59" s="28">
        <f t="shared" si="48"/>
        <v>1957.3851246775575</v>
      </c>
      <c r="M59" s="28">
        <f t="shared" si="48"/>
        <v>1719.5710232158208</v>
      </c>
      <c r="N59" s="28">
        <f t="shared" si="48"/>
        <v>1689.8442820292348</v>
      </c>
      <c r="O59" s="28">
        <f t="shared" si="48"/>
        <v>1597.463456577816</v>
      </c>
      <c r="P59" s="28">
        <f t="shared" si="48"/>
        <v>1718.6920894239038</v>
      </c>
      <c r="Q59" s="28">
        <f t="shared" si="48"/>
        <v>1826.4450558899398</v>
      </c>
      <c r="R59" s="28">
        <f t="shared" si="48"/>
        <v>2003.229234737747</v>
      </c>
      <c r="S59" s="28">
        <f t="shared" si="48"/>
        <v>2381.9689595872742</v>
      </c>
      <c r="T59" s="28">
        <f t="shared" si="48"/>
        <v>1810.239724849527</v>
      </c>
      <c r="U59" s="28">
        <f t="shared" si="48"/>
        <v>2063.4412725709376</v>
      </c>
      <c r="V59" s="28">
        <f t="shared" si="48"/>
        <v>2578.1041272570938</v>
      </c>
      <c r="W59" s="28">
        <f t="shared" si="48"/>
        <v>2561.7102321582111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706.12342783185068</v>
      </c>
      <c r="C60" s="102">
        <f>MBunk_ene!C$4</f>
        <v>711.34420442643523</v>
      </c>
      <c r="D60" s="102">
        <f>MBunk_ene!D$4</f>
        <v>620.70882738968658</v>
      </c>
      <c r="E60" s="102">
        <f>MBunk_ene!E$4</f>
        <v>831.53050158638951</v>
      </c>
      <c r="F60" s="102">
        <f>MBunk_ene!F$4</f>
        <v>993.86164823554543</v>
      </c>
      <c r="G60" s="102">
        <f>MBunk_ene!G$4</f>
        <v>993.68026327152052</v>
      </c>
      <c r="H60" s="102">
        <f>MBunk_ene!H$4</f>
        <v>1078.4737992423936</v>
      </c>
      <c r="I60" s="102">
        <f>MBunk_ene!I$4</f>
        <v>1102.0960888276838</v>
      </c>
      <c r="J60" s="102">
        <f>MBunk_ene!J$4</f>
        <v>1071.8857452571117</v>
      </c>
      <c r="K60" s="102">
        <f>MBunk_ene!K$4</f>
        <v>1129.6229252289154</v>
      </c>
      <c r="L60" s="102">
        <f>MBunk_ene!L$4</f>
        <v>1012.1934864593339</v>
      </c>
      <c r="M60" s="102">
        <f>MBunk_ene!M$4</f>
        <v>915.36550598208419</v>
      </c>
      <c r="N60" s="102">
        <f>MBunk_ene!N$4</f>
        <v>896.50023177536775</v>
      </c>
      <c r="O60" s="102">
        <f>MBunk_ene!O$4</f>
        <v>852.79239244268024</v>
      </c>
      <c r="P60" s="102">
        <f>MBunk_ene!P$4</f>
        <v>884.97893966787899</v>
      </c>
      <c r="Q60" s="102">
        <f>MBunk_ene!Q$4</f>
        <v>928.73763856643814</v>
      </c>
      <c r="R60" s="102">
        <f>MBunk_ene!R$4</f>
        <v>1035.7015910032098</v>
      </c>
      <c r="S60" s="102">
        <f>MBunk_ene!S$4</f>
        <v>1286.1753560255113</v>
      </c>
      <c r="T60" s="102">
        <f>MBunk_ene!T$4</f>
        <v>990.14819615025976</v>
      </c>
      <c r="U60" s="102">
        <f>MBunk_ene!U$4</f>
        <v>1122.0719032850675</v>
      </c>
      <c r="V60" s="102">
        <f>MBunk_ene!V$4</f>
        <v>1292.4660384428896</v>
      </c>
      <c r="W60" s="102">
        <f>MBunk_ene!W$4</f>
        <v>1314.929957880018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651.22351971759019</v>
      </c>
      <c r="C61" s="86">
        <f>MBunk_ene!C$10</f>
        <v>676.78993142911042</v>
      </c>
      <c r="D61" s="86">
        <f>MBunk_ene!D$10</f>
        <v>583.88180029732962</v>
      </c>
      <c r="E61" s="86">
        <f>MBunk_ene!E$10</f>
        <v>780.67938663373093</v>
      </c>
      <c r="F61" s="86">
        <f>MBunk_ene!F$10</f>
        <v>900.49209209119601</v>
      </c>
      <c r="G61" s="86">
        <f>MBunk_ene!G$10</f>
        <v>940.67055358144535</v>
      </c>
      <c r="H61" s="86">
        <f>MBunk_ene!H$10</f>
        <v>999.21803222794165</v>
      </c>
      <c r="I61" s="86">
        <f>MBunk_ene!I$10</f>
        <v>965.07691203216143</v>
      </c>
      <c r="J61" s="86">
        <f>MBunk_ene!J$10</f>
        <v>959.78046282543289</v>
      </c>
      <c r="K61" s="86">
        <f>MBunk_ene!K$10</f>
        <v>983.07888044606318</v>
      </c>
      <c r="L61" s="86">
        <f>MBunk_ene!L$10</f>
        <v>945.1916382182236</v>
      </c>
      <c r="M61" s="86">
        <f>MBunk_ene!M$10</f>
        <v>804.20551723373671</v>
      </c>
      <c r="N61" s="86">
        <f>MBunk_ene!N$10</f>
        <v>793.34405025386695</v>
      </c>
      <c r="O61" s="86">
        <f>MBunk_ene!O$10</f>
        <v>744.67106413513591</v>
      </c>
      <c r="P61" s="86">
        <f>MBunk_ene!P$10</f>
        <v>833.7131497560249</v>
      </c>
      <c r="Q61" s="86">
        <f>MBunk_ene!Q$10</f>
        <v>897.70741732350166</v>
      </c>
      <c r="R61" s="86">
        <f>MBunk_ene!R$10</f>
        <v>967.52764373453704</v>
      </c>
      <c r="S61" s="86">
        <f>MBunk_ene!S$10</f>
        <v>1095.7936035617627</v>
      </c>
      <c r="T61" s="86">
        <f>MBunk_ene!T$10</f>
        <v>820.0915286992672</v>
      </c>
      <c r="U61" s="86">
        <f>MBunk_ene!U$10</f>
        <v>941.36936928586999</v>
      </c>
      <c r="V61" s="86">
        <f>MBunk_ene!V$10</f>
        <v>1285.6380888142039</v>
      </c>
      <c r="W61" s="86">
        <f>MBunk_ene!W$10</f>
        <v>1246.780274278193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17819.09414520795</v>
      </c>
      <c r="C64" s="28">
        <f t="shared" si="49"/>
        <v>17642.156506221145</v>
      </c>
      <c r="D64" s="28">
        <f t="shared" si="49"/>
        <v>17283.243173754519</v>
      </c>
      <c r="E64" s="28">
        <f t="shared" si="49"/>
        <v>17213.556856550527</v>
      </c>
      <c r="F64" s="28">
        <f t="shared" si="49"/>
        <v>17460.938969776791</v>
      </c>
      <c r="G64" s="28">
        <f t="shared" si="49"/>
        <v>16712.876010406249</v>
      </c>
      <c r="H64" s="28">
        <f t="shared" si="49"/>
        <v>16753.243013608979</v>
      </c>
      <c r="I64" s="28">
        <f t="shared" si="49"/>
        <v>16831.21693449244</v>
      </c>
      <c r="J64" s="28">
        <f t="shared" si="49"/>
        <v>16786.3083105607</v>
      </c>
      <c r="K64" s="28">
        <f t="shared" si="49"/>
        <v>16596.030536031616</v>
      </c>
      <c r="L64" s="28">
        <f t="shared" si="49"/>
        <v>16516.346404687396</v>
      </c>
      <c r="M64" s="28">
        <f t="shared" si="49"/>
        <v>16578.817345315336</v>
      </c>
      <c r="N64" s="28">
        <f t="shared" si="49"/>
        <v>16119.124068784397</v>
      </c>
      <c r="O64" s="28">
        <f t="shared" si="49"/>
        <v>16162.41344810931</v>
      </c>
      <c r="P64" s="28">
        <f t="shared" si="49"/>
        <v>15698.776148644369</v>
      </c>
      <c r="Q64" s="28">
        <f t="shared" si="49"/>
        <v>15924.490915540178</v>
      </c>
      <c r="R64" s="28">
        <f t="shared" ref="R64:V64" si="50">R65+R69+R73</f>
        <v>15847.91494871553</v>
      </c>
      <c r="S64" s="28">
        <f t="shared" si="50"/>
        <v>15629.024501608721</v>
      </c>
      <c r="T64" s="28">
        <f t="shared" si="50"/>
        <v>15203.323519746962</v>
      </c>
      <c r="U64" s="28">
        <f t="shared" si="50"/>
        <v>14919.444633182544</v>
      </c>
      <c r="V64" s="28">
        <f t="shared" si="50"/>
        <v>11951.273052771723</v>
      </c>
      <c r="W64" s="28">
        <f t="shared" ref="W64" si="51">W65+W69+W73</f>
        <v>12184.365928757079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14947.068997580453</v>
      </c>
      <c r="C65" s="137">
        <f t="shared" si="52"/>
        <v>14721.422542111808</v>
      </c>
      <c r="D65" s="137">
        <f t="shared" si="52"/>
        <v>15048.946040420084</v>
      </c>
      <c r="E65" s="137">
        <f t="shared" si="52"/>
        <v>15066.966041753665</v>
      </c>
      <c r="F65" s="137">
        <f t="shared" si="52"/>
        <v>14913.232022349375</v>
      </c>
      <c r="G65" s="137">
        <f t="shared" si="52"/>
        <v>14145.696766687392</v>
      </c>
      <c r="H65" s="137">
        <f t="shared" si="52"/>
        <v>14137.872424896495</v>
      </c>
      <c r="I65" s="137">
        <f t="shared" si="52"/>
        <v>14262.934324308826</v>
      </c>
      <c r="J65" s="137">
        <f t="shared" si="52"/>
        <v>13866.31219114405</v>
      </c>
      <c r="K65" s="137">
        <f t="shared" si="52"/>
        <v>13935.283957964581</v>
      </c>
      <c r="L65" s="137">
        <f t="shared" si="52"/>
        <v>13973.091743837029</v>
      </c>
      <c r="M65" s="137">
        <f t="shared" si="52"/>
        <v>13816.233094469315</v>
      </c>
      <c r="N65" s="137">
        <f t="shared" si="52"/>
        <v>13451.966731522898</v>
      </c>
      <c r="O65" s="137">
        <f t="shared" si="52"/>
        <v>13203.324021793438</v>
      </c>
      <c r="P65" s="137">
        <f t="shared" si="52"/>
        <v>12949.968434848424</v>
      </c>
      <c r="Q65" s="137">
        <f t="shared" si="52"/>
        <v>13126.321953654526</v>
      </c>
      <c r="R65" s="137">
        <f t="shared" ref="R65:V65" si="53">R66+R67+R68</f>
        <v>12755.249691068202</v>
      </c>
      <c r="S65" s="137">
        <f t="shared" si="53"/>
        <v>12382.199917889793</v>
      </c>
      <c r="T65" s="137">
        <f t="shared" si="53"/>
        <v>11844.131258516119</v>
      </c>
      <c r="U65" s="137">
        <f t="shared" si="53"/>
        <v>11759.853508967872</v>
      </c>
      <c r="V65" s="137">
        <f t="shared" si="53"/>
        <v>10750.176280506712</v>
      </c>
      <c r="W65" s="137">
        <f t="shared" ref="W65" si="54">W66+W67+W68</f>
        <v>10915.65228615309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65.906364240480428</v>
      </c>
      <c r="C66" s="102">
        <f>TrRoad_emi!C$19</f>
        <v>70.509937826087921</v>
      </c>
      <c r="D66" s="102">
        <f>TrRoad_emi!D$19</f>
        <v>77.953612656155045</v>
      </c>
      <c r="E66" s="102">
        <f>TrRoad_emi!E$19</f>
        <v>82.617330641039217</v>
      </c>
      <c r="F66" s="102">
        <f>TrRoad_emi!F$19</f>
        <v>86.893546143261986</v>
      </c>
      <c r="G66" s="102">
        <f>TrRoad_emi!G$19</f>
        <v>87.231701406722891</v>
      </c>
      <c r="H66" s="102">
        <f>TrRoad_emi!H$19</f>
        <v>92.771206216344268</v>
      </c>
      <c r="I66" s="102">
        <f>TrRoad_emi!I$19</f>
        <v>100.92549555208141</v>
      </c>
      <c r="J66" s="102">
        <f>TrRoad_emi!J$19</f>
        <v>96.299940468004863</v>
      </c>
      <c r="K66" s="102">
        <f>TrRoad_emi!K$19</f>
        <v>95.407019296779694</v>
      </c>
      <c r="L66" s="102">
        <f>TrRoad_emi!L$19</f>
        <v>88.569714406669632</v>
      </c>
      <c r="M66" s="102">
        <f>TrRoad_emi!M$19</f>
        <v>86.24523472603039</v>
      </c>
      <c r="N66" s="102">
        <f>TrRoad_emi!N$19</f>
        <v>73.16457868312925</v>
      </c>
      <c r="O66" s="102">
        <f>TrRoad_emi!O$19</f>
        <v>80.893157566600919</v>
      </c>
      <c r="P66" s="102">
        <f>TrRoad_emi!P$19</f>
        <v>78.963402883906525</v>
      </c>
      <c r="Q66" s="102">
        <f>TrRoad_emi!Q$19</f>
        <v>79.573682506749748</v>
      </c>
      <c r="R66" s="102">
        <f>TrRoad_emi!R$19</f>
        <v>83.130490815900771</v>
      </c>
      <c r="S66" s="102">
        <f>TrRoad_emi!S$19</f>
        <v>77.492482353102844</v>
      </c>
      <c r="T66" s="102">
        <f>TrRoad_emi!T$19</f>
        <v>71.923046551461411</v>
      </c>
      <c r="U66" s="102">
        <f>TrRoad_emi!U$19</f>
        <v>76.16581664057037</v>
      </c>
      <c r="V66" s="102">
        <f>TrRoad_emi!V$19</f>
        <v>67.225414102492167</v>
      </c>
      <c r="W66" s="102">
        <f>TrRoad_emi!W$19</f>
        <v>65.100340937747873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12974.709155220244</v>
      </c>
      <c r="C67" s="102">
        <f>TrRoad_emi!C$20</f>
        <v>12809.045104075194</v>
      </c>
      <c r="D67" s="102">
        <f>TrRoad_emi!D$20</f>
        <v>13171.380288480699</v>
      </c>
      <c r="E67" s="102">
        <f>TrRoad_emi!E$20</f>
        <v>13167.113310664348</v>
      </c>
      <c r="F67" s="102">
        <f>TrRoad_emi!F$20</f>
        <v>13034.650649902795</v>
      </c>
      <c r="G67" s="102">
        <f>TrRoad_emi!G$20</f>
        <v>12464.022527201532</v>
      </c>
      <c r="H67" s="102">
        <f>TrRoad_emi!H$20</f>
        <v>12400.275572918905</v>
      </c>
      <c r="I67" s="102">
        <f>TrRoad_emi!I$20</f>
        <v>12611.834653370186</v>
      </c>
      <c r="J67" s="102">
        <f>TrRoad_emi!J$20</f>
        <v>12279.450865059564</v>
      </c>
      <c r="K67" s="102">
        <f>TrRoad_emi!K$20</f>
        <v>12428.980485372129</v>
      </c>
      <c r="L67" s="102">
        <f>TrRoad_emi!L$20</f>
        <v>12405.826692699509</v>
      </c>
      <c r="M67" s="102">
        <f>TrRoad_emi!M$20</f>
        <v>12295.925883768303</v>
      </c>
      <c r="N67" s="102">
        <f>TrRoad_emi!N$20</f>
        <v>11968.621927536373</v>
      </c>
      <c r="O67" s="102">
        <f>TrRoad_emi!O$20</f>
        <v>11815.509661393464</v>
      </c>
      <c r="P67" s="102">
        <f>TrRoad_emi!P$20</f>
        <v>11703.158904127942</v>
      </c>
      <c r="Q67" s="102">
        <f>TrRoad_emi!Q$20</f>
        <v>11928.543997941346</v>
      </c>
      <c r="R67" s="102">
        <f>TrRoad_emi!R$20</f>
        <v>11635.701485155227</v>
      </c>
      <c r="S67" s="102">
        <f>TrRoad_emi!S$20</f>
        <v>11339.752454510555</v>
      </c>
      <c r="T67" s="102">
        <f>TrRoad_emi!T$20</f>
        <v>10854.709957044775</v>
      </c>
      <c r="U67" s="102">
        <f>TrRoad_emi!U$20</f>
        <v>10749.921466382202</v>
      </c>
      <c r="V67" s="102">
        <f>TrRoad_emi!V$20</f>
        <v>9855.7751823576818</v>
      </c>
      <c r="W67" s="102">
        <f>TrRoad_emi!W$20</f>
        <v>10043.862520286944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1906.453478119729</v>
      </c>
      <c r="C68" s="102">
        <f>TrRoad_emi!C$27</f>
        <v>1841.8675002105258</v>
      </c>
      <c r="D68" s="102">
        <f>TrRoad_emi!D$27</f>
        <v>1799.6121392832301</v>
      </c>
      <c r="E68" s="102">
        <f>TrRoad_emi!E$27</f>
        <v>1817.235400448277</v>
      </c>
      <c r="F68" s="102">
        <f>TrRoad_emi!F$27</f>
        <v>1791.6878263033202</v>
      </c>
      <c r="G68" s="102">
        <f>TrRoad_emi!G$27</f>
        <v>1594.4425380791363</v>
      </c>
      <c r="H68" s="102">
        <f>TrRoad_emi!H$27</f>
        <v>1644.8256457612467</v>
      </c>
      <c r="I68" s="102">
        <f>TrRoad_emi!I$27</f>
        <v>1550.1741753865599</v>
      </c>
      <c r="J68" s="102">
        <f>TrRoad_emi!J$27</f>
        <v>1490.5613856164812</v>
      </c>
      <c r="K68" s="102">
        <f>TrRoad_emi!K$27</f>
        <v>1410.896453295672</v>
      </c>
      <c r="L68" s="102">
        <f>TrRoad_emi!L$27</f>
        <v>1478.6953367308502</v>
      </c>
      <c r="M68" s="102">
        <f>TrRoad_emi!M$27</f>
        <v>1434.0619759749829</v>
      </c>
      <c r="N68" s="102">
        <f>TrRoad_emi!N$27</f>
        <v>1410.1802253033975</v>
      </c>
      <c r="O68" s="102">
        <f>TrRoad_emi!O$27</f>
        <v>1306.9212028333725</v>
      </c>
      <c r="P68" s="102">
        <f>TrRoad_emi!P$27</f>
        <v>1167.8461278365755</v>
      </c>
      <c r="Q68" s="102">
        <f>TrRoad_emi!Q$27</f>
        <v>1118.204273206429</v>
      </c>
      <c r="R68" s="102">
        <f>TrRoad_emi!R$27</f>
        <v>1036.417715097075</v>
      </c>
      <c r="S68" s="102">
        <f>TrRoad_emi!S$27</f>
        <v>964.95498102613465</v>
      </c>
      <c r="T68" s="102">
        <f>TrRoad_emi!T$27</f>
        <v>917.49825491988281</v>
      </c>
      <c r="U68" s="102">
        <f>TrRoad_emi!U$27</f>
        <v>933.7662259450982</v>
      </c>
      <c r="V68" s="102">
        <f>TrRoad_emi!V$27</f>
        <v>827.17568404653787</v>
      </c>
      <c r="W68" s="102">
        <f>TrRoad_emi!W$27</f>
        <v>806.68942492839756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29.11125765569269</v>
      </c>
      <c r="C69" s="110">
        <f t="shared" si="55"/>
        <v>32.932173550249473</v>
      </c>
      <c r="D69" s="110">
        <f t="shared" si="55"/>
        <v>45.704701531075706</v>
      </c>
      <c r="E69" s="110">
        <f t="shared" si="55"/>
        <v>36.374909861770085</v>
      </c>
      <c r="F69" s="110">
        <f t="shared" si="55"/>
        <v>19.820529241525389</v>
      </c>
      <c r="G69" s="110">
        <f t="shared" si="55"/>
        <v>15.944440698074921</v>
      </c>
      <c r="H69" s="110">
        <f t="shared" si="55"/>
        <v>22.869047661461167</v>
      </c>
      <c r="I69" s="110">
        <f t="shared" si="55"/>
        <v>21.559852810310179</v>
      </c>
      <c r="J69" s="110">
        <f t="shared" si="55"/>
        <v>27.239226149455234</v>
      </c>
      <c r="K69" s="110">
        <f t="shared" si="55"/>
        <v>27.08067084677246</v>
      </c>
      <c r="L69" s="110">
        <f t="shared" si="55"/>
        <v>23.474583803245324</v>
      </c>
      <c r="M69" s="110">
        <f t="shared" si="55"/>
        <v>18.427915636195522</v>
      </c>
      <c r="N69" s="110">
        <f t="shared" si="55"/>
        <v>25.241270221560317</v>
      </c>
      <c r="O69" s="110">
        <f t="shared" si="55"/>
        <v>18.783909265395277</v>
      </c>
      <c r="P69" s="110">
        <f t="shared" si="55"/>
        <v>19.86173427012837</v>
      </c>
      <c r="Q69" s="110">
        <f t="shared" si="55"/>
        <v>18.064436135033073</v>
      </c>
      <c r="R69" s="110">
        <f t="shared" ref="R69:V69" si="56">R70+R71+R72</f>
        <v>17.643954314018227</v>
      </c>
      <c r="S69" s="110">
        <f t="shared" si="56"/>
        <v>19.166125210618624</v>
      </c>
      <c r="T69" s="110">
        <f t="shared" si="56"/>
        <v>19.442957818131479</v>
      </c>
      <c r="U69" s="110">
        <f t="shared" si="56"/>
        <v>22.128505423896243</v>
      </c>
      <c r="V69" s="110">
        <f t="shared" si="56"/>
        <v>21.513344210769464</v>
      </c>
      <c r="W69" s="110">
        <f t="shared" ref="W69" si="57">W70+W71+W72</f>
        <v>19.270028021192235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29.11125765569269</v>
      </c>
      <c r="C71" s="102">
        <f>TrRail_emi!C$11</f>
        <v>32.932173550249473</v>
      </c>
      <c r="D71" s="102">
        <f>TrRail_emi!D$11</f>
        <v>45.704701531075706</v>
      </c>
      <c r="E71" s="102">
        <f>TrRail_emi!E$11</f>
        <v>36.374909861770085</v>
      </c>
      <c r="F71" s="102">
        <f>TrRail_emi!F$11</f>
        <v>19.820529241525389</v>
      </c>
      <c r="G71" s="102">
        <f>TrRail_emi!G$11</f>
        <v>15.944440698074921</v>
      </c>
      <c r="H71" s="102">
        <f>TrRail_emi!H$11</f>
        <v>22.869047661461167</v>
      </c>
      <c r="I71" s="102">
        <f>TrRail_emi!I$11</f>
        <v>21.559852810310179</v>
      </c>
      <c r="J71" s="102">
        <f>TrRail_emi!J$11</f>
        <v>27.239226149455234</v>
      </c>
      <c r="K71" s="102">
        <f>TrRail_emi!K$11</f>
        <v>27.08067084677246</v>
      </c>
      <c r="L71" s="102">
        <f>TrRail_emi!L$11</f>
        <v>23.474583803245324</v>
      </c>
      <c r="M71" s="102">
        <f>TrRail_emi!M$11</f>
        <v>18.427915636195522</v>
      </c>
      <c r="N71" s="102">
        <f>TrRail_emi!N$11</f>
        <v>25.241270221560317</v>
      </c>
      <c r="O71" s="102">
        <f>TrRail_emi!O$11</f>
        <v>18.783909265395277</v>
      </c>
      <c r="P71" s="102">
        <f>TrRail_emi!P$11</f>
        <v>19.86173427012837</v>
      </c>
      <c r="Q71" s="102">
        <f>TrRail_emi!Q$11</f>
        <v>18.064436135033073</v>
      </c>
      <c r="R71" s="102">
        <f>TrRail_emi!R$11</f>
        <v>17.643954314018227</v>
      </c>
      <c r="S71" s="102">
        <f>TrRail_emi!S$11</f>
        <v>19.166125210618624</v>
      </c>
      <c r="T71" s="102">
        <f>TrRail_emi!T$11</f>
        <v>19.442957818131479</v>
      </c>
      <c r="U71" s="102">
        <f>TrRail_emi!U$11</f>
        <v>22.128505423896243</v>
      </c>
      <c r="V71" s="102">
        <f>TrRail_emi!V$11</f>
        <v>21.513344210769464</v>
      </c>
      <c r="W71" s="102">
        <f>TrRail_emi!W$11</f>
        <v>19.270028021192235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2842.9138899718032</v>
      </c>
      <c r="C73" s="110">
        <f t="shared" si="58"/>
        <v>2887.8017905590882</v>
      </c>
      <c r="D73" s="110">
        <f t="shared" si="58"/>
        <v>2188.5924318033608</v>
      </c>
      <c r="E73" s="110">
        <f t="shared" si="58"/>
        <v>2110.2159049350907</v>
      </c>
      <c r="F73" s="110">
        <f t="shared" si="58"/>
        <v>2527.8864181858885</v>
      </c>
      <c r="G73" s="110">
        <f t="shared" si="58"/>
        <v>2551.2348030207831</v>
      </c>
      <c r="H73" s="110">
        <f t="shared" si="58"/>
        <v>2592.5015410510237</v>
      </c>
      <c r="I73" s="110">
        <f t="shared" si="58"/>
        <v>2546.7227573733048</v>
      </c>
      <c r="J73" s="110">
        <f t="shared" si="58"/>
        <v>2892.7568932671934</v>
      </c>
      <c r="K73" s="110">
        <f t="shared" si="58"/>
        <v>2633.6659072202633</v>
      </c>
      <c r="L73" s="110">
        <f t="shared" si="58"/>
        <v>2519.7800770471213</v>
      </c>
      <c r="M73" s="110">
        <f t="shared" si="58"/>
        <v>2744.1563352098265</v>
      </c>
      <c r="N73" s="110">
        <f t="shared" si="58"/>
        <v>2641.9160670399374</v>
      </c>
      <c r="O73" s="110">
        <f t="shared" si="58"/>
        <v>2940.3055170504758</v>
      </c>
      <c r="P73" s="110">
        <f t="shared" si="58"/>
        <v>2728.9459795258158</v>
      </c>
      <c r="Q73" s="110">
        <f t="shared" si="58"/>
        <v>2780.1045257506198</v>
      </c>
      <c r="R73" s="110">
        <f t="shared" ref="R73:V73" si="59">R74+R75+R76</f>
        <v>3075.0213033333084</v>
      </c>
      <c r="S73" s="110">
        <f t="shared" si="59"/>
        <v>3227.6584585083101</v>
      </c>
      <c r="T73" s="110">
        <f t="shared" si="59"/>
        <v>3339.7493034127119</v>
      </c>
      <c r="U73" s="110">
        <f t="shared" si="59"/>
        <v>3137.4626187907761</v>
      </c>
      <c r="V73" s="110">
        <f t="shared" si="59"/>
        <v>1179.5834280542422</v>
      </c>
      <c r="W73" s="110">
        <f t="shared" ref="W73" si="60">W74+W75+W76</f>
        <v>1249.4436145827972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731.47502116123292</v>
      </c>
      <c r="C74" s="102">
        <f>TrAvia_emi!C$7</f>
        <v>741.61104493028552</v>
      </c>
      <c r="D74" s="102">
        <f>TrAvia_emi!D$7</f>
        <v>614.39768652404871</v>
      </c>
      <c r="E74" s="102">
        <f>TrAvia_emi!E$7</f>
        <v>594.86105247785724</v>
      </c>
      <c r="F74" s="102">
        <f>TrAvia_emi!F$7</f>
        <v>677.60541875884053</v>
      </c>
      <c r="G74" s="102">
        <f>TrAvia_emi!G$7</f>
        <v>697.13018943053805</v>
      </c>
      <c r="H74" s="102">
        <f>TrAvia_emi!H$7</f>
        <v>657.12173105814827</v>
      </c>
      <c r="I74" s="102">
        <f>TrAvia_emi!I$7</f>
        <v>640.11558152941143</v>
      </c>
      <c r="J74" s="102">
        <f>TrAvia_emi!J$7</f>
        <v>598.68998878050309</v>
      </c>
      <c r="K74" s="102">
        <f>TrAvia_emi!K$7</f>
        <v>525.88054985784686</v>
      </c>
      <c r="L74" s="102">
        <f>TrAvia_emi!L$7</f>
        <v>495.30998404461934</v>
      </c>
      <c r="M74" s="102">
        <f>TrAvia_emi!M$7</f>
        <v>545.72803005257902</v>
      </c>
      <c r="N74" s="102">
        <f>TrAvia_emi!N$7</f>
        <v>536.22537991124079</v>
      </c>
      <c r="O74" s="102">
        <f>TrAvia_emi!O$7</f>
        <v>540.10225476415394</v>
      </c>
      <c r="P74" s="102">
        <f>TrAvia_emi!P$7</f>
        <v>537.69275994850955</v>
      </c>
      <c r="Q74" s="102">
        <f>TrAvia_emi!Q$7</f>
        <v>531.42071499101405</v>
      </c>
      <c r="R74" s="102">
        <f>TrAvia_emi!R$7</f>
        <v>566.95111318953309</v>
      </c>
      <c r="S74" s="102">
        <f>TrAvia_emi!S$7</f>
        <v>561.83182217816102</v>
      </c>
      <c r="T74" s="102">
        <f>TrAvia_emi!T$7</f>
        <v>531.33501094327767</v>
      </c>
      <c r="U74" s="102">
        <f>TrAvia_emi!U$7</f>
        <v>478.55181639181319</v>
      </c>
      <c r="V74" s="102">
        <f>TrAvia_emi!V$7</f>
        <v>184.14596688937289</v>
      </c>
      <c r="W74" s="102">
        <f>TrAvia_emi!W$7</f>
        <v>210.18089479176018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1494.9966993452906</v>
      </c>
      <c r="C75" s="102">
        <f>TrAvia_emi!C$8</f>
        <v>1534.5805850264021</v>
      </c>
      <c r="D75" s="102">
        <f>TrAvia_emi!D$8</f>
        <v>1141.08806577009</v>
      </c>
      <c r="E75" s="102">
        <f>TrAvia_emi!E$8</f>
        <v>1116.93660102679</v>
      </c>
      <c r="F75" s="102">
        <f>TrAvia_emi!F$8</f>
        <v>1360.2825681051668</v>
      </c>
      <c r="G75" s="102">
        <f>TrAvia_emi!G$8</f>
        <v>1362.8178269734778</v>
      </c>
      <c r="H75" s="102">
        <f>TrAvia_emi!H$8</f>
        <v>1433.2935548066559</v>
      </c>
      <c r="I75" s="102">
        <f>TrAvia_emi!I$8</f>
        <v>1420.0851852754963</v>
      </c>
      <c r="J75" s="102">
        <f>TrAvia_emi!J$8</f>
        <v>1699.391124750508</v>
      </c>
      <c r="K75" s="102">
        <f>TrAvia_emi!K$8</f>
        <v>1530.3094285410716</v>
      </c>
      <c r="L75" s="102">
        <f>TrAvia_emi!L$8</f>
        <v>1470.6891218617404</v>
      </c>
      <c r="M75" s="102">
        <f>TrAvia_emi!M$8</f>
        <v>1608.3020524175702</v>
      </c>
      <c r="N75" s="102">
        <f>TrAvia_emi!N$8</f>
        <v>1524.6351878479445</v>
      </c>
      <c r="O75" s="102">
        <f>TrAvia_emi!O$8</f>
        <v>1740.1529588969606</v>
      </c>
      <c r="P75" s="102">
        <f>TrAvia_emi!P$8</f>
        <v>1592.8517921377929</v>
      </c>
      <c r="Q75" s="102">
        <f>TrAvia_emi!Q$8</f>
        <v>1635.396259053955</v>
      </c>
      <c r="R75" s="102">
        <f>TrAvia_emi!R$8</f>
        <v>1852.0196627607434</v>
      </c>
      <c r="S75" s="102">
        <f>TrAvia_emi!S$8</f>
        <v>1989.4931647382582</v>
      </c>
      <c r="T75" s="102">
        <f>TrAvia_emi!T$8</f>
        <v>2080.9637696400009</v>
      </c>
      <c r="U75" s="102">
        <f>TrAvia_emi!U$8</f>
        <v>1939.9378973229384</v>
      </c>
      <c r="V75" s="102">
        <f>TrAvia_emi!V$8</f>
        <v>672.84674872604444</v>
      </c>
      <c r="W75" s="102">
        <f>TrAvia_emi!W$8</f>
        <v>733.55081118431349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616.44216946527968</v>
      </c>
      <c r="C76" s="102">
        <f>TrAvia_emi!C$9</f>
        <v>611.6101606024007</v>
      </c>
      <c r="D76" s="102">
        <f>TrAvia_emi!D$9</f>
        <v>433.10667950922203</v>
      </c>
      <c r="E76" s="102">
        <f>TrAvia_emi!E$9</f>
        <v>398.41825143044349</v>
      </c>
      <c r="F76" s="102">
        <f>TrAvia_emi!F$9</f>
        <v>489.99843132188113</v>
      </c>
      <c r="G76" s="102">
        <f>TrAvia_emi!G$9</f>
        <v>491.28678661676713</v>
      </c>
      <c r="H76" s="102">
        <f>TrAvia_emi!H$9</f>
        <v>502.08625518621966</v>
      </c>
      <c r="I76" s="102">
        <f>TrAvia_emi!I$9</f>
        <v>486.5219905683972</v>
      </c>
      <c r="J76" s="102">
        <f>TrAvia_emi!J$9</f>
        <v>594.67577973618256</v>
      </c>
      <c r="K76" s="102">
        <f>TrAvia_emi!K$9</f>
        <v>577.47592882134495</v>
      </c>
      <c r="L76" s="102">
        <f>TrAvia_emi!L$9</f>
        <v>553.78097114076138</v>
      </c>
      <c r="M76" s="102">
        <f>TrAvia_emi!M$9</f>
        <v>590.12625273967762</v>
      </c>
      <c r="N76" s="102">
        <f>TrAvia_emi!N$9</f>
        <v>581.05549928075209</v>
      </c>
      <c r="O76" s="102">
        <f>TrAvia_emi!O$9</f>
        <v>660.05030338936115</v>
      </c>
      <c r="P76" s="102">
        <f>TrAvia_emi!P$9</f>
        <v>598.40142743951344</v>
      </c>
      <c r="Q76" s="102">
        <f>TrAvia_emi!Q$9</f>
        <v>613.28755170565091</v>
      </c>
      <c r="R76" s="102">
        <f>TrAvia_emi!R$9</f>
        <v>656.05052738303243</v>
      </c>
      <c r="S76" s="102">
        <f>TrAvia_emi!S$9</f>
        <v>676.33347159189111</v>
      </c>
      <c r="T76" s="102">
        <f>TrAvia_emi!T$9</f>
        <v>727.45052282943323</v>
      </c>
      <c r="U76" s="102">
        <f>TrAvia_emi!U$9</f>
        <v>718.97290507602452</v>
      </c>
      <c r="V76" s="102">
        <f>TrAvia_emi!V$9</f>
        <v>322.59071243882499</v>
      </c>
      <c r="W76" s="102">
        <f>TrAvia_emi!W$9</f>
        <v>305.7119086067234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5724.6221917120511</v>
      </c>
      <c r="C77" s="28">
        <f t="shared" si="61"/>
        <v>5870.5191698188528</v>
      </c>
      <c r="D77" s="28">
        <f t="shared" si="61"/>
        <v>5868.3628134054798</v>
      </c>
      <c r="E77" s="28">
        <f t="shared" si="61"/>
        <v>6189.5660480494726</v>
      </c>
      <c r="F77" s="28">
        <f t="shared" si="61"/>
        <v>6702.8819647032124</v>
      </c>
      <c r="G77" s="28">
        <f t="shared" si="61"/>
        <v>6410.3611131137477</v>
      </c>
      <c r="H77" s="28">
        <f t="shared" si="61"/>
        <v>6580.9331629510179</v>
      </c>
      <c r="I77" s="28">
        <f t="shared" si="61"/>
        <v>6620.3571245075573</v>
      </c>
      <c r="J77" s="28">
        <f t="shared" si="61"/>
        <v>6623.3506841993012</v>
      </c>
      <c r="K77" s="28">
        <f t="shared" si="61"/>
        <v>6073.8261241283835</v>
      </c>
      <c r="L77" s="28">
        <f t="shared" si="61"/>
        <v>6456.688278832602</v>
      </c>
      <c r="M77" s="28">
        <f t="shared" si="61"/>
        <v>6261.8857230046615</v>
      </c>
      <c r="N77" s="28">
        <f t="shared" si="61"/>
        <v>5576.2958197756052</v>
      </c>
      <c r="O77" s="28">
        <f t="shared" si="61"/>
        <v>5309.2762590906932</v>
      </c>
      <c r="P77" s="28">
        <f t="shared" si="61"/>
        <v>5057.706776395632</v>
      </c>
      <c r="Q77" s="28">
        <f t="shared" si="61"/>
        <v>4935.8439818598208</v>
      </c>
      <c r="R77" s="28">
        <f t="shared" ref="R77:V77" si="62">R78+R81+R82+R86+R92</f>
        <v>4439.7123315644685</v>
      </c>
      <c r="S77" s="28">
        <f t="shared" si="62"/>
        <v>4349.6852285112782</v>
      </c>
      <c r="T77" s="28">
        <f t="shared" si="62"/>
        <v>4037.3986883330376</v>
      </c>
      <c r="U77" s="28">
        <f t="shared" si="62"/>
        <v>4100.6028658174573</v>
      </c>
      <c r="V77" s="28">
        <f t="shared" si="62"/>
        <v>4155.1660266682766</v>
      </c>
      <c r="W77" s="28">
        <f t="shared" ref="W77" si="63">W78+W81+W82+W86+W92</f>
        <v>4305.9784420029209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5146.7143829795468</v>
      </c>
      <c r="C78" s="137">
        <f t="shared" si="64"/>
        <v>5290.7552478881908</v>
      </c>
      <c r="D78" s="137">
        <f t="shared" si="64"/>
        <v>5312.5560615399154</v>
      </c>
      <c r="E78" s="137">
        <f t="shared" si="64"/>
        <v>5531.235649086334</v>
      </c>
      <c r="F78" s="137">
        <f t="shared" si="64"/>
        <v>6097.389901370625</v>
      </c>
      <c r="G78" s="137">
        <f t="shared" si="64"/>
        <v>5818.0484233126062</v>
      </c>
      <c r="H78" s="137">
        <f t="shared" si="64"/>
        <v>5976.5943308635033</v>
      </c>
      <c r="I78" s="137">
        <f t="shared" si="64"/>
        <v>6024.9996590511719</v>
      </c>
      <c r="J78" s="137">
        <f t="shared" si="64"/>
        <v>6019.9030752159497</v>
      </c>
      <c r="K78" s="137">
        <f t="shared" si="64"/>
        <v>5498.1339532354195</v>
      </c>
      <c r="L78" s="137">
        <f t="shared" si="64"/>
        <v>5834.7650297229675</v>
      </c>
      <c r="M78" s="137">
        <f t="shared" si="64"/>
        <v>5641.599398970684</v>
      </c>
      <c r="N78" s="137">
        <f t="shared" si="64"/>
        <v>5020.0271678771023</v>
      </c>
      <c r="O78" s="137">
        <f t="shared" si="64"/>
        <v>4746.5461373265643</v>
      </c>
      <c r="P78" s="137">
        <f t="shared" si="64"/>
        <v>4533.367938391576</v>
      </c>
      <c r="Q78" s="137">
        <f t="shared" si="64"/>
        <v>4429.361576225474</v>
      </c>
      <c r="R78" s="137">
        <f t="shared" ref="R78:V78" si="65">R79+R80</f>
        <v>3916.6474986517951</v>
      </c>
      <c r="S78" s="137">
        <f t="shared" si="65"/>
        <v>3837.7207047902066</v>
      </c>
      <c r="T78" s="137">
        <f t="shared" si="65"/>
        <v>3515.5960682438804</v>
      </c>
      <c r="U78" s="137">
        <f t="shared" si="65"/>
        <v>3593.9512414321298</v>
      </c>
      <c r="V78" s="137">
        <f t="shared" si="65"/>
        <v>3744.0211387732879</v>
      </c>
      <c r="W78" s="137">
        <f t="shared" ref="W78" si="66">W79+W80</f>
        <v>3919.74947156691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1195.588652358369</v>
      </c>
      <c r="C79" s="102">
        <f>TrRoad_emi!C$34</f>
        <v>1330.7348000319878</v>
      </c>
      <c r="D79" s="102">
        <f>TrRoad_emi!D$34</f>
        <v>1403.79219128465</v>
      </c>
      <c r="E79" s="102">
        <f>TrRoad_emi!E$34</f>
        <v>1528.6909553898986</v>
      </c>
      <c r="F79" s="102">
        <f>TrRoad_emi!F$34</f>
        <v>1713.118259877846</v>
      </c>
      <c r="G79" s="102">
        <f>TrRoad_emi!G$34</f>
        <v>1544.6972839234404</v>
      </c>
      <c r="H79" s="102">
        <f>TrRoad_emi!H$34</f>
        <v>1650.5327480865014</v>
      </c>
      <c r="I79" s="102">
        <f>TrRoad_emi!I$34</f>
        <v>1679.3779236331563</v>
      </c>
      <c r="J79" s="102">
        <f>TrRoad_emi!J$34</f>
        <v>1695.5431309415796</v>
      </c>
      <c r="K79" s="102">
        <f>TrRoad_emi!K$34</f>
        <v>1667.7458653891993</v>
      </c>
      <c r="L79" s="102">
        <f>TrRoad_emi!L$34</f>
        <v>1789.3455843994373</v>
      </c>
      <c r="M79" s="102">
        <f>TrRoad_emi!M$34</f>
        <v>1812.7499887266654</v>
      </c>
      <c r="N79" s="102">
        <f>TrRoad_emi!N$34</f>
        <v>1718.8172360291717</v>
      </c>
      <c r="O79" s="102">
        <f>TrRoad_emi!O$34</f>
        <v>1648.2172143625544</v>
      </c>
      <c r="P79" s="102">
        <f>TrRoad_emi!P$34</f>
        <v>1527.6075313458296</v>
      </c>
      <c r="Q79" s="102">
        <f>TrRoad_emi!Q$34</f>
        <v>1541.7128326621194</v>
      </c>
      <c r="R79" s="102">
        <f>TrRoad_emi!R$34</f>
        <v>1421.1307736203687</v>
      </c>
      <c r="S79" s="102">
        <f>TrRoad_emi!S$34</f>
        <v>1433.6319325038814</v>
      </c>
      <c r="T79" s="102">
        <f>TrRoad_emi!T$34</f>
        <v>1321.3779247038688</v>
      </c>
      <c r="U79" s="102">
        <f>TrRoad_emi!U$34</f>
        <v>1362.7138405358041</v>
      </c>
      <c r="V79" s="102">
        <f>TrRoad_emi!V$34</f>
        <v>1387.2043024751038</v>
      </c>
      <c r="W79" s="102">
        <f>TrRoad_emi!W$34</f>
        <v>1406.2861732978511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3951.1257306211778</v>
      </c>
      <c r="C80" s="102">
        <f>TrRoad_emi!C$40</f>
        <v>3960.0204478562027</v>
      </c>
      <c r="D80" s="102">
        <f>TrRoad_emi!D$40</f>
        <v>3908.7638702552658</v>
      </c>
      <c r="E80" s="102">
        <f>TrRoad_emi!E$40</f>
        <v>4002.5446936964354</v>
      </c>
      <c r="F80" s="102">
        <f>TrRoad_emi!F$40</f>
        <v>4384.2716414927791</v>
      </c>
      <c r="G80" s="102">
        <f>TrRoad_emi!G$40</f>
        <v>4273.3511393891658</v>
      </c>
      <c r="H80" s="102">
        <f>TrRoad_emi!H$40</f>
        <v>4326.0615827770016</v>
      </c>
      <c r="I80" s="102">
        <f>TrRoad_emi!I$40</f>
        <v>4345.6217354180153</v>
      </c>
      <c r="J80" s="102">
        <f>TrRoad_emi!J$40</f>
        <v>4324.3599442743698</v>
      </c>
      <c r="K80" s="102">
        <f>TrRoad_emi!K$40</f>
        <v>3830.3880878462205</v>
      </c>
      <c r="L80" s="102">
        <f>TrRoad_emi!L$40</f>
        <v>4045.4194453235305</v>
      </c>
      <c r="M80" s="102">
        <f>TrRoad_emi!M$40</f>
        <v>3828.8494102440181</v>
      </c>
      <c r="N80" s="102">
        <f>TrRoad_emi!N$40</f>
        <v>3301.2099318479304</v>
      </c>
      <c r="O80" s="102">
        <f>TrRoad_emi!O$40</f>
        <v>3098.3289229640095</v>
      </c>
      <c r="P80" s="102">
        <f>TrRoad_emi!P$40</f>
        <v>3005.7604070457464</v>
      </c>
      <c r="Q80" s="102">
        <f>TrRoad_emi!Q$40</f>
        <v>2887.6487435633544</v>
      </c>
      <c r="R80" s="102">
        <f>TrRoad_emi!R$40</f>
        <v>2495.5167250314266</v>
      </c>
      <c r="S80" s="102">
        <f>TrRoad_emi!S$40</f>
        <v>2404.0887722863249</v>
      </c>
      <c r="T80" s="102">
        <f>TrRoad_emi!T$40</f>
        <v>2194.2181435400116</v>
      </c>
      <c r="U80" s="102">
        <f>TrRoad_emi!U$40</f>
        <v>2231.2374008963257</v>
      </c>
      <c r="V80" s="102">
        <f>TrRoad_emi!V$40</f>
        <v>2356.8168362981842</v>
      </c>
      <c r="W80" s="102">
        <f>TrRoad_emi!W$40</f>
        <v>2513.4632982690591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47.360031264307295</v>
      </c>
      <c r="C81" s="110">
        <f>TrRail_emi!C$15</f>
        <v>43.539115369750512</v>
      </c>
      <c r="D81" s="110">
        <f>TrRail_emi!D$15</f>
        <v>40.325398468924305</v>
      </c>
      <c r="E81" s="110">
        <f>TrRail_emi!E$15</f>
        <v>43.282560498229905</v>
      </c>
      <c r="F81" s="110">
        <f>TrRail_emi!F$15</f>
        <v>47.091681838474621</v>
      </c>
      <c r="G81" s="110">
        <f>TrRail_emi!G$15</f>
        <v>49.722001181925073</v>
      </c>
      <c r="H81" s="110">
        <f>TrRail_emi!H$15</f>
        <v>46.71663213853882</v>
      </c>
      <c r="I81" s="110">
        <f>TrRail_emi!I$15</f>
        <v>45.240852589689823</v>
      </c>
      <c r="J81" s="110">
        <f>TrRail_emi!J$15</f>
        <v>43.872587610544784</v>
      </c>
      <c r="K81" s="110">
        <f>TrRail_emi!K$15</f>
        <v>36.431950793227557</v>
      </c>
      <c r="L81" s="110">
        <f>TrRail_emi!L$15</f>
        <v>37.957309836754689</v>
      </c>
      <c r="M81" s="110">
        <f>TrRail_emi!M$15</f>
        <v>41.978019043804458</v>
      </c>
      <c r="N81" s="110">
        <f>TrRail_emi!N$15</f>
        <v>34.661288338439675</v>
      </c>
      <c r="O81" s="110">
        <f>TrRail_emi!O$15</f>
        <v>34.669459534604734</v>
      </c>
      <c r="P81" s="110">
        <f>TrRail_emi!P$15</f>
        <v>27.833886689871616</v>
      </c>
      <c r="Q81" s="110">
        <f>TrRail_emi!Q$15</f>
        <v>28.47478022496691</v>
      </c>
      <c r="R81" s="110">
        <f>TrRail_emi!R$15</f>
        <v>27.225611205981757</v>
      </c>
      <c r="S81" s="110">
        <f>TrRail_emi!S$15</f>
        <v>22.258768429381391</v>
      </c>
      <c r="T81" s="110">
        <f>TrRail_emi!T$15</f>
        <v>24.827464741868539</v>
      </c>
      <c r="U81" s="110">
        <f>TrRail_emi!U$15</f>
        <v>22.041882136103744</v>
      </c>
      <c r="V81" s="110">
        <f>TrRail_emi!V$15</f>
        <v>21.661495029230529</v>
      </c>
      <c r="W81" s="110">
        <f>TrRail_emi!W$15</f>
        <v>16.075671978807769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38.98532602819725</v>
      </c>
      <c r="C82" s="110">
        <f t="shared" si="67"/>
        <v>44.899743440912005</v>
      </c>
      <c r="D82" s="110">
        <f t="shared" si="67"/>
        <v>49.706092196639901</v>
      </c>
      <c r="E82" s="110">
        <f t="shared" si="67"/>
        <v>64.666819064908992</v>
      </c>
      <c r="F82" s="110">
        <f t="shared" si="67"/>
        <v>87.73611581411231</v>
      </c>
      <c r="G82" s="110">
        <f t="shared" si="67"/>
        <v>100.83830265921672</v>
      </c>
      <c r="H82" s="110">
        <f t="shared" si="67"/>
        <v>113.0743949089767</v>
      </c>
      <c r="I82" s="110">
        <f t="shared" si="67"/>
        <v>115.29328010669499</v>
      </c>
      <c r="J82" s="110">
        <f t="shared" si="67"/>
        <v>130.54949041280693</v>
      </c>
      <c r="K82" s="110">
        <f t="shared" si="67"/>
        <v>101.55930941973693</v>
      </c>
      <c r="L82" s="110">
        <f t="shared" si="67"/>
        <v>110.34875379287928</v>
      </c>
      <c r="M82" s="110">
        <f t="shared" si="67"/>
        <v>94.157094350173224</v>
      </c>
      <c r="N82" s="110">
        <f t="shared" si="67"/>
        <v>75.870607040063334</v>
      </c>
      <c r="O82" s="110">
        <f t="shared" si="67"/>
        <v>60.137411709524734</v>
      </c>
      <c r="P82" s="110">
        <f t="shared" si="67"/>
        <v>43.39139411418433</v>
      </c>
      <c r="Q82" s="110">
        <f t="shared" si="67"/>
        <v>39.66369352938041</v>
      </c>
      <c r="R82" s="110">
        <f t="shared" si="67"/>
        <v>33.343052186691054</v>
      </c>
      <c r="S82" s="110">
        <f t="shared" si="67"/>
        <v>32.279821811689779</v>
      </c>
      <c r="T82" s="110">
        <f t="shared" si="67"/>
        <v>30.561768587288871</v>
      </c>
      <c r="U82" s="110">
        <f t="shared" si="67"/>
        <v>36.364691129223964</v>
      </c>
      <c r="V82" s="110">
        <f t="shared" si="67"/>
        <v>42.133925705758152</v>
      </c>
      <c r="W82" s="110">
        <f t="shared" ref="W82" si="68">W83+W84+W85</f>
        <v>43.575241257203103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3.7993648387670205</v>
      </c>
      <c r="C83" s="102">
        <f>TrAvia_emi!C$11</f>
        <v>3.2453890697146215</v>
      </c>
      <c r="D83" s="102">
        <f>TrAvia_emi!D$11</f>
        <v>3.6271474759514701</v>
      </c>
      <c r="E83" s="102">
        <f>TrAvia_emi!E$11</f>
        <v>4.1390415221426204</v>
      </c>
      <c r="F83" s="102">
        <f>TrAvia_emi!F$11</f>
        <v>7.0060052411597331</v>
      </c>
      <c r="G83" s="102">
        <f>TrAvia_emi!G$11</f>
        <v>8.0778562494620534</v>
      </c>
      <c r="H83" s="102">
        <f>TrAvia_emi!H$11</f>
        <v>9.6362349018517861</v>
      </c>
      <c r="I83" s="102">
        <f>TrAvia_emi!I$11</f>
        <v>11.619595950588662</v>
      </c>
      <c r="J83" s="102">
        <f>TrAvia_emi!J$11</f>
        <v>11.645204899497022</v>
      </c>
      <c r="K83" s="102">
        <f>TrAvia_emi!K$11</f>
        <v>8.8164067821531713</v>
      </c>
      <c r="L83" s="102">
        <f>TrAvia_emi!L$11</f>
        <v>7.218756795380731</v>
      </c>
      <c r="M83" s="102">
        <f>TrAvia_emi!M$11</f>
        <v>6.4458095074209556</v>
      </c>
      <c r="N83" s="102">
        <f>TrAvia_emi!N$11</f>
        <v>6.3993541687591931</v>
      </c>
      <c r="O83" s="102">
        <f>TrAvia_emi!O$11</f>
        <v>6.1492139958461323</v>
      </c>
      <c r="P83" s="102">
        <f>TrAvia_emi!P$11</f>
        <v>5.5792436914904773</v>
      </c>
      <c r="Q83" s="102">
        <f>TrAvia_emi!Q$11</f>
        <v>5.3787042889858672</v>
      </c>
      <c r="R83" s="102">
        <f>TrAvia_emi!R$11</f>
        <v>4.7812423304669824</v>
      </c>
      <c r="S83" s="102">
        <f>TrAvia_emi!S$11</f>
        <v>5.1350981418390811</v>
      </c>
      <c r="T83" s="102">
        <f>TrAvia_emi!T$11</f>
        <v>3.7431309767223082</v>
      </c>
      <c r="U83" s="102">
        <f>TrAvia_emi!U$11</f>
        <v>2.397315928186885</v>
      </c>
      <c r="V83" s="102">
        <f>TrAvia_emi!V$11</f>
        <v>1.7744649506271486</v>
      </c>
      <c r="W83" s="102">
        <f>TrAvia_emi!W$11</f>
        <v>2.4408364082398522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14.126572151303495</v>
      </c>
      <c r="C84" s="102">
        <f>TrAvia_emi!C$12</f>
        <v>12.278579707700988</v>
      </c>
      <c r="D84" s="102">
        <f>TrAvia_emi!D$12</f>
        <v>13.265870777324487</v>
      </c>
      <c r="E84" s="102">
        <f>TrAvia_emi!E$12</f>
        <v>15.116633474089488</v>
      </c>
      <c r="F84" s="102">
        <f>TrAvia_emi!F$12</f>
        <v>22.095592487515727</v>
      </c>
      <c r="G84" s="102">
        <f>TrAvia_emi!G$12</f>
        <v>26.09715553379586</v>
      </c>
      <c r="H84" s="102">
        <f>TrAvia_emi!H$12</f>
        <v>30.147204335670004</v>
      </c>
      <c r="I84" s="102">
        <f>TrAvia_emi!I$12</f>
        <v>34.908534060647384</v>
      </c>
      <c r="J84" s="102">
        <f>TrAvia_emi!J$12</f>
        <v>40.864880602810182</v>
      </c>
      <c r="K84" s="102">
        <f>TrAvia_emi!K$12</f>
        <v>33.068098494466277</v>
      </c>
      <c r="L84" s="102">
        <f>TrAvia_emi!L$12</f>
        <v>32.317144789800857</v>
      </c>
      <c r="M84" s="102">
        <f>TrAvia_emi!M$12</f>
        <v>23.795999959403645</v>
      </c>
      <c r="N84" s="102">
        <f>TrAvia_emi!N$12</f>
        <v>19.500621305876546</v>
      </c>
      <c r="O84" s="102">
        <f>TrAvia_emi!O$12</f>
        <v>19.77564236344665</v>
      </c>
      <c r="P84" s="102">
        <f>TrAvia_emi!P$12</f>
        <v>17.159018886092834</v>
      </c>
      <c r="Q84" s="102">
        <f>TrAvia_emi!Q$12</f>
        <v>18.016485966573779</v>
      </c>
      <c r="R84" s="102">
        <f>TrAvia_emi!R$12</f>
        <v>16.832438514057031</v>
      </c>
      <c r="S84" s="102">
        <f>TrAvia_emi!S$12</f>
        <v>18.258301271783917</v>
      </c>
      <c r="T84" s="102">
        <f>TrAvia_emi!T$12</f>
        <v>19.596561022846863</v>
      </c>
      <c r="U84" s="102">
        <f>TrAvia_emi!U$12</f>
        <v>28.999424711712813</v>
      </c>
      <c r="V84" s="102">
        <f>TrAvia_emi!V$12</f>
        <v>33.255944408056699</v>
      </c>
      <c r="W84" s="102">
        <f>TrAvia_emi!W$12</f>
        <v>34.096859051432958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21.059389038126735</v>
      </c>
      <c r="C85" s="102">
        <f>TrAvia_emi!C$13</f>
        <v>29.375774663496394</v>
      </c>
      <c r="D85" s="102">
        <f>TrAvia_emi!D$13</f>
        <v>32.813073943363939</v>
      </c>
      <c r="E85" s="102">
        <f>TrAvia_emi!E$13</f>
        <v>45.411144068676876</v>
      </c>
      <c r="F85" s="102">
        <f>TrAvia_emi!F$13</f>
        <v>58.634518085436845</v>
      </c>
      <c r="G85" s="102">
        <f>TrAvia_emi!G$13</f>
        <v>66.663290875958808</v>
      </c>
      <c r="H85" s="102">
        <f>TrAvia_emi!H$13</f>
        <v>73.29095567145491</v>
      </c>
      <c r="I85" s="102">
        <f>TrAvia_emi!I$13</f>
        <v>68.765150095458949</v>
      </c>
      <c r="J85" s="102">
        <f>TrAvia_emi!J$13</f>
        <v>78.039404910499726</v>
      </c>
      <c r="K85" s="102">
        <f>TrAvia_emi!K$13</f>
        <v>59.674804143117491</v>
      </c>
      <c r="L85" s="102">
        <f>TrAvia_emi!L$13</f>
        <v>70.812852207697688</v>
      </c>
      <c r="M85" s="102">
        <f>TrAvia_emi!M$13</f>
        <v>63.915284883348619</v>
      </c>
      <c r="N85" s="102">
        <f>TrAvia_emi!N$13</f>
        <v>49.970631565427588</v>
      </c>
      <c r="O85" s="102">
        <f>TrAvia_emi!O$13</f>
        <v>34.212555350231952</v>
      </c>
      <c r="P85" s="102">
        <f>TrAvia_emi!P$13</f>
        <v>20.653131536601016</v>
      </c>
      <c r="Q85" s="102">
        <f>TrAvia_emi!Q$13</f>
        <v>16.268503273820759</v>
      </c>
      <c r="R85" s="102">
        <f>TrAvia_emi!R$13</f>
        <v>11.729371342167044</v>
      </c>
      <c r="S85" s="102">
        <f>TrAvia_emi!S$13</f>
        <v>8.8864223980667827</v>
      </c>
      <c r="T85" s="102">
        <f>TrAvia_emi!T$13</f>
        <v>7.2220765877196982</v>
      </c>
      <c r="U85" s="102">
        <f>TrAvia_emi!U$13</f>
        <v>4.9679504893242665</v>
      </c>
      <c r="V85" s="102">
        <f>TrAvia_emi!V$13</f>
        <v>7.1035163470743026</v>
      </c>
      <c r="W85" s="102">
        <f>TrAvia_emi!W$13</f>
        <v>7.037545797530294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491.5624514399999</v>
      </c>
      <c r="C86" s="110">
        <f t="shared" si="69"/>
        <v>491.3250631200001</v>
      </c>
      <c r="D86" s="110">
        <f t="shared" si="69"/>
        <v>465.77526120000005</v>
      </c>
      <c r="E86" s="110">
        <f t="shared" si="69"/>
        <v>550.38101940000001</v>
      </c>
      <c r="F86" s="110">
        <f t="shared" si="69"/>
        <v>470.66426567999997</v>
      </c>
      <c r="G86" s="110">
        <f t="shared" si="69"/>
        <v>441.75238596000003</v>
      </c>
      <c r="H86" s="110">
        <f t="shared" si="69"/>
        <v>444.54780504000001</v>
      </c>
      <c r="I86" s="110">
        <f t="shared" si="69"/>
        <v>434.82333276000008</v>
      </c>
      <c r="J86" s="110">
        <f t="shared" si="69"/>
        <v>429.02553095999997</v>
      </c>
      <c r="K86" s="110">
        <f t="shared" si="69"/>
        <v>437.70091068000005</v>
      </c>
      <c r="L86" s="110">
        <f t="shared" si="69"/>
        <v>473.61718547999999</v>
      </c>
      <c r="M86" s="110">
        <f t="shared" si="69"/>
        <v>484.15121064000022</v>
      </c>
      <c r="N86" s="110">
        <f t="shared" si="69"/>
        <v>445.73675651999997</v>
      </c>
      <c r="O86" s="110">
        <f t="shared" si="69"/>
        <v>467.9232505199999</v>
      </c>
      <c r="P86" s="110">
        <f t="shared" si="69"/>
        <v>453.11355720000006</v>
      </c>
      <c r="Q86" s="110">
        <f t="shared" si="69"/>
        <v>438.34393188000001</v>
      </c>
      <c r="R86" s="110">
        <f t="shared" ref="R86:V86" si="70">R87+R88</f>
        <v>462.49616952000008</v>
      </c>
      <c r="S86" s="110">
        <f t="shared" si="70"/>
        <v>457.42593347999997</v>
      </c>
      <c r="T86" s="110">
        <f t="shared" si="70"/>
        <v>466.41338676000004</v>
      </c>
      <c r="U86" s="110">
        <f t="shared" si="70"/>
        <v>448.24505112000014</v>
      </c>
      <c r="V86" s="110">
        <f t="shared" si="70"/>
        <v>347.34946715999996</v>
      </c>
      <c r="W86" s="110">
        <f t="shared" ref="W86" si="71">W87+W88</f>
        <v>326.57805720000005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491.5624514399999</v>
      </c>
      <c r="C87" s="102">
        <f>TrNavi_emi!C$4</f>
        <v>491.3250631200001</v>
      </c>
      <c r="D87" s="102">
        <f>TrNavi_emi!D$4</f>
        <v>465.77526120000005</v>
      </c>
      <c r="E87" s="102">
        <f>TrNavi_emi!E$4</f>
        <v>550.38101940000001</v>
      </c>
      <c r="F87" s="102">
        <f>TrNavi_emi!F$4</f>
        <v>470.66426567999997</v>
      </c>
      <c r="G87" s="102">
        <f>TrNavi_emi!G$4</f>
        <v>441.75238596000003</v>
      </c>
      <c r="H87" s="102">
        <f>TrNavi_emi!H$4</f>
        <v>444.54780504000001</v>
      </c>
      <c r="I87" s="102">
        <f>TrNavi_emi!I$4</f>
        <v>434.82333276000008</v>
      </c>
      <c r="J87" s="102">
        <f>TrNavi_emi!J$4</f>
        <v>429.02553095999997</v>
      </c>
      <c r="K87" s="102">
        <f>TrNavi_emi!K$4</f>
        <v>437.70091068000005</v>
      </c>
      <c r="L87" s="102">
        <f>TrNavi_emi!L$4</f>
        <v>473.61718547999999</v>
      </c>
      <c r="M87" s="102">
        <f>TrNavi_emi!M$4</f>
        <v>484.15121064000022</v>
      </c>
      <c r="N87" s="102">
        <f>TrNavi_emi!N$4</f>
        <v>445.73675651999997</v>
      </c>
      <c r="O87" s="102">
        <f>TrNavi_emi!O$4</f>
        <v>467.9232505199999</v>
      </c>
      <c r="P87" s="102">
        <f>TrNavi_emi!P$4</f>
        <v>453.11355720000006</v>
      </c>
      <c r="Q87" s="102">
        <f>TrNavi_emi!Q$4</f>
        <v>438.34393188000001</v>
      </c>
      <c r="R87" s="102">
        <f>TrNavi_emi!R$4</f>
        <v>461.76342605366233</v>
      </c>
      <c r="S87" s="102">
        <f>TrNavi_emi!S$4</f>
        <v>457.23877716318816</v>
      </c>
      <c r="T87" s="102">
        <f>TrNavi_emi!T$4</f>
        <v>464.83570681521888</v>
      </c>
      <c r="U87" s="102">
        <f>TrNavi_emi!U$4</f>
        <v>446.47297365571217</v>
      </c>
      <c r="V87" s="102">
        <f>TrNavi_emi!V$4</f>
        <v>345.12353166434201</v>
      </c>
      <c r="W87" s="102">
        <f>TrNavi_emi!W$4</f>
        <v>323.34934507398316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0.73274346633772991</v>
      </c>
      <c r="S88" s="169">
        <f>TrNavi_emi!S$5</f>
        <v>0.18715631681180156</v>
      </c>
      <c r="T88" s="169">
        <f>TrNavi_emi!T$5</f>
        <v>1.5776799447811247</v>
      </c>
      <c r="U88" s="169">
        <f>TrNavi_emi!U$5</f>
        <v>1.7720774642879678</v>
      </c>
      <c r="V88" s="169">
        <f>TrNavi_emi!V$5</f>
        <v>2.2259354956579607</v>
      </c>
      <c r="W88" s="169">
        <f>TrNavi_emi!W$5</f>
        <v>3.2287121260168847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4374.5458521599994</v>
      </c>
      <c r="C89" s="28">
        <f t="shared" si="72"/>
        <v>4476.7266026399975</v>
      </c>
      <c r="D89" s="28">
        <f t="shared" si="72"/>
        <v>3881.7050047200005</v>
      </c>
      <c r="E89" s="28">
        <f t="shared" si="72"/>
        <v>5200.001789760001</v>
      </c>
      <c r="F89" s="28">
        <f t="shared" si="72"/>
        <v>6118.0247404800011</v>
      </c>
      <c r="G89" s="28">
        <f t="shared" si="72"/>
        <v>6246.6452960399993</v>
      </c>
      <c r="H89" s="28">
        <f t="shared" si="72"/>
        <v>6712.1470785600013</v>
      </c>
      <c r="I89" s="28">
        <f t="shared" si="72"/>
        <v>6680.0465420400005</v>
      </c>
      <c r="J89" s="28">
        <f t="shared" si="72"/>
        <v>6569.1218455199996</v>
      </c>
      <c r="K89" s="28">
        <f t="shared" si="72"/>
        <v>6834.3244754400021</v>
      </c>
      <c r="L89" s="28">
        <f t="shared" si="72"/>
        <v>6317.3396106</v>
      </c>
      <c r="M89" s="28">
        <f t="shared" si="72"/>
        <v>5543.2776365999998</v>
      </c>
      <c r="N89" s="28">
        <f t="shared" si="72"/>
        <v>5442.2858699999997</v>
      </c>
      <c r="O89" s="28">
        <f t="shared" si="72"/>
        <v>5142.5153413200005</v>
      </c>
      <c r="P89" s="28">
        <f t="shared" si="72"/>
        <v>5525.1500122800026</v>
      </c>
      <c r="Q89" s="28">
        <f t="shared" si="72"/>
        <v>5808.9165638400018</v>
      </c>
      <c r="R89" s="28">
        <f t="shared" si="72"/>
        <v>6394.5714038400001</v>
      </c>
      <c r="S89" s="28">
        <f t="shared" si="72"/>
        <v>7601.1895486799995</v>
      </c>
      <c r="T89" s="28">
        <f t="shared" si="72"/>
        <v>5774.245918919999</v>
      </c>
      <c r="U89" s="28">
        <f t="shared" si="72"/>
        <v>6604.9543227600025</v>
      </c>
      <c r="V89" s="28">
        <f t="shared" si="72"/>
        <v>8241.4572065999982</v>
      </c>
      <c r="W89" s="28">
        <f t="shared" si="72"/>
        <v>8174.5490206799977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2268.0280080015873</v>
      </c>
      <c r="C90" s="102">
        <f>MBunk_emi!C$4</f>
        <v>2287.0548284180386</v>
      </c>
      <c r="D90" s="102">
        <f>MBunk_emi!D$4</f>
        <v>1993.3765681586065</v>
      </c>
      <c r="E90" s="102">
        <f>MBunk_emi!E$4</f>
        <v>2674.1297197022091</v>
      </c>
      <c r="F90" s="102">
        <f>MBunk_emi!F$4</f>
        <v>3203.1515965787876</v>
      </c>
      <c r="G90" s="102">
        <f>MBunk_emi!G$4</f>
        <v>3201.8384247331342</v>
      </c>
      <c r="H90" s="102">
        <f>MBunk_emi!H$4</f>
        <v>3477.4117701029249</v>
      </c>
      <c r="I90" s="102">
        <f>MBunk_emi!I$4</f>
        <v>3555.5141624235212</v>
      </c>
      <c r="J90" s="102">
        <f>MBunk_emi!J$4</f>
        <v>3461.1431247157934</v>
      </c>
      <c r="K90" s="102">
        <f>MBunk_emi!K$4</f>
        <v>3650.3165759790568</v>
      </c>
      <c r="L90" s="102">
        <f>MBunk_emi!L$4</f>
        <v>3258.4213917322613</v>
      </c>
      <c r="M90" s="102">
        <f>MBunk_emi!M$4</f>
        <v>2941.5298852813221</v>
      </c>
      <c r="N90" s="102">
        <f>MBunk_emi!N$4</f>
        <v>2876.3506665829905</v>
      </c>
      <c r="O90" s="102">
        <f>MBunk_emi!O$4</f>
        <v>2734.2820027552139</v>
      </c>
      <c r="P90" s="102">
        <f>MBunk_emi!P$4</f>
        <v>2830.2854285900712</v>
      </c>
      <c r="Q90" s="102">
        <f>MBunk_emi!Q$4</f>
        <v>2917.063582196587</v>
      </c>
      <c r="R90" s="102">
        <f>MBunk_emi!R$4</f>
        <v>3274.0008164257497</v>
      </c>
      <c r="S90" s="102">
        <f>MBunk_emi!S$4</f>
        <v>4072.1049932445703</v>
      </c>
      <c r="T90" s="102">
        <f>MBunk_emi!T$4</f>
        <v>3135.2527847903621</v>
      </c>
      <c r="U90" s="102">
        <f>MBunk_emi!U$4</f>
        <v>3570.4736569951588</v>
      </c>
      <c r="V90" s="102">
        <f>MBunk_emi!V$4</f>
        <v>4098.8158081730126</v>
      </c>
      <c r="W90" s="102">
        <f>MBunk_emi!W$4</f>
        <v>4158.0951477095068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2106.5178441584121</v>
      </c>
      <c r="C91" s="86">
        <f>MBunk_emi!C$5</f>
        <v>2189.6717742219594</v>
      </c>
      <c r="D91" s="86">
        <f>MBunk_emi!D$5</f>
        <v>1888.328436561394</v>
      </c>
      <c r="E91" s="86">
        <f>MBunk_emi!E$5</f>
        <v>2525.8720700577919</v>
      </c>
      <c r="F91" s="86">
        <f>MBunk_emi!F$5</f>
        <v>2914.8731439012136</v>
      </c>
      <c r="G91" s="86">
        <f>MBunk_emi!G$5</f>
        <v>3044.8068713068651</v>
      </c>
      <c r="H91" s="86">
        <f>MBunk_emi!H$5</f>
        <v>3234.7353084570768</v>
      </c>
      <c r="I91" s="86">
        <f>MBunk_emi!I$5</f>
        <v>3124.5323796164794</v>
      </c>
      <c r="J91" s="86">
        <f>MBunk_emi!J$5</f>
        <v>3107.9787208042062</v>
      </c>
      <c r="K91" s="86">
        <f>MBunk_emi!K$5</f>
        <v>3184.0078994609453</v>
      </c>
      <c r="L91" s="86">
        <f>MBunk_emi!L$5</f>
        <v>3058.9182188677382</v>
      </c>
      <c r="M91" s="86">
        <f>MBunk_emi!M$5</f>
        <v>2601.7477513186777</v>
      </c>
      <c r="N91" s="86">
        <f>MBunk_emi!N$5</f>
        <v>2565.9352034170088</v>
      </c>
      <c r="O91" s="86">
        <f>MBunk_emi!O$5</f>
        <v>2408.2333385647867</v>
      </c>
      <c r="P91" s="86">
        <f>MBunk_emi!P$5</f>
        <v>2694.8645836899309</v>
      </c>
      <c r="Q91" s="86">
        <f>MBunk_emi!Q$5</f>
        <v>2891.8529816434148</v>
      </c>
      <c r="R91" s="86">
        <f>MBunk_emi!R$5</f>
        <v>3120.5705874142504</v>
      </c>
      <c r="S91" s="86">
        <f>MBunk_emi!S$5</f>
        <v>3529.0845554354291</v>
      </c>
      <c r="T91" s="86">
        <f>MBunk_emi!T$5</f>
        <v>2638.9931341296369</v>
      </c>
      <c r="U91" s="86">
        <f>MBunk_emi!U$5</f>
        <v>3034.4806657648437</v>
      </c>
      <c r="V91" s="86">
        <f>MBunk_emi!V$5</f>
        <v>4142.6413984269857</v>
      </c>
      <c r="W91" s="86">
        <f>MBunk_emi!W$5</f>
        <v>4016.4538729704909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0.79569266906784952</v>
      </c>
      <c r="C97" s="139">
        <f t="shared" si="76"/>
        <v>0.7959164862191056</v>
      </c>
      <c r="D97" s="139">
        <f t="shared" si="76"/>
        <v>0.80856195141264053</v>
      </c>
      <c r="E97" s="139">
        <f t="shared" si="76"/>
        <v>0.81700147181181249</v>
      </c>
      <c r="F97" s="139">
        <f t="shared" si="76"/>
        <v>0.81298258708310023</v>
      </c>
      <c r="G97" s="139">
        <f t="shared" si="76"/>
        <v>0.80198650504122093</v>
      </c>
      <c r="H97" s="139">
        <f t="shared" si="76"/>
        <v>0.78327918747291292</v>
      </c>
      <c r="I97" s="139">
        <f t="shared" si="76"/>
        <v>0.7764003359497591</v>
      </c>
      <c r="J97" s="139">
        <f t="shared" si="76"/>
        <v>0.76531843446094183</v>
      </c>
      <c r="K97" s="139">
        <f t="shared" si="76"/>
        <v>0.77395509516425565</v>
      </c>
      <c r="L97" s="139">
        <f t="shared" si="76"/>
        <v>0.76738509031723989</v>
      </c>
      <c r="M97" s="139">
        <f t="shared" si="76"/>
        <v>0.75815807099168164</v>
      </c>
      <c r="N97" s="139">
        <f t="shared" si="76"/>
        <v>0.75172417102779132</v>
      </c>
      <c r="O97" s="139">
        <f t="shared" si="76"/>
        <v>0.74357882362138583</v>
      </c>
      <c r="P97" s="139">
        <f t="shared" si="76"/>
        <v>0.73753622510610317</v>
      </c>
      <c r="Q97" s="139">
        <f t="shared" si="76"/>
        <v>0.73382161989107741</v>
      </c>
      <c r="R97" s="139">
        <f t="shared" ref="R97:V97" si="77">IF(R5=0,0,R5/R$4)</f>
        <v>0.69196903526111841</v>
      </c>
      <c r="S97" s="139">
        <f t="shared" si="77"/>
        <v>0.67910414434138089</v>
      </c>
      <c r="T97" s="139">
        <f t="shared" si="77"/>
        <v>0.67683711922345935</v>
      </c>
      <c r="U97" s="139">
        <f t="shared" si="77"/>
        <v>0.67903695254087604</v>
      </c>
      <c r="V97" s="139">
        <f t="shared" si="77"/>
        <v>0.84818679992379098</v>
      </c>
      <c r="W97" s="139">
        <f t="shared" ref="W97" si="78">IF(W5=0,0,W5/W$4)</f>
        <v>0.84052958158610913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3.3749911233346992E-3</v>
      </c>
      <c r="C98" s="140">
        <f t="shared" si="79"/>
        <v>3.6468170072765753E-3</v>
      </c>
      <c r="D98" s="140">
        <f t="shared" si="79"/>
        <v>4.1199169266841378E-3</v>
      </c>
      <c r="E98" s="140">
        <f t="shared" si="79"/>
        <v>4.4737873414082844E-3</v>
      </c>
      <c r="F98" s="140">
        <f t="shared" si="79"/>
        <v>4.7602007041321927E-3</v>
      </c>
      <c r="G98" s="140">
        <f t="shared" si="79"/>
        <v>4.8497626479978894E-3</v>
      </c>
      <c r="H98" s="140">
        <f t="shared" si="79"/>
        <v>5.1794841580854022E-3</v>
      </c>
      <c r="I98" s="140">
        <f t="shared" si="79"/>
        <v>5.6026937400491866E-3</v>
      </c>
      <c r="J98" s="140">
        <f t="shared" si="79"/>
        <v>5.4043359216340882E-3</v>
      </c>
      <c r="K98" s="140">
        <f t="shared" si="79"/>
        <v>5.5488061303926644E-3</v>
      </c>
      <c r="L98" s="140">
        <f t="shared" si="79"/>
        <v>5.2706177435575836E-3</v>
      </c>
      <c r="M98" s="140">
        <f t="shared" si="79"/>
        <v>4.9808895844249733E-3</v>
      </c>
      <c r="N98" s="140">
        <f t="shared" si="79"/>
        <v>4.3160519950779606E-3</v>
      </c>
      <c r="O98" s="140">
        <f t="shared" si="79"/>
        <v>4.7569787062168665E-3</v>
      </c>
      <c r="P98" s="140">
        <f t="shared" si="79"/>
        <v>4.6587099872498526E-3</v>
      </c>
      <c r="Q98" s="140">
        <f t="shared" si="79"/>
        <v>4.6001160193639449E-3</v>
      </c>
      <c r="R98" s="140">
        <f t="shared" ref="R98:V98" si="80">IF(R6=0,0,R6/R$4)</f>
        <v>5.3777785525216436E-3</v>
      </c>
      <c r="S98" s="140">
        <f t="shared" si="80"/>
        <v>4.9264898169443646E-3</v>
      </c>
      <c r="T98" s="140">
        <f t="shared" si="80"/>
        <v>4.6517362464336912E-3</v>
      </c>
      <c r="U98" s="140">
        <f t="shared" si="80"/>
        <v>4.9972755213644176E-3</v>
      </c>
      <c r="V98" s="140">
        <f t="shared" si="80"/>
        <v>5.9519088899179368E-3</v>
      </c>
      <c r="W98" s="140">
        <f t="shared" ref="W98" si="81">IF(W6=0,0,W6/W$4)</f>
        <v>6.1850425340570893E-3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0.72757269412465264</v>
      </c>
      <c r="C99" s="140">
        <f t="shared" si="82"/>
        <v>0.72822361584250817</v>
      </c>
      <c r="D99" s="140">
        <f t="shared" si="82"/>
        <v>0.73986657273930767</v>
      </c>
      <c r="E99" s="140">
        <f t="shared" si="82"/>
        <v>0.74755978955452018</v>
      </c>
      <c r="F99" s="140">
        <f t="shared" si="82"/>
        <v>0.74462414099796537</v>
      </c>
      <c r="G99" s="140">
        <f t="shared" si="82"/>
        <v>0.73421551341984836</v>
      </c>
      <c r="H99" s="140">
        <f t="shared" si="82"/>
        <v>0.71628574010514012</v>
      </c>
      <c r="I99" s="140">
        <f t="shared" si="82"/>
        <v>0.71012924395070021</v>
      </c>
      <c r="J99" s="140">
        <f t="shared" si="82"/>
        <v>0.70119528882869853</v>
      </c>
      <c r="K99" s="140">
        <f t="shared" si="82"/>
        <v>0.70831196198566426</v>
      </c>
      <c r="L99" s="140">
        <f t="shared" si="82"/>
        <v>0.70125533573182619</v>
      </c>
      <c r="M99" s="140">
        <f t="shared" si="82"/>
        <v>0.69195249247284552</v>
      </c>
      <c r="N99" s="140">
        <f t="shared" si="82"/>
        <v>0.68703620291836576</v>
      </c>
      <c r="O99" s="140">
        <f t="shared" si="82"/>
        <v>0.67801665400543043</v>
      </c>
      <c r="P99" s="140">
        <f t="shared" si="82"/>
        <v>0.67369584431010676</v>
      </c>
      <c r="Q99" s="140">
        <f t="shared" si="82"/>
        <v>0.67034278523400648</v>
      </c>
      <c r="R99" s="140">
        <f t="shared" ref="R99:V99" si="83">IF(R7=0,0,R7/R$4)</f>
        <v>0.62129125032665</v>
      </c>
      <c r="S99" s="140">
        <f t="shared" si="83"/>
        <v>0.61036036355024426</v>
      </c>
      <c r="T99" s="140">
        <f t="shared" si="83"/>
        <v>0.6090684348199773</v>
      </c>
      <c r="U99" s="140">
        <f t="shared" si="83"/>
        <v>0.60987063034653699</v>
      </c>
      <c r="V99" s="140">
        <f t="shared" si="83"/>
        <v>0.76581937005213119</v>
      </c>
      <c r="W99" s="140">
        <f t="shared" ref="W99" si="84">IF(W7=0,0,W7/W$4)</f>
        <v>0.75900568190381623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6.4744983819862226E-2</v>
      </c>
      <c r="C100" s="140">
        <f t="shared" si="85"/>
        <v>6.4046053369320843E-2</v>
      </c>
      <c r="D100" s="140">
        <f t="shared" si="85"/>
        <v>6.4575461746648688E-2</v>
      </c>
      <c r="E100" s="140">
        <f t="shared" si="85"/>
        <v>6.4967894915884061E-2</v>
      </c>
      <c r="F100" s="140">
        <f t="shared" si="85"/>
        <v>6.3598245381002713E-2</v>
      </c>
      <c r="G100" s="140">
        <f t="shared" si="85"/>
        <v>6.292122897337471E-2</v>
      </c>
      <c r="H100" s="140">
        <f t="shared" si="85"/>
        <v>6.1813963209687441E-2</v>
      </c>
      <c r="I100" s="140">
        <f t="shared" si="85"/>
        <v>6.0668398259009805E-2</v>
      </c>
      <c r="J100" s="140">
        <f t="shared" si="85"/>
        <v>5.8718809710609159E-2</v>
      </c>
      <c r="K100" s="140">
        <f t="shared" si="85"/>
        <v>6.0094327048198816E-2</v>
      </c>
      <c r="L100" s="140">
        <f t="shared" si="85"/>
        <v>6.08591368418561E-2</v>
      </c>
      <c r="M100" s="140">
        <f t="shared" si="85"/>
        <v>6.1224688934411138E-2</v>
      </c>
      <c r="N100" s="140">
        <f t="shared" si="85"/>
        <v>6.0371916114347619E-2</v>
      </c>
      <c r="O100" s="140">
        <f t="shared" si="85"/>
        <v>6.0805190909738627E-2</v>
      </c>
      <c r="P100" s="140">
        <f t="shared" si="85"/>
        <v>5.9181670808746506E-2</v>
      </c>
      <c r="Q100" s="140">
        <f t="shared" si="85"/>
        <v>5.8878718637706939E-2</v>
      </c>
      <c r="R100" s="140">
        <f t="shared" ref="R100:V100" si="86">IF(R8=0,0,R8/R$4)</f>
        <v>6.5300006381946718E-2</v>
      </c>
      <c r="S100" s="140">
        <f t="shared" si="86"/>
        <v>6.3817290974192309E-2</v>
      </c>
      <c r="T100" s="140">
        <f t="shared" si="86"/>
        <v>6.3116948157048228E-2</v>
      </c>
      <c r="U100" s="140">
        <f t="shared" si="86"/>
        <v>6.4169046672974642E-2</v>
      </c>
      <c r="V100" s="140">
        <f t="shared" si="86"/>
        <v>7.6415520981741758E-2</v>
      </c>
      <c r="W100" s="140">
        <f t="shared" ref="W100" si="87">IF(W8=0,0,W8/W$4)</f>
        <v>7.5338857148235766E-2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7.1771190325031584E-2</v>
      </c>
      <c r="C101" s="124">
        <f t="shared" si="88"/>
        <v>7.4486532568245903E-2</v>
      </c>
      <c r="D101" s="124">
        <f t="shared" si="88"/>
        <v>7.5407429916272431E-2</v>
      </c>
      <c r="E101" s="124">
        <f t="shared" si="88"/>
        <v>7.5423219271919445E-2</v>
      </c>
      <c r="F101" s="124">
        <f t="shared" si="88"/>
        <v>7.3198110188918517E-2</v>
      </c>
      <c r="G101" s="124">
        <f t="shared" si="88"/>
        <v>7.4276151426966211E-2</v>
      </c>
      <c r="H101" s="124">
        <f t="shared" si="88"/>
        <v>7.7870226263725417E-2</v>
      </c>
      <c r="I101" s="124">
        <f t="shared" si="88"/>
        <v>8.0296409460454174E-2</v>
      </c>
      <c r="J101" s="124">
        <f t="shared" si="88"/>
        <v>8.5737020614868945E-2</v>
      </c>
      <c r="K101" s="124">
        <f t="shared" si="88"/>
        <v>8.8199921503796505E-2</v>
      </c>
      <c r="L101" s="124">
        <f t="shared" si="88"/>
        <v>8.722450431729642E-2</v>
      </c>
      <c r="M101" s="124">
        <f t="shared" si="88"/>
        <v>8.7067638384076537E-2</v>
      </c>
      <c r="N101" s="124">
        <f t="shared" si="88"/>
        <v>8.9800293159690667E-2</v>
      </c>
      <c r="O101" s="124">
        <f t="shared" si="88"/>
        <v>8.954729836058066E-2</v>
      </c>
      <c r="P101" s="124">
        <f t="shared" si="88"/>
        <v>8.892209364062563E-2</v>
      </c>
      <c r="Q101" s="124">
        <f t="shared" si="88"/>
        <v>9.1304465955113295E-2</v>
      </c>
      <c r="R101" s="124">
        <f t="shared" ref="R101:V101" si="89">IF(R9=0,0,R9/R$4)</f>
        <v>0.10212571034643066</v>
      </c>
      <c r="S101" s="124">
        <f t="shared" si="89"/>
        <v>0.10218184940230932</v>
      </c>
      <c r="T101" s="124">
        <f t="shared" si="89"/>
        <v>0.10294434933787794</v>
      </c>
      <c r="U101" s="124">
        <f t="shared" si="89"/>
        <v>0.11047331849941296</v>
      </c>
      <c r="V101" s="124">
        <f t="shared" si="89"/>
        <v>8.335235216419544E-2</v>
      </c>
      <c r="W101" s="124">
        <f t="shared" ref="W101" si="90">IF(W9=0,0,W9/W$4)</f>
        <v>8.1617802332343711E-2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1.3912029263981673E-2</v>
      </c>
      <c r="C102" s="140">
        <f t="shared" si="91"/>
        <v>1.3830335385934681E-2</v>
      </c>
      <c r="D102" s="140">
        <f t="shared" si="91"/>
        <v>1.3829668521499121E-2</v>
      </c>
      <c r="E102" s="140">
        <f t="shared" si="91"/>
        <v>1.3889351609549998E-2</v>
      </c>
      <c r="F102" s="140">
        <f t="shared" si="91"/>
        <v>1.3867234919380172E-2</v>
      </c>
      <c r="G102" s="140">
        <f t="shared" si="91"/>
        <v>1.3693900491936098E-2</v>
      </c>
      <c r="H102" s="140">
        <f t="shared" si="91"/>
        <v>1.4168459848427075E-2</v>
      </c>
      <c r="I102" s="140">
        <f t="shared" si="91"/>
        <v>1.4197616241543599E-2</v>
      </c>
      <c r="J102" s="140">
        <f t="shared" si="91"/>
        <v>1.4341814654963881E-2</v>
      </c>
      <c r="K102" s="140">
        <f t="shared" si="91"/>
        <v>1.4563394118510353E-2</v>
      </c>
      <c r="L102" s="140">
        <f t="shared" si="91"/>
        <v>1.4802521015514394E-2</v>
      </c>
      <c r="M102" s="140">
        <f t="shared" si="91"/>
        <v>1.4850810833059195E-2</v>
      </c>
      <c r="N102" s="140">
        <f t="shared" si="91"/>
        <v>1.5043847205643907E-2</v>
      </c>
      <c r="O102" s="140">
        <f t="shared" si="91"/>
        <v>1.534541555419929E-2</v>
      </c>
      <c r="P102" s="140">
        <f t="shared" si="91"/>
        <v>1.4916003485584207E-2</v>
      </c>
      <c r="Q102" s="140">
        <f t="shared" si="91"/>
        <v>1.4975782373273861E-2</v>
      </c>
      <c r="R102" s="140">
        <f t="shared" ref="R102:V102" si="92">IF(R10=0,0,R10/R$4)</f>
        <v>1.72860755830407E-2</v>
      </c>
      <c r="S102" s="140">
        <f t="shared" si="92"/>
        <v>1.6927985690819429E-2</v>
      </c>
      <c r="T102" s="140">
        <f t="shared" si="92"/>
        <v>1.7302793179671577E-2</v>
      </c>
      <c r="U102" s="140">
        <f t="shared" si="92"/>
        <v>1.7246108955742315E-2</v>
      </c>
      <c r="V102" s="140">
        <f t="shared" si="92"/>
        <v>1.433215549079779E-2</v>
      </c>
      <c r="W102" s="140">
        <f t="shared" ref="W102" si="93">IF(W10=0,0,W10/W$4)</f>
        <v>1.3508217206891692E-2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4.3490884621407891E-2</v>
      </c>
      <c r="C103" s="140">
        <f t="shared" si="94"/>
        <v>4.5186505115773538E-2</v>
      </c>
      <c r="D103" s="140">
        <f t="shared" si="94"/>
        <v>4.4993261762870197E-2</v>
      </c>
      <c r="E103" s="140">
        <f t="shared" si="94"/>
        <v>4.4816493608748585E-2</v>
      </c>
      <c r="F103" s="140">
        <f t="shared" si="94"/>
        <v>4.2687444657675724E-2</v>
      </c>
      <c r="G103" s="140">
        <f t="shared" si="94"/>
        <v>4.4739754338103045E-2</v>
      </c>
      <c r="H103" s="140">
        <f t="shared" si="94"/>
        <v>4.7208327882066262E-2</v>
      </c>
      <c r="I103" s="140">
        <f t="shared" si="94"/>
        <v>4.8222937923863611E-2</v>
      </c>
      <c r="J103" s="140">
        <f t="shared" si="94"/>
        <v>5.2230083383910449E-2</v>
      </c>
      <c r="K103" s="140">
        <f t="shared" si="94"/>
        <v>5.3798049465921892E-2</v>
      </c>
      <c r="L103" s="140">
        <f t="shared" si="94"/>
        <v>5.334426049297105E-2</v>
      </c>
      <c r="M103" s="140">
        <f t="shared" si="94"/>
        <v>5.427527104458215E-2</v>
      </c>
      <c r="N103" s="140">
        <f t="shared" si="94"/>
        <v>5.6067334465535065E-2</v>
      </c>
      <c r="O103" s="140">
        <f t="shared" si="94"/>
        <v>5.5059275816557438E-2</v>
      </c>
      <c r="P103" s="140">
        <f t="shared" si="94"/>
        <v>5.4297183379983772E-2</v>
      </c>
      <c r="Q103" s="140">
        <f t="shared" si="94"/>
        <v>5.6169667786149173E-2</v>
      </c>
      <c r="R103" s="140">
        <f t="shared" ref="R103:V103" si="95">IF(R11=0,0,R11/R$4)</f>
        <v>6.1767230965627418E-2</v>
      </c>
      <c r="S103" s="140">
        <f t="shared" si="95"/>
        <v>6.2205710923536287E-2</v>
      </c>
      <c r="T103" s="140">
        <f t="shared" si="95"/>
        <v>6.3369820545497946E-2</v>
      </c>
      <c r="U103" s="140">
        <f t="shared" si="95"/>
        <v>6.8353013934426915E-2</v>
      </c>
      <c r="V103" s="140">
        <f t="shared" si="95"/>
        <v>5.3754073703934133E-2</v>
      </c>
      <c r="W103" s="140">
        <f t="shared" ref="W103" si="96">IF(W11=0,0,W11/W$4)</f>
        <v>5.1657051730877264E-2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1.436827643964202E-2</v>
      </c>
      <c r="C104" s="140">
        <f t="shared" si="97"/>
        <v>1.5469692066537689E-2</v>
      </c>
      <c r="D104" s="140">
        <f t="shared" si="97"/>
        <v>1.6584499631903112E-2</v>
      </c>
      <c r="E104" s="140">
        <f t="shared" si="97"/>
        <v>1.6717374053620861E-2</v>
      </c>
      <c r="F104" s="140">
        <f t="shared" si="97"/>
        <v>1.664343061186262E-2</v>
      </c>
      <c r="G104" s="140">
        <f t="shared" si="97"/>
        <v>1.5842496596927068E-2</v>
      </c>
      <c r="H104" s="140">
        <f t="shared" si="97"/>
        <v>1.6493438533232076E-2</v>
      </c>
      <c r="I104" s="140">
        <f t="shared" si="97"/>
        <v>1.7875855295046959E-2</v>
      </c>
      <c r="J104" s="140">
        <f t="shared" si="97"/>
        <v>1.9165122575994613E-2</v>
      </c>
      <c r="K104" s="140">
        <f t="shared" si="97"/>
        <v>1.9838477919364259E-2</v>
      </c>
      <c r="L104" s="140">
        <f t="shared" si="97"/>
        <v>1.9077722808810982E-2</v>
      </c>
      <c r="M104" s="140">
        <f t="shared" si="97"/>
        <v>1.794155650643519E-2</v>
      </c>
      <c r="N104" s="140">
        <f t="shared" si="97"/>
        <v>1.8689111488511691E-2</v>
      </c>
      <c r="O104" s="140">
        <f t="shared" si="97"/>
        <v>1.9142606989823941E-2</v>
      </c>
      <c r="P104" s="140">
        <f t="shared" si="97"/>
        <v>1.9708906775057641E-2</v>
      </c>
      <c r="Q104" s="140">
        <f t="shared" si="97"/>
        <v>2.0159015795690269E-2</v>
      </c>
      <c r="R104" s="140">
        <f t="shared" ref="R104:V104" si="98">IF(R12=0,0,R12/R$4)</f>
        <v>2.3072403797762531E-2</v>
      </c>
      <c r="S104" s="140">
        <f t="shared" si="98"/>
        <v>2.3048152787953611E-2</v>
      </c>
      <c r="T104" s="140">
        <f t="shared" si="98"/>
        <v>2.2271735612708426E-2</v>
      </c>
      <c r="U104" s="140">
        <f t="shared" si="98"/>
        <v>2.4874195609243723E-2</v>
      </c>
      <c r="V104" s="140">
        <f t="shared" si="98"/>
        <v>1.5266122969463523E-2</v>
      </c>
      <c r="W104" s="140">
        <f t="shared" ref="W104" si="99">IF(W12=0,0,W12/W$4)</f>
        <v>1.6452533394574743E-2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0.13253614060711894</v>
      </c>
      <c r="C105" s="124">
        <f t="shared" si="100"/>
        <v>0.12959698121264859</v>
      </c>
      <c r="D105" s="124">
        <f t="shared" si="100"/>
        <v>0.11603061867108702</v>
      </c>
      <c r="E105" s="124">
        <f t="shared" si="100"/>
        <v>0.10757530891626799</v>
      </c>
      <c r="F105" s="124">
        <f t="shared" si="100"/>
        <v>0.1138193027279812</v>
      </c>
      <c r="G105" s="124">
        <f t="shared" si="100"/>
        <v>0.12373734353181286</v>
      </c>
      <c r="H105" s="124">
        <f t="shared" si="100"/>
        <v>0.13885058626336158</v>
      </c>
      <c r="I105" s="124">
        <f t="shared" si="100"/>
        <v>0.14330325458978688</v>
      </c>
      <c r="J105" s="124">
        <f t="shared" si="100"/>
        <v>0.14894454492418929</v>
      </c>
      <c r="K105" s="124">
        <f t="shared" si="100"/>
        <v>0.13784498333194792</v>
      </c>
      <c r="L105" s="124">
        <f t="shared" si="100"/>
        <v>0.14539040536546372</v>
      </c>
      <c r="M105" s="124">
        <f t="shared" si="100"/>
        <v>0.15477429062424186</v>
      </c>
      <c r="N105" s="124">
        <f t="shared" si="100"/>
        <v>0.15847553581251791</v>
      </c>
      <c r="O105" s="124">
        <f t="shared" si="100"/>
        <v>0.16687387801803347</v>
      </c>
      <c r="P105" s="124">
        <f t="shared" si="100"/>
        <v>0.17354168125327121</v>
      </c>
      <c r="Q105" s="124">
        <f t="shared" si="100"/>
        <v>0.17487391415380923</v>
      </c>
      <c r="R105" s="124">
        <f t="shared" ref="R105:V105" si="101">IF(R13=0,0,R13/R$4)</f>
        <v>0.20590525439245103</v>
      </c>
      <c r="S105" s="124">
        <f t="shared" si="101"/>
        <v>0.21871400625630985</v>
      </c>
      <c r="T105" s="124">
        <f t="shared" si="101"/>
        <v>0.2202185314386628</v>
      </c>
      <c r="U105" s="124">
        <f t="shared" si="101"/>
        <v>0.21048972895971094</v>
      </c>
      <c r="V105" s="124">
        <f t="shared" si="101"/>
        <v>6.8460847912013498E-2</v>
      </c>
      <c r="W105" s="124">
        <f t="shared" ref="W105" si="102">IF(W13=0,0,W13/W$4)</f>
        <v>7.7852616081547227E-2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2.668091063258073E-2</v>
      </c>
      <c r="C106" s="140">
        <f t="shared" si="103"/>
        <v>2.6445104798325861E-2</v>
      </c>
      <c r="D106" s="140">
        <f t="shared" si="103"/>
        <v>2.4578542132809439E-2</v>
      </c>
      <c r="E106" s="140">
        <f t="shared" si="103"/>
        <v>2.2610674210548683E-2</v>
      </c>
      <c r="F106" s="140">
        <f t="shared" si="103"/>
        <v>2.2883532776898866E-2</v>
      </c>
      <c r="G106" s="140">
        <f t="shared" si="103"/>
        <v>2.369214690616139E-2</v>
      </c>
      <c r="H106" s="140">
        <f t="shared" si="103"/>
        <v>2.2901742390248045E-2</v>
      </c>
      <c r="I106" s="140">
        <f t="shared" si="103"/>
        <v>2.1914382863352209E-2</v>
      </c>
      <c r="J106" s="140">
        <f t="shared" si="103"/>
        <v>2.1678514662799891E-2</v>
      </c>
      <c r="K106" s="140">
        <f t="shared" si="103"/>
        <v>1.9774277728844995E-2</v>
      </c>
      <c r="L106" s="140">
        <f t="shared" si="103"/>
        <v>2.0183805020352285E-2</v>
      </c>
      <c r="M106" s="140">
        <f t="shared" si="103"/>
        <v>2.1862481610948978E-2</v>
      </c>
      <c r="N106" s="140">
        <f t="shared" si="103"/>
        <v>2.2977625329372097E-2</v>
      </c>
      <c r="O106" s="140">
        <f t="shared" si="103"/>
        <v>2.2772824912984654E-2</v>
      </c>
      <c r="P106" s="140">
        <f t="shared" si="103"/>
        <v>2.3162848500457592E-2</v>
      </c>
      <c r="Q106" s="140">
        <f t="shared" si="103"/>
        <v>2.2750247891768133E-2</v>
      </c>
      <c r="R106" s="140">
        <f t="shared" ref="R106:V106" si="104">IF(R14=0,0,R14/R$4)</f>
        <v>2.6461840071732474E-2</v>
      </c>
      <c r="S106" s="140">
        <f t="shared" si="104"/>
        <v>2.6268584998209887E-2</v>
      </c>
      <c r="T106" s="140">
        <f t="shared" si="104"/>
        <v>2.5139021297240775E-2</v>
      </c>
      <c r="U106" s="140">
        <f t="shared" si="104"/>
        <v>2.2860031380911465E-2</v>
      </c>
      <c r="V106" s="140">
        <f t="shared" si="104"/>
        <v>9.2847250371225869E-3</v>
      </c>
      <c r="W106" s="140">
        <f t="shared" ref="W106" si="105">IF(W14=0,0,W14/W$4)</f>
        <v>1.0179246023686602E-2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7.3744506843050006E-2</v>
      </c>
      <c r="C107" s="140">
        <f t="shared" si="106"/>
        <v>7.3921641018633619E-2</v>
      </c>
      <c r="D107" s="140">
        <f t="shared" si="106"/>
        <v>6.7599256251815426E-2</v>
      </c>
      <c r="E107" s="140">
        <f t="shared" si="106"/>
        <v>6.1320229669182838E-2</v>
      </c>
      <c r="F107" s="140">
        <f t="shared" si="106"/>
        <v>6.2623412667867265E-2</v>
      </c>
      <c r="G107" s="140">
        <f t="shared" si="106"/>
        <v>6.4263638882144952E-2</v>
      </c>
      <c r="H107" s="140">
        <f t="shared" si="106"/>
        <v>7.7526154413345233E-2</v>
      </c>
      <c r="I107" s="140">
        <f t="shared" si="106"/>
        <v>7.6834334815362199E-2</v>
      </c>
      <c r="J107" s="140">
        <f t="shared" si="106"/>
        <v>7.5602288573812529E-2</v>
      </c>
      <c r="K107" s="140">
        <f t="shared" si="106"/>
        <v>6.8503876411469933E-2</v>
      </c>
      <c r="L107" s="140">
        <f t="shared" si="106"/>
        <v>7.3099851595002402E-2</v>
      </c>
      <c r="M107" s="140">
        <f t="shared" si="106"/>
        <v>8.1138633296700097E-2</v>
      </c>
      <c r="N107" s="140">
        <f t="shared" si="106"/>
        <v>8.3603057165547154E-2</v>
      </c>
      <c r="O107" s="140">
        <f t="shared" si="106"/>
        <v>9.0192759123128824E-2</v>
      </c>
      <c r="P107" s="140">
        <f t="shared" si="106"/>
        <v>9.2068276703464749E-2</v>
      </c>
      <c r="Q107" s="140">
        <f t="shared" si="106"/>
        <v>9.2655383757820287E-2</v>
      </c>
      <c r="R107" s="140">
        <f t="shared" ref="R107:V107" si="107">IF(R15=0,0,R15/R$4)</f>
        <v>0.11249248550489113</v>
      </c>
      <c r="S107" s="140">
        <f t="shared" si="107"/>
        <v>0.12226922715881497</v>
      </c>
      <c r="T107" s="140">
        <f t="shared" si="107"/>
        <v>0.11905818170266529</v>
      </c>
      <c r="U107" s="140">
        <f t="shared" si="107"/>
        <v>0.11450852903521234</v>
      </c>
      <c r="V107" s="140">
        <f t="shared" si="107"/>
        <v>3.4236824311900997E-2</v>
      </c>
      <c r="W107" s="140">
        <f t="shared" ref="W107" si="108">IF(W15=0,0,W15/W$4)</f>
        <v>4.5755800838674275E-2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3.2110723131488189E-2</v>
      </c>
      <c r="C108" s="140">
        <f t="shared" si="109"/>
        <v>2.9230235395689093E-2</v>
      </c>
      <c r="D108" s="140">
        <f t="shared" si="109"/>
        <v>2.3852820286462146E-2</v>
      </c>
      <c r="E108" s="140">
        <f t="shared" si="109"/>
        <v>2.3644405036536469E-2</v>
      </c>
      <c r="F108" s="140">
        <f t="shared" si="109"/>
        <v>2.8312357283215073E-2</v>
      </c>
      <c r="G108" s="140">
        <f t="shared" si="109"/>
        <v>3.5781557743506519E-2</v>
      </c>
      <c r="H108" s="140">
        <f t="shared" si="109"/>
        <v>3.8422689459768303E-2</v>
      </c>
      <c r="I108" s="140">
        <f t="shared" si="109"/>
        <v>4.4554536911072459E-2</v>
      </c>
      <c r="J108" s="140">
        <f t="shared" si="109"/>
        <v>5.166374168757687E-2</v>
      </c>
      <c r="K108" s="140">
        <f t="shared" si="109"/>
        <v>4.9566829191633008E-2</v>
      </c>
      <c r="L108" s="140">
        <f t="shared" si="109"/>
        <v>5.2106748750109018E-2</v>
      </c>
      <c r="M108" s="140">
        <f t="shared" si="109"/>
        <v>5.1773175716592769E-2</v>
      </c>
      <c r="N108" s="140">
        <f t="shared" si="109"/>
        <v>5.1894853317598667E-2</v>
      </c>
      <c r="O108" s="140">
        <f t="shared" si="109"/>
        <v>5.3908293981920007E-2</v>
      </c>
      <c r="P108" s="140">
        <f t="shared" si="109"/>
        <v>5.8310556049348899E-2</v>
      </c>
      <c r="Q108" s="140">
        <f t="shared" si="109"/>
        <v>5.9468282504220794E-2</v>
      </c>
      <c r="R108" s="140">
        <f t="shared" ref="R108:V108" si="110">IF(R16=0,0,R16/R$4)</f>
        <v>6.6950928815827412E-2</v>
      </c>
      <c r="S108" s="140">
        <f t="shared" si="110"/>
        <v>7.017619409928498E-2</v>
      </c>
      <c r="T108" s="140">
        <f t="shared" si="110"/>
        <v>7.6021328438756738E-2</v>
      </c>
      <c r="U108" s="140">
        <f t="shared" si="110"/>
        <v>7.3121168543587148E-2</v>
      </c>
      <c r="V108" s="140">
        <f t="shared" si="110"/>
        <v>2.4939298562989914E-2</v>
      </c>
      <c r="W108" s="140">
        <f t="shared" ref="W108" si="111">IF(W16=0,0,W16/W$4)</f>
        <v>2.1917569219186347E-2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0.64665690371182449</v>
      </c>
      <c r="C110" s="139">
        <f t="shared" si="115"/>
        <v>0.64749087861842436</v>
      </c>
      <c r="D110" s="139">
        <f t="shared" si="115"/>
        <v>0.65904279357540929</v>
      </c>
      <c r="E110" s="139">
        <f t="shared" si="115"/>
        <v>0.64726791436295139</v>
      </c>
      <c r="F110" s="139">
        <f t="shared" si="115"/>
        <v>0.65537245754914664</v>
      </c>
      <c r="G110" s="139">
        <f t="shared" si="115"/>
        <v>0.6556953121263065</v>
      </c>
      <c r="H110" s="139">
        <f t="shared" si="115"/>
        <v>0.64840131336203211</v>
      </c>
      <c r="I110" s="139">
        <f t="shared" si="115"/>
        <v>0.65594873198029424</v>
      </c>
      <c r="J110" s="139">
        <f t="shared" si="115"/>
        <v>0.66221677624934094</v>
      </c>
      <c r="K110" s="139">
        <f t="shared" si="115"/>
        <v>0.64742104533725708</v>
      </c>
      <c r="L110" s="139">
        <f t="shared" si="115"/>
        <v>0.61769139819634022</v>
      </c>
      <c r="M110" s="139">
        <f t="shared" si="115"/>
        <v>0.62661739758156376</v>
      </c>
      <c r="N110" s="139">
        <f t="shared" si="115"/>
        <v>0.61837255105181144</v>
      </c>
      <c r="O110" s="139">
        <f t="shared" si="115"/>
        <v>0.63544143871248449</v>
      </c>
      <c r="P110" s="139">
        <f t="shared" si="115"/>
        <v>0.67093033696000426</v>
      </c>
      <c r="Q110" s="139">
        <f t="shared" si="115"/>
        <v>0.68000378188625121</v>
      </c>
      <c r="R110" s="139">
        <f t="shared" ref="R110:V110" si="116">IF(R18=0,0,R18/R$17)</f>
        <v>0.68142317109128614</v>
      </c>
      <c r="S110" s="139">
        <f t="shared" si="116"/>
        <v>0.67149801128454045</v>
      </c>
      <c r="T110" s="139">
        <f t="shared" si="116"/>
        <v>0.67163693116157985</v>
      </c>
      <c r="U110" s="139">
        <f t="shared" si="116"/>
        <v>0.67292561714678989</v>
      </c>
      <c r="V110" s="139">
        <f t="shared" si="116"/>
        <v>0.67722017375381072</v>
      </c>
      <c r="W110" s="139">
        <f t="shared" ref="W110" si="117">IF(W18=0,0,W18/W$17)</f>
        <v>0.68133493921255284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1.1373706255332468E-2</v>
      </c>
      <c r="C111" s="140">
        <f t="shared" si="118"/>
        <v>1.3793001438284944E-2</v>
      </c>
      <c r="D111" s="140">
        <f t="shared" si="118"/>
        <v>1.4523834755007722E-2</v>
      </c>
      <c r="E111" s="140">
        <f t="shared" si="118"/>
        <v>1.564500953011163E-2</v>
      </c>
      <c r="F111" s="140">
        <f t="shared" si="118"/>
        <v>1.6532546587203038E-2</v>
      </c>
      <c r="G111" s="140">
        <f t="shared" si="118"/>
        <v>1.5318711396671174E-2</v>
      </c>
      <c r="H111" s="140">
        <f t="shared" si="118"/>
        <v>1.5797463563490901E-2</v>
      </c>
      <c r="I111" s="140">
        <f t="shared" si="118"/>
        <v>1.6481874275226828E-2</v>
      </c>
      <c r="J111" s="140">
        <f t="shared" si="118"/>
        <v>1.6818838989890096E-2</v>
      </c>
      <c r="K111" s="140">
        <f t="shared" si="118"/>
        <v>1.9832363548226616E-2</v>
      </c>
      <c r="L111" s="140">
        <f t="shared" si="118"/>
        <v>1.9241450689879886E-2</v>
      </c>
      <c r="M111" s="140">
        <f t="shared" si="118"/>
        <v>2.021585237241862E-2</v>
      </c>
      <c r="N111" s="140">
        <f t="shared" si="118"/>
        <v>2.184760667839971E-2</v>
      </c>
      <c r="O111" s="140">
        <f t="shared" si="118"/>
        <v>2.215338661652479E-2</v>
      </c>
      <c r="P111" s="140">
        <f t="shared" si="118"/>
        <v>2.0525415600795113E-2</v>
      </c>
      <c r="Q111" s="140">
        <f t="shared" si="118"/>
        <v>2.1748179264086506E-2</v>
      </c>
      <c r="R111" s="140">
        <f t="shared" ref="R111:V111" si="119">IF(R19=0,0,R19/R$17)</f>
        <v>2.1726588904677571E-2</v>
      </c>
      <c r="S111" s="140">
        <f t="shared" si="119"/>
        <v>2.3271062991933891E-2</v>
      </c>
      <c r="T111" s="140">
        <f t="shared" si="119"/>
        <v>2.2212941953858045E-2</v>
      </c>
      <c r="U111" s="140">
        <f t="shared" si="119"/>
        <v>2.3193912049977602E-2</v>
      </c>
      <c r="V111" s="140">
        <f t="shared" si="119"/>
        <v>2.3258224425988811E-2</v>
      </c>
      <c r="W111" s="140">
        <f t="shared" ref="W111" si="120">IF(W19=0,0,W19/W$17)</f>
        <v>2.172875001980077E-2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0.63528319745649209</v>
      </c>
      <c r="C112" s="140">
        <f t="shared" si="121"/>
        <v>0.63369787718013937</v>
      </c>
      <c r="D112" s="140">
        <f t="shared" si="121"/>
        <v>0.64451895882040156</v>
      </c>
      <c r="E112" s="140">
        <f t="shared" si="121"/>
        <v>0.63162290483283978</v>
      </c>
      <c r="F112" s="140">
        <f t="shared" si="121"/>
        <v>0.63883991096194359</v>
      </c>
      <c r="G112" s="140">
        <f t="shared" si="121"/>
        <v>0.64037660072963531</v>
      </c>
      <c r="H112" s="140">
        <f t="shared" si="121"/>
        <v>0.63260384979854123</v>
      </c>
      <c r="I112" s="140">
        <f t="shared" si="121"/>
        <v>0.63946685770506739</v>
      </c>
      <c r="J112" s="140">
        <f t="shared" si="121"/>
        <v>0.64539793725945083</v>
      </c>
      <c r="K112" s="140">
        <f t="shared" si="121"/>
        <v>0.62758868178903038</v>
      </c>
      <c r="L112" s="140">
        <f t="shared" si="121"/>
        <v>0.5984499475064603</v>
      </c>
      <c r="M112" s="140">
        <f t="shared" si="121"/>
        <v>0.60640154520914513</v>
      </c>
      <c r="N112" s="140">
        <f t="shared" si="121"/>
        <v>0.59652494437341175</v>
      </c>
      <c r="O112" s="140">
        <f t="shared" si="121"/>
        <v>0.6132880520959596</v>
      </c>
      <c r="P112" s="140">
        <f t="shared" si="121"/>
        <v>0.65040492135920913</v>
      </c>
      <c r="Q112" s="140">
        <f t="shared" si="121"/>
        <v>0.65825560262216465</v>
      </c>
      <c r="R112" s="140">
        <f t="shared" ref="R112:V112" si="122">IF(R20=0,0,R20/R$17)</f>
        <v>0.65969658218660865</v>
      </c>
      <c r="S112" s="140">
        <f t="shared" si="122"/>
        <v>0.64822694829260652</v>
      </c>
      <c r="T112" s="140">
        <f t="shared" si="122"/>
        <v>0.64942398920772182</v>
      </c>
      <c r="U112" s="140">
        <f t="shared" si="122"/>
        <v>0.64973170509681222</v>
      </c>
      <c r="V112" s="140">
        <f t="shared" si="122"/>
        <v>0.65396194932782192</v>
      </c>
      <c r="W112" s="140">
        <f t="shared" ref="W112" si="123">IF(W20=0,0,W20/W$17)</f>
        <v>0.65960618919275205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0.31747578647941765</v>
      </c>
      <c r="C113" s="124">
        <f t="shared" si="124"/>
        <v>0.31590630407576503</v>
      </c>
      <c r="D113" s="124">
        <f t="shared" si="124"/>
        <v>0.3065244009135224</v>
      </c>
      <c r="E113" s="124">
        <f t="shared" si="124"/>
        <v>0.31743967483733992</v>
      </c>
      <c r="F113" s="124">
        <f t="shared" si="124"/>
        <v>0.31167046289289646</v>
      </c>
      <c r="G113" s="124">
        <f t="shared" si="124"/>
        <v>0.30765964779772559</v>
      </c>
      <c r="H113" s="124">
        <f t="shared" si="124"/>
        <v>0.30111518917489183</v>
      </c>
      <c r="I113" s="124">
        <f t="shared" si="124"/>
        <v>0.31016105449458681</v>
      </c>
      <c r="J113" s="124">
        <f t="shared" si="124"/>
        <v>0.30257780286664637</v>
      </c>
      <c r="K113" s="124">
        <f t="shared" si="124"/>
        <v>0.31372474648267468</v>
      </c>
      <c r="L113" s="124">
        <f t="shared" si="124"/>
        <v>0.3307975769340048</v>
      </c>
      <c r="M113" s="124">
        <f t="shared" si="124"/>
        <v>0.32316069563622463</v>
      </c>
      <c r="N113" s="124">
        <f t="shared" si="124"/>
        <v>0.33211264574515892</v>
      </c>
      <c r="O113" s="124">
        <f t="shared" si="124"/>
        <v>0.31202966791620546</v>
      </c>
      <c r="P113" s="124">
        <f t="shared" si="124"/>
        <v>0.28368207791543509</v>
      </c>
      <c r="Q113" s="124">
        <f t="shared" si="124"/>
        <v>0.27577415106011155</v>
      </c>
      <c r="R113" s="124">
        <f t="shared" ref="R113:V113" si="125">IF(R21=0,0,R21/R$17)</f>
        <v>0.275558656609386</v>
      </c>
      <c r="S113" s="124">
        <f t="shared" si="125"/>
        <v>0.28063007352195479</v>
      </c>
      <c r="T113" s="124">
        <f t="shared" si="125"/>
        <v>0.28013645225390432</v>
      </c>
      <c r="U113" s="124">
        <f t="shared" si="125"/>
        <v>0.28033430317376051</v>
      </c>
      <c r="V113" s="124">
        <f t="shared" si="125"/>
        <v>0.27615365357024707</v>
      </c>
      <c r="W113" s="124">
        <f t="shared" ref="W113" si="126">IF(W21=0,0,W21/W$17)</f>
        <v>0.26809327874058969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2.0264938905373343E-3</v>
      </c>
      <c r="C114" s="124">
        <f t="shared" si="127"/>
        <v>2.662723346791802E-3</v>
      </c>
      <c r="D114" s="124">
        <f t="shared" si="127"/>
        <v>3.1987083443149218E-3</v>
      </c>
      <c r="E114" s="124">
        <f t="shared" si="127"/>
        <v>3.85360718781887E-3</v>
      </c>
      <c r="F114" s="124">
        <f t="shared" si="127"/>
        <v>4.0651110851840783E-3</v>
      </c>
      <c r="G114" s="124">
        <f t="shared" si="127"/>
        <v>4.8722369203135002E-3</v>
      </c>
      <c r="H114" s="124">
        <f t="shared" si="127"/>
        <v>5.0296790031377232E-3</v>
      </c>
      <c r="I114" s="124">
        <f t="shared" si="127"/>
        <v>5.50920971412543E-3</v>
      </c>
      <c r="J114" s="124">
        <f t="shared" si="127"/>
        <v>5.7400924438192544E-3</v>
      </c>
      <c r="K114" s="124">
        <f t="shared" si="127"/>
        <v>5.4064479497537366E-3</v>
      </c>
      <c r="L114" s="124">
        <f t="shared" si="127"/>
        <v>5.8671201179650587E-3</v>
      </c>
      <c r="M114" s="124">
        <f t="shared" si="127"/>
        <v>5.2987397638763374E-3</v>
      </c>
      <c r="N114" s="124">
        <f t="shared" si="127"/>
        <v>4.8632576502446534E-3</v>
      </c>
      <c r="O114" s="124">
        <f t="shared" si="127"/>
        <v>3.5414705329025365E-3</v>
      </c>
      <c r="P114" s="124">
        <f t="shared" si="127"/>
        <v>3.229812119800599E-3</v>
      </c>
      <c r="Q114" s="124">
        <f t="shared" si="127"/>
        <v>2.9942245006087075E-3</v>
      </c>
      <c r="R114" s="124">
        <f t="shared" ref="R114:V114" si="128">IF(R22=0,0,R22/R$17)</f>
        <v>2.5905918191939984E-3</v>
      </c>
      <c r="S114" s="124">
        <f t="shared" si="128"/>
        <v>2.345809046463085E-3</v>
      </c>
      <c r="T114" s="124">
        <f t="shared" si="128"/>
        <v>1.9792394530615716E-3</v>
      </c>
      <c r="U114" s="124">
        <f t="shared" si="128"/>
        <v>1.778769315414291E-3</v>
      </c>
      <c r="V114" s="124">
        <f t="shared" si="128"/>
        <v>1.2262570487034199E-3</v>
      </c>
      <c r="W114" s="124">
        <f t="shared" ref="W114" si="129">IF(W22=0,0,W22/W$17)</f>
        <v>1.0829564003810995E-3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4.8466217754281254E-5</v>
      </c>
      <c r="C115" s="140">
        <f t="shared" si="130"/>
        <v>4.0587357027957894E-5</v>
      </c>
      <c r="D115" s="140">
        <f t="shared" si="130"/>
        <v>5.0163005282417957E-5</v>
      </c>
      <c r="E115" s="140">
        <f t="shared" si="130"/>
        <v>5.8066204607188406E-5</v>
      </c>
      <c r="F115" s="140">
        <f t="shared" si="130"/>
        <v>8.0666458913800803E-5</v>
      </c>
      <c r="G115" s="140">
        <f t="shared" si="130"/>
        <v>8.0871533786093619E-5</v>
      </c>
      <c r="H115" s="140">
        <f t="shared" si="130"/>
        <v>9.100443779306715E-5</v>
      </c>
      <c r="I115" s="140">
        <f t="shared" si="130"/>
        <v>1.0660497370009483E-4</v>
      </c>
      <c r="J115" s="140">
        <f t="shared" si="130"/>
        <v>1.1113753974290215E-4</v>
      </c>
      <c r="K115" s="140">
        <f t="shared" si="130"/>
        <v>1.0762914476565753E-4</v>
      </c>
      <c r="L115" s="140">
        <f t="shared" si="130"/>
        <v>9.0074862828298655E-5</v>
      </c>
      <c r="M115" s="140">
        <f t="shared" si="130"/>
        <v>8.479417391270878E-5</v>
      </c>
      <c r="N115" s="140">
        <f t="shared" si="130"/>
        <v>9.2729039117849408E-5</v>
      </c>
      <c r="O115" s="140">
        <f t="shared" si="130"/>
        <v>8.9019348046500484E-5</v>
      </c>
      <c r="P115" s="140">
        <f t="shared" si="130"/>
        <v>8.2412391175376619E-5</v>
      </c>
      <c r="Q115" s="140">
        <f t="shared" si="130"/>
        <v>7.9856630311268243E-5</v>
      </c>
      <c r="R115" s="140">
        <f t="shared" ref="R115:V116" si="131">IF(R23=0,0,R23/R$17)</f>
        <v>7.6346116411160487E-5</v>
      </c>
      <c r="S115" s="140">
        <f t="shared" si="131"/>
        <v>7.6371608565795648E-5</v>
      </c>
      <c r="T115" s="140">
        <f t="shared" si="131"/>
        <v>5.5578160471395167E-5</v>
      </c>
      <c r="U115" s="140">
        <f t="shared" si="131"/>
        <v>3.9292515239895815E-5</v>
      </c>
      <c r="V115" s="140">
        <f t="shared" si="131"/>
        <v>2.7133332731983353E-5</v>
      </c>
      <c r="W115" s="140">
        <f t="shared" ref="W115" si="132">IF(W23=0,0,W23/W$17)</f>
        <v>3.2393616191539687E-5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4.0516751539386675E-4</v>
      </c>
      <c r="C116" s="140">
        <f t="shared" si="133"/>
        <v>3.6122465612787788E-4</v>
      </c>
      <c r="D116" s="140">
        <f t="shared" si="133"/>
        <v>4.2105903715383507E-4</v>
      </c>
      <c r="E116" s="140">
        <f t="shared" si="133"/>
        <v>4.7476735975373756E-4</v>
      </c>
      <c r="F116" s="140">
        <f t="shared" si="133"/>
        <v>5.4999204678659068E-4</v>
      </c>
      <c r="G116" s="140">
        <f t="shared" si="133"/>
        <v>5.5498874115997906E-4</v>
      </c>
      <c r="H116" s="140">
        <f t="shared" si="133"/>
        <v>5.9795593242001647E-4</v>
      </c>
      <c r="I116" s="140">
        <f t="shared" si="133"/>
        <v>6.9701901512707603E-4</v>
      </c>
      <c r="J116" s="140">
        <f t="shared" si="133"/>
        <v>6.9544791526214165E-4</v>
      </c>
      <c r="K116" s="140">
        <f t="shared" si="133"/>
        <v>6.537445003626846E-4</v>
      </c>
      <c r="L116" s="140">
        <f t="shared" si="133"/>
        <v>6.6444751725908797E-4</v>
      </c>
      <c r="M116" s="140">
        <f t="shared" si="133"/>
        <v>5.2458954190754965E-4</v>
      </c>
      <c r="N116" s="140">
        <f t="shared" si="133"/>
        <v>5.0865191174217378E-4</v>
      </c>
      <c r="O116" s="140">
        <f t="shared" si="133"/>
        <v>4.8591295412108435E-4</v>
      </c>
      <c r="P116" s="140">
        <f t="shared" si="133"/>
        <v>4.8148758322236505E-4</v>
      </c>
      <c r="Q116" s="140">
        <f t="shared" si="133"/>
        <v>4.7840295598059601E-4</v>
      </c>
      <c r="R116" s="140">
        <f t="shared" si="131"/>
        <v>4.4321308584718827E-4</v>
      </c>
      <c r="S116" s="140">
        <f t="shared" si="131"/>
        <v>4.6393338570942461E-4</v>
      </c>
      <c r="T116" s="140">
        <f t="shared" si="131"/>
        <v>4.5428930291259917E-4</v>
      </c>
      <c r="U116" s="140">
        <f t="shared" si="131"/>
        <v>7.6640500799447786E-4</v>
      </c>
      <c r="V116" s="140">
        <f t="shared" si="131"/>
        <v>5.7588461932249469E-4</v>
      </c>
      <c r="W116" s="140">
        <f t="shared" ref="W116" si="134">IF(W24=0,0,W24/W$17)</f>
        <v>6.0108105164579067E-4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1.5728601573891862E-3</v>
      </c>
      <c r="C117" s="140">
        <f t="shared" si="135"/>
        <v>2.2609113336359661E-3</v>
      </c>
      <c r="D117" s="140">
        <f t="shared" si="135"/>
        <v>2.7274863018786691E-3</v>
      </c>
      <c r="E117" s="140">
        <f t="shared" si="135"/>
        <v>3.3207736234579445E-3</v>
      </c>
      <c r="F117" s="140">
        <f t="shared" si="135"/>
        <v>3.4344525794836865E-3</v>
      </c>
      <c r="G117" s="140">
        <f t="shared" si="135"/>
        <v>4.2363766453674279E-3</v>
      </c>
      <c r="H117" s="140">
        <f t="shared" si="135"/>
        <v>4.3407186329246401E-3</v>
      </c>
      <c r="I117" s="140">
        <f t="shared" si="135"/>
        <v>4.7055857252982589E-3</v>
      </c>
      <c r="J117" s="140">
        <f t="shared" si="135"/>
        <v>4.9335069888142109E-3</v>
      </c>
      <c r="K117" s="140">
        <f t="shared" si="135"/>
        <v>4.6450743046253943E-3</v>
      </c>
      <c r="L117" s="140">
        <f t="shared" si="135"/>
        <v>5.1125977378776713E-3</v>
      </c>
      <c r="M117" s="140">
        <f t="shared" si="135"/>
        <v>4.6893560480560795E-3</v>
      </c>
      <c r="N117" s="140">
        <f t="shared" si="135"/>
        <v>4.2618766993846304E-3</v>
      </c>
      <c r="O117" s="140">
        <f t="shared" si="135"/>
        <v>2.9665382307349519E-3</v>
      </c>
      <c r="P117" s="140">
        <f t="shared" si="135"/>
        <v>2.6659121454028572E-3</v>
      </c>
      <c r="Q117" s="140">
        <f t="shared" si="135"/>
        <v>2.4359649143168433E-3</v>
      </c>
      <c r="R117" s="140">
        <f t="shared" ref="R117:V117" si="136">IF(R25=0,0,R25/R$17)</f>
        <v>2.0710326169356497E-3</v>
      </c>
      <c r="S117" s="140">
        <f t="shared" si="136"/>
        <v>1.805504052187865E-3</v>
      </c>
      <c r="T117" s="140">
        <f t="shared" si="136"/>
        <v>1.469371989677577E-3</v>
      </c>
      <c r="U117" s="140">
        <f t="shared" si="136"/>
        <v>9.7307179217991709E-4</v>
      </c>
      <c r="V117" s="140">
        <f t="shared" si="136"/>
        <v>6.2323909664894193E-4</v>
      </c>
      <c r="W117" s="140">
        <f t="shared" ref="W117" si="137">IF(W25=0,0,W25/W$17)</f>
        <v>4.4948173254376914E-4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3.3840815918220385E-2</v>
      </c>
      <c r="C118" s="124">
        <f t="shared" si="138"/>
        <v>3.3940093959018952E-2</v>
      </c>
      <c r="D118" s="124">
        <f t="shared" si="138"/>
        <v>3.1234097166753488E-2</v>
      </c>
      <c r="E118" s="124">
        <f t="shared" si="138"/>
        <v>3.1438803611889866E-2</v>
      </c>
      <c r="F118" s="124">
        <f t="shared" si="138"/>
        <v>2.88919684727727E-2</v>
      </c>
      <c r="G118" s="124">
        <f t="shared" si="138"/>
        <v>3.1772803155654269E-2</v>
      </c>
      <c r="H118" s="124">
        <f t="shared" si="138"/>
        <v>4.5453818459938303E-2</v>
      </c>
      <c r="I118" s="124">
        <f t="shared" si="138"/>
        <v>2.8381003810993486E-2</v>
      </c>
      <c r="J118" s="124">
        <f t="shared" si="138"/>
        <v>2.9465328440193353E-2</v>
      </c>
      <c r="K118" s="124">
        <f t="shared" si="138"/>
        <v>3.3447760230314538E-2</v>
      </c>
      <c r="L118" s="124">
        <f t="shared" si="138"/>
        <v>4.5643904751689786E-2</v>
      </c>
      <c r="M118" s="124">
        <f t="shared" si="138"/>
        <v>4.4923167018335396E-2</v>
      </c>
      <c r="N118" s="124">
        <f t="shared" si="138"/>
        <v>4.4651545552784971E-2</v>
      </c>
      <c r="O118" s="124">
        <f t="shared" si="138"/>
        <v>4.8987422838407582E-2</v>
      </c>
      <c r="P118" s="124">
        <f t="shared" si="138"/>
        <v>4.2157773004759889E-2</v>
      </c>
      <c r="Q118" s="124">
        <f t="shared" si="138"/>
        <v>4.1227842553028381E-2</v>
      </c>
      <c r="R118" s="124">
        <f t="shared" ref="R118:V118" si="139">IF(R26=0,0,R26/R$17)</f>
        <v>4.0427580480133916E-2</v>
      </c>
      <c r="S118" s="124">
        <f t="shared" si="139"/>
        <v>4.5526106147041695E-2</v>
      </c>
      <c r="T118" s="124">
        <f t="shared" si="139"/>
        <v>4.6247377131454166E-2</v>
      </c>
      <c r="U118" s="124">
        <f t="shared" si="139"/>
        <v>4.4961310364035417E-2</v>
      </c>
      <c r="V118" s="124">
        <f t="shared" si="139"/>
        <v>4.5399915627238871E-2</v>
      </c>
      <c r="W118" s="124">
        <f t="shared" ref="W118" si="140">IF(W26=0,0,W26/W$17)</f>
        <v>4.9488825646476206E-2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3.3840815918220385E-2</v>
      </c>
      <c r="C119" s="140">
        <f t="shared" si="141"/>
        <v>3.3940093959018952E-2</v>
      </c>
      <c r="D119" s="140">
        <f t="shared" si="141"/>
        <v>3.1234097166753488E-2</v>
      </c>
      <c r="E119" s="140">
        <f t="shared" si="141"/>
        <v>3.1438803611889866E-2</v>
      </c>
      <c r="F119" s="140">
        <f t="shared" si="141"/>
        <v>2.88919684727727E-2</v>
      </c>
      <c r="G119" s="140">
        <f t="shared" si="141"/>
        <v>3.1772803155654269E-2</v>
      </c>
      <c r="H119" s="140">
        <f t="shared" si="141"/>
        <v>4.5453818459938303E-2</v>
      </c>
      <c r="I119" s="140">
        <f t="shared" si="141"/>
        <v>2.8381003810993486E-2</v>
      </c>
      <c r="J119" s="140">
        <f t="shared" si="141"/>
        <v>2.9465328440193353E-2</v>
      </c>
      <c r="K119" s="140">
        <f t="shared" si="141"/>
        <v>3.3447760230314538E-2</v>
      </c>
      <c r="L119" s="140">
        <f t="shared" si="141"/>
        <v>4.5643904751689786E-2</v>
      </c>
      <c r="M119" s="140">
        <f t="shared" si="141"/>
        <v>4.4923167018335396E-2</v>
      </c>
      <c r="N119" s="140">
        <f t="shared" si="141"/>
        <v>4.4651545552784971E-2</v>
      </c>
      <c r="O119" s="140">
        <f t="shared" si="141"/>
        <v>4.8987422838407582E-2</v>
      </c>
      <c r="P119" s="140">
        <f t="shared" si="141"/>
        <v>4.2157773004759889E-2</v>
      </c>
      <c r="Q119" s="140">
        <f t="shared" si="141"/>
        <v>4.1227842553028381E-2</v>
      </c>
      <c r="R119" s="140">
        <f t="shared" ref="R119:V119" si="142">IF(R27=0,0,R27/R$17)</f>
        <v>4.0221613064187443E-2</v>
      </c>
      <c r="S119" s="140">
        <f t="shared" si="142"/>
        <v>4.5461853451391462E-2</v>
      </c>
      <c r="T119" s="140">
        <f t="shared" si="142"/>
        <v>4.5718910541697307E-2</v>
      </c>
      <c r="U119" s="140">
        <f t="shared" si="142"/>
        <v>4.4343167044104077E-2</v>
      </c>
      <c r="V119" s="140">
        <f t="shared" si="142"/>
        <v>4.4412491954203229E-2</v>
      </c>
      <c r="W119" s="140">
        <f t="shared" ref="W119" si="143">IF(W27=0,0,W27/W$17)</f>
        <v>4.7865334428037733E-2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2.0596741594647181E-4</v>
      </c>
      <c r="S120" s="127">
        <f t="shared" si="145"/>
        <v>6.4252695650232345E-5</v>
      </c>
      <c r="T120" s="127">
        <f t="shared" si="145"/>
        <v>5.2846658975686076E-4</v>
      </c>
      <c r="U120" s="127">
        <f t="shared" si="145"/>
        <v>6.1814331993134122E-4</v>
      </c>
      <c r="V120" s="127">
        <f t="shared" si="145"/>
        <v>9.87423673035644E-4</v>
      </c>
      <c r="W120" s="127">
        <f t="shared" ref="W120" si="146">IF(W28=0,0,W28/W$17)</f>
        <v>1.6234912184384725E-3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0.43937124902176</v>
      </c>
      <c r="C122" s="140">
        <f>IF(C30=0,0,C30/C$29)</f>
        <v>0.41719436102051644</v>
      </c>
      <c r="D122" s="140">
        <f t="shared" ref="D122:W122" si="150">IF(D30=0,0,D30/D$29)</f>
        <v>0.4305596433083882</v>
      </c>
      <c r="E122" s="140">
        <f t="shared" si="150"/>
        <v>0.43161929274827532</v>
      </c>
      <c r="F122" s="140">
        <f t="shared" si="150"/>
        <v>0.44745163622647433</v>
      </c>
      <c r="G122" s="140">
        <f t="shared" si="150"/>
        <v>0.41282463698191629</v>
      </c>
      <c r="H122" s="140">
        <f t="shared" si="150"/>
        <v>0.43678984410882976</v>
      </c>
      <c r="I122" s="140">
        <f t="shared" si="150"/>
        <v>0.46194576455541048</v>
      </c>
      <c r="J122" s="140">
        <f t="shared" si="150"/>
        <v>0.43859259735197759</v>
      </c>
      <c r="K122" s="140">
        <f t="shared" si="150"/>
        <v>0.44830675974722517</v>
      </c>
      <c r="L122" s="140">
        <f t="shared" si="150"/>
        <v>0.4035343476939251</v>
      </c>
      <c r="M122" s="140">
        <f t="shared" si="150"/>
        <v>0.44593765324670592</v>
      </c>
      <c r="N122" s="140">
        <f t="shared" si="150"/>
        <v>0.43636214362481829</v>
      </c>
      <c r="O122" s="140">
        <f t="shared" si="150"/>
        <v>0.44695141273848749</v>
      </c>
      <c r="P122" s="140">
        <f t="shared" si="150"/>
        <v>0.41106391963981964</v>
      </c>
      <c r="Q122" s="140">
        <f t="shared" si="150"/>
        <v>0.38970394846603584</v>
      </c>
      <c r="R122" s="140">
        <f t="shared" si="150"/>
        <v>0.42022298122793816</v>
      </c>
      <c r="S122" s="140">
        <f t="shared" si="150"/>
        <v>0.47754363645817616</v>
      </c>
      <c r="T122" s="140">
        <f t="shared" si="150"/>
        <v>0.49617703978453637</v>
      </c>
      <c r="U122" s="140">
        <f t="shared" si="150"/>
        <v>0.47336826966959161</v>
      </c>
      <c r="V122" s="140">
        <f t="shared" si="150"/>
        <v>0.45206017437342916</v>
      </c>
      <c r="W122" s="140">
        <f t="shared" si="150"/>
        <v>0.5508905427650318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0.56062875097823994</v>
      </c>
      <c r="C123" s="127">
        <f>IF(C31=0,0,C31/C$29)</f>
        <v>0.58280563897948356</v>
      </c>
      <c r="D123" s="127">
        <f t="shared" ref="D123:W123" si="152">IF(D31=0,0,D31/D$29)</f>
        <v>0.56944035669161186</v>
      </c>
      <c r="E123" s="127">
        <f t="shared" si="152"/>
        <v>0.56838070725172463</v>
      </c>
      <c r="F123" s="127">
        <f t="shared" si="152"/>
        <v>0.55254836377352579</v>
      </c>
      <c r="G123" s="127">
        <f t="shared" si="152"/>
        <v>0.58717536301808382</v>
      </c>
      <c r="H123" s="127">
        <f t="shared" si="152"/>
        <v>0.56321015589117029</v>
      </c>
      <c r="I123" s="127">
        <f t="shared" si="152"/>
        <v>0.53805423544458963</v>
      </c>
      <c r="J123" s="127">
        <f t="shared" si="152"/>
        <v>0.56140740264802247</v>
      </c>
      <c r="K123" s="127">
        <f t="shared" si="152"/>
        <v>0.55169324025277477</v>
      </c>
      <c r="L123" s="127">
        <f t="shared" si="152"/>
        <v>0.59646565230607496</v>
      </c>
      <c r="M123" s="127">
        <f t="shared" si="152"/>
        <v>0.55406234675329402</v>
      </c>
      <c r="N123" s="127">
        <f t="shared" si="152"/>
        <v>0.56363785637518171</v>
      </c>
      <c r="O123" s="127">
        <f t="shared" si="152"/>
        <v>0.55304858726151251</v>
      </c>
      <c r="P123" s="127">
        <f t="shared" si="152"/>
        <v>0.58893608036018041</v>
      </c>
      <c r="Q123" s="127">
        <f t="shared" si="152"/>
        <v>0.61029605153396416</v>
      </c>
      <c r="R123" s="127">
        <f t="shared" si="152"/>
        <v>0.57977701877206178</v>
      </c>
      <c r="S123" s="127">
        <f t="shared" si="152"/>
        <v>0.5224563635418239</v>
      </c>
      <c r="T123" s="127">
        <f t="shared" si="152"/>
        <v>0.50382296021546369</v>
      </c>
      <c r="U123" s="127">
        <f t="shared" si="152"/>
        <v>0.52663173033040833</v>
      </c>
      <c r="V123" s="127">
        <f t="shared" si="152"/>
        <v>0.54793982562657084</v>
      </c>
      <c r="W123" s="127">
        <f t="shared" si="152"/>
        <v>0.44910945723496826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0.81888485834738189</v>
      </c>
      <c r="C127" s="139">
        <f t="shared" ref="C127:W127" si="155">IF(C35=0,0,C35/C$34)</f>
        <v>0.81629386683682981</v>
      </c>
      <c r="D127" s="139">
        <f t="shared" si="155"/>
        <v>0.85118257952758414</v>
      </c>
      <c r="E127" s="139">
        <f t="shared" si="155"/>
        <v>0.8561222450329079</v>
      </c>
      <c r="F127" s="139">
        <f t="shared" si="155"/>
        <v>0.83682385748771715</v>
      </c>
      <c r="G127" s="139">
        <f t="shared" si="155"/>
        <v>0.83092811865100802</v>
      </c>
      <c r="H127" s="139">
        <f t="shared" si="155"/>
        <v>0.82910597817802234</v>
      </c>
      <c r="I127" s="139">
        <f t="shared" si="155"/>
        <v>0.83323224490364634</v>
      </c>
      <c r="J127" s="139">
        <f t="shared" si="155"/>
        <v>0.81762028670296383</v>
      </c>
      <c r="K127" s="139">
        <f t="shared" si="155"/>
        <v>0.82832273031168846</v>
      </c>
      <c r="L127" s="139">
        <f t="shared" si="155"/>
        <v>0.83492355629966497</v>
      </c>
      <c r="M127" s="139">
        <f t="shared" si="155"/>
        <v>0.82302854588972563</v>
      </c>
      <c r="N127" s="139">
        <f t="shared" si="155"/>
        <v>0.82390707606415792</v>
      </c>
      <c r="O127" s="139">
        <f t="shared" si="155"/>
        <v>0.80803686522820473</v>
      </c>
      <c r="P127" s="139">
        <f t="shared" si="155"/>
        <v>0.81868620149114957</v>
      </c>
      <c r="Q127" s="139">
        <f t="shared" si="155"/>
        <v>0.82046867761902442</v>
      </c>
      <c r="R127" s="139">
        <f t="shared" si="155"/>
        <v>0.80692178488739552</v>
      </c>
      <c r="S127" s="139">
        <f t="shared" si="155"/>
        <v>0.80381670104408043</v>
      </c>
      <c r="T127" s="139">
        <f t="shared" si="155"/>
        <v>0.79478526864942933</v>
      </c>
      <c r="U127" s="139">
        <f t="shared" si="155"/>
        <v>0.80082118208139752</v>
      </c>
      <c r="V127" s="139">
        <f t="shared" si="155"/>
        <v>0.89215034570858409</v>
      </c>
      <c r="W127" s="139">
        <f t="shared" si="155"/>
        <v>0.88712692204967825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3.659690217925378E-3</v>
      </c>
      <c r="C128" s="140">
        <f t="shared" ref="C128:W128" si="156">IF(C36=0,0,C36/C$34)</f>
        <v>3.9626858836596278E-3</v>
      </c>
      <c r="D128" s="140">
        <f t="shared" si="156"/>
        <v>4.4703516396163356E-3</v>
      </c>
      <c r="E128" s="140">
        <f t="shared" si="156"/>
        <v>4.7670836354894875E-3</v>
      </c>
      <c r="F128" s="140">
        <f t="shared" si="156"/>
        <v>4.9664009497404253E-3</v>
      </c>
      <c r="G128" s="140">
        <f t="shared" si="156"/>
        <v>5.2248636369768798E-3</v>
      </c>
      <c r="H128" s="140">
        <f t="shared" si="156"/>
        <v>5.5485474281495428E-3</v>
      </c>
      <c r="I128" s="140">
        <f t="shared" si="156"/>
        <v>6.0149061903337847E-3</v>
      </c>
      <c r="J128" s="140">
        <f t="shared" si="156"/>
        <v>5.7903023306173692E-3</v>
      </c>
      <c r="K128" s="140">
        <f t="shared" si="156"/>
        <v>5.7709356658735443E-3</v>
      </c>
      <c r="L128" s="140">
        <f t="shared" si="156"/>
        <v>5.4085918807619607E-3</v>
      </c>
      <c r="M128" s="140">
        <f t="shared" si="156"/>
        <v>5.2166010350819915E-3</v>
      </c>
      <c r="N128" s="140">
        <f t="shared" si="156"/>
        <v>4.5256978892592248E-3</v>
      </c>
      <c r="O128" s="140">
        <f t="shared" si="156"/>
        <v>4.9292691926212601E-3</v>
      </c>
      <c r="P128" s="140">
        <f t="shared" si="156"/>
        <v>4.8490533882780589E-3</v>
      </c>
      <c r="Q128" s="140">
        <f t="shared" si="156"/>
        <v>4.7205785472095281E-3</v>
      </c>
      <c r="R128" s="140">
        <f t="shared" si="156"/>
        <v>4.7992922685159535E-3</v>
      </c>
      <c r="S128" s="140">
        <f t="shared" si="156"/>
        <v>4.4212313941260914E-3</v>
      </c>
      <c r="T128" s="140">
        <f t="shared" si="156"/>
        <v>4.183679491406269E-3</v>
      </c>
      <c r="U128" s="140">
        <f t="shared" si="156"/>
        <v>4.5053224020804037E-3</v>
      </c>
      <c r="V128" s="140">
        <f t="shared" si="156"/>
        <v>4.8064818898284163E-3</v>
      </c>
      <c r="W128" s="140">
        <f t="shared" si="156"/>
        <v>4.5598446316115716E-3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0.71570619228194354</v>
      </c>
      <c r="C129" s="140">
        <f t="shared" ref="C129:W129" si="157">IF(C37=0,0,C37/C$34)</f>
        <v>0.7151947856678863</v>
      </c>
      <c r="D129" s="140">
        <f t="shared" si="157"/>
        <v>0.75024968929740166</v>
      </c>
      <c r="E129" s="140">
        <f t="shared" si="157"/>
        <v>0.75393706850926667</v>
      </c>
      <c r="F129" s="140">
        <f t="shared" si="157"/>
        <v>0.73804731581357708</v>
      </c>
      <c r="G129" s="140">
        <f t="shared" si="157"/>
        <v>0.73879554182577767</v>
      </c>
      <c r="H129" s="140">
        <f t="shared" si="157"/>
        <v>0.73321919693003523</v>
      </c>
      <c r="I129" s="140">
        <f t="shared" si="157"/>
        <v>0.74177565707808901</v>
      </c>
      <c r="J129" s="140">
        <f t="shared" si="157"/>
        <v>0.7268195336951272</v>
      </c>
      <c r="K129" s="140">
        <f t="shared" si="157"/>
        <v>0.74040571110742937</v>
      </c>
      <c r="L129" s="140">
        <f t="shared" si="157"/>
        <v>0.74337889833430215</v>
      </c>
      <c r="M129" s="140">
        <f t="shared" si="157"/>
        <v>0.72888151324238493</v>
      </c>
      <c r="N129" s="140">
        <f t="shared" si="157"/>
        <v>0.72783965321655353</v>
      </c>
      <c r="O129" s="140">
        <f t="shared" si="157"/>
        <v>0.71588841240924528</v>
      </c>
      <c r="P129" s="140">
        <f t="shared" si="157"/>
        <v>0.73000844320878644</v>
      </c>
      <c r="Q129" s="140">
        <f t="shared" si="157"/>
        <v>0.7341307854229594</v>
      </c>
      <c r="R129" s="140">
        <f t="shared" si="157"/>
        <v>0.72334707205077686</v>
      </c>
      <c r="S129" s="140">
        <f t="shared" si="157"/>
        <v>0.72146103096346514</v>
      </c>
      <c r="T129" s="140">
        <f t="shared" si="157"/>
        <v>0.71253703499568199</v>
      </c>
      <c r="U129" s="140">
        <f t="shared" si="157"/>
        <v>0.7184522689768188</v>
      </c>
      <c r="V129" s="140">
        <f t="shared" si="157"/>
        <v>0.80294723040537785</v>
      </c>
      <c r="W129" s="140">
        <f t="shared" si="157"/>
        <v>0.80276173443056087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9.9518975847513069E-2</v>
      </c>
      <c r="C130" s="140">
        <f t="shared" ref="C130:W130" si="158">IF(C38=0,0,C38/C$34)</f>
        <v>9.7136395285283936E-2</v>
      </c>
      <c r="D130" s="140">
        <f t="shared" si="158"/>
        <v>9.6462538590566277E-2</v>
      </c>
      <c r="E130" s="140">
        <f t="shared" si="158"/>
        <v>9.7418092888151703E-2</v>
      </c>
      <c r="F130" s="140">
        <f t="shared" si="158"/>
        <v>9.3810140724399679E-2</v>
      </c>
      <c r="G130" s="140">
        <f t="shared" si="158"/>
        <v>8.6907713188253494E-2</v>
      </c>
      <c r="H130" s="140">
        <f t="shared" si="158"/>
        <v>9.0338233819837604E-2</v>
      </c>
      <c r="I130" s="140">
        <f t="shared" si="158"/>
        <v>8.5441681635223601E-2</v>
      </c>
      <c r="J130" s="140">
        <f t="shared" si="158"/>
        <v>8.5010450677219226E-2</v>
      </c>
      <c r="K130" s="140">
        <f t="shared" si="158"/>
        <v>8.2146083538385609E-2</v>
      </c>
      <c r="L130" s="140">
        <f t="shared" si="158"/>
        <v>8.6136066084600865E-2</v>
      </c>
      <c r="M130" s="140">
        <f t="shared" si="158"/>
        <v>8.8930431612258637E-2</v>
      </c>
      <c r="N130" s="140">
        <f t="shared" si="158"/>
        <v>9.1541724958345061E-2</v>
      </c>
      <c r="O130" s="140">
        <f t="shared" si="158"/>
        <v>8.7219183626338154E-2</v>
      </c>
      <c r="P130" s="140">
        <f t="shared" si="158"/>
        <v>8.3828704894085088E-2</v>
      </c>
      <c r="Q130" s="140">
        <f t="shared" si="158"/>
        <v>8.1617313648855563E-2</v>
      </c>
      <c r="R130" s="140">
        <f t="shared" si="158"/>
        <v>7.8775420568102716E-2</v>
      </c>
      <c r="S130" s="140">
        <f t="shared" si="158"/>
        <v>7.7934438686489221E-2</v>
      </c>
      <c r="T130" s="140">
        <f t="shared" si="158"/>
        <v>7.8064554162341038E-2</v>
      </c>
      <c r="U130" s="140">
        <f t="shared" si="158"/>
        <v>7.7863590702498264E-2</v>
      </c>
      <c r="V130" s="140">
        <f t="shared" si="158"/>
        <v>8.4396633413377817E-2</v>
      </c>
      <c r="W130" s="140">
        <f t="shared" si="158"/>
        <v>7.9805342987505717E-2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2.8938156943886482E-2</v>
      </c>
      <c r="C131" s="124">
        <f t="shared" ref="C131:W131" si="159">IF(C39=0,0,C39/C$34)</f>
        <v>2.7719449492044183E-2</v>
      </c>
      <c r="D131" s="124">
        <f t="shared" si="159"/>
        <v>2.8663171110888071E-2</v>
      </c>
      <c r="E131" s="124">
        <f t="shared" si="159"/>
        <v>2.822506143318531E-2</v>
      </c>
      <c r="F131" s="124">
        <f t="shared" si="159"/>
        <v>2.7809776631410585E-2</v>
      </c>
      <c r="G131" s="124">
        <f t="shared" si="159"/>
        <v>2.676687003324563E-2</v>
      </c>
      <c r="H131" s="124">
        <f t="shared" si="159"/>
        <v>2.7226184097971465E-2</v>
      </c>
      <c r="I131" s="124">
        <f t="shared" si="159"/>
        <v>2.6925623026767508E-2</v>
      </c>
      <c r="J131" s="124">
        <f t="shared" si="159"/>
        <v>2.3894330396772356E-2</v>
      </c>
      <c r="K131" s="124">
        <f t="shared" si="159"/>
        <v>2.604202456375989E-2</v>
      </c>
      <c r="L131" s="124">
        <f t="shared" si="159"/>
        <v>2.5069801749785785E-2</v>
      </c>
      <c r="M131" s="124">
        <f t="shared" si="159"/>
        <v>2.7061911328479439E-2</v>
      </c>
      <c r="N131" s="124">
        <f t="shared" si="159"/>
        <v>2.9035346747577597E-2</v>
      </c>
      <c r="O131" s="124">
        <f t="shared" si="159"/>
        <v>2.9918104949560927E-2</v>
      </c>
      <c r="P131" s="124">
        <f t="shared" si="159"/>
        <v>2.9348410288682122E-2</v>
      </c>
      <c r="Q131" s="124">
        <f t="shared" si="159"/>
        <v>2.8711176344572979E-2</v>
      </c>
      <c r="R131" s="124">
        <f t="shared" si="159"/>
        <v>2.9183470435848593E-2</v>
      </c>
      <c r="S131" s="124">
        <f t="shared" si="159"/>
        <v>2.6070737394430821E-2</v>
      </c>
      <c r="T131" s="124">
        <f t="shared" si="159"/>
        <v>2.8261820429157692E-2</v>
      </c>
      <c r="U131" s="124">
        <f t="shared" si="159"/>
        <v>2.8300463906860893E-2</v>
      </c>
      <c r="V131" s="124">
        <f t="shared" si="159"/>
        <v>3.0690013932669468E-2</v>
      </c>
      <c r="W131" s="124">
        <f t="shared" si="159"/>
        <v>3.3400879040254551E-2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2.1201164608431033E-3</v>
      </c>
      <c r="C132" s="140">
        <f t="shared" ref="C132:W132" si="160">IF(C40=0,0,C40/C$34)</f>
        <v>2.1234981494798891E-3</v>
      </c>
      <c r="D132" s="140">
        <f t="shared" si="160"/>
        <v>1.9930421497874867E-3</v>
      </c>
      <c r="E132" s="140">
        <f t="shared" si="160"/>
        <v>1.9722541246105971E-3</v>
      </c>
      <c r="F132" s="140">
        <f t="shared" si="160"/>
        <v>1.9149227791409444E-3</v>
      </c>
      <c r="G132" s="140">
        <f t="shared" si="160"/>
        <v>1.930939803841012E-3</v>
      </c>
      <c r="H132" s="140">
        <f t="shared" si="160"/>
        <v>2.013871273465417E-3</v>
      </c>
      <c r="I132" s="140">
        <f t="shared" si="160"/>
        <v>2.0640264154525175E-3</v>
      </c>
      <c r="J132" s="140">
        <f t="shared" si="160"/>
        <v>2.0328124466249941E-3</v>
      </c>
      <c r="K132" s="140">
        <f t="shared" si="160"/>
        <v>2.0397893906909299E-3</v>
      </c>
      <c r="L132" s="140">
        <f t="shared" si="160"/>
        <v>2.0701070782540624E-3</v>
      </c>
      <c r="M132" s="140">
        <f t="shared" si="160"/>
        <v>2.0796123641243377E-3</v>
      </c>
      <c r="N132" s="140">
        <f t="shared" si="160"/>
        <v>2.1381822568788903E-3</v>
      </c>
      <c r="O132" s="140">
        <f t="shared" si="160"/>
        <v>2.1689700452389628E-3</v>
      </c>
      <c r="P132" s="140">
        <f t="shared" si="160"/>
        <v>2.1555891420532549E-3</v>
      </c>
      <c r="Q132" s="140">
        <f t="shared" si="160"/>
        <v>2.1352263158831097E-3</v>
      </c>
      <c r="R132" s="140">
        <f t="shared" si="160"/>
        <v>2.1734548594609686E-3</v>
      </c>
      <c r="S132" s="140">
        <f t="shared" si="160"/>
        <v>2.1592011646356358E-3</v>
      </c>
      <c r="T132" s="140">
        <f t="shared" si="160"/>
        <v>2.1209644385765157E-3</v>
      </c>
      <c r="U132" s="140">
        <f t="shared" si="160"/>
        <v>2.1436495579527245E-3</v>
      </c>
      <c r="V132" s="140">
        <f t="shared" si="160"/>
        <v>2.5580104756477286E-3</v>
      </c>
      <c r="W132" s="140">
        <f t="shared" si="160"/>
        <v>2.4942608353779464E-3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2.1977217077136547E-2</v>
      </c>
      <c r="C133" s="140">
        <f t="shared" ref="C133:W133" si="161">IF(C41=0,0,C41/C$34)</f>
        <v>2.0425038776821561E-2</v>
      </c>
      <c r="D133" s="140">
        <f t="shared" si="161"/>
        <v>2.1155115622620489E-2</v>
      </c>
      <c r="E133" s="140">
        <f t="shared" si="161"/>
        <v>2.0804044686899375E-2</v>
      </c>
      <c r="F133" s="140">
        <f t="shared" si="161"/>
        <v>2.0615210286647711E-2</v>
      </c>
      <c r="G133" s="140">
        <f t="shared" si="161"/>
        <v>1.9636166401277234E-2</v>
      </c>
      <c r="H133" s="140">
        <f t="shared" si="161"/>
        <v>2.0418906402819209E-2</v>
      </c>
      <c r="I133" s="140">
        <f t="shared" si="161"/>
        <v>2.0169720692934223E-2</v>
      </c>
      <c r="J133" s="140">
        <f t="shared" si="161"/>
        <v>1.7095680552593324E-2</v>
      </c>
      <c r="K133" s="140">
        <f t="shared" si="161"/>
        <v>1.9092942657801065E-2</v>
      </c>
      <c r="L133" s="140">
        <f t="shared" si="161"/>
        <v>1.8264082828019078E-2</v>
      </c>
      <c r="M133" s="140">
        <f t="shared" si="161"/>
        <v>2.0237189471933814E-2</v>
      </c>
      <c r="N133" s="140">
        <f t="shared" si="161"/>
        <v>2.2050352927981919E-2</v>
      </c>
      <c r="O133" s="140">
        <f t="shared" si="161"/>
        <v>2.2678300531316694E-2</v>
      </c>
      <c r="P133" s="140">
        <f t="shared" si="161"/>
        <v>2.1502873207244866E-2</v>
      </c>
      <c r="Q133" s="140">
        <f t="shared" si="161"/>
        <v>2.1342296018135795E-2</v>
      </c>
      <c r="R133" s="140">
        <f t="shared" si="161"/>
        <v>2.1717049889940322E-2</v>
      </c>
      <c r="S133" s="140">
        <f t="shared" si="161"/>
        <v>1.8362796617204222E-2</v>
      </c>
      <c r="T133" s="140">
        <f t="shared" si="161"/>
        <v>2.0841228543366015E-2</v>
      </c>
      <c r="U133" s="140">
        <f t="shared" si="161"/>
        <v>2.0197474280313397E-2</v>
      </c>
      <c r="V133" s="140">
        <f t="shared" si="161"/>
        <v>2.240900829951812E-2</v>
      </c>
      <c r="W133" s="140">
        <f t="shared" si="161"/>
        <v>2.5229412244117538E-2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4.8408234059068292E-3</v>
      </c>
      <c r="C134" s="140">
        <f t="shared" ref="C134:W134" si="162">IF(C42=0,0,C42/C$34)</f>
        <v>5.1709125657427345E-3</v>
      </c>
      <c r="D134" s="140">
        <f t="shared" si="162"/>
        <v>5.5150133384800955E-3</v>
      </c>
      <c r="E134" s="140">
        <f t="shared" si="162"/>
        <v>5.4487626216753364E-3</v>
      </c>
      <c r="F134" s="140">
        <f t="shared" si="162"/>
        <v>5.2796435656219257E-3</v>
      </c>
      <c r="G134" s="140">
        <f t="shared" si="162"/>
        <v>5.1997638281273866E-3</v>
      </c>
      <c r="H134" s="140">
        <f t="shared" si="162"/>
        <v>4.7934064216868383E-3</v>
      </c>
      <c r="I134" s="140">
        <f t="shared" si="162"/>
        <v>4.6918759183807671E-3</v>
      </c>
      <c r="J134" s="140">
        <f t="shared" si="162"/>
        <v>4.7658373975540376E-3</v>
      </c>
      <c r="K134" s="140">
        <f t="shared" si="162"/>
        <v>4.9092925152678978E-3</v>
      </c>
      <c r="L134" s="140">
        <f t="shared" si="162"/>
        <v>4.735611843512645E-3</v>
      </c>
      <c r="M134" s="140">
        <f t="shared" si="162"/>
        <v>4.7451094924212895E-3</v>
      </c>
      <c r="N134" s="140">
        <f t="shared" si="162"/>
        <v>4.8468115627167867E-3</v>
      </c>
      <c r="O134" s="140">
        <f t="shared" si="162"/>
        <v>5.0708343730052749E-3</v>
      </c>
      <c r="P134" s="140">
        <f t="shared" si="162"/>
        <v>5.6899479393840028E-3</v>
      </c>
      <c r="Q134" s="140">
        <f t="shared" si="162"/>
        <v>5.2336540105540749E-3</v>
      </c>
      <c r="R134" s="140">
        <f t="shared" si="162"/>
        <v>5.2929656864473002E-3</v>
      </c>
      <c r="S134" s="140">
        <f t="shared" si="162"/>
        <v>5.548739612590961E-3</v>
      </c>
      <c r="T134" s="140">
        <f t="shared" si="162"/>
        <v>5.2996274472151637E-3</v>
      </c>
      <c r="U134" s="140">
        <f t="shared" si="162"/>
        <v>5.959340068594771E-3</v>
      </c>
      <c r="V134" s="140">
        <f t="shared" si="162"/>
        <v>5.7229951575036237E-3</v>
      </c>
      <c r="W134" s="140">
        <f t="shared" si="162"/>
        <v>5.6772059607590611E-3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0.15217698470873162</v>
      </c>
      <c r="C135" s="124">
        <f t="shared" ref="C135:W135" si="163">IF(C43=0,0,C43/C$34)</f>
        <v>0.155986683671126</v>
      </c>
      <c r="D135" s="124">
        <f t="shared" si="163"/>
        <v>0.12015424936152776</v>
      </c>
      <c r="E135" s="124">
        <f t="shared" si="163"/>
        <v>0.11565269353390692</v>
      </c>
      <c r="F135" s="124">
        <f t="shared" si="163"/>
        <v>0.1353663658808722</v>
      </c>
      <c r="G135" s="124">
        <f t="shared" si="163"/>
        <v>0.14230501131574633</v>
      </c>
      <c r="H135" s="124">
        <f t="shared" si="163"/>
        <v>0.14366783772400613</v>
      </c>
      <c r="I135" s="124">
        <f t="shared" si="163"/>
        <v>0.13984213206958612</v>
      </c>
      <c r="J135" s="124">
        <f t="shared" si="163"/>
        <v>0.15848538290026379</v>
      </c>
      <c r="K135" s="124">
        <f t="shared" si="163"/>
        <v>0.14563524512455162</v>
      </c>
      <c r="L135" s="124">
        <f t="shared" si="163"/>
        <v>0.14000664195054932</v>
      </c>
      <c r="M135" s="124">
        <f t="shared" si="163"/>
        <v>0.14990954278179486</v>
      </c>
      <c r="N135" s="124">
        <f t="shared" si="163"/>
        <v>0.14705757718826454</v>
      </c>
      <c r="O135" s="124">
        <f t="shared" si="163"/>
        <v>0.16204502982223448</v>
      </c>
      <c r="P135" s="124">
        <f t="shared" si="163"/>
        <v>0.15196538822016833</v>
      </c>
      <c r="Q135" s="124">
        <f t="shared" si="163"/>
        <v>0.15082014603640262</v>
      </c>
      <c r="R135" s="124">
        <f t="shared" si="163"/>
        <v>0.16389474467675583</v>
      </c>
      <c r="S135" s="124">
        <f t="shared" si="163"/>
        <v>0.17011256156148863</v>
      </c>
      <c r="T135" s="124">
        <f t="shared" si="163"/>
        <v>0.1769529109214131</v>
      </c>
      <c r="U135" s="124">
        <f t="shared" si="163"/>
        <v>0.17087835401174167</v>
      </c>
      <c r="V135" s="124">
        <f t="shared" si="163"/>
        <v>7.7159640358746354E-2</v>
      </c>
      <c r="W135" s="124">
        <f t="shared" si="163"/>
        <v>7.9472198910067307E-2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3.9171420674440696E-2</v>
      </c>
      <c r="C136" s="140">
        <f t="shared" ref="C136:W136" si="164">IF(C44=0,0,C44/C$34)</f>
        <v>4.0072107357091082E-2</v>
      </c>
      <c r="D136" s="140">
        <f t="shared" si="164"/>
        <v>3.3743795125467345E-2</v>
      </c>
      <c r="E136" s="140">
        <f t="shared" si="164"/>
        <v>3.2615168241364401E-2</v>
      </c>
      <c r="F136" s="140">
        <f t="shared" si="164"/>
        <v>3.6298306415766146E-2</v>
      </c>
      <c r="G136" s="140">
        <f t="shared" si="164"/>
        <v>3.8896059119404976E-2</v>
      </c>
      <c r="H136" s="140">
        <f t="shared" si="164"/>
        <v>3.6426055334763591E-2</v>
      </c>
      <c r="I136" s="140">
        <f t="shared" si="164"/>
        <v>3.5158806062979005E-2</v>
      </c>
      <c r="J136" s="140">
        <f t="shared" si="164"/>
        <v>3.2809739825619001E-2</v>
      </c>
      <c r="K136" s="140">
        <f t="shared" si="164"/>
        <v>2.9089699798613543E-2</v>
      </c>
      <c r="L136" s="140">
        <f t="shared" si="164"/>
        <v>2.7530360459957888E-2</v>
      </c>
      <c r="M136" s="140">
        <f t="shared" si="164"/>
        <v>2.9821986234348917E-2</v>
      </c>
      <c r="N136" s="140">
        <f t="shared" si="164"/>
        <v>2.9855692383626373E-2</v>
      </c>
      <c r="O136" s="140">
        <f t="shared" si="164"/>
        <v>2.9774069791869848E-2</v>
      </c>
      <c r="P136" s="140">
        <f t="shared" si="164"/>
        <v>2.9948573948079812E-2</v>
      </c>
      <c r="Q136" s="140">
        <f t="shared" si="164"/>
        <v>2.8834760452990063E-2</v>
      </c>
      <c r="R136" s="140">
        <f t="shared" si="164"/>
        <v>3.0222682399131277E-2</v>
      </c>
      <c r="S136" s="140">
        <f t="shared" si="164"/>
        <v>2.9615979902216278E-2</v>
      </c>
      <c r="T136" s="140">
        <f t="shared" si="164"/>
        <v>2.8156183186232194E-2</v>
      </c>
      <c r="U136" s="140">
        <f t="shared" si="164"/>
        <v>2.606702509363026E-2</v>
      </c>
      <c r="V136" s="140">
        <f t="shared" si="164"/>
        <v>1.2049428807853318E-2</v>
      </c>
      <c r="W136" s="140">
        <f t="shared" si="164"/>
        <v>1.3375673494591771E-2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8.0013183300962853E-2</v>
      </c>
      <c r="C137" s="140">
        <f t="shared" ref="C137:W137" si="165">IF(C45=0,0,C45/C$34)</f>
        <v>8.2881849479302883E-2</v>
      </c>
      <c r="D137" s="140">
        <f t="shared" si="165"/>
        <v>6.263642943938677E-2</v>
      </c>
      <c r="E137" s="140">
        <f t="shared" si="165"/>
        <v>6.1205235927105119E-2</v>
      </c>
      <c r="F137" s="140">
        <f t="shared" si="165"/>
        <v>7.2832480249280698E-2</v>
      </c>
      <c r="G137" s="140">
        <f t="shared" si="165"/>
        <v>7.6008420716311864E-2</v>
      </c>
      <c r="H137" s="140">
        <f t="shared" si="165"/>
        <v>7.942056371097779E-2</v>
      </c>
      <c r="I137" s="140">
        <f t="shared" si="165"/>
        <v>7.7970565877865744E-2</v>
      </c>
      <c r="J137" s="140">
        <f t="shared" si="165"/>
        <v>9.309757793927631E-2</v>
      </c>
      <c r="K137" s="140">
        <f t="shared" si="165"/>
        <v>8.4615231927563803E-2</v>
      </c>
      <c r="L137" s="140">
        <f t="shared" si="165"/>
        <v>8.1709107102856768E-2</v>
      </c>
      <c r="M137" s="140">
        <f t="shared" si="165"/>
        <v>8.785233669526181E-2</v>
      </c>
      <c r="N137" s="140">
        <f t="shared" si="165"/>
        <v>8.4860572707814524E-2</v>
      </c>
      <c r="O137" s="140">
        <f t="shared" si="165"/>
        <v>9.5896754283105928E-2</v>
      </c>
      <c r="P137" s="140">
        <f t="shared" si="165"/>
        <v>8.8695683158759503E-2</v>
      </c>
      <c r="Q137" s="140">
        <f t="shared" si="165"/>
        <v>8.8716093515600961E-2</v>
      </c>
      <c r="R137" s="140">
        <f t="shared" si="165"/>
        <v>9.8706682401798196E-2</v>
      </c>
      <c r="S137" s="140">
        <f t="shared" si="165"/>
        <v>0.10485190037151239</v>
      </c>
      <c r="T137" s="140">
        <f t="shared" si="165"/>
        <v>0.11025460178299849</v>
      </c>
      <c r="U137" s="140">
        <f t="shared" si="165"/>
        <v>0.10565415909269354</v>
      </c>
      <c r="V137" s="140">
        <f t="shared" si="165"/>
        <v>4.400999144598941E-2</v>
      </c>
      <c r="W137" s="140">
        <f t="shared" si="165"/>
        <v>4.6653419690389268E-2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3.2992380733328081E-2</v>
      </c>
      <c r="C138" s="140">
        <f t="shared" ref="C138:W138" si="166">IF(C46=0,0,C46/C$34)</f>
        <v>3.3032726834732053E-2</v>
      </c>
      <c r="D138" s="140">
        <f t="shared" si="166"/>
        <v>2.3774024796673652E-2</v>
      </c>
      <c r="E138" s="140">
        <f t="shared" si="166"/>
        <v>2.1832289365437397E-2</v>
      </c>
      <c r="F138" s="140">
        <f t="shared" si="166"/>
        <v>2.6235579215825342E-2</v>
      </c>
      <c r="G138" s="140">
        <f t="shared" si="166"/>
        <v>2.7400531480029491E-2</v>
      </c>
      <c r="H138" s="140">
        <f t="shared" si="166"/>
        <v>2.7821218678264745E-2</v>
      </c>
      <c r="I138" s="140">
        <f t="shared" si="166"/>
        <v>2.6712760128741374E-2</v>
      </c>
      <c r="J138" s="140">
        <f t="shared" si="166"/>
        <v>3.2578065135368484E-2</v>
      </c>
      <c r="K138" s="140">
        <f t="shared" si="166"/>
        <v>3.1930313398374252E-2</v>
      </c>
      <c r="L138" s="140">
        <f t="shared" si="166"/>
        <v>3.0767174387734651E-2</v>
      </c>
      <c r="M138" s="140">
        <f t="shared" si="166"/>
        <v>3.223521985218411E-2</v>
      </c>
      <c r="N138" s="140">
        <f t="shared" si="166"/>
        <v>3.234131209682365E-2</v>
      </c>
      <c r="O138" s="140">
        <f t="shared" si="166"/>
        <v>3.637420574725872E-2</v>
      </c>
      <c r="P138" s="140">
        <f t="shared" si="166"/>
        <v>3.3321131113329017E-2</v>
      </c>
      <c r="Q138" s="140">
        <f t="shared" si="166"/>
        <v>3.3269292067811596E-2</v>
      </c>
      <c r="R138" s="140">
        <f t="shared" si="166"/>
        <v>3.4965379875826347E-2</v>
      </c>
      <c r="S138" s="140">
        <f t="shared" si="166"/>
        <v>3.5644681287759931E-2</v>
      </c>
      <c r="T138" s="140">
        <f t="shared" si="166"/>
        <v>3.854212595218242E-2</v>
      </c>
      <c r="U138" s="140">
        <f t="shared" si="166"/>
        <v>3.9157169825417858E-2</v>
      </c>
      <c r="V138" s="140">
        <f t="shared" si="166"/>
        <v>2.1100220104903627E-2</v>
      </c>
      <c r="W138" s="140">
        <f t="shared" si="166"/>
        <v>1.9443105725086257E-2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0.852269548705894</v>
      </c>
      <c r="C140" s="139">
        <f t="shared" ref="C140:W140" si="169">IF(C48=0,0,C48/C$47)</f>
        <v>0.86343316682246984</v>
      </c>
      <c r="D140" s="139">
        <f t="shared" si="169"/>
        <v>0.86656460258025292</v>
      </c>
      <c r="E140" s="139">
        <f t="shared" si="169"/>
        <v>0.85905531707031202</v>
      </c>
      <c r="F140" s="139">
        <f t="shared" si="169"/>
        <v>0.87461801999896294</v>
      </c>
      <c r="G140" s="139">
        <f t="shared" si="169"/>
        <v>0.87273371848955983</v>
      </c>
      <c r="H140" s="139">
        <f t="shared" si="169"/>
        <v>0.87361330576815277</v>
      </c>
      <c r="I140" s="139">
        <f t="shared" si="169"/>
        <v>0.8755050745908417</v>
      </c>
      <c r="J140" s="139">
        <f t="shared" si="169"/>
        <v>0.88579249763622248</v>
      </c>
      <c r="K140" s="139">
        <f t="shared" si="169"/>
        <v>0.88363495902485967</v>
      </c>
      <c r="L140" s="139">
        <f t="shared" si="169"/>
        <v>0.88277942627967698</v>
      </c>
      <c r="M140" s="139">
        <f t="shared" si="169"/>
        <v>0.87913176380973068</v>
      </c>
      <c r="N140" s="139">
        <f t="shared" si="169"/>
        <v>0.87848546179324494</v>
      </c>
      <c r="O140" s="139">
        <f t="shared" si="169"/>
        <v>0.87626034858542767</v>
      </c>
      <c r="P140" s="139">
        <f t="shared" si="169"/>
        <v>0.88487665723030062</v>
      </c>
      <c r="Q140" s="139">
        <f t="shared" si="169"/>
        <v>0.88908626002536195</v>
      </c>
      <c r="R140" s="139">
        <f t="shared" si="169"/>
        <v>0.88082143362335297</v>
      </c>
      <c r="S140" s="139">
        <f t="shared" si="169"/>
        <v>0.88597492893546748</v>
      </c>
      <c r="T140" s="139">
        <f t="shared" si="169"/>
        <v>0.88164907384355762</v>
      </c>
      <c r="U140" s="139">
        <f t="shared" si="169"/>
        <v>0.88369170570369893</v>
      </c>
      <c r="V140" s="139">
        <f t="shared" si="169"/>
        <v>0.90306173839523307</v>
      </c>
      <c r="W140" s="139">
        <f t="shared" si="169"/>
        <v>0.90806163633566306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0.20213059924789104</v>
      </c>
      <c r="C141" s="140">
        <f t="shared" ref="C141:W141" si="170">IF(C49=0,0,C49/C$47)</f>
        <v>0.22113666443267535</v>
      </c>
      <c r="D141" s="140">
        <f t="shared" si="170"/>
        <v>0.2327960963087376</v>
      </c>
      <c r="E141" s="140">
        <f t="shared" si="170"/>
        <v>0.24091234440980763</v>
      </c>
      <c r="F141" s="140">
        <f t="shared" si="170"/>
        <v>0.24902128623217903</v>
      </c>
      <c r="G141" s="140">
        <f t="shared" si="170"/>
        <v>0.23516569980709148</v>
      </c>
      <c r="H141" s="140">
        <f t="shared" si="170"/>
        <v>0.2439890182370307</v>
      </c>
      <c r="I141" s="140">
        <f t="shared" si="170"/>
        <v>0.24632519956048379</v>
      </c>
      <c r="J141" s="140">
        <f t="shared" si="170"/>
        <v>0.25178602664613531</v>
      </c>
      <c r="K141" s="140">
        <f t="shared" si="170"/>
        <v>0.27010223647045373</v>
      </c>
      <c r="L141" s="140">
        <f t="shared" si="170"/>
        <v>0.27251730666771129</v>
      </c>
      <c r="M141" s="140">
        <f t="shared" si="170"/>
        <v>0.28423148536751641</v>
      </c>
      <c r="N141" s="140">
        <f t="shared" si="170"/>
        <v>0.30230295690902276</v>
      </c>
      <c r="O141" s="140">
        <f t="shared" si="170"/>
        <v>0.30527485634788787</v>
      </c>
      <c r="P141" s="140">
        <f t="shared" si="170"/>
        <v>0.2985339303901407</v>
      </c>
      <c r="Q141" s="140">
        <f t="shared" si="170"/>
        <v>0.3094720798346709</v>
      </c>
      <c r="R141" s="140">
        <f t="shared" si="170"/>
        <v>0.31890986534202798</v>
      </c>
      <c r="S141" s="140">
        <f t="shared" si="170"/>
        <v>0.33016980060640155</v>
      </c>
      <c r="T141" s="140">
        <f t="shared" si="170"/>
        <v>0.33128032837414284</v>
      </c>
      <c r="U141" s="140">
        <f t="shared" si="170"/>
        <v>0.33522125104127087</v>
      </c>
      <c r="V141" s="140">
        <f t="shared" si="170"/>
        <v>0.33484489731664469</v>
      </c>
      <c r="W141" s="140">
        <f t="shared" si="170"/>
        <v>0.32612454166692623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0.65013894945800288</v>
      </c>
      <c r="C142" s="140">
        <f t="shared" ref="C142:W142" si="171">IF(C50=0,0,C50/C$47)</f>
        <v>0.64229650238979441</v>
      </c>
      <c r="D142" s="140">
        <f t="shared" si="171"/>
        <v>0.63376850627151526</v>
      </c>
      <c r="E142" s="140">
        <f t="shared" si="171"/>
        <v>0.61814297266050433</v>
      </c>
      <c r="F142" s="140">
        <f t="shared" si="171"/>
        <v>0.62559673376678393</v>
      </c>
      <c r="G142" s="140">
        <f t="shared" si="171"/>
        <v>0.63756801868246837</v>
      </c>
      <c r="H142" s="140">
        <f t="shared" si="171"/>
        <v>0.62962428753112198</v>
      </c>
      <c r="I142" s="140">
        <f t="shared" si="171"/>
        <v>0.62917987503035788</v>
      </c>
      <c r="J142" s="140">
        <f t="shared" si="171"/>
        <v>0.63400647099008711</v>
      </c>
      <c r="K142" s="140">
        <f t="shared" si="171"/>
        <v>0.61353272255440594</v>
      </c>
      <c r="L142" s="140">
        <f t="shared" si="171"/>
        <v>0.61026211961196575</v>
      </c>
      <c r="M142" s="140">
        <f t="shared" si="171"/>
        <v>0.59490027844221427</v>
      </c>
      <c r="N142" s="140">
        <f t="shared" si="171"/>
        <v>0.57618250488422218</v>
      </c>
      <c r="O142" s="140">
        <f t="shared" si="171"/>
        <v>0.5709854922375398</v>
      </c>
      <c r="P142" s="140">
        <f t="shared" si="171"/>
        <v>0.58634272684015998</v>
      </c>
      <c r="Q142" s="140">
        <f t="shared" si="171"/>
        <v>0.579614180190691</v>
      </c>
      <c r="R142" s="140">
        <f t="shared" si="171"/>
        <v>0.56191156828132505</v>
      </c>
      <c r="S142" s="140">
        <f t="shared" si="171"/>
        <v>0.55580512832906603</v>
      </c>
      <c r="T142" s="140">
        <f t="shared" si="171"/>
        <v>0.55036874546941483</v>
      </c>
      <c r="U142" s="140">
        <f t="shared" si="171"/>
        <v>0.54847045466242816</v>
      </c>
      <c r="V142" s="140">
        <f t="shared" si="171"/>
        <v>0.56821684107858839</v>
      </c>
      <c r="W142" s="140">
        <f t="shared" si="171"/>
        <v>0.58193709466873689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6.1090237185261506E-2</v>
      </c>
      <c r="C143" s="124">
        <f t="shared" ref="C143:W143" si="172">IF(C51=0,0,C51/C$47)</f>
        <v>5.0390348249126915E-2</v>
      </c>
      <c r="D143" s="124">
        <f t="shared" si="172"/>
        <v>5.064517820339344E-2</v>
      </c>
      <c r="E143" s="124">
        <f t="shared" si="172"/>
        <v>4.7176936438877659E-2</v>
      </c>
      <c r="F143" s="124">
        <f t="shared" si="172"/>
        <v>4.6825377607631599E-2</v>
      </c>
      <c r="G143" s="124">
        <f t="shared" si="172"/>
        <v>4.8044441264722508E-2</v>
      </c>
      <c r="H143" s="124">
        <f t="shared" si="172"/>
        <v>4.7768083339821993E-2</v>
      </c>
      <c r="I143" s="124">
        <f t="shared" si="172"/>
        <v>4.8304594875111261E-2</v>
      </c>
      <c r="J143" s="124">
        <f t="shared" si="172"/>
        <v>3.6081704113414458E-2</v>
      </c>
      <c r="K143" s="124">
        <f t="shared" si="172"/>
        <v>3.5093461737682803E-2</v>
      </c>
      <c r="L143" s="124">
        <f t="shared" si="172"/>
        <v>3.4349290494654496E-2</v>
      </c>
      <c r="M143" s="124">
        <f t="shared" si="172"/>
        <v>3.7408732676685659E-2</v>
      </c>
      <c r="N143" s="124">
        <f t="shared" si="172"/>
        <v>3.8690907654497293E-2</v>
      </c>
      <c r="O143" s="124">
        <f t="shared" si="172"/>
        <v>3.7874944334173086E-2</v>
      </c>
      <c r="P143" s="124">
        <f t="shared" si="172"/>
        <v>3.3889941062458233E-2</v>
      </c>
      <c r="Q143" s="124">
        <f t="shared" si="172"/>
        <v>3.2234093166074937E-2</v>
      </c>
      <c r="R143" s="124">
        <f t="shared" si="172"/>
        <v>3.3497875001299825E-2</v>
      </c>
      <c r="S143" s="124">
        <f t="shared" si="172"/>
        <v>3.2464538918397158E-2</v>
      </c>
      <c r="T143" s="124">
        <f t="shared" si="172"/>
        <v>3.2174589665739509E-2</v>
      </c>
      <c r="U143" s="124">
        <f t="shared" si="172"/>
        <v>3.0224510261216857E-2</v>
      </c>
      <c r="V143" s="124">
        <f t="shared" si="172"/>
        <v>2.7891101407027195E-2</v>
      </c>
      <c r="W143" s="124">
        <f t="shared" si="172"/>
        <v>2.8871692688217505E-2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6.6115007013842712E-3</v>
      </c>
      <c r="C144" s="124">
        <f t="shared" ref="C144:W144" si="173">IF(C52=0,0,C52/C$47)</f>
        <v>7.4977813498099876E-3</v>
      </c>
      <c r="D144" s="124">
        <f t="shared" si="173"/>
        <v>8.2976838093747392E-3</v>
      </c>
      <c r="E144" s="124">
        <f t="shared" si="173"/>
        <v>1.0279279095325942E-2</v>
      </c>
      <c r="F144" s="124">
        <f t="shared" si="173"/>
        <v>1.2871092353603815E-2</v>
      </c>
      <c r="G144" s="124">
        <f t="shared" si="173"/>
        <v>1.5468804627702401E-2</v>
      </c>
      <c r="H144" s="124">
        <f t="shared" si="173"/>
        <v>1.6726854593975691E-2</v>
      </c>
      <c r="I144" s="124">
        <f t="shared" si="173"/>
        <v>1.6747011857214694E-2</v>
      </c>
      <c r="J144" s="124">
        <f t="shared" si="173"/>
        <v>1.9086318298827919E-2</v>
      </c>
      <c r="K144" s="124">
        <f t="shared" si="173"/>
        <v>1.607698737710803E-2</v>
      </c>
      <c r="L144" s="124">
        <f t="shared" si="173"/>
        <v>1.6435740412640398E-2</v>
      </c>
      <c r="M144" s="124">
        <f t="shared" si="173"/>
        <v>1.4287837089097694E-2</v>
      </c>
      <c r="N144" s="124">
        <f t="shared" si="173"/>
        <v>1.2683433913208097E-2</v>
      </c>
      <c r="O144" s="124">
        <f t="shared" si="173"/>
        <v>1.0317002902781635E-2</v>
      </c>
      <c r="P144" s="124">
        <f t="shared" si="173"/>
        <v>7.4995514421476173E-3</v>
      </c>
      <c r="Q144" s="124">
        <f t="shared" si="173"/>
        <v>6.8159379866484463E-3</v>
      </c>
      <c r="R144" s="124">
        <f t="shared" si="173"/>
        <v>6.0206040419602596E-3</v>
      </c>
      <c r="S144" s="124">
        <f t="shared" si="173"/>
        <v>5.6219699395950755E-3</v>
      </c>
      <c r="T144" s="124">
        <f t="shared" si="173"/>
        <v>5.6019800188379645E-3</v>
      </c>
      <c r="U144" s="124">
        <f t="shared" si="173"/>
        <v>6.6240504053252788E-3</v>
      </c>
      <c r="V144" s="124">
        <f t="shared" si="173"/>
        <v>7.4291642688482686E-3</v>
      </c>
      <c r="W144" s="124">
        <f t="shared" si="173"/>
        <v>7.3363971437747626E-3</v>
      </c>
      <c r="DA144" s="176"/>
    </row>
    <row r="145" spans="1:105" ht="11.45" customHeight="1" x14ac:dyDescent="0.25">
      <c r="A145" s="128" t="s">
        <v>27</v>
      </c>
      <c r="B145" s="140">
        <f t="shared" si="167"/>
        <v>6.4466510014152191E-4</v>
      </c>
      <c r="C145" s="140">
        <f t="shared" ref="C145:W145" si="174">IF(C53=0,0,C53/C$47)</f>
        <v>5.4217283148743072E-4</v>
      </c>
      <c r="D145" s="140">
        <f t="shared" si="174"/>
        <v>6.05803439377411E-4</v>
      </c>
      <c r="E145" s="140">
        <f t="shared" si="174"/>
        <v>6.5827801807329296E-4</v>
      </c>
      <c r="F145" s="140">
        <f t="shared" si="174"/>
        <v>1.0282623424618322E-3</v>
      </c>
      <c r="G145" s="140">
        <f t="shared" si="174"/>
        <v>1.2396004092422399E-3</v>
      </c>
      <c r="H145" s="140">
        <f t="shared" si="174"/>
        <v>1.4259737198120959E-3</v>
      </c>
      <c r="I145" s="140">
        <f t="shared" si="174"/>
        <v>1.688370359635647E-3</v>
      </c>
      <c r="J145" s="140">
        <f t="shared" si="174"/>
        <v>1.703083627488776E-3</v>
      </c>
      <c r="K145" s="140">
        <f t="shared" si="174"/>
        <v>1.3961867508932497E-3</v>
      </c>
      <c r="L145" s="140">
        <f t="shared" si="174"/>
        <v>1.0756162680643161E-3</v>
      </c>
      <c r="M145" s="140">
        <f t="shared" si="174"/>
        <v>9.7848361264718455E-4</v>
      </c>
      <c r="N145" s="140">
        <f t="shared" si="174"/>
        <v>1.0701075059000858E-3</v>
      </c>
      <c r="O145" s="140">
        <f t="shared" si="174"/>
        <v>1.0552594543908277E-3</v>
      </c>
      <c r="P145" s="140">
        <f t="shared" si="174"/>
        <v>9.6451079263023621E-4</v>
      </c>
      <c r="Q145" s="140">
        <f t="shared" si="174"/>
        <v>9.2447516814251913E-4</v>
      </c>
      <c r="R145" s="140">
        <f t="shared" si="174"/>
        <v>8.6347448165421557E-4</v>
      </c>
      <c r="S145" s="140">
        <f t="shared" si="174"/>
        <v>8.9449596847489678E-4</v>
      </c>
      <c r="T145" s="140">
        <f t="shared" si="174"/>
        <v>6.8621827530966249E-4</v>
      </c>
      <c r="U145" s="140">
        <f t="shared" si="174"/>
        <v>4.3674558663265705E-4</v>
      </c>
      <c r="V145" s="140">
        <f t="shared" si="174"/>
        <v>3.1299504361642476E-4</v>
      </c>
      <c r="W145" s="140">
        <f t="shared" si="174"/>
        <v>4.1118358284830339E-4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2.3955842269627364E-3</v>
      </c>
      <c r="C146" s="140">
        <f t="shared" ref="C146:W146" si="175">IF(C54=0,0,C54/C$47)</f>
        <v>2.0503257077690352E-3</v>
      </c>
      <c r="D146" s="140">
        <f t="shared" si="175"/>
        <v>2.2144493898795812E-3</v>
      </c>
      <c r="E146" s="140">
        <f t="shared" si="175"/>
        <v>2.4028165718770807E-3</v>
      </c>
      <c r="F146" s="140">
        <f t="shared" si="175"/>
        <v>3.2413475463860526E-3</v>
      </c>
      <c r="G146" s="140">
        <f t="shared" si="175"/>
        <v>4.0032338133751027E-3</v>
      </c>
      <c r="H146" s="140">
        <f t="shared" si="175"/>
        <v>4.459464304057437E-3</v>
      </c>
      <c r="I146" s="140">
        <f t="shared" si="175"/>
        <v>5.0704776617543816E-3</v>
      </c>
      <c r="J146" s="140">
        <f t="shared" si="175"/>
        <v>5.9742490043000803E-3</v>
      </c>
      <c r="K146" s="140">
        <f t="shared" si="175"/>
        <v>5.2345370619072996E-3</v>
      </c>
      <c r="L146" s="140">
        <f t="shared" si="175"/>
        <v>4.8132974926938235E-3</v>
      </c>
      <c r="M146" s="140">
        <f t="shared" si="175"/>
        <v>3.6108167307444855E-3</v>
      </c>
      <c r="N146" s="140">
        <f t="shared" si="175"/>
        <v>3.2598675136891629E-3</v>
      </c>
      <c r="O146" s="140">
        <f t="shared" si="175"/>
        <v>3.3925364033955616E-3</v>
      </c>
      <c r="P146" s="140">
        <f t="shared" si="175"/>
        <v>2.9655781190152234E-3</v>
      </c>
      <c r="Q146" s="140">
        <f t="shared" si="175"/>
        <v>3.0959163045950482E-3</v>
      </c>
      <c r="R146" s="140">
        <f t="shared" si="175"/>
        <v>3.0392705038599231E-3</v>
      </c>
      <c r="S146" s="140">
        <f t="shared" si="175"/>
        <v>3.1798313760363901E-3</v>
      </c>
      <c r="T146" s="140">
        <f t="shared" si="175"/>
        <v>3.5919805614164969E-3</v>
      </c>
      <c r="U146" s="140">
        <f t="shared" si="175"/>
        <v>5.2823710750725403E-3</v>
      </c>
      <c r="V146" s="140">
        <f t="shared" si="175"/>
        <v>5.8636791405233916E-3</v>
      </c>
      <c r="W146" s="140">
        <f t="shared" si="175"/>
        <v>5.7404022631418463E-3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3.5712513742800125E-3</v>
      </c>
      <c r="C147" s="140">
        <f t="shared" ref="C147:W147" si="176">IF(C55=0,0,C55/C$47)</f>
        <v>4.9052828105535214E-3</v>
      </c>
      <c r="D147" s="140">
        <f t="shared" si="176"/>
        <v>5.4774309801177475E-3</v>
      </c>
      <c r="E147" s="140">
        <f t="shared" si="176"/>
        <v>7.2181845053755685E-3</v>
      </c>
      <c r="F147" s="140">
        <f t="shared" si="176"/>
        <v>8.6014824647559288E-3</v>
      </c>
      <c r="G147" s="140">
        <f t="shared" si="176"/>
        <v>1.022597040508506E-2</v>
      </c>
      <c r="H147" s="140">
        <f t="shared" si="176"/>
        <v>1.0841416570106161E-2</v>
      </c>
      <c r="I147" s="140">
        <f t="shared" si="176"/>
        <v>9.9881638358246677E-3</v>
      </c>
      <c r="J147" s="140">
        <f t="shared" si="176"/>
        <v>1.1408985667039059E-2</v>
      </c>
      <c r="K147" s="140">
        <f t="shared" si="176"/>
        <v>9.4462635643074791E-3</v>
      </c>
      <c r="L147" s="140">
        <f t="shared" si="176"/>
        <v>1.0546826651882257E-2</v>
      </c>
      <c r="M147" s="140">
        <f t="shared" si="176"/>
        <v>9.6985367457060236E-3</v>
      </c>
      <c r="N147" s="140">
        <f t="shared" si="176"/>
        <v>8.3534588936188484E-3</v>
      </c>
      <c r="O147" s="140">
        <f t="shared" si="176"/>
        <v>5.8692070449952449E-3</v>
      </c>
      <c r="P147" s="140">
        <f t="shared" si="176"/>
        <v>3.5694625305021572E-3</v>
      </c>
      <c r="Q147" s="140">
        <f t="shared" si="176"/>
        <v>2.795546513910879E-3</v>
      </c>
      <c r="R147" s="140">
        <f t="shared" si="176"/>
        <v>2.1178590564461209E-3</v>
      </c>
      <c r="S147" s="140">
        <f t="shared" si="176"/>
        <v>1.5476425950837884E-3</v>
      </c>
      <c r="T147" s="140">
        <f t="shared" si="176"/>
        <v>1.3237811821118048E-3</v>
      </c>
      <c r="U147" s="140">
        <f t="shared" si="176"/>
        <v>9.0493374362008144E-4</v>
      </c>
      <c r="V147" s="140">
        <f t="shared" si="176"/>
        <v>1.2524900847084523E-3</v>
      </c>
      <c r="W147" s="140">
        <f t="shared" si="176"/>
        <v>1.1848112977846125E-3</v>
      </c>
      <c r="DA147" s="175"/>
    </row>
    <row r="148" spans="1:105" ht="11.45" customHeight="1" x14ac:dyDescent="0.25">
      <c r="A148" s="109" t="s">
        <v>142</v>
      </c>
      <c r="B148" s="124">
        <f t="shared" si="167"/>
        <v>8.0028713407460178E-2</v>
      </c>
      <c r="C148" s="124">
        <f t="shared" ref="C148:W148" si="177">IF(C56=0,0,C56/C$47)</f>
        <v>7.8678703578593245E-2</v>
      </c>
      <c r="D148" s="124">
        <f t="shared" si="177"/>
        <v>7.4492535406978908E-2</v>
      </c>
      <c r="E148" s="124">
        <f t="shared" si="177"/>
        <v>8.3488467395484378E-2</v>
      </c>
      <c r="F148" s="124">
        <f t="shared" si="177"/>
        <v>6.5685510039801692E-2</v>
      </c>
      <c r="G148" s="124">
        <f t="shared" si="177"/>
        <v>6.3753035618015361E-2</v>
      </c>
      <c r="H148" s="124">
        <f t="shared" si="177"/>
        <v>6.1891756298049612E-2</v>
      </c>
      <c r="I148" s="124">
        <f t="shared" si="177"/>
        <v>5.9443318676832356E-2</v>
      </c>
      <c r="J148" s="124">
        <f t="shared" si="177"/>
        <v>5.9039479951535127E-2</v>
      </c>
      <c r="K148" s="124">
        <f t="shared" si="177"/>
        <v>6.5194591860349482E-2</v>
      </c>
      <c r="L148" s="124">
        <f t="shared" si="177"/>
        <v>6.6435542813028214E-2</v>
      </c>
      <c r="M148" s="124">
        <f t="shared" si="177"/>
        <v>6.917166642448605E-2</v>
      </c>
      <c r="N148" s="124">
        <f t="shared" si="177"/>
        <v>7.0140196639049732E-2</v>
      </c>
      <c r="O148" s="124">
        <f t="shared" si="177"/>
        <v>7.5547704177617608E-2</v>
      </c>
      <c r="P148" s="124">
        <f t="shared" si="177"/>
        <v>7.3733850265093479E-2</v>
      </c>
      <c r="Q148" s="124">
        <f t="shared" si="177"/>
        <v>7.1863708821914771E-2</v>
      </c>
      <c r="R148" s="124">
        <f t="shared" si="177"/>
        <v>7.9660087333386906E-2</v>
      </c>
      <c r="S148" s="124">
        <f t="shared" si="177"/>
        <v>7.5938562206540342E-2</v>
      </c>
      <c r="T148" s="124">
        <f t="shared" si="177"/>
        <v>8.0574356471864922E-2</v>
      </c>
      <c r="U148" s="124">
        <f t="shared" si="177"/>
        <v>7.9459733629758944E-2</v>
      </c>
      <c r="V148" s="124">
        <f t="shared" si="177"/>
        <v>6.1617995928891445E-2</v>
      </c>
      <c r="W148" s="124">
        <f t="shared" si="177"/>
        <v>5.5730273832344669E-2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8.0028713407460178E-2</v>
      </c>
      <c r="C149" s="140">
        <f t="shared" ref="C149:W149" si="178">IF(C57=0,0,C57/C$47)</f>
        <v>7.8678703578593245E-2</v>
      </c>
      <c r="D149" s="140">
        <f t="shared" si="178"/>
        <v>7.4492535406978908E-2</v>
      </c>
      <c r="E149" s="140">
        <f t="shared" si="178"/>
        <v>8.3488467395484378E-2</v>
      </c>
      <c r="F149" s="140">
        <f t="shared" si="178"/>
        <v>6.5685510039801692E-2</v>
      </c>
      <c r="G149" s="140">
        <f t="shared" si="178"/>
        <v>6.3753035618015361E-2</v>
      </c>
      <c r="H149" s="140">
        <f t="shared" si="178"/>
        <v>6.1891756298049612E-2</v>
      </c>
      <c r="I149" s="140">
        <f t="shared" si="178"/>
        <v>5.9443318676832356E-2</v>
      </c>
      <c r="J149" s="140">
        <f t="shared" si="178"/>
        <v>5.9039479951535127E-2</v>
      </c>
      <c r="K149" s="140">
        <f t="shared" si="178"/>
        <v>6.5194591860349482E-2</v>
      </c>
      <c r="L149" s="140">
        <f t="shared" si="178"/>
        <v>6.6435542813028214E-2</v>
      </c>
      <c r="M149" s="140">
        <f t="shared" si="178"/>
        <v>6.917166642448605E-2</v>
      </c>
      <c r="N149" s="140">
        <f t="shared" si="178"/>
        <v>7.0140196639049732E-2</v>
      </c>
      <c r="O149" s="140">
        <f t="shared" si="178"/>
        <v>7.5547704177617608E-2</v>
      </c>
      <c r="P149" s="140">
        <f t="shared" si="178"/>
        <v>7.3733850265093479E-2</v>
      </c>
      <c r="Q149" s="140">
        <f t="shared" si="178"/>
        <v>7.1863708821914771E-2</v>
      </c>
      <c r="R149" s="140">
        <f t="shared" si="178"/>
        <v>7.9533879999427765E-2</v>
      </c>
      <c r="S149" s="140">
        <f t="shared" si="178"/>
        <v>7.5907491861449863E-2</v>
      </c>
      <c r="T149" s="140">
        <f t="shared" si="178"/>
        <v>8.0301807377268039E-2</v>
      </c>
      <c r="U149" s="140">
        <f t="shared" si="178"/>
        <v>7.9145600092909427E-2</v>
      </c>
      <c r="V149" s="140">
        <f t="shared" si="178"/>
        <v>6.1223126504070226E-2</v>
      </c>
      <c r="W149" s="140">
        <f t="shared" si="178"/>
        <v>5.5179296793496833E-2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1.2620733395913685E-4</v>
      </c>
      <c r="S150" s="127">
        <f t="shared" si="179"/>
        <v>3.1070345090483098E-5</v>
      </c>
      <c r="T150" s="127">
        <f t="shared" si="179"/>
        <v>2.7254909459688878E-4</v>
      </c>
      <c r="U150" s="127">
        <f t="shared" si="179"/>
        <v>3.1413353684952232E-4</v>
      </c>
      <c r="V150" s="127">
        <f t="shared" si="179"/>
        <v>3.9486942482122226E-4</v>
      </c>
      <c r="W150" s="127">
        <f t="shared" si="179"/>
        <v>5.5097703884782819E-4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0.52022324071725989</v>
      </c>
      <c r="C152" s="140">
        <f t="shared" ref="C152:W152" si="181">IF(C60=0,0,C60/C$59)</f>
        <v>0.51244630187558504</v>
      </c>
      <c r="D152" s="140">
        <f t="shared" si="181"/>
        <v>0.51528611722767181</v>
      </c>
      <c r="E152" s="140">
        <f t="shared" si="181"/>
        <v>0.5157706249428845</v>
      </c>
      <c r="F152" s="140">
        <f t="shared" si="181"/>
        <v>0.52464417129618168</v>
      </c>
      <c r="G152" s="140">
        <f t="shared" si="181"/>
        <v>0.51370219642378978</v>
      </c>
      <c r="H152" s="140">
        <f t="shared" si="181"/>
        <v>0.51907303234627544</v>
      </c>
      <c r="I152" s="140">
        <f t="shared" si="181"/>
        <v>0.53314168111196525</v>
      </c>
      <c r="J152" s="140">
        <f t="shared" si="181"/>
        <v>0.52758949329020988</v>
      </c>
      <c r="K152" s="140">
        <f t="shared" si="181"/>
        <v>0.53468166789776406</v>
      </c>
      <c r="L152" s="140">
        <f t="shared" si="181"/>
        <v>0.51711514187892571</v>
      </c>
      <c r="M152" s="140">
        <f t="shared" si="181"/>
        <v>0.5323220114922802</v>
      </c>
      <c r="N152" s="140">
        <f t="shared" si="181"/>
        <v>0.53052239268982415</v>
      </c>
      <c r="O152" s="140">
        <f t="shared" si="181"/>
        <v>0.53384156547129047</v>
      </c>
      <c r="P152" s="140">
        <f t="shared" si="181"/>
        <v>0.51491418684804624</v>
      </c>
      <c r="Q152" s="140">
        <f t="shared" si="181"/>
        <v>0.50849470427343813</v>
      </c>
      <c r="R152" s="140">
        <f t="shared" si="181"/>
        <v>0.51701601246788853</v>
      </c>
      <c r="S152" s="140">
        <f t="shared" si="181"/>
        <v>0.53996310524901547</v>
      </c>
      <c r="T152" s="140">
        <f t="shared" si="181"/>
        <v>0.54697075893225366</v>
      </c>
      <c r="U152" s="140">
        <f t="shared" si="181"/>
        <v>0.54378669177583416</v>
      </c>
      <c r="V152" s="140">
        <f t="shared" si="181"/>
        <v>0.50132421913383884</v>
      </c>
      <c r="W152" s="140">
        <f t="shared" si="181"/>
        <v>0.51330159881986526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0.47977675928274016</v>
      </c>
      <c r="C153" s="127">
        <f t="shared" ref="C153:W153" si="182">IF(C61=0,0,C61/C$59)</f>
        <v>0.48755369812441507</v>
      </c>
      <c r="D153" s="127">
        <f t="shared" si="182"/>
        <v>0.48471388277232819</v>
      </c>
      <c r="E153" s="127">
        <f t="shared" si="182"/>
        <v>0.4842293750571155</v>
      </c>
      <c r="F153" s="127">
        <f t="shared" si="182"/>
        <v>0.47535582870381832</v>
      </c>
      <c r="G153" s="127">
        <f t="shared" si="182"/>
        <v>0.48629780357621022</v>
      </c>
      <c r="H153" s="127">
        <f t="shared" si="182"/>
        <v>0.48092696765372456</v>
      </c>
      <c r="I153" s="127">
        <f t="shared" si="182"/>
        <v>0.46685831888803481</v>
      </c>
      <c r="J153" s="127">
        <f t="shared" si="182"/>
        <v>0.47241050670979018</v>
      </c>
      <c r="K153" s="127">
        <f t="shared" si="182"/>
        <v>0.46531833210223594</v>
      </c>
      <c r="L153" s="127">
        <f t="shared" si="182"/>
        <v>0.48288485812107423</v>
      </c>
      <c r="M153" s="127">
        <f t="shared" si="182"/>
        <v>0.46767798850771986</v>
      </c>
      <c r="N153" s="127">
        <f t="shared" si="182"/>
        <v>0.46947760731017574</v>
      </c>
      <c r="O153" s="127">
        <f t="shared" si="182"/>
        <v>0.46615843452870953</v>
      </c>
      <c r="P153" s="127">
        <f t="shared" si="182"/>
        <v>0.48508581315195382</v>
      </c>
      <c r="Q153" s="127">
        <f t="shared" si="182"/>
        <v>0.49150529572656187</v>
      </c>
      <c r="R153" s="127">
        <f t="shared" si="182"/>
        <v>0.48298398753211141</v>
      </c>
      <c r="S153" s="127">
        <f t="shared" si="182"/>
        <v>0.46003689475098442</v>
      </c>
      <c r="T153" s="127">
        <f t="shared" si="182"/>
        <v>0.45302924106774639</v>
      </c>
      <c r="U153" s="127">
        <f t="shared" si="182"/>
        <v>0.45621330822416578</v>
      </c>
      <c r="V153" s="127">
        <f t="shared" si="182"/>
        <v>0.49867578086616104</v>
      </c>
      <c r="W153" s="127">
        <f t="shared" si="182"/>
        <v>0.48669840118013469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0.83882316776468324</v>
      </c>
      <c r="C157" s="139">
        <f t="shared" ref="C157:W157" si="185">IF(C65=0,0,C65/C$64)</f>
        <v>0.83444575139782939</v>
      </c>
      <c r="D157" s="139">
        <f t="shared" si="185"/>
        <v>0.87072466024621298</v>
      </c>
      <c r="E157" s="139">
        <f t="shared" si="185"/>
        <v>0.87529649841194856</v>
      </c>
      <c r="F157" s="139">
        <f t="shared" si="185"/>
        <v>0.85409106853662042</v>
      </c>
      <c r="G157" s="139">
        <f t="shared" si="185"/>
        <v>0.84639512420720364</v>
      </c>
      <c r="H157" s="139">
        <f t="shared" si="185"/>
        <v>0.84388869745469774</v>
      </c>
      <c r="I157" s="139">
        <f t="shared" si="185"/>
        <v>0.84740957114512627</v>
      </c>
      <c r="J157" s="139">
        <f t="shared" si="185"/>
        <v>0.82604894027952502</v>
      </c>
      <c r="K157" s="139">
        <f t="shared" si="185"/>
        <v>0.83967572412630276</v>
      </c>
      <c r="L157" s="139">
        <f t="shared" si="185"/>
        <v>0.84601590457508313</v>
      </c>
      <c r="M157" s="139">
        <f t="shared" si="185"/>
        <v>0.83336662722648047</v>
      </c>
      <c r="N157" s="139">
        <f t="shared" si="185"/>
        <v>0.83453459841365696</v>
      </c>
      <c r="O157" s="139">
        <f t="shared" si="185"/>
        <v>0.81691537369612166</v>
      </c>
      <c r="P157" s="139">
        <f t="shared" si="185"/>
        <v>0.82490305691547094</v>
      </c>
      <c r="Q157" s="139">
        <f t="shared" si="185"/>
        <v>0.82428518583567323</v>
      </c>
      <c r="R157" s="139">
        <f t="shared" si="185"/>
        <v>0.80485349223192371</v>
      </c>
      <c r="S157" s="139">
        <f t="shared" si="185"/>
        <v>0.79225673468073921</v>
      </c>
      <c r="T157" s="139">
        <f t="shared" si="185"/>
        <v>0.77904882068267978</v>
      </c>
      <c r="U157" s="139">
        <f t="shared" si="185"/>
        <v>0.78822327493428401</v>
      </c>
      <c r="V157" s="139">
        <f t="shared" si="185"/>
        <v>0.8995005162243821</v>
      </c>
      <c r="W157" s="139">
        <f t="shared" si="185"/>
        <v>0.89587364250037671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3.6986371867957432E-3</v>
      </c>
      <c r="C158" s="140">
        <f t="shared" ref="C158:W158" si="186">IF(C66=0,0,C66/C$64)</f>
        <v>3.996673411281894E-3</v>
      </c>
      <c r="D158" s="140">
        <f t="shared" si="186"/>
        <v>4.5103579156099338E-3</v>
      </c>
      <c r="E158" s="140">
        <f t="shared" si="186"/>
        <v>4.7995502225096284E-3</v>
      </c>
      <c r="F158" s="140">
        <f t="shared" si="186"/>
        <v>4.9764532304743961E-3</v>
      </c>
      <c r="G158" s="140">
        <f t="shared" si="186"/>
        <v>5.219430895819977E-3</v>
      </c>
      <c r="H158" s="140">
        <f t="shared" si="186"/>
        <v>5.5375073435623449E-3</v>
      </c>
      <c r="I158" s="140">
        <f t="shared" si="186"/>
        <v>5.9963278914938961E-3</v>
      </c>
      <c r="J158" s="140">
        <f t="shared" si="186"/>
        <v>5.7368147115122439E-3</v>
      </c>
      <c r="K158" s="140">
        <f t="shared" si="186"/>
        <v>5.7487854755172724E-3</v>
      </c>
      <c r="L158" s="140">
        <f t="shared" si="186"/>
        <v>5.3625488492741492E-3</v>
      </c>
      <c r="M158" s="140">
        <f t="shared" si="186"/>
        <v>5.2021343217464565E-3</v>
      </c>
      <c r="N158" s="140">
        <f t="shared" si="186"/>
        <v>4.5389922163833101E-3</v>
      </c>
      <c r="O158" s="140">
        <f t="shared" si="186"/>
        <v>5.0050172164147833E-3</v>
      </c>
      <c r="P158" s="140">
        <f t="shared" si="186"/>
        <v>5.0299082002468855E-3</v>
      </c>
      <c r="Q158" s="140">
        <f t="shared" si="186"/>
        <v>4.9969372916716884E-3</v>
      </c>
      <c r="R158" s="140">
        <f t="shared" si="186"/>
        <v>5.2455159612424902E-3</v>
      </c>
      <c r="S158" s="140">
        <f t="shared" si="186"/>
        <v>4.9582417856678393E-3</v>
      </c>
      <c r="T158" s="140">
        <f t="shared" si="186"/>
        <v>4.7307449886232816E-3</v>
      </c>
      <c r="U158" s="140">
        <f t="shared" si="186"/>
        <v>5.1051375244336459E-3</v>
      </c>
      <c r="V158" s="140">
        <f t="shared" si="186"/>
        <v>5.6249584295876617E-3</v>
      </c>
      <c r="W158" s="140">
        <f t="shared" si="186"/>
        <v>5.3429403974235967E-3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0.72813517059224386</v>
      </c>
      <c r="C159" s="140">
        <f t="shared" ref="C159:W159" si="187">IF(C67=0,0,C67/C$64)</f>
        <v>0.72604758378366874</v>
      </c>
      <c r="D159" s="140">
        <f t="shared" si="187"/>
        <v>0.7620896238086905</v>
      </c>
      <c r="E159" s="140">
        <f t="shared" si="187"/>
        <v>0.76492693639046905</v>
      </c>
      <c r="F159" s="140">
        <f t="shared" si="187"/>
        <v>0.7465034195735134</v>
      </c>
      <c r="G159" s="140">
        <f t="shared" si="187"/>
        <v>0.74577364897823839</v>
      </c>
      <c r="H159" s="140">
        <f t="shared" si="187"/>
        <v>0.74017165290600295</v>
      </c>
      <c r="I159" s="140">
        <f t="shared" si="187"/>
        <v>0.74931210871179388</v>
      </c>
      <c r="J159" s="140">
        <f t="shared" si="187"/>
        <v>0.73151586625715936</v>
      </c>
      <c r="K159" s="140">
        <f t="shared" si="187"/>
        <v>0.74891284746600029</v>
      </c>
      <c r="L159" s="140">
        <f t="shared" si="187"/>
        <v>0.75112415232334273</v>
      </c>
      <c r="M159" s="140">
        <f t="shared" si="187"/>
        <v>0.7416648381883979</v>
      </c>
      <c r="N159" s="140">
        <f t="shared" si="187"/>
        <v>0.74251068956744937</v>
      </c>
      <c r="O159" s="140">
        <f t="shared" si="187"/>
        <v>0.73104859613498197</v>
      </c>
      <c r="P159" s="140">
        <f t="shared" si="187"/>
        <v>0.74548224608824309</v>
      </c>
      <c r="Q159" s="140">
        <f t="shared" si="187"/>
        <v>0.74906909496872387</v>
      </c>
      <c r="R159" s="140">
        <f t="shared" si="187"/>
        <v>0.73421024297573589</v>
      </c>
      <c r="S159" s="140">
        <f t="shared" si="187"/>
        <v>0.72555727667733427</v>
      </c>
      <c r="T159" s="140">
        <f t="shared" si="187"/>
        <v>0.71396954376101029</v>
      </c>
      <c r="U159" s="140">
        <f t="shared" si="187"/>
        <v>0.72053094003734919</v>
      </c>
      <c r="V159" s="140">
        <f t="shared" si="187"/>
        <v>0.82466320858361974</v>
      </c>
      <c r="W159" s="140">
        <f t="shared" si="187"/>
        <v>0.82432377515696575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0.10698935998564368</v>
      </c>
      <c r="C160" s="140">
        <f t="shared" ref="C160:W160" si="188">IF(C68=0,0,C68/C$64)</f>
        <v>0.10440149420287871</v>
      </c>
      <c r="D160" s="140">
        <f t="shared" si="188"/>
        <v>0.10412467852191262</v>
      </c>
      <c r="E160" s="140">
        <f t="shared" si="188"/>
        <v>0.10557001179896983</v>
      </c>
      <c r="F160" s="140">
        <f t="shared" si="188"/>
        <v>0.10261119573263269</v>
      </c>
      <c r="G160" s="140">
        <f t="shared" si="188"/>
        <v>9.5402044333145225E-2</v>
      </c>
      <c r="H160" s="140">
        <f t="shared" si="188"/>
        <v>9.8179537205132367E-2</v>
      </c>
      <c r="I160" s="140">
        <f t="shared" si="188"/>
        <v>9.2101134541838561E-2</v>
      </c>
      <c r="J160" s="140">
        <f t="shared" si="188"/>
        <v>8.8796259310853387E-2</v>
      </c>
      <c r="K160" s="140">
        <f t="shared" si="188"/>
        <v>8.5014091184785243E-2</v>
      </c>
      <c r="L160" s="140">
        <f t="shared" si="188"/>
        <v>8.9529203402466256E-2</v>
      </c>
      <c r="M160" s="140">
        <f t="shared" si="188"/>
        <v>8.6499654716336249E-2</v>
      </c>
      <c r="N160" s="140">
        <f t="shared" si="188"/>
        <v>8.7484916629824314E-2</v>
      </c>
      <c r="O160" s="140">
        <f t="shared" si="188"/>
        <v>8.0861760344724823E-2</v>
      </c>
      <c r="P160" s="140">
        <f t="shared" si="188"/>
        <v>7.4390902626981031E-2</v>
      </c>
      <c r="Q160" s="140">
        <f t="shared" si="188"/>
        <v>7.021915357527761E-2</v>
      </c>
      <c r="R160" s="140">
        <f t="shared" si="188"/>
        <v>6.5397733294945304E-2</v>
      </c>
      <c r="S160" s="140">
        <f t="shared" si="188"/>
        <v>6.1741216217737087E-2</v>
      </c>
      <c r="T160" s="140">
        <f t="shared" si="188"/>
        <v>6.0348531933046262E-2</v>
      </c>
      <c r="U160" s="140">
        <f t="shared" si="188"/>
        <v>6.258719737250111E-2</v>
      </c>
      <c r="V160" s="140">
        <f t="shared" si="188"/>
        <v>6.9212349211174654E-2</v>
      </c>
      <c r="W160" s="140">
        <f t="shared" si="188"/>
        <v>6.6206926945987371E-2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1.6337114231770036E-3</v>
      </c>
      <c r="C161" s="124">
        <f t="shared" ref="C161:W161" si="189">IF(C69=0,0,C69/C$64)</f>
        <v>1.8666750597432131E-3</v>
      </c>
      <c r="D161" s="124">
        <f t="shared" si="189"/>
        <v>2.6444516848828821E-3</v>
      </c>
      <c r="E161" s="124">
        <f t="shared" si="189"/>
        <v>2.1131547747453372E-3</v>
      </c>
      <c r="F161" s="124">
        <f t="shared" si="189"/>
        <v>1.1351353598928913E-3</v>
      </c>
      <c r="G161" s="124">
        <f t="shared" si="189"/>
        <v>9.5402135982742512E-4</v>
      </c>
      <c r="H161" s="124">
        <f t="shared" si="189"/>
        <v>1.3650519868233393E-3</v>
      </c>
      <c r="I161" s="124">
        <f t="shared" si="189"/>
        <v>1.2809443841299011E-3</v>
      </c>
      <c r="J161" s="124">
        <f t="shared" si="189"/>
        <v>1.6227049834607371E-3</v>
      </c>
      <c r="K161" s="124">
        <f t="shared" si="189"/>
        <v>1.6317559062076715E-3</v>
      </c>
      <c r="L161" s="124">
        <f t="shared" si="189"/>
        <v>1.4212939852474367E-3</v>
      </c>
      <c r="M161" s="124">
        <f t="shared" si="189"/>
        <v>1.1115337875052158E-3</v>
      </c>
      <c r="N161" s="124">
        <f t="shared" si="189"/>
        <v>1.5659207109424435E-3</v>
      </c>
      <c r="O161" s="124">
        <f t="shared" si="189"/>
        <v>1.1621970521730857E-3</v>
      </c>
      <c r="P161" s="124">
        <f t="shared" si="189"/>
        <v>1.2651772394272583E-3</v>
      </c>
      <c r="Q161" s="124">
        <f t="shared" si="189"/>
        <v>1.1343807617362886E-3</v>
      </c>
      <c r="R161" s="124">
        <f t="shared" si="189"/>
        <v>1.1133296948598443E-3</v>
      </c>
      <c r="S161" s="124">
        <f t="shared" si="189"/>
        <v>1.2263161535542939E-3</v>
      </c>
      <c r="T161" s="124">
        <f t="shared" si="189"/>
        <v>1.2788623351254634E-3</v>
      </c>
      <c r="U161" s="124">
        <f t="shared" si="189"/>
        <v>1.4831990042497914E-3</v>
      </c>
      <c r="V161" s="124">
        <f t="shared" si="189"/>
        <v>1.8000880839870125E-3</v>
      </c>
      <c r="W161" s="124">
        <f t="shared" si="189"/>
        <v>1.5815372038122924E-3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1.6337114231770036E-3</v>
      </c>
      <c r="C163" s="140">
        <f t="shared" ref="C163:W163" si="191">IF(C71=0,0,C71/C$64)</f>
        <v>1.8666750597432131E-3</v>
      </c>
      <c r="D163" s="140">
        <f t="shared" si="191"/>
        <v>2.6444516848828821E-3</v>
      </c>
      <c r="E163" s="140">
        <f t="shared" si="191"/>
        <v>2.1131547747453372E-3</v>
      </c>
      <c r="F163" s="140">
        <f t="shared" si="191"/>
        <v>1.1351353598928913E-3</v>
      </c>
      <c r="G163" s="140">
        <f t="shared" si="191"/>
        <v>9.5402135982742512E-4</v>
      </c>
      <c r="H163" s="140">
        <f t="shared" si="191"/>
        <v>1.3650519868233393E-3</v>
      </c>
      <c r="I163" s="140">
        <f t="shared" si="191"/>
        <v>1.2809443841299011E-3</v>
      </c>
      <c r="J163" s="140">
        <f t="shared" si="191"/>
        <v>1.6227049834607371E-3</v>
      </c>
      <c r="K163" s="140">
        <f t="shared" si="191"/>
        <v>1.6317559062076715E-3</v>
      </c>
      <c r="L163" s="140">
        <f t="shared" si="191"/>
        <v>1.4212939852474367E-3</v>
      </c>
      <c r="M163" s="140">
        <f t="shared" si="191"/>
        <v>1.1115337875052158E-3</v>
      </c>
      <c r="N163" s="140">
        <f t="shared" si="191"/>
        <v>1.5659207109424435E-3</v>
      </c>
      <c r="O163" s="140">
        <f t="shared" si="191"/>
        <v>1.1621970521730857E-3</v>
      </c>
      <c r="P163" s="140">
        <f t="shared" si="191"/>
        <v>1.2651772394272583E-3</v>
      </c>
      <c r="Q163" s="140">
        <f t="shared" si="191"/>
        <v>1.1343807617362886E-3</v>
      </c>
      <c r="R163" s="140">
        <f t="shared" si="191"/>
        <v>1.1133296948598443E-3</v>
      </c>
      <c r="S163" s="140">
        <f t="shared" si="191"/>
        <v>1.2263161535542939E-3</v>
      </c>
      <c r="T163" s="140">
        <f t="shared" si="191"/>
        <v>1.2788623351254634E-3</v>
      </c>
      <c r="U163" s="140">
        <f t="shared" si="191"/>
        <v>1.4831990042497914E-3</v>
      </c>
      <c r="V163" s="140">
        <f t="shared" si="191"/>
        <v>1.8000880839870125E-3</v>
      </c>
      <c r="W163" s="140">
        <f t="shared" si="191"/>
        <v>1.5815372038122924E-3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0.1595431208121397</v>
      </c>
      <c r="C165" s="124">
        <f t="shared" ref="C165:W165" si="193">IF(C73=0,0,C73/C$64)</f>
        <v>0.16368757354242744</v>
      </c>
      <c r="D165" s="124">
        <f t="shared" si="193"/>
        <v>0.12663088806890418</v>
      </c>
      <c r="E165" s="124">
        <f t="shared" si="193"/>
        <v>0.12259034681330601</v>
      </c>
      <c r="F165" s="124">
        <f t="shared" si="193"/>
        <v>0.14477379610348659</v>
      </c>
      <c r="G165" s="124">
        <f t="shared" si="193"/>
        <v>0.15265085443296894</v>
      </c>
      <c r="H165" s="124">
        <f t="shared" si="193"/>
        <v>0.15474625055847904</v>
      </c>
      <c r="I165" s="124">
        <f t="shared" si="193"/>
        <v>0.15130948447074385</v>
      </c>
      <c r="J165" s="124">
        <f t="shared" si="193"/>
        <v>0.17232835473701416</v>
      </c>
      <c r="K165" s="124">
        <f t="shared" si="193"/>
        <v>0.15869251996748954</v>
      </c>
      <c r="L165" s="124">
        <f t="shared" si="193"/>
        <v>0.15256280143966944</v>
      </c>
      <c r="M165" s="124">
        <f t="shared" si="193"/>
        <v>0.16552183898601433</v>
      </c>
      <c r="N165" s="124">
        <f t="shared" si="193"/>
        <v>0.16389948087540057</v>
      </c>
      <c r="O165" s="124">
        <f t="shared" si="193"/>
        <v>0.18192242925170526</v>
      </c>
      <c r="P165" s="124">
        <f t="shared" si="193"/>
        <v>0.17383176584510174</v>
      </c>
      <c r="Q165" s="124">
        <f t="shared" si="193"/>
        <v>0.17458043340259052</v>
      </c>
      <c r="R165" s="124">
        <f t="shared" si="193"/>
        <v>0.19403317807321638</v>
      </c>
      <c r="S165" s="124">
        <f t="shared" si="193"/>
        <v>0.20651694916570654</v>
      </c>
      <c r="T165" s="124">
        <f t="shared" si="193"/>
        <v>0.21967231698219478</v>
      </c>
      <c r="U165" s="124">
        <f t="shared" si="193"/>
        <v>0.21029352606146626</v>
      </c>
      <c r="V165" s="124">
        <f t="shared" si="193"/>
        <v>9.8699395691630928E-2</v>
      </c>
      <c r="W165" s="124">
        <f t="shared" si="193"/>
        <v>0.10254482029581102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4.1050067708292955E-2</v>
      </c>
      <c r="C166" s="140">
        <f t="shared" ref="C166:W166" si="194">IF(C74=0,0,C74/C$64)</f>
        <v>4.2036303479609856E-2</v>
      </c>
      <c r="D166" s="140">
        <f t="shared" si="194"/>
        <v>3.5548749754157408E-2</v>
      </c>
      <c r="E166" s="140">
        <f t="shared" si="194"/>
        <v>3.4557706895509285E-2</v>
      </c>
      <c r="F166" s="140">
        <f t="shared" si="194"/>
        <v>3.8806928993435602E-2</v>
      </c>
      <c r="G166" s="140">
        <f t="shared" si="194"/>
        <v>4.1712161868278738E-2</v>
      </c>
      <c r="H166" s="140">
        <f t="shared" si="194"/>
        <v>3.9223553942622079E-2</v>
      </c>
      <c r="I166" s="140">
        <f t="shared" si="194"/>
        <v>3.8031449776968526E-2</v>
      </c>
      <c r="J166" s="140">
        <f t="shared" si="194"/>
        <v>3.5665375477695223E-2</v>
      </c>
      <c r="K166" s="140">
        <f t="shared" si="194"/>
        <v>3.1687128359767017E-2</v>
      </c>
      <c r="L166" s="140">
        <f t="shared" si="194"/>
        <v>2.9989076997322402E-2</v>
      </c>
      <c r="M166" s="140">
        <f t="shared" si="194"/>
        <v>3.2917186955243524E-2</v>
      </c>
      <c r="N166" s="140">
        <f t="shared" si="194"/>
        <v>3.3266409367099035E-2</v>
      </c>
      <c r="O166" s="140">
        <f t="shared" si="194"/>
        <v>3.3417178473882904E-2</v>
      </c>
      <c r="P166" s="140">
        <f t="shared" si="194"/>
        <v>3.4250616408396953E-2</v>
      </c>
      <c r="Q166" s="140">
        <f t="shared" si="194"/>
        <v>3.3371284382624648E-2</v>
      </c>
      <c r="R166" s="140">
        <f t="shared" si="194"/>
        <v>3.5774492418984387E-2</v>
      </c>
      <c r="S166" s="140">
        <f t="shared" si="194"/>
        <v>3.5947977567015184E-2</v>
      </c>
      <c r="T166" s="140">
        <f t="shared" si="194"/>
        <v>3.4948609115181217E-2</v>
      </c>
      <c r="U166" s="140">
        <f t="shared" si="194"/>
        <v>3.2075712478429622E-2</v>
      </c>
      <c r="V166" s="140">
        <f t="shared" si="194"/>
        <v>1.5408062896418051E-2</v>
      </c>
      <c r="W166" s="140">
        <f t="shared" si="194"/>
        <v>1.725004780886457E-2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8.389858020629723E-2</v>
      </c>
      <c r="C167" s="140">
        <f t="shared" ref="C167:W167" si="195">IF(C75=0,0,C75/C$64)</f>
        <v>8.6983730389494265E-2</v>
      </c>
      <c r="D167" s="140">
        <f t="shared" si="195"/>
        <v>6.6022797590610194E-2</v>
      </c>
      <c r="E167" s="140">
        <f t="shared" si="195"/>
        <v>6.4887031212363624E-2</v>
      </c>
      <c r="F167" s="140">
        <f t="shared" si="195"/>
        <v>7.7904319490474438E-2</v>
      </c>
      <c r="G167" s="140">
        <f t="shared" si="195"/>
        <v>8.1542986744167864E-2</v>
      </c>
      <c r="H167" s="140">
        <f t="shared" si="195"/>
        <v>8.5553200275454988E-2</v>
      </c>
      <c r="I167" s="140">
        <f t="shared" si="195"/>
        <v>8.4372103978132232E-2</v>
      </c>
      <c r="J167" s="140">
        <f t="shared" si="195"/>
        <v>0.10123673968750932</v>
      </c>
      <c r="K167" s="140">
        <f t="shared" si="195"/>
        <v>9.2209364475355673E-2</v>
      </c>
      <c r="L167" s="140">
        <f t="shared" si="195"/>
        <v>8.9044458491398179E-2</v>
      </c>
      <c r="M167" s="140">
        <f t="shared" si="195"/>
        <v>9.7009456037708677E-2</v>
      </c>
      <c r="N167" s="140">
        <f t="shared" si="195"/>
        <v>9.4585486242424771E-2</v>
      </c>
      <c r="O167" s="140">
        <f t="shared" si="195"/>
        <v>0.10766665290947157</v>
      </c>
      <c r="P167" s="140">
        <f t="shared" si="195"/>
        <v>0.1014634374715471</v>
      </c>
      <c r="Q167" s="140">
        <f t="shared" si="195"/>
        <v>0.10269692561776191</v>
      </c>
      <c r="R167" s="140">
        <f t="shared" si="195"/>
        <v>0.11686203950197557</v>
      </c>
      <c r="S167" s="140">
        <f t="shared" si="195"/>
        <v>0.1272947754694144</v>
      </c>
      <c r="T167" s="140">
        <f t="shared" si="195"/>
        <v>0.13687558295639266</v>
      </c>
      <c r="U167" s="140">
        <f t="shared" si="195"/>
        <v>0.13002748728382929</v>
      </c>
      <c r="V167" s="140">
        <f t="shared" si="195"/>
        <v>5.6299169616076901E-2</v>
      </c>
      <c r="W167" s="140">
        <f t="shared" si="195"/>
        <v>6.0204266309255752E-2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3.4594472897549515E-2</v>
      </c>
      <c r="C168" s="140">
        <f t="shared" ref="C168:W168" si="196">IF(C76=0,0,C76/C$64)</f>
        <v>3.4667539673323325E-2</v>
      </c>
      <c r="D168" s="140">
        <f t="shared" si="196"/>
        <v>2.5059340724136573E-2</v>
      </c>
      <c r="E168" s="140">
        <f t="shared" si="196"/>
        <v>2.3145608705433099E-2</v>
      </c>
      <c r="F168" s="140">
        <f t="shared" si="196"/>
        <v>2.806254761957655E-2</v>
      </c>
      <c r="G168" s="140">
        <f t="shared" si="196"/>
        <v>2.9395705820522339E-2</v>
      </c>
      <c r="H168" s="140">
        <f t="shared" si="196"/>
        <v>2.9969496340402E-2</v>
      </c>
      <c r="I168" s="140">
        <f t="shared" si="196"/>
        <v>2.8905930715643093E-2</v>
      </c>
      <c r="J168" s="140">
        <f t="shared" si="196"/>
        <v>3.5426239571809647E-2</v>
      </c>
      <c r="K168" s="140">
        <f t="shared" si="196"/>
        <v>3.4796027132366854E-2</v>
      </c>
      <c r="L168" s="140">
        <f t="shared" si="196"/>
        <v>3.3529265950948836E-2</v>
      </c>
      <c r="M168" s="140">
        <f t="shared" si="196"/>
        <v>3.5595195993062143E-2</v>
      </c>
      <c r="N168" s="140">
        <f t="shared" si="196"/>
        <v>3.6047585265876772E-2</v>
      </c>
      <c r="O168" s="140">
        <f t="shared" si="196"/>
        <v>4.0838597868350798E-2</v>
      </c>
      <c r="P168" s="140">
        <f t="shared" si="196"/>
        <v>3.8117711965157682E-2</v>
      </c>
      <c r="Q168" s="140">
        <f t="shared" si="196"/>
        <v>3.8512223402203963E-2</v>
      </c>
      <c r="R168" s="140">
        <f t="shared" si="196"/>
        <v>4.1396646152256467E-2</v>
      </c>
      <c r="S168" s="140">
        <f t="shared" si="196"/>
        <v>4.3274196129276972E-2</v>
      </c>
      <c r="T168" s="140">
        <f t="shared" si="196"/>
        <v>4.7848124910620897E-2</v>
      </c>
      <c r="U168" s="140">
        <f t="shared" si="196"/>
        <v>4.8190326299207338E-2</v>
      </c>
      <c r="V168" s="140">
        <f t="shared" si="196"/>
        <v>2.6992163179135983E-2</v>
      </c>
      <c r="W168" s="140">
        <f t="shared" si="196"/>
        <v>2.5090506177690687E-2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0.89904874254074219</v>
      </c>
      <c r="C170" s="139">
        <f t="shared" ref="C170:W170" si="199">IF(C78=0,0,C78/C$77)</f>
        <v>0.90124145664810906</v>
      </c>
      <c r="D170" s="139">
        <f t="shared" si="199"/>
        <v>0.90528759561424876</v>
      </c>
      <c r="E170" s="139">
        <f t="shared" si="199"/>
        <v>0.89363868260673962</v>
      </c>
      <c r="F170" s="139">
        <f t="shared" si="199"/>
        <v>0.90966690648573922</v>
      </c>
      <c r="G170" s="139">
        <f t="shared" si="199"/>
        <v>0.90760072960797156</v>
      </c>
      <c r="H170" s="139">
        <f t="shared" si="199"/>
        <v>0.90816821609892817</v>
      </c>
      <c r="I170" s="139">
        <f t="shared" si="199"/>
        <v>0.91007169941747368</v>
      </c>
      <c r="J170" s="139">
        <f t="shared" si="199"/>
        <v>0.90889088653829864</v>
      </c>
      <c r="K170" s="139">
        <f t="shared" si="199"/>
        <v>0.90521754177222546</v>
      </c>
      <c r="L170" s="139">
        <f t="shared" si="199"/>
        <v>0.9036776715474204</v>
      </c>
      <c r="M170" s="139">
        <f t="shared" si="199"/>
        <v>0.900942567227761</v>
      </c>
      <c r="N170" s="139">
        <f t="shared" si="199"/>
        <v>0.90024405629167503</v>
      </c>
      <c r="O170" s="139">
        <f t="shared" si="199"/>
        <v>0.89401001298423555</v>
      </c>
      <c r="P170" s="139">
        <f t="shared" si="199"/>
        <v>0.89632873925171963</v>
      </c>
      <c r="Q170" s="139">
        <f t="shared" si="199"/>
        <v>0.89738686889298624</v>
      </c>
      <c r="R170" s="139">
        <f t="shared" si="199"/>
        <v>0.88218497194200973</v>
      </c>
      <c r="S170" s="139">
        <f t="shared" si="199"/>
        <v>0.88229848901128494</v>
      </c>
      <c r="T170" s="139">
        <f t="shared" si="199"/>
        <v>0.87075771793431689</v>
      </c>
      <c r="U170" s="139">
        <f t="shared" si="199"/>
        <v>0.8764446007174298</v>
      </c>
      <c r="V170" s="139">
        <f t="shared" si="199"/>
        <v>0.90105211554575215</v>
      </c>
      <c r="W170" s="139">
        <f t="shared" si="199"/>
        <v>0.91030401669722316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0.20885022842019321</v>
      </c>
      <c r="C171" s="140">
        <f t="shared" ref="C171:W171" si="200">IF(C79=0,0,C79/C$77)</f>
        <v>0.22668093937474534</v>
      </c>
      <c r="D171" s="140">
        <f t="shared" si="200"/>
        <v>0.23921359941786097</v>
      </c>
      <c r="E171" s="140">
        <f t="shared" si="200"/>
        <v>0.24697869665218894</v>
      </c>
      <c r="F171" s="140">
        <f t="shared" si="200"/>
        <v>0.25557935659600994</v>
      </c>
      <c r="G171" s="140">
        <f t="shared" si="200"/>
        <v>0.24096884039238223</v>
      </c>
      <c r="H171" s="140">
        <f t="shared" si="200"/>
        <v>0.25080527445234996</v>
      </c>
      <c r="I171" s="140">
        <f t="shared" si="200"/>
        <v>0.25366878131337572</v>
      </c>
      <c r="J171" s="140">
        <f t="shared" si="200"/>
        <v>0.25599476938258392</v>
      </c>
      <c r="K171" s="140">
        <f t="shared" si="200"/>
        <v>0.27457912546492708</v>
      </c>
      <c r="L171" s="140">
        <f t="shared" si="200"/>
        <v>0.27713055162746048</v>
      </c>
      <c r="M171" s="140">
        <f t="shared" si="200"/>
        <v>0.28948947152884924</v>
      </c>
      <c r="N171" s="140">
        <f t="shared" si="200"/>
        <v>0.30823637977268187</v>
      </c>
      <c r="O171" s="140">
        <f t="shared" si="200"/>
        <v>0.31044103450831556</v>
      </c>
      <c r="P171" s="140">
        <f t="shared" si="200"/>
        <v>0.3020356060329929</v>
      </c>
      <c r="Q171" s="140">
        <f t="shared" si="200"/>
        <v>0.31235039809366172</v>
      </c>
      <c r="R171" s="140">
        <f t="shared" si="200"/>
        <v>0.32009523759382624</v>
      </c>
      <c r="S171" s="140">
        <f t="shared" si="200"/>
        <v>0.32959440906360843</v>
      </c>
      <c r="T171" s="140">
        <f t="shared" si="200"/>
        <v>0.32728447862290255</v>
      </c>
      <c r="U171" s="140">
        <f t="shared" si="200"/>
        <v>0.3323203648652151</v>
      </c>
      <c r="V171" s="140">
        <f t="shared" si="200"/>
        <v>0.33385051128447962</v>
      </c>
      <c r="W171" s="140">
        <f t="shared" si="200"/>
        <v>0.32658922756792036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0.69019851412054889</v>
      </c>
      <c r="C172" s="140">
        <f t="shared" ref="C172:W172" si="201">IF(C80=0,0,C80/C$77)</f>
        <v>0.67456051727336364</v>
      </c>
      <c r="D172" s="140">
        <f t="shared" si="201"/>
        <v>0.66607399619638796</v>
      </c>
      <c r="E172" s="140">
        <f t="shared" si="201"/>
        <v>0.64665998595455065</v>
      </c>
      <c r="F172" s="140">
        <f t="shared" si="201"/>
        <v>0.65408754988972928</v>
      </c>
      <c r="G172" s="140">
        <f t="shared" si="201"/>
        <v>0.66663188921558936</v>
      </c>
      <c r="H172" s="140">
        <f t="shared" si="201"/>
        <v>0.65736294164657827</v>
      </c>
      <c r="I172" s="140">
        <f t="shared" si="201"/>
        <v>0.6564029181040979</v>
      </c>
      <c r="J172" s="140">
        <f t="shared" si="201"/>
        <v>0.65289611715571461</v>
      </c>
      <c r="K172" s="140">
        <f t="shared" si="201"/>
        <v>0.63063841630729844</v>
      </c>
      <c r="L172" s="140">
        <f t="shared" si="201"/>
        <v>0.62654711991996004</v>
      </c>
      <c r="M172" s="140">
        <f t="shared" si="201"/>
        <v>0.61145309569891171</v>
      </c>
      <c r="N172" s="140">
        <f t="shared" si="201"/>
        <v>0.59200767651899322</v>
      </c>
      <c r="O172" s="140">
        <f t="shared" si="201"/>
        <v>0.58356897847591993</v>
      </c>
      <c r="P172" s="140">
        <f t="shared" si="201"/>
        <v>0.59429313321872679</v>
      </c>
      <c r="Q172" s="140">
        <f t="shared" si="201"/>
        <v>0.58503647079932442</v>
      </c>
      <c r="R172" s="140">
        <f t="shared" si="201"/>
        <v>0.56208973434818355</v>
      </c>
      <c r="S172" s="140">
        <f t="shared" si="201"/>
        <v>0.55270407994767645</v>
      </c>
      <c r="T172" s="140">
        <f t="shared" si="201"/>
        <v>0.54347323931141445</v>
      </c>
      <c r="U172" s="140">
        <f t="shared" si="201"/>
        <v>0.5441242358522147</v>
      </c>
      <c r="V172" s="140">
        <f t="shared" si="201"/>
        <v>0.56720160426127253</v>
      </c>
      <c r="W172" s="140">
        <f t="shared" si="201"/>
        <v>0.58371478912930286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8.2730405043801546E-3</v>
      </c>
      <c r="C173" s="124">
        <f t="shared" ref="C173:W173" si="202">IF(C81=0,0,C81/C$77)</f>
        <v>7.4165698314369024E-3</v>
      </c>
      <c r="D173" s="124">
        <f t="shared" si="202"/>
        <v>6.871660759761887E-3</v>
      </c>
      <c r="E173" s="124">
        <f t="shared" si="202"/>
        <v>6.9928263406882308E-3</v>
      </c>
      <c r="F173" s="124">
        <f t="shared" si="202"/>
        <v>7.0255872155373291E-3</v>
      </c>
      <c r="G173" s="124">
        <f t="shared" si="202"/>
        <v>7.7565054923673825E-3</v>
      </c>
      <c r="H173" s="124">
        <f t="shared" si="202"/>
        <v>7.0987853822223257E-3</v>
      </c>
      <c r="I173" s="124">
        <f t="shared" si="202"/>
        <v>6.8335970007139119E-3</v>
      </c>
      <c r="J173" s="124">
        <f t="shared" si="202"/>
        <v>6.6239264237068782E-3</v>
      </c>
      <c r="K173" s="124">
        <f t="shared" si="202"/>
        <v>5.9981879705941826E-3</v>
      </c>
      <c r="L173" s="124">
        <f t="shared" si="202"/>
        <v>5.8787583041902004E-3</v>
      </c>
      <c r="M173" s="124">
        <f t="shared" si="202"/>
        <v>6.7037344500854301E-3</v>
      </c>
      <c r="N173" s="124">
        <f t="shared" si="202"/>
        <v>6.2158266811308573E-3</v>
      </c>
      <c r="O173" s="124">
        <f t="shared" si="202"/>
        <v>6.5299784457896123E-3</v>
      </c>
      <c r="P173" s="124">
        <f t="shared" si="202"/>
        <v>5.503262233345089E-3</v>
      </c>
      <c r="Q173" s="124">
        <f t="shared" si="202"/>
        <v>5.768978989128753E-3</v>
      </c>
      <c r="R173" s="124">
        <f t="shared" si="202"/>
        <v>6.132291728096712E-3</v>
      </c>
      <c r="S173" s="124">
        <f t="shared" si="202"/>
        <v>5.1173285559791342E-3</v>
      </c>
      <c r="T173" s="124">
        <f t="shared" si="202"/>
        <v>6.1493715776975467E-3</v>
      </c>
      <c r="U173" s="124">
        <f t="shared" si="202"/>
        <v>5.375278430360674E-3</v>
      </c>
      <c r="V173" s="124">
        <f t="shared" si="202"/>
        <v>5.2131478959456393E-3</v>
      </c>
      <c r="W173" s="124">
        <f t="shared" si="202"/>
        <v>3.7333377756833797E-3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6.8101133529194502E-3</v>
      </c>
      <c r="C174" s="124">
        <f t="shared" ref="C174:W174" si="203">IF(C82=0,0,C82/C$77)</f>
        <v>7.648342870890835E-3</v>
      </c>
      <c r="D174" s="124">
        <f t="shared" si="203"/>
        <v>8.4701804876639638E-3</v>
      </c>
      <c r="E174" s="124">
        <f t="shared" si="203"/>
        <v>1.0447714518740381E-2</v>
      </c>
      <c r="F174" s="124">
        <f t="shared" si="203"/>
        <v>1.3089312369831812E-2</v>
      </c>
      <c r="G174" s="124">
        <f t="shared" si="203"/>
        <v>1.5730518278124873E-2</v>
      </c>
      <c r="H174" s="124">
        <f t="shared" si="203"/>
        <v>1.7182121761326618E-2</v>
      </c>
      <c r="I174" s="124">
        <f t="shared" si="203"/>
        <v>1.7414963866510581E-2</v>
      </c>
      <c r="J174" s="124">
        <f t="shared" si="203"/>
        <v>1.9710490450739148E-2</v>
      </c>
      <c r="K174" s="124">
        <f t="shared" si="203"/>
        <v>1.6720812770107257E-2</v>
      </c>
      <c r="L174" s="124">
        <f t="shared" si="203"/>
        <v>1.709061194027952E-2</v>
      </c>
      <c r="M174" s="124">
        <f t="shared" si="203"/>
        <v>1.5036539872368273E-2</v>
      </c>
      <c r="N174" s="124">
        <f t="shared" si="203"/>
        <v>1.3605915018173558E-2</v>
      </c>
      <c r="O174" s="124">
        <f t="shared" si="203"/>
        <v>1.1326856764432959E-2</v>
      </c>
      <c r="P174" s="124">
        <f t="shared" si="203"/>
        <v>8.5792625062196953E-3</v>
      </c>
      <c r="Q174" s="124">
        <f t="shared" si="203"/>
        <v>8.0358483118899496E-3</v>
      </c>
      <c r="R174" s="124">
        <f t="shared" si="203"/>
        <v>7.5101830246153828E-3</v>
      </c>
      <c r="S174" s="124">
        <f t="shared" si="203"/>
        <v>7.4211856987035033E-3</v>
      </c>
      <c r="T174" s="124">
        <f t="shared" si="203"/>
        <v>7.5696682310825297E-3</v>
      </c>
      <c r="U174" s="124">
        <f t="shared" si="203"/>
        <v>8.8681328865956015E-3</v>
      </c>
      <c r="V174" s="124">
        <f t="shared" si="203"/>
        <v>1.0140130487046329E-2</v>
      </c>
      <c r="W174" s="124">
        <f t="shared" si="203"/>
        <v>1.0119707249842647E-2</v>
      </c>
      <c r="DA174" s="176"/>
    </row>
    <row r="175" spans="1:105" ht="11.45" customHeight="1" x14ac:dyDescent="0.25">
      <c r="A175" s="128" t="s">
        <v>27</v>
      </c>
      <c r="B175" s="140">
        <f t="shared" si="197"/>
        <v>6.6368831191473824E-4</v>
      </c>
      <c r="C175" s="140">
        <f t="shared" ref="C175:W175" si="204">IF(C83=0,0,C83/C$77)</f>
        <v>5.5282828925925555E-4</v>
      </c>
      <c r="D175" s="140">
        <f t="shared" si="204"/>
        <v>6.1808507607364412E-4</v>
      </c>
      <c r="E175" s="140">
        <f t="shared" si="204"/>
        <v>6.6871271588530234E-4</v>
      </c>
      <c r="F175" s="140">
        <f t="shared" si="204"/>
        <v>1.045222827740775E-3</v>
      </c>
      <c r="G175" s="140">
        <f t="shared" si="204"/>
        <v>1.2601249924808593E-3</v>
      </c>
      <c r="H175" s="140">
        <f t="shared" si="204"/>
        <v>1.4642657299881634E-3</v>
      </c>
      <c r="I175" s="140">
        <f t="shared" si="204"/>
        <v>1.7551312915695563E-3</v>
      </c>
      <c r="J175" s="140">
        <f t="shared" si="204"/>
        <v>1.7582044881419131E-3</v>
      </c>
      <c r="K175" s="140">
        <f t="shared" si="204"/>
        <v>1.4515408577683573E-3</v>
      </c>
      <c r="L175" s="140">
        <f t="shared" si="204"/>
        <v>1.1180277695992339E-3</v>
      </c>
      <c r="M175" s="140">
        <f t="shared" si="204"/>
        <v>1.0293719484117383E-3</v>
      </c>
      <c r="N175" s="140">
        <f t="shared" si="204"/>
        <v>1.1475994774281376E-3</v>
      </c>
      <c r="O175" s="140">
        <f t="shared" si="204"/>
        <v>1.1582019272998413E-3</v>
      </c>
      <c r="P175" s="140">
        <f t="shared" si="204"/>
        <v>1.1031172699708222E-3</v>
      </c>
      <c r="Q175" s="140">
        <f t="shared" si="204"/>
        <v>1.0897233196092994E-3</v>
      </c>
      <c r="R175" s="140">
        <f t="shared" si="204"/>
        <v>1.0769261549840473E-3</v>
      </c>
      <c r="S175" s="140">
        <f t="shared" si="204"/>
        <v>1.1805677588298999E-3</v>
      </c>
      <c r="T175" s="140">
        <f t="shared" si="204"/>
        <v>9.2711452736607815E-4</v>
      </c>
      <c r="U175" s="140">
        <f t="shared" si="204"/>
        <v>5.8462523844258661E-4</v>
      </c>
      <c r="V175" s="140">
        <f t="shared" si="204"/>
        <v>4.2705031260807696E-4</v>
      </c>
      <c r="W175" s="140">
        <f t="shared" si="204"/>
        <v>5.6684826482886425E-4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2.4676863691992729E-3</v>
      </c>
      <c r="C176" s="140">
        <f t="shared" ref="C176:W176" si="205">IF(C84=0,0,C84/C$77)</f>
        <v>2.0915662401422446E-3</v>
      </c>
      <c r="D176" s="140">
        <f t="shared" si="205"/>
        <v>2.2605744053555113E-3</v>
      </c>
      <c r="E176" s="140">
        <f t="shared" si="205"/>
        <v>2.4422767859231774E-3</v>
      </c>
      <c r="F176" s="140">
        <f t="shared" si="205"/>
        <v>3.2964316847393666E-3</v>
      </c>
      <c r="G176" s="140">
        <f t="shared" si="205"/>
        <v>4.071089767534097E-3</v>
      </c>
      <c r="H176" s="140">
        <f t="shared" si="205"/>
        <v>4.5809923287765796E-3</v>
      </c>
      <c r="I176" s="140">
        <f t="shared" si="205"/>
        <v>5.2729080024129342E-3</v>
      </c>
      <c r="J176" s="140">
        <f t="shared" si="205"/>
        <v>6.1698198617653821E-3</v>
      </c>
      <c r="K176" s="140">
        <f t="shared" si="205"/>
        <v>5.444360411158736E-3</v>
      </c>
      <c r="L176" s="140">
        <f t="shared" si="205"/>
        <v>5.0052199199004761E-3</v>
      </c>
      <c r="M176" s="140">
        <f t="shared" si="205"/>
        <v>3.8001332205701019E-3</v>
      </c>
      <c r="N176" s="140">
        <f t="shared" si="205"/>
        <v>3.4970564575717341E-3</v>
      </c>
      <c r="O176" s="140">
        <f t="shared" si="205"/>
        <v>3.7247341065717262E-3</v>
      </c>
      <c r="P176" s="140">
        <f t="shared" si="205"/>
        <v>3.3926480210703688E-3</v>
      </c>
      <c r="Q176" s="140">
        <f t="shared" si="205"/>
        <v>3.6501327904179793E-3</v>
      </c>
      <c r="R176" s="140">
        <f t="shared" si="205"/>
        <v>3.7913353967520698E-3</v>
      </c>
      <c r="S176" s="140">
        <f t="shared" si="205"/>
        <v>4.1976143818648224E-3</v>
      </c>
      <c r="T176" s="140">
        <f t="shared" si="205"/>
        <v>4.8537591988315372E-3</v>
      </c>
      <c r="U176" s="140">
        <f t="shared" si="205"/>
        <v>7.0719905488657369E-3</v>
      </c>
      <c r="V176" s="140">
        <f t="shared" si="205"/>
        <v>8.0035175958353237E-3</v>
      </c>
      <c r="W176" s="140">
        <f t="shared" si="205"/>
        <v>7.9184927446066915E-3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3.6787386718054394E-3</v>
      </c>
      <c r="C177" s="140">
        <f t="shared" ref="C177:W177" si="206">IF(C85=0,0,C85/C$77)</f>
        <v>5.0039483414893345E-3</v>
      </c>
      <c r="D177" s="140">
        <f t="shared" si="206"/>
        <v>5.5915210062348081E-3</v>
      </c>
      <c r="E177" s="140">
        <f t="shared" si="206"/>
        <v>7.3367250169318991E-3</v>
      </c>
      <c r="F177" s="140">
        <f t="shared" si="206"/>
        <v>8.7476578573516678E-3</v>
      </c>
      <c r="G177" s="140">
        <f t="shared" si="206"/>
        <v>1.0399303518109918E-2</v>
      </c>
      <c r="H177" s="140">
        <f t="shared" si="206"/>
        <v>1.1136863702561875E-2</v>
      </c>
      <c r="I177" s="140">
        <f t="shared" si="206"/>
        <v>1.038692457252809E-2</v>
      </c>
      <c r="J177" s="140">
        <f t="shared" si="206"/>
        <v>1.1782466100831853E-2</v>
      </c>
      <c r="K177" s="140">
        <f t="shared" si="206"/>
        <v>9.8249115011801638E-3</v>
      </c>
      <c r="L177" s="140">
        <f t="shared" si="206"/>
        <v>1.0967364250779809E-2</v>
      </c>
      <c r="M177" s="140">
        <f t="shared" si="206"/>
        <v>1.0207034703386433E-2</v>
      </c>
      <c r="N177" s="140">
        <f t="shared" si="206"/>
        <v>8.9612590831736842E-3</v>
      </c>
      <c r="O177" s="140">
        <f t="shared" si="206"/>
        <v>6.4439207305613914E-3</v>
      </c>
      <c r="P177" s="140">
        <f t="shared" si="206"/>
        <v>4.0834972151785045E-3</v>
      </c>
      <c r="Q177" s="140">
        <f t="shared" si="206"/>
        <v>3.29599220186267E-3</v>
      </c>
      <c r="R177" s="140">
        <f t="shared" si="206"/>
        <v>2.6419214728792668E-3</v>
      </c>
      <c r="S177" s="140">
        <f t="shared" si="206"/>
        <v>2.0430035580087818E-3</v>
      </c>
      <c r="T177" s="140">
        <f t="shared" si="206"/>
        <v>1.7887945048849143E-3</v>
      </c>
      <c r="U177" s="140">
        <f t="shared" si="206"/>
        <v>1.2115170992872783E-3</v>
      </c>
      <c r="V177" s="140">
        <f t="shared" si="206"/>
        <v>1.7095625786029281E-3</v>
      </c>
      <c r="W177" s="140">
        <f t="shared" si="206"/>
        <v>1.6343662404070902E-3</v>
      </c>
      <c r="DA177" s="175"/>
    </row>
    <row r="178" spans="1:105" ht="11.45" customHeight="1" x14ac:dyDescent="0.25">
      <c r="A178" s="109" t="s">
        <v>142</v>
      </c>
      <c r="B178" s="124">
        <f t="shared" si="197"/>
        <v>8.586810360195829E-2</v>
      </c>
      <c r="C178" s="124">
        <f t="shared" ref="C178:W178" si="207">IF(C86=0,0,C86/C$77)</f>
        <v>8.3693630649563311E-2</v>
      </c>
      <c r="D178" s="124">
        <f t="shared" si="207"/>
        <v>7.9370563138325315E-2</v>
      </c>
      <c r="E178" s="124">
        <f t="shared" si="207"/>
        <v>8.8920776533831875E-2</v>
      </c>
      <c r="F178" s="124">
        <f t="shared" si="207"/>
        <v>7.0218193928891573E-2</v>
      </c>
      <c r="G178" s="124">
        <f t="shared" si="207"/>
        <v>6.8912246621536222E-2</v>
      </c>
      <c r="H178" s="124">
        <f t="shared" si="207"/>
        <v>6.7550876757522971E-2</v>
      </c>
      <c r="I178" s="124">
        <f t="shared" si="207"/>
        <v>6.5679739715301777E-2</v>
      </c>
      <c r="J178" s="124">
        <f t="shared" si="207"/>
        <v>6.4774696587255362E-2</v>
      </c>
      <c r="K178" s="124">
        <f t="shared" si="207"/>
        <v>7.2063457487073143E-2</v>
      </c>
      <c r="L178" s="124">
        <f t="shared" si="207"/>
        <v>7.3352958208109761E-2</v>
      </c>
      <c r="M178" s="124">
        <f t="shared" si="207"/>
        <v>7.7317158449785373E-2</v>
      </c>
      <c r="N178" s="124">
        <f t="shared" si="207"/>
        <v>7.993420200902053E-2</v>
      </c>
      <c r="O178" s="124">
        <f t="shared" si="207"/>
        <v>8.8133151805541946E-2</v>
      </c>
      <c r="P178" s="124">
        <f t="shared" si="207"/>
        <v>8.9588736008715558E-2</v>
      </c>
      <c r="Q178" s="124">
        <f t="shared" si="207"/>
        <v>8.8808303805995192E-2</v>
      </c>
      <c r="R178" s="124">
        <f t="shared" si="207"/>
        <v>0.1041725533052781</v>
      </c>
      <c r="S178" s="124">
        <f t="shared" si="207"/>
        <v>0.10516299673403227</v>
      </c>
      <c r="T178" s="124">
        <f t="shared" si="207"/>
        <v>0.11552324225690302</v>
      </c>
      <c r="U178" s="124">
        <f t="shared" si="207"/>
        <v>0.10931198796561399</v>
      </c>
      <c r="V178" s="124">
        <f t="shared" si="207"/>
        <v>8.359460607125585E-2</v>
      </c>
      <c r="W178" s="124">
        <f t="shared" si="207"/>
        <v>7.584293827725079E-2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8.586810360195829E-2</v>
      </c>
      <c r="C179" s="140">
        <f t="shared" ref="C179:W179" si="208">IF(C87=0,0,C87/C$77)</f>
        <v>8.3693630649563311E-2</v>
      </c>
      <c r="D179" s="140">
        <f t="shared" si="208"/>
        <v>7.9370563138325315E-2</v>
      </c>
      <c r="E179" s="140">
        <f t="shared" si="208"/>
        <v>8.8920776533831875E-2</v>
      </c>
      <c r="F179" s="140">
        <f t="shared" si="208"/>
        <v>7.0218193928891573E-2</v>
      </c>
      <c r="G179" s="140">
        <f t="shared" si="208"/>
        <v>6.8912246621536222E-2</v>
      </c>
      <c r="H179" s="140">
        <f t="shared" si="208"/>
        <v>6.7550876757522971E-2</v>
      </c>
      <c r="I179" s="140">
        <f t="shared" si="208"/>
        <v>6.5679739715301777E-2</v>
      </c>
      <c r="J179" s="140">
        <f t="shared" si="208"/>
        <v>6.4774696587255362E-2</v>
      </c>
      <c r="K179" s="140">
        <f t="shared" si="208"/>
        <v>7.2063457487073143E-2</v>
      </c>
      <c r="L179" s="140">
        <f t="shared" si="208"/>
        <v>7.3352958208109761E-2</v>
      </c>
      <c r="M179" s="140">
        <f t="shared" si="208"/>
        <v>7.7317158449785373E-2</v>
      </c>
      <c r="N179" s="140">
        <f t="shared" si="208"/>
        <v>7.993420200902053E-2</v>
      </c>
      <c r="O179" s="140">
        <f t="shared" si="208"/>
        <v>8.8133151805541946E-2</v>
      </c>
      <c r="P179" s="140">
        <f t="shared" si="208"/>
        <v>8.9588736008715558E-2</v>
      </c>
      <c r="Q179" s="140">
        <f t="shared" si="208"/>
        <v>8.8808303805995192E-2</v>
      </c>
      <c r="R179" s="140">
        <f t="shared" si="208"/>
        <v>0.10400751029987249</v>
      </c>
      <c r="S179" s="140">
        <f t="shared" si="208"/>
        <v>0.10511996917985778</v>
      </c>
      <c r="T179" s="140">
        <f t="shared" si="208"/>
        <v>0.1151324758088581</v>
      </c>
      <c r="U179" s="140">
        <f t="shared" si="208"/>
        <v>0.10887983749353097</v>
      </c>
      <c r="V179" s="140">
        <f t="shared" si="208"/>
        <v>8.3058902929342468E-2</v>
      </c>
      <c r="W179" s="140">
        <f t="shared" si="208"/>
        <v>7.5093117494470688E-2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1.6504300540560595E-4</v>
      </c>
      <c r="S180" s="127">
        <f t="shared" si="209"/>
        <v>4.3027554174502328E-5</v>
      </c>
      <c r="T180" s="127">
        <f t="shared" si="209"/>
        <v>3.9076644804492117E-4</v>
      </c>
      <c r="U180" s="127">
        <f t="shared" si="209"/>
        <v>4.321504720830124E-4</v>
      </c>
      <c r="V180" s="127">
        <f t="shared" si="209"/>
        <v>5.3570314191338708E-4</v>
      </c>
      <c r="W180" s="127">
        <f t="shared" si="209"/>
        <v>7.4982078278010441E-4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0.51846022070650222</v>
      </c>
      <c r="C182" s="140">
        <f t="shared" ref="C182:W182" si="211">IF(C90=0,0,C90/C$89)</f>
        <v>0.51087659163043941</v>
      </c>
      <c r="D182" s="140">
        <f t="shared" si="211"/>
        <v>0.51353118429523603</v>
      </c>
      <c r="E182" s="140">
        <f t="shared" si="211"/>
        <v>0.51425553832850313</v>
      </c>
      <c r="F182" s="140">
        <f t="shared" si="211"/>
        <v>0.52355976519432612</v>
      </c>
      <c r="G182" s="140">
        <f t="shared" si="211"/>
        <v>0.51256927086333981</v>
      </c>
      <c r="H182" s="140">
        <f t="shared" si="211"/>
        <v>0.51807740941948421</v>
      </c>
      <c r="I182" s="140">
        <f t="shared" si="211"/>
        <v>0.53225889071990096</v>
      </c>
      <c r="J182" s="140">
        <f t="shared" si="211"/>
        <v>0.52688064038212645</v>
      </c>
      <c r="K182" s="140">
        <f t="shared" si="211"/>
        <v>0.53411519881693137</v>
      </c>
      <c r="L182" s="140">
        <f t="shared" si="211"/>
        <v>0.51579012568279314</v>
      </c>
      <c r="M182" s="140">
        <f t="shared" si="211"/>
        <v>0.53064812519214277</v>
      </c>
      <c r="N182" s="140">
        <f t="shared" si="211"/>
        <v>0.52851884948538919</v>
      </c>
      <c r="O182" s="140">
        <f t="shared" si="211"/>
        <v>0.53170128259712068</v>
      </c>
      <c r="P182" s="140">
        <f t="shared" si="211"/>
        <v>0.51225494734071997</v>
      </c>
      <c r="Q182" s="140">
        <f t="shared" si="211"/>
        <v>0.50216999162202691</v>
      </c>
      <c r="R182" s="140">
        <f t="shared" si="211"/>
        <v>0.51199691264056912</v>
      </c>
      <c r="S182" s="140">
        <f t="shared" si="211"/>
        <v>0.53571943801239907</v>
      </c>
      <c r="T182" s="140">
        <f t="shared" si="211"/>
        <v>0.54297181464290178</v>
      </c>
      <c r="U182" s="140">
        <f t="shared" si="211"/>
        <v>0.54057507175964392</v>
      </c>
      <c r="V182" s="140">
        <f t="shared" si="211"/>
        <v>0.49734115040851778</v>
      </c>
      <c r="W182" s="140">
        <f t="shared" si="211"/>
        <v>0.50866355283824782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0.48153977929349773</v>
      </c>
      <c r="C183" s="127">
        <f t="shared" ref="C183:W183" si="212">IF(C91=0,0,C91/C$89)</f>
        <v>0.48912340836956064</v>
      </c>
      <c r="D183" s="127">
        <f t="shared" si="212"/>
        <v>0.48646881570476402</v>
      </c>
      <c r="E183" s="127">
        <f t="shared" si="212"/>
        <v>0.48574446167149687</v>
      </c>
      <c r="F183" s="127">
        <f t="shared" si="212"/>
        <v>0.47644023480567382</v>
      </c>
      <c r="G183" s="127">
        <f t="shared" si="212"/>
        <v>0.48743072913666013</v>
      </c>
      <c r="H183" s="127">
        <f t="shared" si="212"/>
        <v>0.48192259058051579</v>
      </c>
      <c r="I183" s="127">
        <f t="shared" si="212"/>
        <v>0.46774110928009899</v>
      </c>
      <c r="J183" s="127">
        <f t="shared" si="212"/>
        <v>0.4731193596178736</v>
      </c>
      <c r="K183" s="127">
        <f t="shared" si="212"/>
        <v>0.46588480118306863</v>
      </c>
      <c r="L183" s="127">
        <f t="shared" si="212"/>
        <v>0.4842098743172068</v>
      </c>
      <c r="M183" s="127">
        <f t="shared" si="212"/>
        <v>0.46935187480785723</v>
      </c>
      <c r="N183" s="127">
        <f t="shared" si="212"/>
        <v>0.4714811505146107</v>
      </c>
      <c r="O183" s="127">
        <f t="shared" si="212"/>
        <v>0.46829871740287937</v>
      </c>
      <c r="P183" s="127">
        <f t="shared" si="212"/>
        <v>0.48774505265927992</v>
      </c>
      <c r="Q183" s="127">
        <f t="shared" si="212"/>
        <v>0.49783000837797309</v>
      </c>
      <c r="R183" s="127">
        <f t="shared" si="212"/>
        <v>0.48800308735943093</v>
      </c>
      <c r="S183" s="127">
        <f t="shared" si="212"/>
        <v>0.46428056198760098</v>
      </c>
      <c r="T183" s="127">
        <f t="shared" si="212"/>
        <v>0.45702818535709816</v>
      </c>
      <c r="U183" s="127">
        <f t="shared" si="212"/>
        <v>0.45942492824035608</v>
      </c>
      <c r="V183" s="127">
        <f t="shared" si="212"/>
        <v>0.50265884959148222</v>
      </c>
      <c r="W183" s="127">
        <f t="shared" si="212"/>
        <v>0.49133644716175218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43.566674535507893</v>
      </c>
      <c r="C186" s="32">
        <f t="shared" si="213"/>
        <v>42.724856398890061</v>
      </c>
      <c r="D186" s="32">
        <f t="shared" si="213"/>
        <v>41.99383490061534</v>
      </c>
      <c r="E186" s="32">
        <f t="shared" si="213"/>
        <v>42.226555695019684</v>
      </c>
      <c r="F186" s="32">
        <f t="shared" si="213"/>
        <v>42.634545534615356</v>
      </c>
      <c r="G186" s="32">
        <f t="shared" si="213"/>
        <v>40.497917615309049</v>
      </c>
      <c r="H186" s="32">
        <f t="shared" si="213"/>
        <v>39.710278783069462</v>
      </c>
      <c r="I186" s="32">
        <f t="shared" si="213"/>
        <v>38.974131635963587</v>
      </c>
      <c r="J186" s="32">
        <f t="shared" si="213"/>
        <v>38.841310059849015</v>
      </c>
      <c r="K186" s="32">
        <f t="shared" si="213"/>
        <v>39.077620240858352</v>
      </c>
      <c r="L186" s="32">
        <f t="shared" si="213"/>
        <v>38.818625070867</v>
      </c>
      <c r="M186" s="32">
        <f t="shared" si="213"/>
        <v>38.595573775692671</v>
      </c>
      <c r="N186" s="32">
        <f t="shared" si="213"/>
        <v>37.836421088667272</v>
      </c>
      <c r="O186" s="32">
        <f t="shared" si="213"/>
        <v>37.771330104370115</v>
      </c>
      <c r="P186" s="32">
        <f t="shared" si="213"/>
        <v>36.424264305710558</v>
      </c>
      <c r="Q186" s="32">
        <f t="shared" si="213"/>
        <v>36.685440704483625</v>
      </c>
      <c r="R186" s="32">
        <f t="shared" si="213"/>
        <v>41.312050616585985</v>
      </c>
      <c r="S186" s="32">
        <f t="shared" si="213"/>
        <v>40.309404408348094</v>
      </c>
      <c r="T186" s="32">
        <f t="shared" si="213"/>
        <v>39.636756386420572</v>
      </c>
      <c r="U186" s="32">
        <f t="shared" si="213"/>
        <v>38.902235786047143</v>
      </c>
      <c r="V186" s="32">
        <f t="shared" si="213"/>
        <v>43.121398477626798</v>
      </c>
      <c r="W186" s="32">
        <f t="shared" ref="W186" si="214">IF(W34=0,0,W34/W4*1000)</f>
        <v>44.319064512964374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44.836519792836917</v>
      </c>
      <c r="C187" s="141">
        <f t="shared" si="215"/>
        <v>43.818715711710126</v>
      </c>
      <c r="D187" s="141">
        <f t="shared" si="215"/>
        <v>44.207398891961326</v>
      </c>
      <c r="E187" s="141">
        <f t="shared" si="215"/>
        <v>44.248504940214346</v>
      </c>
      <c r="F187" s="141">
        <f t="shared" si="215"/>
        <v>43.884832742261061</v>
      </c>
      <c r="G187" s="141">
        <f t="shared" si="215"/>
        <v>41.959382460734368</v>
      </c>
      <c r="H187" s="141">
        <f t="shared" si="215"/>
        <v>42.03358146203437</v>
      </c>
      <c r="I187" s="141">
        <f t="shared" si="215"/>
        <v>41.827008171600781</v>
      </c>
      <c r="J187" s="141">
        <f t="shared" si="215"/>
        <v>41.495724703692879</v>
      </c>
      <c r="K187" s="141">
        <f t="shared" si="215"/>
        <v>41.822686218147425</v>
      </c>
      <c r="L187" s="141">
        <f t="shared" si="215"/>
        <v>42.235098002012201</v>
      </c>
      <c r="M187" s="141">
        <f t="shared" si="215"/>
        <v>41.897936825810682</v>
      </c>
      <c r="N187" s="141">
        <f t="shared" si="215"/>
        <v>41.469592530560774</v>
      </c>
      <c r="O187" s="141">
        <f t="shared" si="215"/>
        <v>41.045584144520213</v>
      </c>
      <c r="P187" s="141">
        <f t="shared" si="215"/>
        <v>40.431970080197587</v>
      </c>
      <c r="Q187" s="141">
        <f t="shared" si="215"/>
        <v>41.017127605407026</v>
      </c>
      <c r="R187" s="141">
        <f t="shared" si="215"/>
        <v>48.174978824470976</v>
      </c>
      <c r="S187" s="141">
        <f t="shared" si="215"/>
        <v>47.711934528089309</v>
      </c>
      <c r="T187" s="141">
        <f t="shared" si="215"/>
        <v>46.544004721721777</v>
      </c>
      <c r="U187" s="141">
        <f t="shared" si="215"/>
        <v>45.879291739894164</v>
      </c>
      <c r="V187" s="141">
        <f t="shared" si="215"/>
        <v>45.356483457074468</v>
      </c>
      <c r="W187" s="141">
        <f t="shared" ref="W187" si="216">IF(W35=0,0,W35/W5*1000)</f>
        <v>46.776028055211725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47.241763547988185</v>
      </c>
      <c r="C188" s="97">
        <f t="shared" si="217"/>
        <v>46.425467742266193</v>
      </c>
      <c r="D188" s="97">
        <f t="shared" si="217"/>
        <v>45.565775243151165</v>
      </c>
      <c r="E188" s="97">
        <f t="shared" si="217"/>
        <v>44.994879567397632</v>
      </c>
      <c r="F188" s="97">
        <f t="shared" si="217"/>
        <v>44.481369714318866</v>
      </c>
      <c r="G188" s="97">
        <f t="shared" si="217"/>
        <v>43.630196461030138</v>
      </c>
      <c r="H188" s="97">
        <f t="shared" si="217"/>
        <v>42.539827999850104</v>
      </c>
      <c r="I188" s="97">
        <f t="shared" si="217"/>
        <v>41.841613430396634</v>
      </c>
      <c r="J188" s="97">
        <f t="shared" si="217"/>
        <v>41.615275479724914</v>
      </c>
      <c r="K188" s="97">
        <f t="shared" si="217"/>
        <v>40.641973622075845</v>
      </c>
      <c r="L188" s="97">
        <f t="shared" si="217"/>
        <v>39.834818345015904</v>
      </c>
      <c r="M188" s="97">
        <f t="shared" si="217"/>
        <v>40.422038412061191</v>
      </c>
      <c r="N188" s="97">
        <f t="shared" si="217"/>
        <v>39.67426973849782</v>
      </c>
      <c r="O188" s="97">
        <f t="shared" si="217"/>
        <v>39.139349857605097</v>
      </c>
      <c r="P188" s="97">
        <f t="shared" si="217"/>
        <v>37.912469917752098</v>
      </c>
      <c r="Q188" s="97">
        <f t="shared" si="217"/>
        <v>37.646116675217591</v>
      </c>
      <c r="R188" s="97">
        <f t="shared" si="217"/>
        <v>36.868123740006467</v>
      </c>
      <c r="S188" s="97">
        <f t="shared" si="217"/>
        <v>36.175291306955693</v>
      </c>
      <c r="T188" s="97">
        <f t="shared" si="217"/>
        <v>35.648514020301093</v>
      </c>
      <c r="U188" s="97">
        <f t="shared" si="217"/>
        <v>35.072533749357596</v>
      </c>
      <c r="V188" s="97">
        <f t="shared" si="217"/>
        <v>34.822814777604151</v>
      </c>
      <c r="W188" s="97">
        <f t="shared" ref="W188" si="218">IF(W36=0,0,W36/W6*1000)</f>
        <v>32.673671568904723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42.856114576577198</v>
      </c>
      <c r="C189" s="97">
        <f t="shared" si="219"/>
        <v>41.960455346594834</v>
      </c>
      <c r="D189" s="97">
        <f t="shared" si="219"/>
        <v>42.583166678208805</v>
      </c>
      <c r="E189" s="97">
        <f t="shared" si="219"/>
        <v>42.586781764864561</v>
      </c>
      <c r="F189" s="97">
        <f t="shared" si="219"/>
        <v>42.257979778338353</v>
      </c>
      <c r="G189" s="97">
        <f t="shared" si="219"/>
        <v>40.750543185960858</v>
      </c>
      <c r="H189" s="97">
        <f t="shared" si="219"/>
        <v>40.649055382445788</v>
      </c>
      <c r="I189" s="97">
        <f t="shared" si="219"/>
        <v>40.710986555740092</v>
      </c>
      <c r="J189" s="97">
        <f t="shared" si="219"/>
        <v>40.260713834750291</v>
      </c>
      <c r="K189" s="97">
        <f t="shared" si="219"/>
        <v>40.848234613612803</v>
      </c>
      <c r="L189" s="97">
        <f t="shared" si="219"/>
        <v>41.150413080163574</v>
      </c>
      <c r="M189" s="97">
        <f t="shared" si="219"/>
        <v>40.655392565391999</v>
      </c>
      <c r="N189" s="97">
        <f t="shared" si="219"/>
        <v>40.083546525135979</v>
      </c>
      <c r="O189" s="97">
        <f t="shared" si="219"/>
        <v>39.881111154515224</v>
      </c>
      <c r="P189" s="97">
        <f t="shared" si="219"/>
        <v>39.468880067185871</v>
      </c>
      <c r="Q189" s="97">
        <f t="shared" si="219"/>
        <v>40.176327680722999</v>
      </c>
      <c r="R189" s="97">
        <f t="shared" si="219"/>
        <v>48.098135678250266</v>
      </c>
      <c r="S189" s="97">
        <f t="shared" si="219"/>
        <v>47.646712006023122</v>
      </c>
      <c r="T189" s="97">
        <f t="shared" si="219"/>
        <v>46.370252106028069</v>
      </c>
      <c r="U189" s="97">
        <f t="shared" si="219"/>
        <v>45.828407170346161</v>
      </c>
      <c r="V189" s="97">
        <f t="shared" si="219"/>
        <v>45.211976652484189</v>
      </c>
      <c r="W189" s="97">
        <f t="shared" ref="W189" si="220">IF(W37=0,0,W37/W7*1000)</f>
        <v>46.874022085747349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66.965972883996301</v>
      </c>
      <c r="C190" s="97">
        <f t="shared" si="221"/>
        <v>64.79928615956787</v>
      </c>
      <c r="D190" s="97">
        <f t="shared" si="221"/>
        <v>62.730204478587488</v>
      </c>
      <c r="E190" s="97">
        <f t="shared" si="221"/>
        <v>63.317897715020358</v>
      </c>
      <c r="F190" s="97">
        <f t="shared" si="221"/>
        <v>62.887783968923614</v>
      </c>
      <c r="G190" s="97">
        <f t="shared" si="221"/>
        <v>55.936310626134116</v>
      </c>
      <c r="H190" s="97">
        <f t="shared" si="221"/>
        <v>58.03472651618717</v>
      </c>
      <c r="I190" s="97">
        <f t="shared" si="221"/>
        <v>54.888796190605866</v>
      </c>
      <c r="J190" s="97">
        <f t="shared" si="221"/>
        <v>56.232701060437044</v>
      </c>
      <c r="K190" s="97">
        <f t="shared" si="221"/>
        <v>53.417246093998365</v>
      </c>
      <c r="L190" s="97">
        <f t="shared" si="221"/>
        <v>54.941358486667092</v>
      </c>
      <c r="M190" s="97">
        <f t="shared" si="221"/>
        <v>56.061061214571488</v>
      </c>
      <c r="N190" s="97">
        <f t="shared" si="221"/>
        <v>57.371232778940488</v>
      </c>
      <c r="O190" s="97">
        <f t="shared" si="221"/>
        <v>54.17933118694409</v>
      </c>
      <c r="P190" s="97">
        <f t="shared" si="221"/>
        <v>51.59365833612631</v>
      </c>
      <c r="Q190" s="97">
        <f t="shared" si="221"/>
        <v>50.853129782733028</v>
      </c>
      <c r="R190" s="97">
        <f t="shared" si="221"/>
        <v>49.837271727312334</v>
      </c>
      <c r="S190" s="97">
        <f t="shared" si="221"/>
        <v>49.22632657067377</v>
      </c>
      <c r="T190" s="97">
        <f t="shared" si="221"/>
        <v>49.023690246368716</v>
      </c>
      <c r="U190" s="97">
        <f t="shared" si="221"/>
        <v>47.204500015309947</v>
      </c>
      <c r="V190" s="97">
        <f t="shared" si="221"/>
        <v>47.62515275473956</v>
      </c>
      <c r="W190" s="97">
        <f t="shared" ref="W190" si="222">IF(W38=0,0,W38/W8*1000)</f>
        <v>46.946533013944716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17.566091066933904</v>
      </c>
      <c r="C191" s="130">
        <f t="shared" si="223"/>
        <v>15.899645991962212</v>
      </c>
      <c r="D191" s="130">
        <f t="shared" si="223"/>
        <v>15.962306057840797</v>
      </c>
      <c r="E191" s="130">
        <f t="shared" si="223"/>
        <v>15.802124864318593</v>
      </c>
      <c r="F191" s="130">
        <f t="shared" si="223"/>
        <v>16.197920752861915</v>
      </c>
      <c r="G191" s="130">
        <f t="shared" si="223"/>
        <v>14.594220036991782</v>
      </c>
      <c r="H191" s="130">
        <f t="shared" si="223"/>
        <v>13.884117365577248</v>
      </c>
      <c r="I191" s="130">
        <f t="shared" si="223"/>
        <v>13.069112097003517</v>
      </c>
      <c r="J191" s="130">
        <f t="shared" si="223"/>
        <v>10.824811603641807</v>
      </c>
      <c r="K191" s="130">
        <f t="shared" si="223"/>
        <v>11.538109432012471</v>
      </c>
      <c r="L191" s="130">
        <f t="shared" si="223"/>
        <v>11.157131156467019</v>
      </c>
      <c r="M191" s="130">
        <f t="shared" si="223"/>
        <v>11.996075862103556</v>
      </c>
      <c r="N191" s="130">
        <f t="shared" si="223"/>
        <v>12.233741865888982</v>
      </c>
      <c r="O191" s="130">
        <f t="shared" si="223"/>
        <v>12.619550101854436</v>
      </c>
      <c r="P191" s="130">
        <f t="shared" si="223"/>
        <v>12.021694604129339</v>
      </c>
      <c r="Q191" s="130">
        <f t="shared" si="223"/>
        <v>11.535932512464559</v>
      </c>
      <c r="R191" s="130">
        <f t="shared" si="223"/>
        <v>11.805342687200756</v>
      </c>
      <c r="S191" s="130">
        <f t="shared" si="223"/>
        <v>10.284565243269171</v>
      </c>
      <c r="T191" s="130">
        <f t="shared" si="223"/>
        <v>10.881674405562658</v>
      </c>
      <c r="U191" s="130">
        <f t="shared" si="223"/>
        <v>9.9657667092264433</v>
      </c>
      <c r="V191" s="130">
        <f t="shared" si="223"/>
        <v>15.877132266976769</v>
      </c>
      <c r="W191" s="130">
        <f t="shared" ref="W191" si="224">IF(W39=0,0,W39/W9*1000)</f>
        <v>18.136921978701032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6.6393206968060063</v>
      </c>
      <c r="C192" s="97">
        <f t="shared" si="225"/>
        <v>6.5599387844277928</v>
      </c>
      <c r="D192" s="97">
        <f t="shared" si="225"/>
        <v>6.0518791797527962</v>
      </c>
      <c r="E192" s="97">
        <f t="shared" si="225"/>
        <v>5.9960681375752092</v>
      </c>
      <c r="F192" s="97">
        <f t="shared" si="225"/>
        <v>5.887393045347352</v>
      </c>
      <c r="G192" s="97">
        <f t="shared" si="225"/>
        <v>5.7105016311549237</v>
      </c>
      <c r="H192" s="97">
        <f t="shared" si="225"/>
        <v>5.644324828390217</v>
      </c>
      <c r="I192" s="97">
        <f t="shared" si="225"/>
        <v>5.6659960268940521</v>
      </c>
      <c r="J192" s="97">
        <f t="shared" si="225"/>
        <v>5.5053771389768746</v>
      </c>
      <c r="K192" s="97">
        <f t="shared" si="225"/>
        <v>5.4733199233713599</v>
      </c>
      <c r="L192" s="97">
        <f t="shared" si="225"/>
        <v>5.428717881438514</v>
      </c>
      <c r="M192" s="97">
        <f t="shared" si="225"/>
        <v>5.4046767766867827</v>
      </c>
      <c r="N192" s="97">
        <f t="shared" si="225"/>
        <v>5.377691167006498</v>
      </c>
      <c r="O192" s="97">
        <f t="shared" si="225"/>
        <v>5.33872043255242</v>
      </c>
      <c r="P192" s="97">
        <f t="shared" si="225"/>
        <v>5.2638596337517836</v>
      </c>
      <c r="Q192" s="97">
        <f t="shared" si="225"/>
        <v>5.2305593423803689</v>
      </c>
      <c r="R192" s="97">
        <f t="shared" si="225"/>
        <v>5.1943471342337988</v>
      </c>
      <c r="S192" s="97">
        <f t="shared" si="225"/>
        <v>5.1415516608970444</v>
      </c>
      <c r="T192" s="97">
        <f t="shared" si="225"/>
        <v>4.85864622452329</v>
      </c>
      <c r="U192" s="97">
        <f t="shared" si="225"/>
        <v>4.8354536527711041</v>
      </c>
      <c r="V192" s="97">
        <f t="shared" si="225"/>
        <v>7.696329355425469</v>
      </c>
      <c r="W192" s="97">
        <f t="shared" ref="W192" si="226">IF(W40=0,0,W40/W10*1000)</f>
        <v>8.1834120063510731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22.015515939275893</v>
      </c>
      <c r="C193" s="97">
        <f t="shared" si="227"/>
        <v>19.31233332707642</v>
      </c>
      <c r="D193" s="97">
        <f t="shared" si="227"/>
        <v>19.744832847234804</v>
      </c>
      <c r="E193" s="97">
        <f t="shared" si="227"/>
        <v>19.601782310821992</v>
      </c>
      <c r="F193" s="97">
        <f t="shared" si="227"/>
        <v>20.589663511603806</v>
      </c>
      <c r="G193" s="97">
        <f t="shared" si="227"/>
        <v>17.774434861439659</v>
      </c>
      <c r="H193" s="97">
        <f t="shared" si="227"/>
        <v>17.175792960236979</v>
      </c>
      <c r="I193" s="97">
        <f t="shared" si="227"/>
        <v>16.301315995888938</v>
      </c>
      <c r="J193" s="97">
        <f t="shared" si="227"/>
        <v>12.713336567866939</v>
      </c>
      <c r="K193" s="97">
        <f t="shared" si="227"/>
        <v>13.868658248188948</v>
      </c>
      <c r="L193" s="97">
        <f t="shared" si="227"/>
        <v>13.290775371373892</v>
      </c>
      <c r="M193" s="97">
        <f t="shared" si="227"/>
        <v>14.390825218267794</v>
      </c>
      <c r="N193" s="97">
        <f t="shared" si="227"/>
        <v>14.88043700471804</v>
      </c>
      <c r="O193" s="97">
        <f t="shared" si="227"/>
        <v>15.557588850757845</v>
      </c>
      <c r="P193" s="97">
        <f t="shared" si="227"/>
        <v>14.424806007922673</v>
      </c>
      <c r="Q193" s="97">
        <f t="shared" si="227"/>
        <v>13.939045145357348</v>
      </c>
      <c r="R193" s="97">
        <f t="shared" si="227"/>
        <v>14.52511064961619</v>
      </c>
      <c r="S193" s="97">
        <f t="shared" si="227"/>
        <v>11.899122828464776</v>
      </c>
      <c r="T193" s="97">
        <f t="shared" si="227"/>
        <v>13.035837745098389</v>
      </c>
      <c r="U193" s="97">
        <f t="shared" si="227"/>
        <v>11.49513183850453</v>
      </c>
      <c r="V193" s="97">
        <f t="shared" si="227"/>
        <v>17.976456662506774</v>
      </c>
      <c r="W193" s="97">
        <f t="shared" ref="W193" si="228">IF(W41=0,0,W41/W11*1000)</f>
        <v>21.645523919880699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14.678070727198934</v>
      </c>
      <c r="C194" s="97">
        <f t="shared" si="229"/>
        <v>14.281247220198908</v>
      </c>
      <c r="D194" s="97">
        <f t="shared" si="229"/>
        <v>13.964639558091285</v>
      </c>
      <c r="E194" s="97">
        <f t="shared" si="229"/>
        <v>13.763075323620033</v>
      </c>
      <c r="F194" s="97">
        <f t="shared" si="229"/>
        <v>13.524567696074037</v>
      </c>
      <c r="G194" s="97">
        <f t="shared" si="229"/>
        <v>13.292072107587673</v>
      </c>
      <c r="H194" s="97">
        <f t="shared" si="229"/>
        <v>11.54080181292791</v>
      </c>
      <c r="I194" s="97">
        <f t="shared" si="229"/>
        <v>10.229540720954871</v>
      </c>
      <c r="J194" s="97">
        <f t="shared" si="229"/>
        <v>9.6587625421755785</v>
      </c>
      <c r="K194" s="97">
        <f t="shared" si="229"/>
        <v>9.6702715471769931</v>
      </c>
      <c r="L194" s="97">
        <f t="shared" si="229"/>
        <v>9.6358429397859489</v>
      </c>
      <c r="M194" s="97">
        <f t="shared" si="229"/>
        <v>10.207599514724246</v>
      </c>
      <c r="N194" s="97">
        <f t="shared" si="229"/>
        <v>9.8124516693638579</v>
      </c>
      <c r="O194" s="97">
        <f t="shared" si="229"/>
        <v>10.005542040809065</v>
      </c>
      <c r="P194" s="97">
        <f t="shared" si="229"/>
        <v>10.515660254283684</v>
      </c>
      <c r="Q194" s="97">
        <f t="shared" si="229"/>
        <v>9.524220121550341</v>
      </c>
      <c r="R194" s="97">
        <f t="shared" si="229"/>
        <v>9.4772641926268957</v>
      </c>
      <c r="S194" s="97">
        <f t="shared" si="229"/>
        <v>9.7043086731641104</v>
      </c>
      <c r="T194" s="97">
        <f t="shared" si="229"/>
        <v>9.4316871265386926</v>
      </c>
      <c r="U194" s="97">
        <f t="shared" si="229"/>
        <v>9.320166815426953</v>
      </c>
      <c r="V194" s="97">
        <f t="shared" si="229"/>
        <v>16.165437365195981</v>
      </c>
      <c r="W194" s="97">
        <f t="shared" ref="W194" si="230">IF(W42=0,0,W42/W12*1000)</f>
        <v>15.292991735317504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50.022923062573042</v>
      </c>
      <c r="C195" s="130">
        <f t="shared" si="231"/>
        <v>51.424875777411209</v>
      </c>
      <c r="D195" s="130">
        <f t="shared" si="231"/>
        <v>43.486260506793975</v>
      </c>
      <c r="E195" s="130">
        <f t="shared" si="231"/>
        <v>45.397172957130536</v>
      </c>
      <c r="F195" s="130">
        <f t="shared" si="231"/>
        <v>50.705665486251853</v>
      </c>
      <c r="G195" s="130">
        <f t="shared" si="231"/>
        <v>46.574917967501342</v>
      </c>
      <c r="H195" s="130">
        <f t="shared" si="231"/>
        <v>41.087978392544002</v>
      </c>
      <c r="I195" s="130">
        <f t="shared" si="231"/>
        <v>38.032811460810251</v>
      </c>
      <c r="J195" s="130">
        <f t="shared" si="231"/>
        <v>41.32934106661137</v>
      </c>
      <c r="K195" s="130">
        <f t="shared" si="231"/>
        <v>41.286078499909692</v>
      </c>
      <c r="L195" s="130">
        <f t="shared" si="231"/>
        <v>37.381182944280454</v>
      </c>
      <c r="M195" s="130">
        <f t="shared" si="231"/>
        <v>37.382467041389233</v>
      </c>
      <c r="N195" s="130">
        <f t="shared" si="231"/>
        <v>35.110355590511645</v>
      </c>
      <c r="O195" s="130">
        <f t="shared" si="231"/>
        <v>36.678336872633125</v>
      </c>
      <c r="P195" s="130">
        <f t="shared" si="231"/>
        <v>31.895665789782633</v>
      </c>
      <c r="Q195" s="130">
        <f t="shared" si="231"/>
        <v>31.63938744799627</v>
      </c>
      <c r="R195" s="130">
        <f t="shared" si="231"/>
        <v>32.88322101277474</v>
      </c>
      <c r="S195" s="130">
        <f t="shared" si="231"/>
        <v>31.352066364173364</v>
      </c>
      <c r="T195" s="130">
        <f t="shared" si="231"/>
        <v>31.849451434624552</v>
      </c>
      <c r="U195" s="130">
        <f t="shared" si="231"/>
        <v>31.581351030048562</v>
      </c>
      <c r="V195" s="130">
        <f t="shared" si="231"/>
        <v>48.600502327637898</v>
      </c>
      <c r="W195" s="130">
        <f t="shared" ref="W195" si="232">IF(W43=0,0,W43/W13*1000)</f>
        <v>45.241042469184713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63.962154782411709</v>
      </c>
      <c r="C196" s="97">
        <f t="shared" si="233"/>
        <v>64.740716495137775</v>
      </c>
      <c r="D196" s="97">
        <f t="shared" si="233"/>
        <v>57.653190077840115</v>
      </c>
      <c r="E196" s="97">
        <f t="shared" si="233"/>
        <v>60.910444572408473</v>
      </c>
      <c r="F196" s="97">
        <f t="shared" si="233"/>
        <v>67.627748425045624</v>
      </c>
      <c r="G196" s="97">
        <f t="shared" si="233"/>
        <v>66.486562151452944</v>
      </c>
      <c r="H196" s="97">
        <f t="shared" si="233"/>
        <v>63.160644620948879</v>
      </c>
      <c r="I196" s="97">
        <f t="shared" si="233"/>
        <v>62.528976709328525</v>
      </c>
      <c r="J196" s="97">
        <f t="shared" si="233"/>
        <v>58.785082713100053</v>
      </c>
      <c r="K196" s="97">
        <f t="shared" si="233"/>
        <v>57.486612519484986</v>
      </c>
      <c r="L196" s="97">
        <f t="shared" si="233"/>
        <v>52.947932249806982</v>
      </c>
      <c r="M196" s="97">
        <f t="shared" si="233"/>
        <v>52.647118946875317</v>
      </c>
      <c r="N196" s="97">
        <f t="shared" si="233"/>
        <v>49.162284297350965</v>
      </c>
      <c r="O196" s="97">
        <f t="shared" si="233"/>
        <v>49.383694072053416</v>
      </c>
      <c r="P196" s="97">
        <f t="shared" si="233"/>
        <v>47.095018259193225</v>
      </c>
      <c r="Q196" s="97">
        <f t="shared" si="233"/>
        <v>46.496895324332378</v>
      </c>
      <c r="R196" s="97">
        <f t="shared" si="233"/>
        <v>47.183452913982087</v>
      </c>
      <c r="S196" s="97">
        <f t="shared" si="233"/>
        <v>45.446015113082744</v>
      </c>
      <c r="T196" s="97">
        <f t="shared" si="233"/>
        <v>44.393922918813445</v>
      </c>
      <c r="U196" s="97">
        <f t="shared" si="233"/>
        <v>44.35976222149786</v>
      </c>
      <c r="V196" s="97">
        <f t="shared" si="233"/>
        <v>55.961616415542579</v>
      </c>
      <c r="W196" s="97">
        <f t="shared" ref="W196" si="234">IF(W44=0,0,W44/W14*1000)</f>
        <v>58.235878682148986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47.270074269287903</v>
      </c>
      <c r="C197" s="97">
        <f t="shared" si="235"/>
        <v>47.903632390750339</v>
      </c>
      <c r="D197" s="97">
        <f t="shared" si="235"/>
        <v>38.910840480896724</v>
      </c>
      <c r="E197" s="97">
        <f t="shared" si="235"/>
        <v>42.147368293396759</v>
      </c>
      <c r="F197" s="97">
        <f t="shared" si="235"/>
        <v>49.584964525260247</v>
      </c>
      <c r="G197" s="97">
        <f t="shared" si="235"/>
        <v>47.899291322175529</v>
      </c>
      <c r="H197" s="97">
        <f t="shared" si="235"/>
        <v>40.680629007551616</v>
      </c>
      <c r="I197" s="97">
        <f t="shared" si="235"/>
        <v>39.550483589882376</v>
      </c>
      <c r="J197" s="97">
        <f t="shared" si="235"/>
        <v>47.829661757262301</v>
      </c>
      <c r="K197" s="97">
        <f t="shared" si="235"/>
        <v>48.268245142750175</v>
      </c>
      <c r="L197" s="97">
        <f t="shared" si="235"/>
        <v>43.390446413956347</v>
      </c>
      <c r="M197" s="97">
        <f t="shared" si="235"/>
        <v>41.789110865229098</v>
      </c>
      <c r="N197" s="97">
        <f t="shared" si="235"/>
        <v>38.405537687938946</v>
      </c>
      <c r="O197" s="97">
        <f t="shared" si="235"/>
        <v>40.160074901578305</v>
      </c>
      <c r="P197" s="97">
        <f t="shared" si="235"/>
        <v>35.089991056915686</v>
      </c>
      <c r="Q197" s="97">
        <f t="shared" si="235"/>
        <v>35.12574074170093</v>
      </c>
      <c r="R197" s="97">
        <f t="shared" si="235"/>
        <v>36.249314265538771</v>
      </c>
      <c r="S197" s="97">
        <f t="shared" si="235"/>
        <v>34.567304899779167</v>
      </c>
      <c r="T197" s="97">
        <f t="shared" si="235"/>
        <v>36.705875470771538</v>
      </c>
      <c r="U197" s="97">
        <f t="shared" si="235"/>
        <v>35.894121105481887</v>
      </c>
      <c r="V197" s="97">
        <f t="shared" si="235"/>
        <v>55.430736240328677</v>
      </c>
      <c r="W197" s="97">
        <f t="shared" ref="W197" si="236">IF(W45=0,0,W45/W15*1000)</f>
        <v>45.188498050746226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44.762875867811395</v>
      </c>
      <c r="C198" s="97">
        <f t="shared" si="237"/>
        <v>48.282830821329341</v>
      </c>
      <c r="D198" s="97">
        <f t="shared" si="237"/>
        <v>41.855112319832344</v>
      </c>
      <c r="E198" s="97">
        <f t="shared" si="237"/>
        <v>38.990297341585062</v>
      </c>
      <c r="F198" s="97">
        <f t="shared" si="237"/>
        <v>39.507201237787399</v>
      </c>
      <c r="G198" s="97">
        <f t="shared" si="237"/>
        <v>31.012189979216139</v>
      </c>
      <c r="H198" s="97">
        <f t="shared" si="237"/>
        <v>28.753540299552323</v>
      </c>
      <c r="I198" s="97">
        <f t="shared" si="237"/>
        <v>23.367017183804592</v>
      </c>
      <c r="J198" s="97">
        <f t="shared" si="237"/>
        <v>24.492510370712811</v>
      </c>
      <c r="K198" s="97">
        <f t="shared" si="237"/>
        <v>25.173299997246648</v>
      </c>
      <c r="L198" s="97">
        <f t="shared" si="237"/>
        <v>22.921011878426878</v>
      </c>
      <c r="M198" s="97">
        <f t="shared" si="237"/>
        <v>24.030529106251286</v>
      </c>
      <c r="N198" s="97">
        <f t="shared" si="237"/>
        <v>23.579978067698899</v>
      </c>
      <c r="O198" s="97">
        <f t="shared" si="237"/>
        <v>25.485913782112469</v>
      </c>
      <c r="P198" s="97">
        <f t="shared" si="237"/>
        <v>20.814373397673744</v>
      </c>
      <c r="Q198" s="97">
        <f t="shared" si="237"/>
        <v>20.523522624808006</v>
      </c>
      <c r="R198" s="97">
        <f t="shared" si="237"/>
        <v>21.575377202486436</v>
      </c>
      <c r="S198" s="97">
        <f t="shared" si="237"/>
        <v>20.474405765040373</v>
      </c>
      <c r="T198" s="97">
        <f t="shared" si="237"/>
        <v>20.095476997775762</v>
      </c>
      <c r="U198" s="97">
        <f t="shared" si="237"/>
        <v>20.832564407865885</v>
      </c>
      <c r="V198" s="97">
        <f t="shared" si="237"/>
        <v>36.483423814470711</v>
      </c>
      <c r="W198" s="97">
        <f t="shared" ref="W198" si="238">IF(W46=0,0,W46/W16*1000)</f>
        <v>39.315502934885863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31.93356334785117</v>
      </c>
      <c r="C199" s="32">
        <f t="shared" si="239"/>
        <v>33.156721936512334</v>
      </c>
      <c r="D199" s="32">
        <f t="shared" si="239"/>
        <v>31.775367703949264</v>
      </c>
      <c r="E199" s="32">
        <f t="shared" si="239"/>
        <v>32.891120289357254</v>
      </c>
      <c r="F199" s="32">
        <f t="shared" si="239"/>
        <v>33.840250850360661</v>
      </c>
      <c r="G199" s="32">
        <f t="shared" si="239"/>
        <v>30.738491041286661</v>
      </c>
      <c r="H199" s="32">
        <f t="shared" si="239"/>
        <v>30.363105741417311</v>
      </c>
      <c r="I199" s="32">
        <f t="shared" si="239"/>
        <v>30.509559635368767</v>
      </c>
      <c r="J199" s="32">
        <f t="shared" si="239"/>
        <v>29.991796026754102</v>
      </c>
      <c r="K199" s="32">
        <f t="shared" si="239"/>
        <v>32.290345263577024</v>
      </c>
      <c r="L199" s="32">
        <f t="shared" si="239"/>
        <v>31.444119868207768</v>
      </c>
      <c r="M199" s="32">
        <f t="shared" si="239"/>
        <v>30.942381073300073</v>
      </c>
      <c r="N199" s="32">
        <f t="shared" si="239"/>
        <v>29.940021263422661</v>
      </c>
      <c r="O199" s="32">
        <f t="shared" si="239"/>
        <v>28.813262471645764</v>
      </c>
      <c r="P199" s="32">
        <f t="shared" si="239"/>
        <v>25.603883294155882</v>
      </c>
      <c r="Q199" s="32">
        <f t="shared" si="239"/>
        <v>25.75573584601057</v>
      </c>
      <c r="R199" s="32">
        <f t="shared" si="239"/>
        <v>23.683457984788699</v>
      </c>
      <c r="S199" s="32">
        <f t="shared" si="239"/>
        <v>24.511309914677927</v>
      </c>
      <c r="T199" s="32">
        <f t="shared" si="239"/>
        <v>22.273263808132828</v>
      </c>
      <c r="U199" s="32">
        <f t="shared" si="239"/>
        <v>23.006071793079329</v>
      </c>
      <c r="V199" s="32">
        <f t="shared" si="239"/>
        <v>23.548563824559018</v>
      </c>
      <c r="W199" s="32">
        <f t="shared" ref="W199" si="240">IF(W47=0,0,W47/W17*1000)</f>
        <v>22.559140076218029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42.087238946686789</v>
      </c>
      <c r="C200" s="141">
        <f t="shared" si="241"/>
        <v>44.214697640499345</v>
      </c>
      <c r="D200" s="141">
        <f t="shared" si="241"/>
        <v>41.780911884083189</v>
      </c>
      <c r="E200" s="141">
        <f t="shared" si="241"/>
        <v>43.653162997861187</v>
      </c>
      <c r="F200" s="141">
        <f t="shared" si="241"/>
        <v>45.161026915433268</v>
      </c>
      <c r="G200" s="141">
        <f t="shared" si="241"/>
        <v>40.91308431080035</v>
      </c>
      <c r="H200" s="141">
        <f t="shared" si="241"/>
        <v>40.909252701246594</v>
      </c>
      <c r="I200" s="141">
        <f t="shared" si="241"/>
        <v>40.721588413863593</v>
      </c>
      <c r="J200" s="141">
        <f t="shared" si="241"/>
        <v>40.117539850925958</v>
      </c>
      <c r="K200" s="141">
        <f t="shared" si="241"/>
        <v>44.071594705445513</v>
      </c>
      <c r="L200" s="141">
        <f t="shared" si="241"/>
        <v>44.938657358965813</v>
      </c>
      <c r="M200" s="141">
        <f t="shared" si="241"/>
        <v>43.411546111600437</v>
      </c>
      <c r="N200" s="141">
        <f t="shared" si="241"/>
        <v>42.534024773511788</v>
      </c>
      <c r="O200" s="141">
        <f t="shared" si="241"/>
        <v>39.732881551515497</v>
      </c>
      <c r="P200" s="141">
        <f t="shared" si="241"/>
        <v>33.76845167577806</v>
      </c>
      <c r="Q200" s="141">
        <f t="shared" si="241"/>
        <v>33.674916915919695</v>
      </c>
      <c r="R200" s="141">
        <f t="shared" si="241"/>
        <v>30.613718905260736</v>
      </c>
      <c r="S200" s="141">
        <f t="shared" si="241"/>
        <v>32.340238831429524</v>
      </c>
      <c r="T200" s="141">
        <f t="shared" si="241"/>
        <v>29.237824033814629</v>
      </c>
      <c r="U200" s="141">
        <f t="shared" si="241"/>
        <v>30.21177126614463</v>
      </c>
      <c r="V200" s="141">
        <f t="shared" si="241"/>
        <v>31.401614730762738</v>
      </c>
      <c r="W200" s="141">
        <f t="shared" ref="W200" si="242">IF(W48=0,0,W48/W18*1000)</f>
        <v>30.066107685027056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567.51512222283657</v>
      </c>
      <c r="C201" s="97">
        <f t="shared" si="243"/>
        <v>531.58603117449923</v>
      </c>
      <c r="D201" s="97">
        <f t="shared" si="243"/>
        <v>509.31325541993135</v>
      </c>
      <c r="E201" s="97">
        <f t="shared" si="243"/>
        <v>506.47951884740769</v>
      </c>
      <c r="F201" s="97">
        <f t="shared" si="243"/>
        <v>509.71837573403536</v>
      </c>
      <c r="G201" s="97">
        <f t="shared" si="243"/>
        <v>471.88295213323272</v>
      </c>
      <c r="H201" s="97">
        <f t="shared" si="243"/>
        <v>468.95277401345641</v>
      </c>
      <c r="I201" s="97">
        <f t="shared" si="243"/>
        <v>455.97201144657231</v>
      </c>
      <c r="J201" s="97">
        <f t="shared" si="243"/>
        <v>448.99146475550572</v>
      </c>
      <c r="K201" s="97">
        <f t="shared" si="243"/>
        <v>439.77080446748664</v>
      </c>
      <c r="L201" s="97">
        <f t="shared" si="243"/>
        <v>445.34411646662284</v>
      </c>
      <c r="M201" s="97">
        <f t="shared" si="243"/>
        <v>435.04467539894284</v>
      </c>
      <c r="N201" s="97">
        <f t="shared" si="243"/>
        <v>414.2768171856639</v>
      </c>
      <c r="O201" s="97">
        <f t="shared" si="243"/>
        <v>397.04830300684188</v>
      </c>
      <c r="P201" s="97">
        <f t="shared" si="243"/>
        <v>372.39820433934199</v>
      </c>
      <c r="Q201" s="97">
        <f t="shared" si="243"/>
        <v>366.49877873222835</v>
      </c>
      <c r="R201" s="97">
        <f t="shared" si="243"/>
        <v>347.6334195809477</v>
      </c>
      <c r="S201" s="97">
        <f t="shared" si="243"/>
        <v>347.76642175460762</v>
      </c>
      <c r="T201" s="97">
        <f t="shared" si="243"/>
        <v>332.17995903692486</v>
      </c>
      <c r="U201" s="97">
        <f t="shared" si="243"/>
        <v>332.50639872236621</v>
      </c>
      <c r="V201" s="97">
        <f t="shared" si="243"/>
        <v>339.02486670384275</v>
      </c>
      <c r="W201" s="97">
        <f t="shared" ref="W201" si="244">IF(W49=0,0,W49/W19*1000)</f>
        <v>338.58777937305604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32.680312356040858</v>
      </c>
      <c r="C202" s="97">
        <f t="shared" si="245"/>
        <v>33.606624382740307</v>
      </c>
      <c r="D202" s="97">
        <f t="shared" si="245"/>
        <v>31.245360668392212</v>
      </c>
      <c r="E202" s="97">
        <f t="shared" si="245"/>
        <v>32.189166533120371</v>
      </c>
      <c r="F202" s="97">
        <f t="shared" si="245"/>
        <v>33.138741081402785</v>
      </c>
      <c r="G202" s="97">
        <f t="shared" si="245"/>
        <v>30.603677286384947</v>
      </c>
      <c r="H202" s="97">
        <f t="shared" si="245"/>
        <v>30.220095602896023</v>
      </c>
      <c r="I202" s="97">
        <f t="shared" si="245"/>
        <v>30.018758106563329</v>
      </c>
      <c r="J202" s="97">
        <f t="shared" si="245"/>
        <v>29.462431873148102</v>
      </c>
      <c r="K202" s="97">
        <f t="shared" si="245"/>
        <v>31.567145833971377</v>
      </c>
      <c r="L202" s="97">
        <f t="shared" si="245"/>
        <v>32.064762174447431</v>
      </c>
      <c r="M202" s="97">
        <f t="shared" si="245"/>
        <v>30.355514859089954</v>
      </c>
      <c r="N202" s="97">
        <f t="shared" si="245"/>
        <v>28.919019414965224</v>
      </c>
      <c r="O202" s="97">
        <f t="shared" si="245"/>
        <v>26.825819937493083</v>
      </c>
      <c r="P202" s="97">
        <f t="shared" si="245"/>
        <v>23.08200669364448</v>
      </c>
      <c r="Q202" s="97">
        <f t="shared" si="245"/>
        <v>22.678712734272356</v>
      </c>
      <c r="R202" s="97">
        <f t="shared" si="245"/>
        <v>20.172924004619212</v>
      </c>
      <c r="S202" s="97">
        <f t="shared" si="245"/>
        <v>21.016577278258236</v>
      </c>
      <c r="T202" s="97">
        <f t="shared" si="245"/>
        <v>18.875970803829414</v>
      </c>
      <c r="U202" s="97">
        <f t="shared" si="245"/>
        <v>19.420555526787069</v>
      </c>
      <c r="V202" s="97">
        <f t="shared" si="245"/>
        <v>20.460961929179298</v>
      </c>
      <c r="W202" s="97">
        <f t="shared" ref="W202" si="246">IF(W50=0,0,W50/W20*1000)</f>
        <v>19.902785403281111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6.1448118003710368</v>
      </c>
      <c r="C203" s="130">
        <f t="shared" si="247"/>
        <v>5.2888427474356856</v>
      </c>
      <c r="D203" s="130">
        <f t="shared" si="247"/>
        <v>5.2500523777187826</v>
      </c>
      <c r="E203" s="130">
        <f t="shared" si="247"/>
        <v>4.8881800678809242</v>
      </c>
      <c r="F203" s="130">
        <f t="shared" si="247"/>
        <v>5.0841600763099777</v>
      </c>
      <c r="G203" s="130">
        <f t="shared" si="247"/>
        <v>4.8001537997282124</v>
      </c>
      <c r="H203" s="130">
        <f t="shared" si="247"/>
        <v>4.8167193740248182</v>
      </c>
      <c r="I203" s="130">
        <f t="shared" si="247"/>
        <v>4.7515698591044631</v>
      </c>
      <c r="J203" s="130">
        <f t="shared" si="247"/>
        <v>3.5764524027036906</v>
      </c>
      <c r="K203" s="130">
        <f t="shared" si="247"/>
        <v>3.6120197998677384</v>
      </c>
      <c r="L203" s="130">
        <f t="shared" si="247"/>
        <v>3.2650880266794875</v>
      </c>
      <c r="M203" s="130">
        <f t="shared" si="247"/>
        <v>3.5818565734683636</v>
      </c>
      <c r="N203" s="130">
        <f t="shared" si="247"/>
        <v>3.4879930430762802</v>
      </c>
      <c r="O203" s="130">
        <f t="shared" si="247"/>
        <v>3.4974261245330269</v>
      </c>
      <c r="P203" s="130">
        <f t="shared" si="247"/>
        <v>3.0587554285599428</v>
      </c>
      <c r="Q203" s="130">
        <f t="shared" si="247"/>
        <v>3.0104808069562541</v>
      </c>
      <c r="R203" s="130">
        <f t="shared" si="247"/>
        <v>2.8790440660972703</v>
      </c>
      <c r="S203" s="130">
        <f t="shared" si="247"/>
        <v>2.8355776865935258</v>
      </c>
      <c r="T203" s="130">
        <f t="shared" si="247"/>
        <v>2.5581573471699186</v>
      </c>
      <c r="U203" s="130">
        <f t="shared" si="247"/>
        <v>2.4804215720586238</v>
      </c>
      <c r="V203" s="130">
        <f t="shared" si="247"/>
        <v>2.3783693358000568</v>
      </c>
      <c r="W203" s="130">
        <f t="shared" ref="W203" si="248">IF(W51=0,0,W51/W21*1000)</f>
        <v>2.4294550115194946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104.18426497996265</v>
      </c>
      <c r="C204" s="130">
        <f t="shared" si="249"/>
        <v>93.36375544081487</v>
      </c>
      <c r="D204" s="130">
        <f t="shared" si="249"/>
        <v>82.42763195419063</v>
      </c>
      <c r="E204" s="130">
        <f t="shared" si="249"/>
        <v>87.735202041597503</v>
      </c>
      <c r="F204" s="130">
        <f t="shared" si="249"/>
        <v>107.14614799865643</v>
      </c>
      <c r="G204" s="130">
        <f t="shared" si="249"/>
        <v>97.591254334456508</v>
      </c>
      <c r="H204" s="130">
        <f t="shared" si="249"/>
        <v>100.97647472957213</v>
      </c>
      <c r="I204" s="130">
        <f t="shared" si="249"/>
        <v>92.743602709818134</v>
      </c>
      <c r="J204" s="130">
        <f t="shared" si="249"/>
        <v>99.725391345661791</v>
      </c>
      <c r="K204" s="130">
        <f t="shared" si="249"/>
        <v>96.020802943018111</v>
      </c>
      <c r="L204" s="130">
        <f t="shared" si="249"/>
        <v>88.085360665337788</v>
      </c>
      <c r="M204" s="130">
        <f t="shared" si="249"/>
        <v>83.434876899987529</v>
      </c>
      <c r="N204" s="130">
        <f t="shared" si="249"/>
        <v>78.083932286738502</v>
      </c>
      <c r="O204" s="130">
        <f t="shared" si="249"/>
        <v>83.938722572101497</v>
      </c>
      <c r="P204" s="130">
        <f t="shared" si="249"/>
        <v>59.451643860671602</v>
      </c>
      <c r="Q204" s="130">
        <f t="shared" si="249"/>
        <v>58.629370740643651</v>
      </c>
      <c r="R204" s="130">
        <f t="shared" si="249"/>
        <v>55.040984000010454</v>
      </c>
      <c r="S204" s="130">
        <f t="shared" si="249"/>
        <v>58.743846916350677</v>
      </c>
      <c r="T204" s="130">
        <f t="shared" si="249"/>
        <v>63.041578225646532</v>
      </c>
      <c r="U204" s="130">
        <f t="shared" si="249"/>
        <v>85.673492265294584</v>
      </c>
      <c r="V204" s="130">
        <f t="shared" si="249"/>
        <v>142.66678355332243</v>
      </c>
      <c r="W204" s="130">
        <f t="shared" ref="W204" si="250">IF(W52=0,0,W52/W22*1000)</f>
        <v>152.82499901467793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424.75882722867533</v>
      </c>
      <c r="C205" s="97">
        <f t="shared" si="251"/>
        <v>442.91314171497737</v>
      </c>
      <c r="D205" s="97">
        <f t="shared" si="251"/>
        <v>383.74150300921735</v>
      </c>
      <c r="E205" s="97">
        <f t="shared" si="251"/>
        <v>372.87612687549381</v>
      </c>
      <c r="F205" s="97">
        <f t="shared" si="251"/>
        <v>431.36461024118023</v>
      </c>
      <c r="G205" s="97">
        <f t="shared" si="251"/>
        <v>471.16017578017056</v>
      </c>
      <c r="H205" s="97">
        <f t="shared" si="251"/>
        <v>475.76790636945481</v>
      </c>
      <c r="I205" s="97">
        <f t="shared" si="251"/>
        <v>483.1991827961678</v>
      </c>
      <c r="J205" s="97">
        <f t="shared" si="251"/>
        <v>459.59751214854464</v>
      </c>
      <c r="K205" s="97">
        <f t="shared" si="251"/>
        <v>418.87680457682217</v>
      </c>
      <c r="L205" s="97">
        <f t="shared" si="251"/>
        <v>375.48552174517346</v>
      </c>
      <c r="M205" s="97">
        <f t="shared" si="251"/>
        <v>357.06005990077495</v>
      </c>
      <c r="N205" s="97">
        <f t="shared" si="251"/>
        <v>345.51249301826925</v>
      </c>
      <c r="O205" s="97">
        <f t="shared" si="251"/>
        <v>341.56021474304561</v>
      </c>
      <c r="P205" s="97">
        <f t="shared" si="251"/>
        <v>299.65423182426542</v>
      </c>
      <c r="Q205" s="97">
        <f t="shared" si="251"/>
        <v>298.16607755755905</v>
      </c>
      <c r="R205" s="97">
        <f t="shared" si="251"/>
        <v>267.85988035149575</v>
      </c>
      <c r="S205" s="97">
        <f t="shared" si="251"/>
        <v>287.08663222444926</v>
      </c>
      <c r="T205" s="97">
        <f t="shared" si="251"/>
        <v>275.00587544275663</v>
      </c>
      <c r="U205" s="97">
        <f t="shared" si="251"/>
        <v>255.71792134038242</v>
      </c>
      <c r="V205" s="97">
        <f t="shared" si="251"/>
        <v>271.64314218886773</v>
      </c>
      <c r="W205" s="97">
        <f t="shared" ref="W205" si="252">IF(W53=0,0,W53/W23*1000)</f>
        <v>286.35111275223102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188.80965961069651</v>
      </c>
      <c r="C206" s="97">
        <f t="shared" si="253"/>
        <v>188.19889013255582</v>
      </c>
      <c r="D206" s="97">
        <f t="shared" si="253"/>
        <v>167.11419876140025</v>
      </c>
      <c r="E206" s="97">
        <f t="shared" si="253"/>
        <v>166.46327359122529</v>
      </c>
      <c r="F206" s="97">
        <f t="shared" si="253"/>
        <v>199.43563675833749</v>
      </c>
      <c r="G206" s="97">
        <f t="shared" si="253"/>
        <v>221.72227575538417</v>
      </c>
      <c r="H206" s="97">
        <f t="shared" si="253"/>
        <v>226.44341977873705</v>
      </c>
      <c r="I206" s="97">
        <f t="shared" si="253"/>
        <v>221.94235342761337</v>
      </c>
      <c r="J206" s="97">
        <f t="shared" si="253"/>
        <v>257.6446828264161</v>
      </c>
      <c r="K206" s="97">
        <f t="shared" si="253"/>
        <v>258.54903395776938</v>
      </c>
      <c r="L206" s="97">
        <f t="shared" si="253"/>
        <v>227.78308201969341</v>
      </c>
      <c r="M206" s="97">
        <f t="shared" si="253"/>
        <v>212.98035576971819</v>
      </c>
      <c r="N206" s="97">
        <f t="shared" si="253"/>
        <v>191.88073498338917</v>
      </c>
      <c r="O206" s="97">
        <f t="shared" si="253"/>
        <v>201.16780383527532</v>
      </c>
      <c r="P206" s="97">
        <f t="shared" si="253"/>
        <v>157.69942716030803</v>
      </c>
      <c r="Q206" s="97">
        <f t="shared" si="253"/>
        <v>166.67456073524221</v>
      </c>
      <c r="R206" s="97">
        <f t="shared" si="253"/>
        <v>162.40593425842937</v>
      </c>
      <c r="S206" s="97">
        <f t="shared" si="253"/>
        <v>168.0022062116953</v>
      </c>
      <c r="T206" s="97">
        <f t="shared" si="253"/>
        <v>176.11053160436603</v>
      </c>
      <c r="U206" s="97">
        <f t="shared" si="253"/>
        <v>158.56708518752285</v>
      </c>
      <c r="V206" s="97">
        <f t="shared" si="253"/>
        <v>239.77237428184398</v>
      </c>
      <c r="W206" s="97">
        <f t="shared" ref="W206" si="254">IF(W54=0,0,W54/W24*1000)</f>
        <v>215.44272339559242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72.506625243131992</v>
      </c>
      <c r="C207" s="97">
        <f t="shared" si="255"/>
        <v>71.936964422181234</v>
      </c>
      <c r="D207" s="97">
        <f t="shared" si="255"/>
        <v>63.812376746443178</v>
      </c>
      <c r="E207" s="97">
        <f t="shared" si="255"/>
        <v>71.493634242330998</v>
      </c>
      <c r="F207" s="97">
        <f t="shared" si="255"/>
        <v>84.751883322284129</v>
      </c>
      <c r="G207" s="97">
        <f t="shared" si="255"/>
        <v>74.198053194561311</v>
      </c>
      <c r="H207" s="97">
        <f t="shared" si="255"/>
        <v>75.835156696875472</v>
      </c>
      <c r="I207" s="97">
        <f t="shared" si="255"/>
        <v>64.760159093183034</v>
      </c>
      <c r="J207" s="97">
        <f t="shared" si="255"/>
        <v>69.357552705168061</v>
      </c>
      <c r="K207" s="97">
        <f t="shared" si="255"/>
        <v>65.665927375694579</v>
      </c>
      <c r="L207" s="97">
        <f t="shared" si="255"/>
        <v>64.866374879057446</v>
      </c>
      <c r="M207" s="97">
        <f t="shared" si="255"/>
        <v>63.995102262162568</v>
      </c>
      <c r="N207" s="97">
        <f t="shared" si="255"/>
        <v>58.6837101444506</v>
      </c>
      <c r="O207" s="97">
        <f t="shared" si="255"/>
        <v>57.006176875051978</v>
      </c>
      <c r="P207" s="97">
        <f t="shared" si="255"/>
        <v>34.281738132832928</v>
      </c>
      <c r="Q207" s="97">
        <f t="shared" si="255"/>
        <v>29.557633254219841</v>
      </c>
      <c r="R207" s="97">
        <f t="shared" si="255"/>
        <v>24.218945453047127</v>
      </c>
      <c r="S207" s="97">
        <f t="shared" si="255"/>
        <v>21.010613207589731</v>
      </c>
      <c r="T207" s="97">
        <f t="shared" si="255"/>
        <v>20.066346507590641</v>
      </c>
      <c r="U207" s="97">
        <f t="shared" si="255"/>
        <v>21.395102438499514</v>
      </c>
      <c r="V207" s="97">
        <f t="shared" si="255"/>
        <v>47.324281897542583</v>
      </c>
      <c r="W207" s="97">
        <f t="shared" ref="W207" si="256">IF(W55=0,0,W55/W25*1000)</f>
        <v>59.464761513986609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75.518332519523653</v>
      </c>
      <c r="C208" s="130">
        <f t="shared" si="257"/>
        <v>76.862718766501018</v>
      </c>
      <c r="D208" s="130">
        <f t="shared" si="257"/>
        <v>75.783452011404705</v>
      </c>
      <c r="E208" s="130">
        <f t="shared" si="257"/>
        <v>87.345220186446113</v>
      </c>
      <c r="F208" s="130">
        <f t="shared" si="257"/>
        <v>76.93536489476358</v>
      </c>
      <c r="G208" s="130">
        <f t="shared" si="257"/>
        <v>61.677658864369107</v>
      </c>
      <c r="H208" s="130">
        <f t="shared" si="257"/>
        <v>41.343631947137887</v>
      </c>
      <c r="I208" s="130">
        <f t="shared" si="257"/>
        <v>63.901526816065122</v>
      </c>
      <c r="J208" s="130">
        <f t="shared" si="257"/>
        <v>60.094359505481904</v>
      </c>
      <c r="K208" s="130">
        <f t="shared" si="257"/>
        <v>62.938620284078638</v>
      </c>
      <c r="L208" s="130">
        <f t="shared" si="257"/>
        <v>45.767494763799128</v>
      </c>
      <c r="M208" s="130">
        <f t="shared" si="257"/>
        <v>47.644371580215278</v>
      </c>
      <c r="N208" s="130">
        <f t="shared" si="257"/>
        <v>47.030823968036557</v>
      </c>
      <c r="O208" s="130">
        <f t="shared" si="257"/>
        <v>44.435402057796949</v>
      </c>
      <c r="P208" s="130">
        <f t="shared" si="257"/>
        <v>44.781134354584267</v>
      </c>
      <c r="Q208" s="130">
        <f t="shared" si="257"/>
        <v>44.894483599309716</v>
      </c>
      <c r="R208" s="130">
        <f t="shared" si="257"/>
        <v>46.666812829720399</v>
      </c>
      <c r="S208" s="130">
        <f t="shared" si="257"/>
        <v>40.885412574220553</v>
      </c>
      <c r="T208" s="130">
        <f t="shared" si="257"/>
        <v>38.80552820903192</v>
      </c>
      <c r="U208" s="130">
        <f t="shared" si="257"/>
        <v>40.658431032015862</v>
      </c>
      <c r="V208" s="130">
        <f t="shared" si="257"/>
        <v>31.960749041620314</v>
      </c>
      <c r="W208" s="130">
        <f t="shared" ref="W208" si="258">IF(W56=0,0,W56/W26*1000)</f>
        <v>25.4042612134477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75.518332519523653</v>
      </c>
      <c r="C209" s="97">
        <f t="shared" si="259"/>
        <v>76.862718766501018</v>
      </c>
      <c r="D209" s="97">
        <f t="shared" si="259"/>
        <v>75.783452011404705</v>
      </c>
      <c r="E209" s="97">
        <f t="shared" si="259"/>
        <v>87.345220186446113</v>
      </c>
      <c r="F209" s="97">
        <f t="shared" si="259"/>
        <v>76.93536489476358</v>
      </c>
      <c r="G209" s="97">
        <f t="shared" si="259"/>
        <v>61.677658864369107</v>
      </c>
      <c r="H209" s="97">
        <f t="shared" si="259"/>
        <v>41.343631947137887</v>
      </c>
      <c r="I209" s="97">
        <f t="shared" si="259"/>
        <v>63.901526816065122</v>
      </c>
      <c r="J209" s="97">
        <f t="shared" si="259"/>
        <v>60.094359505481904</v>
      </c>
      <c r="K209" s="97">
        <f t="shared" si="259"/>
        <v>62.938620284078638</v>
      </c>
      <c r="L209" s="97">
        <f t="shared" si="259"/>
        <v>45.767494763799128</v>
      </c>
      <c r="M209" s="97">
        <f t="shared" si="259"/>
        <v>47.644371580215278</v>
      </c>
      <c r="N209" s="97">
        <f t="shared" si="259"/>
        <v>47.030823968036557</v>
      </c>
      <c r="O209" s="97">
        <f t="shared" si="259"/>
        <v>44.435402057796949</v>
      </c>
      <c r="P209" s="97">
        <f t="shared" si="259"/>
        <v>44.781134354584267</v>
      </c>
      <c r="Q209" s="97">
        <f t="shared" si="259"/>
        <v>44.894483599309716</v>
      </c>
      <c r="R209" s="97">
        <f t="shared" si="259"/>
        <v>46.831470988686647</v>
      </c>
      <c r="S209" s="97">
        <f t="shared" si="259"/>
        <v>40.926445285634124</v>
      </c>
      <c r="T209" s="97">
        <f t="shared" si="259"/>
        <v>39.121302734292087</v>
      </c>
      <c r="U209" s="97">
        <f t="shared" si="259"/>
        <v>41.062230761118357</v>
      </c>
      <c r="V209" s="97">
        <f t="shared" si="259"/>
        <v>32.461963708471963</v>
      </c>
      <c r="W209" s="97">
        <f t="shared" ref="W209" si="260">IF(W57=0,0,W57/W27*1000)</f>
        <v>26.006242315995337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14.512130850688642</v>
      </c>
      <c r="S210" s="98">
        <f t="shared" si="261"/>
        <v>11.852807885517391</v>
      </c>
      <c r="T210" s="98">
        <f t="shared" si="261"/>
        <v>11.487117638632977</v>
      </c>
      <c r="U210" s="98">
        <f t="shared" si="261"/>
        <v>11.691428942687208</v>
      </c>
      <c r="V210" s="98">
        <f t="shared" si="261"/>
        <v>9.4170396220931991</v>
      </c>
      <c r="W210" s="98">
        <f t="shared" ref="W210:W213" si="262">IF(W58=0,0,W58/W28*1000)</f>
        <v>7.6560735635534556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15.11247148672013</v>
      </c>
      <c r="C211" s="32">
        <f t="shared" si="263"/>
        <v>15.912437781227307</v>
      </c>
      <c r="D211" s="32">
        <f t="shared" si="263"/>
        <v>13.367490728898943</v>
      </c>
      <c r="E211" s="32">
        <f t="shared" si="263"/>
        <v>17.325090927397369</v>
      </c>
      <c r="F211" s="32">
        <f t="shared" si="263"/>
        <v>19.997111408226615</v>
      </c>
      <c r="G211" s="32">
        <f t="shared" si="263"/>
        <v>17.981845080204078</v>
      </c>
      <c r="H211" s="32">
        <f t="shared" si="263"/>
        <v>20.53898751115964</v>
      </c>
      <c r="I211" s="32">
        <f t="shared" si="263"/>
        <v>20.390079741437582</v>
      </c>
      <c r="J211" s="32">
        <f t="shared" si="263"/>
        <v>18.266958142694012</v>
      </c>
      <c r="K211" s="32">
        <f t="shared" si="263"/>
        <v>21.991973534363762</v>
      </c>
      <c r="L211" s="32">
        <f t="shared" si="263"/>
        <v>16.559613075509333</v>
      </c>
      <c r="M211" s="32">
        <f t="shared" si="263"/>
        <v>16.155615103321676</v>
      </c>
      <c r="N211" s="32">
        <f t="shared" si="263"/>
        <v>17.059862991431295</v>
      </c>
      <c r="O211" s="32">
        <f t="shared" si="263"/>
        <v>15.160807887211531</v>
      </c>
      <c r="P211" s="32">
        <f t="shared" si="263"/>
        <v>14.955008251673171</v>
      </c>
      <c r="Q211" s="32">
        <f t="shared" si="263"/>
        <v>15.287846764705089</v>
      </c>
      <c r="R211" s="32">
        <f t="shared" si="263"/>
        <v>17.079126888025691</v>
      </c>
      <c r="S211" s="32">
        <f t="shared" si="263"/>
        <v>22.762757902395002</v>
      </c>
      <c r="T211" s="32">
        <f t="shared" si="263"/>
        <v>17.852589202847515</v>
      </c>
      <c r="U211" s="32">
        <f t="shared" si="263"/>
        <v>19.65910210553632</v>
      </c>
      <c r="V211" s="32">
        <f t="shared" si="263"/>
        <v>23.392209341321955</v>
      </c>
      <c r="W211" s="32">
        <f t="shared" si="262"/>
        <v>28.028116477637276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17.893430463583595</v>
      </c>
      <c r="C212" s="97">
        <f t="shared" si="264"/>
        <v>19.545494035127355</v>
      </c>
      <c r="D212" s="97">
        <f t="shared" si="264"/>
        <v>15.997974965428076</v>
      </c>
      <c r="E212" s="97">
        <f t="shared" si="264"/>
        <v>20.702904445996282</v>
      </c>
      <c r="F212" s="97">
        <f t="shared" si="264"/>
        <v>23.446931676379762</v>
      </c>
      <c r="G212" s="97">
        <f t="shared" si="264"/>
        <v>22.37587703337045</v>
      </c>
      <c r="H212" s="97">
        <f t="shared" si="264"/>
        <v>24.408155712712915</v>
      </c>
      <c r="I212" s="97">
        <f t="shared" si="264"/>
        <v>23.532635701984237</v>
      </c>
      <c r="J212" s="97">
        <f t="shared" si="264"/>
        <v>21.973592916624614</v>
      </c>
      <c r="K212" s="97">
        <f t="shared" si="264"/>
        <v>26.229149648216708</v>
      </c>
      <c r="L212" s="97">
        <f t="shared" si="264"/>
        <v>21.220564529236071</v>
      </c>
      <c r="M212" s="97">
        <f t="shared" si="264"/>
        <v>19.285183626190648</v>
      </c>
      <c r="N212" s="97">
        <f t="shared" si="264"/>
        <v>20.741119424320186</v>
      </c>
      <c r="O212" s="97">
        <f t="shared" si="264"/>
        <v>18.108163853268774</v>
      </c>
      <c r="P212" s="97">
        <f t="shared" si="264"/>
        <v>18.733208012913042</v>
      </c>
      <c r="Q212" s="97">
        <f t="shared" si="264"/>
        <v>19.947935221584924</v>
      </c>
      <c r="R212" s="97">
        <f t="shared" si="264"/>
        <v>21.013087038403679</v>
      </c>
      <c r="S212" s="97">
        <f t="shared" si="264"/>
        <v>25.738065597875966</v>
      </c>
      <c r="T212" s="97">
        <f t="shared" si="264"/>
        <v>19.680161479111614</v>
      </c>
      <c r="U212" s="97">
        <f t="shared" si="264"/>
        <v>22.583596709417684</v>
      </c>
      <c r="V212" s="97">
        <f t="shared" si="264"/>
        <v>25.941416091580404</v>
      </c>
      <c r="W212" s="97">
        <f t="shared" si="262"/>
        <v>26.115672503052899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12.933001709241312</v>
      </c>
      <c r="C213" s="98">
        <f t="shared" si="265"/>
        <v>13.311758444885509</v>
      </c>
      <c r="D213" s="98">
        <f t="shared" si="265"/>
        <v>11.378554853000553</v>
      </c>
      <c r="E213" s="98">
        <f t="shared" si="265"/>
        <v>14.760032924315757</v>
      </c>
      <c r="F213" s="98">
        <f t="shared" si="265"/>
        <v>17.203459621565877</v>
      </c>
      <c r="G213" s="98">
        <f t="shared" si="265"/>
        <v>14.892538613684328</v>
      </c>
      <c r="H213" s="98">
        <f t="shared" si="265"/>
        <v>17.538307644311043</v>
      </c>
      <c r="I213" s="98">
        <f t="shared" si="265"/>
        <v>17.692042405752698</v>
      </c>
      <c r="J213" s="98">
        <f t="shared" si="265"/>
        <v>15.371195519569808</v>
      </c>
      <c r="K213" s="98">
        <f t="shared" si="265"/>
        <v>18.548837828714344</v>
      </c>
      <c r="L213" s="98">
        <f t="shared" si="265"/>
        <v>13.406281450727834</v>
      </c>
      <c r="M213" s="98">
        <f t="shared" si="265"/>
        <v>13.63677863854317</v>
      </c>
      <c r="N213" s="98">
        <f t="shared" si="265"/>
        <v>14.209875308526646</v>
      </c>
      <c r="O213" s="98">
        <f t="shared" si="265"/>
        <v>12.77887446722869</v>
      </c>
      <c r="P213" s="98">
        <f t="shared" si="265"/>
        <v>12.317911196781132</v>
      </c>
      <c r="Q213" s="98">
        <f t="shared" si="265"/>
        <v>12.312151825695638</v>
      </c>
      <c r="R213" s="98">
        <f t="shared" si="265"/>
        <v>14.22778851327428</v>
      </c>
      <c r="S213" s="98">
        <f t="shared" si="265"/>
        <v>20.043221199176649</v>
      </c>
      <c r="T213" s="98">
        <f t="shared" si="265"/>
        <v>16.052751812266489</v>
      </c>
      <c r="U213" s="98">
        <f t="shared" si="265"/>
        <v>17.03039048303528</v>
      </c>
      <c r="V213" s="98">
        <f t="shared" si="265"/>
        <v>21.289068094529036</v>
      </c>
      <c r="W213" s="98">
        <f t="shared" si="262"/>
        <v>30.373975114533675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125.07555963964553</v>
      </c>
      <c r="C216" s="32">
        <f t="shared" si="266"/>
        <v>122.54994546066705</v>
      </c>
      <c r="D216" s="32">
        <f t="shared" si="266"/>
        <v>119.93051885072126</v>
      </c>
      <c r="E216" s="32">
        <f t="shared" si="266"/>
        <v>119.90227865176053</v>
      </c>
      <c r="F216" s="32">
        <f t="shared" si="266"/>
        <v>119.98758305592403</v>
      </c>
      <c r="G216" s="32">
        <f t="shared" si="266"/>
        <v>113.63677309859443</v>
      </c>
      <c r="H216" s="32">
        <f t="shared" si="266"/>
        <v>110.97131882620859</v>
      </c>
      <c r="I216" s="32">
        <f t="shared" si="266"/>
        <v>108.42248589568675</v>
      </c>
      <c r="J216" s="32">
        <f t="shared" si="266"/>
        <v>107.52394932163531</v>
      </c>
      <c r="K216" s="32">
        <f t="shared" si="266"/>
        <v>107.94753617644531</v>
      </c>
      <c r="L216" s="32">
        <f t="shared" si="266"/>
        <v>107.22963366443015</v>
      </c>
      <c r="M216" s="32">
        <f t="shared" si="266"/>
        <v>105.21747018423876</v>
      </c>
      <c r="N216" s="32">
        <f t="shared" si="266"/>
        <v>102.18863867661592</v>
      </c>
      <c r="O216" s="32">
        <f t="shared" si="266"/>
        <v>101.27356093099893</v>
      </c>
      <c r="P216" s="32">
        <f t="shared" si="266"/>
        <v>95.850593431267143</v>
      </c>
      <c r="Q216" s="32">
        <f t="shared" si="266"/>
        <v>95.400316167815959</v>
      </c>
      <c r="R216" s="32">
        <f t="shared" si="266"/>
        <v>105.04150906330418</v>
      </c>
      <c r="S216" s="32">
        <f t="shared" si="266"/>
        <v>99.950095627011194</v>
      </c>
      <c r="T216" s="32">
        <f t="shared" si="266"/>
        <v>96.112518270302587</v>
      </c>
      <c r="U216" s="32">
        <f t="shared" si="266"/>
        <v>95.156201073606169</v>
      </c>
      <c r="V216" s="32">
        <f t="shared" si="266"/>
        <v>101.47363963584475</v>
      </c>
      <c r="W216" s="32">
        <f t="shared" ref="W216" si="267">IF(W4=0,0,W64/W4*1000)</f>
        <v>103.38508887807868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131.85527682412481</v>
      </c>
      <c r="C217" s="141">
        <f t="shared" si="268"/>
        <v>128.48242635288011</v>
      </c>
      <c r="D217" s="141">
        <f t="shared" si="268"/>
        <v>129.15084626107199</v>
      </c>
      <c r="E217" s="141">
        <f t="shared" si="268"/>
        <v>128.45759558150934</v>
      </c>
      <c r="F217" s="141">
        <f t="shared" si="268"/>
        <v>126.05475769296578</v>
      </c>
      <c r="G217" s="141">
        <f t="shared" si="268"/>
        <v>119.92921336793198</v>
      </c>
      <c r="H217" s="141">
        <f t="shared" si="268"/>
        <v>119.55818971931718</v>
      </c>
      <c r="I217" s="141">
        <f t="shared" si="268"/>
        <v>118.33875904105463</v>
      </c>
      <c r="J217" s="141">
        <f t="shared" si="268"/>
        <v>116.05632425980606</v>
      </c>
      <c r="K217" s="141">
        <f t="shared" si="268"/>
        <v>117.11393357694784</v>
      </c>
      <c r="L217" s="141">
        <f t="shared" si="268"/>
        <v>118.21701602824275</v>
      </c>
      <c r="M217" s="141">
        <f t="shared" si="268"/>
        <v>115.65494269295181</v>
      </c>
      <c r="N217" s="141">
        <f t="shared" si="268"/>
        <v>113.44580609112163</v>
      </c>
      <c r="O217" s="141">
        <f t="shared" si="268"/>
        <v>111.26181414172335</v>
      </c>
      <c r="P217" s="141">
        <f t="shared" si="268"/>
        <v>107.2048325724468</v>
      </c>
      <c r="Q217" s="141">
        <f t="shared" si="268"/>
        <v>107.16101189938013</v>
      </c>
      <c r="R217" s="141">
        <f t="shared" si="268"/>
        <v>122.17746906407284</v>
      </c>
      <c r="S217" s="141">
        <f t="shared" si="268"/>
        <v>116.60381850456974</v>
      </c>
      <c r="T217" s="141">
        <f t="shared" si="268"/>
        <v>110.62682864856464</v>
      </c>
      <c r="U217" s="141">
        <f t="shared" si="268"/>
        <v>110.45692308774321</v>
      </c>
      <c r="V217" s="141">
        <f t="shared" si="268"/>
        <v>107.61260519948002</v>
      </c>
      <c r="W217" s="141">
        <f t="shared" ref="W217" si="269">IF(W5=0,0,W65/W5*1000)</f>
        <v>110.19240510090358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137.06972822654285</v>
      </c>
      <c r="C218" s="97">
        <f t="shared" si="270"/>
        <v>134.30674135812166</v>
      </c>
      <c r="D218" s="97">
        <f t="shared" si="270"/>
        <v>131.2962311249604</v>
      </c>
      <c r="E218" s="97">
        <f t="shared" si="270"/>
        <v>128.63307177254353</v>
      </c>
      <c r="F218" s="97">
        <f t="shared" si="270"/>
        <v>125.438533462913</v>
      </c>
      <c r="G218" s="97">
        <f t="shared" si="270"/>
        <v>122.29862107931066</v>
      </c>
      <c r="H218" s="97">
        <f t="shared" si="270"/>
        <v>118.64202576344593</v>
      </c>
      <c r="I218" s="97">
        <f t="shared" si="270"/>
        <v>116.04003474152104</v>
      </c>
      <c r="J218" s="97">
        <f t="shared" si="270"/>
        <v>114.13890314237561</v>
      </c>
      <c r="K218" s="97">
        <f t="shared" si="270"/>
        <v>111.83797262080761</v>
      </c>
      <c r="L218" s="97">
        <f t="shared" si="270"/>
        <v>109.09995309717648</v>
      </c>
      <c r="M218" s="97">
        <f t="shared" si="270"/>
        <v>109.89109547907259</v>
      </c>
      <c r="N218" s="97">
        <f t="shared" si="270"/>
        <v>107.46706390120494</v>
      </c>
      <c r="O218" s="97">
        <f t="shared" si="270"/>
        <v>106.55416963814621</v>
      </c>
      <c r="P218" s="97">
        <f t="shared" si="270"/>
        <v>103.48780825978555</v>
      </c>
      <c r="Q218" s="97">
        <f t="shared" si="270"/>
        <v>103.62986400550466</v>
      </c>
      <c r="R218" s="97">
        <f t="shared" si="270"/>
        <v>102.45808878206725</v>
      </c>
      <c r="S218" s="97">
        <f t="shared" si="270"/>
        <v>100.59428904426778</v>
      </c>
      <c r="T218" s="97">
        <f t="shared" si="270"/>
        <v>97.744968773710312</v>
      </c>
      <c r="U218" s="97">
        <f t="shared" si="270"/>
        <v>97.210067907319385</v>
      </c>
      <c r="V218" s="97">
        <f t="shared" si="270"/>
        <v>95.899486233307471</v>
      </c>
      <c r="W218" s="97">
        <f t="shared" ref="W218" si="271">IF(W6=0,0,W66/W6*1000)</f>
        <v>89.309065348590352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125.17225383877673</v>
      </c>
      <c r="C219" s="97">
        <f t="shared" si="272"/>
        <v>122.18374941273622</v>
      </c>
      <c r="D219" s="97">
        <f t="shared" si="272"/>
        <v>123.53281978361696</v>
      </c>
      <c r="E219" s="97">
        <f t="shared" si="272"/>
        <v>122.68782237469256</v>
      </c>
      <c r="F219" s="97">
        <f t="shared" si="272"/>
        <v>120.29040710063816</v>
      </c>
      <c r="G219" s="97">
        <f t="shared" si="272"/>
        <v>115.42566097127619</v>
      </c>
      <c r="H219" s="97">
        <f t="shared" si="272"/>
        <v>114.67186889508264</v>
      </c>
      <c r="I219" s="97">
        <f t="shared" si="272"/>
        <v>114.40492309018597</v>
      </c>
      <c r="J219" s="97">
        <f t="shared" si="272"/>
        <v>112.17342184770786</v>
      </c>
      <c r="K219" s="97">
        <f t="shared" si="272"/>
        <v>114.13515658864019</v>
      </c>
      <c r="L219" s="97">
        <f t="shared" si="272"/>
        <v>114.85512278645793</v>
      </c>
      <c r="M219" s="97">
        <f t="shared" si="272"/>
        <v>112.77667014379374</v>
      </c>
      <c r="N219" s="97">
        <f t="shared" si="272"/>
        <v>110.43982289059764</v>
      </c>
      <c r="O219" s="97">
        <f t="shared" si="272"/>
        <v>109.19480237959517</v>
      </c>
      <c r="P219" s="97">
        <f t="shared" si="272"/>
        <v>106.06405885315338</v>
      </c>
      <c r="Q219" s="97">
        <f t="shared" si="272"/>
        <v>106.60430762540378</v>
      </c>
      <c r="R219" s="97">
        <f t="shared" si="272"/>
        <v>124.1326863228133</v>
      </c>
      <c r="S219" s="97">
        <f t="shared" si="272"/>
        <v>118.81426697656727</v>
      </c>
      <c r="T219" s="97">
        <f t="shared" si="272"/>
        <v>112.66617492573255</v>
      </c>
      <c r="U219" s="97">
        <f t="shared" si="272"/>
        <v>112.4221820142249</v>
      </c>
      <c r="V219" s="97">
        <f t="shared" si="272"/>
        <v>109.27064595278817</v>
      </c>
      <c r="W219" s="97">
        <f t="shared" ref="W219" si="273">IF(W7=0,0,W67/W7*1000)</f>
        <v>112.28214595858053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206.6840284171432</v>
      </c>
      <c r="C220" s="97">
        <f t="shared" si="274"/>
        <v>199.76870935038238</v>
      </c>
      <c r="D220" s="97">
        <f t="shared" si="274"/>
        <v>193.38191911489685</v>
      </c>
      <c r="E220" s="97">
        <f t="shared" si="274"/>
        <v>194.83600305009938</v>
      </c>
      <c r="F220" s="97">
        <f t="shared" si="274"/>
        <v>193.59133725589632</v>
      </c>
      <c r="G220" s="97">
        <f t="shared" si="274"/>
        <v>172.29765918296263</v>
      </c>
      <c r="H220" s="97">
        <f t="shared" si="274"/>
        <v>176.25649868851764</v>
      </c>
      <c r="I220" s="97">
        <f t="shared" si="274"/>
        <v>164.59696064839247</v>
      </c>
      <c r="J220" s="97">
        <f t="shared" si="274"/>
        <v>162.60078385693041</v>
      </c>
      <c r="K220" s="97">
        <f t="shared" si="274"/>
        <v>152.71094851127526</v>
      </c>
      <c r="L220" s="97">
        <f t="shared" si="274"/>
        <v>157.7443286463463</v>
      </c>
      <c r="M220" s="97">
        <f t="shared" si="274"/>
        <v>148.65367222711549</v>
      </c>
      <c r="N220" s="97">
        <f t="shared" si="274"/>
        <v>148.0815105852565</v>
      </c>
      <c r="O220" s="97">
        <f t="shared" si="274"/>
        <v>134.6786070520788</v>
      </c>
      <c r="P220" s="97">
        <f t="shared" si="274"/>
        <v>120.48345484747504</v>
      </c>
      <c r="Q220" s="97">
        <f t="shared" si="274"/>
        <v>113.7750550133032</v>
      </c>
      <c r="R220" s="97">
        <f t="shared" si="274"/>
        <v>105.19871245402707</v>
      </c>
      <c r="S220" s="97">
        <f t="shared" si="274"/>
        <v>96.698565089300999</v>
      </c>
      <c r="T220" s="97">
        <f t="shared" si="274"/>
        <v>91.896860468738268</v>
      </c>
      <c r="U220" s="97">
        <f t="shared" si="274"/>
        <v>92.810478674594805</v>
      </c>
      <c r="V220" s="97">
        <f t="shared" si="274"/>
        <v>91.908409338504228</v>
      </c>
      <c r="W220" s="97">
        <f t="shared" ref="W220" si="275">IF(W8=0,0,W68/W8*1000)</f>
        <v>90.853634973352584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2.8470667633929279</v>
      </c>
      <c r="C221" s="130">
        <f t="shared" si="276"/>
        <v>3.0711716450852813</v>
      </c>
      <c r="D221" s="130">
        <f t="shared" si="276"/>
        <v>4.2058251155862436</v>
      </c>
      <c r="E221" s="130">
        <f t="shared" si="276"/>
        <v>3.3593378150877435</v>
      </c>
      <c r="F221" s="130">
        <f t="shared" si="276"/>
        <v>1.860733124439109</v>
      </c>
      <c r="G221" s="130">
        <f t="shared" si="276"/>
        <v>1.4595789727274735</v>
      </c>
      <c r="H221" s="130">
        <f t="shared" si="276"/>
        <v>1.9453085795730833</v>
      </c>
      <c r="I221" s="130">
        <f t="shared" si="276"/>
        <v>1.7296311921628704</v>
      </c>
      <c r="J221" s="130">
        <f t="shared" si="276"/>
        <v>2.0350561187489902</v>
      </c>
      <c r="K221" s="130">
        <f t="shared" si="276"/>
        <v>1.9970996199684707</v>
      </c>
      <c r="L221" s="130">
        <f t="shared" si="276"/>
        <v>1.7472708450498937</v>
      </c>
      <c r="M221" s="130">
        <f t="shared" si="276"/>
        <v>1.3432404429036753</v>
      </c>
      <c r="N221" s="130">
        <f t="shared" si="276"/>
        <v>1.7819463622704073</v>
      </c>
      <c r="O221" s="130">
        <f t="shared" si="276"/>
        <v>1.3143873252673204</v>
      </c>
      <c r="P221" s="130">
        <f t="shared" si="276"/>
        <v>1.3637554428816514</v>
      </c>
      <c r="Q221" s="130">
        <f t="shared" si="276"/>
        <v>1.1852682362496112</v>
      </c>
      <c r="R221" s="130">
        <f t="shared" si="276"/>
        <v>1.1451164534020137</v>
      </c>
      <c r="S221" s="130">
        <f t="shared" si="276"/>
        <v>1.1995321824144838</v>
      </c>
      <c r="T221" s="130">
        <f t="shared" si="276"/>
        <v>1.1939915142551878</v>
      </c>
      <c r="U221" s="130">
        <f t="shared" si="276"/>
        <v>1.2775535721896105</v>
      </c>
      <c r="V221" s="130">
        <f t="shared" si="276"/>
        <v>2.1914377315645779</v>
      </c>
      <c r="W221" s="130">
        <f t="shared" ref="W221" si="277">IF(W9=0,0,W69/W9*1000)</f>
        <v>2.003329662250986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4.6983953608283873</v>
      </c>
      <c r="C223" s="97">
        <f t="shared" si="280"/>
        <v>5.0625939354726324</v>
      </c>
      <c r="D223" s="97">
        <f t="shared" si="280"/>
        <v>7.0488435427322189</v>
      </c>
      <c r="E223" s="97">
        <f t="shared" si="280"/>
        <v>5.6535452069894445</v>
      </c>
      <c r="F223" s="97">
        <f t="shared" si="280"/>
        <v>3.1906840375926251</v>
      </c>
      <c r="G223" s="97">
        <f t="shared" si="280"/>
        <v>2.4231672793426928</v>
      </c>
      <c r="H223" s="97">
        <f t="shared" si="280"/>
        <v>3.2087901868193023</v>
      </c>
      <c r="I223" s="97">
        <f t="shared" si="280"/>
        <v>2.8800230844656936</v>
      </c>
      <c r="J223" s="97">
        <f t="shared" si="280"/>
        <v>3.3405967806543089</v>
      </c>
      <c r="K223" s="97">
        <f t="shared" si="280"/>
        <v>3.2741713029588269</v>
      </c>
      <c r="L223" s="97">
        <f t="shared" si="280"/>
        <v>2.857005270278747</v>
      </c>
      <c r="M223" s="97">
        <f t="shared" si="280"/>
        <v>2.1548077217253887</v>
      </c>
      <c r="N223" s="97">
        <f t="shared" si="280"/>
        <v>2.8540558821302935</v>
      </c>
      <c r="O223" s="97">
        <f t="shared" si="280"/>
        <v>2.1376930995101033</v>
      </c>
      <c r="P223" s="97">
        <f t="shared" si="280"/>
        <v>2.2334121522690169</v>
      </c>
      <c r="Q223" s="97">
        <f t="shared" si="280"/>
        <v>1.9266676765180326</v>
      </c>
      <c r="R223" s="97">
        <f t="shared" si="280"/>
        <v>1.893331292415305</v>
      </c>
      <c r="S223" s="97">
        <f t="shared" si="280"/>
        <v>1.9704045657056257</v>
      </c>
      <c r="T223" s="97">
        <f t="shared" si="280"/>
        <v>1.9396406442669072</v>
      </c>
      <c r="U223" s="97">
        <f t="shared" si="280"/>
        <v>2.0648040891943866</v>
      </c>
      <c r="V223" s="97">
        <f t="shared" si="280"/>
        <v>3.3980957527672508</v>
      </c>
      <c r="W223" s="97">
        <f t="shared" ref="W223" si="281">IF(W11=0,0,W71/W11*1000)</f>
        <v>3.1652477038752034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150.56229214782275</v>
      </c>
      <c r="C225" s="130">
        <f t="shared" si="284"/>
        <v>154.78680924903807</v>
      </c>
      <c r="D225" s="130">
        <f t="shared" si="284"/>
        <v>130.88707345154941</v>
      </c>
      <c r="E225" s="130">
        <f t="shared" si="284"/>
        <v>136.63787788948807</v>
      </c>
      <c r="F225" s="130">
        <f t="shared" si="284"/>
        <v>152.61961256083177</v>
      </c>
      <c r="G225" s="130">
        <f t="shared" si="284"/>
        <v>140.1900995558872</v>
      </c>
      <c r="H225" s="130">
        <f t="shared" si="284"/>
        <v>123.67535471052315</v>
      </c>
      <c r="I225" s="130">
        <f t="shared" si="284"/>
        <v>114.47995715710742</v>
      </c>
      <c r="J225" s="130">
        <f t="shared" si="284"/>
        <v>124.40486015016343</v>
      </c>
      <c r="K225" s="130">
        <f t="shared" si="284"/>
        <v>124.2734129748454</v>
      </c>
      <c r="L225" s="130">
        <f t="shared" si="284"/>
        <v>112.5194834423438</v>
      </c>
      <c r="M225" s="130">
        <f t="shared" si="284"/>
        <v>112.52378601193566</v>
      </c>
      <c r="N225" s="130">
        <f t="shared" si="284"/>
        <v>105.68612211714171</v>
      </c>
      <c r="O225" s="130">
        <f t="shared" si="284"/>
        <v>110.40632867384377</v>
      </c>
      <c r="P225" s="130">
        <f t="shared" si="284"/>
        <v>96.010813040017169</v>
      </c>
      <c r="Q225" s="130">
        <f t="shared" si="284"/>
        <v>95.240211348346961</v>
      </c>
      <c r="R225" s="130">
        <f t="shared" si="284"/>
        <v>98.985030242660514</v>
      </c>
      <c r="S225" s="130">
        <f t="shared" si="284"/>
        <v>94.376163516119021</v>
      </c>
      <c r="T225" s="130">
        <f t="shared" si="284"/>
        <v>95.87412758363412</v>
      </c>
      <c r="U225" s="130">
        <f t="shared" si="284"/>
        <v>95.067503527512741</v>
      </c>
      <c r="V225" s="130">
        <f t="shared" si="284"/>
        <v>146.29364397531376</v>
      </c>
      <c r="W225" s="130">
        <f t="shared" ref="W225" si="285">IF(W13=0,0,W73/W13*1000)</f>
        <v>136.17532581261378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192.43571790201145</v>
      </c>
      <c r="C226" s="97">
        <f t="shared" si="286"/>
        <v>194.80152330953746</v>
      </c>
      <c r="D226" s="97">
        <f t="shared" si="286"/>
        <v>173.4594338213185</v>
      </c>
      <c r="E226" s="97">
        <f t="shared" si="286"/>
        <v>183.25626928090924</v>
      </c>
      <c r="F226" s="97">
        <f t="shared" si="286"/>
        <v>203.4803656035937</v>
      </c>
      <c r="G226" s="97">
        <f t="shared" si="286"/>
        <v>200.06779007624411</v>
      </c>
      <c r="H226" s="97">
        <f t="shared" si="286"/>
        <v>190.05931670583962</v>
      </c>
      <c r="I226" s="97">
        <f t="shared" si="286"/>
        <v>188.16246630114452</v>
      </c>
      <c r="J226" s="97">
        <f t="shared" si="286"/>
        <v>176.89782187805577</v>
      </c>
      <c r="K226" s="97">
        <f t="shared" si="286"/>
        <v>172.97963960291804</v>
      </c>
      <c r="L226" s="97">
        <f t="shared" si="286"/>
        <v>159.32168077895668</v>
      </c>
      <c r="M226" s="97">
        <f t="shared" si="286"/>
        <v>158.42040252547574</v>
      </c>
      <c r="N226" s="97">
        <f t="shared" si="286"/>
        <v>147.94605787819984</v>
      </c>
      <c r="O226" s="97">
        <f t="shared" si="286"/>
        <v>148.6103139706305</v>
      </c>
      <c r="P226" s="97">
        <f t="shared" si="286"/>
        <v>141.73308209768277</v>
      </c>
      <c r="Q226" s="97">
        <f t="shared" si="286"/>
        <v>139.93830292198459</v>
      </c>
      <c r="R226" s="97">
        <f t="shared" si="286"/>
        <v>142.00851715063021</v>
      </c>
      <c r="S226" s="97">
        <f t="shared" si="286"/>
        <v>136.77949519038319</v>
      </c>
      <c r="T226" s="97">
        <f t="shared" si="286"/>
        <v>133.61692933022803</v>
      </c>
      <c r="U226" s="97">
        <f t="shared" si="286"/>
        <v>133.51700596199845</v>
      </c>
      <c r="V226" s="97">
        <f t="shared" si="286"/>
        <v>168.39617927146509</v>
      </c>
      <c r="W226" s="97">
        <f t="shared" ref="W226" si="287">IF(W14=0,0,W74/W14*1000)</f>
        <v>175.19939312997167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142.29753945752068</v>
      </c>
      <c r="C227" s="97">
        <f t="shared" si="288"/>
        <v>144.20474529929379</v>
      </c>
      <c r="D227" s="97">
        <f t="shared" si="288"/>
        <v>117.13366107937588</v>
      </c>
      <c r="E227" s="97">
        <f t="shared" si="288"/>
        <v>126.87661052940058</v>
      </c>
      <c r="F227" s="97">
        <f t="shared" si="288"/>
        <v>149.26607489206464</v>
      </c>
      <c r="G227" s="97">
        <f t="shared" si="288"/>
        <v>144.19167734062512</v>
      </c>
      <c r="H227" s="97">
        <f t="shared" si="288"/>
        <v>122.46127176321951</v>
      </c>
      <c r="I227" s="97">
        <f t="shared" si="288"/>
        <v>119.05918461507196</v>
      </c>
      <c r="J227" s="97">
        <f t="shared" si="288"/>
        <v>143.98207082077491</v>
      </c>
      <c r="K227" s="97">
        <f t="shared" si="288"/>
        <v>145.30234242107616</v>
      </c>
      <c r="L227" s="97">
        <f t="shared" si="288"/>
        <v>130.61866003203983</v>
      </c>
      <c r="M227" s="97">
        <f t="shared" si="288"/>
        <v>125.79814489741911</v>
      </c>
      <c r="N227" s="97">
        <f t="shared" si="288"/>
        <v>115.61254343294939</v>
      </c>
      <c r="O227" s="97">
        <f t="shared" si="288"/>
        <v>120.8942429489103</v>
      </c>
      <c r="P227" s="97">
        <f t="shared" si="288"/>
        <v>105.63172290655105</v>
      </c>
      <c r="Q227" s="97">
        <f t="shared" si="288"/>
        <v>105.73934051155719</v>
      </c>
      <c r="R227" s="97">
        <f t="shared" si="288"/>
        <v>109.1216442272426</v>
      </c>
      <c r="S227" s="97">
        <f t="shared" si="288"/>
        <v>104.0582759590103</v>
      </c>
      <c r="T227" s="97">
        <f t="shared" si="288"/>
        <v>110.49603462371795</v>
      </c>
      <c r="U227" s="97">
        <f t="shared" si="288"/>
        <v>108.05240298974628</v>
      </c>
      <c r="V227" s="97">
        <f t="shared" si="288"/>
        <v>166.86365526703491</v>
      </c>
      <c r="W227" s="97">
        <f t="shared" ref="W227" si="289">IF(W15=0,0,W75/W15*1000)</f>
        <v>136.03135141634348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134.75009704333067</v>
      </c>
      <c r="C228" s="97">
        <f t="shared" si="290"/>
        <v>145.34624982349126</v>
      </c>
      <c r="D228" s="97">
        <f t="shared" si="290"/>
        <v>125.99682968342465</v>
      </c>
      <c r="E228" s="97">
        <f t="shared" si="290"/>
        <v>117.37285079810907</v>
      </c>
      <c r="F228" s="97">
        <f t="shared" si="290"/>
        <v>118.92889135236287</v>
      </c>
      <c r="G228" s="97">
        <f t="shared" si="290"/>
        <v>93.356280806582149</v>
      </c>
      <c r="H228" s="97">
        <f t="shared" si="290"/>
        <v>86.557046896313153</v>
      </c>
      <c r="I228" s="97">
        <f t="shared" si="290"/>
        <v>70.341946804965076</v>
      </c>
      <c r="J228" s="97">
        <f t="shared" si="290"/>
        <v>73.730029300052209</v>
      </c>
      <c r="K228" s="97">
        <f t="shared" si="290"/>
        <v>75.779416576071597</v>
      </c>
      <c r="L228" s="97">
        <f t="shared" si="290"/>
        <v>68.999332930937726</v>
      </c>
      <c r="M228" s="97">
        <f t="shared" si="290"/>
        <v>72.339322849416035</v>
      </c>
      <c r="N228" s="97">
        <f t="shared" si="290"/>
        <v>70.983024912992278</v>
      </c>
      <c r="O228" s="97">
        <f t="shared" si="290"/>
        <v>76.720480728699982</v>
      </c>
      <c r="P228" s="97">
        <f t="shared" si="290"/>
        <v>62.657699731252556</v>
      </c>
      <c r="Q228" s="97">
        <f t="shared" si="290"/>
        <v>61.782148973867692</v>
      </c>
      <c r="R228" s="97">
        <f t="shared" si="290"/>
        <v>64.948556486115166</v>
      </c>
      <c r="S228" s="97">
        <f t="shared" si="290"/>
        <v>61.634292039034079</v>
      </c>
      <c r="T228" s="97">
        <f t="shared" si="290"/>
        <v>60.493599284792779</v>
      </c>
      <c r="U228" s="97">
        <f t="shared" si="290"/>
        <v>62.712460296591239</v>
      </c>
      <c r="V228" s="97">
        <f t="shared" si="290"/>
        <v>109.82638635620033</v>
      </c>
      <c r="W228" s="97">
        <f t="shared" ref="W228" si="291">IF(W16=0,0,W76/W16*1000)</f>
        <v>118.35182018751398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93.321126193135356</v>
      </c>
      <c r="C229" s="32">
        <f t="shared" si="292"/>
        <v>97.843938690693363</v>
      </c>
      <c r="D229" s="32">
        <f t="shared" si="292"/>
        <v>93.701953207392165</v>
      </c>
      <c r="E229" s="32">
        <f t="shared" si="292"/>
        <v>97.412683870950104</v>
      </c>
      <c r="F229" s="32">
        <f t="shared" si="292"/>
        <v>100.16735350285278</v>
      </c>
      <c r="G229" s="32">
        <f t="shared" si="292"/>
        <v>90.990055008849453</v>
      </c>
      <c r="H229" s="32">
        <f t="shared" si="292"/>
        <v>88.977546329725428</v>
      </c>
      <c r="I229" s="32">
        <f t="shared" si="292"/>
        <v>88.317288037333967</v>
      </c>
      <c r="J229" s="32">
        <f t="shared" si="292"/>
        <v>87.422740256513848</v>
      </c>
      <c r="K229" s="32">
        <f t="shared" si="292"/>
        <v>93.457725291678031</v>
      </c>
      <c r="L229" s="32">
        <f t="shared" si="292"/>
        <v>91.026970578589101</v>
      </c>
      <c r="M229" s="32">
        <f t="shared" si="292"/>
        <v>88.50574467462954</v>
      </c>
      <c r="N229" s="32">
        <f t="shared" si="292"/>
        <v>84.015712841416615</v>
      </c>
      <c r="O229" s="32">
        <f t="shared" si="292"/>
        <v>79.001035193107427</v>
      </c>
      <c r="P229" s="32">
        <f t="shared" si="292"/>
        <v>67.37325168176605</v>
      </c>
      <c r="Q229" s="32">
        <f t="shared" si="292"/>
        <v>65.760577026066613</v>
      </c>
      <c r="R229" s="32">
        <f t="shared" si="292"/>
        <v>57.152254779876188</v>
      </c>
      <c r="S229" s="32">
        <f t="shared" si="292"/>
        <v>55.895800232369297</v>
      </c>
      <c r="T229" s="32">
        <f t="shared" si="292"/>
        <v>49.619309681678679</v>
      </c>
      <c r="U229" s="32">
        <f t="shared" si="292"/>
        <v>51.729801412170922</v>
      </c>
      <c r="V229" s="32">
        <f t="shared" si="292"/>
        <v>51.935560761084972</v>
      </c>
      <c r="W229" s="32">
        <f t="shared" ref="W229" si="293">IF(W17=0,0,W77/W17*1000)</f>
        <v>49.230409770261389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129.74459976354552</v>
      </c>
      <c r="C230" s="141">
        <f t="shared" si="294"/>
        <v>136.18881244774278</v>
      </c>
      <c r="D230" s="141">
        <f t="shared" si="294"/>
        <v>128.71275848913865</v>
      </c>
      <c r="E230" s="141">
        <f t="shared" si="294"/>
        <v>134.49105162164571</v>
      </c>
      <c r="F230" s="141">
        <f t="shared" si="294"/>
        <v>139.03380519308826</v>
      </c>
      <c r="G230" s="141">
        <f t="shared" si="294"/>
        <v>125.94666880460076</v>
      </c>
      <c r="H230" s="141">
        <f t="shared" si="294"/>
        <v>124.62433042298369</v>
      </c>
      <c r="I230" s="141">
        <f t="shared" si="294"/>
        <v>122.53254026336563</v>
      </c>
      <c r="J230" s="141">
        <f t="shared" si="294"/>
        <v>119.98749464696812</v>
      </c>
      <c r="K230" s="141">
        <f t="shared" si="294"/>
        <v>130.67164399032904</v>
      </c>
      <c r="L230" s="141">
        <f t="shared" si="294"/>
        <v>133.1717441114956</v>
      </c>
      <c r="M230" s="141">
        <f t="shared" si="294"/>
        <v>127.25244005244252</v>
      </c>
      <c r="N230" s="141">
        <f t="shared" si="294"/>
        <v>122.31242475420981</v>
      </c>
      <c r="O230" s="141">
        <f t="shared" si="294"/>
        <v>111.14748298735779</v>
      </c>
      <c r="P230" s="141">
        <f t="shared" si="294"/>
        <v>90.007230874113944</v>
      </c>
      <c r="Q230" s="141">
        <f t="shared" si="294"/>
        <v>86.782867810416676</v>
      </c>
      <c r="R230" s="141">
        <f t="shared" si="294"/>
        <v>73.990528086479401</v>
      </c>
      <c r="S230" s="141">
        <f t="shared" si="294"/>
        <v>73.442927988357923</v>
      </c>
      <c r="T230" s="141">
        <f t="shared" si="294"/>
        <v>64.329989700194517</v>
      </c>
      <c r="U230" s="141">
        <f t="shared" si="294"/>
        <v>67.374913346465931</v>
      </c>
      <c r="V230" s="141">
        <f t="shared" si="294"/>
        <v>69.101082202613938</v>
      </c>
      <c r="W230" s="141">
        <f t="shared" ref="W230" si="295">IF(W18=0,0,W78/W18*1000)</f>
        <v>65.774756552648398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1713.6136703660873</v>
      </c>
      <c r="C231" s="97">
        <f t="shared" si="296"/>
        <v>1608.0151976906632</v>
      </c>
      <c r="D231" s="97">
        <f t="shared" si="296"/>
        <v>1543.3101434520104</v>
      </c>
      <c r="E231" s="97">
        <f t="shared" si="296"/>
        <v>1537.7975739505541</v>
      </c>
      <c r="F231" s="97">
        <f t="shared" si="296"/>
        <v>1548.5035910922725</v>
      </c>
      <c r="G231" s="97">
        <f t="shared" si="296"/>
        <v>1431.3062943065886</v>
      </c>
      <c r="H231" s="97">
        <f t="shared" si="296"/>
        <v>1412.6342395178854</v>
      </c>
      <c r="I231" s="97">
        <f t="shared" si="296"/>
        <v>1359.2713092713213</v>
      </c>
      <c r="J231" s="97">
        <f t="shared" si="296"/>
        <v>1330.6366892632964</v>
      </c>
      <c r="K231" s="97">
        <f t="shared" si="296"/>
        <v>1293.9224523657431</v>
      </c>
      <c r="L231" s="97">
        <f t="shared" si="296"/>
        <v>1311.0422377190564</v>
      </c>
      <c r="M231" s="97">
        <f t="shared" si="296"/>
        <v>1267.3955458876565</v>
      </c>
      <c r="N231" s="97">
        <f t="shared" si="296"/>
        <v>1185.3334578685462</v>
      </c>
      <c r="O231" s="97">
        <f t="shared" si="296"/>
        <v>1107.0615756004615</v>
      </c>
      <c r="P231" s="97">
        <f t="shared" si="296"/>
        <v>991.41090723284958</v>
      </c>
      <c r="Q231" s="97">
        <f t="shared" si="296"/>
        <v>944.46262206785116</v>
      </c>
      <c r="R231" s="97">
        <f t="shared" si="296"/>
        <v>842.01733889523553</v>
      </c>
      <c r="S231" s="97">
        <f t="shared" si="296"/>
        <v>791.667456407597</v>
      </c>
      <c r="T231" s="97">
        <f t="shared" si="296"/>
        <v>731.08865689787535</v>
      </c>
      <c r="U231" s="97">
        <f t="shared" si="296"/>
        <v>741.18011841449413</v>
      </c>
      <c r="V231" s="97">
        <f t="shared" si="296"/>
        <v>745.48741109231196</v>
      </c>
      <c r="W231" s="97">
        <f t="shared" ref="W231" si="297">IF(W19=0,0,W79/W19*1000)</f>
        <v>739.94691296417636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101.38801544325348</v>
      </c>
      <c r="C232" s="97">
        <f t="shared" si="298"/>
        <v>104.15319393044977</v>
      </c>
      <c r="D232" s="97">
        <f t="shared" si="298"/>
        <v>96.835684303968137</v>
      </c>
      <c r="E232" s="97">
        <f t="shared" si="298"/>
        <v>99.731792976150643</v>
      </c>
      <c r="F232" s="97">
        <f t="shared" si="298"/>
        <v>102.55811778096995</v>
      </c>
      <c r="G232" s="97">
        <f t="shared" si="298"/>
        <v>94.720625646327804</v>
      </c>
      <c r="H232" s="97">
        <f t="shared" si="298"/>
        <v>92.459983628664105</v>
      </c>
      <c r="I232" s="97">
        <f t="shared" si="298"/>
        <v>90.656341119532513</v>
      </c>
      <c r="J232" s="97">
        <f t="shared" si="298"/>
        <v>88.43841042777467</v>
      </c>
      <c r="K232" s="97">
        <f t="shared" si="298"/>
        <v>93.91187824104027</v>
      </c>
      <c r="L232" s="97">
        <f t="shared" si="298"/>
        <v>95.300678843218165</v>
      </c>
      <c r="M232" s="97">
        <f t="shared" si="298"/>
        <v>89.243030457277214</v>
      </c>
      <c r="N232" s="97">
        <f t="shared" si="298"/>
        <v>83.37949220644677</v>
      </c>
      <c r="O232" s="97">
        <f t="shared" si="298"/>
        <v>75.172756502630108</v>
      </c>
      <c r="P232" s="97">
        <f t="shared" si="298"/>
        <v>61.560820839757127</v>
      </c>
      <c r="Q232" s="97">
        <f t="shared" si="298"/>
        <v>58.44589206351209</v>
      </c>
      <c r="R232" s="97">
        <f t="shared" si="298"/>
        <v>48.696168168919186</v>
      </c>
      <c r="S232" s="97">
        <f t="shared" si="298"/>
        <v>47.658982585872785</v>
      </c>
      <c r="T232" s="97">
        <f t="shared" si="298"/>
        <v>41.524131250520639</v>
      </c>
      <c r="U232" s="97">
        <f t="shared" si="298"/>
        <v>43.32163328860527</v>
      </c>
      <c r="V232" s="97">
        <f t="shared" si="298"/>
        <v>45.045332396135088</v>
      </c>
      <c r="W232" s="97">
        <f t="shared" ref="W232" si="299">IF(W20=0,0,W80/W20*1000)</f>
        <v>43.566174375904517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2.4318372921338791</v>
      </c>
      <c r="C233" s="130">
        <f t="shared" si="300"/>
        <v>2.2970937728052396</v>
      </c>
      <c r="D233" s="130">
        <f t="shared" si="300"/>
        <v>2.1006093904737355</v>
      </c>
      <c r="E233" s="130">
        <f t="shared" si="300"/>
        <v>2.1458879771060935</v>
      </c>
      <c r="F233" s="130">
        <f t="shared" si="300"/>
        <v>2.2579440850822126</v>
      </c>
      <c r="G233" s="130">
        <f t="shared" si="300"/>
        <v>2.2939792932837406</v>
      </c>
      <c r="H233" s="130">
        <f t="shared" si="300"/>
        <v>2.0976441173965612</v>
      </c>
      <c r="I233" s="130">
        <f t="shared" si="300"/>
        <v>1.9458431221371966</v>
      </c>
      <c r="J233" s="130">
        <f t="shared" si="300"/>
        <v>1.9138277617581916</v>
      </c>
      <c r="K233" s="130">
        <f t="shared" si="300"/>
        <v>1.7868434348534776</v>
      </c>
      <c r="L233" s="130">
        <f t="shared" si="300"/>
        <v>1.6176828263192418</v>
      </c>
      <c r="M233" s="130">
        <f t="shared" si="300"/>
        <v>1.8359875369053735</v>
      </c>
      <c r="N233" s="130">
        <f t="shared" si="300"/>
        <v>1.5724397014217517</v>
      </c>
      <c r="O233" s="130">
        <f t="shared" si="300"/>
        <v>1.6532884851981275</v>
      </c>
      <c r="P233" s="130">
        <f t="shared" si="300"/>
        <v>1.3070006897948729</v>
      </c>
      <c r="Q233" s="130">
        <f t="shared" si="300"/>
        <v>1.3756597045735015</v>
      </c>
      <c r="R233" s="130">
        <f t="shared" si="300"/>
        <v>1.2718682241419115</v>
      </c>
      <c r="S233" s="130">
        <f t="shared" si="300"/>
        <v>1.0192677181693099</v>
      </c>
      <c r="T233" s="130">
        <f t="shared" si="300"/>
        <v>1.0892105265363052</v>
      </c>
      <c r="U233" s="130">
        <f t="shared" si="300"/>
        <v>0.99189461507081922</v>
      </c>
      <c r="V233" s="130">
        <f t="shared" si="300"/>
        <v>0.98042432466871221</v>
      </c>
      <c r="W233" s="130">
        <f t="shared" ref="W233" si="301">IF(W21=0,0,W81/W21*1000)</f>
        <v>0.68555895683431134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313.60935780015558</v>
      </c>
      <c r="C234" s="130">
        <f t="shared" si="302"/>
        <v>281.04458987318048</v>
      </c>
      <c r="D234" s="130">
        <f t="shared" si="302"/>
        <v>248.12279529137206</v>
      </c>
      <c r="E234" s="130">
        <f t="shared" si="302"/>
        <v>264.10058472099485</v>
      </c>
      <c r="F234" s="130">
        <f t="shared" si="302"/>
        <v>322.53036922823372</v>
      </c>
      <c r="G234" s="130">
        <f t="shared" si="302"/>
        <v>293.77075599028888</v>
      </c>
      <c r="H234" s="130">
        <f t="shared" si="302"/>
        <v>303.96035892304047</v>
      </c>
      <c r="I234" s="130">
        <f t="shared" si="302"/>
        <v>279.17658970485161</v>
      </c>
      <c r="J234" s="130">
        <f t="shared" si="302"/>
        <v>300.19465781581476</v>
      </c>
      <c r="K234" s="130">
        <f t="shared" si="302"/>
        <v>289.04174072247315</v>
      </c>
      <c r="L234" s="130">
        <f t="shared" si="302"/>
        <v>265.15677180263452</v>
      </c>
      <c r="M234" s="130">
        <f t="shared" si="302"/>
        <v>251.15786357474184</v>
      </c>
      <c r="N234" s="130">
        <f t="shared" si="302"/>
        <v>235.05039858500635</v>
      </c>
      <c r="O234" s="130">
        <f t="shared" si="302"/>
        <v>252.67283789620097</v>
      </c>
      <c r="P234" s="130">
        <f t="shared" si="302"/>
        <v>178.96174471943084</v>
      </c>
      <c r="Q234" s="130">
        <f t="shared" si="302"/>
        <v>176.48710768895162</v>
      </c>
      <c r="R234" s="130">
        <f t="shared" si="302"/>
        <v>165.68565162838448</v>
      </c>
      <c r="S234" s="130">
        <f t="shared" si="302"/>
        <v>176.83157711727867</v>
      </c>
      <c r="T234" s="130">
        <f t="shared" si="302"/>
        <v>189.77072812723708</v>
      </c>
      <c r="U234" s="130">
        <f t="shared" si="302"/>
        <v>257.90120683158199</v>
      </c>
      <c r="V234" s="130">
        <f t="shared" si="302"/>
        <v>429.46408633667744</v>
      </c>
      <c r="W234" s="130">
        <f t="shared" ref="W234" si="303">IF(W22=0,0,W82/W22*1000)</f>
        <v>460.03452631104955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1277.9239556739117</v>
      </c>
      <c r="C235" s="97">
        <f t="shared" si="304"/>
        <v>1332.7031174634978</v>
      </c>
      <c r="D235" s="97">
        <f t="shared" si="304"/>
        <v>1154.5516172799842</v>
      </c>
      <c r="E235" s="97">
        <f t="shared" si="304"/>
        <v>1121.8418843403306</v>
      </c>
      <c r="F235" s="97">
        <f t="shared" si="304"/>
        <v>1297.9025717174438</v>
      </c>
      <c r="G235" s="97">
        <f t="shared" si="304"/>
        <v>1417.78988249603</v>
      </c>
      <c r="H235" s="97">
        <f t="shared" si="304"/>
        <v>1431.6529499946703</v>
      </c>
      <c r="I235" s="97">
        <f t="shared" si="304"/>
        <v>1454.0450641352072</v>
      </c>
      <c r="J235" s="97">
        <f t="shared" si="304"/>
        <v>1383.0345231705016</v>
      </c>
      <c r="K235" s="97">
        <f t="shared" si="304"/>
        <v>1260.4179567749172</v>
      </c>
      <c r="L235" s="97">
        <f t="shared" si="304"/>
        <v>1129.8455273071143</v>
      </c>
      <c r="M235" s="97">
        <f t="shared" si="304"/>
        <v>1074.4291339537488</v>
      </c>
      <c r="N235" s="97">
        <f t="shared" si="304"/>
        <v>1039.7647713142646</v>
      </c>
      <c r="O235" s="97">
        <f t="shared" si="304"/>
        <v>1027.8569010811423</v>
      </c>
      <c r="P235" s="97">
        <f t="shared" si="304"/>
        <v>901.81338515090397</v>
      </c>
      <c r="Q235" s="97">
        <f t="shared" si="304"/>
        <v>897.36862195344327</v>
      </c>
      <c r="R235" s="97">
        <f t="shared" si="304"/>
        <v>806.18060069082082</v>
      </c>
      <c r="S235" s="97">
        <f t="shared" si="304"/>
        <v>864.04857574109349</v>
      </c>
      <c r="T235" s="97">
        <f t="shared" si="304"/>
        <v>827.713304175247</v>
      </c>
      <c r="U235" s="97">
        <f t="shared" si="304"/>
        <v>769.67705682712779</v>
      </c>
      <c r="V235" s="97">
        <f t="shared" si="304"/>
        <v>817.41147236047243</v>
      </c>
      <c r="W235" s="97">
        <f t="shared" ref="W235" si="305">IF(W23=0,0,W83/W23*1000)</f>
        <v>861.47135256776164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568.37545537494816</v>
      </c>
      <c r="C236" s="97">
        <f t="shared" si="306"/>
        <v>566.53685039582206</v>
      </c>
      <c r="D236" s="97">
        <f t="shared" si="306"/>
        <v>503.06540998207186</v>
      </c>
      <c r="E236" s="97">
        <f t="shared" si="306"/>
        <v>501.10592395378262</v>
      </c>
      <c r="F236" s="97">
        <f t="shared" si="306"/>
        <v>600.36293214148191</v>
      </c>
      <c r="G236" s="97">
        <f t="shared" si="306"/>
        <v>667.45260655136985</v>
      </c>
      <c r="H236" s="97">
        <f t="shared" si="306"/>
        <v>681.66470983939416</v>
      </c>
      <c r="I236" s="97">
        <f t="shared" si="306"/>
        <v>668.11510839279606</v>
      </c>
      <c r="J236" s="97">
        <f t="shared" si="306"/>
        <v>775.59015904344278</v>
      </c>
      <c r="K236" s="97">
        <f t="shared" si="306"/>
        <v>778.31253557418597</v>
      </c>
      <c r="L236" s="97">
        <f t="shared" si="306"/>
        <v>685.69750740823781</v>
      </c>
      <c r="M236" s="97">
        <f t="shared" si="306"/>
        <v>641.13672439285574</v>
      </c>
      <c r="N236" s="97">
        <f t="shared" si="306"/>
        <v>577.62034182325863</v>
      </c>
      <c r="O236" s="97">
        <f t="shared" si="306"/>
        <v>605.57729062912483</v>
      </c>
      <c r="P236" s="97">
        <f t="shared" si="306"/>
        <v>474.72403641540524</v>
      </c>
      <c r="Q236" s="97">
        <f t="shared" si="306"/>
        <v>501.7419635872584</v>
      </c>
      <c r="R236" s="97">
        <f t="shared" si="306"/>
        <v>488.89207803274496</v>
      </c>
      <c r="S236" s="97">
        <f t="shared" si="306"/>
        <v>505.73858697936356</v>
      </c>
      <c r="T236" s="97">
        <f t="shared" si="306"/>
        <v>530.14715350551398</v>
      </c>
      <c r="U236" s="97">
        <f t="shared" si="306"/>
        <v>477.33595535718382</v>
      </c>
      <c r="V236" s="97">
        <f t="shared" si="306"/>
        <v>721.78898420647874</v>
      </c>
      <c r="W236" s="97">
        <f t="shared" ref="W236" si="307">IF(W24=0,0,W84/W24*1000)</f>
        <v>648.54921231080721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218.2673610303525</v>
      </c>
      <c r="C237" s="97">
        <f t="shared" si="308"/>
        <v>216.55250582016484</v>
      </c>
      <c r="D237" s="97">
        <f t="shared" si="308"/>
        <v>192.09498479368403</v>
      </c>
      <c r="E237" s="97">
        <f t="shared" si="308"/>
        <v>215.21794490112413</v>
      </c>
      <c r="F237" s="97">
        <f t="shared" si="308"/>
        <v>255.12937408239861</v>
      </c>
      <c r="G237" s="97">
        <f t="shared" si="308"/>
        <v>223.35908215367729</v>
      </c>
      <c r="H237" s="97">
        <f t="shared" si="308"/>
        <v>228.28726988804587</v>
      </c>
      <c r="I237" s="97">
        <f t="shared" si="308"/>
        <v>194.94810271167253</v>
      </c>
      <c r="J237" s="97">
        <f t="shared" si="308"/>
        <v>208.78767899785237</v>
      </c>
      <c r="K237" s="97">
        <f t="shared" si="308"/>
        <v>197.67474530558536</v>
      </c>
      <c r="L237" s="97">
        <f t="shared" si="308"/>
        <v>195.26784506907558</v>
      </c>
      <c r="M237" s="97">
        <f t="shared" si="308"/>
        <v>192.6450450947288</v>
      </c>
      <c r="N237" s="97">
        <f t="shared" si="308"/>
        <v>176.65611253797306</v>
      </c>
      <c r="O237" s="97">
        <f t="shared" si="308"/>
        <v>171.60621870379629</v>
      </c>
      <c r="P237" s="97">
        <f t="shared" si="308"/>
        <v>103.19863169325779</v>
      </c>
      <c r="Q237" s="97">
        <f t="shared" si="308"/>
        <v>88.977615315403938</v>
      </c>
      <c r="R237" s="97">
        <f t="shared" si="308"/>
        <v>72.906514311605932</v>
      </c>
      <c r="S237" s="97">
        <f t="shared" si="308"/>
        <v>63.248442236448888</v>
      </c>
      <c r="T237" s="97">
        <f t="shared" si="308"/>
        <v>60.405907502187993</v>
      </c>
      <c r="U237" s="97">
        <f t="shared" si="308"/>
        <v>64.405873705557525</v>
      </c>
      <c r="V237" s="97">
        <f t="shared" si="308"/>
        <v>142.46072117956595</v>
      </c>
      <c r="W237" s="97">
        <f t="shared" ref="W237" si="309">IF(W25=0,0,W85/W25*1000)</f>
        <v>179.00731866135982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236.79417634517168</v>
      </c>
      <c r="C238" s="130">
        <f t="shared" si="310"/>
        <v>241.27553907084442</v>
      </c>
      <c r="D238" s="130">
        <f t="shared" si="310"/>
        <v>238.11082976165162</v>
      </c>
      <c r="E238" s="130">
        <f t="shared" si="310"/>
        <v>275.51975580819084</v>
      </c>
      <c r="F238" s="130">
        <f t="shared" si="310"/>
        <v>243.44380204607626</v>
      </c>
      <c r="G238" s="130">
        <f t="shared" si="310"/>
        <v>197.34894274700204</v>
      </c>
      <c r="H238" s="130">
        <f t="shared" si="310"/>
        <v>132.23336278344945</v>
      </c>
      <c r="I238" s="130">
        <f t="shared" si="310"/>
        <v>204.38517711648115</v>
      </c>
      <c r="J238" s="130">
        <f t="shared" si="310"/>
        <v>192.1845699577398</v>
      </c>
      <c r="K238" s="130">
        <f t="shared" si="310"/>
        <v>201.35539022703844</v>
      </c>
      <c r="L238" s="130">
        <f t="shared" si="310"/>
        <v>146.28672995850314</v>
      </c>
      <c r="M238" s="130">
        <f t="shared" si="310"/>
        <v>152.32703166122735</v>
      </c>
      <c r="N238" s="130">
        <f t="shared" si="310"/>
        <v>150.40305725271332</v>
      </c>
      <c r="O238" s="130">
        <f t="shared" si="310"/>
        <v>142.13056788956462</v>
      </c>
      <c r="P238" s="130">
        <f t="shared" si="310"/>
        <v>143.17370270685311</v>
      </c>
      <c r="Q238" s="130">
        <f t="shared" si="310"/>
        <v>141.65391495993984</v>
      </c>
      <c r="R238" s="130">
        <f t="shared" si="310"/>
        <v>147.26818268283776</v>
      </c>
      <c r="S238" s="130">
        <f t="shared" si="310"/>
        <v>129.11646426112677</v>
      </c>
      <c r="T238" s="130">
        <f t="shared" si="310"/>
        <v>123.9461324840893</v>
      </c>
      <c r="U238" s="130">
        <f t="shared" si="310"/>
        <v>125.76785204094091</v>
      </c>
      <c r="V238" s="130">
        <f t="shared" si="310"/>
        <v>95.628652232733529</v>
      </c>
      <c r="W238" s="130">
        <f t="shared" ref="W238" si="311">IF(W26=0,0,W86/W26*1000)</f>
        <v>75.446909090993103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236.79417634517168</v>
      </c>
      <c r="C239" s="97">
        <f t="shared" si="312"/>
        <v>241.27553907084442</v>
      </c>
      <c r="D239" s="97">
        <f t="shared" si="312"/>
        <v>238.11082976165162</v>
      </c>
      <c r="E239" s="97">
        <f t="shared" si="312"/>
        <v>275.51975580819084</v>
      </c>
      <c r="F239" s="97">
        <f t="shared" si="312"/>
        <v>243.44380204607626</v>
      </c>
      <c r="G239" s="97">
        <f t="shared" si="312"/>
        <v>197.34894274700204</v>
      </c>
      <c r="H239" s="97">
        <f t="shared" si="312"/>
        <v>132.23336278344945</v>
      </c>
      <c r="I239" s="97">
        <f t="shared" si="312"/>
        <v>204.38517711648115</v>
      </c>
      <c r="J239" s="97">
        <f t="shared" si="312"/>
        <v>192.1845699577398</v>
      </c>
      <c r="K239" s="97">
        <f t="shared" si="312"/>
        <v>201.35539022703844</v>
      </c>
      <c r="L239" s="97">
        <f t="shared" si="312"/>
        <v>146.28672995850314</v>
      </c>
      <c r="M239" s="97">
        <f t="shared" si="312"/>
        <v>152.32703166122735</v>
      </c>
      <c r="N239" s="97">
        <f t="shared" si="312"/>
        <v>150.40305725271332</v>
      </c>
      <c r="O239" s="97">
        <f t="shared" si="312"/>
        <v>142.13056788956462</v>
      </c>
      <c r="P239" s="97">
        <f t="shared" si="312"/>
        <v>143.17370270685311</v>
      </c>
      <c r="Q239" s="97">
        <f t="shared" si="312"/>
        <v>141.65391495993984</v>
      </c>
      <c r="R239" s="97">
        <f t="shared" si="312"/>
        <v>147.78780050896489</v>
      </c>
      <c r="S239" s="97">
        <f t="shared" si="312"/>
        <v>129.2460458963163</v>
      </c>
      <c r="T239" s="97">
        <f t="shared" si="312"/>
        <v>124.95472669603171</v>
      </c>
      <c r="U239" s="97">
        <f t="shared" si="312"/>
        <v>127.01691707603644</v>
      </c>
      <c r="V239" s="97">
        <f t="shared" si="312"/>
        <v>97.128319308992786</v>
      </c>
      <c r="W239" s="97">
        <f t="shared" ref="W239" si="313">IF(W27=0,0,W87/W27*1000)</f>
        <v>77.234704183194623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45.796466646108122</v>
      </c>
      <c r="S240" s="98">
        <f t="shared" si="314"/>
        <v>37.431263362360312</v>
      </c>
      <c r="T240" s="98">
        <f t="shared" si="314"/>
        <v>36.690231273979641</v>
      </c>
      <c r="U240" s="98">
        <f t="shared" si="314"/>
        <v>36.164846209958526</v>
      </c>
      <c r="V240" s="98">
        <f t="shared" si="314"/>
        <v>28.176398679214692</v>
      </c>
      <c r="W240" s="98">
        <f t="shared" ref="W240:W243" si="315">IF(W28=0,0,W88/W28*1000)</f>
        <v>22.737409338147078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48.705454104769167</v>
      </c>
      <c r="C241" s="32">
        <f t="shared" si="316"/>
        <v>51.31754323163414</v>
      </c>
      <c r="D241" s="32">
        <f t="shared" si="316"/>
        <v>43.075759075553137</v>
      </c>
      <c r="E241" s="32">
        <f t="shared" si="316"/>
        <v>55.880133528818007</v>
      </c>
      <c r="F241" s="32">
        <f t="shared" si="316"/>
        <v>64.582881079308564</v>
      </c>
      <c r="G241" s="32">
        <f t="shared" si="316"/>
        <v>58.069201825097359</v>
      </c>
      <c r="H241" s="32">
        <f t="shared" si="316"/>
        <v>66.352816587842895</v>
      </c>
      <c r="I241" s="32">
        <f t="shared" si="316"/>
        <v>65.890315717191797</v>
      </c>
      <c r="J241" s="32">
        <f t="shared" si="316"/>
        <v>59.063774014149118</v>
      </c>
      <c r="K241" s="32">
        <f t="shared" si="316"/>
        <v>71.14126687704146</v>
      </c>
      <c r="L241" s="32">
        <f t="shared" si="316"/>
        <v>53.445128554023206</v>
      </c>
      <c r="M241" s="32">
        <f t="shared" si="316"/>
        <v>52.079884284326134</v>
      </c>
      <c r="N241" s="32">
        <f t="shared" si="316"/>
        <v>54.942725959880036</v>
      </c>
      <c r="O241" s="32">
        <f t="shared" si="316"/>
        <v>48.805302447300598</v>
      </c>
      <c r="P241" s="32">
        <f t="shared" si="316"/>
        <v>48.076478930601375</v>
      </c>
      <c r="Q241" s="32">
        <f t="shared" si="316"/>
        <v>48.62222710207525</v>
      </c>
      <c r="R241" s="32">
        <f t="shared" si="316"/>
        <v>54.518821164778807</v>
      </c>
      <c r="S241" s="32">
        <f t="shared" si="316"/>
        <v>72.639081533958347</v>
      </c>
      <c r="T241" s="32">
        <f t="shared" si="316"/>
        <v>56.945629317280776</v>
      </c>
      <c r="U241" s="32">
        <f t="shared" si="316"/>
        <v>62.927631214703474</v>
      </c>
      <c r="V241" s="32">
        <f t="shared" si="316"/>
        <v>74.778163618799638</v>
      </c>
      <c r="W241" s="32">
        <f t="shared" si="315"/>
        <v>89.439160302977015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57.472673828774887</v>
      </c>
      <c r="C242" s="97">
        <f t="shared" si="317"/>
        <v>62.84104970377512</v>
      </c>
      <c r="D242" s="97">
        <f t="shared" si="317"/>
        <v>51.376727745570633</v>
      </c>
      <c r="E242" s="97">
        <f t="shared" si="317"/>
        <v>66.578738792592503</v>
      </c>
      <c r="F242" s="97">
        <f t="shared" si="317"/>
        <v>75.567939227160821</v>
      </c>
      <c r="G242" s="97">
        <f t="shared" si="317"/>
        <v>72.099593320565575</v>
      </c>
      <c r="H242" s="97">
        <f t="shared" si="317"/>
        <v>78.701223916165034</v>
      </c>
      <c r="I242" s="97">
        <f t="shared" si="317"/>
        <v>75.919532212985203</v>
      </c>
      <c r="J242" s="97">
        <f t="shared" si="317"/>
        <v>70.953224618577266</v>
      </c>
      <c r="K242" s="97">
        <f t="shared" si="317"/>
        <v>84.758106086876964</v>
      </c>
      <c r="L242" s="97">
        <f t="shared" si="317"/>
        <v>68.312572973147326</v>
      </c>
      <c r="M242" s="97">
        <f t="shared" si="317"/>
        <v>61.972997244106445</v>
      </c>
      <c r="N242" s="97">
        <f t="shared" si="317"/>
        <v>66.546254610193131</v>
      </c>
      <c r="O242" s="97">
        <f t="shared" si="317"/>
        <v>58.059648474482941</v>
      </c>
      <c r="P242" s="97">
        <f t="shared" si="317"/>
        <v>59.91139821880099</v>
      </c>
      <c r="Q242" s="97">
        <f t="shared" si="317"/>
        <v>62.654287883412138</v>
      </c>
      <c r="R242" s="97">
        <f t="shared" si="317"/>
        <v>66.42537263336672</v>
      </c>
      <c r="S242" s="97">
        <f t="shared" si="317"/>
        <v>81.488192839770235</v>
      </c>
      <c r="T242" s="97">
        <f t="shared" si="317"/>
        <v>62.316208141781104</v>
      </c>
      <c r="U242" s="97">
        <f t="shared" si="317"/>
        <v>71.86182712097812</v>
      </c>
      <c r="V242" s="97">
        <f t="shared" si="317"/>
        <v>82.268379361568734</v>
      </c>
      <c r="W242" s="97">
        <f t="shared" si="315"/>
        <v>82.583448999207732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41.834482407611041</v>
      </c>
      <c r="C243" s="98">
        <f t="shared" si="318"/>
        <v>43.068580631033981</v>
      </c>
      <c r="D243" s="98">
        <f t="shared" si="318"/>
        <v>36.799312266546195</v>
      </c>
      <c r="E243" s="98">
        <f t="shared" si="318"/>
        <v>47.755782405657484</v>
      </c>
      <c r="F243" s="98">
        <f t="shared" si="318"/>
        <v>55.687221324329911</v>
      </c>
      <c r="G243" s="98">
        <f t="shared" si="318"/>
        <v>48.204872289778542</v>
      </c>
      <c r="H243" s="98">
        <f t="shared" si="318"/>
        <v>56.776180130718387</v>
      </c>
      <c r="I243" s="98">
        <f t="shared" si="318"/>
        <v>57.279744929262108</v>
      </c>
      <c r="J243" s="98">
        <f t="shared" si="318"/>
        <v>49.775287618907328</v>
      </c>
      <c r="K243" s="98">
        <f t="shared" si="318"/>
        <v>60.076202782068421</v>
      </c>
      <c r="L243" s="98">
        <f t="shared" si="318"/>
        <v>43.386670933955074</v>
      </c>
      <c r="M243" s="98">
        <f t="shared" si="318"/>
        <v>44.117402079135971</v>
      </c>
      <c r="N243" s="98">
        <f t="shared" si="318"/>
        <v>45.959403462655423</v>
      </c>
      <c r="O243" s="98">
        <f t="shared" si="318"/>
        <v>41.326315743255179</v>
      </c>
      <c r="P243" s="98">
        <f t="shared" si="318"/>
        <v>39.815975841279737</v>
      </c>
      <c r="Q243" s="98">
        <f t="shared" si="318"/>
        <v>39.662068376063779</v>
      </c>
      <c r="R243" s="98">
        <f t="shared" si="318"/>
        <v>45.888940379109066</v>
      </c>
      <c r="S243" s="98">
        <f t="shared" si="318"/>
        <v>64.550680114645758</v>
      </c>
      <c r="T243" s="98">
        <f t="shared" si="318"/>
        <v>51.656553365024671</v>
      </c>
      <c r="U243" s="98">
        <f t="shared" si="318"/>
        <v>54.897038651682259</v>
      </c>
      <c r="V243" s="98">
        <f t="shared" si="318"/>
        <v>68.598601417970613</v>
      </c>
      <c r="W243" s="98">
        <f t="shared" si="315"/>
        <v>97.848572441447928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113359.65732731049</v>
      </c>
      <c r="C4" s="29">
        <f t="shared" si="0"/>
        <v>114579.26939890647</v>
      </c>
      <c r="D4" s="29">
        <f t="shared" si="0"/>
        <v>116522.24105445961</v>
      </c>
      <c r="E4" s="29">
        <f t="shared" si="0"/>
        <v>117291.35963932412</v>
      </c>
      <c r="F4" s="29">
        <f t="shared" si="0"/>
        <v>118307.56962520881</v>
      </c>
      <c r="G4" s="29">
        <f t="shared" si="0"/>
        <v>117950.38397600151</v>
      </c>
      <c r="H4" s="29">
        <f t="shared" si="0"/>
        <v>118250.97434218026</v>
      </c>
      <c r="I4" s="29">
        <f t="shared" si="0"/>
        <v>120526.31310220739</v>
      </c>
      <c r="J4" s="29">
        <f t="shared" si="0"/>
        <v>119479.16048161787</v>
      </c>
      <c r="K4" s="29">
        <f t="shared" si="0"/>
        <v>118989.12052858873</v>
      </c>
      <c r="L4" s="29">
        <f t="shared" ref="L4" si="1">L5+L6+L13</f>
        <v>118198.6503575659</v>
      </c>
      <c r="M4" s="29">
        <f t="shared" ref="M4:V4" si="2">M5+M6+M13</f>
        <v>119460.8096529825</v>
      </c>
      <c r="N4" s="29">
        <f t="shared" si="2"/>
        <v>118576.14833921712</v>
      </c>
      <c r="O4" s="29">
        <f t="shared" si="2"/>
        <v>118668.96224589035</v>
      </c>
      <c r="P4" s="29">
        <f t="shared" si="2"/>
        <v>120796.49885276491</v>
      </c>
      <c r="Q4" s="29">
        <f t="shared" si="2"/>
        <v>122491.58272207818</v>
      </c>
      <c r="R4" s="29">
        <f t="shared" si="2"/>
        <v>104399.3609360089</v>
      </c>
      <c r="S4" s="29">
        <f t="shared" si="2"/>
        <v>106190.34673726856</v>
      </c>
      <c r="T4" s="29">
        <f t="shared" si="2"/>
        <v>107063.82351556089</v>
      </c>
      <c r="U4" s="29">
        <f t="shared" si="2"/>
        <v>106465.51778041333</v>
      </c>
      <c r="V4" s="29">
        <f t="shared" si="2"/>
        <v>99896.998688761945</v>
      </c>
      <c r="W4" s="29">
        <f t="shared" ref="W4" si="3">W5+W6+W13</f>
        <v>99059.933179220359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480.82362964602419</v>
      </c>
      <c r="C5" s="152">
        <f t="shared" si="4"/>
        <v>524.99179946654351</v>
      </c>
      <c r="D5" s="152">
        <f t="shared" si="4"/>
        <v>593.72315555625642</v>
      </c>
      <c r="E5" s="152">
        <f t="shared" si="4"/>
        <v>642.27130319275875</v>
      </c>
      <c r="F5" s="152">
        <f t="shared" si="4"/>
        <v>692.71812850835681</v>
      </c>
      <c r="G5" s="152">
        <f t="shared" si="4"/>
        <v>713.26806988406781</v>
      </c>
      <c r="H5" s="152">
        <f t="shared" si="4"/>
        <v>781.94219644661052</v>
      </c>
      <c r="I5" s="152">
        <f t="shared" si="4"/>
        <v>869.74720213495948</v>
      </c>
      <c r="J5" s="152">
        <f t="shared" si="4"/>
        <v>843.70830467751546</v>
      </c>
      <c r="K5" s="152">
        <f t="shared" si="4"/>
        <v>853.08251804833856</v>
      </c>
      <c r="L5" s="152">
        <f t="shared" ref="L5:L7" si="5">IF(L32=0,0,L32*L142)</f>
        <v>811.82174595235301</v>
      </c>
      <c r="M5" s="152">
        <f t="shared" ref="M5:V5" si="6">IF(M32=0,0,M32*M142)</f>
        <v>784.82459702528615</v>
      </c>
      <c r="N5" s="152">
        <f t="shared" si="6"/>
        <v>680.80931987115468</v>
      </c>
      <c r="O5" s="152">
        <f t="shared" si="6"/>
        <v>759.17402238984096</v>
      </c>
      <c r="P5" s="152">
        <f t="shared" si="6"/>
        <v>763.0213086133258</v>
      </c>
      <c r="Q5" s="152">
        <f t="shared" si="6"/>
        <v>767.86439189501323</v>
      </c>
      <c r="R5" s="152">
        <f t="shared" si="6"/>
        <v>811.36093600889717</v>
      </c>
      <c r="S5" s="152">
        <f t="shared" si="6"/>
        <v>770.34673726856704</v>
      </c>
      <c r="T5" s="152">
        <f t="shared" si="6"/>
        <v>735.82351556089486</v>
      </c>
      <c r="U5" s="152">
        <f t="shared" si="6"/>
        <v>783.51778041331352</v>
      </c>
      <c r="V5" s="152">
        <f t="shared" si="6"/>
        <v>700.99868876193909</v>
      </c>
      <c r="W5" s="152">
        <f t="shared" ref="W5" si="7">IF(W32=0,0,W32*W142)</f>
        <v>728.93317922037136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103654.83369766446</v>
      </c>
      <c r="C6" s="116">
        <f t="shared" si="8"/>
        <v>104834.27759943993</v>
      </c>
      <c r="D6" s="116">
        <f t="shared" si="8"/>
        <v>106622.51789890334</v>
      </c>
      <c r="E6" s="116">
        <f t="shared" si="8"/>
        <v>107322.08833613136</v>
      </c>
      <c r="F6" s="116">
        <f t="shared" si="8"/>
        <v>108359.85149670046</v>
      </c>
      <c r="G6" s="116">
        <f t="shared" si="8"/>
        <v>107983.11590611744</v>
      </c>
      <c r="H6" s="116">
        <f t="shared" si="8"/>
        <v>108137.03214573364</v>
      </c>
      <c r="I6" s="116">
        <f t="shared" si="8"/>
        <v>110238.56590007244</v>
      </c>
      <c r="J6" s="116">
        <f t="shared" si="8"/>
        <v>109468.45217694035</v>
      </c>
      <c r="K6" s="116">
        <f t="shared" si="8"/>
        <v>108897.03801054039</v>
      </c>
      <c r="L6" s="116">
        <f t="shared" ref="L6" si="9">SUM(L7:L12)</f>
        <v>108012.82861161354</v>
      </c>
      <c r="M6" s="116">
        <f t="shared" ref="M6:V6" si="10">SUM(M7:M12)</f>
        <v>109028.98505595721</v>
      </c>
      <c r="N6" s="116">
        <f t="shared" si="10"/>
        <v>108372.33901934596</v>
      </c>
      <c r="O6" s="116">
        <f t="shared" si="10"/>
        <v>108205.78822350051</v>
      </c>
      <c r="P6" s="116">
        <f t="shared" si="10"/>
        <v>110340.47754415158</v>
      </c>
      <c r="Q6" s="116">
        <f t="shared" si="10"/>
        <v>111895.51589094302</v>
      </c>
      <c r="R6" s="116">
        <f t="shared" si="10"/>
        <v>93736</v>
      </c>
      <c r="S6" s="116">
        <f t="shared" si="10"/>
        <v>95440.999999999985</v>
      </c>
      <c r="T6" s="116">
        <f t="shared" si="10"/>
        <v>96343.999999999985</v>
      </c>
      <c r="U6" s="116">
        <f t="shared" si="10"/>
        <v>95621.000000000015</v>
      </c>
      <c r="V6" s="116">
        <f t="shared" si="10"/>
        <v>90196</v>
      </c>
      <c r="W6" s="116">
        <f t="shared" ref="W6" si="11">SUM(W7:W12)</f>
        <v>89451.999999999985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92252.344852041249</v>
      </c>
      <c r="C7" s="87">
        <f t="shared" si="12"/>
        <v>93850.911701768637</v>
      </c>
      <c r="D7" s="87">
        <f t="shared" si="12"/>
        <v>95413.343254419626</v>
      </c>
      <c r="E7" s="87">
        <f t="shared" si="12"/>
        <v>95773.800659195666</v>
      </c>
      <c r="F7" s="87">
        <f t="shared" si="12"/>
        <v>96302.157419907307</v>
      </c>
      <c r="G7" s="87">
        <f t="shared" si="12"/>
        <v>94938.468972764647</v>
      </c>
      <c r="H7" s="87">
        <f t="shared" si="12"/>
        <v>92989.490202641886</v>
      </c>
      <c r="I7" s="87">
        <f t="shared" si="12"/>
        <v>90518.878027792001</v>
      </c>
      <c r="J7" s="87">
        <f t="shared" si="12"/>
        <v>86485.894147468105</v>
      </c>
      <c r="K7" s="87">
        <f t="shared" si="12"/>
        <v>82326.161476893729</v>
      </c>
      <c r="L7" s="87">
        <f t="shared" si="5"/>
        <v>75958.769515742111</v>
      </c>
      <c r="M7" s="87">
        <f t="shared" ref="M7:V7" si="13">IF(M34=0,0,M34*M144)</f>
        <v>69797.020773872078</v>
      </c>
      <c r="N7" s="87">
        <f t="shared" si="13"/>
        <v>63203.10449112799</v>
      </c>
      <c r="O7" s="87">
        <f t="shared" si="13"/>
        <v>58627.735183172001</v>
      </c>
      <c r="P7" s="87">
        <f t="shared" si="13"/>
        <v>55488.53573782384</v>
      </c>
      <c r="Q7" s="87">
        <f t="shared" si="13"/>
        <v>52165.355345426949</v>
      </c>
      <c r="R7" s="87">
        <f t="shared" si="13"/>
        <v>40853.697515513733</v>
      </c>
      <c r="S7" s="87">
        <f t="shared" si="13"/>
        <v>39596.068665808081</v>
      </c>
      <c r="T7" s="87">
        <f t="shared" si="13"/>
        <v>38522.758963038352</v>
      </c>
      <c r="U7" s="87">
        <f t="shared" si="13"/>
        <v>38165.215516874159</v>
      </c>
      <c r="V7" s="87">
        <f t="shared" si="13"/>
        <v>35966.999289097184</v>
      </c>
      <c r="W7" s="87">
        <f t="shared" ref="W7" si="14">IF(W34=0,0,W34*W144)</f>
        <v>35600.120789839559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11402.488845623213</v>
      </c>
      <c r="C8" s="87">
        <f t="shared" si="15"/>
        <v>10983.36589767129</v>
      </c>
      <c r="D8" s="87">
        <f t="shared" si="15"/>
        <v>11173.97324398403</v>
      </c>
      <c r="E8" s="87">
        <f t="shared" si="15"/>
        <v>11478.923900293346</v>
      </c>
      <c r="F8" s="87">
        <f t="shared" si="15"/>
        <v>11950.122491053247</v>
      </c>
      <c r="G8" s="87">
        <f t="shared" si="15"/>
        <v>12871.846691977817</v>
      </c>
      <c r="H8" s="87">
        <f t="shared" si="15"/>
        <v>14976.040473797795</v>
      </c>
      <c r="I8" s="87">
        <f t="shared" si="15"/>
        <v>19528.551263559493</v>
      </c>
      <c r="J8" s="87">
        <f t="shared" si="15"/>
        <v>22764.023160185796</v>
      </c>
      <c r="K8" s="87">
        <f t="shared" si="15"/>
        <v>26334.594711760641</v>
      </c>
      <c r="L8" s="87">
        <f t="shared" ref="L8" si="16">IF(L35=0,0,L35*L145)</f>
        <v>31584.878899955613</v>
      </c>
      <c r="M8" s="87">
        <f t="shared" ref="M8:V8" si="17">IF(M35=0,0,M35*M145)</f>
        <v>38566.34469240543</v>
      </c>
      <c r="N8" s="87">
        <f t="shared" si="17"/>
        <v>44363.024023160091</v>
      </c>
      <c r="O8" s="87">
        <f t="shared" si="17"/>
        <v>48699.259842825573</v>
      </c>
      <c r="P8" s="87">
        <f t="shared" si="17"/>
        <v>53787.884727981953</v>
      </c>
      <c r="Q8" s="87">
        <f t="shared" si="17"/>
        <v>58447.828791728782</v>
      </c>
      <c r="R8" s="87">
        <f t="shared" si="17"/>
        <v>51499.365445477837</v>
      </c>
      <c r="S8" s="87">
        <f t="shared" si="17"/>
        <v>54242.820705708917</v>
      </c>
      <c r="T8" s="87">
        <f t="shared" si="17"/>
        <v>55902.660621285577</v>
      </c>
      <c r="U8" s="87">
        <f t="shared" si="17"/>
        <v>55096.856274918609</v>
      </c>
      <c r="V8" s="87">
        <f t="shared" si="17"/>
        <v>50633.468453887865</v>
      </c>
      <c r="W8" s="87">
        <f t="shared" ref="W8" si="18">IF(W35=0,0,W35*W145)</f>
        <v>48320.461934605686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0</v>
      </c>
      <c r="E9" s="87">
        <f t="shared" si="19"/>
        <v>0</v>
      </c>
      <c r="F9" s="87">
        <f t="shared" si="19"/>
        <v>0</v>
      </c>
      <c r="G9" s="87">
        <f t="shared" si="19"/>
        <v>14.357593445198711</v>
      </c>
      <c r="H9" s="87">
        <f t="shared" si="19"/>
        <v>13.117580654440069</v>
      </c>
      <c r="I9" s="87">
        <f t="shared" si="19"/>
        <v>12.746030628311079</v>
      </c>
      <c r="J9" s="87">
        <f t="shared" si="19"/>
        <v>13.126005829371305</v>
      </c>
      <c r="K9" s="87">
        <f t="shared" si="19"/>
        <v>16.700421505361653</v>
      </c>
      <c r="L9" s="87">
        <f t="shared" ref="L9" si="20">IF(L36=0,0,L36*L146)</f>
        <v>13.814667588612558</v>
      </c>
      <c r="M9" s="87">
        <f t="shared" ref="M9:V9" si="21">IF(M36=0,0,M36*M146)</f>
        <v>18.438270292949888</v>
      </c>
      <c r="N9" s="87">
        <f t="shared" si="21"/>
        <v>17.458158529544217</v>
      </c>
      <c r="O9" s="87">
        <f t="shared" si="21"/>
        <v>16.868310232565598</v>
      </c>
      <c r="P9" s="87">
        <f t="shared" si="21"/>
        <v>16.460642081017422</v>
      </c>
      <c r="Q9" s="87">
        <f t="shared" si="21"/>
        <v>15.889442020477478</v>
      </c>
      <c r="R9" s="87">
        <f t="shared" si="21"/>
        <v>12.067482888451847</v>
      </c>
      <c r="S9" s="87">
        <f t="shared" si="21"/>
        <v>0</v>
      </c>
      <c r="T9" s="87">
        <f t="shared" si="21"/>
        <v>0</v>
      </c>
      <c r="U9" s="87">
        <f t="shared" si="21"/>
        <v>0</v>
      </c>
      <c r="V9" s="87">
        <f t="shared" si="21"/>
        <v>0</v>
      </c>
      <c r="W9" s="87">
        <f t="shared" ref="W9" si="22">IF(W36=0,0,W36*W146)</f>
        <v>0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35.201400499691168</v>
      </c>
      <c r="E10" s="87">
        <f t="shared" si="23"/>
        <v>69.363776642354196</v>
      </c>
      <c r="F10" s="87">
        <f t="shared" si="23"/>
        <v>107.57158573990461</v>
      </c>
      <c r="G10" s="87">
        <f t="shared" si="23"/>
        <v>158.442647929787</v>
      </c>
      <c r="H10" s="87">
        <f t="shared" si="23"/>
        <v>158.38388863952062</v>
      </c>
      <c r="I10" s="87">
        <f t="shared" si="23"/>
        <v>178.39057809262164</v>
      </c>
      <c r="J10" s="87">
        <f t="shared" si="23"/>
        <v>198.0945001472239</v>
      </c>
      <c r="K10" s="87">
        <f t="shared" si="23"/>
        <v>210.94332591862056</v>
      </c>
      <c r="L10" s="87">
        <f t="shared" ref="L10" si="24">IF(L37=0,0,L37*L147)</f>
        <v>445.38821140492985</v>
      </c>
      <c r="M10" s="87">
        <f t="shared" ref="M10:V10" si="25">IF(M37=0,0,M37*M147)</f>
        <v>628.38570071300512</v>
      </c>
      <c r="N10" s="87">
        <f t="shared" si="25"/>
        <v>751.335095401937</v>
      </c>
      <c r="O10" s="87">
        <f t="shared" si="25"/>
        <v>805.35449767514467</v>
      </c>
      <c r="P10" s="87">
        <f t="shared" si="25"/>
        <v>898.31390019505625</v>
      </c>
      <c r="Q10" s="87">
        <f t="shared" si="25"/>
        <v>971.45460683295153</v>
      </c>
      <c r="R10" s="87">
        <f t="shared" si="25"/>
        <v>949.22500498753425</v>
      </c>
      <c r="S10" s="87">
        <f t="shared" si="25"/>
        <v>932.05499559645773</v>
      </c>
      <c r="T10" s="87">
        <f t="shared" si="25"/>
        <v>902.39614287145048</v>
      </c>
      <c r="U10" s="87">
        <f t="shared" si="25"/>
        <v>856.94955427056448</v>
      </c>
      <c r="V10" s="87">
        <f t="shared" si="25"/>
        <v>834.75795846225776</v>
      </c>
      <c r="W10" s="87">
        <f t="shared" ref="W10" si="26">IF(W37=0,0,W37*W147)</f>
        <v>795.7939497009553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2.9840712294497624</v>
      </c>
      <c r="K11" s="87">
        <f t="shared" si="27"/>
        <v>3.5391572528240589</v>
      </c>
      <c r="L11" s="87">
        <f t="shared" ref="L11" si="28">IF(L38=0,0,L38*L148)</f>
        <v>4.0110506125546541</v>
      </c>
      <c r="M11" s="87">
        <f t="shared" ref="M11:V11" si="29">IF(M38=0,0,M38*M148)</f>
        <v>7.5818579359211444</v>
      </c>
      <c r="N11" s="87">
        <f t="shared" si="29"/>
        <v>19.386037050470954</v>
      </c>
      <c r="O11" s="87">
        <f t="shared" si="29"/>
        <v>27.20778060499455</v>
      </c>
      <c r="P11" s="87">
        <f t="shared" si="29"/>
        <v>88.056664388921533</v>
      </c>
      <c r="Q11" s="87">
        <f t="shared" si="29"/>
        <v>167.17391214236935</v>
      </c>
      <c r="R11" s="87">
        <f t="shared" si="29"/>
        <v>259.85341390810152</v>
      </c>
      <c r="S11" s="87">
        <f t="shared" si="29"/>
        <v>436.80307089888737</v>
      </c>
      <c r="T11" s="87">
        <f t="shared" si="29"/>
        <v>666.46794672827536</v>
      </c>
      <c r="U11" s="87">
        <f t="shared" si="29"/>
        <v>869.37261975882438</v>
      </c>
      <c r="V11" s="87">
        <f t="shared" si="29"/>
        <v>1590.3762526287524</v>
      </c>
      <c r="W11" s="87">
        <f t="shared" ref="W11" si="30">IF(W38=0,0,W38*W148)</f>
        <v>2433.8837667159801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4.3302920804045772</v>
      </c>
      <c r="K12" s="87">
        <f t="shared" si="31"/>
        <v>5.0989172092275341</v>
      </c>
      <c r="L12" s="87">
        <f t="shared" ref="L12" si="32">IF(L39=0,0,L39*L149)</f>
        <v>5.9662663097276791</v>
      </c>
      <c r="M12" s="87">
        <f t="shared" ref="M12:V12" si="33">IF(M39=0,0,M39*M149)</f>
        <v>11.213760737832004</v>
      </c>
      <c r="N12" s="87">
        <f t="shared" si="33"/>
        <v>18.031214075933701</v>
      </c>
      <c r="O12" s="87">
        <f t="shared" si="33"/>
        <v>29.362608990232587</v>
      </c>
      <c r="P12" s="87">
        <f t="shared" si="33"/>
        <v>61.225871680790611</v>
      </c>
      <c r="Q12" s="87">
        <f t="shared" si="33"/>
        <v>127.81379279147944</v>
      </c>
      <c r="R12" s="87">
        <f t="shared" si="33"/>
        <v>161.79113722433871</v>
      </c>
      <c r="S12" s="87">
        <f t="shared" si="33"/>
        <v>233.25256198765155</v>
      </c>
      <c r="T12" s="87">
        <f t="shared" si="33"/>
        <v>349.71632607633904</v>
      </c>
      <c r="U12" s="87">
        <f t="shared" si="33"/>
        <v>632.60603417784375</v>
      </c>
      <c r="V12" s="87">
        <f t="shared" si="33"/>
        <v>1170.398045923941</v>
      </c>
      <c r="W12" s="87">
        <f t="shared" ref="W12" si="34">IF(W39=0,0,W39*W149)</f>
        <v>2301.739559137819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9224</v>
      </c>
      <c r="C13" s="116">
        <f t="shared" si="35"/>
        <v>9220.0000000000018</v>
      </c>
      <c r="D13" s="116">
        <f t="shared" si="35"/>
        <v>9306</v>
      </c>
      <c r="E13" s="116">
        <f t="shared" si="35"/>
        <v>9327</v>
      </c>
      <c r="F13" s="116">
        <f t="shared" si="35"/>
        <v>9255</v>
      </c>
      <c r="G13" s="116">
        <f t="shared" si="35"/>
        <v>9254</v>
      </c>
      <c r="H13" s="116">
        <f t="shared" si="35"/>
        <v>9332</v>
      </c>
      <c r="I13" s="116">
        <f t="shared" si="35"/>
        <v>9417.9999999999982</v>
      </c>
      <c r="J13" s="116">
        <f t="shared" si="35"/>
        <v>9167</v>
      </c>
      <c r="K13" s="116">
        <f t="shared" si="35"/>
        <v>9239</v>
      </c>
      <c r="L13" s="116">
        <f t="shared" ref="L13" si="36">SUM(L14:L18)</f>
        <v>9374</v>
      </c>
      <c r="M13" s="116">
        <f t="shared" ref="M13:V13" si="37">SUM(M14:M18)</f>
        <v>9647</v>
      </c>
      <c r="N13" s="116">
        <f t="shared" si="37"/>
        <v>9522.9999999999982</v>
      </c>
      <c r="O13" s="116">
        <f t="shared" si="37"/>
        <v>9704</v>
      </c>
      <c r="P13" s="116">
        <f t="shared" si="37"/>
        <v>9693</v>
      </c>
      <c r="Q13" s="116">
        <f t="shared" si="37"/>
        <v>9828.2024392401509</v>
      </c>
      <c r="R13" s="116">
        <f t="shared" si="37"/>
        <v>9852.0000000000018</v>
      </c>
      <c r="S13" s="116">
        <f t="shared" si="37"/>
        <v>9979</v>
      </c>
      <c r="T13" s="116">
        <f t="shared" si="37"/>
        <v>9984</v>
      </c>
      <c r="U13" s="116">
        <f t="shared" si="37"/>
        <v>10061</v>
      </c>
      <c r="V13" s="116">
        <f t="shared" si="37"/>
        <v>8999.9999999999982</v>
      </c>
      <c r="W13" s="116">
        <f t="shared" ref="W13" si="38">SUM(W14:W18)</f>
        <v>8879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190.18448649012214</v>
      </c>
      <c r="C14" s="101">
        <f t="shared" si="39"/>
        <v>157.19394339239219</v>
      </c>
      <c r="D14" s="101">
        <f t="shared" si="39"/>
        <v>129.16459885264462</v>
      </c>
      <c r="E14" s="101">
        <f t="shared" si="39"/>
        <v>102.16597803762838</v>
      </c>
      <c r="F14" s="101">
        <f t="shared" si="39"/>
        <v>77.187353679313631</v>
      </c>
      <c r="G14" s="101">
        <f t="shared" si="39"/>
        <v>54.877193926686722</v>
      </c>
      <c r="H14" s="101">
        <f t="shared" si="39"/>
        <v>45.452016315097516</v>
      </c>
      <c r="I14" s="101">
        <f t="shared" si="39"/>
        <v>38.018893840747268</v>
      </c>
      <c r="J14" s="101">
        <f t="shared" si="39"/>
        <v>31.169428324269465</v>
      </c>
      <c r="K14" s="101">
        <f t="shared" si="39"/>
        <v>28.649902531880809</v>
      </c>
      <c r="L14" s="101">
        <f t="shared" ref="L14" si="40">IF(L41=0,0,L41*L151)</f>
        <v>11.853530312713517</v>
      </c>
      <c r="M14" s="101">
        <f t="shared" ref="M14:V14" si="41">IF(M41=0,0,M41*M151)</f>
        <v>21.306490120772516</v>
      </c>
      <c r="N14" s="101">
        <f t="shared" si="41"/>
        <v>17.798701514591151</v>
      </c>
      <c r="O14" s="101">
        <f t="shared" si="41"/>
        <v>17.825286380951081</v>
      </c>
      <c r="P14" s="101">
        <f t="shared" si="41"/>
        <v>16.69553220092607</v>
      </c>
      <c r="Q14" s="101">
        <f t="shared" si="41"/>
        <v>15.491129832074042</v>
      </c>
      <c r="R14" s="101">
        <f t="shared" si="41"/>
        <v>17.239601999349603</v>
      </c>
      <c r="S14" s="101">
        <f t="shared" si="41"/>
        <v>16.406400494415269</v>
      </c>
      <c r="T14" s="101">
        <f t="shared" si="41"/>
        <v>16.118978513964173</v>
      </c>
      <c r="U14" s="101">
        <f t="shared" si="41"/>
        <v>14.37880468525602</v>
      </c>
      <c r="V14" s="101">
        <f t="shared" si="41"/>
        <v>14.121631728897448</v>
      </c>
      <c r="W14" s="101">
        <f t="shared" ref="W14" si="42">IF(W41=0,0,W41*W151)</f>
        <v>12.863962884384181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8798.0491008879471</v>
      </c>
      <c r="C15" s="101">
        <f t="shared" si="43"/>
        <v>8791.6602867376314</v>
      </c>
      <c r="D15" s="101">
        <f t="shared" si="43"/>
        <v>8890.1437188468644</v>
      </c>
      <c r="E15" s="101">
        <f t="shared" si="43"/>
        <v>8920.932283363094</v>
      </c>
      <c r="F15" s="101">
        <f t="shared" si="43"/>
        <v>8842.6253197787992</v>
      </c>
      <c r="G15" s="101">
        <f t="shared" si="43"/>
        <v>8457.5896684411837</v>
      </c>
      <c r="H15" s="101">
        <f t="shared" si="43"/>
        <v>8833.9702850114991</v>
      </c>
      <c r="I15" s="101">
        <f t="shared" si="43"/>
        <v>8827.9760054694798</v>
      </c>
      <c r="J15" s="101">
        <f t="shared" si="43"/>
        <v>8401.4048420832169</v>
      </c>
      <c r="K15" s="101">
        <f t="shared" si="43"/>
        <v>8253.0686796359951</v>
      </c>
      <c r="L15" s="101">
        <f t="shared" ref="L15" si="44">IF(L42=0,0,L42*L152)</f>
        <v>8223.4286649222122</v>
      </c>
      <c r="M15" s="101">
        <f t="shared" ref="M15:V15" si="45">IF(M42=0,0,M42*M152)</f>
        <v>8083.8824547326722</v>
      </c>
      <c r="N15" s="101">
        <f t="shared" si="45"/>
        <v>7902.4382327037492</v>
      </c>
      <c r="O15" s="101">
        <f t="shared" si="45"/>
        <v>7830.3937465386225</v>
      </c>
      <c r="P15" s="101">
        <f t="shared" si="45"/>
        <v>7770.3304245364434</v>
      </c>
      <c r="Q15" s="101">
        <f t="shared" si="45"/>
        <v>7910.2474388376249</v>
      </c>
      <c r="R15" s="101">
        <f t="shared" si="45"/>
        <v>7978.0558357081854</v>
      </c>
      <c r="S15" s="101">
        <f t="shared" si="45"/>
        <v>8052.421578333533</v>
      </c>
      <c r="T15" s="101">
        <f t="shared" si="45"/>
        <v>8090.1237255203632</v>
      </c>
      <c r="U15" s="101">
        <f t="shared" si="45"/>
        <v>8135.6108695896482</v>
      </c>
      <c r="V15" s="101">
        <f t="shared" si="45"/>
        <v>6931.2414223053129</v>
      </c>
      <c r="W15" s="101">
        <f t="shared" ref="W15" si="46">IF(W42=0,0,W42*W152)</f>
        <v>6848.8483021893944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227.83232621979306</v>
      </c>
      <c r="C17" s="101">
        <f t="shared" si="51"/>
        <v>263.03288070658618</v>
      </c>
      <c r="D17" s="101">
        <f t="shared" si="51"/>
        <v>279.95310864885033</v>
      </c>
      <c r="E17" s="101">
        <f t="shared" si="51"/>
        <v>296.06929039952519</v>
      </c>
      <c r="F17" s="101">
        <f t="shared" si="51"/>
        <v>327.18121980791273</v>
      </c>
      <c r="G17" s="101">
        <f t="shared" si="51"/>
        <v>734.94176371792594</v>
      </c>
      <c r="H17" s="101">
        <f t="shared" si="51"/>
        <v>446.39685790059639</v>
      </c>
      <c r="I17" s="101">
        <f t="shared" si="51"/>
        <v>546.71699044667798</v>
      </c>
      <c r="J17" s="101">
        <f t="shared" si="51"/>
        <v>730.26403353128399</v>
      </c>
      <c r="K17" s="101">
        <f t="shared" si="51"/>
        <v>953.08323500526649</v>
      </c>
      <c r="L17" s="101">
        <f t="shared" ref="L17" si="52">IF(L44=0,0,L44*L154)</f>
        <v>1136.6936467815322</v>
      </c>
      <c r="M17" s="101">
        <f t="shared" ref="M17:V17" si="53">IF(M44=0,0,M44*M154)</f>
        <v>1539.7714199728784</v>
      </c>
      <c r="N17" s="101">
        <f t="shared" si="53"/>
        <v>1599.847907281227</v>
      </c>
      <c r="O17" s="101">
        <f t="shared" si="53"/>
        <v>1851.8209869619438</v>
      </c>
      <c r="P17" s="101">
        <f t="shared" si="53"/>
        <v>1900.5009982684796</v>
      </c>
      <c r="Q17" s="101">
        <f t="shared" si="53"/>
        <v>1892.5250893378729</v>
      </c>
      <c r="R17" s="101">
        <f t="shared" si="53"/>
        <v>1837.9951684222769</v>
      </c>
      <c r="S17" s="101">
        <f t="shared" si="53"/>
        <v>1883.6828642415985</v>
      </c>
      <c r="T17" s="101">
        <f t="shared" si="53"/>
        <v>1828.8852136689206</v>
      </c>
      <c r="U17" s="101">
        <f t="shared" si="53"/>
        <v>1779.6797924785985</v>
      </c>
      <c r="V17" s="101">
        <f t="shared" si="53"/>
        <v>1830.9945056893421</v>
      </c>
      <c r="W17" s="101">
        <f t="shared" ref="W17" si="54">IF(W44=0,0,W44*W154)</f>
        <v>1698.3558929801086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7.9340864021375186</v>
      </c>
      <c r="C18" s="101">
        <f t="shared" si="55"/>
        <v>8.1128891633898803</v>
      </c>
      <c r="D18" s="101">
        <f t="shared" si="55"/>
        <v>6.7385736516401247</v>
      </c>
      <c r="E18" s="101">
        <f t="shared" si="55"/>
        <v>7.8324481997520383</v>
      </c>
      <c r="F18" s="101">
        <f t="shared" si="55"/>
        <v>8.0061067339745069</v>
      </c>
      <c r="G18" s="101">
        <f t="shared" si="55"/>
        <v>6.5913739142041115</v>
      </c>
      <c r="H18" s="101">
        <f t="shared" si="55"/>
        <v>6.1808407728079011</v>
      </c>
      <c r="I18" s="101">
        <f t="shared" si="55"/>
        <v>5.2881102430955371</v>
      </c>
      <c r="J18" s="101">
        <f t="shared" si="55"/>
        <v>4.1616960612301996</v>
      </c>
      <c r="K18" s="101">
        <f t="shared" si="55"/>
        <v>4.1981828268572654</v>
      </c>
      <c r="L18" s="101">
        <f t="shared" ref="L18" si="56">IF(L45=0,0,L45*L155)</f>
        <v>2.0241579835413401</v>
      </c>
      <c r="M18" s="101">
        <f t="shared" ref="M18:V18" si="57">IF(M45=0,0,M45*M155)</f>
        <v>2.039635173676658</v>
      </c>
      <c r="N18" s="101">
        <f t="shared" si="57"/>
        <v>2.9151585004316689</v>
      </c>
      <c r="O18" s="101">
        <f t="shared" si="57"/>
        <v>3.9599801184822385</v>
      </c>
      <c r="P18" s="101">
        <f t="shared" si="57"/>
        <v>5.4730449941506203</v>
      </c>
      <c r="Q18" s="101">
        <f t="shared" si="57"/>
        <v>9.9387812325777052</v>
      </c>
      <c r="R18" s="101">
        <f t="shared" si="57"/>
        <v>18.709393870188705</v>
      </c>
      <c r="S18" s="101">
        <f t="shared" si="57"/>
        <v>26.489156930453284</v>
      </c>
      <c r="T18" s="101">
        <f t="shared" si="57"/>
        <v>48.872082296752012</v>
      </c>
      <c r="U18" s="101">
        <f t="shared" si="57"/>
        <v>131.3305332464974</v>
      </c>
      <c r="V18" s="101">
        <f t="shared" si="57"/>
        <v>223.64244027644671</v>
      </c>
      <c r="W18" s="101">
        <f t="shared" ref="W18" si="58">IF(W45=0,0,W45*W155)</f>
        <v>318.93184194611172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39668.043158322071</v>
      </c>
      <c r="C19" s="29">
        <f t="shared" si="59"/>
        <v>38848.677455927704</v>
      </c>
      <c r="D19" s="29">
        <f t="shared" si="59"/>
        <v>41274.510187645559</v>
      </c>
      <c r="E19" s="29">
        <f t="shared" si="59"/>
        <v>41127.164836564545</v>
      </c>
      <c r="F19" s="29">
        <f t="shared" si="59"/>
        <v>43855.448629221166</v>
      </c>
      <c r="G19" s="29">
        <f t="shared" si="59"/>
        <v>46194.539947213569</v>
      </c>
      <c r="H19" s="29">
        <f t="shared" si="59"/>
        <v>47956.882180056848</v>
      </c>
      <c r="I19" s="29">
        <f t="shared" si="59"/>
        <v>49170.609261028323</v>
      </c>
      <c r="J19" s="29">
        <f t="shared" si="59"/>
        <v>50171.087353127448</v>
      </c>
      <c r="K19" s="29">
        <f t="shared" si="59"/>
        <v>42075.953017338128</v>
      </c>
      <c r="L19" s="29">
        <f t="shared" ref="L19" si="60">L20+L26</f>
        <v>43813.836551077366</v>
      </c>
      <c r="M19" s="29">
        <f t="shared" ref="M19:V19" si="61">M20+M26</f>
        <v>44333.919228941319</v>
      </c>
      <c r="N19" s="29">
        <f t="shared" si="61"/>
        <v>41042.659222601345</v>
      </c>
      <c r="O19" s="29">
        <f t="shared" si="61"/>
        <v>42704.935908143321</v>
      </c>
      <c r="P19" s="29">
        <f t="shared" si="61"/>
        <v>50366.708256273792</v>
      </c>
      <c r="Q19" s="29">
        <f t="shared" si="61"/>
        <v>51039.585208243268</v>
      </c>
      <c r="R19" s="29">
        <f t="shared" si="61"/>
        <v>52934.444447727903</v>
      </c>
      <c r="S19" s="29">
        <f t="shared" si="61"/>
        <v>52254.462204973046</v>
      </c>
      <c r="T19" s="29">
        <f t="shared" si="61"/>
        <v>54649.411334092751</v>
      </c>
      <c r="U19" s="29">
        <f t="shared" si="61"/>
        <v>53342.573116951484</v>
      </c>
      <c r="V19" s="29">
        <f t="shared" si="61"/>
        <v>54181.801781270224</v>
      </c>
      <c r="W19" s="29">
        <f t="shared" ref="W19" si="62">W20+W26</f>
        <v>59593.523062748332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697.70023024089778</v>
      </c>
      <c r="C20" s="152">
        <f t="shared" si="63"/>
        <v>827.56357150300005</v>
      </c>
      <c r="D20" s="152">
        <f t="shared" si="63"/>
        <v>909.59824066516364</v>
      </c>
      <c r="E20" s="152">
        <f t="shared" si="63"/>
        <v>994.07814219835132</v>
      </c>
      <c r="F20" s="152">
        <f t="shared" si="63"/>
        <v>1106.3056422552168</v>
      </c>
      <c r="G20" s="152">
        <f t="shared" si="63"/>
        <v>1079.2220296018368</v>
      </c>
      <c r="H20" s="152">
        <f t="shared" si="63"/>
        <v>1168.4077179453104</v>
      </c>
      <c r="I20" s="152">
        <f t="shared" si="63"/>
        <v>1235.4986912314348</v>
      </c>
      <c r="J20" s="152">
        <f t="shared" si="63"/>
        <v>1274.234465818249</v>
      </c>
      <c r="K20" s="152">
        <f t="shared" si="63"/>
        <v>1288.9071229423187</v>
      </c>
      <c r="L20" s="152">
        <f t="shared" ref="L20" si="64">SUM(L21:L25)</f>
        <v>1364.8268018523415</v>
      </c>
      <c r="M20" s="152">
        <f t="shared" ref="M20:V20" si="65">SUM(M21:M25)</f>
        <v>1430.2953759057552</v>
      </c>
      <c r="N20" s="152">
        <f t="shared" si="65"/>
        <v>1450.0706317021795</v>
      </c>
      <c r="O20" s="152">
        <f t="shared" si="65"/>
        <v>1488.8216253631367</v>
      </c>
      <c r="P20" s="152">
        <f t="shared" si="65"/>
        <v>1540.8419659307272</v>
      </c>
      <c r="Q20" s="152">
        <f t="shared" si="65"/>
        <v>1632.3704047563263</v>
      </c>
      <c r="R20" s="152">
        <f t="shared" si="65"/>
        <v>1687.7690137413986</v>
      </c>
      <c r="S20" s="152">
        <f t="shared" si="65"/>
        <v>1810.9016871924612</v>
      </c>
      <c r="T20" s="152">
        <f t="shared" si="65"/>
        <v>1807.411334092754</v>
      </c>
      <c r="U20" s="152">
        <f t="shared" si="65"/>
        <v>1838.5731169514809</v>
      </c>
      <c r="V20" s="152">
        <f t="shared" si="65"/>
        <v>1860.8017812702265</v>
      </c>
      <c r="W20" s="152">
        <f t="shared" ref="W20" si="66">SUM(W21:W25)</f>
        <v>1900.5230627483336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244.61539888689708</v>
      </c>
      <c r="C21" s="87">
        <f t="shared" si="67"/>
        <v>240.27847991485322</v>
      </c>
      <c r="D21" s="87">
        <f t="shared" si="67"/>
        <v>225.35964183966522</v>
      </c>
      <c r="E21" s="87">
        <f t="shared" si="67"/>
        <v>203.78211644444045</v>
      </c>
      <c r="F21" s="87">
        <f t="shared" si="67"/>
        <v>185.04360411247748</v>
      </c>
      <c r="G21" s="87">
        <f t="shared" si="67"/>
        <v>172.62411509055059</v>
      </c>
      <c r="H21" s="87">
        <f t="shared" si="67"/>
        <v>154.38214665772034</v>
      </c>
      <c r="I21" s="87">
        <f t="shared" si="67"/>
        <v>143.16330671537207</v>
      </c>
      <c r="J21" s="87">
        <f t="shared" si="67"/>
        <v>128.60179915827968</v>
      </c>
      <c r="K21" s="87">
        <f t="shared" si="67"/>
        <v>118.04822375958835</v>
      </c>
      <c r="L21" s="87">
        <f t="shared" ref="L21" si="68">IF(L48=0,0,L48*L158)</f>
        <v>105.39148791129391</v>
      </c>
      <c r="M21" s="87">
        <f t="shared" ref="M21:V21" si="69">IF(M48=0,0,M48*M158)</f>
        <v>98.38938791292</v>
      </c>
      <c r="N21" s="87">
        <f t="shared" si="69"/>
        <v>86.230550023367641</v>
      </c>
      <c r="O21" s="87">
        <f t="shared" si="69"/>
        <v>75.649940602172407</v>
      </c>
      <c r="P21" s="87">
        <f t="shared" si="69"/>
        <v>69.833564952240991</v>
      </c>
      <c r="Q21" s="87">
        <f t="shared" si="69"/>
        <v>66.238092529706194</v>
      </c>
      <c r="R21" s="87">
        <f t="shared" si="69"/>
        <v>56.074733048855151</v>
      </c>
      <c r="S21" s="87">
        <f t="shared" si="69"/>
        <v>50.031192251251191</v>
      </c>
      <c r="T21" s="87">
        <f t="shared" si="69"/>
        <v>48.776904944937947</v>
      </c>
      <c r="U21" s="87">
        <f t="shared" si="69"/>
        <v>48.761152437185842</v>
      </c>
      <c r="V21" s="87">
        <f t="shared" si="69"/>
        <v>49.700254007243302</v>
      </c>
      <c r="W21" s="87">
        <f t="shared" ref="W21" si="70">IF(W48=0,0,W48*W158)</f>
        <v>52.487135647586761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453.0848313540007</v>
      </c>
      <c r="C22" s="87">
        <f t="shared" si="71"/>
        <v>587.28026390825005</v>
      </c>
      <c r="D22" s="87">
        <f t="shared" si="71"/>
        <v>684.21028433405309</v>
      </c>
      <c r="E22" s="87">
        <f t="shared" si="71"/>
        <v>790.21860040436661</v>
      </c>
      <c r="F22" s="87">
        <f t="shared" si="71"/>
        <v>921.13645632966984</v>
      </c>
      <c r="G22" s="87">
        <f t="shared" si="71"/>
        <v>906.34747062542726</v>
      </c>
      <c r="H22" s="87">
        <f t="shared" si="71"/>
        <v>1013.0979177745999</v>
      </c>
      <c r="I22" s="87">
        <f t="shared" si="71"/>
        <v>1090.7127277659322</v>
      </c>
      <c r="J22" s="87">
        <f t="shared" si="71"/>
        <v>1142.8605619711191</v>
      </c>
      <c r="K22" s="87">
        <f t="shared" si="71"/>
        <v>1166.6443101419222</v>
      </c>
      <c r="L22" s="87">
        <f t="shared" ref="L22" si="72">IF(L49=0,0,L49*L159)</f>
        <v>1254.6340034675625</v>
      </c>
      <c r="M22" s="87">
        <f t="shared" ref="M22:V22" si="73">IF(M49=0,0,M49*M159)</f>
        <v>1326.543493253354</v>
      </c>
      <c r="N22" s="87">
        <f t="shared" si="73"/>
        <v>1357.3145289756842</v>
      </c>
      <c r="O22" s="87">
        <f t="shared" si="73"/>
        <v>1406.0822322899112</v>
      </c>
      <c r="P22" s="87">
        <f t="shared" si="73"/>
        <v>1463.1828187147448</v>
      </c>
      <c r="Q22" s="87">
        <f t="shared" si="73"/>
        <v>1556.9615807127032</v>
      </c>
      <c r="R22" s="87">
        <f t="shared" si="73"/>
        <v>1621.7670272423748</v>
      </c>
      <c r="S22" s="87">
        <f t="shared" si="73"/>
        <v>1749.3545183064314</v>
      </c>
      <c r="T22" s="87">
        <f t="shared" si="73"/>
        <v>1739.9767253281664</v>
      </c>
      <c r="U22" s="87">
        <f t="shared" si="73"/>
        <v>1768.7901152782131</v>
      </c>
      <c r="V22" s="87">
        <f t="shared" si="73"/>
        <v>1786.9684190334788</v>
      </c>
      <c r="W22" s="87">
        <f t="shared" ref="W22" si="74">IF(W49=0,0,W49*W159)</f>
        <v>1819.8034387991429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" si="78">IF(W50=0,0,W50*W160)</f>
        <v>0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4.8276798968855455E-3</v>
      </c>
      <c r="D24" s="87">
        <f t="shared" si="79"/>
        <v>2.831449144538704E-2</v>
      </c>
      <c r="E24" s="87">
        <f t="shared" si="79"/>
        <v>7.7425349544192265E-2</v>
      </c>
      <c r="F24" s="87">
        <f t="shared" si="79"/>
        <v>0.1255818130694549</v>
      </c>
      <c r="G24" s="87">
        <f t="shared" si="79"/>
        <v>0.24751583837525856</v>
      </c>
      <c r="H24" s="87">
        <f t="shared" si="79"/>
        <v>0.62422380066285377</v>
      </c>
      <c r="I24" s="87">
        <f t="shared" si="79"/>
        <v>1.3352349361201461</v>
      </c>
      <c r="J24" s="87">
        <f t="shared" si="79"/>
        <v>2.4860464444965213</v>
      </c>
      <c r="K24" s="87">
        <f t="shared" si="79"/>
        <v>3.928446696954178</v>
      </c>
      <c r="L24" s="87">
        <f t="shared" ref="L24" si="80">IF(L51=0,0,L51*L161)</f>
        <v>4.5219220592028897</v>
      </c>
      <c r="M24" s="87">
        <f t="shared" ref="M24:V24" si="81">IF(M51=0,0,M51*M161)</f>
        <v>5.0768696899113621</v>
      </c>
      <c r="N24" s="87">
        <f t="shared" si="81"/>
        <v>5.9864321520568895</v>
      </c>
      <c r="O24" s="87">
        <f t="shared" si="81"/>
        <v>6.2819638026173186</v>
      </c>
      <c r="P24" s="87">
        <f t="shared" si="81"/>
        <v>6.5981155765478086</v>
      </c>
      <c r="Q24" s="87">
        <f t="shared" si="81"/>
        <v>7.3352330325340809</v>
      </c>
      <c r="R24" s="87">
        <f t="shared" si="81"/>
        <v>7.6376829590849997</v>
      </c>
      <c r="S24" s="87">
        <f t="shared" si="81"/>
        <v>8.6478149727818856</v>
      </c>
      <c r="T24" s="87">
        <f t="shared" si="81"/>
        <v>14.743935713432128</v>
      </c>
      <c r="U24" s="87">
        <f t="shared" si="81"/>
        <v>15.219971070760693</v>
      </c>
      <c r="V24" s="87">
        <f t="shared" si="81"/>
        <v>15.510180859856598</v>
      </c>
      <c r="W24" s="87">
        <f t="shared" ref="W24" si="82">IF(W51=0,0,W51*W161)</f>
        <v>15.621943479591391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2.928047483581647E-3</v>
      </c>
      <c r="H25" s="87">
        <f t="shared" si="83"/>
        <v>0.30342971232752441</v>
      </c>
      <c r="I25" s="87">
        <f t="shared" si="83"/>
        <v>0.28742181401054395</v>
      </c>
      <c r="J25" s="87">
        <f t="shared" si="83"/>
        <v>0.28605824435384458</v>
      </c>
      <c r="K25" s="87">
        <f t="shared" si="83"/>
        <v>0.28614234385399279</v>
      </c>
      <c r="L25" s="87">
        <f t="shared" ref="L25" si="84">IF(L52=0,0,L52*L162)</f>
        <v>0.27938841428216593</v>
      </c>
      <c r="M25" s="87">
        <f t="shared" ref="M25:V25" si="85">IF(M52=0,0,M52*M162)</f>
        <v>0.28562504957005302</v>
      </c>
      <c r="N25" s="87">
        <f t="shared" si="85"/>
        <v>0.53912055107064194</v>
      </c>
      <c r="O25" s="87">
        <f t="shared" si="85"/>
        <v>0.80748866843570277</v>
      </c>
      <c r="P25" s="87">
        <f t="shared" si="85"/>
        <v>1.2274666871936599</v>
      </c>
      <c r="Q25" s="87">
        <f t="shared" si="85"/>
        <v>1.8354984813829296</v>
      </c>
      <c r="R25" s="87">
        <f t="shared" si="85"/>
        <v>2.2895704910836598</v>
      </c>
      <c r="S25" s="87">
        <f t="shared" si="85"/>
        <v>2.8681616619967505</v>
      </c>
      <c r="T25" s="87">
        <f t="shared" si="85"/>
        <v>3.9137681062175456</v>
      </c>
      <c r="U25" s="87">
        <f t="shared" si="85"/>
        <v>5.8018781653212423</v>
      </c>
      <c r="V25" s="87">
        <f t="shared" si="85"/>
        <v>8.6229273696478259</v>
      </c>
      <c r="W25" s="87">
        <f t="shared" ref="W25" si="86">IF(W52=0,0,W52*W162)</f>
        <v>12.610544822012677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38970.342928081176</v>
      </c>
      <c r="C26" s="116">
        <f t="shared" si="87"/>
        <v>38021.113884424703</v>
      </c>
      <c r="D26" s="116">
        <f t="shared" si="87"/>
        <v>40364.911946980399</v>
      </c>
      <c r="E26" s="116">
        <f t="shared" si="87"/>
        <v>40133.086694366197</v>
      </c>
      <c r="F26" s="116">
        <f t="shared" si="87"/>
        <v>42749.142986965948</v>
      </c>
      <c r="G26" s="116">
        <f t="shared" si="87"/>
        <v>45115.317917611734</v>
      </c>
      <c r="H26" s="116">
        <f t="shared" si="87"/>
        <v>46788.474462111539</v>
      </c>
      <c r="I26" s="116">
        <f t="shared" si="87"/>
        <v>47935.110569796889</v>
      </c>
      <c r="J26" s="116">
        <f t="shared" si="87"/>
        <v>48896.8528873092</v>
      </c>
      <c r="K26" s="116">
        <f t="shared" si="87"/>
        <v>40787.045894395807</v>
      </c>
      <c r="L26" s="116">
        <f t="shared" ref="L26" si="88">SUM(L27:L28)</f>
        <v>42449.009749225021</v>
      </c>
      <c r="M26" s="116">
        <f t="shared" ref="M26:V26" si="89">SUM(M27:M28)</f>
        <v>42903.623853035562</v>
      </c>
      <c r="N26" s="116">
        <f t="shared" si="89"/>
        <v>39592.588590899162</v>
      </c>
      <c r="O26" s="116">
        <f t="shared" si="89"/>
        <v>41216.114282780181</v>
      </c>
      <c r="P26" s="116">
        <f t="shared" si="89"/>
        <v>48825.866290343067</v>
      </c>
      <c r="Q26" s="116">
        <f t="shared" si="89"/>
        <v>49407.214803486939</v>
      </c>
      <c r="R26" s="116">
        <f t="shared" si="89"/>
        <v>51246.675433986507</v>
      </c>
      <c r="S26" s="116">
        <f t="shared" si="89"/>
        <v>50443.560517780585</v>
      </c>
      <c r="T26" s="116">
        <f t="shared" si="89"/>
        <v>52842</v>
      </c>
      <c r="U26" s="116">
        <f t="shared" si="89"/>
        <v>51504</v>
      </c>
      <c r="V26" s="116">
        <f t="shared" si="89"/>
        <v>52321</v>
      </c>
      <c r="W26" s="116">
        <f t="shared" ref="W26" si="90">SUM(W27:W28)</f>
        <v>57693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31451</v>
      </c>
      <c r="C27" s="101">
        <f t="shared" si="91"/>
        <v>29967</v>
      </c>
      <c r="D27" s="101">
        <f t="shared" si="91"/>
        <v>31836</v>
      </c>
      <c r="E27" s="101">
        <f t="shared" si="91"/>
        <v>31467</v>
      </c>
      <c r="F27" s="101">
        <f t="shared" si="91"/>
        <v>32691.000000000004</v>
      </c>
      <c r="G27" s="101">
        <f t="shared" si="91"/>
        <v>34701</v>
      </c>
      <c r="H27" s="101">
        <f t="shared" si="91"/>
        <v>35474</v>
      </c>
      <c r="I27" s="101">
        <f t="shared" si="91"/>
        <v>36395</v>
      </c>
      <c r="J27" s="101">
        <f t="shared" si="91"/>
        <v>37952</v>
      </c>
      <c r="K27" s="101">
        <f t="shared" si="91"/>
        <v>32123</v>
      </c>
      <c r="L27" s="101">
        <f t="shared" ref="L27:V27" si="92">IF(L54=0,0,L54*L164)</f>
        <v>32732</v>
      </c>
      <c r="M27" s="101">
        <f t="shared" si="92"/>
        <v>33402</v>
      </c>
      <c r="N27" s="101">
        <f t="shared" si="92"/>
        <v>30369.999999999996</v>
      </c>
      <c r="O27" s="101">
        <f t="shared" si="92"/>
        <v>30715</v>
      </c>
      <c r="P27" s="101">
        <f t="shared" si="92"/>
        <v>38816</v>
      </c>
      <c r="Q27" s="101">
        <f t="shared" si="92"/>
        <v>38106</v>
      </c>
      <c r="R27" s="101">
        <f t="shared" si="92"/>
        <v>39260</v>
      </c>
      <c r="S27" s="101">
        <f t="shared" si="92"/>
        <v>38556</v>
      </c>
      <c r="T27" s="101">
        <f t="shared" si="92"/>
        <v>40662</v>
      </c>
      <c r="U27" s="101">
        <f t="shared" si="92"/>
        <v>40112</v>
      </c>
      <c r="V27" s="101">
        <f t="shared" si="92"/>
        <v>40714</v>
      </c>
      <c r="W27" s="101">
        <f t="shared" ref="W27" si="93">IF(W54=0,0,W54*W164)</f>
        <v>44776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7519.3429280811761</v>
      </c>
      <c r="C28" s="88">
        <f t="shared" si="94"/>
        <v>8054.1138844247034</v>
      </c>
      <c r="D28" s="88">
        <f t="shared" si="94"/>
        <v>8528.9119469803991</v>
      </c>
      <c r="E28" s="88">
        <f t="shared" si="94"/>
        <v>8666.0866943661968</v>
      </c>
      <c r="F28" s="88">
        <f t="shared" si="94"/>
        <v>10058.142986965944</v>
      </c>
      <c r="G28" s="88">
        <f t="shared" si="94"/>
        <v>10414.317917611734</v>
      </c>
      <c r="H28" s="88">
        <f t="shared" si="94"/>
        <v>11314.474462111539</v>
      </c>
      <c r="I28" s="88">
        <f t="shared" si="94"/>
        <v>11540.110569796889</v>
      </c>
      <c r="J28" s="88">
        <f t="shared" si="94"/>
        <v>10944.8528873092</v>
      </c>
      <c r="K28" s="88">
        <f t="shared" si="94"/>
        <v>8664.045894395811</v>
      </c>
      <c r="L28" s="88">
        <f t="shared" ref="L28:V28" si="95">IF(L55=0,0,L55*L165)</f>
        <v>9717.0097492250206</v>
      </c>
      <c r="M28" s="88">
        <f t="shared" si="95"/>
        <v>9501.6238530355622</v>
      </c>
      <c r="N28" s="88">
        <f t="shared" si="95"/>
        <v>9222.5885908991695</v>
      </c>
      <c r="O28" s="88">
        <f t="shared" si="95"/>
        <v>10501.114282780181</v>
      </c>
      <c r="P28" s="88">
        <f t="shared" si="95"/>
        <v>10009.866290343067</v>
      </c>
      <c r="Q28" s="88">
        <f t="shared" si="95"/>
        <v>11301.214803486939</v>
      </c>
      <c r="R28" s="88">
        <f t="shared" si="95"/>
        <v>11986.675433986507</v>
      </c>
      <c r="S28" s="88">
        <f t="shared" si="95"/>
        <v>11887.560517780585</v>
      </c>
      <c r="T28" s="88">
        <f t="shared" si="95"/>
        <v>12180</v>
      </c>
      <c r="U28" s="88">
        <f t="shared" si="95"/>
        <v>11392</v>
      </c>
      <c r="V28" s="88">
        <f t="shared" si="95"/>
        <v>11607</v>
      </c>
      <c r="W28" s="88">
        <f t="shared" ref="W28" si="96">IF(W55=0,0,W55*W165)</f>
        <v>12917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52258.943574522476</v>
      </c>
      <c r="C30" s="62">
        <f t="shared" ref="C30:V30" si="98">C31+C46</f>
        <v>53567.521315312246</v>
      </c>
      <c r="D30" s="62">
        <f t="shared" si="98"/>
        <v>56085.815979827392</v>
      </c>
      <c r="E30" s="62">
        <f t="shared" si="98"/>
        <v>57226.91786388008</v>
      </c>
      <c r="F30" s="62">
        <f t="shared" si="98"/>
        <v>58405.187218182262</v>
      </c>
      <c r="G30" s="62">
        <f t="shared" si="98"/>
        <v>57210.530920918201</v>
      </c>
      <c r="H30" s="62">
        <f t="shared" si="98"/>
        <v>58238.65394451312</v>
      </c>
      <c r="I30" s="62">
        <f t="shared" si="98"/>
        <v>60650.752666238346</v>
      </c>
      <c r="J30" s="62">
        <f t="shared" si="98"/>
        <v>60757.579472289915</v>
      </c>
      <c r="K30" s="62">
        <f t="shared" si="98"/>
        <v>61889.992522687462</v>
      </c>
      <c r="L30" s="62">
        <f t="shared" si="98"/>
        <v>63737.178736293892</v>
      </c>
      <c r="M30" s="62">
        <f t="shared" si="98"/>
        <v>65771.982974774524</v>
      </c>
      <c r="N30" s="62">
        <f t="shared" si="98"/>
        <v>66706.16648504819</v>
      </c>
      <c r="O30" s="62">
        <f t="shared" si="98"/>
        <v>68532.365876152311</v>
      </c>
      <c r="P30" s="62">
        <f t="shared" si="98"/>
        <v>72266.484315868263</v>
      </c>
      <c r="Q30" s="62">
        <f t="shared" si="98"/>
        <v>76821.452060732045</v>
      </c>
      <c r="R30" s="62">
        <f t="shared" si="98"/>
        <v>80107.668872094509</v>
      </c>
      <c r="S30" s="62">
        <f t="shared" si="98"/>
        <v>82975.777335816936</v>
      </c>
      <c r="T30" s="62">
        <f t="shared" si="98"/>
        <v>84188.427535871029</v>
      </c>
      <c r="U30" s="62">
        <f t="shared" si="98"/>
        <v>84170.095073170261</v>
      </c>
      <c r="V30" s="62">
        <f t="shared" si="98"/>
        <v>80190.230364760908</v>
      </c>
      <c r="W30" s="62">
        <f t="shared" ref="W30" si="99">W31+W46</f>
        <v>83163.319056441454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46264.251078780042</v>
      </c>
      <c r="C31" s="29">
        <f t="shared" ref="C31:V31" si="101">C32+C33+C40</f>
        <v>47006.776694753898</v>
      </c>
      <c r="D31" s="29">
        <f t="shared" si="101"/>
        <v>49139.072598067418</v>
      </c>
      <c r="E31" s="29">
        <f t="shared" si="101"/>
        <v>50001.054742122054</v>
      </c>
      <c r="F31" s="29">
        <f t="shared" si="101"/>
        <v>50569.655861697625</v>
      </c>
      <c r="G31" s="29">
        <f t="shared" si="101"/>
        <v>49437.042210313957</v>
      </c>
      <c r="H31" s="29">
        <f t="shared" si="101"/>
        <v>50065.434504305646</v>
      </c>
      <c r="I31" s="29">
        <f t="shared" si="101"/>
        <v>52111.28180551187</v>
      </c>
      <c r="J31" s="29">
        <f t="shared" si="101"/>
        <v>52033.740260856022</v>
      </c>
      <c r="K31" s="29">
        <f t="shared" si="101"/>
        <v>53472.064411566753</v>
      </c>
      <c r="L31" s="29">
        <f t="shared" si="101"/>
        <v>54866.80672943742</v>
      </c>
      <c r="M31" s="29">
        <f t="shared" si="101"/>
        <v>56779.13844600325</v>
      </c>
      <c r="N31" s="29">
        <f t="shared" si="101"/>
        <v>57842.105372382226</v>
      </c>
      <c r="O31" s="29">
        <f t="shared" si="101"/>
        <v>59469.640053852854</v>
      </c>
      <c r="P31" s="29">
        <f t="shared" si="101"/>
        <v>62461.210048834349</v>
      </c>
      <c r="Q31" s="29">
        <f t="shared" si="101"/>
        <v>66536.597657297491</v>
      </c>
      <c r="R31" s="29">
        <f t="shared" si="101"/>
        <v>69565.940406849404</v>
      </c>
      <c r="S31" s="29">
        <f t="shared" si="101"/>
        <v>71875.636884398307</v>
      </c>
      <c r="T31" s="29">
        <f t="shared" si="101"/>
        <v>73024.600176749111</v>
      </c>
      <c r="U31" s="29">
        <f t="shared" si="101"/>
        <v>72955.491813191489</v>
      </c>
      <c r="V31" s="29">
        <f t="shared" si="101"/>
        <v>68859.050265311744</v>
      </c>
      <c r="W31" s="29">
        <f t="shared" ref="W31" si="102">W32+W33+W40</f>
        <v>71364.985147743835</v>
      </c>
      <c r="DA31" s="173" t="s">
        <v>474</v>
      </c>
    </row>
    <row r="32" spans="1:105" ht="11.45" customHeight="1" x14ac:dyDescent="0.25">
      <c r="A32" s="136" t="s">
        <v>180</v>
      </c>
      <c r="B32" s="152">
        <v>435.24</v>
      </c>
      <c r="C32" s="152">
        <v>475.23</v>
      </c>
      <c r="D32" s="152">
        <v>537.54000000000008</v>
      </c>
      <c r="E32" s="152">
        <v>581.25</v>
      </c>
      <c r="F32" s="152">
        <v>626.82000000000005</v>
      </c>
      <c r="G32" s="152">
        <v>646</v>
      </c>
      <c r="H32" s="152">
        <v>708</v>
      </c>
      <c r="I32" s="152">
        <v>786.24</v>
      </c>
      <c r="J32" s="152">
        <v>762.30000000000007</v>
      </c>
      <c r="K32" s="152">
        <v>770.4</v>
      </c>
      <c r="L32" s="152">
        <v>734.4</v>
      </c>
      <c r="M32" s="152">
        <v>710.6</v>
      </c>
      <c r="N32" s="152">
        <v>620.25</v>
      </c>
      <c r="O32" s="152">
        <v>692</v>
      </c>
      <c r="P32" s="152">
        <v>694</v>
      </c>
      <c r="Q32" s="152">
        <v>697.2</v>
      </c>
      <c r="R32" s="152">
        <v>735.71763466312893</v>
      </c>
      <c r="S32" s="152">
        <v>699.39870006445733</v>
      </c>
      <c r="T32" s="152">
        <v>668.78850354438362</v>
      </c>
      <c r="U32" s="152">
        <v>711.49987696516212</v>
      </c>
      <c r="V32" s="152">
        <v>637.32806378741441</v>
      </c>
      <c r="W32" s="152">
        <v>662.70134166261016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44884.011078780044</v>
      </c>
      <c r="C33" s="116">
        <f t="shared" ref="C33:V33" si="104">SUM(C34:C39)</f>
        <v>45607.219525374938</v>
      </c>
      <c r="D33" s="116">
        <f t="shared" si="104"/>
        <v>47674.532598067417</v>
      </c>
      <c r="E33" s="116">
        <f t="shared" si="104"/>
        <v>48506.804742122054</v>
      </c>
      <c r="F33" s="116">
        <f t="shared" si="104"/>
        <v>49057.250243635717</v>
      </c>
      <c r="G33" s="116">
        <f t="shared" si="104"/>
        <v>47915.042210313957</v>
      </c>
      <c r="H33" s="116">
        <f t="shared" si="104"/>
        <v>48485.434504305646</v>
      </c>
      <c r="I33" s="116">
        <f t="shared" si="104"/>
        <v>50466.766483028645</v>
      </c>
      <c r="J33" s="116">
        <f t="shared" si="104"/>
        <v>50419.440260856019</v>
      </c>
      <c r="K33" s="116">
        <f t="shared" si="104"/>
        <v>51849.664411566751</v>
      </c>
      <c r="L33" s="116">
        <f t="shared" si="104"/>
        <v>53233.729182152652</v>
      </c>
      <c r="M33" s="116">
        <f t="shared" si="104"/>
        <v>55146.38196400764</v>
      </c>
      <c r="N33" s="116">
        <f t="shared" si="104"/>
        <v>56262.800123034111</v>
      </c>
      <c r="O33" s="116">
        <f t="shared" si="104"/>
        <v>57814.640053852854</v>
      </c>
      <c r="P33" s="116">
        <f t="shared" si="104"/>
        <v>60809.210048834349</v>
      </c>
      <c r="Q33" s="116">
        <f t="shared" si="104"/>
        <v>64865.397657297493</v>
      </c>
      <c r="R33" s="116">
        <f t="shared" si="104"/>
        <v>67849.222772186273</v>
      </c>
      <c r="S33" s="116">
        <f t="shared" si="104"/>
        <v>70184.238184333852</v>
      </c>
      <c r="T33" s="116">
        <f t="shared" si="104"/>
        <v>71360.81167320472</v>
      </c>
      <c r="U33" s="116">
        <f t="shared" si="104"/>
        <v>71251.991936226332</v>
      </c>
      <c r="V33" s="116">
        <f t="shared" si="104"/>
        <v>67312.809201524331</v>
      </c>
      <c r="W33" s="116">
        <f t="shared" ref="W33" si="105">SUM(W34:W39)</f>
        <v>69815.214806081218</v>
      </c>
      <c r="DA33" s="176" t="s">
        <v>476</v>
      </c>
    </row>
    <row r="34" spans="1:105" ht="11.45" customHeight="1" x14ac:dyDescent="0.25">
      <c r="A34" s="111" t="s">
        <v>110</v>
      </c>
      <c r="B34" s="87">
        <v>40126.993384852707</v>
      </c>
      <c r="C34" s="87">
        <v>41004.596528538117</v>
      </c>
      <c r="D34" s="87">
        <v>42845.686589619181</v>
      </c>
      <c r="E34" s="87">
        <v>43476.602926027292</v>
      </c>
      <c r="F34" s="87">
        <v>43794.691869941431</v>
      </c>
      <c r="G34" s="87">
        <v>42331.410641928815</v>
      </c>
      <c r="H34" s="87">
        <v>41929.531081410321</v>
      </c>
      <c r="I34" s="87">
        <v>41739.8183397787</v>
      </c>
      <c r="J34" s="87">
        <v>40173.713641513277</v>
      </c>
      <c r="K34" s="87">
        <v>39587.870968231589</v>
      </c>
      <c r="L34" s="87">
        <v>37885.697790087375</v>
      </c>
      <c r="M34" s="87">
        <v>35817.205574801585</v>
      </c>
      <c r="N34" s="87">
        <v>33367.218305835624</v>
      </c>
      <c r="O34" s="87">
        <v>31908.236465773836</v>
      </c>
      <c r="P34" s="87">
        <v>31197.200674233627</v>
      </c>
      <c r="Q34" s="87">
        <v>30893.747872634154</v>
      </c>
      <c r="R34" s="87">
        <v>30242.818646961976</v>
      </c>
      <c r="S34" s="87">
        <v>29800.581352620156</v>
      </c>
      <c r="T34" s="87">
        <v>29213.853993579192</v>
      </c>
      <c r="U34" s="87">
        <v>29103.868523796416</v>
      </c>
      <c r="V34" s="87">
        <v>27434.045636564548</v>
      </c>
      <c r="W34" s="87">
        <v>28334.152107082038</v>
      </c>
      <c r="DA34" s="171" t="s">
        <v>477</v>
      </c>
    </row>
    <row r="35" spans="1:105" ht="11.45" customHeight="1" x14ac:dyDescent="0.25">
      <c r="A35" s="111" t="s">
        <v>111</v>
      </c>
      <c r="B35" s="87">
        <v>4757.0176939273379</v>
      </c>
      <c r="C35" s="87">
        <v>4602.6229968368234</v>
      </c>
      <c r="D35" s="87">
        <v>4812.6194761777815</v>
      </c>
      <c r="E35" s="87">
        <v>4997.8815781407111</v>
      </c>
      <c r="F35" s="87">
        <v>5212.3517939380499</v>
      </c>
      <c r="G35" s="87">
        <v>5504.7459416563324</v>
      </c>
      <c r="H35" s="87">
        <v>6476.778547132787</v>
      </c>
      <c r="I35" s="87">
        <v>8636.8886904206338</v>
      </c>
      <c r="J35" s="87">
        <v>10141.953680543191</v>
      </c>
      <c r="K35" s="87">
        <v>12145.81949699454</v>
      </c>
      <c r="L35" s="87">
        <v>15109.583395835407</v>
      </c>
      <c r="M35" s="87">
        <v>18981.878827619315</v>
      </c>
      <c r="N35" s="87">
        <v>22463.562809229032</v>
      </c>
      <c r="O35" s="87">
        <v>25421.311315238912</v>
      </c>
      <c r="P35" s="87">
        <v>29004.99076864637</v>
      </c>
      <c r="Q35" s="87">
        <v>33199.589562351393</v>
      </c>
      <c r="R35" s="87">
        <v>36565.261040104124</v>
      </c>
      <c r="S35" s="87">
        <v>39155.325376043402</v>
      </c>
      <c r="T35" s="87">
        <v>40661.168343934733</v>
      </c>
      <c r="U35" s="87">
        <v>40298.207087373456</v>
      </c>
      <c r="V35" s="87">
        <v>37042.409855791841</v>
      </c>
      <c r="W35" s="87">
        <v>36886.354099755641</v>
      </c>
      <c r="DA35" s="171" t="s">
        <v>478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6.4059283240646483</v>
      </c>
      <c r="H36" s="87">
        <v>5.9139138341191648</v>
      </c>
      <c r="I36" s="87">
        <v>5.8672053124917367</v>
      </c>
      <c r="J36" s="87">
        <v>6.0789145530071771</v>
      </c>
      <c r="K36" s="87">
        <v>7.995428036885956</v>
      </c>
      <c r="L36" s="87">
        <v>6.8459921099265033</v>
      </c>
      <c r="M36" s="87">
        <v>9.3773394214612686</v>
      </c>
      <c r="N36" s="87">
        <v>9.1135112080389433</v>
      </c>
      <c r="O36" s="87">
        <v>9.062401858110281</v>
      </c>
      <c r="P36" s="87">
        <v>9.1214877190555708</v>
      </c>
      <c r="Q36" s="87">
        <v>9.2617584895384972</v>
      </c>
      <c r="R36" s="87">
        <v>8.7829327085010309</v>
      </c>
      <c r="S36" s="87">
        <v>0</v>
      </c>
      <c r="T36" s="87">
        <v>0</v>
      </c>
      <c r="U36" s="87">
        <v>0</v>
      </c>
      <c r="V36" s="87">
        <v>0</v>
      </c>
      <c r="W36" s="87">
        <v>0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16.226532270452527</v>
      </c>
      <c r="E37" s="87">
        <v>32.32023795404983</v>
      </c>
      <c r="F37" s="87">
        <v>50.206579756240991</v>
      </c>
      <c r="G37" s="87">
        <v>72.479698404745392</v>
      </c>
      <c r="H37" s="87">
        <v>73.210961928413241</v>
      </c>
      <c r="I37" s="87">
        <v>84.192247516814362</v>
      </c>
      <c r="J37" s="87">
        <v>94.061029179129875</v>
      </c>
      <c r="K37" s="87">
        <v>103.5437614514816</v>
      </c>
      <c r="L37" s="87">
        <v>226.29686373154294</v>
      </c>
      <c r="M37" s="87">
        <v>327.66466863564767</v>
      </c>
      <c r="N37" s="87">
        <v>402.12848430971707</v>
      </c>
      <c r="O37" s="87">
        <v>443.61138888112635</v>
      </c>
      <c r="P37" s="87">
        <v>510.37675704464016</v>
      </c>
      <c r="Q37" s="87">
        <v>580.56544040076278</v>
      </c>
      <c r="R37" s="87">
        <v>708.33042420882032</v>
      </c>
      <c r="S37" s="87">
        <v>706.60126952550308</v>
      </c>
      <c r="T37" s="87">
        <v>689.06565483644874</v>
      </c>
      <c r="U37" s="87">
        <v>658.30514875942265</v>
      </c>
      <c r="V37" s="87">
        <v>642.2428405335819</v>
      </c>
      <c r="W37" s="87">
        <v>640.30799147422715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1.416923795346519</v>
      </c>
      <c r="K38" s="87">
        <v>1.7372327506918628</v>
      </c>
      <c r="L38" s="87">
        <v>2.037970809838896</v>
      </c>
      <c r="M38" s="87">
        <v>3.953474697780853</v>
      </c>
      <c r="N38" s="87">
        <v>10.375766743209963</v>
      </c>
      <c r="O38" s="87">
        <v>14.986793241233183</v>
      </c>
      <c r="P38" s="87">
        <v>50.029365901192755</v>
      </c>
      <c r="Q38" s="87">
        <v>99.90728876448928</v>
      </c>
      <c r="R38" s="87">
        <v>193.90774362086356</v>
      </c>
      <c r="S38" s="87">
        <v>331.14527134987134</v>
      </c>
      <c r="T38" s="87">
        <v>508.91194046830367</v>
      </c>
      <c r="U38" s="87">
        <v>667.84849694548734</v>
      </c>
      <c r="V38" s="87">
        <v>1223.5975130887293</v>
      </c>
      <c r="W38" s="87">
        <v>1958.3401290412762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2.2160712720645082</v>
      </c>
      <c r="K39" s="87">
        <v>2.6975241015709668</v>
      </c>
      <c r="L39" s="87">
        <v>3.2671695785597272</v>
      </c>
      <c r="M39" s="87">
        <v>6.3020788318516479</v>
      </c>
      <c r="N39" s="87">
        <v>10.401245708493086</v>
      </c>
      <c r="O39" s="87">
        <v>17.431688859645931</v>
      </c>
      <c r="P39" s="87">
        <v>37.49099528946077</v>
      </c>
      <c r="Q39" s="87">
        <v>82.325734657153191</v>
      </c>
      <c r="R39" s="87">
        <v>130.12198458198816</v>
      </c>
      <c r="S39" s="87">
        <v>190.58491479491613</v>
      </c>
      <c r="T39" s="87">
        <v>287.81174038605513</v>
      </c>
      <c r="U39" s="87">
        <v>523.76267935155852</v>
      </c>
      <c r="V39" s="87">
        <v>970.51335554564093</v>
      </c>
      <c r="W39" s="87">
        <v>1996.0604787280267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945</v>
      </c>
      <c r="C40" s="116">
        <f t="shared" ref="C40:V40" si="107">SUM(C41:C45)</f>
        <v>924.32716937896066</v>
      </c>
      <c r="D40" s="116">
        <f t="shared" si="107"/>
        <v>927</v>
      </c>
      <c r="E40" s="116">
        <f t="shared" si="107"/>
        <v>913</v>
      </c>
      <c r="F40" s="116">
        <f t="shared" si="107"/>
        <v>885.58561806190846</v>
      </c>
      <c r="G40" s="116">
        <f t="shared" si="107"/>
        <v>875.99999999999989</v>
      </c>
      <c r="H40" s="116">
        <f t="shared" si="107"/>
        <v>872.00000000000011</v>
      </c>
      <c r="I40" s="116">
        <f t="shared" si="107"/>
        <v>858.27532248322871</v>
      </c>
      <c r="J40" s="116">
        <f t="shared" si="107"/>
        <v>852</v>
      </c>
      <c r="K40" s="116">
        <f t="shared" si="107"/>
        <v>852</v>
      </c>
      <c r="L40" s="116">
        <f t="shared" si="107"/>
        <v>898.67754728476302</v>
      </c>
      <c r="M40" s="116">
        <f t="shared" si="107"/>
        <v>922.15648199561213</v>
      </c>
      <c r="N40" s="116">
        <f t="shared" si="107"/>
        <v>959.05524934811524</v>
      </c>
      <c r="O40" s="116">
        <f t="shared" si="107"/>
        <v>963</v>
      </c>
      <c r="P40" s="116">
        <f t="shared" si="107"/>
        <v>958</v>
      </c>
      <c r="Q40" s="116">
        <f t="shared" si="107"/>
        <v>974</v>
      </c>
      <c r="R40" s="116">
        <f t="shared" si="107"/>
        <v>981</v>
      </c>
      <c r="S40" s="116">
        <f t="shared" si="107"/>
        <v>991.99999999999989</v>
      </c>
      <c r="T40" s="116">
        <f t="shared" si="107"/>
        <v>995.00000000000011</v>
      </c>
      <c r="U40" s="116">
        <f t="shared" si="107"/>
        <v>992</v>
      </c>
      <c r="V40" s="116">
        <f t="shared" si="107"/>
        <v>908.9129999999999</v>
      </c>
      <c r="W40" s="116">
        <f t="shared" ref="W40" si="108">SUM(W41:W45)</f>
        <v>887.06900000000007</v>
      </c>
      <c r="DA40" s="176" t="s">
        <v>483</v>
      </c>
    </row>
    <row r="41" spans="1:105" ht="11.45" customHeight="1" x14ac:dyDescent="0.25">
      <c r="A41" s="111" t="s">
        <v>110</v>
      </c>
      <c r="B41" s="101">
        <v>29.830908512693121</v>
      </c>
      <c r="C41" s="101">
        <v>24.62447286820418</v>
      </c>
      <c r="D41" s="101">
        <v>20.225868069663331</v>
      </c>
      <c r="E41" s="101">
        <v>15.981127387283598</v>
      </c>
      <c r="F41" s="101">
        <v>12.05684959165176</v>
      </c>
      <c r="G41" s="101">
        <v>8.5661227391831734</v>
      </c>
      <c r="H41" s="101">
        <v>7.0890186971732403</v>
      </c>
      <c r="I41" s="101">
        <v>5.9200603719618918</v>
      </c>
      <c r="J41" s="101">
        <v>4.8597271675561986</v>
      </c>
      <c r="K41" s="101">
        <v>4.4646371878229747</v>
      </c>
      <c r="L41" s="101">
        <v>1.8517704364560768</v>
      </c>
      <c r="M41" s="101">
        <v>3.3279121509092127</v>
      </c>
      <c r="N41" s="101">
        <v>2.788931819101347</v>
      </c>
      <c r="O41" s="101">
        <v>2.7906205162584921</v>
      </c>
      <c r="P41" s="101">
        <v>2.6131060886928359</v>
      </c>
      <c r="Q41" s="101">
        <v>2.4249986459496067</v>
      </c>
      <c r="R41" s="101">
        <v>2.6994823964651227</v>
      </c>
      <c r="S41" s="101">
        <v>2.568756831148713</v>
      </c>
      <c r="T41" s="101">
        <v>2.524139694899961</v>
      </c>
      <c r="U41" s="101">
        <v>2.2501752315783539</v>
      </c>
      <c r="V41" s="101">
        <v>2.2131292123515394</v>
      </c>
      <c r="W41" s="101">
        <v>2.0147238626659569</v>
      </c>
      <c r="DA41" s="175" t="s">
        <v>484</v>
      </c>
    </row>
    <row r="42" spans="1:105" ht="11.45" customHeight="1" x14ac:dyDescent="0.25">
      <c r="A42" s="111" t="s">
        <v>111</v>
      </c>
      <c r="B42" s="101">
        <v>891.28481652953735</v>
      </c>
      <c r="C42" s="101">
        <v>872.78492084880907</v>
      </c>
      <c r="D42" s="101">
        <v>878.44578234294272</v>
      </c>
      <c r="E42" s="101">
        <v>867.46759892103239</v>
      </c>
      <c r="F42" s="101">
        <v>841.62620259271603</v>
      </c>
      <c r="G42" s="101">
        <v>797.51080108784163</v>
      </c>
      <c r="H42" s="101">
        <v>822.75975114032826</v>
      </c>
      <c r="I42" s="101">
        <v>802.19477170513619</v>
      </c>
      <c r="J42" s="101">
        <v>779.03900846890713</v>
      </c>
      <c r="K42" s="101">
        <v>759.44643620354191</v>
      </c>
      <c r="L42" s="101">
        <v>787.74486434859614</v>
      </c>
      <c r="M42" s="101">
        <v>771.65371482598778</v>
      </c>
      <c r="N42" s="101">
        <v>795.02109118848807</v>
      </c>
      <c r="O42" s="101">
        <v>776.2421949611894</v>
      </c>
      <c r="P42" s="101">
        <v>767.20114312927922</v>
      </c>
      <c r="Q42" s="101">
        <v>783.2084755954304</v>
      </c>
      <c r="R42" s="101">
        <v>793.6071482870002</v>
      </c>
      <c r="S42" s="101">
        <v>799.72322600468476</v>
      </c>
      <c r="T42" s="101">
        <v>805.51247423130894</v>
      </c>
      <c r="U42" s="101">
        <v>801.48532287806211</v>
      </c>
      <c r="V42" s="101">
        <v>699.38134531097398</v>
      </c>
      <c r="W42" s="101">
        <v>683.68029219193454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23.080513730460048</v>
      </c>
      <c r="C44" s="101">
        <v>26.112375192026477</v>
      </c>
      <c r="D44" s="101">
        <v>27.662503028497362</v>
      </c>
      <c r="E44" s="101">
        <v>28.789649814526751</v>
      </c>
      <c r="F44" s="101">
        <v>31.14055810672691</v>
      </c>
      <c r="G44" s="101">
        <v>69.301540712322449</v>
      </c>
      <c r="H44" s="101">
        <v>41.575572009708324</v>
      </c>
      <c r="I44" s="101">
        <v>49.679961869738698</v>
      </c>
      <c r="J44" s="101">
        <v>67.715361811043309</v>
      </c>
      <c r="K44" s="101">
        <v>87.702610304948607</v>
      </c>
      <c r="L44" s="101">
        <v>108.88701283557604</v>
      </c>
      <c r="M44" s="101">
        <v>146.98015994893009</v>
      </c>
      <c r="N44" s="101">
        <v>160.95194818715672</v>
      </c>
      <c r="O44" s="101">
        <v>183.57462397468279</v>
      </c>
      <c r="P44" s="101">
        <v>187.64537139704689</v>
      </c>
      <c r="Q44" s="101">
        <v>187.38246833707521</v>
      </c>
      <c r="R44" s="101">
        <v>182.83227570911191</v>
      </c>
      <c r="S44" s="101">
        <v>187.07725648820218</v>
      </c>
      <c r="T44" s="101">
        <v>182.09732057623773</v>
      </c>
      <c r="U44" s="101">
        <v>175.32638371704937</v>
      </c>
      <c r="V44" s="101">
        <v>184.75238743308728</v>
      </c>
      <c r="W44" s="101">
        <v>169.53689174095902</v>
      </c>
      <c r="DA44" s="175" t="s">
        <v>487</v>
      </c>
    </row>
    <row r="45" spans="1:105" ht="11.45" customHeight="1" x14ac:dyDescent="0.25">
      <c r="A45" s="111" t="s">
        <v>115</v>
      </c>
      <c r="B45" s="101">
        <v>0.80376122730946542</v>
      </c>
      <c r="C45" s="101">
        <v>0.80540046992101322</v>
      </c>
      <c r="D45" s="101">
        <v>0.66584655889661604</v>
      </c>
      <c r="E45" s="101">
        <v>0.76162387715724833</v>
      </c>
      <c r="F45" s="101">
        <v>0.76200777081387105</v>
      </c>
      <c r="G45" s="101">
        <v>0.62153546065273746</v>
      </c>
      <c r="H45" s="101">
        <v>0.57565815279022114</v>
      </c>
      <c r="I45" s="101">
        <v>0.48052853639196291</v>
      </c>
      <c r="J45" s="101">
        <v>0.38590255249332944</v>
      </c>
      <c r="K45" s="101">
        <v>0.38631630368648312</v>
      </c>
      <c r="L45" s="101">
        <v>0.19389966413479962</v>
      </c>
      <c r="M45" s="101">
        <v>0.19469506978492915</v>
      </c>
      <c r="N45" s="101">
        <v>0.29327815336908131</v>
      </c>
      <c r="O45" s="101">
        <v>0.39256054786927203</v>
      </c>
      <c r="P45" s="101">
        <v>0.54037938498102311</v>
      </c>
      <c r="Q45" s="101">
        <v>0.98405742154476805</v>
      </c>
      <c r="R45" s="101">
        <v>1.8610936074228095</v>
      </c>
      <c r="S45" s="101">
        <v>2.6307606759643267</v>
      </c>
      <c r="T45" s="101">
        <v>4.8660654975534063</v>
      </c>
      <c r="U45" s="101">
        <v>12.938118173310105</v>
      </c>
      <c r="V45" s="101">
        <v>22.56613804358707</v>
      </c>
      <c r="W45" s="101">
        <v>31.837092204440498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5994.6924957424326</v>
      </c>
      <c r="C46" s="29">
        <f t="shared" ref="C46:V46" si="110">C47+C53</f>
        <v>6560.7446205583492</v>
      </c>
      <c r="D46" s="29">
        <f t="shared" si="110"/>
        <v>6946.7433817599749</v>
      </c>
      <c r="E46" s="29">
        <f t="shared" si="110"/>
        <v>7225.863121758025</v>
      </c>
      <c r="F46" s="29">
        <f t="shared" si="110"/>
        <v>7835.5313564846338</v>
      </c>
      <c r="G46" s="29">
        <f t="shared" si="110"/>
        <v>7773.4887106042452</v>
      </c>
      <c r="H46" s="29">
        <f t="shared" si="110"/>
        <v>8173.2194402074783</v>
      </c>
      <c r="I46" s="29">
        <f t="shared" si="110"/>
        <v>8539.4708607264729</v>
      </c>
      <c r="J46" s="29">
        <f t="shared" si="110"/>
        <v>8723.8392114338894</v>
      </c>
      <c r="K46" s="29">
        <f t="shared" si="110"/>
        <v>8417.9281111207092</v>
      </c>
      <c r="L46" s="29">
        <f t="shared" si="110"/>
        <v>8870.3720068564762</v>
      </c>
      <c r="M46" s="29">
        <f t="shared" si="110"/>
        <v>8992.8445287712675</v>
      </c>
      <c r="N46" s="29">
        <f t="shared" si="110"/>
        <v>8864.0611126659624</v>
      </c>
      <c r="O46" s="29">
        <f t="shared" si="110"/>
        <v>9062.7258222994533</v>
      </c>
      <c r="P46" s="29">
        <f t="shared" si="110"/>
        <v>9805.2742670339157</v>
      </c>
      <c r="Q46" s="29">
        <f t="shared" si="110"/>
        <v>10284.854403434558</v>
      </c>
      <c r="R46" s="29">
        <f t="shared" si="110"/>
        <v>10541.728465245109</v>
      </c>
      <c r="S46" s="29">
        <f t="shared" si="110"/>
        <v>11100.140451418636</v>
      </c>
      <c r="T46" s="29">
        <f t="shared" si="110"/>
        <v>11163.827359121913</v>
      </c>
      <c r="U46" s="29">
        <f t="shared" si="110"/>
        <v>11214.603259978776</v>
      </c>
      <c r="V46" s="29">
        <f t="shared" si="110"/>
        <v>11331.18009944917</v>
      </c>
      <c r="W46" s="29">
        <f t="shared" ref="W46" si="111">W47+W53</f>
        <v>11798.333908697612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3197.2939981165973</v>
      </c>
      <c r="C47" s="152">
        <f t="shared" ref="C47:V47" si="113">SUM(C48:C52)</f>
        <v>3764.3475779375599</v>
      </c>
      <c r="D47" s="152">
        <f t="shared" si="113"/>
        <v>4092.9217288581499</v>
      </c>
      <c r="E47" s="152">
        <f t="shared" si="113"/>
        <v>4424.8938511970246</v>
      </c>
      <c r="F47" s="152">
        <f t="shared" si="113"/>
        <v>4887.7402564974072</v>
      </c>
      <c r="G47" s="152">
        <f t="shared" si="113"/>
        <v>4624.5771747902772</v>
      </c>
      <c r="H47" s="152">
        <f t="shared" si="113"/>
        <v>4974.139329488673</v>
      </c>
      <c r="I47" s="152">
        <f t="shared" si="113"/>
        <v>5199.9082463822688</v>
      </c>
      <c r="J47" s="152">
        <f t="shared" si="113"/>
        <v>5332.3138421426474</v>
      </c>
      <c r="K47" s="152">
        <f t="shared" si="113"/>
        <v>5360.9806087717252</v>
      </c>
      <c r="L47" s="152">
        <f t="shared" si="113"/>
        <v>5700.0475678035973</v>
      </c>
      <c r="M47" s="152">
        <f t="shared" si="113"/>
        <v>5901.5536544171973</v>
      </c>
      <c r="N47" s="152">
        <f t="shared" si="113"/>
        <v>5968.3465333561744</v>
      </c>
      <c r="O47" s="152">
        <f t="shared" si="113"/>
        <v>6086.238725711687</v>
      </c>
      <c r="P47" s="152">
        <f t="shared" si="113"/>
        <v>6279.2733830730704</v>
      </c>
      <c r="Q47" s="152">
        <f t="shared" si="113"/>
        <v>6677.9450206795782</v>
      </c>
      <c r="R47" s="152">
        <f t="shared" si="113"/>
        <v>6872.2994355110477</v>
      </c>
      <c r="S47" s="152">
        <f t="shared" si="113"/>
        <v>7412.0303218625495</v>
      </c>
      <c r="T47" s="152">
        <f t="shared" si="113"/>
        <v>7345.4130853819579</v>
      </c>
      <c r="U47" s="152">
        <f t="shared" si="113"/>
        <v>7461.7764283383267</v>
      </c>
      <c r="V47" s="152">
        <f t="shared" si="113"/>
        <v>7546.3498003575733</v>
      </c>
      <c r="W47" s="152">
        <f t="shared" ref="W47" si="114">SUM(W48:W52)</f>
        <v>7723.3704242512058</v>
      </c>
      <c r="DA47" s="174" t="s">
        <v>490</v>
      </c>
    </row>
    <row r="48" spans="1:105" ht="11.45" customHeight="1" x14ac:dyDescent="0.25">
      <c r="A48" s="111" t="s">
        <v>110</v>
      </c>
      <c r="B48" s="87">
        <v>1318.5661464712628</v>
      </c>
      <c r="C48" s="87">
        <v>1299.978716874909</v>
      </c>
      <c r="D48" s="87">
        <v>1213.8302363190824</v>
      </c>
      <c r="E48" s="87">
        <v>1085.2672388798301</v>
      </c>
      <c r="F48" s="87">
        <v>976.56091120555027</v>
      </c>
      <c r="G48" s="87">
        <v>909.15714512201737</v>
      </c>
      <c r="H48" s="87">
        <v>805.94214984655764</v>
      </c>
      <c r="I48" s="87">
        <v>747.0587262197763</v>
      </c>
      <c r="J48" s="87">
        <v>668.69592332195805</v>
      </c>
      <c r="K48" s="87">
        <v>611.56814932936538</v>
      </c>
      <c r="L48" s="87">
        <v>541.59616964579664</v>
      </c>
      <c r="M48" s="87">
        <v>507.00074628381293</v>
      </c>
      <c r="N48" s="87">
        <v>443.6289104308907</v>
      </c>
      <c r="O48" s="87">
        <v>388.45742223186795</v>
      </c>
      <c r="P48" s="87">
        <v>357.83548703404256</v>
      </c>
      <c r="Q48" s="87">
        <v>342.43993379052995</v>
      </c>
      <c r="R48" s="87">
        <v>283.60751319090576</v>
      </c>
      <c r="S48" s="87">
        <v>249.64286868349947</v>
      </c>
      <c r="T48" s="87">
        <v>244.56600859146957</v>
      </c>
      <c r="U48" s="87">
        <v>245.52810244234021</v>
      </c>
      <c r="V48" s="87">
        <v>251.87259740955946</v>
      </c>
      <c r="W48" s="87">
        <v>271.37987615438016</v>
      </c>
      <c r="DA48" s="171" t="s">
        <v>491</v>
      </c>
    </row>
    <row r="49" spans="1:105" ht="11.45" customHeight="1" x14ac:dyDescent="0.25">
      <c r="A49" s="111" t="s">
        <v>111</v>
      </c>
      <c r="B49" s="87">
        <v>1878.7278516453343</v>
      </c>
      <c r="C49" s="87">
        <v>2464.3444564593724</v>
      </c>
      <c r="D49" s="87">
        <v>2878.9471222885986</v>
      </c>
      <c r="E49" s="87">
        <v>3339.2286152946522</v>
      </c>
      <c r="F49" s="87">
        <v>3910.5270219647437</v>
      </c>
      <c r="G49" s="87">
        <v>3714.149984895721</v>
      </c>
      <c r="H49" s="87">
        <v>4163.4444689202282</v>
      </c>
      <c r="I49" s="87">
        <v>4444.5648111298269</v>
      </c>
      <c r="J49" s="87">
        <v>4649.4533409084206</v>
      </c>
      <c r="K49" s="87">
        <v>4727.9182604719372</v>
      </c>
      <c r="L49" s="87">
        <v>5133.7010686231542</v>
      </c>
      <c r="M49" s="87">
        <v>5367.0878255092875</v>
      </c>
      <c r="N49" s="87">
        <v>5491.2044944733634</v>
      </c>
      <c r="O49" s="87">
        <v>5661.4257041977262</v>
      </c>
      <c r="P49" s="87">
        <v>5881.2959110051916</v>
      </c>
      <c r="Q49" s="87">
        <v>6288.0939285585446</v>
      </c>
      <c r="R49" s="87">
        <v>6537.3272325479766</v>
      </c>
      <c r="S49" s="87">
        <v>7102.4536591607139</v>
      </c>
      <c r="T49" s="87">
        <v>7004.3837864241805</v>
      </c>
      <c r="U49" s="87">
        <v>7107.7103660404273</v>
      </c>
      <c r="V49" s="87">
        <v>7170.2318807755855</v>
      </c>
      <c r="W49" s="87">
        <v>7306.5977750195334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2.4404603278483848E-2</v>
      </c>
      <c r="D51" s="87">
        <v>0.14437025046893689</v>
      </c>
      <c r="E51" s="87">
        <v>0.39799702254270553</v>
      </c>
      <c r="F51" s="87">
        <v>0.65232332711380314</v>
      </c>
      <c r="G51" s="87">
        <v>1.2549367257962774</v>
      </c>
      <c r="H51" s="87">
        <v>3.186597269791609</v>
      </c>
      <c r="I51" s="87">
        <v>6.8010680740516296</v>
      </c>
      <c r="J51" s="87">
        <v>12.687842777294009</v>
      </c>
      <c r="K51" s="87">
        <v>20.016921125821</v>
      </c>
      <c r="L51" s="87">
        <v>23.307166935083046</v>
      </c>
      <c r="M51" s="87">
        <v>25.989246596052229</v>
      </c>
      <c r="N51" s="87">
        <v>30.7271339028288</v>
      </c>
      <c r="O51" s="87">
        <v>32.18240522078991</v>
      </c>
      <c r="P51" s="87">
        <v>33.798264135223917</v>
      </c>
      <c r="Q51" s="87">
        <v>37.921936125690252</v>
      </c>
      <c r="R51" s="87">
        <v>39.528476846067072</v>
      </c>
      <c r="S51" s="87">
        <v>45.111814126820363</v>
      </c>
      <c r="T51" s="87">
        <v>76.245866412136451</v>
      </c>
      <c r="U51" s="87">
        <v>78.569483706078415</v>
      </c>
      <c r="V51" s="87">
        <v>79.760787518216446</v>
      </c>
      <c r="W51" s="87">
        <v>80.257839175054627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1.5108046743531589E-2</v>
      </c>
      <c r="H52" s="87">
        <v>1.5661134520951254</v>
      </c>
      <c r="I52" s="87">
        <v>1.4836409586137846</v>
      </c>
      <c r="J52" s="87">
        <v>1.4767351349756686</v>
      </c>
      <c r="K52" s="87">
        <v>1.477277844602169</v>
      </c>
      <c r="L52" s="87">
        <v>1.443162599562783</v>
      </c>
      <c r="M52" s="87">
        <v>1.4758360280447076</v>
      </c>
      <c r="N52" s="87">
        <v>2.7859945490917859</v>
      </c>
      <c r="O52" s="87">
        <v>4.1731940613027776</v>
      </c>
      <c r="P52" s="87">
        <v>6.3437208986125819</v>
      </c>
      <c r="Q52" s="87">
        <v>9.4892222048136432</v>
      </c>
      <c r="R52" s="87">
        <v>11.836212926098854</v>
      </c>
      <c r="S52" s="87">
        <v>14.821979891515111</v>
      </c>
      <c r="T52" s="87">
        <v>20.217423954171064</v>
      </c>
      <c r="U52" s="87">
        <v>29.968476149480999</v>
      </c>
      <c r="V52" s="87">
        <v>44.484534654211764</v>
      </c>
      <c r="W52" s="87">
        <v>65.13493390223752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2797.3984976258353</v>
      </c>
      <c r="C53" s="116">
        <f t="shared" ref="C53:V53" si="116">SUM(C54:C55)</f>
        <v>2796.3970426207889</v>
      </c>
      <c r="D53" s="116">
        <f t="shared" si="116"/>
        <v>2853.821652901825</v>
      </c>
      <c r="E53" s="116">
        <f t="shared" si="116"/>
        <v>2800.9692705610005</v>
      </c>
      <c r="F53" s="116">
        <f t="shared" si="116"/>
        <v>2947.7910999872265</v>
      </c>
      <c r="G53" s="116">
        <f t="shared" si="116"/>
        <v>3148.9115358139679</v>
      </c>
      <c r="H53" s="116">
        <f t="shared" si="116"/>
        <v>3199.0801107188054</v>
      </c>
      <c r="I53" s="116">
        <f t="shared" si="116"/>
        <v>3339.5626143442041</v>
      </c>
      <c r="J53" s="116">
        <f t="shared" si="116"/>
        <v>3391.525369291242</v>
      </c>
      <c r="K53" s="116">
        <f t="shared" si="116"/>
        <v>3056.9475023489845</v>
      </c>
      <c r="L53" s="116">
        <f t="shared" si="116"/>
        <v>3170.3244390528794</v>
      </c>
      <c r="M53" s="116">
        <f t="shared" si="116"/>
        <v>3091.2908743540702</v>
      </c>
      <c r="N53" s="116">
        <f t="shared" si="116"/>
        <v>2895.714579309788</v>
      </c>
      <c r="O53" s="116">
        <f t="shared" si="116"/>
        <v>2976.4870965877672</v>
      </c>
      <c r="P53" s="116">
        <f t="shared" si="116"/>
        <v>3526.0008839608458</v>
      </c>
      <c r="Q53" s="116">
        <f t="shared" si="116"/>
        <v>3606.9093827549805</v>
      </c>
      <c r="R53" s="116">
        <f t="shared" si="116"/>
        <v>3669.4290297340622</v>
      </c>
      <c r="S53" s="116">
        <f t="shared" si="116"/>
        <v>3688.1101295560875</v>
      </c>
      <c r="T53" s="116">
        <f t="shared" si="116"/>
        <v>3818.4142737399557</v>
      </c>
      <c r="U53" s="116">
        <f t="shared" si="116"/>
        <v>3752.8268316404487</v>
      </c>
      <c r="V53" s="116">
        <f t="shared" si="116"/>
        <v>3784.8302990915968</v>
      </c>
      <c r="W53" s="116">
        <f t="shared" ref="W53" si="117">SUM(W54:W55)</f>
        <v>4074.9634844464063</v>
      </c>
      <c r="DA53" s="176" t="s">
        <v>496</v>
      </c>
    </row>
    <row r="54" spans="1:105" ht="11.45" customHeight="1" x14ac:dyDescent="0.25">
      <c r="A54" s="128" t="s">
        <v>27</v>
      </c>
      <c r="B54" s="101">
        <v>2270</v>
      </c>
      <c r="C54" s="101">
        <v>2231</v>
      </c>
      <c r="D54" s="101">
        <v>2259</v>
      </c>
      <c r="E54" s="101">
        <v>2193</v>
      </c>
      <c r="F54" s="101">
        <v>2229</v>
      </c>
      <c r="G54" s="101">
        <v>2405</v>
      </c>
      <c r="H54" s="101">
        <v>2396</v>
      </c>
      <c r="I54" s="101">
        <v>2522</v>
      </c>
      <c r="J54" s="101">
        <v>2605</v>
      </c>
      <c r="K54" s="101">
        <v>2426</v>
      </c>
      <c r="L54" s="101">
        <v>2485</v>
      </c>
      <c r="M54" s="101">
        <v>2419</v>
      </c>
      <c r="N54" s="101">
        <v>2241</v>
      </c>
      <c r="O54" s="101">
        <v>2232</v>
      </c>
      <c r="P54" s="101">
        <v>2818</v>
      </c>
      <c r="Q54" s="101">
        <v>2800</v>
      </c>
      <c r="R54" s="101">
        <v>2809</v>
      </c>
      <c r="S54" s="101">
        <v>2842</v>
      </c>
      <c r="T54" s="101">
        <v>2958</v>
      </c>
      <c r="U54" s="101">
        <v>2945</v>
      </c>
      <c r="V54" s="101">
        <v>2949</v>
      </c>
      <c r="W54" s="101">
        <v>3155</v>
      </c>
      <c r="DA54" s="175" t="s">
        <v>497</v>
      </c>
    </row>
    <row r="55" spans="1:105" ht="11.45" customHeight="1" x14ac:dyDescent="0.25">
      <c r="A55" s="138" t="s">
        <v>116</v>
      </c>
      <c r="B55" s="88">
        <v>527.39849762583549</v>
      </c>
      <c r="C55" s="88">
        <v>565.39704262078897</v>
      </c>
      <c r="D55" s="88">
        <v>594.82165290182513</v>
      </c>
      <c r="E55" s="88">
        <v>607.96927056100071</v>
      </c>
      <c r="F55" s="88">
        <v>718.79109998722674</v>
      </c>
      <c r="G55" s="88">
        <v>743.91153581396782</v>
      </c>
      <c r="H55" s="88">
        <v>803.0801107188056</v>
      </c>
      <c r="I55" s="88">
        <v>817.56261434420412</v>
      </c>
      <c r="J55" s="88">
        <v>786.52536929124221</v>
      </c>
      <c r="K55" s="88">
        <v>630.94750234898436</v>
      </c>
      <c r="L55" s="88">
        <v>685.32443905287948</v>
      </c>
      <c r="M55" s="88">
        <v>672.29087435407007</v>
      </c>
      <c r="N55" s="88">
        <v>654.71457930978784</v>
      </c>
      <c r="O55" s="88">
        <v>744.48709658776716</v>
      </c>
      <c r="P55" s="88">
        <v>708.00088396084573</v>
      </c>
      <c r="Q55" s="88">
        <v>806.90938275498036</v>
      </c>
      <c r="R55" s="88">
        <v>860.4290297340624</v>
      </c>
      <c r="S55" s="88">
        <v>846.1101295560876</v>
      </c>
      <c r="T55" s="88">
        <v>860.41427373995566</v>
      </c>
      <c r="U55" s="88">
        <v>807.82683164044863</v>
      </c>
      <c r="V55" s="88">
        <v>835.83029909159666</v>
      </c>
      <c r="W55" s="88">
        <v>919.96348444640614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4699201</v>
      </c>
      <c r="C57" s="54">
        <f t="shared" si="118"/>
        <v>4768816</v>
      </c>
      <c r="D57" s="54">
        <f t="shared" si="118"/>
        <v>4841844</v>
      </c>
      <c r="E57" s="54">
        <f t="shared" si="118"/>
        <v>4910424</v>
      </c>
      <c r="F57" s="54">
        <f t="shared" si="118"/>
        <v>4976169</v>
      </c>
      <c r="G57" s="54">
        <f t="shared" si="118"/>
        <v>5087748</v>
      </c>
      <c r="H57" s="54">
        <f t="shared" si="118"/>
        <v>5200434</v>
      </c>
      <c r="I57" s="54">
        <f t="shared" si="118"/>
        <v>5310587</v>
      </c>
      <c r="J57" s="54">
        <f t="shared" si="118"/>
        <v>5362737</v>
      </c>
      <c r="K57" s="54">
        <f t="shared" si="118"/>
        <v>5404851</v>
      </c>
      <c r="L57" s="54">
        <f t="shared" ref="L57" si="119">L58+L73</f>
        <v>5442756</v>
      </c>
      <c r="M57" s="54">
        <f t="shared" ref="M57:V57" si="120">M58+M73</f>
        <v>5550455</v>
      </c>
      <c r="N57" s="54">
        <f t="shared" si="120"/>
        <v>5633819</v>
      </c>
      <c r="O57" s="54">
        <f t="shared" si="120"/>
        <v>5709652</v>
      </c>
      <c r="P57" s="54">
        <f t="shared" si="120"/>
        <v>5830545</v>
      </c>
      <c r="Q57" s="54">
        <f t="shared" si="120"/>
        <v>5952026</v>
      </c>
      <c r="R57" s="54">
        <f t="shared" si="120"/>
        <v>6098141</v>
      </c>
      <c r="S57" s="54">
        <f t="shared" si="120"/>
        <v>6226260</v>
      </c>
      <c r="T57" s="54">
        <f t="shared" si="120"/>
        <v>6288900</v>
      </c>
      <c r="U57" s="54">
        <f t="shared" si="120"/>
        <v>6338712</v>
      </c>
      <c r="V57" s="54">
        <f t="shared" si="120"/>
        <v>6419941</v>
      </c>
      <c r="W57" s="54">
        <f t="shared" ref="W57" si="121">W58+W73</f>
        <v>6493940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4322596</v>
      </c>
      <c r="C58" s="28">
        <f t="shared" si="122"/>
        <v>4369937</v>
      </c>
      <c r="D58" s="28">
        <f t="shared" si="122"/>
        <v>4429612</v>
      </c>
      <c r="E58" s="28">
        <f t="shared" si="122"/>
        <v>4485443</v>
      </c>
      <c r="F58" s="28">
        <f t="shared" si="122"/>
        <v>4530760</v>
      </c>
      <c r="G58" s="28">
        <f t="shared" si="122"/>
        <v>4620559</v>
      </c>
      <c r="H58" s="28">
        <f t="shared" si="122"/>
        <v>4714317</v>
      </c>
      <c r="I58" s="28">
        <f t="shared" si="122"/>
        <v>4800040</v>
      </c>
      <c r="J58" s="28">
        <f t="shared" si="122"/>
        <v>4846773</v>
      </c>
      <c r="K58" s="28">
        <f t="shared" si="122"/>
        <v>4885242</v>
      </c>
      <c r="L58" s="28">
        <f t="shared" ref="L58" si="123">L59+L60+L67</f>
        <v>4918498</v>
      </c>
      <c r="M58" s="28">
        <f t="shared" ref="M58:V58" si="124">M59+M60+M67</f>
        <v>4992987</v>
      </c>
      <c r="N58" s="28">
        <f t="shared" si="124"/>
        <v>5076071</v>
      </c>
      <c r="O58" s="28">
        <f t="shared" si="124"/>
        <v>5143461</v>
      </c>
      <c r="P58" s="28">
        <f t="shared" si="124"/>
        <v>5249132</v>
      </c>
      <c r="Q58" s="28">
        <f t="shared" si="124"/>
        <v>5354888</v>
      </c>
      <c r="R58" s="28">
        <f t="shared" si="124"/>
        <v>5480243</v>
      </c>
      <c r="S58" s="28">
        <f t="shared" si="124"/>
        <v>5586540</v>
      </c>
      <c r="T58" s="28">
        <f t="shared" si="124"/>
        <v>5631014</v>
      </c>
      <c r="U58" s="28">
        <f t="shared" si="124"/>
        <v>5668303</v>
      </c>
      <c r="V58" s="28">
        <f t="shared" si="124"/>
        <v>5738575</v>
      </c>
      <c r="W58" s="28">
        <f t="shared" ref="W58" si="125">W59+W60+W67</f>
        <v>5800807</v>
      </c>
      <c r="DA58" s="173" t="s">
        <v>500</v>
      </c>
    </row>
    <row r="59" spans="1:105" ht="11.45" customHeight="1" x14ac:dyDescent="0.25">
      <c r="A59" s="136" t="s">
        <v>180</v>
      </c>
      <c r="B59" s="137">
        <v>310069</v>
      </c>
      <c r="C59" s="137">
        <v>336341</v>
      </c>
      <c r="D59" s="137">
        <v>372369</v>
      </c>
      <c r="E59" s="137">
        <v>395601</v>
      </c>
      <c r="F59" s="137">
        <v>403317</v>
      </c>
      <c r="G59" s="137">
        <v>453082</v>
      </c>
      <c r="H59" s="137">
        <v>497744</v>
      </c>
      <c r="I59" s="137">
        <v>528125</v>
      </c>
      <c r="J59" s="137">
        <v>553929</v>
      </c>
      <c r="K59" s="137">
        <v>571890</v>
      </c>
      <c r="L59" s="137">
        <v>570240</v>
      </c>
      <c r="M59" s="137">
        <v>578495</v>
      </c>
      <c r="N59" s="137">
        <v>615525</v>
      </c>
      <c r="O59" s="137">
        <v>634819</v>
      </c>
      <c r="P59" s="137">
        <v>650434</v>
      </c>
      <c r="Q59" s="137">
        <v>672517</v>
      </c>
      <c r="R59" s="137">
        <v>699095</v>
      </c>
      <c r="S59" s="137">
        <v>727299</v>
      </c>
      <c r="T59" s="137">
        <v>746658</v>
      </c>
      <c r="U59" s="137">
        <v>766274</v>
      </c>
      <c r="V59" s="137">
        <v>781794</v>
      </c>
      <c r="W59" s="137">
        <v>801235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3998110</v>
      </c>
      <c r="C60" s="110">
        <f t="shared" si="126"/>
        <v>4019350</v>
      </c>
      <c r="D60" s="110">
        <f t="shared" si="126"/>
        <v>4043230</v>
      </c>
      <c r="E60" s="110">
        <f t="shared" si="126"/>
        <v>4076100</v>
      </c>
      <c r="F60" s="110">
        <f t="shared" si="126"/>
        <v>4114080</v>
      </c>
      <c r="G60" s="110">
        <f t="shared" si="126"/>
        <v>4154000</v>
      </c>
      <c r="H60" s="110">
        <f t="shared" si="126"/>
        <v>4202930</v>
      </c>
      <c r="I60" s="110">
        <f t="shared" si="126"/>
        <v>4258600</v>
      </c>
      <c r="J60" s="110">
        <f t="shared" si="126"/>
        <v>4279370</v>
      </c>
      <c r="K60" s="110">
        <f t="shared" si="126"/>
        <v>4299950</v>
      </c>
      <c r="L60" s="110">
        <f t="shared" ref="L60" si="127">SUM(L61:L66)</f>
        <v>4334390</v>
      </c>
      <c r="M60" s="110">
        <f t="shared" ref="M60:V60" si="128">SUM(M61:M66)</f>
        <v>4400550</v>
      </c>
      <c r="N60" s="110">
        <f t="shared" si="128"/>
        <v>4446349</v>
      </c>
      <c r="O60" s="110">
        <f t="shared" si="128"/>
        <v>4494661</v>
      </c>
      <c r="P60" s="110">
        <f t="shared" si="128"/>
        <v>4584711</v>
      </c>
      <c r="Q60" s="110">
        <f t="shared" si="128"/>
        <v>4668262</v>
      </c>
      <c r="R60" s="110">
        <f t="shared" si="128"/>
        <v>4767262</v>
      </c>
      <c r="S60" s="110">
        <f t="shared" si="128"/>
        <v>4844823</v>
      </c>
      <c r="T60" s="110">
        <f t="shared" si="128"/>
        <v>4869979</v>
      </c>
      <c r="U60" s="110">
        <f t="shared" si="128"/>
        <v>4887116</v>
      </c>
      <c r="V60" s="110">
        <f t="shared" si="128"/>
        <v>4943293</v>
      </c>
      <c r="W60" s="110">
        <f t="shared" ref="W60" si="129">SUM(W61:W66)</f>
        <v>4985979</v>
      </c>
      <c r="DA60" s="176" t="s">
        <v>502</v>
      </c>
    </row>
    <row r="61" spans="1:105" ht="11.45" customHeight="1" x14ac:dyDescent="0.25">
      <c r="A61" s="111" t="s">
        <v>110</v>
      </c>
      <c r="B61" s="84">
        <v>3804105</v>
      </c>
      <c r="C61" s="84">
        <v>3834345</v>
      </c>
      <c r="D61" s="84">
        <v>3853307</v>
      </c>
      <c r="E61" s="84">
        <v>3878269</v>
      </c>
      <c r="F61" s="84">
        <v>3906270</v>
      </c>
      <c r="G61" s="84">
        <v>3931685</v>
      </c>
      <c r="H61" s="84">
        <v>3937982</v>
      </c>
      <c r="I61" s="84">
        <v>3902523</v>
      </c>
      <c r="J61" s="84">
        <v>3857952</v>
      </c>
      <c r="K61" s="84">
        <v>3789166</v>
      </c>
      <c r="L61" s="84">
        <v>3685570</v>
      </c>
      <c r="M61" s="84">
        <v>3579435</v>
      </c>
      <c r="N61" s="84">
        <v>3454210</v>
      </c>
      <c r="O61" s="84">
        <v>3341431</v>
      </c>
      <c r="P61" s="84">
        <v>3259599</v>
      </c>
      <c r="Q61" s="84">
        <v>3168166</v>
      </c>
      <c r="R61" s="84">
        <v>3096797</v>
      </c>
      <c r="S61" s="84">
        <v>3039616</v>
      </c>
      <c r="T61" s="84">
        <v>2983381</v>
      </c>
      <c r="U61" s="84">
        <v>2937692</v>
      </c>
      <c r="V61" s="84">
        <v>2902284</v>
      </c>
      <c r="W61" s="84">
        <v>2832059</v>
      </c>
      <c r="DA61" s="171" t="s">
        <v>503</v>
      </c>
    </row>
    <row r="62" spans="1:105" ht="11.45" customHeight="1" x14ac:dyDescent="0.25">
      <c r="A62" s="111" t="s">
        <v>111</v>
      </c>
      <c r="B62" s="84">
        <v>194005</v>
      </c>
      <c r="C62" s="84">
        <v>185005</v>
      </c>
      <c r="D62" s="84">
        <v>189003</v>
      </c>
      <c r="E62" s="84">
        <v>196001</v>
      </c>
      <c r="F62" s="84">
        <v>204960</v>
      </c>
      <c r="G62" s="84">
        <v>217875</v>
      </c>
      <c r="H62" s="84">
        <v>260419</v>
      </c>
      <c r="I62" s="84">
        <v>350957</v>
      </c>
      <c r="J62" s="84">
        <v>415365</v>
      </c>
      <c r="K62" s="84">
        <v>503997</v>
      </c>
      <c r="L62" s="84">
        <v>634669</v>
      </c>
      <c r="M62" s="84">
        <v>800389</v>
      </c>
      <c r="N62" s="84">
        <v>965679</v>
      </c>
      <c r="O62" s="84">
        <v>1122665</v>
      </c>
      <c r="P62" s="84">
        <v>1285667</v>
      </c>
      <c r="Q62" s="84">
        <v>1449009</v>
      </c>
      <c r="R62" s="84">
        <v>1599960</v>
      </c>
      <c r="S62" s="84">
        <v>1718231</v>
      </c>
      <c r="T62" s="84">
        <v>1778077</v>
      </c>
      <c r="U62" s="84">
        <v>1810839</v>
      </c>
      <c r="V62" s="84">
        <v>1806421</v>
      </c>
      <c r="W62" s="84">
        <v>1784501</v>
      </c>
      <c r="DA62" s="171" t="s">
        <v>504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300</v>
      </c>
      <c r="H63" s="84">
        <v>284</v>
      </c>
      <c r="I63" s="84">
        <v>282</v>
      </c>
      <c r="J63" s="84">
        <v>300</v>
      </c>
      <c r="K63" s="84">
        <v>400</v>
      </c>
      <c r="L63" s="84">
        <v>350</v>
      </c>
      <c r="M63" s="84">
        <v>486</v>
      </c>
      <c r="N63" s="84">
        <v>486</v>
      </c>
      <c r="O63" s="84">
        <v>491</v>
      </c>
      <c r="P63" s="84">
        <v>491</v>
      </c>
      <c r="Q63" s="84">
        <v>491</v>
      </c>
      <c r="R63" s="84">
        <v>465</v>
      </c>
      <c r="S63" s="84">
        <v>0</v>
      </c>
      <c r="T63" s="84">
        <v>0</v>
      </c>
      <c r="U63" s="84">
        <v>0</v>
      </c>
      <c r="V63" s="84">
        <v>0</v>
      </c>
      <c r="W63" s="84">
        <v>0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920</v>
      </c>
      <c r="E64" s="84">
        <v>1830</v>
      </c>
      <c r="F64" s="84">
        <v>2850</v>
      </c>
      <c r="G64" s="84">
        <v>4140</v>
      </c>
      <c r="H64" s="84">
        <v>4245</v>
      </c>
      <c r="I64" s="84">
        <v>4838</v>
      </c>
      <c r="J64" s="84">
        <v>5494</v>
      </c>
      <c r="K64" s="84">
        <v>6070</v>
      </c>
      <c r="L64" s="84">
        <v>13421</v>
      </c>
      <c r="M64" s="84">
        <v>19504</v>
      </c>
      <c r="N64" s="84">
        <v>24381</v>
      </c>
      <c r="O64" s="84">
        <v>27595</v>
      </c>
      <c r="P64" s="84">
        <v>31860</v>
      </c>
      <c r="Q64" s="84">
        <v>36055</v>
      </c>
      <c r="R64" s="84">
        <v>43676</v>
      </c>
      <c r="S64" s="84">
        <v>43689</v>
      </c>
      <c r="T64" s="84">
        <v>42463</v>
      </c>
      <c r="U64" s="84">
        <v>41633</v>
      </c>
      <c r="V64" s="84">
        <v>43908</v>
      </c>
      <c r="W64" s="84">
        <v>43444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130</v>
      </c>
      <c r="K65" s="84">
        <v>160</v>
      </c>
      <c r="L65" s="84">
        <v>190</v>
      </c>
      <c r="M65" s="84">
        <v>370</v>
      </c>
      <c r="N65" s="84">
        <v>990</v>
      </c>
      <c r="O65" s="84">
        <v>1469</v>
      </c>
      <c r="P65" s="84">
        <v>4922</v>
      </c>
      <c r="Q65" s="84">
        <v>9776</v>
      </c>
      <c r="R65" s="84">
        <v>18832</v>
      </c>
      <c r="S65" s="84">
        <v>32253</v>
      </c>
      <c r="T65" s="84">
        <v>49394</v>
      </c>
      <c r="U65" s="84">
        <v>66609</v>
      </c>
      <c r="V65" s="84">
        <v>132440</v>
      </c>
      <c r="W65" s="84">
        <v>210281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129</v>
      </c>
      <c r="K66" s="84">
        <v>157</v>
      </c>
      <c r="L66" s="84">
        <v>190</v>
      </c>
      <c r="M66" s="84">
        <v>366</v>
      </c>
      <c r="N66" s="84">
        <v>603</v>
      </c>
      <c r="O66" s="84">
        <v>1010</v>
      </c>
      <c r="P66" s="84">
        <v>2172</v>
      </c>
      <c r="Q66" s="84">
        <v>4765</v>
      </c>
      <c r="R66" s="84">
        <v>7532</v>
      </c>
      <c r="S66" s="84">
        <v>11034</v>
      </c>
      <c r="T66" s="84">
        <v>16664</v>
      </c>
      <c r="U66" s="84">
        <v>30343</v>
      </c>
      <c r="V66" s="84">
        <v>58240</v>
      </c>
      <c r="W66" s="84">
        <v>115694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14417</v>
      </c>
      <c r="C67" s="110">
        <f t="shared" si="130"/>
        <v>14246</v>
      </c>
      <c r="D67" s="110">
        <f t="shared" si="130"/>
        <v>14013</v>
      </c>
      <c r="E67" s="110">
        <f t="shared" si="130"/>
        <v>13742</v>
      </c>
      <c r="F67" s="110">
        <f t="shared" si="130"/>
        <v>13363</v>
      </c>
      <c r="G67" s="110">
        <f t="shared" si="130"/>
        <v>13477</v>
      </c>
      <c r="H67" s="110">
        <f t="shared" si="130"/>
        <v>13643</v>
      </c>
      <c r="I67" s="110">
        <f t="shared" si="130"/>
        <v>13315</v>
      </c>
      <c r="J67" s="110">
        <f t="shared" si="130"/>
        <v>13474</v>
      </c>
      <c r="K67" s="110">
        <f t="shared" si="130"/>
        <v>13402</v>
      </c>
      <c r="L67" s="110">
        <f t="shared" ref="L67" si="131">SUM(L68:L72)</f>
        <v>13868</v>
      </c>
      <c r="M67" s="110">
        <f t="shared" ref="M67:V67" si="132">SUM(M68:M72)</f>
        <v>13942</v>
      </c>
      <c r="N67" s="110">
        <f t="shared" si="132"/>
        <v>14197</v>
      </c>
      <c r="O67" s="110">
        <f t="shared" si="132"/>
        <v>13981</v>
      </c>
      <c r="P67" s="110">
        <f t="shared" si="132"/>
        <v>13987</v>
      </c>
      <c r="Q67" s="110">
        <f t="shared" si="132"/>
        <v>14109</v>
      </c>
      <c r="R67" s="110">
        <f t="shared" si="132"/>
        <v>13886</v>
      </c>
      <c r="S67" s="110">
        <f t="shared" si="132"/>
        <v>14418</v>
      </c>
      <c r="T67" s="110">
        <f t="shared" si="132"/>
        <v>14377</v>
      </c>
      <c r="U67" s="110">
        <f t="shared" si="132"/>
        <v>14913</v>
      </c>
      <c r="V67" s="110">
        <f t="shared" si="132"/>
        <v>13488</v>
      </c>
      <c r="W67" s="110">
        <f t="shared" ref="W67" si="133">SUM(W68:W72)</f>
        <v>13593</v>
      </c>
      <c r="DA67" s="176" t="s">
        <v>509</v>
      </c>
    </row>
    <row r="68" spans="1:105" ht="11.45" customHeight="1" x14ac:dyDescent="0.25">
      <c r="A68" s="111" t="s">
        <v>110</v>
      </c>
      <c r="B68" s="102">
        <v>521</v>
      </c>
      <c r="C68" s="102">
        <v>426</v>
      </c>
      <c r="D68" s="102">
        <v>336</v>
      </c>
      <c r="E68" s="102">
        <v>259</v>
      </c>
      <c r="F68" s="102">
        <v>192</v>
      </c>
      <c r="G68" s="102">
        <v>142</v>
      </c>
      <c r="H68" s="102">
        <v>122</v>
      </c>
      <c r="I68" s="102">
        <v>103</v>
      </c>
      <c r="J68" s="102">
        <v>88</v>
      </c>
      <c r="K68" s="102">
        <v>82</v>
      </c>
      <c r="L68" s="102">
        <v>34</v>
      </c>
      <c r="M68" s="102">
        <v>61</v>
      </c>
      <c r="N68" s="102">
        <v>51</v>
      </c>
      <c r="O68" s="102">
        <v>51</v>
      </c>
      <c r="P68" s="102">
        <v>49</v>
      </c>
      <c r="Q68" s="102">
        <v>46</v>
      </c>
      <c r="R68" s="102">
        <v>49</v>
      </c>
      <c r="S68" s="102">
        <v>47</v>
      </c>
      <c r="T68" s="102">
        <v>45</v>
      </c>
      <c r="U68" s="102">
        <v>41</v>
      </c>
      <c r="V68" s="102">
        <v>39</v>
      </c>
      <c r="W68" s="102">
        <v>36</v>
      </c>
      <c r="DA68" s="175" t="s">
        <v>510</v>
      </c>
    </row>
    <row r="69" spans="1:105" ht="11.45" customHeight="1" x14ac:dyDescent="0.25">
      <c r="A69" s="111" t="s">
        <v>111</v>
      </c>
      <c r="B69" s="102">
        <v>13539</v>
      </c>
      <c r="C69" s="102">
        <v>13428</v>
      </c>
      <c r="D69" s="102">
        <v>13287</v>
      </c>
      <c r="E69" s="102">
        <v>13091</v>
      </c>
      <c r="F69" s="102">
        <v>12733</v>
      </c>
      <c r="G69" s="102">
        <v>12398</v>
      </c>
      <c r="H69" s="102">
        <v>12965</v>
      </c>
      <c r="I69" s="102">
        <v>12580</v>
      </c>
      <c r="J69" s="102">
        <v>12544</v>
      </c>
      <c r="K69" s="102">
        <v>12200</v>
      </c>
      <c r="L69" s="102">
        <v>12523</v>
      </c>
      <c r="M69" s="102">
        <v>12209</v>
      </c>
      <c r="N69" s="102">
        <v>12289</v>
      </c>
      <c r="O69" s="102">
        <v>11779</v>
      </c>
      <c r="P69" s="102">
        <v>11647</v>
      </c>
      <c r="Q69" s="102">
        <v>11705</v>
      </c>
      <c r="R69" s="102">
        <v>11489</v>
      </c>
      <c r="S69" s="102">
        <v>11802</v>
      </c>
      <c r="T69" s="102">
        <v>11710</v>
      </c>
      <c r="U69" s="102">
        <v>11986</v>
      </c>
      <c r="V69" s="102">
        <v>10155</v>
      </c>
      <c r="W69" s="102">
        <v>10124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340</v>
      </c>
      <c r="C71" s="102">
        <v>375</v>
      </c>
      <c r="D71" s="102">
        <v>376</v>
      </c>
      <c r="E71" s="102">
        <v>376</v>
      </c>
      <c r="F71" s="102">
        <v>422</v>
      </c>
      <c r="G71" s="102">
        <v>924</v>
      </c>
      <c r="H71" s="102">
        <v>544</v>
      </c>
      <c r="I71" s="102">
        <v>622</v>
      </c>
      <c r="J71" s="102">
        <v>834</v>
      </c>
      <c r="K71" s="102">
        <v>1112</v>
      </c>
      <c r="L71" s="102">
        <v>1307</v>
      </c>
      <c r="M71" s="102">
        <v>1668</v>
      </c>
      <c r="N71" s="102">
        <v>1851</v>
      </c>
      <c r="O71" s="102">
        <v>2143</v>
      </c>
      <c r="P71" s="102">
        <v>2280</v>
      </c>
      <c r="Q71" s="102">
        <v>2338</v>
      </c>
      <c r="R71" s="102">
        <v>2310</v>
      </c>
      <c r="S71" s="102">
        <v>2515</v>
      </c>
      <c r="T71" s="102">
        <v>2522</v>
      </c>
      <c r="U71" s="102">
        <v>2618</v>
      </c>
      <c r="V71" s="102">
        <v>2822</v>
      </c>
      <c r="W71" s="102">
        <v>2771</v>
      </c>
      <c r="DA71" s="175" t="s">
        <v>513</v>
      </c>
    </row>
    <row r="72" spans="1:105" ht="11.45" customHeight="1" x14ac:dyDescent="0.25">
      <c r="A72" s="111" t="s">
        <v>115</v>
      </c>
      <c r="B72" s="102">
        <v>17</v>
      </c>
      <c r="C72" s="102">
        <v>17</v>
      </c>
      <c r="D72" s="102">
        <v>14</v>
      </c>
      <c r="E72" s="102">
        <v>16</v>
      </c>
      <c r="F72" s="102">
        <v>16</v>
      </c>
      <c r="G72" s="102">
        <v>13</v>
      </c>
      <c r="H72" s="102">
        <v>12</v>
      </c>
      <c r="I72" s="102">
        <v>10</v>
      </c>
      <c r="J72" s="102">
        <v>8</v>
      </c>
      <c r="K72" s="102">
        <v>8</v>
      </c>
      <c r="L72" s="102">
        <v>4</v>
      </c>
      <c r="M72" s="102">
        <v>4</v>
      </c>
      <c r="N72" s="102">
        <v>6</v>
      </c>
      <c r="O72" s="102">
        <v>8</v>
      </c>
      <c r="P72" s="102">
        <v>11</v>
      </c>
      <c r="Q72" s="102">
        <v>20</v>
      </c>
      <c r="R72" s="102">
        <v>38</v>
      </c>
      <c r="S72" s="102">
        <v>54</v>
      </c>
      <c r="T72" s="102">
        <v>100</v>
      </c>
      <c r="U72" s="102">
        <v>268</v>
      </c>
      <c r="V72" s="102">
        <v>472</v>
      </c>
      <c r="W72" s="102">
        <v>662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376605</v>
      </c>
      <c r="C73" s="28">
        <f t="shared" si="134"/>
        <v>398879</v>
      </c>
      <c r="D73" s="28">
        <f t="shared" si="134"/>
        <v>412232</v>
      </c>
      <c r="E73" s="28">
        <f t="shared" si="134"/>
        <v>424981</v>
      </c>
      <c r="F73" s="28">
        <f t="shared" si="134"/>
        <v>445409</v>
      </c>
      <c r="G73" s="28">
        <f t="shared" si="134"/>
        <v>467189</v>
      </c>
      <c r="H73" s="28">
        <f t="shared" si="134"/>
        <v>486117</v>
      </c>
      <c r="I73" s="28">
        <f t="shared" si="134"/>
        <v>510547</v>
      </c>
      <c r="J73" s="28">
        <f t="shared" si="134"/>
        <v>515964</v>
      </c>
      <c r="K73" s="28">
        <f t="shared" si="134"/>
        <v>519609</v>
      </c>
      <c r="L73" s="28">
        <f t="shared" ref="L73" si="135">L74+L80</f>
        <v>524258</v>
      </c>
      <c r="M73" s="28">
        <f t="shared" ref="M73:V73" si="136">M74+M80</f>
        <v>557468</v>
      </c>
      <c r="N73" s="28">
        <f t="shared" si="136"/>
        <v>557748</v>
      </c>
      <c r="O73" s="28">
        <f t="shared" si="136"/>
        <v>566191</v>
      </c>
      <c r="P73" s="28">
        <f t="shared" si="136"/>
        <v>581413</v>
      </c>
      <c r="Q73" s="28">
        <f t="shared" si="136"/>
        <v>597138</v>
      </c>
      <c r="R73" s="28">
        <f t="shared" si="136"/>
        <v>617898</v>
      </c>
      <c r="S73" s="28">
        <f t="shared" si="136"/>
        <v>639720</v>
      </c>
      <c r="T73" s="28">
        <f t="shared" si="136"/>
        <v>657886</v>
      </c>
      <c r="U73" s="28">
        <f t="shared" si="136"/>
        <v>670409</v>
      </c>
      <c r="V73" s="28">
        <f t="shared" si="136"/>
        <v>681366</v>
      </c>
      <c r="W73" s="28">
        <f t="shared" ref="W73" si="137">W74+W80</f>
        <v>693133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296574</v>
      </c>
      <c r="C74" s="137">
        <f t="shared" si="138"/>
        <v>318776</v>
      </c>
      <c r="D74" s="137">
        <f t="shared" si="138"/>
        <v>333289</v>
      </c>
      <c r="E74" s="137">
        <f t="shared" si="138"/>
        <v>347263</v>
      </c>
      <c r="F74" s="137">
        <f t="shared" si="138"/>
        <v>365812</v>
      </c>
      <c r="G74" s="137">
        <f t="shared" si="138"/>
        <v>386377</v>
      </c>
      <c r="H74" s="137">
        <f t="shared" si="138"/>
        <v>402748</v>
      </c>
      <c r="I74" s="137">
        <f t="shared" si="138"/>
        <v>425286</v>
      </c>
      <c r="J74" s="137">
        <f t="shared" si="138"/>
        <v>432123</v>
      </c>
      <c r="K74" s="137">
        <f t="shared" si="138"/>
        <v>437420</v>
      </c>
      <c r="L74" s="137">
        <f t="shared" ref="L74" si="139">SUM(L75:L79)</f>
        <v>441426</v>
      </c>
      <c r="M74" s="137">
        <f t="shared" ref="M74:V74" si="140">SUM(M75:M79)</f>
        <v>471383</v>
      </c>
      <c r="N74" s="137">
        <f t="shared" si="140"/>
        <v>470915</v>
      </c>
      <c r="O74" s="137">
        <f t="shared" si="140"/>
        <v>484387</v>
      </c>
      <c r="P74" s="137">
        <f t="shared" si="140"/>
        <v>499962</v>
      </c>
      <c r="Q74" s="137">
        <f t="shared" si="140"/>
        <v>514443</v>
      </c>
      <c r="R74" s="137">
        <f t="shared" si="140"/>
        <v>533005</v>
      </c>
      <c r="S74" s="137">
        <f t="shared" si="140"/>
        <v>553585</v>
      </c>
      <c r="T74" s="137">
        <f t="shared" si="140"/>
        <v>570252</v>
      </c>
      <c r="U74" s="137">
        <f t="shared" si="140"/>
        <v>583245</v>
      </c>
      <c r="V74" s="137">
        <f t="shared" si="140"/>
        <v>593686</v>
      </c>
      <c r="W74" s="137">
        <f t="shared" ref="W74" si="141">SUM(W75:W79)</f>
        <v>603714</v>
      </c>
      <c r="DA74" s="174" t="s">
        <v>516</v>
      </c>
    </row>
    <row r="75" spans="1:105" ht="11.45" customHeight="1" x14ac:dyDescent="0.25">
      <c r="A75" s="111" t="s">
        <v>110</v>
      </c>
      <c r="B75" s="84">
        <v>178196</v>
      </c>
      <c r="C75" s="84">
        <v>172471</v>
      </c>
      <c r="D75" s="84">
        <v>164678</v>
      </c>
      <c r="E75" s="84">
        <v>155801</v>
      </c>
      <c r="F75" s="84">
        <v>146710</v>
      </c>
      <c r="G75" s="84">
        <v>137987</v>
      </c>
      <c r="H75" s="84">
        <v>127837</v>
      </c>
      <c r="I75" s="84">
        <v>118748</v>
      </c>
      <c r="J75" s="84">
        <v>108195</v>
      </c>
      <c r="K75" s="84">
        <v>100787</v>
      </c>
      <c r="L75" s="84">
        <v>92942</v>
      </c>
      <c r="M75" s="84">
        <v>85821</v>
      </c>
      <c r="N75" s="84">
        <v>75703</v>
      </c>
      <c r="O75" s="84">
        <v>66920</v>
      </c>
      <c r="P75" s="84">
        <v>62298</v>
      </c>
      <c r="Q75" s="84">
        <v>57028</v>
      </c>
      <c r="R75" s="84">
        <v>52705</v>
      </c>
      <c r="S75" s="84">
        <v>49638</v>
      </c>
      <c r="T75" s="84">
        <v>47465</v>
      </c>
      <c r="U75" s="84">
        <v>46650</v>
      </c>
      <c r="V75" s="84">
        <v>46340</v>
      </c>
      <c r="W75" s="84">
        <v>45169</v>
      </c>
      <c r="DA75" s="171" t="s">
        <v>517</v>
      </c>
    </row>
    <row r="76" spans="1:105" ht="11.45" customHeight="1" x14ac:dyDescent="0.25">
      <c r="A76" s="111" t="s">
        <v>111</v>
      </c>
      <c r="B76" s="84">
        <v>118378</v>
      </c>
      <c r="C76" s="84">
        <v>146302</v>
      </c>
      <c r="D76" s="84">
        <v>168594</v>
      </c>
      <c r="E76" s="84">
        <v>191417</v>
      </c>
      <c r="F76" s="84">
        <v>219032</v>
      </c>
      <c r="G76" s="84">
        <v>248236</v>
      </c>
      <c r="H76" s="84">
        <v>274331</v>
      </c>
      <c r="I76" s="84">
        <v>305537</v>
      </c>
      <c r="J76" s="84">
        <v>322246</v>
      </c>
      <c r="K76" s="84">
        <v>334073</v>
      </c>
      <c r="L76" s="84">
        <v>345694</v>
      </c>
      <c r="M76" s="84">
        <v>382368</v>
      </c>
      <c r="N76" s="84">
        <v>391346</v>
      </c>
      <c r="O76" s="84">
        <v>413218</v>
      </c>
      <c r="P76" s="84">
        <v>432942</v>
      </c>
      <c r="Q76" s="84">
        <v>452004</v>
      </c>
      <c r="R76" s="84">
        <v>474428</v>
      </c>
      <c r="S76" s="84">
        <v>497261</v>
      </c>
      <c r="T76" s="84">
        <v>511760</v>
      </c>
      <c r="U76" s="84">
        <v>523952</v>
      </c>
      <c r="V76" s="84">
        <v>532452</v>
      </c>
      <c r="W76" s="84">
        <v>540867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3</v>
      </c>
      <c r="D78" s="84">
        <v>17</v>
      </c>
      <c r="E78" s="84">
        <v>45</v>
      </c>
      <c r="F78" s="84">
        <v>70</v>
      </c>
      <c r="G78" s="84">
        <v>152</v>
      </c>
      <c r="H78" s="84">
        <v>373</v>
      </c>
      <c r="I78" s="84">
        <v>805</v>
      </c>
      <c r="J78" s="84">
        <v>1487</v>
      </c>
      <c r="K78" s="84">
        <v>2365</v>
      </c>
      <c r="L78" s="84">
        <v>2600</v>
      </c>
      <c r="M78" s="84">
        <v>3000</v>
      </c>
      <c r="N78" s="84">
        <v>3500</v>
      </c>
      <c r="O78" s="84">
        <v>3701</v>
      </c>
      <c r="P78" s="84">
        <v>3889</v>
      </c>
      <c r="Q78" s="84">
        <v>4167</v>
      </c>
      <c r="R78" s="84">
        <v>4320</v>
      </c>
      <c r="S78" s="84">
        <v>4739</v>
      </c>
      <c r="T78" s="84">
        <v>8366</v>
      </c>
      <c r="U78" s="84">
        <v>8697</v>
      </c>
      <c r="V78" s="84">
        <v>9000</v>
      </c>
      <c r="W78" s="84">
        <v>9100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2</v>
      </c>
      <c r="H79" s="84">
        <v>207</v>
      </c>
      <c r="I79" s="84">
        <v>196</v>
      </c>
      <c r="J79" s="84">
        <v>195</v>
      </c>
      <c r="K79" s="84">
        <v>195</v>
      </c>
      <c r="L79" s="84">
        <v>190</v>
      </c>
      <c r="M79" s="84">
        <v>194</v>
      </c>
      <c r="N79" s="84">
        <v>366</v>
      </c>
      <c r="O79" s="84">
        <v>548</v>
      </c>
      <c r="P79" s="84">
        <v>833</v>
      </c>
      <c r="Q79" s="84">
        <v>1244</v>
      </c>
      <c r="R79" s="84">
        <v>1552</v>
      </c>
      <c r="S79" s="84">
        <v>1947</v>
      </c>
      <c r="T79" s="84">
        <v>2661</v>
      </c>
      <c r="U79" s="84">
        <v>3946</v>
      </c>
      <c r="V79" s="84">
        <v>5894</v>
      </c>
      <c r="W79" s="84">
        <v>8578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80031</v>
      </c>
      <c r="C80" s="110">
        <f t="shared" si="142"/>
        <v>80103</v>
      </c>
      <c r="D80" s="110">
        <f t="shared" si="142"/>
        <v>78943</v>
      </c>
      <c r="E80" s="110">
        <f t="shared" si="142"/>
        <v>77718</v>
      </c>
      <c r="F80" s="110">
        <f t="shared" si="142"/>
        <v>79597</v>
      </c>
      <c r="G80" s="110">
        <f t="shared" si="142"/>
        <v>80812</v>
      </c>
      <c r="H80" s="110">
        <f t="shared" si="142"/>
        <v>83369</v>
      </c>
      <c r="I80" s="110">
        <f t="shared" si="142"/>
        <v>85261</v>
      </c>
      <c r="J80" s="110">
        <f t="shared" si="142"/>
        <v>83841</v>
      </c>
      <c r="K80" s="110">
        <f t="shared" si="142"/>
        <v>82189</v>
      </c>
      <c r="L80" s="110">
        <f t="shared" ref="L80" si="143">SUM(L81:L82)</f>
        <v>82832</v>
      </c>
      <c r="M80" s="110">
        <f t="shared" ref="M80:V80" si="144">SUM(M81:M82)</f>
        <v>86085</v>
      </c>
      <c r="N80" s="110">
        <f t="shared" si="144"/>
        <v>86833</v>
      </c>
      <c r="O80" s="110">
        <f t="shared" si="144"/>
        <v>81804</v>
      </c>
      <c r="P80" s="110">
        <f t="shared" si="144"/>
        <v>81451</v>
      </c>
      <c r="Q80" s="110">
        <f t="shared" si="144"/>
        <v>82695</v>
      </c>
      <c r="R80" s="110">
        <f t="shared" si="144"/>
        <v>84893</v>
      </c>
      <c r="S80" s="110">
        <f t="shared" si="144"/>
        <v>86135</v>
      </c>
      <c r="T80" s="110">
        <f t="shared" si="144"/>
        <v>87634</v>
      </c>
      <c r="U80" s="110">
        <f t="shared" si="144"/>
        <v>87164</v>
      </c>
      <c r="V80" s="110">
        <f t="shared" si="144"/>
        <v>87680</v>
      </c>
      <c r="W80" s="110">
        <f t="shared" ref="W80" si="145">SUM(W81:W82)</f>
        <v>89419</v>
      </c>
      <c r="DA80" s="176" t="s">
        <v>522</v>
      </c>
    </row>
    <row r="81" spans="1:105" ht="11.45" customHeight="1" x14ac:dyDescent="0.25">
      <c r="A81" s="128" t="s">
        <v>27</v>
      </c>
      <c r="B81" s="102">
        <v>73826</v>
      </c>
      <c r="C81" s="102">
        <v>73451</v>
      </c>
      <c r="D81" s="102">
        <v>71945</v>
      </c>
      <c r="E81" s="102">
        <v>70565</v>
      </c>
      <c r="F81" s="102">
        <v>71141</v>
      </c>
      <c r="G81" s="102">
        <v>72060</v>
      </c>
      <c r="H81" s="102">
        <v>73921</v>
      </c>
      <c r="I81" s="102">
        <v>75643</v>
      </c>
      <c r="J81" s="102">
        <v>74588</v>
      </c>
      <c r="K81" s="102">
        <v>74766</v>
      </c>
      <c r="L81" s="102">
        <v>74769</v>
      </c>
      <c r="M81" s="102">
        <v>78176</v>
      </c>
      <c r="N81" s="102">
        <v>79130</v>
      </c>
      <c r="O81" s="102">
        <v>73045</v>
      </c>
      <c r="P81" s="102">
        <v>73122</v>
      </c>
      <c r="Q81" s="102">
        <v>73202</v>
      </c>
      <c r="R81" s="102">
        <v>74770</v>
      </c>
      <c r="S81" s="102">
        <v>76181</v>
      </c>
      <c r="T81" s="102">
        <v>77511</v>
      </c>
      <c r="U81" s="102">
        <v>77660</v>
      </c>
      <c r="V81" s="102">
        <v>77847</v>
      </c>
      <c r="W81" s="102">
        <v>78596</v>
      </c>
      <c r="DA81" s="175" t="s">
        <v>523</v>
      </c>
    </row>
    <row r="82" spans="1:105" ht="11.45" customHeight="1" x14ac:dyDescent="0.25">
      <c r="A82" s="138" t="s">
        <v>116</v>
      </c>
      <c r="B82" s="86">
        <v>6205</v>
      </c>
      <c r="C82" s="86">
        <v>6652</v>
      </c>
      <c r="D82" s="86">
        <v>6998</v>
      </c>
      <c r="E82" s="86">
        <v>7153</v>
      </c>
      <c r="F82" s="86">
        <v>8456</v>
      </c>
      <c r="G82" s="86">
        <v>8752</v>
      </c>
      <c r="H82" s="86">
        <v>9448</v>
      </c>
      <c r="I82" s="86">
        <v>9618</v>
      </c>
      <c r="J82" s="86">
        <v>9253</v>
      </c>
      <c r="K82" s="86">
        <v>7423</v>
      </c>
      <c r="L82" s="86">
        <v>8063</v>
      </c>
      <c r="M82" s="86">
        <v>7909</v>
      </c>
      <c r="N82" s="86">
        <v>7703</v>
      </c>
      <c r="O82" s="86">
        <v>8759</v>
      </c>
      <c r="P82" s="86">
        <v>8329</v>
      </c>
      <c r="Q82" s="86">
        <v>9493</v>
      </c>
      <c r="R82" s="86">
        <v>10123</v>
      </c>
      <c r="S82" s="86">
        <v>9954</v>
      </c>
      <c r="T82" s="86">
        <v>10123</v>
      </c>
      <c r="U82" s="86">
        <v>9504</v>
      </c>
      <c r="V82" s="86">
        <v>9833</v>
      </c>
      <c r="W82" s="86">
        <v>10823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4699201</v>
      </c>
      <c r="C84" s="54">
        <f t="shared" si="146"/>
        <v>4768816</v>
      </c>
      <c r="D84" s="54">
        <f t="shared" ref="D84:V84" si="147">D85+D100</f>
        <v>4841844</v>
      </c>
      <c r="E84" s="54">
        <f t="shared" si="147"/>
        <v>4910424</v>
      </c>
      <c r="F84" s="54">
        <f t="shared" si="147"/>
        <v>4976169</v>
      </c>
      <c r="G84" s="54">
        <f t="shared" si="147"/>
        <v>5087748</v>
      </c>
      <c r="H84" s="54">
        <f t="shared" si="147"/>
        <v>5200434</v>
      </c>
      <c r="I84" s="54">
        <f t="shared" si="147"/>
        <v>5310587</v>
      </c>
      <c r="J84" s="54">
        <f t="shared" si="147"/>
        <v>5362737</v>
      </c>
      <c r="K84" s="54">
        <f t="shared" si="147"/>
        <v>5404851</v>
      </c>
      <c r="L84" s="54">
        <f t="shared" si="147"/>
        <v>5442756</v>
      </c>
      <c r="M84" s="54">
        <f t="shared" si="147"/>
        <v>5550455</v>
      </c>
      <c r="N84" s="54">
        <f t="shared" si="147"/>
        <v>5633819</v>
      </c>
      <c r="O84" s="54">
        <f t="shared" si="147"/>
        <v>5709652</v>
      </c>
      <c r="P84" s="54">
        <f t="shared" si="147"/>
        <v>5830545</v>
      </c>
      <c r="Q84" s="54">
        <f t="shared" si="147"/>
        <v>5952026</v>
      </c>
      <c r="R84" s="54">
        <f t="shared" si="147"/>
        <v>6098141</v>
      </c>
      <c r="S84" s="54">
        <f t="shared" si="147"/>
        <v>6226260</v>
      </c>
      <c r="T84" s="54">
        <f t="shared" si="147"/>
        <v>6288900</v>
      </c>
      <c r="U84" s="54">
        <f t="shared" si="147"/>
        <v>6338712</v>
      </c>
      <c r="V84" s="54">
        <f t="shared" si="147"/>
        <v>6419941</v>
      </c>
      <c r="W84" s="54">
        <f t="shared" ref="W84" si="148">W85+W100</f>
        <v>6493940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4322596</v>
      </c>
      <c r="C85" s="28">
        <f t="shared" si="149"/>
        <v>4369937</v>
      </c>
      <c r="D85" s="28">
        <f t="shared" ref="D85:V85" si="150">D86+D87+D94</f>
        <v>4429612</v>
      </c>
      <c r="E85" s="28">
        <f t="shared" si="150"/>
        <v>4485443</v>
      </c>
      <c r="F85" s="28">
        <f t="shared" si="150"/>
        <v>4530760</v>
      </c>
      <c r="G85" s="28">
        <f t="shared" si="150"/>
        <v>4620559</v>
      </c>
      <c r="H85" s="28">
        <f t="shared" si="150"/>
        <v>4714317</v>
      </c>
      <c r="I85" s="28">
        <f t="shared" si="150"/>
        <v>4800040</v>
      </c>
      <c r="J85" s="28">
        <f t="shared" si="150"/>
        <v>4846773</v>
      </c>
      <c r="K85" s="28">
        <f t="shared" si="150"/>
        <v>4885242</v>
      </c>
      <c r="L85" s="28">
        <f t="shared" si="150"/>
        <v>4918498</v>
      </c>
      <c r="M85" s="28">
        <f t="shared" si="150"/>
        <v>4992987</v>
      </c>
      <c r="N85" s="28">
        <f t="shared" si="150"/>
        <v>5076071</v>
      </c>
      <c r="O85" s="28">
        <f t="shared" si="150"/>
        <v>5143461</v>
      </c>
      <c r="P85" s="28">
        <f t="shared" si="150"/>
        <v>5249132</v>
      </c>
      <c r="Q85" s="28">
        <f t="shared" si="150"/>
        <v>5354888</v>
      </c>
      <c r="R85" s="28">
        <f t="shared" si="150"/>
        <v>5480243</v>
      </c>
      <c r="S85" s="28">
        <f t="shared" si="150"/>
        <v>5586540</v>
      </c>
      <c r="T85" s="28">
        <f t="shared" si="150"/>
        <v>5631014</v>
      </c>
      <c r="U85" s="28">
        <f t="shared" si="150"/>
        <v>5668303</v>
      </c>
      <c r="V85" s="28">
        <f t="shared" si="150"/>
        <v>5738575</v>
      </c>
      <c r="W85" s="28">
        <f t="shared" ref="W85" si="151">W86+W87+W94</f>
        <v>5800807</v>
      </c>
      <c r="DA85" s="173"/>
    </row>
    <row r="86" spans="1:105" ht="11.45" hidden="1" customHeight="1" x14ac:dyDescent="0.25">
      <c r="A86" s="136" t="s">
        <v>180</v>
      </c>
      <c r="B86" s="137">
        <v>310069</v>
      </c>
      <c r="C86" s="137">
        <v>336341</v>
      </c>
      <c r="D86" s="137">
        <v>372369</v>
      </c>
      <c r="E86" s="137">
        <v>395601</v>
      </c>
      <c r="F86" s="137">
        <v>403317</v>
      </c>
      <c r="G86" s="137">
        <v>453082</v>
      </c>
      <c r="H86" s="137">
        <v>497744</v>
      </c>
      <c r="I86" s="137">
        <v>528125</v>
      </c>
      <c r="J86" s="137">
        <v>553929</v>
      </c>
      <c r="K86" s="137">
        <v>571890</v>
      </c>
      <c r="L86" s="137">
        <v>570240</v>
      </c>
      <c r="M86" s="137">
        <v>578495</v>
      </c>
      <c r="N86" s="137">
        <v>615525</v>
      </c>
      <c r="O86" s="137">
        <v>634819</v>
      </c>
      <c r="P86" s="137">
        <v>650434</v>
      </c>
      <c r="Q86" s="137">
        <v>672517</v>
      </c>
      <c r="R86" s="137">
        <v>699095</v>
      </c>
      <c r="S86" s="137">
        <v>727299</v>
      </c>
      <c r="T86" s="137">
        <v>746658</v>
      </c>
      <c r="U86" s="137">
        <v>766274</v>
      </c>
      <c r="V86" s="137">
        <v>781794</v>
      </c>
      <c r="W86" s="137">
        <v>801235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3998110</v>
      </c>
      <c r="C87" s="110">
        <f t="shared" si="152"/>
        <v>4019350</v>
      </c>
      <c r="D87" s="110">
        <f t="shared" ref="D87:V87" si="153">SUM(D88:D93)</f>
        <v>4043230</v>
      </c>
      <c r="E87" s="110">
        <f t="shared" si="153"/>
        <v>4076100</v>
      </c>
      <c r="F87" s="110">
        <f t="shared" si="153"/>
        <v>4114080</v>
      </c>
      <c r="G87" s="110">
        <f t="shared" si="153"/>
        <v>4154000</v>
      </c>
      <c r="H87" s="110">
        <f t="shared" si="153"/>
        <v>4202930</v>
      </c>
      <c r="I87" s="110">
        <f t="shared" si="153"/>
        <v>4258600</v>
      </c>
      <c r="J87" s="110">
        <f t="shared" si="153"/>
        <v>4279370</v>
      </c>
      <c r="K87" s="110">
        <f t="shared" si="153"/>
        <v>4299950</v>
      </c>
      <c r="L87" s="110">
        <f t="shared" si="153"/>
        <v>4334390</v>
      </c>
      <c r="M87" s="110">
        <f t="shared" si="153"/>
        <v>4400550</v>
      </c>
      <c r="N87" s="110">
        <f t="shared" si="153"/>
        <v>4446349</v>
      </c>
      <c r="O87" s="110">
        <f t="shared" si="153"/>
        <v>4494661</v>
      </c>
      <c r="P87" s="110">
        <f t="shared" si="153"/>
        <v>4584711</v>
      </c>
      <c r="Q87" s="110">
        <f t="shared" si="153"/>
        <v>4668262</v>
      </c>
      <c r="R87" s="110">
        <f t="shared" si="153"/>
        <v>4767262</v>
      </c>
      <c r="S87" s="110">
        <f t="shared" si="153"/>
        <v>4844823</v>
      </c>
      <c r="T87" s="110">
        <f t="shared" si="153"/>
        <v>4869979</v>
      </c>
      <c r="U87" s="110">
        <f t="shared" si="153"/>
        <v>4887116</v>
      </c>
      <c r="V87" s="110">
        <f t="shared" si="153"/>
        <v>4943293</v>
      </c>
      <c r="W87" s="110">
        <f t="shared" ref="W87" si="154">SUM(W88:W93)</f>
        <v>4985979</v>
      </c>
      <c r="DA87" s="176"/>
    </row>
    <row r="88" spans="1:105" ht="11.45" hidden="1" customHeight="1" x14ac:dyDescent="0.25">
      <c r="A88" s="111" t="s">
        <v>110</v>
      </c>
      <c r="B88" s="84">
        <v>3804105</v>
      </c>
      <c r="C88" s="84">
        <v>3834345</v>
      </c>
      <c r="D88" s="84">
        <v>3853307</v>
      </c>
      <c r="E88" s="84">
        <v>3878269</v>
      </c>
      <c r="F88" s="84">
        <v>3906270</v>
      </c>
      <c r="G88" s="84">
        <v>3931685</v>
      </c>
      <c r="H88" s="84">
        <v>3937982</v>
      </c>
      <c r="I88" s="84">
        <v>3902523</v>
      </c>
      <c r="J88" s="84">
        <v>3857952</v>
      </c>
      <c r="K88" s="84">
        <v>3789166</v>
      </c>
      <c r="L88" s="84">
        <v>3685570</v>
      </c>
      <c r="M88" s="84">
        <v>3579435</v>
      </c>
      <c r="N88" s="84">
        <v>3454210</v>
      </c>
      <c r="O88" s="84">
        <v>3341431</v>
      </c>
      <c r="P88" s="84">
        <v>3259599</v>
      </c>
      <c r="Q88" s="84">
        <v>3168166</v>
      </c>
      <c r="R88" s="84">
        <v>3096797</v>
      </c>
      <c r="S88" s="84">
        <v>3039616</v>
      </c>
      <c r="T88" s="84">
        <v>2983381</v>
      </c>
      <c r="U88" s="84">
        <v>2937692</v>
      </c>
      <c r="V88" s="84">
        <v>2902284</v>
      </c>
      <c r="W88" s="84">
        <v>2832059</v>
      </c>
      <c r="DA88" s="171"/>
    </row>
    <row r="89" spans="1:105" ht="11.45" hidden="1" customHeight="1" x14ac:dyDescent="0.25">
      <c r="A89" s="111" t="s">
        <v>111</v>
      </c>
      <c r="B89" s="84">
        <v>194005</v>
      </c>
      <c r="C89" s="84">
        <v>185005</v>
      </c>
      <c r="D89" s="84">
        <v>189003</v>
      </c>
      <c r="E89" s="84">
        <v>196001</v>
      </c>
      <c r="F89" s="84">
        <v>204960</v>
      </c>
      <c r="G89" s="84">
        <v>217875</v>
      </c>
      <c r="H89" s="84">
        <v>260419</v>
      </c>
      <c r="I89" s="84">
        <v>350957</v>
      </c>
      <c r="J89" s="84">
        <v>415365</v>
      </c>
      <c r="K89" s="84">
        <v>503997</v>
      </c>
      <c r="L89" s="84">
        <v>634669</v>
      </c>
      <c r="M89" s="84">
        <v>800389</v>
      </c>
      <c r="N89" s="84">
        <v>965679</v>
      </c>
      <c r="O89" s="84">
        <v>1122665</v>
      </c>
      <c r="P89" s="84">
        <v>1285667</v>
      </c>
      <c r="Q89" s="84">
        <v>1449009</v>
      </c>
      <c r="R89" s="84">
        <v>1599960</v>
      </c>
      <c r="S89" s="84">
        <v>1718231</v>
      </c>
      <c r="T89" s="84">
        <v>1778077</v>
      </c>
      <c r="U89" s="84">
        <v>1810839</v>
      </c>
      <c r="V89" s="84">
        <v>1806421</v>
      </c>
      <c r="W89" s="84">
        <v>1784501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0</v>
      </c>
      <c r="E90" s="84">
        <v>0</v>
      </c>
      <c r="F90" s="84">
        <v>0</v>
      </c>
      <c r="G90" s="84">
        <v>300</v>
      </c>
      <c r="H90" s="84">
        <v>284</v>
      </c>
      <c r="I90" s="84">
        <v>282</v>
      </c>
      <c r="J90" s="84">
        <v>300</v>
      </c>
      <c r="K90" s="84">
        <v>400</v>
      </c>
      <c r="L90" s="84">
        <v>350</v>
      </c>
      <c r="M90" s="84">
        <v>486</v>
      </c>
      <c r="N90" s="84">
        <v>486</v>
      </c>
      <c r="O90" s="84">
        <v>491</v>
      </c>
      <c r="P90" s="84">
        <v>491</v>
      </c>
      <c r="Q90" s="84">
        <v>491</v>
      </c>
      <c r="R90" s="84">
        <v>465</v>
      </c>
      <c r="S90" s="84">
        <v>0</v>
      </c>
      <c r="T90" s="84">
        <v>0</v>
      </c>
      <c r="U90" s="84">
        <v>0</v>
      </c>
      <c r="V90" s="84">
        <v>0</v>
      </c>
      <c r="W90" s="84">
        <v>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920</v>
      </c>
      <c r="E91" s="84">
        <v>1830</v>
      </c>
      <c r="F91" s="84">
        <v>2850</v>
      </c>
      <c r="G91" s="84">
        <v>4140</v>
      </c>
      <c r="H91" s="84">
        <v>4245</v>
      </c>
      <c r="I91" s="84">
        <v>4838</v>
      </c>
      <c r="J91" s="84">
        <v>5494</v>
      </c>
      <c r="K91" s="84">
        <v>6070</v>
      </c>
      <c r="L91" s="84">
        <v>13421</v>
      </c>
      <c r="M91" s="84">
        <v>19504</v>
      </c>
      <c r="N91" s="84">
        <v>24381</v>
      </c>
      <c r="O91" s="84">
        <v>27595</v>
      </c>
      <c r="P91" s="84">
        <v>31860</v>
      </c>
      <c r="Q91" s="84">
        <v>36055</v>
      </c>
      <c r="R91" s="84">
        <v>43676</v>
      </c>
      <c r="S91" s="84">
        <v>43689</v>
      </c>
      <c r="T91" s="84">
        <v>42463</v>
      </c>
      <c r="U91" s="84">
        <v>41633</v>
      </c>
      <c r="V91" s="84">
        <v>43908</v>
      </c>
      <c r="W91" s="84">
        <v>43444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130</v>
      </c>
      <c r="K92" s="84">
        <v>160</v>
      </c>
      <c r="L92" s="84">
        <v>190</v>
      </c>
      <c r="M92" s="84">
        <v>370</v>
      </c>
      <c r="N92" s="84">
        <v>990</v>
      </c>
      <c r="O92" s="84">
        <v>1469</v>
      </c>
      <c r="P92" s="84">
        <v>4922</v>
      </c>
      <c r="Q92" s="84">
        <v>9776</v>
      </c>
      <c r="R92" s="84">
        <v>18832</v>
      </c>
      <c r="S92" s="84">
        <v>32253</v>
      </c>
      <c r="T92" s="84">
        <v>49394</v>
      </c>
      <c r="U92" s="84">
        <v>66609</v>
      </c>
      <c r="V92" s="84">
        <v>132440</v>
      </c>
      <c r="W92" s="84">
        <v>210281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129</v>
      </c>
      <c r="K93" s="84">
        <v>157</v>
      </c>
      <c r="L93" s="84">
        <v>190</v>
      </c>
      <c r="M93" s="84">
        <v>366</v>
      </c>
      <c r="N93" s="84">
        <v>603</v>
      </c>
      <c r="O93" s="84">
        <v>1010</v>
      </c>
      <c r="P93" s="84">
        <v>2172</v>
      </c>
      <c r="Q93" s="84">
        <v>4765</v>
      </c>
      <c r="R93" s="84">
        <v>7532</v>
      </c>
      <c r="S93" s="84">
        <v>11034</v>
      </c>
      <c r="T93" s="84">
        <v>16664</v>
      </c>
      <c r="U93" s="84">
        <v>30343</v>
      </c>
      <c r="V93" s="84">
        <v>58240</v>
      </c>
      <c r="W93" s="84">
        <v>115694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14417</v>
      </c>
      <c r="C94" s="110">
        <f t="shared" si="155"/>
        <v>14246</v>
      </c>
      <c r="D94" s="110">
        <f t="shared" ref="D94:V94" si="156">SUM(D95:D99)</f>
        <v>14013</v>
      </c>
      <c r="E94" s="110">
        <f t="shared" si="156"/>
        <v>13742</v>
      </c>
      <c r="F94" s="110">
        <f t="shared" si="156"/>
        <v>13363</v>
      </c>
      <c r="G94" s="110">
        <f t="shared" si="156"/>
        <v>13477</v>
      </c>
      <c r="H94" s="110">
        <f t="shared" si="156"/>
        <v>13643</v>
      </c>
      <c r="I94" s="110">
        <f t="shared" si="156"/>
        <v>13315</v>
      </c>
      <c r="J94" s="110">
        <f t="shared" si="156"/>
        <v>13474</v>
      </c>
      <c r="K94" s="110">
        <f t="shared" si="156"/>
        <v>13402</v>
      </c>
      <c r="L94" s="110">
        <f t="shared" si="156"/>
        <v>13868</v>
      </c>
      <c r="M94" s="110">
        <f t="shared" si="156"/>
        <v>13942</v>
      </c>
      <c r="N94" s="110">
        <f t="shared" si="156"/>
        <v>14197</v>
      </c>
      <c r="O94" s="110">
        <f t="shared" si="156"/>
        <v>13981</v>
      </c>
      <c r="P94" s="110">
        <f t="shared" si="156"/>
        <v>13987</v>
      </c>
      <c r="Q94" s="110">
        <f t="shared" si="156"/>
        <v>14109</v>
      </c>
      <c r="R94" s="110">
        <f t="shared" si="156"/>
        <v>13886</v>
      </c>
      <c r="S94" s="110">
        <f t="shared" si="156"/>
        <v>14418</v>
      </c>
      <c r="T94" s="110">
        <f t="shared" si="156"/>
        <v>14377</v>
      </c>
      <c r="U94" s="110">
        <f t="shared" si="156"/>
        <v>14913</v>
      </c>
      <c r="V94" s="110">
        <f t="shared" si="156"/>
        <v>13488</v>
      </c>
      <c r="W94" s="110">
        <f t="shared" ref="W94" si="157">SUM(W95:W99)</f>
        <v>13593</v>
      </c>
      <c r="DA94" s="176"/>
    </row>
    <row r="95" spans="1:105" ht="11.45" hidden="1" customHeight="1" x14ac:dyDescent="0.25">
      <c r="A95" s="111" t="s">
        <v>110</v>
      </c>
      <c r="B95" s="102">
        <v>521</v>
      </c>
      <c r="C95" s="102">
        <v>426</v>
      </c>
      <c r="D95" s="102">
        <v>336</v>
      </c>
      <c r="E95" s="102">
        <v>259</v>
      </c>
      <c r="F95" s="102">
        <v>192</v>
      </c>
      <c r="G95" s="102">
        <v>142</v>
      </c>
      <c r="H95" s="102">
        <v>122</v>
      </c>
      <c r="I95" s="102">
        <v>103</v>
      </c>
      <c r="J95" s="102">
        <v>88</v>
      </c>
      <c r="K95" s="102">
        <v>82</v>
      </c>
      <c r="L95" s="102">
        <v>34</v>
      </c>
      <c r="M95" s="102">
        <v>61</v>
      </c>
      <c r="N95" s="102">
        <v>51</v>
      </c>
      <c r="O95" s="102">
        <v>51</v>
      </c>
      <c r="P95" s="102">
        <v>49</v>
      </c>
      <c r="Q95" s="102">
        <v>46</v>
      </c>
      <c r="R95" s="102">
        <v>49</v>
      </c>
      <c r="S95" s="102">
        <v>47</v>
      </c>
      <c r="T95" s="102">
        <v>45</v>
      </c>
      <c r="U95" s="102">
        <v>41</v>
      </c>
      <c r="V95" s="102">
        <v>39</v>
      </c>
      <c r="W95" s="102">
        <v>36</v>
      </c>
      <c r="DA95" s="175"/>
    </row>
    <row r="96" spans="1:105" ht="11.45" hidden="1" customHeight="1" x14ac:dyDescent="0.25">
      <c r="A96" s="111" t="s">
        <v>111</v>
      </c>
      <c r="B96" s="102">
        <v>13539</v>
      </c>
      <c r="C96" s="102">
        <v>13428</v>
      </c>
      <c r="D96" s="102">
        <v>13287</v>
      </c>
      <c r="E96" s="102">
        <v>13091</v>
      </c>
      <c r="F96" s="102">
        <v>12733</v>
      </c>
      <c r="G96" s="102">
        <v>12398</v>
      </c>
      <c r="H96" s="102">
        <v>12965</v>
      </c>
      <c r="I96" s="102">
        <v>12580</v>
      </c>
      <c r="J96" s="102">
        <v>12544</v>
      </c>
      <c r="K96" s="102">
        <v>12200</v>
      </c>
      <c r="L96" s="102">
        <v>12523</v>
      </c>
      <c r="M96" s="102">
        <v>12209</v>
      </c>
      <c r="N96" s="102">
        <v>12289</v>
      </c>
      <c r="O96" s="102">
        <v>11779</v>
      </c>
      <c r="P96" s="102">
        <v>11647</v>
      </c>
      <c r="Q96" s="102">
        <v>11705</v>
      </c>
      <c r="R96" s="102">
        <v>11489</v>
      </c>
      <c r="S96" s="102">
        <v>11802</v>
      </c>
      <c r="T96" s="102">
        <v>11710</v>
      </c>
      <c r="U96" s="102">
        <v>11986</v>
      </c>
      <c r="V96" s="102">
        <v>10155</v>
      </c>
      <c r="W96" s="102">
        <v>10124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340</v>
      </c>
      <c r="C98" s="102">
        <v>375</v>
      </c>
      <c r="D98" s="102">
        <v>376</v>
      </c>
      <c r="E98" s="102">
        <v>376</v>
      </c>
      <c r="F98" s="102">
        <v>422</v>
      </c>
      <c r="G98" s="102">
        <v>924</v>
      </c>
      <c r="H98" s="102">
        <v>544</v>
      </c>
      <c r="I98" s="102">
        <v>622</v>
      </c>
      <c r="J98" s="102">
        <v>834</v>
      </c>
      <c r="K98" s="102">
        <v>1112</v>
      </c>
      <c r="L98" s="102">
        <v>1307</v>
      </c>
      <c r="M98" s="102">
        <v>1668</v>
      </c>
      <c r="N98" s="102">
        <v>1851</v>
      </c>
      <c r="O98" s="102">
        <v>2143</v>
      </c>
      <c r="P98" s="102">
        <v>2280</v>
      </c>
      <c r="Q98" s="102">
        <v>2338</v>
      </c>
      <c r="R98" s="102">
        <v>2310</v>
      </c>
      <c r="S98" s="102">
        <v>2515</v>
      </c>
      <c r="T98" s="102">
        <v>2522</v>
      </c>
      <c r="U98" s="102">
        <v>2618</v>
      </c>
      <c r="V98" s="102">
        <v>2822</v>
      </c>
      <c r="W98" s="102">
        <v>2771</v>
      </c>
      <c r="DA98" s="175"/>
    </row>
    <row r="99" spans="1:105" ht="11.45" hidden="1" customHeight="1" x14ac:dyDescent="0.25">
      <c r="A99" s="111" t="s">
        <v>115</v>
      </c>
      <c r="B99" s="102">
        <v>17</v>
      </c>
      <c r="C99" s="102">
        <v>17</v>
      </c>
      <c r="D99" s="102">
        <v>14</v>
      </c>
      <c r="E99" s="102">
        <v>16</v>
      </c>
      <c r="F99" s="102">
        <v>16</v>
      </c>
      <c r="G99" s="102">
        <v>13</v>
      </c>
      <c r="H99" s="102">
        <v>12</v>
      </c>
      <c r="I99" s="102">
        <v>10</v>
      </c>
      <c r="J99" s="102">
        <v>8</v>
      </c>
      <c r="K99" s="102">
        <v>8</v>
      </c>
      <c r="L99" s="102">
        <v>4</v>
      </c>
      <c r="M99" s="102">
        <v>4</v>
      </c>
      <c r="N99" s="102">
        <v>6</v>
      </c>
      <c r="O99" s="102">
        <v>8</v>
      </c>
      <c r="P99" s="102">
        <v>11</v>
      </c>
      <c r="Q99" s="102">
        <v>20</v>
      </c>
      <c r="R99" s="102">
        <v>38</v>
      </c>
      <c r="S99" s="102">
        <v>54</v>
      </c>
      <c r="T99" s="102">
        <v>100</v>
      </c>
      <c r="U99" s="102">
        <v>268</v>
      </c>
      <c r="V99" s="102">
        <v>472</v>
      </c>
      <c r="W99" s="102">
        <v>662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376605</v>
      </c>
      <c r="C100" s="28">
        <f t="shared" si="158"/>
        <v>398879</v>
      </c>
      <c r="D100" s="28">
        <f t="shared" ref="D100:V100" si="159">D101+D107</f>
        <v>412232</v>
      </c>
      <c r="E100" s="28">
        <f t="shared" si="159"/>
        <v>424981</v>
      </c>
      <c r="F100" s="28">
        <f t="shared" si="159"/>
        <v>445409</v>
      </c>
      <c r="G100" s="28">
        <f t="shared" si="159"/>
        <v>467189</v>
      </c>
      <c r="H100" s="28">
        <f t="shared" si="159"/>
        <v>486117</v>
      </c>
      <c r="I100" s="28">
        <f t="shared" si="159"/>
        <v>510547</v>
      </c>
      <c r="J100" s="28">
        <f t="shared" si="159"/>
        <v>515964</v>
      </c>
      <c r="K100" s="28">
        <f t="shared" si="159"/>
        <v>519609</v>
      </c>
      <c r="L100" s="28">
        <f t="shared" si="159"/>
        <v>524258</v>
      </c>
      <c r="M100" s="28">
        <f t="shared" si="159"/>
        <v>557468</v>
      </c>
      <c r="N100" s="28">
        <f t="shared" si="159"/>
        <v>557748</v>
      </c>
      <c r="O100" s="28">
        <f t="shared" si="159"/>
        <v>566191</v>
      </c>
      <c r="P100" s="28">
        <f t="shared" si="159"/>
        <v>581413</v>
      </c>
      <c r="Q100" s="28">
        <f t="shared" si="159"/>
        <v>597138</v>
      </c>
      <c r="R100" s="28">
        <f t="shared" si="159"/>
        <v>617898</v>
      </c>
      <c r="S100" s="28">
        <f t="shared" si="159"/>
        <v>639720</v>
      </c>
      <c r="T100" s="28">
        <f t="shared" si="159"/>
        <v>657886</v>
      </c>
      <c r="U100" s="28">
        <f t="shared" si="159"/>
        <v>670409</v>
      </c>
      <c r="V100" s="28">
        <f t="shared" si="159"/>
        <v>681366</v>
      </c>
      <c r="W100" s="28">
        <f t="shared" ref="W100" si="160">W101+W107</f>
        <v>693133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296574</v>
      </c>
      <c r="C101" s="137">
        <f t="shared" si="161"/>
        <v>318776</v>
      </c>
      <c r="D101" s="137">
        <f t="shared" ref="D101:V101" si="162">SUM(D102:D106)</f>
        <v>333289</v>
      </c>
      <c r="E101" s="137">
        <f t="shared" si="162"/>
        <v>347263</v>
      </c>
      <c r="F101" s="137">
        <f t="shared" si="162"/>
        <v>365812</v>
      </c>
      <c r="G101" s="137">
        <f t="shared" si="162"/>
        <v>386377</v>
      </c>
      <c r="H101" s="137">
        <f t="shared" si="162"/>
        <v>402748</v>
      </c>
      <c r="I101" s="137">
        <f t="shared" si="162"/>
        <v>425286</v>
      </c>
      <c r="J101" s="137">
        <f t="shared" si="162"/>
        <v>432123</v>
      </c>
      <c r="K101" s="137">
        <f t="shared" si="162"/>
        <v>437420</v>
      </c>
      <c r="L101" s="137">
        <f t="shared" si="162"/>
        <v>441426</v>
      </c>
      <c r="M101" s="137">
        <f t="shared" si="162"/>
        <v>471383</v>
      </c>
      <c r="N101" s="137">
        <f t="shared" si="162"/>
        <v>470915</v>
      </c>
      <c r="O101" s="137">
        <f t="shared" si="162"/>
        <v>484387</v>
      </c>
      <c r="P101" s="137">
        <f t="shared" si="162"/>
        <v>499962</v>
      </c>
      <c r="Q101" s="137">
        <f t="shared" si="162"/>
        <v>514443</v>
      </c>
      <c r="R101" s="137">
        <f t="shared" si="162"/>
        <v>533005</v>
      </c>
      <c r="S101" s="137">
        <f t="shared" si="162"/>
        <v>553585</v>
      </c>
      <c r="T101" s="137">
        <f t="shared" si="162"/>
        <v>570252</v>
      </c>
      <c r="U101" s="137">
        <f t="shared" si="162"/>
        <v>583245</v>
      </c>
      <c r="V101" s="137">
        <f t="shared" si="162"/>
        <v>593686</v>
      </c>
      <c r="W101" s="137">
        <f t="shared" ref="W101" si="163">SUM(W102:W106)</f>
        <v>603714</v>
      </c>
      <c r="DA101" s="174"/>
    </row>
    <row r="102" spans="1:105" ht="11.45" hidden="1" customHeight="1" x14ac:dyDescent="0.25">
      <c r="A102" s="111" t="s">
        <v>110</v>
      </c>
      <c r="B102" s="84">
        <v>178196</v>
      </c>
      <c r="C102" s="84">
        <v>172471</v>
      </c>
      <c r="D102" s="84">
        <v>164678</v>
      </c>
      <c r="E102" s="84">
        <v>155801</v>
      </c>
      <c r="F102" s="84">
        <v>146710</v>
      </c>
      <c r="G102" s="84">
        <v>137987</v>
      </c>
      <c r="H102" s="84">
        <v>127837</v>
      </c>
      <c r="I102" s="84">
        <v>118748</v>
      </c>
      <c r="J102" s="84">
        <v>108195</v>
      </c>
      <c r="K102" s="84">
        <v>100787</v>
      </c>
      <c r="L102" s="84">
        <v>92942</v>
      </c>
      <c r="M102" s="84">
        <v>85821</v>
      </c>
      <c r="N102" s="84">
        <v>75703</v>
      </c>
      <c r="O102" s="84">
        <v>66920</v>
      </c>
      <c r="P102" s="84">
        <v>62298</v>
      </c>
      <c r="Q102" s="84">
        <v>57028</v>
      </c>
      <c r="R102" s="84">
        <v>52705</v>
      </c>
      <c r="S102" s="84">
        <v>49638</v>
      </c>
      <c r="T102" s="84">
        <v>47465</v>
      </c>
      <c r="U102" s="84">
        <v>46650</v>
      </c>
      <c r="V102" s="84">
        <v>46340</v>
      </c>
      <c r="W102" s="84">
        <v>45169</v>
      </c>
      <c r="DA102" s="171"/>
    </row>
    <row r="103" spans="1:105" ht="11.45" hidden="1" customHeight="1" x14ac:dyDescent="0.25">
      <c r="A103" s="111" t="s">
        <v>111</v>
      </c>
      <c r="B103" s="84">
        <v>118378</v>
      </c>
      <c r="C103" s="84">
        <v>146302</v>
      </c>
      <c r="D103" s="84">
        <v>168594</v>
      </c>
      <c r="E103" s="84">
        <v>191417</v>
      </c>
      <c r="F103" s="84">
        <v>219032</v>
      </c>
      <c r="G103" s="84">
        <v>248236</v>
      </c>
      <c r="H103" s="84">
        <v>274331</v>
      </c>
      <c r="I103" s="84">
        <v>305537</v>
      </c>
      <c r="J103" s="84">
        <v>322246</v>
      </c>
      <c r="K103" s="84">
        <v>334073</v>
      </c>
      <c r="L103" s="84">
        <v>345694</v>
      </c>
      <c r="M103" s="84">
        <v>382368</v>
      </c>
      <c r="N103" s="84">
        <v>391346</v>
      </c>
      <c r="O103" s="84">
        <v>413218</v>
      </c>
      <c r="P103" s="84">
        <v>432942</v>
      </c>
      <c r="Q103" s="84">
        <v>452004</v>
      </c>
      <c r="R103" s="84">
        <v>474428</v>
      </c>
      <c r="S103" s="84">
        <v>497261</v>
      </c>
      <c r="T103" s="84">
        <v>511760</v>
      </c>
      <c r="U103" s="84">
        <v>523952</v>
      </c>
      <c r="V103" s="84">
        <v>532452</v>
      </c>
      <c r="W103" s="84">
        <v>540867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3</v>
      </c>
      <c r="D105" s="84">
        <v>17</v>
      </c>
      <c r="E105" s="84">
        <v>45</v>
      </c>
      <c r="F105" s="84">
        <v>70</v>
      </c>
      <c r="G105" s="84">
        <v>152</v>
      </c>
      <c r="H105" s="84">
        <v>373</v>
      </c>
      <c r="I105" s="84">
        <v>805</v>
      </c>
      <c r="J105" s="84">
        <v>1487</v>
      </c>
      <c r="K105" s="84">
        <v>2365</v>
      </c>
      <c r="L105" s="84">
        <v>2600</v>
      </c>
      <c r="M105" s="84">
        <v>3000</v>
      </c>
      <c r="N105" s="84">
        <v>3500</v>
      </c>
      <c r="O105" s="84">
        <v>3701</v>
      </c>
      <c r="P105" s="84">
        <v>3889</v>
      </c>
      <c r="Q105" s="84">
        <v>4167</v>
      </c>
      <c r="R105" s="84">
        <v>4320</v>
      </c>
      <c r="S105" s="84">
        <v>4739</v>
      </c>
      <c r="T105" s="84">
        <v>8366</v>
      </c>
      <c r="U105" s="84">
        <v>8697</v>
      </c>
      <c r="V105" s="84">
        <v>9000</v>
      </c>
      <c r="W105" s="84">
        <v>9100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2</v>
      </c>
      <c r="H106" s="84">
        <v>207</v>
      </c>
      <c r="I106" s="84">
        <v>196</v>
      </c>
      <c r="J106" s="84">
        <v>195</v>
      </c>
      <c r="K106" s="84">
        <v>195</v>
      </c>
      <c r="L106" s="84">
        <v>190</v>
      </c>
      <c r="M106" s="84">
        <v>194</v>
      </c>
      <c r="N106" s="84">
        <v>366</v>
      </c>
      <c r="O106" s="84">
        <v>548</v>
      </c>
      <c r="P106" s="84">
        <v>833</v>
      </c>
      <c r="Q106" s="84">
        <v>1244</v>
      </c>
      <c r="R106" s="84">
        <v>1552</v>
      </c>
      <c r="S106" s="84">
        <v>1947</v>
      </c>
      <c r="T106" s="84">
        <v>2661</v>
      </c>
      <c r="U106" s="84">
        <v>3946</v>
      </c>
      <c r="V106" s="84">
        <v>5894</v>
      </c>
      <c r="W106" s="84">
        <v>8578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80031</v>
      </c>
      <c r="C107" s="110">
        <f t="shared" si="164"/>
        <v>80103</v>
      </c>
      <c r="D107" s="110">
        <f t="shared" ref="D107:V107" si="165">SUM(D108:D109)</f>
        <v>78943</v>
      </c>
      <c r="E107" s="110">
        <f t="shared" si="165"/>
        <v>77718</v>
      </c>
      <c r="F107" s="110">
        <f t="shared" si="165"/>
        <v>79597</v>
      </c>
      <c r="G107" s="110">
        <f t="shared" si="165"/>
        <v>80812</v>
      </c>
      <c r="H107" s="110">
        <f t="shared" si="165"/>
        <v>83369</v>
      </c>
      <c r="I107" s="110">
        <f t="shared" si="165"/>
        <v>85261</v>
      </c>
      <c r="J107" s="110">
        <f t="shared" si="165"/>
        <v>83841</v>
      </c>
      <c r="K107" s="110">
        <f t="shared" si="165"/>
        <v>82189</v>
      </c>
      <c r="L107" s="110">
        <f t="shared" si="165"/>
        <v>82832</v>
      </c>
      <c r="M107" s="110">
        <f t="shared" si="165"/>
        <v>86085</v>
      </c>
      <c r="N107" s="110">
        <f t="shared" si="165"/>
        <v>86833</v>
      </c>
      <c r="O107" s="110">
        <f t="shared" si="165"/>
        <v>81804</v>
      </c>
      <c r="P107" s="110">
        <f t="shared" si="165"/>
        <v>81451</v>
      </c>
      <c r="Q107" s="110">
        <f t="shared" si="165"/>
        <v>82695</v>
      </c>
      <c r="R107" s="110">
        <f t="shared" si="165"/>
        <v>84893</v>
      </c>
      <c r="S107" s="110">
        <f t="shared" si="165"/>
        <v>86135</v>
      </c>
      <c r="T107" s="110">
        <f t="shared" si="165"/>
        <v>87634</v>
      </c>
      <c r="U107" s="110">
        <f t="shared" si="165"/>
        <v>87164</v>
      </c>
      <c r="V107" s="110">
        <f t="shared" si="165"/>
        <v>87680</v>
      </c>
      <c r="W107" s="110">
        <f t="shared" ref="W107" si="166">SUM(W108:W109)</f>
        <v>89419</v>
      </c>
      <c r="DA107" s="176"/>
    </row>
    <row r="108" spans="1:105" ht="11.45" hidden="1" customHeight="1" x14ac:dyDescent="0.25">
      <c r="A108" s="128" t="s">
        <v>27</v>
      </c>
      <c r="B108" s="102">
        <v>73826</v>
      </c>
      <c r="C108" s="102">
        <v>73451</v>
      </c>
      <c r="D108" s="102">
        <v>71945</v>
      </c>
      <c r="E108" s="102">
        <v>70565</v>
      </c>
      <c r="F108" s="102">
        <v>71141</v>
      </c>
      <c r="G108" s="102">
        <v>72060</v>
      </c>
      <c r="H108" s="102">
        <v>73921</v>
      </c>
      <c r="I108" s="102">
        <v>75643</v>
      </c>
      <c r="J108" s="102">
        <v>74588</v>
      </c>
      <c r="K108" s="102">
        <v>74766</v>
      </c>
      <c r="L108" s="102">
        <v>74769</v>
      </c>
      <c r="M108" s="102">
        <v>78176</v>
      </c>
      <c r="N108" s="102">
        <v>79130</v>
      </c>
      <c r="O108" s="102">
        <v>73045</v>
      </c>
      <c r="P108" s="102">
        <v>73122</v>
      </c>
      <c r="Q108" s="102">
        <v>73202</v>
      </c>
      <c r="R108" s="102">
        <v>74770</v>
      </c>
      <c r="S108" s="102">
        <v>76181</v>
      </c>
      <c r="T108" s="102">
        <v>77511</v>
      </c>
      <c r="U108" s="102">
        <v>77660</v>
      </c>
      <c r="V108" s="102">
        <v>77847</v>
      </c>
      <c r="W108" s="102">
        <v>78596</v>
      </c>
      <c r="DA108" s="175"/>
    </row>
    <row r="109" spans="1:105" ht="11.45" hidden="1" customHeight="1" x14ac:dyDescent="0.25">
      <c r="A109" s="138" t="s">
        <v>116</v>
      </c>
      <c r="B109" s="86">
        <v>6205</v>
      </c>
      <c r="C109" s="86">
        <v>6652</v>
      </c>
      <c r="D109" s="86">
        <v>6998</v>
      </c>
      <c r="E109" s="86">
        <v>7153</v>
      </c>
      <c r="F109" s="86">
        <v>8456</v>
      </c>
      <c r="G109" s="86">
        <v>8752</v>
      </c>
      <c r="H109" s="86">
        <v>9448</v>
      </c>
      <c r="I109" s="86">
        <v>9618</v>
      </c>
      <c r="J109" s="86">
        <v>9253</v>
      </c>
      <c r="K109" s="86">
        <v>7423</v>
      </c>
      <c r="L109" s="86">
        <v>8063</v>
      </c>
      <c r="M109" s="86">
        <v>7909</v>
      </c>
      <c r="N109" s="86">
        <v>7703</v>
      </c>
      <c r="O109" s="86">
        <v>8759</v>
      </c>
      <c r="P109" s="86">
        <v>8329</v>
      </c>
      <c r="Q109" s="86">
        <v>9493</v>
      </c>
      <c r="R109" s="86">
        <v>10123</v>
      </c>
      <c r="S109" s="86">
        <v>9954</v>
      </c>
      <c r="T109" s="86">
        <v>10123</v>
      </c>
      <c r="U109" s="86">
        <v>9504</v>
      </c>
      <c r="V109" s="86">
        <v>9833</v>
      </c>
      <c r="W109" s="86">
        <v>10823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409026</v>
      </c>
      <c r="C111" s="54">
        <f t="shared" si="167"/>
        <v>370260</v>
      </c>
      <c r="D111" s="54">
        <f t="shared" si="167"/>
        <v>381409</v>
      </c>
      <c r="E111" s="54">
        <f t="shared" si="167"/>
        <v>375294</v>
      </c>
      <c r="F111" s="54">
        <f t="shared" si="167"/>
        <v>381451</v>
      </c>
      <c r="G111" s="54">
        <f t="shared" si="167"/>
        <v>430861</v>
      </c>
      <c r="H111" s="54">
        <f t="shared" si="167"/>
        <v>430084</v>
      </c>
      <c r="I111" s="54">
        <f t="shared" si="167"/>
        <v>436739</v>
      </c>
      <c r="J111" s="54">
        <f t="shared" si="167"/>
        <v>358698</v>
      </c>
      <c r="K111" s="54">
        <f t="shared" si="167"/>
        <v>258845</v>
      </c>
      <c r="L111" s="54">
        <f t="shared" ref="L111" si="168">L112+L127</f>
        <v>382605</v>
      </c>
      <c r="M111" s="54">
        <f t="shared" ref="M111:V111" si="169">M112+M127</f>
        <v>420245</v>
      </c>
      <c r="N111" s="54">
        <f t="shared" si="169"/>
        <v>413325</v>
      </c>
      <c r="O111" s="54">
        <f t="shared" si="169"/>
        <v>382744</v>
      </c>
      <c r="P111" s="54">
        <f t="shared" si="169"/>
        <v>411517</v>
      </c>
      <c r="Q111" s="54">
        <f t="shared" si="169"/>
        <v>463817</v>
      </c>
      <c r="R111" s="54">
        <f t="shared" si="169"/>
        <v>516737</v>
      </c>
      <c r="S111" s="54">
        <f t="shared" si="169"/>
        <v>527772</v>
      </c>
      <c r="T111" s="54">
        <f t="shared" si="169"/>
        <v>496515</v>
      </c>
      <c r="U111" s="54">
        <f t="shared" si="169"/>
        <v>500435</v>
      </c>
      <c r="V111" s="54">
        <f t="shared" si="169"/>
        <v>422828</v>
      </c>
      <c r="W111" s="54">
        <f t="shared" ref="W111" si="170">W112+W127</f>
        <v>465323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371093</v>
      </c>
      <c r="C112" s="28">
        <f t="shared" si="171"/>
        <v>326542</v>
      </c>
      <c r="D112" s="28">
        <f t="shared" si="171"/>
        <v>342239</v>
      </c>
      <c r="E112" s="28">
        <f t="shared" si="171"/>
        <v>336001</v>
      </c>
      <c r="F112" s="28">
        <f t="shared" si="171"/>
        <v>336032</v>
      </c>
      <c r="G112" s="28">
        <f t="shared" si="171"/>
        <v>381802</v>
      </c>
      <c r="H112" s="28">
        <f t="shared" si="171"/>
        <v>379301</v>
      </c>
      <c r="I112" s="28">
        <f t="shared" si="171"/>
        <v>380912</v>
      </c>
      <c r="J112" s="28">
        <f t="shared" si="171"/>
        <v>312316</v>
      </c>
      <c r="K112" s="28">
        <f t="shared" si="171"/>
        <v>225311</v>
      </c>
      <c r="L112" s="28">
        <f t="shared" ref="L112" si="172">L113+L114+L121</f>
        <v>346640</v>
      </c>
      <c r="M112" s="28">
        <f t="shared" ref="M112:V112" si="173">M113+M114+M121</f>
        <v>355659</v>
      </c>
      <c r="N112" s="28">
        <f t="shared" si="173"/>
        <v>372850</v>
      </c>
      <c r="O112" s="28">
        <f t="shared" si="173"/>
        <v>334679</v>
      </c>
      <c r="P112" s="28">
        <f t="shared" si="173"/>
        <v>362703</v>
      </c>
      <c r="Q112" s="28">
        <f t="shared" si="173"/>
        <v>410913</v>
      </c>
      <c r="R112" s="28">
        <f t="shared" si="173"/>
        <v>454340</v>
      </c>
      <c r="S112" s="28">
        <f t="shared" si="173"/>
        <v>461960</v>
      </c>
      <c r="T112" s="28">
        <f t="shared" si="173"/>
        <v>425565</v>
      </c>
      <c r="U112" s="28">
        <f t="shared" si="173"/>
        <v>434677</v>
      </c>
      <c r="V112" s="28">
        <f t="shared" si="173"/>
        <v>380873</v>
      </c>
      <c r="W112" s="28">
        <f t="shared" ref="W112" si="174">W113+W114+W121</f>
        <v>417998</v>
      </c>
      <c r="DA112" s="173" t="s">
        <v>526</v>
      </c>
    </row>
    <row r="113" spans="1:105" ht="11.45" customHeight="1" x14ac:dyDescent="0.25">
      <c r="A113" s="136" t="s">
        <v>180</v>
      </c>
      <c r="B113" s="137">
        <v>26681</v>
      </c>
      <c r="C113" s="137">
        <v>44838</v>
      </c>
      <c r="D113" s="137">
        <v>59556</v>
      </c>
      <c r="E113" s="137">
        <v>41786</v>
      </c>
      <c r="F113" s="137">
        <v>36685</v>
      </c>
      <c r="G113" s="137">
        <v>80932</v>
      </c>
      <c r="H113" s="137">
        <v>74614</v>
      </c>
      <c r="I113" s="137">
        <v>54878</v>
      </c>
      <c r="J113" s="137">
        <v>48903</v>
      </c>
      <c r="K113" s="137">
        <v>38092</v>
      </c>
      <c r="L113" s="137">
        <v>21476</v>
      </c>
      <c r="M113" s="137">
        <v>24373</v>
      </c>
      <c r="N113" s="137">
        <v>66275</v>
      </c>
      <c r="O113" s="137">
        <v>41364</v>
      </c>
      <c r="P113" s="137">
        <v>36449</v>
      </c>
      <c r="Q113" s="137">
        <v>46168</v>
      </c>
      <c r="R113" s="137">
        <v>53166</v>
      </c>
      <c r="S113" s="137">
        <v>56101</v>
      </c>
      <c r="T113" s="137">
        <v>43889</v>
      </c>
      <c r="U113" s="137">
        <v>44683</v>
      </c>
      <c r="V113" s="137">
        <v>39170</v>
      </c>
      <c r="W113" s="137">
        <v>45194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342949</v>
      </c>
      <c r="C114" s="110">
        <f t="shared" si="175"/>
        <v>280525</v>
      </c>
      <c r="D114" s="110">
        <f t="shared" si="175"/>
        <v>281445</v>
      </c>
      <c r="E114" s="110">
        <f t="shared" si="175"/>
        <v>293032</v>
      </c>
      <c r="F114" s="110">
        <f t="shared" si="175"/>
        <v>298229</v>
      </c>
      <c r="G114" s="110">
        <f t="shared" si="175"/>
        <v>299283</v>
      </c>
      <c r="H114" s="110">
        <f t="shared" si="175"/>
        <v>303326</v>
      </c>
      <c r="I114" s="110">
        <f t="shared" si="175"/>
        <v>325072</v>
      </c>
      <c r="J114" s="110">
        <f t="shared" si="175"/>
        <v>262146</v>
      </c>
      <c r="K114" s="110">
        <f t="shared" si="175"/>
        <v>186031</v>
      </c>
      <c r="L114" s="110">
        <f t="shared" ref="L114" si="176">SUM(L115:L120)</f>
        <v>323507</v>
      </c>
      <c r="M114" s="110">
        <f t="shared" ref="M114:V114" si="177">SUM(M115:M120)</f>
        <v>329656</v>
      </c>
      <c r="N114" s="110">
        <f t="shared" si="177"/>
        <v>305057</v>
      </c>
      <c r="O114" s="110">
        <f t="shared" si="177"/>
        <v>291961</v>
      </c>
      <c r="P114" s="110">
        <f t="shared" si="177"/>
        <v>324616</v>
      </c>
      <c r="Q114" s="110">
        <f t="shared" si="177"/>
        <v>363247</v>
      </c>
      <c r="R114" s="110">
        <f t="shared" si="177"/>
        <v>399792</v>
      </c>
      <c r="S114" s="110">
        <f t="shared" si="177"/>
        <v>404486</v>
      </c>
      <c r="T114" s="110">
        <f t="shared" si="177"/>
        <v>380673</v>
      </c>
      <c r="U114" s="110">
        <f t="shared" si="177"/>
        <v>388527</v>
      </c>
      <c r="V114" s="110">
        <f t="shared" si="177"/>
        <v>340004</v>
      </c>
      <c r="W114" s="110">
        <f t="shared" ref="W114" si="178">SUM(W115:W120)</f>
        <v>371586</v>
      </c>
      <c r="DA114" s="176" t="s">
        <v>528</v>
      </c>
    </row>
    <row r="115" spans="1:105" ht="11.45" customHeight="1" x14ac:dyDescent="0.25">
      <c r="A115" s="111" t="s">
        <v>110</v>
      </c>
      <c r="B115" s="84">
        <v>315229</v>
      </c>
      <c r="C115" s="84">
        <v>265142</v>
      </c>
      <c r="D115" s="84">
        <v>262364</v>
      </c>
      <c r="E115" s="84">
        <v>270998</v>
      </c>
      <c r="F115" s="84">
        <v>273807</v>
      </c>
      <c r="G115" s="84">
        <v>268256</v>
      </c>
      <c r="H115" s="84">
        <v>244199</v>
      </c>
      <c r="I115" s="84">
        <v>215950</v>
      </c>
      <c r="J115" s="84">
        <v>171565</v>
      </c>
      <c r="K115" s="84">
        <v>93981</v>
      </c>
      <c r="L115" s="84">
        <v>154339</v>
      </c>
      <c r="M115" s="84">
        <v>127369</v>
      </c>
      <c r="N115" s="84">
        <v>102549</v>
      </c>
      <c r="O115" s="84">
        <v>110654</v>
      </c>
      <c r="P115" s="84">
        <v>125853</v>
      </c>
      <c r="Q115" s="84">
        <v>142579</v>
      </c>
      <c r="R115" s="84">
        <v>176336</v>
      </c>
      <c r="S115" s="84">
        <v>188423</v>
      </c>
      <c r="T115" s="84">
        <v>210109</v>
      </c>
      <c r="U115" s="84">
        <v>219627</v>
      </c>
      <c r="V115" s="84">
        <v>164695</v>
      </c>
      <c r="W115" s="84">
        <v>163527</v>
      </c>
      <c r="DA115" s="171" t="s">
        <v>529</v>
      </c>
    </row>
    <row r="116" spans="1:105" ht="11.45" customHeight="1" x14ac:dyDescent="0.25">
      <c r="A116" s="111" t="s">
        <v>111</v>
      </c>
      <c r="B116" s="84">
        <v>27720</v>
      </c>
      <c r="C116" s="84">
        <v>15383</v>
      </c>
      <c r="D116" s="84">
        <v>18161</v>
      </c>
      <c r="E116" s="84">
        <v>21096</v>
      </c>
      <c r="F116" s="84">
        <v>23402</v>
      </c>
      <c r="G116" s="84">
        <v>29437</v>
      </c>
      <c r="H116" s="84">
        <v>58780</v>
      </c>
      <c r="I116" s="84">
        <v>108458</v>
      </c>
      <c r="J116" s="84">
        <v>89538</v>
      </c>
      <c r="K116" s="84">
        <v>91175</v>
      </c>
      <c r="L116" s="84">
        <v>161565</v>
      </c>
      <c r="M116" s="84">
        <v>195145</v>
      </c>
      <c r="N116" s="84">
        <v>196136</v>
      </c>
      <c r="O116" s="84">
        <v>176485</v>
      </c>
      <c r="P116" s="84">
        <v>188998</v>
      </c>
      <c r="Q116" s="84">
        <v>207091</v>
      </c>
      <c r="R116" s="84">
        <v>202383</v>
      </c>
      <c r="S116" s="84">
        <v>192191</v>
      </c>
      <c r="T116" s="84">
        <v>138666</v>
      </c>
      <c r="U116" s="84">
        <v>123708</v>
      </c>
      <c r="V116" s="84">
        <v>77772</v>
      </c>
      <c r="W116" s="84">
        <v>70794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300</v>
      </c>
      <c r="H117" s="84">
        <v>0</v>
      </c>
      <c r="I117" s="84">
        <v>0</v>
      </c>
      <c r="J117" s="84">
        <v>19</v>
      </c>
      <c r="K117" s="84">
        <v>101</v>
      </c>
      <c r="L117" s="84">
        <v>0</v>
      </c>
      <c r="M117" s="84">
        <v>138</v>
      </c>
      <c r="N117" s="84">
        <v>3</v>
      </c>
      <c r="O117" s="84">
        <v>9</v>
      </c>
      <c r="P117" s="84">
        <v>4</v>
      </c>
      <c r="Q117" s="84">
        <v>5</v>
      </c>
      <c r="R117" s="84">
        <v>0</v>
      </c>
      <c r="S117" s="84">
        <v>0</v>
      </c>
      <c r="T117" s="84">
        <v>0</v>
      </c>
      <c r="U117" s="84">
        <v>0</v>
      </c>
      <c r="V117" s="84">
        <v>0</v>
      </c>
      <c r="W117" s="84">
        <v>0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920</v>
      </c>
      <c r="E118" s="84">
        <v>938</v>
      </c>
      <c r="F118" s="84">
        <v>1020</v>
      </c>
      <c r="G118" s="84">
        <v>1290</v>
      </c>
      <c r="H118" s="84">
        <v>347</v>
      </c>
      <c r="I118" s="84">
        <v>664</v>
      </c>
      <c r="J118" s="84">
        <v>765</v>
      </c>
      <c r="K118" s="84">
        <v>716</v>
      </c>
      <c r="L118" s="84">
        <v>7517</v>
      </c>
      <c r="M118" s="84">
        <v>6634</v>
      </c>
      <c r="N118" s="84">
        <v>5461</v>
      </c>
      <c r="O118" s="84">
        <v>3841</v>
      </c>
      <c r="P118" s="84">
        <v>4935</v>
      </c>
      <c r="Q118" s="84">
        <v>5061</v>
      </c>
      <c r="R118" s="84">
        <v>7827</v>
      </c>
      <c r="S118" s="84">
        <v>3921</v>
      </c>
      <c r="T118" s="84">
        <v>3260</v>
      </c>
      <c r="U118" s="84">
        <v>4966</v>
      </c>
      <c r="V118" s="84">
        <v>3524</v>
      </c>
      <c r="W118" s="84">
        <v>1494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130</v>
      </c>
      <c r="K119" s="84">
        <v>30</v>
      </c>
      <c r="L119" s="84">
        <v>30</v>
      </c>
      <c r="M119" s="84">
        <v>185</v>
      </c>
      <c r="N119" s="84">
        <v>641</v>
      </c>
      <c r="O119" s="84">
        <v>519</v>
      </c>
      <c r="P119" s="84">
        <v>3456</v>
      </c>
      <c r="Q119" s="84">
        <v>5408</v>
      </c>
      <c r="R119" s="84">
        <v>10027</v>
      </c>
      <c r="S119" s="84">
        <v>15548</v>
      </c>
      <c r="T119" s="84">
        <v>21375</v>
      </c>
      <c r="U119" s="84">
        <v>24431</v>
      </c>
      <c r="V119" s="84">
        <v>66032</v>
      </c>
      <c r="W119" s="84">
        <v>78176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129</v>
      </c>
      <c r="K120" s="84">
        <v>28</v>
      </c>
      <c r="L120" s="84">
        <v>56</v>
      </c>
      <c r="M120" s="84">
        <v>185</v>
      </c>
      <c r="N120" s="84">
        <v>267</v>
      </c>
      <c r="O120" s="84">
        <v>453</v>
      </c>
      <c r="P120" s="84">
        <v>1370</v>
      </c>
      <c r="Q120" s="84">
        <v>3103</v>
      </c>
      <c r="R120" s="84">
        <v>3219</v>
      </c>
      <c r="S120" s="84">
        <v>4403</v>
      </c>
      <c r="T120" s="84">
        <v>7263</v>
      </c>
      <c r="U120" s="84">
        <v>15795</v>
      </c>
      <c r="V120" s="84">
        <v>27981</v>
      </c>
      <c r="W120" s="84">
        <v>57595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1463</v>
      </c>
      <c r="C121" s="110">
        <f t="shared" si="179"/>
        <v>1179</v>
      </c>
      <c r="D121" s="110">
        <f t="shared" si="179"/>
        <v>1238</v>
      </c>
      <c r="E121" s="110">
        <f t="shared" si="179"/>
        <v>1183</v>
      </c>
      <c r="F121" s="110">
        <f t="shared" si="179"/>
        <v>1118</v>
      </c>
      <c r="G121" s="110">
        <f t="shared" si="179"/>
        <v>1587</v>
      </c>
      <c r="H121" s="110">
        <f t="shared" si="179"/>
        <v>1361</v>
      </c>
      <c r="I121" s="110">
        <f t="shared" si="179"/>
        <v>962</v>
      </c>
      <c r="J121" s="110">
        <f t="shared" si="179"/>
        <v>1267</v>
      </c>
      <c r="K121" s="110">
        <f t="shared" si="179"/>
        <v>1188</v>
      </c>
      <c r="L121" s="110">
        <f t="shared" ref="L121" si="180">SUM(L122:L126)</f>
        <v>1657</v>
      </c>
      <c r="M121" s="110">
        <f t="shared" ref="M121:V121" si="181">SUM(M122:M126)</f>
        <v>1630</v>
      </c>
      <c r="N121" s="110">
        <f t="shared" si="181"/>
        <v>1518</v>
      </c>
      <c r="O121" s="110">
        <f t="shared" si="181"/>
        <v>1354</v>
      </c>
      <c r="P121" s="110">
        <f t="shared" si="181"/>
        <v>1638</v>
      </c>
      <c r="Q121" s="110">
        <f t="shared" si="181"/>
        <v>1498</v>
      </c>
      <c r="R121" s="110">
        <f t="shared" si="181"/>
        <v>1382</v>
      </c>
      <c r="S121" s="110">
        <f t="shared" si="181"/>
        <v>1373</v>
      </c>
      <c r="T121" s="110">
        <f t="shared" si="181"/>
        <v>1003</v>
      </c>
      <c r="U121" s="110">
        <f t="shared" si="181"/>
        <v>1467</v>
      </c>
      <c r="V121" s="110">
        <f t="shared" si="181"/>
        <v>1699</v>
      </c>
      <c r="W121" s="110">
        <f t="shared" ref="W121" si="182">SUM(W122:W126)</f>
        <v>1218</v>
      </c>
      <c r="DA121" s="176" t="s">
        <v>535</v>
      </c>
    </row>
    <row r="122" spans="1:105" ht="11.45" customHeight="1" x14ac:dyDescent="0.25">
      <c r="A122" s="111" t="s">
        <v>110</v>
      </c>
      <c r="B122" s="102">
        <v>9</v>
      </c>
      <c r="C122" s="102">
        <v>4</v>
      </c>
      <c r="D122" s="102">
        <v>2</v>
      </c>
      <c r="E122" s="102">
        <v>3</v>
      </c>
      <c r="F122" s="102">
        <v>0</v>
      </c>
      <c r="G122" s="102">
        <v>0</v>
      </c>
      <c r="H122" s="102">
        <v>7</v>
      </c>
      <c r="I122" s="102">
        <v>1</v>
      </c>
      <c r="J122" s="102">
        <v>3</v>
      </c>
      <c r="K122" s="102">
        <v>6</v>
      </c>
      <c r="L122" s="102">
        <v>0</v>
      </c>
      <c r="M122" s="102">
        <v>27</v>
      </c>
      <c r="N122" s="102">
        <v>0</v>
      </c>
      <c r="O122" s="102">
        <v>4</v>
      </c>
      <c r="P122" s="102">
        <v>2</v>
      </c>
      <c r="Q122" s="102">
        <v>0</v>
      </c>
      <c r="R122" s="102">
        <v>7</v>
      </c>
      <c r="S122" s="102">
        <v>2</v>
      </c>
      <c r="T122" s="102">
        <v>2</v>
      </c>
      <c r="U122" s="102">
        <v>1</v>
      </c>
      <c r="V122" s="102">
        <v>2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1449</v>
      </c>
      <c r="C123" s="102">
        <v>1140</v>
      </c>
      <c r="D123" s="102">
        <v>1235</v>
      </c>
      <c r="E123" s="102">
        <v>1174</v>
      </c>
      <c r="F123" s="102">
        <v>1072</v>
      </c>
      <c r="G123" s="102">
        <v>1085</v>
      </c>
      <c r="H123" s="102">
        <v>1212</v>
      </c>
      <c r="I123" s="102">
        <v>869</v>
      </c>
      <c r="J123" s="102">
        <v>1043</v>
      </c>
      <c r="K123" s="102">
        <v>894</v>
      </c>
      <c r="L123" s="102">
        <v>1289</v>
      </c>
      <c r="M123" s="102">
        <v>1226</v>
      </c>
      <c r="N123" s="102">
        <v>1204</v>
      </c>
      <c r="O123" s="102">
        <v>899</v>
      </c>
      <c r="P123" s="102">
        <v>864</v>
      </c>
      <c r="Q123" s="102">
        <v>888</v>
      </c>
      <c r="R123" s="102">
        <v>1319</v>
      </c>
      <c r="S123" s="102">
        <v>1055</v>
      </c>
      <c r="T123" s="102">
        <v>879</v>
      </c>
      <c r="U123" s="102">
        <v>1012</v>
      </c>
      <c r="V123" s="102">
        <v>1029</v>
      </c>
      <c r="W123" s="102">
        <v>860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35</v>
      </c>
      <c r="D125" s="102">
        <v>1</v>
      </c>
      <c r="E125" s="102">
        <v>0</v>
      </c>
      <c r="F125" s="102">
        <v>46</v>
      </c>
      <c r="G125" s="102">
        <v>502</v>
      </c>
      <c r="H125" s="102">
        <v>142</v>
      </c>
      <c r="I125" s="102">
        <v>92</v>
      </c>
      <c r="J125" s="102">
        <v>221</v>
      </c>
      <c r="K125" s="102">
        <v>288</v>
      </c>
      <c r="L125" s="102">
        <v>368</v>
      </c>
      <c r="M125" s="102">
        <v>377</v>
      </c>
      <c r="N125" s="102">
        <v>312</v>
      </c>
      <c r="O125" s="102">
        <v>449</v>
      </c>
      <c r="P125" s="102">
        <v>768</v>
      </c>
      <c r="Q125" s="102">
        <v>600</v>
      </c>
      <c r="R125" s="102">
        <v>33</v>
      </c>
      <c r="S125" s="102">
        <v>299</v>
      </c>
      <c r="T125" s="102">
        <v>75</v>
      </c>
      <c r="U125" s="102">
        <v>284</v>
      </c>
      <c r="V125" s="102">
        <v>463</v>
      </c>
      <c r="W125" s="102">
        <v>166</v>
      </c>
      <c r="DA125" s="175" t="s">
        <v>539</v>
      </c>
    </row>
    <row r="126" spans="1:105" ht="11.45" customHeight="1" x14ac:dyDescent="0.25">
      <c r="A126" s="111" t="s">
        <v>115</v>
      </c>
      <c r="B126" s="102">
        <v>5</v>
      </c>
      <c r="C126" s="102">
        <v>0</v>
      </c>
      <c r="D126" s="102">
        <v>0</v>
      </c>
      <c r="E126" s="102">
        <v>6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2</v>
      </c>
      <c r="O126" s="102">
        <v>2</v>
      </c>
      <c r="P126" s="102">
        <v>4</v>
      </c>
      <c r="Q126" s="102">
        <v>10</v>
      </c>
      <c r="R126" s="102">
        <v>23</v>
      </c>
      <c r="S126" s="102">
        <v>17</v>
      </c>
      <c r="T126" s="102">
        <v>47</v>
      </c>
      <c r="U126" s="102">
        <v>170</v>
      </c>
      <c r="V126" s="102">
        <v>205</v>
      </c>
      <c r="W126" s="102">
        <v>192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37933</v>
      </c>
      <c r="C127" s="28">
        <f t="shared" si="183"/>
        <v>43718</v>
      </c>
      <c r="D127" s="28">
        <f t="shared" si="183"/>
        <v>39170</v>
      </c>
      <c r="E127" s="28">
        <f t="shared" si="183"/>
        <v>39293</v>
      </c>
      <c r="F127" s="28">
        <f t="shared" si="183"/>
        <v>45419</v>
      </c>
      <c r="G127" s="28">
        <f t="shared" si="183"/>
        <v>49059</v>
      </c>
      <c r="H127" s="28">
        <f t="shared" si="183"/>
        <v>50783</v>
      </c>
      <c r="I127" s="28">
        <f t="shared" si="183"/>
        <v>55827</v>
      </c>
      <c r="J127" s="28">
        <f t="shared" si="183"/>
        <v>46382</v>
      </c>
      <c r="K127" s="28">
        <f t="shared" si="183"/>
        <v>33534</v>
      </c>
      <c r="L127" s="28">
        <f t="shared" ref="L127" si="184">L128+L134</f>
        <v>35965</v>
      </c>
      <c r="M127" s="28">
        <f t="shared" ref="M127:V127" si="185">M128+M134</f>
        <v>64586</v>
      </c>
      <c r="N127" s="28">
        <f t="shared" si="185"/>
        <v>40475</v>
      </c>
      <c r="O127" s="28">
        <f t="shared" si="185"/>
        <v>48065</v>
      </c>
      <c r="P127" s="28">
        <f t="shared" si="185"/>
        <v>48814</v>
      </c>
      <c r="Q127" s="28">
        <f t="shared" si="185"/>
        <v>52904</v>
      </c>
      <c r="R127" s="28">
        <f t="shared" si="185"/>
        <v>62397</v>
      </c>
      <c r="S127" s="28">
        <f t="shared" si="185"/>
        <v>65812</v>
      </c>
      <c r="T127" s="28">
        <f t="shared" si="185"/>
        <v>70950</v>
      </c>
      <c r="U127" s="28">
        <f t="shared" si="185"/>
        <v>65758</v>
      </c>
      <c r="V127" s="28">
        <f t="shared" si="185"/>
        <v>41955</v>
      </c>
      <c r="W127" s="28">
        <f t="shared" ref="W127" si="186">W128+W134</f>
        <v>47325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32247</v>
      </c>
      <c r="C128" s="137">
        <f t="shared" si="187"/>
        <v>37954</v>
      </c>
      <c r="D128" s="137">
        <f t="shared" si="187"/>
        <v>33785</v>
      </c>
      <c r="E128" s="137">
        <f t="shared" si="187"/>
        <v>34087</v>
      </c>
      <c r="F128" s="137">
        <f t="shared" si="187"/>
        <v>38910</v>
      </c>
      <c r="G128" s="137">
        <f t="shared" si="187"/>
        <v>41869</v>
      </c>
      <c r="H128" s="137">
        <f t="shared" si="187"/>
        <v>40419</v>
      </c>
      <c r="I128" s="137">
        <f t="shared" si="187"/>
        <v>46210</v>
      </c>
      <c r="J128" s="137">
        <f t="shared" si="187"/>
        <v>39542</v>
      </c>
      <c r="K128" s="137">
        <f t="shared" si="187"/>
        <v>27502</v>
      </c>
      <c r="L128" s="137">
        <f t="shared" ref="L128" si="188">SUM(L129:L133)</f>
        <v>26907</v>
      </c>
      <c r="M128" s="137">
        <f t="shared" ref="M128:V128" si="189">SUM(M129:M133)</f>
        <v>53795</v>
      </c>
      <c r="N128" s="137">
        <f t="shared" si="189"/>
        <v>32512</v>
      </c>
      <c r="O128" s="137">
        <f t="shared" si="189"/>
        <v>41465</v>
      </c>
      <c r="P128" s="137">
        <f t="shared" si="189"/>
        <v>43456</v>
      </c>
      <c r="Q128" s="137">
        <f t="shared" si="189"/>
        <v>45835</v>
      </c>
      <c r="R128" s="137">
        <f t="shared" si="189"/>
        <v>53227</v>
      </c>
      <c r="S128" s="137">
        <f t="shared" si="189"/>
        <v>57178</v>
      </c>
      <c r="T128" s="137">
        <f t="shared" si="189"/>
        <v>62595</v>
      </c>
      <c r="U128" s="137">
        <f t="shared" si="189"/>
        <v>58835</v>
      </c>
      <c r="V128" s="137">
        <f t="shared" si="189"/>
        <v>34158</v>
      </c>
      <c r="W128" s="137">
        <f t="shared" ref="W128" si="190">SUM(W129:W133)</f>
        <v>37729</v>
      </c>
      <c r="DA128" s="174" t="s">
        <v>542</v>
      </c>
    </row>
    <row r="129" spans="1:105" ht="11.45" customHeight="1" x14ac:dyDescent="0.25">
      <c r="A129" s="111" t="s">
        <v>110</v>
      </c>
      <c r="B129" s="84">
        <v>8946</v>
      </c>
      <c r="C129" s="84">
        <v>7404</v>
      </c>
      <c r="D129" s="84">
        <v>6275</v>
      </c>
      <c r="E129" s="84">
        <v>5330</v>
      </c>
      <c r="F129" s="84">
        <v>4568</v>
      </c>
      <c r="G129" s="84">
        <v>4609</v>
      </c>
      <c r="H129" s="84">
        <v>4442</v>
      </c>
      <c r="I129" s="84">
        <v>4177</v>
      </c>
      <c r="J129" s="84">
        <v>2928</v>
      </c>
      <c r="K129" s="84">
        <v>2413</v>
      </c>
      <c r="L129" s="84">
        <v>2248</v>
      </c>
      <c r="M129" s="84">
        <v>2183</v>
      </c>
      <c r="N129" s="84">
        <v>1680</v>
      </c>
      <c r="O129" s="84">
        <v>1110</v>
      </c>
      <c r="P129" s="84">
        <v>1535</v>
      </c>
      <c r="Q129" s="84">
        <v>1242</v>
      </c>
      <c r="R129" s="84">
        <v>1430</v>
      </c>
      <c r="S129" s="84">
        <v>1504</v>
      </c>
      <c r="T129" s="84">
        <v>3440</v>
      </c>
      <c r="U129" s="84">
        <v>4868</v>
      </c>
      <c r="V129" s="84">
        <v>3355</v>
      </c>
      <c r="W129" s="84">
        <v>2274</v>
      </c>
      <c r="DA129" s="171" t="s">
        <v>543</v>
      </c>
    </row>
    <row r="130" spans="1:105" ht="11.45" customHeight="1" x14ac:dyDescent="0.25">
      <c r="A130" s="111" t="s">
        <v>111</v>
      </c>
      <c r="B130" s="84">
        <v>23301</v>
      </c>
      <c r="C130" s="84">
        <v>30547</v>
      </c>
      <c r="D130" s="84">
        <v>27496</v>
      </c>
      <c r="E130" s="84">
        <v>28729</v>
      </c>
      <c r="F130" s="84">
        <v>34317</v>
      </c>
      <c r="G130" s="84">
        <v>37176</v>
      </c>
      <c r="H130" s="84">
        <v>35542</v>
      </c>
      <c r="I130" s="84">
        <v>41586</v>
      </c>
      <c r="J130" s="84">
        <v>35688</v>
      </c>
      <c r="K130" s="84">
        <v>24048</v>
      </c>
      <c r="L130" s="84">
        <v>23571</v>
      </c>
      <c r="M130" s="84">
        <v>50687</v>
      </c>
      <c r="N130" s="84">
        <v>29845</v>
      </c>
      <c r="O130" s="84">
        <v>39534</v>
      </c>
      <c r="P130" s="84">
        <v>40918</v>
      </c>
      <c r="Q130" s="84">
        <v>43429</v>
      </c>
      <c r="R130" s="84">
        <v>50921</v>
      </c>
      <c r="S130" s="84">
        <v>54199</v>
      </c>
      <c r="T130" s="84">
        <v>54584</v>
      </c>
      <c r="U130" s="84">
        <v>51492</v>
      </c>
      <c r="V130" s="84">
        <v>28144</v>
      </c>
      <c r="W130" s="84">
        <v>32304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0</v>
      </c>
      <c r="T131" s="84">
        <v>0</v>
      </c>
      <c r="U131" s="84">
        <v>0</v>
      </c>
      <c r="V131" s="84">
        <v>0</v>
      </c>
      <c r="W131" s="84">
        <v>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3</v>
      </c>
      <c r="D132" s="84">
        <v>14</v>
      </c>
      <c r="E132" s="84">
        <v>28</v>
      </c>
      <c r="F132" s="84">
        <v>25</v>
      </c>
      <c r="G132" s="84">
        <v>82</v>
      </c>
      <c r="H132" s="84">
        <v>230</v>
      </c>
      <c r="I132" s="84">
        <v>447</v>
      </c>
      <c r="J132" s="84">
        <v>926</v>
      </c>
      <c r="K132" s="84">
        <v>1038</v>
      </c>
      <c r="L132" s="84">
        <v>1088</v>
      </c>
      <c r="M132" s="84">
        <v>916</v>
      </c>
      <c r="N132" s="84">
        <v>721</v>
      </c>
      <c r="O132" s="84">
        <v>613</v>
      </c>
      <c r="P132" s="84">
        <v>715</v>
      </c>
      <c r="Q132" s="84">
        <v>711</v>
      </c>
      <c r="R132" s="84">
        <v>560</v>
      </c>
      <c r="S132" s="84">
        <v>1000</v>
      </c>
      <c r="T132" s="84">
        <v>3704</v>
      </c>
      <c r="U132" s="84">
        <v>1076</v>
      </c>
      <c r="V132" s="84">
        <v>691</v>
      </c>
      <c r="W132" s="84">
        <v>439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2</v>
      </c>
      <c r="H133" s="84">
        <v>205</v>
      </c>
      <c r="I133" s="84">
        <v>0</v>
      </c>
      <c r="J133" s="84">
        <v>0</v>
      </c>
      <c r="K133" s="84">
        <v>3</v>
      </c>
      <c r="L133" s="84">
        <v>0</v>
      </c>
      <c r="M133" s="84">
        <v>9</v>
      </c>
      <c r="N133" s="84">
        <v>266</v>
      </c>
      <c r="O133" s="84">
        <v>208</v>
      </c>
      <c r="P133" s="84">
        <v>288</v>
      </c>
      <c r="Q133" s="84">
        <v>453</v>
      </c>
      <c r="R133" s="84">
        <v>316</v>
      </c>
      <c r="S133" s="84">
        <v>475</v>
      </c>
      <c r="T133" s="84">
        <v>867</v>
      </c>
      <c r="U133" s="84">
        <v>1399</v>
      </c>
      <c r="V133" s="84">
        <v>1968</v>
      </c>
      <c r="W133" s="84">
        <v>2712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5686</v>
      </c>
      <c r="C134" s="110">
        <f t="shared" si="191"/>
        <v>5764</v>
      </c>
      <c r="D134" s="110">
        <f t="shared" si="191"/>
        <v>5385</v>
      </c>
      <c r="E134" s="110">
        <f t="shared" si="191"/>
        <v>5206</v>
      </c>
      <c r="F134" s="110">
        <f t="shared" si="191"/>
        <v>6509</v>
      </c>
      <c r="G134" s="110">
        <f t="shared" si="191"/>
        <v>7190</v>
      </c>
      <c r="H134" s="110">
        <f t="shared" si="191"/>
        <v>10364</v>
      </c>
      <c r="I134" s="110">
        <f t="shared" si="191"/>
        <v>9617</v>
      </c>
      <c r="J134" s="110">
        <f t="shared" si="191"/>
        <v>6840</v>
      </c>
      <c r="K134" s="110">
        <f t="shared" si="191"/>
        <v>6032</v>
      </c>
      <c r="L134" s="110">
        <f t="shared" ref="L134" si="192">SUM(L135:L136)</f>
        <v>9058</v>
      </c>
      <c r="M134" s="110">
        <f t="shared" ref="M134:V134" si="193">SUM(M135:M136)</f>
        <v>10791</v>
      </c>
      <c r="N134" s="110">
        <f t="shared" si="193"/>
        <v>7963</v>
      </c>
      <c r="O134" s="110">
        <f t="shared" si="193"/>
        <v>6600</v>
      </c>
      <c r="P134" s="110">
        <f t="shared" si="193"/>
        <v>5358</v>
      </c>
      <c r="Q134" s="110">
        <f t="shared" si="193"/>
        <v>7069</v>
      </c>
      <c r="R134" s="110">
        <f t="shared" si="193"/>
        <v>9170</v>
      </c>
      <c r="S134" s="110">
        <f t="shared" si="193"/>
        <v>8634</v>
      </c>
      <c r="T134" s="110">
        <f t="shared" si="193"/>
        <v>8355</v>
      </c>
      <c r="U134" s="110">
        <f t="shared" si="193"/>
        <v>6923</v>
      </c>
      <c r="V134" s="110">
        <f t="shared" si="193"/>
        <v>7797</v>
      </c>
      <c r="W134" s="110">
        <f t="shared" ref="W134" si="194">SUM(W135:W136)</f>
        <v>9596</v>
      </c>
      <c r="DA134" s="176" t="s">
        <v>548</v>
      </c>
    </row>
    <row r="135" spans="1:105" ht="11.45" customHeight="1" x14ac:dyDescent="0.25">
      <c r="A135" s="128" t="s">
        <v>27</v>
      </c>
      <c r="B135" s="102">
        <v>5065</v>
      </c>
      <c r="C135" s="102">
        <v>4709</v>
      </c>
      <c r="D135" s="102">
        <v>4328</v>
      </c>
      <c r="E135" s="102">
        <v>4248</v>
      </c>
      <c r="F135" s="102">
        <v>4329</v>
      </c>
      <c r="G135" s="102">
        <v>5942</v>
      </c>
      <c r="H135" s="102">
        <v>8662</v>
      </c>
      <c r="I135" s="102">
        <v>8403</v>
      </c>
      <c r="J135" s="102">
        <v>6148</v>
      </c>
      <c r="K135" s="102">
        <v>6032</v>
      </c>
      <c r="L135" s="102">
        <v>7550</v>
      </c>
      <c r="M135" s="102">
        <v>10026</v>
      </c>
      <c r="N135" s="102">
        <v>7205</v>
      </c>
      <c r="O135" s="102">
        <v>4553</v>
      </c>
      <c r="P135" s="102">
        <v>4758</v>
      </c>
      <c r="Q135" s="102">
        <v>4858</v>
      </c>
      <c r="R135" s="102">
        <v>7474</v>
      </c>
      <c r="S135" s="102">
        <v>7707</v>
      </c>
      <c r="T135" s="102">
        <v>7076</v>
      </c>
      <c r="U135" s="102">
        <v>6420</v>
      </c>
      <c r="V135" s="102">
        <v>6332</v>
      </c>
      <c r="W135" s="102">
        <v>7443</v>
      </c>
      <c r="DA135" s="175" t="s">
        <v>549</v>
      </c>
    </row>
    <row r="136" spans="1:105" ht="11.45" customHeight="1" x14ac:dyDescent="0.25">
      <c r="A136" s="138" t="s">
        <v>116</v>
      </c>
      <c r="B136" s="86">
        <v>621</v>
      </c>
      <c r="C136" s="86">
        <v>1055</v>
      </c>
      <c r="D136" s="86">
        <v>1057</v>
      </c>
      <c r="E136" s="86">
        <v>958</v>
      </c>
      <c r="F136" s="86">
        <v>2180</v>
      </c>
      <c r="G136" s="86">
        <v>1248</v>
      </c>
      <c r="H136" s="86">
        <v>1702</v>
      </c>
      <c r="I136" s="86">
        <v>1214</v>
      </c>
      <c r="J136" s="86">
        <v>692</v>
      </c>
      <c r="K136" s="86">
        <v>0</v>
      </c>
      <c r="L136" s="86">
        <v>1508</v>
      </c>
      <c r="M136" s="86">
        <v>765</v>
      </c>
      <c r="N136" s="86">
        <v>758</v>
      </c>
      <c r="O136" s="86">
        <v>2047</v>
      </c>
      <c r="P136" s="86">
        <v>600</v>
      </c>
      <c r="Q136" s="86">
        <v>2211</v>
      </c>
      <c r="R136" s="86">
        <v>1696</v>
      </c>
      <c r="S136" s="86">
        <v>927</v>
      </c>
      <c r="T136" s="86">
        <v>1279</v>
      </c>
      <c r="U136" s="86">
        <v>503</v>
      </c>
      <c r="V136" s="86">
        <v>1465</v>
      </c>
      <c r="W136" s="86">
        <v>2153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2.4502646143407474</v>
      </c>
      <c r="C141" s="32">
        <f t="shared" si="195"/>
        <v>2.4375053440261492</v>
      </c>
      <c r="D141" s="32">
        <f t="shared" si="195"/>
        <v>2.3712747289219758</v>
      </c>
      <c r="E141" s="32">
        <f t="shared" si="195"/>
        <v>2.3457777089753096</v>
      </c>
      <c r="F141" s="32">
        <f t="shared" si="195"/>
        <v>2.339497226336023</v>
      </c>
      <c r="G141" s="32">
        <f t="shared" si="195"/>
        <v>2.3858705679482126</v>
      </c>
      <c r="H141" s="32">
        <f t="shared" si="195"/>
        <v>2.3619284544911046</v>
      </c>
      <c r="I141" s="32">
        <f t="shared" si="195"/>
        <v>2.3128641040155569</v>
      </c>
      <c r="J141" s="32">
        <f t="shared" si="195"/>
        <v>2.296186279953043</v>
      </c>
      <c r="K141" s="32">
        <f t="shared" si="195"/>
        <v>2.2252576525332306</v>
      </c>
      <c r="L141" s="32">
        <f t="shared" ref="L141" si="196">IF(L4=0,0,L4/L31)</f>
        <v>2.154283389234485</v>
      </c>
      <c r="M141" s="32">
        <f t="shared" ref="M141:V141" si="197">IF(M4=0,0,M4/M31)</f>
        <v>2.1039560113542279</v>
      </c>
      <c r="N141" s="32">
        <f t="shared" si="197"/>
        <v>2.0499971011745619</v>
      </c>
      <c r="O141" s="32">
        <f t="shared" si="197"/>
        <v>1.995454523323656</v>
      </c>
      <c r="P141" s="32">
        <f t="shared" si="197"/>
        <v>1.9339442633007269</v>
      </c>
      <c r="Q141" s="32">
        <f t="shared" si="197"/>
        <v>1.8409655292712994</v>
      </c>
      <c r="R141" s="32">
        <f t="shared" si="197"/>
        <v>1.5007252158950162</v>
      </c>
      <c r="S141" s="32">
        <f t="shared" si="197"/>
        <v>1.477417819727435</v>
      </c>
      <c r="T141" s="32">
        <f t="shared" si="197"/>
        <v>1.4661336488857599</v>
      </c>
      <c r="U141" s="32">
        <f t="shared" si="197"/>
        <v>1.4593215004708213</v>
      </c>
      <c r="V141" s="32">
        <f t="shared" si="197"/>
        <v>1.4507461009680205</v>
      </c>
      <c r="W141" s="32">
        <f t="shared" ref="W141" si="198">IF(W4=0,0,W4/W31)</f>
        <v>1.3880747396519577</v>
      </c>
      <c r="DA141" s="173" t="s">
        <v>551</v>
      </c>
    </row>
    <row r="142" spans="1:105" ht="11.45" customHeight="1" x14ac:dyDescent="0.25">
      <c r="A142" s="136" t="s">
        <v>180</v>
      </c>
      <c r="B142" s="141">
        <v>1.1047321699430754</v>
      </c>
      <c r="C142" s="141">
        <v>1.1047109809282736</v>
      </c>
      <c r="D142" s="141">
        <v>1.1045190228750537</v>
      </c>
      <c r="E142" s="141">
        <v>1.1049828872133485</v>
      </c>
      <c r="F142" s="141">
        <v>1.1051308645358424</v>
      </c>
      <c r="G142" s="141">
        <v>1.1041301391394238</v>
      </c>
      <c r="H142" s="141">
        <v>1.1044381305743087</v>
      </c>
      <c r="I142" s="141">
        <v>1.1062108289262305</v>
      </c>
      <c r="J142" s="141">
        <v>1.1067930010199598</v>
      </c>
      <c r="K142" s="141">
        <v>1.1073241407688714</v>
      </c>
      <c r="L142" s="141">
        <v>1.1054217673643152</v>
      </c>
      <c r="M142" s="141">
        <v>1.1044534154591699</v>
      </c>
      <c r="N142" s="141">
        <v>1.097636952633865</v>
      </c>
      <c r="O142" s="141">
        <v>1.0970722866905216</v>
      </c>
      <c r="P142" s="141">
        <v>1.0994543351777029</v>
      </c>
      <c r="Q142" s="141">
        <v>1.1013545494764962</v>
      </c>
      <c r="R142" s="141">
        <v>1.1028156697377574</v>
      </c>
      <c r="S142" s="141">
        <v>1.1014414770824867</v>
      </c>
      <c r="T142" s="141">
        <v>1.1002334993219012</v>
      </c>
      <c r="U142" s="141">
        <v>1.1012198396369894</v>
      </c>
      <c r="V142" s="141">
        <v>1.0999024342285397</v>
      </c>
      <c r="W142" s="141">
        <v>1.0999422113611483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2.309393282960615</v>
      </c>
      <c r="C143" s="130">
        <f t="shared" si="199"/>
        <v>2.2986333894157318</v>
      </c>
      <c r="D143" s="130">
        <f t="shared" si="199"/>
        <v>2.2364669790852969</v>
      </c>
      <c r="E143" s="130">
        <f t="shared" si="199"/>
        <v>2.2125161388528984</v>
      </c>
      <c r="F143" s="130">
        <f t="shared" si="199"/>
        <v>2.2088447876419282</v>
      </c>
      <c r="G143" s="130">
        <f t="shared" si="199"/>
        <v>2.2536370819031339</v>
      </c>
      <c r="H143" s="130">
        <f t="shared" si="199"/>
        <v>2.2302993311554373</v>
      </c>
      <c r="I143" s="130">
        <f t="shared" si="199"/>
        <v>2.1843794160488628</v>
      </c>
      <c r="J143" s="130">
        <f t="shared" si="199"/>
        <v>2.1711556417639968</v>
      </c>
      <c r="K143" s="130">
        <f t="shared" si="199"/>
        <v>2.1002457633312543</v>
      </c>
      <c r="L143" s="130">
        <f t="shared" ref="L143" si="200">IF(L6=0,0,L6/L33)</f>
        <v>2.0290299077492837</v>
      </c>
      <c r="M143" s="130">
        <f t="shared" ref="M143:V143" si="201">IF(M6=0,0,M6/M33)</f>
        <v>1.9770831951789167</v>
      </c>
      <c r="N143" s="130">
        <f t="shared" si="201"/>
        <v>1.9261810429335189</v>
      </c>
      <c r="O143" s="130">
        <f t="shared" si="201"/>
        <v>1.8715984069555669</v>
      </c>
      <c r="P143" s="130">
        <f t="shared" si="201"/>
        <v>1.8145356181331729</v>
      </c>
      <c r="Q143" s="130">
        <f t="shared" si="201"/>
        <v>1.7250417006940917</v>
      </c>
      <c r="R143" s="130">
        <f t="shared" si="201"/>
        <v>1.3815338801261199</v>
      </c>
      <c r="S143" s="130">
        <f t="shared" si="201"/>
        <v>1.3598637310749326</v>
      </c>
      <c r="T143" s="130">
        <f t="shared" si="201"/>
        <v>1.3500967511581179</v>
      </c>
      <c r="U143" s="130">
        <f t="shared" si="201"/>
        <v>1.3420116041890453</v>
      </c>
      <c r="V143" s="130">
        <f t="shared" si="201"/>
        <v>1.339952990670273</v>
      </c>
      <c r="W143" s="130">
        <f t="shared" ref="W143" si="202">IF(W6=0,0,W6/W33)</f>
        <v>1.2812679907733853</v>
      </c>
      <c r="DA143" s="176" t="s">
        <v>553</v>
      </c>
    </row>
    <row r="144" spans="1:105" ht="11.45" customHeight="1" x14ac:dyDescent="0.25">
      <c r="A144" s="111" t="s">
        <v>110</v>
      </c>
      <c r="B144" s="96">
        <v>2.2990096458825402</v>
      </c>
      <c r="C144" s="96">
        <v>2.288790029587314</v>
      </c>
      <c r="D144" s="96">
        <v>2.2269066234904669</v>
      </c>
      <c r="E144" s="96">
        <v>2.2028814169807327</v>
      </c>
      <c r="F144" s="96">
        <v>2.1989458838048015</v>
      </c>
      <c r="G144" s="96">
        <v>2.2427428600437214</v>
      </c>
      <c r="H144" s="96">
        <v>2.2177565025016288</v>
      </c>
      <c r="I144" s="96">
        <v>2.1686457111751754</v>
      </c>
      <c r="J144" s="96">
        <v>2.1527980937788733</v>
      </c>
      <c r="K144" s="96">
        <v>2.0795804235837458</v>
      </c>
      <c r="L144" s="96">
        <v>2.0049457696834709</v>
      </c>
      <c r="M144" s="96">
        <v>1.9487009009707963</v>
      </c>
      <c r="N144" s="96">
        <v>1.8941676202020814</v>
      </c>
      <c r="O144" s="96">
        <v>1.8373856306994172</v>
      </c>
      <c r="P144" s="96">
        <v>1.7786382924943935</v>
      </c>
      <c r="Q144" s="96">
        <v>1.6885408517117892</v>
      </c>
      <c r="R144" s="96">
        <v>1.350856148443613</v>
      </c>
      <c r="S144" s="96">
        <v>1.3287012154991626</v>
      </c>
      <c r="T144" s="96">
        <v>1.3186469327704975</v>
      </c>
      <c r="U144" s="96">
        <v>1.3113451047124145</v>
      </c>
      <c r="V144" s="96">
        <v>1.3110351920228556</v>
      </c>
      <c r="W144" s="96">
        <v>1.256438542974484</v>
      </c>
      <c r="DA144" s="171" t="s">
        <v>554</v>
      </c>
    </row>
    <row r="145" spans="1:105" ht="11.45" customHeight="1" x14ac:dyDescent="0.25">
      <c r="A145" s="111" t="s">
        <v>111</v>
      </c>
      <c r="B145" s="96">
        <v>2.3969826431756349</v>
      </c>
      <c r="C145" s="96">
        <v>2.3863275148148491</v>
      </c>
      <c r="D145" s="96">
        <v>2.3218069284917751</v>
      </c>
      <c r="E145" s="96">
        <v>2.2967578804785691</v>
      </c>
      <c r="F145" s="96">
        <v>2.2926546333559461</v>
      </c>
      <c r="G145" s="96">
        <v>2.3383180310960516</v>
      </c>
      <c r="H145" s="96">
        <v>2.312266872306072</v>
      </c>
      <c r="I145" s="96">
        <v>2.2610632096276806</v>
      </c>
      <c r="J145" s="96">
        <v>2.2445402411822672</v>
      </c>
      <c r="K145" s="96">
        <v>2.1682023776392434</v>
      </c>
      <c r="L145" s="96">
        <v>2.0903871451982736</v>
      </c>
      <c r="M145" s="96">
        <v>2.0317453842498465</v>
      </c>
      <c r="N145" s="96">
        <v>1.974888151087671</v>
      </c>
      <c r="O145" s="96">
        <v>1.9156863797829577</v>
      </c>
      <c r="P145" s="96">
        <v>1.8544355058414719</v>
      </c>
      <c r="Q145" s="96">
        <v>1.7604985351387927</v>
      </c>
      <c r="R145" s="96">
        <v>1.4084232952417393</v>
      </c>
      <c r="S145" s="96">
        <v>1.3853242230722611</v>
      </c>
      <c r="T145" s="96">
        <v>1.3748414740184012</v>
      </c>
      <c r="U145" s="96">
        <v>1.3672284763304514</v>
      </c>
      <c r="V145" s="96">
        <v>1.3669053566170983</v>
      </c>
      <c r="W145" s="96">
        <v>1.3099820547167005</v>
      </c>
      <c r="DA145" s="171" t="s">
        <v>555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0</v>
      </c>
      <c r="E146" s="96">
        <v>0</v>
      </c>
      <c r="F146" s="96">
        <v>0</v>
      </c>
      <c r="G146" s="96">
        <v>2.2412978601809619</v>
      </c>
      <c r="H146" s="96">
        <v>2.2180878894042659</v>
      </c>
      <c r="I146" s="96">
        <v>2.1724193972168977</v>
      </c>
      <c r="J146" s="96">
        <v>2.1592680263745447</v>
      </c>
      <c r="K146" s="96">
        <v>2.0887463971054765</v>
      </c>
      <c r="L146" s="96">
        <v>2.0179204659879266</v>
      </c>
      <c r="M146" s="96">
        <v>1.966258174546982</v>
      </c>
      <c r="N146" s="96">
        <v>1.9156347242042715</v>
      </c>
      <c r="O146" s="96">
        <v>1.8613509416898699</v>
      </c>
      <c r="P146" s="96">
        <v>1.8046005857827039</v>
      </c>
      <c r="Q146" s="96">
        <v>1.7155966697280216</v>
      </c>
      <c r="R146" s="96">
        <v>1.3739696396366203</v>
      </c>
      <c r="S146" s="96">
        <v>0</v>
      </c>
      <c r="T146" s="96">
        <v>0</v>
      </c>
      <c r="U146" s="96">
        <v>0</v>
      </c>
      <c r="V146" s="96">
        <v>0</v>
      </c>
      <c r="W146" s="96">
        <v>0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2.1693729697127377</v>
      </c>
      <c r="E147" s="96">
        <v>2.1461406546873114</v>
      </c>
      <c r="F147" s="96">
        <v>2.1425794440126702</v>
      </c>
      <c r="G147" s="96">
        <v>2.1860279694460405</v>
      </c>
      <c r="H147" s="96">
        <v>2.1633903512207739</v>
      </c>
      <c r="I147" s="96">
        <v>2.1188480335673967</v>
      </c>
      <c r="J147" s="96">
        <v>2.106020972511077</v>
      </c>
      <c r="K147" s="96">
        <v>2.0372383904313165</v>
      </c>
      <c r="L147" s="96">
        <v>1.9681590105168052</v>
      </c>
      <c r="M147" s="96">
        <v>1.9177706993235495</v>
      </c>
      <c r="N147" s="96">
        <v>1.8683956116455132</v>
      </c>
      <c r="O147" s="96">
        <v>1.8154504547468999</v>
      </c>
      <c r="P147" s="96">
        <v>1.7600995495891776</v>
      </c>
      <c r="Q147" s="96">
        <v>1.6732904496732686</v>
      </c>
      <c r="R147" s="96">
        <v>1.3400878637223363</v>
      </c>
      <c r="S147" s="96">
        <v>1.3190678191426848</v>
      </c>
      <c r="T147" s="96">
        <v>1.3095938486233742</v>
      </c>
      <c r="U147" s="96">
        <v>1.3017512560633737</v>
      </c>
      <c r="V147" s="96">
        <v>1.2997544009501645</v>
      </c>
      <c r="W147" s="96">
        <v>1.2428299510501839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2.106020972511077</v>
      </c>
      <c r="K148" s="96">
        <v>2.0372383904313165</v>
      </c>
      <c r="L148" s="96">
        <v>1.9681590105168054</v>
      </c>
      <c r="M148" s="96">
        <v>1.9177706993235493</v>
      </c>
      <c r="N148" s="96">
        <v>1.8683956116455132</v>
      </c>
      <c r="O148" s="96">
        <v>1.8154504547468999</v>
      </c>
      <c r="P148" s="96">
        <v>1.7600995495891778</v>
      </c>
      <c r="Q148" s="96">
        <v>1.6732904496732683</v>
      </c>
      <c r="R148" s="96">
        <v>1.3400878637223363</v>
      </c>
      <c r="S148" s="96">
        <v>1.3190678191426848</v>
      </c>
      <c r="T148" s="96">
        <v>1.3095938486233742</v>
      </c>
      <c r="U148" s="96">
        <v>1.3017512560633737</v>
      </c>
      <c r="V148" s="96">
        <v>1.2997544009501645</v>
      </c>
      <c r="W148" s="96">
        <v>1.2428299510501839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1.9540400775875975</v>
      </c>
      <c r="K149" s="96">
        <v>1.8902211869981289</v>
      </c>
      <c r="L149" s="96">
        <v>1.8261269169743555</v>
      </c>
      <c r="M149" s="96">
        <v>1.779374875661025</v>
      </c>
      <c r="N149" s="96">
        <v>1.733562938640167</v>
      </c>
      <c r="O149" s="96">
        <v>1.6844385662600103</v>
      </c>
      <c r="P149" s="96">
        <v>1.6330820563198556</v>
      </c>
      <c r="Q149" s="96">
        <v>1.5525375306246822</v>
      </c>
      <c r="R149" s="96">
        <v>1.2433804921135079</v>
      </c>
      <c r="S149" s="96">
        <v>1.2238773579674396</v>
      </c>
      <c r="T149" s="96">
        <v>1.215087076042306</v>
      </c>
      <c r="U149" s="96">
        <v>1.2078104437701407</v>
      </c>
      <c r="V149" s="96">
        <v>1.2059576916032455</v>
      </c>
      <c r="W149" s="96">
        <v>1.153141191696047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9.7608465608465611</v>
      </c>
      <c r="C150" s="130">
        <f t="shared" si="203"/>
        <v>9.9748230988328075</v>
      </c>
      <c r="D150" s="130">
        <f t="shared" si="203"/>
        <v>10.038834951456311</v>
      </c>
      <c r="E150" s="130">
        <f t="shared" si="203"/>
        <v>10.215772179627601</v>
      </c>
      <c r="F150" s="130">
        <f t="shared" si="203"/>
        <v>10.450711722548562</v>
      </c>
      <c r="G150" s="130">
        <f t="shared" si="203"/>
        <v>10.56392694063927</v>
      </c>
      <c r="H150" s="130">
        <f t="shared" si="203"/>
        <v>10.70183486238532</v>
      </c>
      <c r="I150" s="130">
        <f t="shared" si="203"/>
        <v>10.973168811088627</v>
      </c>
      <c r="J150" s="130">
        <f t="shared" si="203"/>
        <v>10.759389671361502</v>
      </c>
      <c r="K150" s="130">
        <f t="shared" si="203"/>
        <v>10.843896713615024</v>
      </c>
      <c r="L150" s="130">
        <f t="shared" ref="L150" si="204">IF(L13=0,0,L13/L40)</f>
        <v>10.430882610033285</v>
      </c>
      <c r="M150" s="130">
        <f t="shared" ref="M150:V150" si="205">IF(M13=0,0,M13/M40)</f>
        <v>10.461348142479254</v>
      </c>
      <c r="N150" s="130">
        <f t="shared" si="205"/>
        <v>9.929563501657416</v>
      </c>
      <c r="O150" s="130">
        <f t="shared" si="205"/>
        <v>10.076843198338526</v>
      </c>
      <c r="P150" s="130">
        <f t="shared" si="205"/>
        <v>10.117954070981211</v>
      </c>
      <c r="Q150" s="130">
        <f t="shared" si="205"/>
        <v>10.090556919137732</v>
      </c>
      <c r="R150" s="130">
        <f t="shared" si="205"/>
        <v>10.042813455657495</v>
      </c>
      <c r="S150" s="130">
        <f t="shared" si="205"/>
        <v>10.059475806451614</v>
      </c>
      <c r="T150" s="130">
        <f t="shared" si="205"/>
        <v>10.034170854271355</v>
      </c>
      <c r="U150" s="130">
        <f t="shared" si="205"/>
        <v>10.142137096774194</v>
      </c>
      <c r="V150" s="130">
        <f t="shared" si="205"/>
        <v>9.9019378092292651</v>
      </c>
      <c r="W150" s="130">
        <f t="shared" ref="W150" si="206">IF(W13=0,0,W13/W40)</f>
        <v>10.009367929664997</v>
      </c>
      <c r="DA150" s="176" t="s">
        <v>560</v>
      </c>
    </row>
    <row r="151" spans="1:105" ht="11.45" customHeight="1" x14ac:dyDescent="0.25">
      <c r="A151" s="111" t="s">
        <v>110</v>
      </c>
      <c r="B151" s="97">
        <v>6.3754171754171747</v>
      </c>
      <c r="C151" s="97">
        <v>6.3836470422628002</v>
      </c>
      <c r="D151" s="97">
        <v>6.3861090365944735</v>
      </c>
      <c r="E151" s="97">
        <v>6.3929143146010619</v>
      </c>
      <c r="F151" s="97">
        <v>6.4019504508672522</v>
      </c>
      <c r="G151" s="97">
        <v>6.4063048823322797</v>
      </c>
      <c r="H151" s="97">
        <v>6.4116090331686664</v>
      </c>
      <c r="I151" s="97">
        <v>6.4220449542726383</v>
      </c>
      <c r="J151" s="97">
        <v>6.4138226796677502</v>
      </c>
      <c r="K151" s="97">
        <v>6.4170729505236546</v>
      </c>
      <c r="L151" s="97">
        <v>6.4011877926935883</v>
      </c>
      <c r="M151" s="97">
        <v>6.4023595439415102</v>
      </c>
      <c r="N151" s="97">
        <v>6.3819062885252862</v>
      </c>
      <c r="O151" s="97">
        <v>6.3875708922437893</v>
      </c>
      <c r="P151" s="97">
        <v>6.3891520796531234</v>
      </c>
      <c r="Q151" s="97">
        <v>6.388098343043759</v>
      </c>
      <c r="R151" s="97">
        <v>6.3862620559868279</v>
      </c>
      <c r="S151" s="97">
        <v>6.3869029156327537</v>
      </c>
      <c r="T151" s="97">
        <v>6.3859296482412056</v>
      </c>
      <c r="U151" s="97">
        <v>6.3900821960297769</v>
      </c>
      <c r="V151" s="97">
        <v>6.3808437618934333</v>
      </c>
      <c r="W151" s="97">
        <v>6.3849756896025003</v>
      </c>
      <c r="DA151" s="175" t="s">
        <v>561</v>
      </c>
    </row>
    <row r="152" spans="1:105" ht="11.45" customHeight="1" x14ac:dyDescent="0.25">
      <c r="A152" s="111" t="s">
        <v>111</v>
      </c>
      <c r="B152" s="97">
        <v>9.8711982272351193</v>
      </c>
      <c r="C152" s="97">
        <v>10.073112031068872</v>
      </c>
      <c r="D152" s="97">
        <v>10.120310094876382</v>
      </c>
      <c r="E152" s="97">
        <v>10.283879529862633</v>
      </c>
      <c r="F152" s="97">
        <v>10.506594605227574</v>
      </c>
      <c r="G152" s="97">
        <v>10.604984480341383</v>
      </c>
      <c r="H152" s="97">
        <v>10.736998586486269</v>
      </c>
      <c r="I152" s="97">
        <v>11.00477878546233</v>
      </c>
      <c r="J152" s="97">
        <v>10.784318565247471</v>
      </c>
      <c r="K152" s="97">
        <v>10.867216285710585</v>
      </c>
      <c r="L152" s="97">
        <v>10.439203144437316</v>
      </c>
      <c r="M152" s="97">
        <v>10.47604942400314</v>
      </c>
      <c r="N152" s="97">
        <v>9.9399101738172568</v>
      </c>
      <c r="O152" s="97">
        <v>10.08756519211137</v>
      </c>
      <c r="P152" s="97">
        <v>10.128152824228891</v>
      </c>
      <c r="Q152" s="97">
        <v>10.099798055458859</v>
      </c>
      <c r="R152" s="97">
        <v>10.052903193889831</v>
      </c>
      <c r="S152" s="97">
        <v>10.069010523256157</v>
      </c>
      <c r="T152" s="97">
        <v>10.043449337318672</v>
      </c>
      <c r="U152" s="97">
        <v>10.150667314000707</v>
      </c>
      <c r="V152" s="97">
        <v>9.9105323137027561</v>
      </c>
      <c r="W152" s="97">
        <v>10.017618440091978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9.8711982272351193</v>
      </c>
      <c r="C154" s="97">
        <v>10.07311203106887</v>
      </c>
      <c r="D154" s="97">
        <v>10.120310094876382</v>
      </c>
      <c r="E154" s="97">
        <v>10.283879529862633</v>
      </c>
      <c r="F154" s="97">
        <v>10.506594605227573</v>
      </c>
      <c r="G154" s="97">
        <v>10.604984480341381</v>
      </c>
      <c r="H154" s="97">
        <v>10.736998586486269</v>
      </c>
      <c r="I154" s="97">
        <v>11.004778785462332</v>
      </c>
      <c r="J154" s="97">
        <v>10.784318565247471</v>
      </c>
      <c r="K154" s="97">
        <v>10.867216285710585</v>
      </c>
      <c r="L154" s="97">
        <v>10.439203144437318</v>
      </c>
      <c r="M154" s="97">
        <v>10.47604942400314</v>
      </c>
      <c r="N154" s="97">
        <v>9.9399101738172568</v>
      </c>
      <c r="O154" s="97">
        <v>10.087565192111372</v>
      </c>
      <c r="P154" s="97">
        <v>10.128152824228891</v>
      </c>
      <c r="Q154" s="97">
        <v>10.099798055458857</v>
      </c>
      <c r="R154" s="97">
        <v>10.052903193889829</v>
      </c>
      <c r="S154" s="97">
        <v>10.069010523256155</v>
      </c>
      <c r="T154" s="97">
        <v>10.043449337318672</v>
      </c>
      <c r="U154" s="97">
        <v>10.150667314000705</v>
      </c>
      <c r="V154" s="97">
        <v>9.9105323137027543</v>
      </c>
      <c r="W154" s="97">
        <v>10.017618440091979</v>
      </c>
      <c r="DA154" s="175" t="s">
        <v>564</v>
      </c>
    </row>
    <row r="155" spans="1:105" ht="11.45" customHeight="1" x14ac:dyDescent="0.25">
      <c r="A155" s="111" t="s">
        <v>115</v>
      </c>
      <c r="B155" s="97">
        <v>9.8711982272351193</v>
      </c>
      <c r="C155" s="97">
        <v>10.07311203106887</v>
      </c>
      <c r="D155" s="97">
        <v>10.120310094876382</v>
      </c>
      <c r="E155" s="97">
        <v>10.283879529862633</v>
      </c>
      <c r="F155" s="97">
        <v>10.506594605227573</v>
      </c>
      <c r="G155" s="97">
        <v>10.604984480341381</v>
      </c>
      <c r="H155" s="97">
        <v>10.736998586486269</v>
      </c>
      <c r="I155" s="97">
        <v>11.004778785462332</v>
      </c>
      <c r="J155" s="97">
        <v>10.784318565247471</v>
      </c>
      <c r="K155" s="97">
        <v>10.867216285710585</v>
      </c>
      <c r="L155" s="97">
        <v>10.439203144437318</v>
      </c>
      <c r="M155" s="97">
        <v>10.47604942400314</v>
      </c>
      <c r="N155" s="97">
        <v>9.9399101738172568</v>
      </c>
      <c r="O155" s="97">
        <v>10.087565192111372</v>
      </c>
      <c r="P155" s="97">
        <v>10.128152824228891</v>
      </c>
      <c r="Q155" s="97">
        <v>10.099798055458857</v>
      </c>
      <c r="R155" s="97">
        <v>10.052903193889829</v>
      </c>
      <c r="S155" s="97">
        <v>10.069010523256155</v>
      </c>
      <c r="T155" s="97">
        <v>10.043449337318672</v>
      </c>
      <c r="U155" s="97">
        <v>10.150667314000705</v>
      </c>
      <c r="V155" s="97">
        <v>9.9105323137027543</v>
      </c>
      <c r="W155" s="97">
        <v>10.017618440091979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6.6171939906000548</v>
      </c>
      <c r="C156" s="32">
        <f t="shared" si="207"/>
        <v>5.9213823586721936</v>
      </c>
      <c r="D156" s="32">
        <f t="shared" si="207"/>
        <v>5.9415625307276798</v>
      </c>
      <c r="E156" s="32">
        <f t="shared" si="207"/>
        <v>5.6916612096796078</v>
      </c>
      <c r="F156" s="32">
        <f t="shared" si="207"/>
        <v>5.5969973999180906</v>
      </c>
      <c r="G156" s="32">
        <f t="shared" si="207"/>
        <v>5.9425750350929363</v>
      </c>
      <c r="H156" s="32">
        <f t="shared" si="207"/>
        <v>5.8675632693938109</v>
      </c>
      <c r="I156" s="32">
        <f t="shared" si="207"/>
        <v>5.7580393519658033</v>
      </c>
      <c r="J156" s="32">
        <f t="shared" si="207"/>
        <v>5.751033018509875</v>
      </c>
      <c r="K156" s="32">
        <f t="shared" si="207"/>
        <v>4.9983740015257041</v>
      </c>
      <c r="L156" s="32">
        <f t="shared" ref="L156" si="208">IF(L19=0,0,L19/L46)</f>
        <v>4.9393460068203288</v>
      </c>
      <c r="M156" s="32">
        <f t="shared" ref="M156:V156" si="209">IF(M19=0,0,M19/M46)</f>
        <v>4.9299105624590247</v>
      </c>
      <c r="N156" s="32">
        <f t="shared" si="209"/>
        <v>4.6302319784274726</v>
      </c>
      <c r="O156" s="32">
        <f t="shared" si="209"/>
        <v>4.7121513709556258</v>
      </c>
      <c r="P156" s="32">
        <f t="shared" si="209"/>
        <v>5.1366955053578183</v>
      </c>
      <c r="Q156" s="32">
        <f t="shared" si="209"/>
        <v>4.9625967666784803</v>
      </c>
      <c r="R156" s="32">
        <f t="shared" si="209"/>
        <v>5.0214198385252287</v>
      </c>
      <c r="S156" s="32">
        <f t="shared" si="209"/>
        <v>4.7075496417069882</v>
      </c>
      <c r="T156" s="32">
        <f t="shared" si="209"/>
        <v>4.8952218245688801</v>
      </c>
      <c r="U156" s="32">
        <f t="shared" si="209"/>
        <v>4.7565278842554823</v>
      </c>
      <c r="V156" s="32">
        <f t="shared" si="209"/>
        <v>4.7816556886165902</v>
      </c>
      <c r="W156" s="32">
        <f t="shared" ref="W156" si="210">IF(W19=0,0,W19/W46)</f>
        <v>5.0510117380909678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0.21821585085759587</v>
      </c>
      <c r="C157" s="141">
        <f t="shared" si="211"/>
        <v>0.21984249710448153</v>
      </c>
      <c r="D157" s="141">
        <f t="shared" si="211"/>
        <v>0.22223690090426548</v>
      </c>
      <c r="E157" s="141">
        <f t="shared" si="211"/>
        <v>0.22465581675579241</v>
      </c>
      <c r="F157" s="141">
        <f t="shared" si="211"/>
        <v>0.22634296918388294</v>
      </c>
      <c r="G157" s="141">
        <f t="shared" si="211"/>
        <v>0.23336663846479738</v>
      </c>
      <c r="H157" s="141">
        <f t="shared" si="211"/>
        <v>0.23489645957814764</v>
      </c>
      <c r="I157" s="141">
        <f t="shared" si="211"/>
        <v>0.23760009459609371</v>
      </c>
      <c r="J157" s="141">
        <f t="shared" si="211"/>
        <v>0.23896464153097036</v>
      </c>
      <c r="K157" s="141">
        <f t="shared" si="211"/>
        <v>0.24042376143524705</v>
      </c>
      <c r="L157" s="141">
        <f t="shared" ref="L157" si="212">IF(L20=0,0,L20/L47)</f>
        <v>0.23944130037817404</v>
      </c>
      <c r="M157" s="141">
        <f t="shared" ref="M157:V157" si="213">IF(M20=0,0,M20/M47)</f>
        <v>0.24235912433587842</v>
      </c>
      <c r="N157" s="141">
        <f t="shared" si="213"/>
        <v>0.24296019401654326</v>
      </c>
      <c r="O157" s="141">
        <f t="shared" si="213"/>
        <v>0.24462097076040065</v>
      </c>
      <c r="P157" s="141">
        <f t="shared" si="213"/>
        <v>0.24538539285203737</v>
      </c>
      <c r="Q157" s="141">
        <f t="shared" si="213"/>
        <v>0.24444202515914226</v>
      </c>
      <c r="R157" s="141">
        <f t="shared" si="213"/>
        <v>0.24559014483860164</v>
      </c>
      <c r="S157" s="141">
        <f t="shared" si="213"/>
        <v>0.24431924972716579</v>
      </c>
      <c r="T157" s="141">
        <f t="shared" si="213"/>
        <v>0.24605986254056528</v>
      </c>
      <c r="U157" s="141">
        <f t="shared" si="213"/>
        <v>0.24639884813071453</v>
      </c>
      <c r="V157" s="141">
        <f t="shared" si="213"/>
        <v>0.24658302762244799</v>
      </c>
      <c r="W157" s="141">
        <f t="shared" ref="W157" si="214">IF(W20=0,0,W20/W47)</f>
        <v>0.24607431190672077</v>
      </c>
      <c r="DA157" s="174" t="s">
        <v>567</v>
      </c>
    </row>
    <row r="158" spans="1:105" ht="11.45" customHeight="1" x14ac:dyDescent="0.25">
      <c r="A158" s="111" t="s">
        <v>110</v>
      </c>
      <c r="B158" s="96">
        <v>0.18551621360940826</v>
      </c>
      <c r="C158" s="96">
        <v>0.18483262594673242</v>
      </c>
      <c r="D158" s="96">
        <v>0.18565993422858221</v>
      </c>
      <c r="E158" s="96">
        <v>0.18777137016941217</v>
      </c>
      <c r="F158" s="96">
        <v>0.18948495888909156</v>
      </c>
      <c r="G158" s="96">
        <v>0.18987269254467865</v>
      </c>
      <c r="H158" s="96">
        <v>0.19155487361855061</v>
      </c>
      <c r="I158" s="96">
        <v>0.19163594733682962</v>
      </c>
      <c r="J158" s="96">
        <v>0.19231730697476015</v>
      </c>
      <c r="K158" s="96">
        <v>0.19302546067684836</v>
      </c>
      <c r="L158" s="96">
        <v>0.19459422687612402</v>
      </c>
      <c r="M158" s="96">
        <v>0.19406162344747871</v>
      </c>
      <c r="N158" s="96">
        <v>0.1943754070031484</v>
      </c>
      <c r="O158" s="96">
        <v>0.19474448491041421</v>
      </c>
      <c r="P158" s="96">
        <v>0.19515550436616533</v>
      </c>
      <c r="Q158" s="96">
        <v>0.19342981350482313</v>
      </c>
      <c r="R158" s="96">
        <v>0.19771949063672853</v>
      </c>
      <c r="S158" s="96">
        <v>0.20041106126961469</v>
      </c>
      <c r="T158" s="96">
        <v>0.19944269944077289</v>
      </c>
      <c r="U158" s="96">
        <v>0.19859703207960444</v>
      </c>
      <c r="V158" s="96">
        <v>0.1973229899496681</v>
      </c>
      <c r="W158" s="96">
        <v>0.19340835581238289</v>
      </c>
      <c r="DA158" s="171" t="s">
        <v>568</v>
      </c>
    </row>
    <row r="159" spans="1:105" ht="11.45" customHeight="1" x14ac:dyDescent="0.25">
      <c r="A159" s="111" t="s">
        <v>111</v>
      </c>
      <c r="B159" s="96">
        <v>0.24116576062743861</v>
      </c>
      <c r="C159" s="96">
        <v>0.23831094811803233</v>
      </c>
      <c r="D159" s="96">
        <v>0.23765989970324464</v>
      </c>
      <c r="E159" s="96">
        <v>0.2366470497961512</v>
      </c>
      <c r="F159" s="96">
        <v>0.2355530216658287</v>
      </c>
      <c r="G159" s="96">
        <v>0.24402554401713911</v>
      </c>
      <c r="H159" s="96">
        <v>0.24333167533211811</v>
      </c>
      <c r="I159" s="96">
        <v>0.24540371760011942</v>
      </c>
      <c r="J159" s="96">
        <v>0.24580536208754047</v>
      </c>
      <c r="K159" s="96">
        <v>0.24675644667881139</v>
      </c>
      <c r="L159" s="96">
        <v>0.24439171402787818</v>
      </c>
      <c r="M159" s="96">
        <v>0.24716262084410312</v>
      </c>
      <c r="N159" s="96">
        <v>0.24717974541683102</v>
      </c>
      <c r="O159" s="96">
        <v>0.24836186249823186</v>
      </c>
      <c r="P159" s="96">
        <v>0.24878578477522439</v>
      </c>
      <c r="Q159" s="96">
        <v>0.24760469522274045</v>
      </c>
      <c r="R159" s="96">
        <v>0.24807799419431506</v>
      </c>
      <c r="S159" s="96">
        <v>0.2463028415609754</v>
      </c>
      <c r="T159" s="96">
        <v>0.24841253397630353</v>
      </c>
      <c r="U159" s="96">
        <v>0.24885511988913148</v>
      </c>
      <c r="V159" s="96">
        <v>0.24922045043265562</v>
      </c>
      <c r="W159" s="96">
        <v>0.24906303793276452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0.19781841326393684</v>
      </c>
      <c r="D161" s="96">
        <v>0.19612414159715866</v>
      </c>
      <c r="E161" s="96">
        <v>0.19453750947567564</v>
      </c>
      <c r="F161" s="96">
        <v>0.19251467462476032</v>
      </c>
      <c r="G161" s="96">
        <v>0.19723371966678704</v>
      </c>
      <c r="H161" s="96">
        <v>0.19589039587160495</v>
      </c>
      <c r="I161" s="96">
        <v>0.19632724177758462</v>
      </c>
      <c r="J161" s="96">
        <v>0.19593925367246168</v>
      </c>
      <c r="K161" s="96">
        <v>0.19625629097806876</v>
      </c>
      <c r="L161" s="96">
        <v>0.19401423054967182</v>
      </c>
      <c r="M161" s="96">
        <v>0.19534501206674224</v>
      </c>
      <c r="N161" s="96">
        <v>0.19482559522109436</v>
      </c>
      <c r="O161" s="96">
        <v>0.19519870437027356</v>
      </c>
      <c r="P161" s="96">
        <v>0.19522054594725108</v>
      </c>
      <c r="Q161" s="96">
        <v>0.19342981350482313</v>
      </c>
      <c r="R161" s="96">
        <v>0.19321976378770889</v>
      </c>
      <c r="S161" s="96">
        <v>0.19169734447989076</v>
      </c>
      <c r="T161" s="96">
        <v>0.19337357429628813</v>
      </c>
      <c r="U161" s="96">
        <v>0.19371351767687919</v>
      </c>
      <c r="V161" s="96">
        <v>0.19445872266888353</v>
      </c>
      <c r="W161" s="96">
        <v>0.19464694838740351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0.19380715014237504</v>
      </c>
      <c r="H162" s="96">
        <v>0.19374695487201149</v>
      </c>
      <c r="I162" s="96">
        <v>0.19372733837106504</v>
      </c>
      <c r="J162" s="96">
        <v>0.19370991965905776</v>
      </c>
      <c r="K162" s="96">
        <v>0.19369568487033725</v>
      </c>
      <c r="L162" s="96">
        <v>0.19359455016836546</v>
      </c>
      <c r="M162" s="96">
        <v>0.19353440635845526</v>
      </c>
      <c r="N162" s="96">
        <v>0.19351098559987898</v>
      </c>
      <c r="O162" s="96">
        <v>0.19349415737058318</v>
      </c>
      <c r="P162" s="96">
        <v>0.19349317329867333</v>
      </c>
      <c r="Q162" s="96">
        <v>0.19342981350482313</v>
      </c>
      <c r="R162" s="96">
        <v>0.19343775795340382</v>
      </c>
      <c r="S162" s="96">
        <v>0.19350732378463409</v>
      </c>
      <c r="T162" s="96">
        <v>0.19358391628376051</v>
      </c>
      <c r="U162" s="96">
        <v>0.19359937209959607</v>
      </c>
      <c r="V162" s="96">
        <v>0.19384101546022159</v>
      </c>
      <c r="W162" s="96">
        <v>0.19360647300172479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13.930922949002612</v>
      </c>
      <c r="C163" s="130">
        <f t="shared" si="215"/>
        <v>13.596464774112063</v>
      </c>
      <c r="D163" s="130">
        <f t="shared" si="215"/>
        <v>14.144160657669872</v>
      </c>
      <c r="E163" s="130">
        <f t="shared" si="215"/>
        <v>14.32828525331448</v>
      </c>
      <c r="F163" s="130">
        <f t="shared" si="215"/>
        <v>14.502093783766153</v>
      </c>
      <c r="G163" s="130">
        <f t="shared" si="215"/>
        <v>14.327273854630468</v>
      </c>
      <c r="H163" s="130">
        <f t="shared" si="215"/>
        <v>14.6256026241239</v>
      </c>
      <c r="I163" s="130">
        <f t="shared" si="215"/>
        <v>14.353709184521456</v>
      </c>
      <c r="J163" s="130">
        <f t="shared" si="215"/>
        <v>14.417363151709999</v>
      </c>
      <c r="K163" s="130">
        <f t="shared" si="215"/>
        <v>13.342409662925089</v>
      </c>
      <c r="L163" s="130">
        <f t="shared" ref="L163" si="216">IF(L26=0,0,L26/L53)</f>
        <v>13.389484440875231</v>
      </c>
      <c r="M163" s="130">
        <f t="shared" ref="M163:V163" si="217">IF(M26=0,0,M26/M53)</f>
        <v>13.87886989508884</v>
      </c>
      <c r="N163" s="130">
        <f t="shared" si="217"/>
        <v>13.672821511413016</v>
      </c>
      <c r="O163" s="130">
        <f t="shared" si="217"/>
        <v>13.847234321973097</v>
      </c>
      <c r="P163" s="130">
        <f t="shared" si="217"/>
        <v>13.847377779297586</v>
      </c>
      <c r="Q163" s="130">
        <f t="shared" si="217"/>
        <v>13.697936255262778</v>
      </c>
      <c r="R163" s="130">
        <f t="shared" si="217"/>
        <v>13.965844554759125</v>
      </c>
      <c r="S163" s="130">
        <f t="shared" si="217"/>
        <v>13.677346593728785</v>
      </c>
      <c r="T163" s="130">
        <f t="shared" si="217"/>
        <v>13.838728909905255</v>
      </c>
      <c r="U163" s="130">
        <f t="shared" si="217"/>
        <v>13.724054508927711</v>
      </c>
      <c r="V163" s="130">
        <f t="shared" si="217"/>
        <v>13.82386946451936</v>
      </c>
      <c r="W163" s="130">
        <f t="shared" ref="W163" si="218">IF(W26=0,0,W26/W53)</f>
        <v>14.157918278337096</v>
      </c>
      <c r="DA163" s="176" t="s">
        <v>573</v>
      </c>
    </row>
    <row r="164" spans="1:105" ht="11.45" customHeight="1" x14ac:dyDescent="0.25">
      <c r="A164" s="128" t="s">
        <v>27</v>
      </c>
      <c r="B164" s="97">
        <v>13.855066079295154</v>
      </c>
      <c r="C164" s="97">
        <v>13.432093231734648</v>
      </c>
      <c r="D164" s="97">
        <v>14.092961487383798</v>
      </c>
      <c r="E164" s="97">
        <v>14.348837209302326</v>
      </c>
      <c r="F164" s="97">
        <v>14.666218034993273</v>
      </c>
      <c r="G164" s="97">
        <v>14.428690228690229</v>
      </c>
      <c r="H164" s="97">
        <v>14.805509181969949</v>
      </c>
      <c r="I164" s="97">
        <v>14.431007137192704</v>
      </c>
      <c r="J164" s="97">
        <v>14.568905950095969</v>
      </c>
      <c r="K164" s="97">
        <v>13.24113767518549</v>
      </c>
      <c r="L164" s="97">
        <v>13.171830985915493</v>
      </c>
      <c r="M164" s="97">
        <v>13.808185200496073</v>
      </c>
      <c r="N164" s="97">
        <v>13.551985720660419</v>
      </c>
      <c r="O164" s="97">
        <v>13.761200716845877</v>
      </c>
      <c r="P164" s="97">
        <v>13.774308019872249</v>
      </c>
      <c r="Q164" s="97">
        <v>13.609285714285715</v>
      </c>
      <c r="R164" s="97">
        <v>13.976504093983625</v>
      </c>
      <c r="S164" s="97">
        <v>13.566502463054187</v>
      </c>
      <c r="T164" s="97">
        <v>13.746450304259636</v>
      </c>
      <c r="U164" s="97">
        <v>13.62037351443124</v>
      </c>
      <c r="V164" s="97">
        <v>13.806035944387927</v>
      </c>
      <c r="W164" s="97">
        <v>14.192076069730586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14.257421972058399</v>
      </c>
      <c r="C165" s="98">
        <v>14.245058387803748</v>
      </c>
      <c r="D165" s="98">
        <v>14.338603689647609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14.086426180736332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11120.814703291575</v>
      </c>
      <c r="C167" s="54">
        <f t="shared" si="219"/>
        <v>11232.876528537114</v>
      </c>
      <c r="D167" s="54">
        <f t="shared" si="219"/>
        <v>11583.565265594552</v>
      </c>
      <c r="E167" s="54">
        <f t="shared" si="219"/>
        <v>11654.170365711816</v>
      </c>
      <c r="F167" s="54">
        <f t="shared" si="219"/>
        <v>11736.978229272812</v>
      </c>
      <c r="G167" s="54">
        <f t="shared" si="219"/>
        <v>11244.765055367954</v>
      </c>
      <c r="H167" s="54">
        <f t="shared" si="219"/>
        <v>11198.806473558385</v>
      </c>
      <c r="I167" s="54">
        <f t="shared" si="219"/>
        <v>11420.724802406656</v>
      </c>
      <c r="J167" s="54">
        <f t="shared" si="219"/>
        <v>11329.584029999964</v>
      </c>
      <c r="K167" s="54">
        <f t="shared" si="219"/>
        <v>11450.823070365392</v>
      </c>
      <c r="L167" s="54">
        <f t="shared" si="219"/>
        <v>11710.460424147966</v>
      </c>
      <c r="M167" s="54">
        <f>IF(M30=0,0,M30*1000000/M57)</f>
        <v>11849.836270139029</v>
      </c>
      <c r="N167" s="54">
        <f t="shared" ref="N167:V167" si="220">IF(N30=0,0,N30*1000000/N57)</f>
        <v>11840.310539804028</v>
      </c>
      <c r="O167" s="54">
        <f t="shared" si="220"/>
        <v>12002.89717764801</v>
      </c>
      <c r="P167" s="54">
        <f t="shared" si="220"/>
        <v>12394.464722571951</v>
      </c>
      <c r="Q167" s="54">
        <f t="shared" si="220"/>
        <v>12906.773602926472</v>
      </c>
      <c r="R167" s="54">
        <f t="shared" si="220"/>
        <v>13136.408107338697</v>
      </c>
      <c r="S167" s="54">
        <f t="shared" si="220"/>
        <v>13326.74468072598</v>
      </c>
      <c r="T167" s="54">
        <f t="shared" si="220"/>
        <v>13386.828783391536</v>
      </c>
      <c r="U167" s="54">
        <f t="shared" si="220"/>
        <v>13278.737868697972</v>
      </c>
      <c r="V167" s="54">
        <f t="shared" si="220"/>
        <v>12490.804878854948</v>
      </c>
      <c r="W167" s="54">
        <f t="shared" ref="W167:W191" si="221">IF(W30=0,0,W30*1000000/W57)</f>
        <v>12806.296186358582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10702.88573782515</v>
      </c>
      <c r="C168" s="28">
        <f t="shared" si="219"/>
        <v>10756.854548418867</v>
      </c>
      <c r="D168" s="28">
        <f t="shared" si="219"/>
        <v>11093.313048200931</v>
      </c>
      <c r="E168" s="28">
        <f t="shared" si="219"/>
        <v>11147.406118441824</v>
      </c>
      <c r="F168" s="28">
        <f t="shared" si="219"/>
        <v>11161.406885753742</v>
      </c>
      <c r="G168" s="28">
        <f t="shared" si="219"/>
        <v>10699.363910365382</v>
      </c>
      <c r="H168" s="28">
        <f t="shared" si="219"/>
        <v>10619.870175108217</v>
      </c>
      <c r="I168" s="28">
        <f t="shared" si="219"/>
        <v>10856.426572593535</v>
      </c>
      <c r="J168" s="28">
        <f t="shared" si="219"/>
        <v>10735.74938641773</v>
      </c>
      <c r="K168" s="28">
        <f t="shared" si="219"/>
        <v>10945.632664987068</v>
      </c>
      <c r="L168" s="28">
        <f t="shared" si="219"/>
        <v>11155.195494526462</v>
      </c>
      <c r="M168" s="28">
        <f t="shared" ref="M168:M192" si="222">IF(M31=0,0,M31*1000000/M58)</f>
        <v>11371.777744665318</v>
      </c>
      <c r="N168" s="28">
        <f t="shared" si="219"/>
        <v>11395.054437257128</v>
      </c>
      <c r="O168" s="28">
        <f t="shared" si="219"/>
        <v>11562.183528533191</v>
      </c>
      <c r="P168" s="28">
        <f t="shared" si="219"/>
        <v>11899.340700297564</v>
      </c>
      <c r="Q168" s="28">
        <f t="shared" si="219"/>
        <v>12425.394827547745</v>
      </c>
      <c r="R168" s="28">
        <f t="shared" si="219"/>
        <v>12693.95178404487</v>
      </c>
      <c r="S168" s="28">
        <f t="shared" si="219"/>
        <v>12865.859169431938</v>
      </c>
      <c r="T168" s="28">
        <f t="shared" si="219"/>
        <v>12968.286027480861</v>
      </c>
      <c r="U168" s="28">
        <f t="shared" si="219"/>
        <v>12870.781927711254</v>
      </c>
      <c r="V168" s="28">
        <f t="shared" si="219"/>
        <v>11999.329147969964</v>
      </c>
      <c r="W168" s="28">
        <f t="shared" si="221"/>
        <v>12302.596026336307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1403.6875663158846</v>
      </c>
      <c r="C169" s="137">
        <f t="shared" si="219"/>
        <v>1412.9410330587114</v>
      </c>
      <c r="D169" s="137">
        <f t="shared" si="219"/>
        <v>1443.5680736044089</v>
      </c>
      <c r="E169" s="137">
        <f t="shared" si="219"/>
        <v>1469.2834446829002</v>
      </c>
      <c r="F169" s="137">
        <f t="shared" si="219"/>
        <v>1554.1621106970447</v>
      </c>
      <c r="G169" s="137">
        <f t="shared" si="219"/>
        <v>1425.790475013353</v>
      </c>
      <c r="H169" s="137">
        <f t="shared" si="219"/>
        <v>1422.4179497894499</v>
      </c>
      <c r="I169" s="137">
        <f t="shared" si="219"/>
        <v>1488.7384615384615</v>
      </c>
      <c r="J169" s="137">
        <f t="shared" si="219"/>
        <v>1376.1691480316072</v>
      </c>
      <c r="K169" s="137">
        <f t="shared" si="219"/>
        <v>1347.112206892934</v>
      </c>
      <c r="L169" s="137">
        <f t="shared" si="219"/>
        <v>1287.878787878788</v>
      </c>
      <c r="M169" s="137">
        <f t="shared" si="222"/>
        <v>1228.3597956767128</v>
      </c>
      <c r="N169" s="137">
        <f t="shared" si="219"/>
        <v>1007.6763738272207</v>
      </c>
      <c r="O169" s="137">
        <f t="shared" si="219"/>
        <v>1090.074493674575</v>
      </c>
      <c r="P169" s="137">
        <f t="shared" si="219"/>
        <v>1066.9798934250055</v>
      </c>
      <c r="Q169" s="137">
        <f t="shared" si="219"/>
        <v>1036.7024179314426</v>
      </c>
      <c r="R169" s="137">
        <f t="shared" si="219"/>
        <v>1052.3857768445332</v>
      </c>
      <c r="S169" s="137">
        <f t="shared" si="219"/>
        <v>961.63847339877725</v>
      </c>
      <c r="T169" s="137">
        <f t="shared" si="219"/>
        <v>895.70928530114679</v>
      </c>
      <c r="U169" s="137">
        <f t="shared" si="219"/>
        <v>928.51888092922661</v>
      </c>
      <c r="V169" s="137">
        <f t="shared" si="219"/>
        <v>815.21227303792875</v>
      </c>
      <c r="W169" s="137">
        <f t="shared" si="221"/>
        <v>827.09984169764198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11226.307199846939</v>
      </c>
      <c r="C170" s="110">
        <f t="shared" si="219"/>
        <v>11346.914183978737</v>
      </c>
      <c r="D170" s="110">
        <f t="shared" si="219"/>
        <v>11791.199758130853</v>
      </c>
      <c r="E170" s="110">
        <f t="shared" si="219"/>
        <v>11900.298015780294</v>
      </c>
      <c r="F170" s="110">
        <f t="shared" si="219"/>
        <v>11924.233423665975</v>
      </c>
      <c r="G170" s="110">
        <f t="shared" si="219"/>
        <v>11534.675544129503</v>
      </c>
      <c r="H170" s="110">
        <f t="shared" si="219"/>
        <v>11536.10326707931</v>
      </c>
      <c r="I170" s="110">
        <f t="shared" si="219"/>
        <v>11850.553346881286</v>
      </c>
      <c r="J170" s="110">
        <f t="shared" si="219"/>
        <v>11781.97731461781</v>
      </c>
      <c r="K170" s="110">
        <f t="shared" si="219"/>
        <v>12058.201702709741</v>
      </c>
      <c r="L170" s="110">
        <f t="shared" si="219"/>
        <v>12281.711886136838</v>
      </c>
      <c r="M170" s="110">
        <f t="shared" si="222"/>
        <v>12531.702165412877</v>
      </c>
      <c r="N170" s="110">
        <f t="shared" si="219"/>
        <v>12653.707597634399</v>
      </c>
      <c r="O170" s="110">
        <f t="shared" si="219"/>
        <v>12862.958975961224</v>
      </c>
      <c r="P170" s="110">
        <f t="shared" si="219"/>
        <v>13263.477250547385</v>
      </c>
      <c r="Q170" s="110">
        <f t="shared" si="219"/>
        <v>13894.977971951337</v>
      </c>
      <c r="R170" s="110">
        <f t="shared" si="219"/>
        <v>14232.325131739408</v>
      </c>
      <c r="S170" s="110">
        <f t="shared" si="219"/>
        <v>14486.44009994459</v>
      </c>
      <c r="T170" s="110">
        <f t="shared" si="219"/>
        <v>14653.207267054895</v>
      </c>
      <c r="U170" s="110">
        <f t="shared" si="219"/>
        <v>14579.558155817527</v>
      </c>
      <c r="V170" s="110">
        <f t="shared" si="219"/>
        <v>13616.997657538068</v>
      </c>
      <c r="W170" s="110">
        <f t="shared" si="221"/>
        <v>14002.308233965932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10548.340118070533</v>
      </c>
      <c r="C171" s="84">
        <f t="shared" si="219"/>
        <v>10694.028974580566</v>
      </c>
      <c r="D171" s="84">
        <f t="shared" si="219"/>
        <v>11119.198804979509</v>
      </c>
      <c r="E171" s="84">
        <f t="shared" si="219"/>
        <v>11210.311333748972</v>
      </c>
      <c r="F171" s="84">
        <f t="shared" si="219"/>
        <v>11211.383716420378</v>
      </c>
      <c r="G171" s="84">
        <f t="shared" si="219"/>
        <v>10766.7350364866</v>
      </c>
      <c r="H171" s="84">
        <f t="shared" si="219"/>
        <v>10647.466413358497</v>
      </c>
      <c r="I171" s="84">
        <f t="shared" si="219"/>
        <v>10695.598293662511</v>
      </c>
      <c r="J171" s="84">
        <f t="shared" si="219"/>
        <v>10413.222777658528</v>
      </c>
      <c r="K171" s="84">
        <f t="shared" si="219"/>
        <v>10447.647574223876</v>
      </c>
      <c r="L171" s="84">
        <f t="shared" si="219"/>
        <v>10279.467705154799</v>
      </c>
      <c r="M171" s="84">
        <f t="shared" si="222"/>
        <v>10006.385246498841</v>
      </c>
      <c r="N171" s="84">
        <f t="shared" si="219"/>
        <v>9659.8696390305231</v>
      </c>
      <c r="O171" s="84">
        <f t="shared" si="219"/>
        <v>9549.2728910978076</v>
      </c>
      <c r="P171" s="84">
        <f t="shared" si="219"/>
        <v>9570.8707341711743</v>
      </c>
      <c r="Q171" s="84">
        <f t="shared" si="219"/>
        <v>9751.3033952874175</v>
      </c>
      <c r="R171" s="84">
        <f t="shared" si="219"/>
        <v>9765.8382667517362</v>
      </c>
      <c r="S171" s="84">
        <f t="shared" si="219"/>
        <v>9804.061221095084</v>
      </c>
      <c r="T171" s="84">
        <f t="shared" si="219"/>
        <v>9792.1968376077984</v>
      </c>
      <c r="U171" s="84">
        <f t="shared" si="219"/>
        <v>9907.0523811878229</v>
      </c>
      <c r="V171" s="84">
        <f t="shared" si="219"/>
        <v>9452.5710221896097</v>
      </c>
      <c r="W171" s="84">
        <f t="shared" si="221"/>
        <v>10004.788779853117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24520.077801743962</v>
      </c>
      <c r="C172" s="84">
        <f t="shared" si="219"/>
        <v>24878.370837743973</v>
      </c>
      <c r="D172" s="84">
        <f t="shared" si="219"/>
        <v>25463.190934417871</v>
      </c>
      <c r="E172" s="84">
        <f t="shared" si="219"/>
        <v>25499.265708545929</v>
      </c>
      <c r="F172" s="84">
        <f t="shared" si="219"/>
        <v>25431.068471594703</v>
      </c>
      <c r="G172" s="84">
        <f t="shared" si="219"/>
        <v>25265.615337493204</v>
      </c>
      <c r="H172" s="84">
        <f t="shared" si="219"/>
        <v>24870.606780353148</v>
      </c>
      <c r="I172" s="84">
        <f t="shared" si="219"/>
        <v>24609.535328888251</v>
      </c>
      <c r="J172" s="84">
        <f t="shared" si="219"/>
        <v>24416.967439584918</v>
      </c>
      <c r="K172" s="84">
        <f t="shared" si="219"/>
        <v>24098.991654701396</v>
      </c>
      <c r="L172" s="84">
        <f t="shared" si="219"/>
        <v>23807.02916927628</v>
      </c>
      <c r="M172" s="84">
        <f t="shared" si="222"/>
        <v>23715.816718644703</v>
      </c>
      <c r="N172" s="84">
        <f t="shared" si="219"/>
        <v>23261.93570454471</v>
      </c>
      <c r="O172" s="84">
        <f t="shared" si="219"/>
        <v>22643.719466839095</v>
      </c>
      <c r="P172" s="84">
        <f t="shared" si="219"/>
        <v>22560.266980988366</v>
      </c>
      <c r="Q172" s="84">
        <f t="shared" si="219"/>
        <v>22911.927781229373</v>
      </c>
      <c r="R172" s="84">
        <f t="shared" si="219"/>
        <v>22853.859496552494</v>
      </c>
      <c r="S172" s="84">
        <f t="shared" si="219"/>
        <v>22788.161414875765</v>
      </c>
      <c r="T172" s="84">
        <f t="shared" si="219"/>
        <v>22868.058213415239</v>
      </c>
      <c r="U172" s="84">
        <f t="shared" si="219"/>
        <v>22253.887334751162</v>
      </c>
      <c r="V172" s="84">
        <f t="shared" si="219"/>
        <v>20505.967244508251</v>
      </c>
      <c r="W172" s="84">
        <f t="shared" si="221"/>
        <v>20670.402594201762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0</v>
      </c>
      <c r="E173" s="84">
        <f t="shared" si="219"/>
        <v>0</v>
      </c>
      <c r="F173" s="84">
        <f t="shared" si="219"/>
        <v>0</v>
      </c>
      <c r="G173" s="84">
        <f t="shared" si="219"/>
        <v>21353.094413548828</v>
      </c>
      <c r="H173" s="84">
        <f t="shared" si="219"/>
        <v>20823.640260982975</v>
      </c>
      <c r="I173" s="84">
        <f t="shared" si="219"/>
        <v>20805.692597488425</v>
      </c>
      <c r="J173" s="84">
        <f t="shared" si="219"/>
        <v>20263.048510023924</v>
      </c>
      <c r="K173" s="84">
        <f t="shared" si="219"/>
        <v>19988.57009221489</v>
      </c>
      <c r="L173" s="84">
        <f t="shared" si="219"/>
        <v>19559.977456932866</v>
      </c>
      <c r="M173" s="84">
        <f t="shared" si="222"/>
        <v>19294.937081196029</v>
      </c>
      <c r="N173" s="84">
        <f t="shared" si="219"/>
        <v>18752.080674977249</v>
      </c>
      <c r="O173" s="84">
        <f t="shared" si="219"/>
        <v>18457.030260917069</v>
      </c>
      <c r="P173" s="84">
        <f t="shared" si="219"/>
        <v>18577.368063249636</v>
      </c>
      <c r="Q173" s="84">
        <f t="shared" si="219"/>
        <v>18863.051913520358</v>
      </c>
      <c r="R173" s="84">
        <f t="shared" si="219"/>
        <v>18888.027330109744</v>
      </c>
      <c r="S173" s="84">
        <f t="shared" si="219"/>
        <v>0</v>
      </c>
      <c r="T173" s="84">
        <f t="shared" si="219"/>
        <v>0</v>
      </c>
      <c r="U173" s="84">
        <f t="shared" si="219"/>
        <v>0</v>
      </c>
      <c r="V173" s="84">
        <f t="shared" si="219"/>
        <v>0</v>
      </c>
      <c r="W173" s="84">
        <f t="shared" si="221"/>
        <v>0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17637.535076578835</v>
      </c>
      <c r="E174" s="84">
        <f t="shared" si="219"/>
        <v>17661.332215327777</v>
      </c>
      <c r="F174" s="84">
        <f t="shared" si="219"/>
        <v>17616.343774119647</v>
      </c>
      <c r="G174" s="84">
        <f t="shared" si="219"/>
        <v>17507.173527716277</v>
      </c>
      <c r="H174" s="84">
        <f t="shared" si="219"/>
        <v>17246.398569708654</v>
      </c>
      <c r="I174" s="84">
        <f t="shared" si="219"/>
        <v>17402.283488386598</v>
      </c>
      <c r="J174" s="84">
        <f t="shared" si="219"/>
        <v>17120.682413383667</v>
      </c>
      <c r="K174" s="84">
        <f t="shared" si="219"/>
        <v>17058.280305021679</v>
      </c>
      <c r="L174" s="84">
        <f t="shared" si="219"/>
        <v>16861.401067844643</v>
      </c>
      <c r="M174" s="84">
        <f t="shared" si="222"/>
        <v>16799.870213066431</v>
      </c>
      <c r="N174" s="84">
        <f t="shared" si="219"/>
        <v>16493.518900361636</v>
      </c>
      <c r="O174" s="84">
        <f t="shared" si="219"/>
        <v>16075.788689296116</v>
      </c>
      <c r="P174" s="84">
        <f t="shared" si="219"/>
        <v>16019.358350428129</v>
      </c>
      <c r="Q174" s="84">
        <f t="shared" si="219"/>
        <v>16102.217179330544</v>
      </c>
      <c r="R174" s="84">
        <f t="shared" si="219"/>
        <v>16217.841015862725</v>
      </c>
      <c r="S174" s="84">
        <f t="shared" si="219"/>
        <v>16173.436552118452</v>
      </c>
      <c r="T174" s="84">
        <f t="shared" si="219"/>
        <v>16227.436941253532</v>
      </c>
      <c r="U174" s="84">
        <f t="shared" si="219"/>
        <v>15812.099746821576</v>
      </c>
      <c r="V174" s="84">
        <f t="shared" si="219"/>
        <v>14627.01194619618</v>
      </c>
      <c r="W174" s="84">
        <f t="shared" si="221"/>
        <v>14738.697897850732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10899.413810357839</v>
      </c>
      <c r="K175" s="84">
        <f t="shared" si="219"/>
        <v>10857.704691824143</v>
      </c>
      <c r="L175" s="84">
        <f t="shared" si="219"/>
        <v>10726.162157046821</v>
      </c>
      <c r="M175" s="84">
        <f t="shared" si="222"/>
        <v>10685.066750759062</v>
      </c>
      <c r="N175" s="84">
        <f t="shared" si="219"/>
        <v>10480.572467888853</v>
      </c>
      <c r="O175" s="84">
        <f t="shared" si="219"/>
        <v>10202.037604651588</v>
      </c>
      <c r="P175" s="84">
        <f t="shared" si="219"/>
        <v>10164.438419584063</v>
      </c>
      <c r="Q175" s="84">
        <f t="shared" si="219"/>
        <v>10219.649014370834</v>
      </c>
      <c r="R175" s="84">
        <f t="shared" si="219"/>
        <v>10296.7153579473</v>
      </c>
      <c r="S175" s="84">
        <f t="shared" si="219"/>
        <v>10267.115348955798</v>
      </c>
      <c r="T175" s="84">
        <f t="shared" si="219"/>
        <v>10303.112533269297</v>
      </c>
      <c r="U175" s="84">
        <f t="shared" si="219"/>
        <v>10026.400290433536</v>
      </c>
      <c r="V175" s="84">
        <f t="shared" si="219"/>
        <v>9238.8818566047212</v>
      </c>
      <c r="W175" s="84">
        <f t="shared" si="221"/>
        <v>9312.9675483818137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17178.847070267504</v>
      </c>
      <c r="K176" s="84">
        <f t="shared" si="219"/>
        <v>17181.682175611251</v>
      </c>
      <c r="L176" s="84">
        <f t="shared" si="219"/>
        <v>17195.62936084067</v>
      </c>
      <c r="M176" s="84">
        <f t="shared" si="222"/>
        <v>17218.794622545487</v>
      </c>
      <c r="N176" s="84">
        <f t="shared" si="219"/>
        <v>17249.163695676758</v>
      </c>
      <c r="O176" s="84">
        <f t="shared" si="219"/>
        <v>17259.097880837555</v>
      </c>
      <c r="P176" s="84">
        <f t="shared" si="219"/>
        <v>17261.047555000354</v>
      </c>
      <c r="Q176" s="84">
        <f t="shared" si="219"/>
        <v>17277.174114827532</v>
      </c>
      <c r="R176" s="84">
        <f t="shared" si="219"/>
        <v>17275.887490970283</v>
      </c>
      <c r="S176" s="84">
        <f t="shared" si="219"/>
        <v>17272.513575758214</v>
      </c>
      <c r="T176" s="84">
        <f t="shared" si="219"/>
        <v>17271.467858020591</v>
      </c>
      <c r="U176" s="84">
        <f t="shared" si="219"/>
        <v>17261.400631168919</v>
      </c>
      <c r="V176" s="84">
        <f t="shared" si="219"/>
        <v>16664.034264176527</v>
      </c>
      <c r="W176" s="84">
        <f t="shared" si="221"/>
        <v>17252.929959444973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65547.617396129572</v>
      </c>
      <c r="C177" s="110">
        <f t="shared" si="219"/>
        <v>64883.277367609197</v>
      </c>
      <c r="D177" s="110">
        <f t="shared" si="219"/>
        <v>66152.858060372513</v>
      </c>
      <c r="E177" s="110">
        <f t="shared" si="219"/>
        <v>66438.655217581138</v>
      </c>
      <c r="F177" s="110">
        <f t="shared" si="219"/>
        <v>66271.46733981205</v>
      </c>
      <c r="G177" s="110">
        <f t="shared" si="219"/>
        <v>64999.628997551372</v>
      </c>
      <c r="H177" s="110">
        <f t="shared" si="219"/>
        <v>63915.561093601122</v>
      </c>
      <c r="I177" s="110">
        <f t="shared" si="219"/>
        <v>64459.280697200804</v>
      </c>
      <c r="J177" s="110">
        <f t="shared" si="219"/>
        <v>63232.892979070806</v>
      </c>
      <c r="K177" s="110">
        <f t="shared" si="219"/>
        <v>63572.601104312787</v>
      </c>
      <c r="L177" s="110">
        <f t="shared" si="219"/>
        <v>64802.245982460554</v>
      </c>
      <c r="M177" s="110">
        <f t="shared" si="222"/>
        <v>66142.338401636211</v>
      </c>
      <c r="N177" s="110">
        <f t="shared" si="219"/>
        <v>67553.373906326349</v>
      </c>
      <c r="O177" s="110">
        <f t="shared" si="219"/>
        <v>68879.193190758888</v>
      </c>
      <c r="P177" s="110">
        <f t="shared" si="219"/>
        <v>68492.171301923212</v>
      </c>
      <c r="Q177" s="110">
        <f t="shared" si="219"/>
        <v>69033.949961017788</v>
      </c>
      <c r="R177" s="110">
        <f t="shared" si="219"/>
        <v>70646.694512458591</v>
      </c>
      <c r="S177" s="110">
        <f t="shared" si="219"/>
        <v>68802.885282286021</v>
      </c>
      <c r="T177" s="110">
        <f t="shared" si="219"/>
        <v>69207.762398275037</v>
      </c>
      <c r="U177" s="110">
        <f t="shared" si="219"/>
        <v>66519.144370683294</v>
      </c>
      <c r="V177" s="110">
        <f t="shared" si="219"/>
        <v>67386.788256227752</v>
      </c>
      <c r="W177" s="110">
        <f t="shared" si="221"/>
        <v>65259.25108511735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57257.022097299661</v>
      </c>
      <c r="C178" s="102">
        <f t="shared" si="219"/>
        <v>57803.926920667087</v>
      </c>
      <c r="D178" s="102">
        <f t="shared" si="219"/>
        <v>60196.035921617055</v>
      </c>
      <c r="E178" s="102">
        <f t="shared" si="219"/>
        <v>61703.194545496517</v>
      </c>
      <c r="F178" s="102">
        <f t="shared" si="219"/>
        <v>62796.09162318625</v>
      </c>
      <c r="G178" s="102">
        <f t="shared" si="219"/>
        <v>60324.808022416706</v>
      </c>
      <c r="H178" s="102">
        <f t="shared" si="219"/>
        <v>58106.710632567549</v>
      </c>
      <c r="I178" s="102">
        <f t="shared" si="219"/>
        <v>57476.314290892151</v>
      </c>
      <c r="J178" s="102">
        <f t="shared" si="219"/>
        <v>55224.172358593161</v>
      </c>
      <c r="K178" s="102">
        <f t="shared" si="219"/>
        <v>54446.794973450909</v>
      </c>
      <c r="L178" s="102">
        <f t="shared" si="219"/>
        <v>54463.836366355201</v>
      </c>
      <c r="M178" s="102">
        <f t="shared" si="222"/>
        <v>54555.936900151028</v>
      </c>
      <c r="N178" s="102">
        <f t="shared" si="219"/>
        <v>54684.93762943818</v>
      </c>
      <c r="O178" s="102">
        <f t="shared" si="219"/>
        <v>54718.049338401805</v>
      </c>
      <c r="P178" s="102">
        <f t="shared" si="219"/>
        <v>53328.695687608895</v>
      </c>
      <c r="Q178" s="102">
        <f t="shared" si="219"/>
        <v>52717.361868469714</v>
      </c>
      <c r="R178" s="102">
        <f t="shared" si="219"/>
        <v>55091.477478880057</v>
      </c>
      <c r="S178" s="102">
        <f t="shared" si="219"/>
        <v>54654.400662738575</v>
      </c>
      <c r="T178" s="102">
        <f t="shared" si="219"/>
        <v>56091.993219999131</v>
      </c>
      <c r="U178" s="102">
        <f t="shared" si="219"/>
        <v>54882.322721423261</v>
      </c>
      <c r="V178" s="102">
        <f t="shared" si="219"/>
        <v>56746.902880808695</v>
      </c>
      <c r="W178" s="102">
        <f t="shared" si="221"/>
        <v>55964.551740721021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65830.919309368299</v>
      </c>
      <c r="C179" s="102">
        <f t="shared" si="219"/>
        <v>64997.387611618193</v>
      </c>
      <c r="D179" s="102">
        <f t="shared" si="219"/>
        <v>66113.176965676423</v>
      </c>
      <c r="E179" s="102">
        <f t="shared" si="219"/>
        <v>66264.425859065959</v>
      </c>
      <c r="F179" s="102">
        <f t="shared" si="219"/>
        <v>66098.028947829735</v>
      </c>
      <c r="G179" s="102">
        <f t="shared" si="219"/>
        <v>64325.762307456171</v>
      </c>
      <c r="H179" s="102">
        <f t="shared" si="219"/>
        <v>63460.065649080469</v>
      </c>
      <c r="I179" s="102">
        <f t="shared" si="219"/>
        <v>63767.46992886615</v>
      </c>
      <c r="J179" s="102">
        <f t="shared" si="219"/>
        <v>62104.51279248303</v>
      </c>
      <c r="K179" s="102">
        <f t="shared" si="219"/>
        <v>62249.70788553622</v>
      </c>
      <c r="L179" s="102">
        <f t="shared" si="219"/>
        <v>62903.84607111683</v>
      </c>
      <c r="M179" s="102">
        <f t="shared" si="222"/>
        <v>63203.678829223347</v>
      </c>
      <c r="N179" s="102">
        <f t="shared" si="219"/>
        <v>64693.717242126142</v>
      </c>
      <c r="O179" s="102">
        <f t="shared" si="219"/>
        <v>65900.517443007848</v>
      </c>
      <c r="P179" s="102">
        <f t="shared" si="219"/>
        <v>65871.137900685091</v>
      </c>
      <c r="Q179" s="102">
        <f t="shared" si="219"/>
        <v>66912.300349887257</v>
      </c>
      <c r="R179" s="102">
        <f t="shared" si="219"/>
        <v>69075.389353903753</v>
      </c>
      <c r="S179" s="102">
        <f t="shared" si="219"/>
        <v>67761.669717394063</v>
      </c>
      <c r="T179" s="102">
        <f t="shared" si="219"/>
        <v>68788.426492853032</v>
      </c>
      <c r="U179" s="102">
        <f t="shared" si="219"/>
        <v>66868.456772740043</v>
      </c>
      <c r="V179" s="102">
        <f t="shared" si="219"/>
        <v>68870.639617033376</v>
      </c>
      <c r="W179" s="102">
        <f t="shared" si="221"/>
        <v>67530.649169491764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67883.863913117792</v>
      </c>
      <c r="C181" s="102">
        <f t="shared" si="223"/>
        <v>69633.000512070605</v>
      </c>
      <c r="D181" s="102">
        <f t="shared" si="223"/>
        <v>73570.486777918515</v>
      </c>
      <c r="E181" s="102">
        <f t="shared" si="223"/>
        <v>76568.217591826469</v>
      </c>
      <c r="F181" s="102">
        <f t="shared" si="223"/>
        <v>73792.791722101683</v>
      </c>
      <c r="G181" s="102">
        <f t="shared" si="223"/>
        <v>75001.667437578406</v>
      </c>
      <c r="H181" s="102">
        <f t="shared" si="223"/>
        <v>76425.68384137559</v>
      </c>
      <c r="I181" s="102">
        <f t="shared" si="223"/>
        <v>79871.321333985048</v>
      </c>
      <c r="J181" s="102">
        <f t="shared" si="223"/>
        <v>81193.479389740183</v>
      </c>
      <c r="K181" s="102">
        <f t="shared" si="223"/>
        <v>78869.253871356661</v>
      </c>
      <c r="L181" s="102">
        <f t="shared" si="223"/>
        <v>83310.644862720772</v>
      </c>
      <c r="M181" s="102">
        <f t="shared" si="222"/>
        <v>88117.601887847777</v>
      </c>
      <c r="N181" s="102">
        <f t="shared" si="223"/>
        <v>86954.050884471479</v>
      </c>
      <c r="O181" s="102">
        <f t="shared" si="223"/>
        <v>85662.447025050307</v>
      </c>
      <c r="P181" s="102">
        <f t="shared" si="223"/>
        <v>82300.601489932844</v>
      </c>
      <c r="Q181" s="102">
        <f t="shared" si="223"/>
        <v>80146.479186088618</v>
      </c>
      <c r="R181" s="102">
        <f t="shared" si="223"/>
        <v>79148.171302645846</v>
      </c>
      <c r="S181" s="102">
        <f t="shared" si="223"/>
        <v>74384.595025130096</v>
      </c>
      <c r="T181" s="102">
        <f t="shared" si="223"/>
        <v>72203.537103980067</v>
      </c>
      <c r="U181" s="102">
        <f t="shared" si="223"/>
        <v>66969.588891157124</v>
      </c>
      <c r="V181" s="102">
        <f t="shared" si="223"/>
        <v>65468.599373879268</v>
      </c>
      <c r="W181" s="102">
        <f t="shared" si="221"/>
        <v>61182.566488978351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47280.072194674438</v>
      </c>
      <c r="C182" s="102">
        <f t="shared" si="223"/>
        <v>47376.498230647834</v>
      </c>
      <c r="D182" s="102">
        <f t="shared" si="223"/>
        <v>47560.46849261543</v>
      </c>
      <c r="E182" s="102">
        <f t="shared" si="223"/>
        <v>47601.49232232802</v>
      </c>
      <c r="F182" s="102">
        <f t="shared" si="223"/>
        <v>47625.485675866941</v>
      </c>
      <c r="G182" s="102">
        <f t="shared" si="223"/>
        <v>47810.420050210567</v>
      </c>
      <c r="H182" s="102">
        <f t="shared" si="223"/>
        <v>47971.512732518429</v>
      </c>
      <c r="I182" s="102">
        <f t="shared" si="223"/>
        <v>48052.853639196292</v>
      </c>
      <c r="J182" s="102">
        <f t="shared" si="223"/>
        <v>48237.819061666181</v>
      </c>
      <c r="K182" s="102">
        <f t="shared" si="223"/>
        <v>48289.53796081039</v>
      </c>
      <c r="L182" s="102">
        <f t="shared" si="223"/>
        <v>48474.916033699905</v>
      </c>
      <c r="M182" s="102">
        <f t="shared" si="222"/>
        <v>48673.76744623229</v>
      </c>
      <c r="N182" s="102">
        <f t="shared" si="223"/>
        <v>48879.692228180218</v>
      </c>
      <c r="O182" s="102">
        <f t="shared" si="223"/>
        <v>49070.068483659001</v>
      </c>
      <c r="P182" s="102">
        <f t="shared" si="223"/>
        <v>49125.39863463847</v>
      </c>
      <c r="Q182" s="102">
        <f t="shared" si="223"/>
        <v>49202.8710772384</v>
      </c>
      <c r="R182" s="102">
        <f t="shared" si="223"/>
        <v>48976.147563758146</v>
      </c>
      <c r="S182" s="102">
        <f t="shared" si="223"/>
        <v>48717.790295635677</v>
      </c>
      <c r="T182" s="102">
        <f t="shared" si="223"/>
        <v>48660.65497553406</v>
      </c>
      <c r="U182" s="102">
        <f t="shared" si="223"/>
        <v>48276.560348172032</v>
      </c>
      <c r="V182" s="102">
        <f t="shared" si="223"/>
        <v>47809.614499125149</v>
      </c>
      <c r="W182" s="102">
        <f t="shared" si="221"/>
        <v>48092.284296737911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15917.718818768823</v>
      </c>
      <c r="C183" s="28">
        <f t="shared" si="223"/>
        <v>16447.956950750351</v>
      </c>
      <c r="D183" s="28">
        <f t="shared" si="223"/>
        <v>16851.538409827415</v>
      </c>
      <c r="E183" s="28">
        <f t="shared" si="223"/>
        <v>17002.790999498859</v>
      </c>
      <c r="F183" s="28">
        <f t="shared" si="223"/>
        <v>17591.767019715888</v>
      </c>
      <c r="G183" s="28">
        <f t="shared" si="223"/>
        <v>16638.852178891724</v>
      </c>
      <c r="H183" s="28">
        <f t="shared" si="223"/>
        <v>16813.276310450939</v>
      </c>
      <c r="I183" s="28">
        <f t="shared" si="223"/>
        <v>16726.120926626681</v>
      </c>
      <c r="J183" s="28">
        <f t="shared" si="223"/>
        <v>16907.844755513735</v>
      </c>
      <c r="K183" s="28">
        <f t="shared" si="223"/>
        <v>16200.504824051757</v>
      </c>
      <c r="L183" s="28">
        <f t="shared" si="223"/>
        <v>16919.860081975814</v>
      </c>
      <c r="M183" s="28">
        <f t="shared" si="222"/>
        <v>16131.588770604352</v>
      </c>
      <c r="N183" s="28">
        <f t="shared" si="223"/>
        <v>15892.591479782917</v>
      </c>
      <c r="O183" s="28">
        <f t="shared" si="223"/>
        <v>16006.481597728423</v>
      </c>
      <c r="P183" s="28">
        <f t="shared" si="223"/>
        <v>16864.559731264893</v>
      </c>
      <c r="Q183" s="28">
        <f t="shared" si="223"/>
        <v>17223.580484635975</v>
      </c>
      <c r="R183" s="28">
        <f t="shared" si="223"/>
        <v>17060.628882509911</v>
      </c>
      <c r="S183" s="28">
        <f t="shared" si="223"/>
        <v>17351.560763175508</v>
      </c>
      <c r="T183" s="28">
        <f t="shared" si="223"/>
        <v>16969.242937411516</v>
      </c>
      <c r="U183" s="28">
        <f t="shared" si="223"/>
        <v>16728.002249341484</v>
      </c>
      <c r="V183" s="28">
        <f t="shared" si="223"/>
        <v>16630.093223684729</v>
      </c>
      <c r="W183" s="28">
        <f t="shared" si="221"/>
        <v>17021.746055515483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10780.76297354656</v>
      </c>
      <c r="C184" s="137">
        <f t="shared" si="223"/>
        <v>11808.75466765867</v>
      </c>
      <c r="D184" s="137">
        <f t="shared" si="223"/>
        <v>12280.398479572234</v>
      </c>
      <c r="E184" s="137">
        <f t="shared" si="223"/>
        <v>12742.197847732192</v>
      </c>
      <c r="F184" s="137">
        <f t="shared" si="223"/>
        <v>13361.344779551811</v>
      </c>
      <c r="G184" s="137">
        <f t="shared" si="223"/>
        <v>11969.079874812107</v>
      </c>
      <c r="H184" s="137">
        <f t="shared" si="223"/>
        <v>12350.500386069387</v>
      </c>
      <c r="I184" s="137">
        <f t="shared" si="223"/>
        <v>12226.8502757727</v>
      </c>
      <c r="J184" s="137">
        <f t="shared" si="223"/>
        <v>12339.80566214399</v>
      </c>
      <c r="K184" s="137">
        <f t="shared" si="223"/>
        <v>12255.911043783379</v>
      </c>
      <c r="L184" s="137">
        <f t="shared" si="223"/>
        <v>12912.804338221124</v>
      </c>
      <c r="M184" s="137">
        <f t="shared" si="222"/>
        <v>12519.657379280112</v>
      </c>
      <c r="N184" s="137">
        <f t="shared" si="223"/>
        <v>12673.935919128025</v>
      </c>
      <c r="O184" s="137">
        <f t="shared" si="223"/>
        <v>12564.826730923181</v>
      </c>
      <c r="P184" s="137">
        <f t="shared" si="223"/>
        <v>12559.501288244048</v>
      </c>
      <c r="Q184" s="137">
        <f t="shared" si="223"/>
        <v>12980.923096785413</v>
      </c>
      <c r="R184" s="137">
        <f t="shared" si="223"/>
        <v>12893.499001906262</v>
      </c>
      <c r="S184" s="137">
        <f t="shared" si="223"/>
        <v>13389.145879788199</v>
      </c>
      <c r="T184" s="137">
        <f t="shared" si="223"/>
        <v>12880.994867851332</v>
      </c>
      <c r="U184" s="137">
        <f t="shared" si="223"/>
        <v>12793.554043906637</v>
      </c>
      <c r="V184" s="137">
        <f t="shared" si="223"/>
        <v>12711.011882304068</v>
      </c>
      <c r="W184" s="137">
        <f t="shared" si="221"/>
        <v>12793.094783707525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7399.5271861953279</v>
      </c>
      <c r="C185" s="84">
        <f t="shared" si="223"/>
        <v>7537.3756566316015</v>
      </c>
      <c r="D185" s="84">
        <f t="shared" si="223"/>
        <v>7370.9313710336673</v>
      </c>
      <c r="E185" s="84">
        <f t="shared" si="223"/>
        <v>6965.7270420589739</v>
      </c>
      <c r="F185" s="84">
        <f t="shared" si="223"/>
        <v>6656.4031845514983</v>
      </c>
      <c r="G185" s="84">
        <f t="shared" si="223"/>
        <v>6588.7159306457661</v>
      </c>
      <c r="H185" s="84">
        <f t="shared" si="223"/>
        <v>6304.4513704683122</v>
      </c>
      <c r="I185" s="84">
        <f t="shared" si="223"/>
        <v>6291.1268081969911</v>
      </c>
      <c r="J185" s="84">
        <f t="shared" si="223"/>
        <v>6180.4697381760534</v>
      </c>
      <c r="K185" s="84">
        <f t="shared" si="223"/>
        <v>6067.9269085235728</v>
      </c>
      <c r="L185" s="84">
        <f t="shared" si="223"/>
        <v>5827.2489256288509</v>
      </c>
      <c r="M185" s="84">
        <f t="shared" si="222"/>
        <v>5907.6536778156042</v>
      </c>
      <c r="N185" s="84">
        <f t="shared" si="223"/>
        <v>5860.1232504774007</v>
      </c>
      <c r="O185" s="84">
        <f t="shared" si="223"/>
        <v>5804.8030817673034</v>
      </c>
      <c r="P185" s="84">
        <f t="shared" si="223"/>
        <v>5743.9321813548195</v>
      </c>
      <c r="Q185" s="84">
        <f t="shared" si="223"/>
        <v>6004.7684258702739</v>
      </c>
      <c r="R185" s="84">
        <f t="shared" si="223"/>
        <v>5381.036205121065</v>
      </c>
      <c r="S185" s="84">
        <f t="shared" si="223"/>
        <v>5029.2692832809435</v>
      </c>
      <c r="T185" s="84">
        <f t="shared" si="223"/>
        <v>5152.5546948587289</v>
      </c>
      <c r="U185" s="84">
        <f t="shared" si="223"/>
        <v>5263.1961938336599</v>
      </c>
      <c r="V185" s="84">
        <f t="shared" si="223"/>
        <v>5435.317164643061</v>
      </c>
      <c r="W185" s="84">
        <f t="shared" si="221"/>
        <v>6008.100160605286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15870.582807999243</v>
      </c>
      <c r="C186" s="84">
        <f t="shared" si="223"/>
        <v>16844.22944634641</v>
      </c>
      <c r="D186" s="84">
        <f t="shared" si="223"/>
        <v>17076.213401951423</v>
      </c>
      <c r="E186" s="84">
        <f t="shared" si="223"/>
        <v>17444.786070697231</v>
      </c>
      <c r="F186" s="84">
        <f t="shared" si="223"/>
        <v>17853.679014777492</v>
      </c>
      <c r="G186" s="84">
        <f t="shared" si="223"/>
        <v>14962.173032500204</v>
      </c>
      <c r="H186" s="84">
        <f t="shared" si="223"/>
        <v>15176.718886747136</v>
      </c>
      <c r="I186" s="84">
        <f t="shared" si="223"/>
        <v>14546.731856141241</v>
      </c>
      <c r="J186" s="84">
        <f t="shared" si="223"/>
        <v>14428.273247483043</v>
      </c>
      <c r="K186" s="84">
        <f t="shared" si="223"/>
        <v>14152.350715178829</v>
      </c>
      <c r="L186" s="84">
        <f t="shared" si="223"/>
        <v>14850.419933881278</v>
      </c>
      <c r="M186" s="84">
        <f t="shared" si="222"/>
        <v>14036.446108223721</v>
      </c>
      <c r="N186" s="84">
        <f t="shared" si="223"/>
        <v>14031.584568318991</v>
      </c>
      <c r="O186" s="84">
        <f t="shared" si="223"/>
        <v>13700.820642367289</v>
      </c>
      <c r="P186" s="84">
        <f t="shared" si="223"/>
        <v>13584.48917177172</v>
      </c>
      <c r="Q186" s="84">
        <f t="shared" si="223"/>
        <v>13911.589119916072</v>
      </c>
      <c r="R186" s="84">
        <f t="shared" si="223"/>
        <v>13779.387457207367</v>
      </c>
      <c r="S186" s="84">
        <f t="shared" si="223"/>
        <v>14283.150416301931</v>
      </c>
      <c r="T186" s="84">
        <f t="shared" si="223"/>
        <v>13686.852795107434</v>
      </c>
      <c r="U186" s="84">
        <f t="shared" si="223"/>
        <v>13565.575407748091</v>
      </c>
      <c r="V186" s="84">
        <f t="shared" si="223"/>
        <v>13466.438065357224</v>
      </c>
      <c r="W186" s="84">
        <f t="shared" si="221"/>
        <v>13509.047094793235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0</v>
      </c>
      <c r="T187" s="84">
        <f t="shared" si="223"/>
        <v>0</v>
      </c>
      <c r="U187" s="84">
        <f t="shared" si="223"/>
        <v>0</v>
      </c>
      <c r="V187" s="84">
        <f t="shared" si="223"/>
        <v>0</v>
      </c>
      <c r="W187" s="84">
        <f t="shared" si="221"/>
        <v>0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8134.8677594946157</v>
      </c>
      <c r="D188" s="84">
        <f t="shared" si="223"/>
        <v>8492.3676746433466</v>
      </c>
      <c r="E188" s="84">
        <f t="shared" si="223"/>
        <v>8844.3782787267901</v>
      </c>
      <c r="F188" s="84">
        <f t="shared" si="223"/>
        <v>9318.9046730543305</v>
      </c>
      <c r="G188" s="84">
        <f t="shared" si="223"/>
        <v>8256.162669712352</v>
      </c>
      <c r="H188" s="84">
        <f t="shared" si="223"/>
        <v>8543.156219280454</v>
      </c>
      <c r="I188" s="84">
        <f t="shared" si="223"/>
        <v>8448.5317690082356</v>
      </c>
      <c r="J188" s="84">
        <f t="shared" si="223"/>
        <v>8532.5102739031663</v>
      </c>
      <c r="K188" s="84">
        <f t="shared" si="223"/>
        <v>8463.8144295226211</v>
      </c>
      <c r="L188" s="84">
        <f t="shared" si="223"/>
        <v>8964.2949750319403</v>
      </c>
      <c r="M188" s="84">
        <f t="shared" si="222"/>
        <v>8663.0821986840765</v>
      </c>
      <c r="N188" s="84">
        <f t="shared" si="223"/>
        <v>8779.1811150939429</v>
      </c>
      <c r="O188" s="84">
        <f t="shared" si="223"/>
        <v>8695.5971955660389</v>
      </c>
      <c r="P188" s="84">
        <f t="shared" si="223"/>
        <v>8690.7338995175924</v>
      </c>
      <c r="Q188" s="84">
        <f t="shared" si="223"/>
        <v>9100.5366272354822</v>
      </c>
      <c r="R188" s="84">
        <f t="shared" si="223"/>
        <v>9150.1103810340446</v>
      </c>
      <c r="S188" s="84">
        <f t="shared" si="223"/>
        <v>9519.2686488331638</v>
      </c>
      <c r="T188" s="84">
        <f t="shared" si="223"/>
        <v>9113.7779598537472</v>
      </c>
      <c r="U188" s="84">
        <f t="shared" si="223"/>
        <v>9034.0903421959774</v>
      </c>
      <c r="V188" s="84">
        <f t="shared" si="223"/>
        <v>8862.3097242462718</v>
      </c>
      <c r="W188" s="84">
        <f t="shared" si="221"/>
        <v>8819.5427664895196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7554.0233717657948</v>
      </c>
      <c r="H189" s="84">
        <f t="shared" si="223"/>
        <v>7565.7654690585769</v>
      </c>
      <c r="I189" s="84">
        <f t="shared" si="223"/>
        <v>7569.5967276213505</v>
      </c>
      <c r="J189" s="84">
        <f t="shared" si="223"/>
        <v>7573.0006921829154</v>
      </c>
      <c r="K189" s="84">
        <f t="shared" si="223"/>
        <v>7575.7838184726616</v>
      </c>
      <c r="L189" s="84">
        <f t="shared" si="223"/>
        <v>7595.5926292778058</v>
      </c>
      <c r="M189" s="84">
        <f t="shared" si="222"/>
        <v>7607.402206416019</v>
      </c>
      <c r="N189" s="84">
        <f t="shared" si="223"/>
        <v>7612.006964731655</v>
      </c>
      <c r="O189" s="84">
        <f t="shared" si="223"/>
        <v>7615.3176301145577</v>
      </c>
      <c r="P189" s="84">
        <f t="shared" si="223"/>
        <v>7615.5112828482379</v>
      </c>
      <c r="Q189" s="84">
        <f t="shared" si="223"/>
        <v>7627.9921260559822</v>
      </c>
      <c r="R189" s="84">
        <f t="shared" si="223"/>
        <v>7626.4258544451377</v>
      </c>
      <c r="S189" s="84">
        <f t="shared" si="223"/>
        <v>7612.7272170082751</v>
      </c>
      <c r="T189" s="84">
        <f t="shared" si="223"/>
        <v>7597.6790507970936</v>
      </c>
      <c r="U189" s="84">
        <f t="shared" si="223"/>
        <v>7594.6467687483528</v>
      </c>
      <c r="V189" s="84">
        <f t="shared" si="223"/>
        <v>7547.4269857841482</v>
      </c>
      <c r="W189" s="84">
        <f t="shared" si="221"/>
        <v>7593.2541270969359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34953.936569902107</v>
      </c>
      <c r="C190" s="110">
        <f t="shared" si="223"/>
        <v>34910.016386662035</v>
      </c>
      <c r="D190" s="110">
        <f t="shared" si="223"/>
        <v>36150.407925995023</v>
      </c>
      <c r="E190" s="110">
        <f t="shared" si="223"/>
        <v>36040.161488471145</v>
      </c>
      <c r="F190" s="110">
        <f t="shared" si="223"/>
        <v>37033.94725915834</v>
      </c>
      <c r="G190" s="110">
        <f t="shared" si="223"/>
        <v>38965.890410012966</v>
      </c>
      <c r="H190" s="110">
        <f t="shared" si="223"/>
        <v>38372.537882411991</v>
      </c>
      <c r="I190" s="110">
        <f t="shared" si="223"/>
        <v>39168.700981037095</v>
      </c>
      <c r="J190" s="110">
        <f t="shared" si="223"/>
        <v>40451.871629527821</v>
      </c>
      <c r="K190" s="110">
        <f t="shared" si="223"/>
        <v>37194.119679628471</v>
      </c>
      <c r="L190" s="110">
        <f t="shared" si="223"/>
        <v>38274.150558393849</v>
      </c>
      <c r="M190" s="110">
        <f t="shared" si="222"/>
        <v>35909.750529756289</v>
      </c>
      <c r="N190" s="110">
        <f t="shared" si="223"/>
        <v>33348.088621950039</v>
      </c>
      <c r="O190" s="110">
        <f t="shared" si="223"/>
        <v>36385.593572291909</v>
      </c>
      <c r="P190" s="110">
        <f t="shared" si="223"/>
        <v>43289.841548425997</v>
      </c>
      <c r="Q190" s="110">
        <f t="shared" si="223"/>
        <v>43617.01895828019</v>
      </c>
      <c r="R190" s="110">
        <f t="shared" si="223"/>
        <v>43224.164886787628</v>
      </c>
      <c r="S190" s="110">
        <f t="shared" si="223"/>
        <v>42817.787537657023</v>
      </c>
      <c r="T190" s="110">
        <f t="shared" si="223"/>
        <v>43572.292417782541</v>
      </c>
      <c r="U190" s="110">
        <f t="shared" si="223"/>
        <v>43054.779859121292</v>
      </c>
      <c r="V190" s="110">
        <f t="shared" si="223"/>
        <v>43166.403958617659</v>
      </c>
      <c r="W190" s="110">
        <f t="shared" si="221"/>
        <v>45571.561798347182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30747.974968168397</v>
      </c>
      <c r="C191" s="102">
        <f t="shared" si="223"/>
        <v>30373.990823814514</v>
      </c>
      <c r="D191" s="102">
        <f t="shared" si="223"/>
        <v>31398.985336020571</v>
      </c>
      <c r="E191" s="102">
        <f t="shared" si="223"/>
        <v>31077.729752710267</v>
      </c>
      <c r="F191" s="102">
        <f t="shared" si="223"/>
        <v>31332.143208557653</v>
      </c>
      <c r="G191" s="102">
        <f t="shared" si="223"/>
        <v>33374.965306688871</v>
      </c>
      <c r="H191" s="102">
        <f t="shared" si="223"/>
        <v>32412.981426117072</v>
      </c>
      <c r="I191" s="102">
        <f t="shared" si="223"/>
        <v>33340.824663220657</v>
      </c>
      <c r="J191" s="102">
        <f t="shared" si="223"/>
        <v>34925.189038451223</v>
      </c>
      <c r="K191" s="102">
        <f t="shared" si="223"/>
        <v>32447.904127544607</v>
      </c>
      <c r="L191" s="102">
        <f t="shared" si="223"/>
        <v>33235.699287137715</v>
      </c>
      <c r="M191" s="102">
        <f t="shared" si="222"/>
        <v>30943.000409332788</v>
      </c>
      <c r="N191" s="102">
        <f t="shared" si="223"/>
        <v>28320.485277391635</v>
      </c>
      <c r="O191" s="102">
        <f t="shared" si="223"/>
        <v>30556.506263262374</v>
      </c>
      <c r="P191" s="102">
        <f t="shared" si="223"/>
        <v>38538.333196575586</v>
      </c>
      <c r="Q191" s="102">
        <f t="shared" si="223"/>
        <v>38250.321029480066</v>
      </c>
      <c r="R191" s="102">
        <f t="shared" si="223"/>
        <v>37568.543533502743</v>
      </c>
      <c r="S191" s="102">
        <f t="shared" si="223"/>
        <v>37305.889920058806</v>
      </c>
      <c r="T191" s="102">
        <f t="shared" si="223"/>
        <v>38162.325347370053</v>
      </c>
      <c r="U191" s="102">
        <f t="shared" si="223"/>
        <v>37921.710018027297</v>
      </c>
      <c r="V191" s="102">
        <f t="shared" si="223"/>
        <v>37881.999306331651</v>
      </c>
      <c r="W191" s="102">
        <f t="shared" si="221"/>
        <v>40141.991958878316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84995.728867983154</v>
      </c>
      <c r="C192" s="86">
        <f t="shared" si="223"/>
        <v>84996.548800479388</v>
      </c>
      <c r="D192" s="86">
        <f t="shared" si="223"/>
        <v>84998.807216608344</v>
      </c>
      <c r="E192" s="86">
        <f t="shared" si="223"/>
        <v>84995.004971480594</v>
      </c>
      <c r="F192" s="86">
        <f t="shared" si="223"/>
        <v>85003.677860362674</v>
      </c>
      <c r="G192" s="86">
        <f t="shared" si="223"/>
        <v>84999.032885508204</v>
      </c>
      <c r="H192" s="86">
        <f t="shared" si="223"/>
        <v>85000.011718755879</v>
      </c>
      <c r="I192" s="86">
        <f t="shared" si="223"/>
        <v>85003.390969453525</v>
      </c>
      <c r="J192" s="86">
        <f t="shared" si="223"/>
        <v>85002.201371581352</v>
      </c>
      <c r="K192" s="86">
        <f t="shared" si="223"/>
        <v>84998.989943282286</v>
      </c>
      <c r="L192" s="86">
        <f t="shared" si="223"/>
        <v>84996.209729986294</v>
      </c>
      <c r="M192" s="86">
        <f t="shared" si="222"/>
        <v>85003.27150765837</v>
      </c>
      <c r="N192" s="86">
        <f t="shared" si="223"/>
        <v>84994.752604152658</v>
      </c>
      <c r="O192" s="86">
        <f t="shared" si="223"/>
        <v>84996.814315306212</v>
      </c>
      <c r="P192" s="86">
        <f t="shared" si="223"/>
        <v>85004.308315625603</v>
      </c>
      <c r="Q192" s="86">
        <f t="shared" si="223"/>
        <v>85000.461682816851</v>
      </c>
      <c r="R192" s="86">
        <f t="shared" si="223"/>
        <v>84997.43452870319</v>
      </c>
      <c r="S192" s="86">
        <f t="shared" si="223"/>
        <v>85002.022257995544</v>
      </c>
      <c r="T192" s="86">
        <f t="shared" si="223"/>
        <v>84995.976858634371</v>
      </c>
      <c r="U192" s="86">
        <f t="shared" si="223"/>
        <v>84998.614440282894</v>
      </c>
      <c r="V192" s="86">
        <f t="shared" ref="V192:W192" si="224">IF(V55=0,0,V55*1000000/V82)</f>
        <v>85002.572876192062</v>
      </c>
      <c r="W192" s="86">
        <f t="shared" si="224"/>
        <v>85000.783927414406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26224.902194725226</v>
      </c>
      <c r="C195" s="28">
        <f t="shared" si="225"/>
        <v>26219.890446682981</v>
      </c>
      <c r="D195" s="28">
        <f t="shared" si="225"/>
        <v>26305.29289121928</v>
      </c>
      <c r="E195" s="28">
        <f t="shared" si="225"/>
        <v>26149.336785535812</v>
      </c>
      <c r="F195" s="28">
        <f t="shared" si="225"/>
        <v>26112.08045122867</v>
      </c>
      <c r="G195" s="28">
        <f t="shared" si="225"/>
        <v>25527.29744950806</v>
      </c>
      <c r="H195" s="28">
        <f t="shared" si="225"/>
        <v>25083.373549589527</v>
      </c>
      <c r="I195" s="28">
        <f t="shared" si="225"/>
        <v>25109.439317632226</v>
      </c>
      <c r="J195" s="28">
        <f t="shared" si="225"/>
        <v>24651.280446106692</v>
      </c>
      <c r="K195" s="28">
        <f t="shared" si="225"/>
        <v>24356.852849580169</v>
      </c>
      <c r="L195" s="28">
        <f t="shared" si="225"/>
        <v>24031.452357521728</v>
      </c>
      <c r="M195" s="28">
        <f>IF(M4=0,0,M4*1000000/M58)</f>
        <v>23925.720145672822</v>
      </c>
      <c r="N195" s="28">
        <f t="shared" ref="N195:V195" si="226">IF(N4=0,0,N4*1000000/N58)</f>
        <v>23359.828564103442</v>
      </c>
      <c r="O195" s="28">
        <f t="shared" si="226"/>
        <v>23071.811421509825</v>
      </c>
      <c r="P195" s="28">
        <f t="shared" si="226"/>
        <v>23012.661684401326</v>
      </c>
      <c r="Q195" s="28">
        <f t="shared" si="226"/>
        <v>22874.723565101303</v>
      </c>
      <c r="R195" s="28">
        <f t="shared" si="226"/>
        <v>19050.133531671661</v>
      </c>
      <c r="S195" s="28">
        <f t="shared" si="226"/>
        <v>19008.249603022363</v>
      </c>
      <c r="T195" s="28">
        <f t="shared" si="226"/>
        <v>19013.240513264729</v>
      </c>
      <c r="U195" s="28">
        <f t="shared" si="226"/>
        <v>18782.608794980319</v>
      </c>
      <c r="V195" s="28">
        <f t="shared" si="226"/>
        <v>17407.979975649345</v>
      </c>
      <c r="W195" s="28">
        <f t="shared" ref="W195" si="227">IF(W4=0,0,W4*1000000/W58)</f>
        <v>17076.92277629998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1550.6988110582618</v>
      </c>
      <c r="C196" s="137">
        <f t="shared" si="228"/>
        <v>1560.8914746240973</v>
      </c>
      <c r="D196" s="137">
        <f t="shared" si="228"/>
        <v>1594.448398111165</v>
      </c>
      <c r="E196" s="137">
        <f t="shared" si="228"/>
        <v>1623.5330628404852</v>
      </c>
      <c r="F196" s="137">
        <f t="shared" si="228"/>
        <v>1717.5525170234748</v>
      </c>
      <c r="G196" s="137">
        <f t="shared" si="228"/>
        <v>1574.2582355601585</v>
      </c>
      <c r="H196" s="137">
        <f t="shared" si="228"/>
        <v>1570.972621360801</v>
      </c>
      <c r="I196" s="137">
        <f t="shared" si="228"/>
        <v>1646.8586075928226</v>
      </c>
      <c r="J196" s="137">
        <f t="shared" si="228"/>
        <v>1523.1343812609839</v>
      </c>
      <c r="K196" s="137">
        <f t="shared" si="228"/>
        <v>1491.6898670169762</v>
      </c>
      <c r="L196" s="137">
        <f t="shared" si="228"/>
        <v>1423.6492458479815</v>
      </c>
      <c r="M196" s="137">
        <f>IF(M5=0,0,M5*1000000/M59)</f>
        <v>1356.6661717478737</v>
      </c>
      <c r="N196" s="137">
        <f t="shared" ref="N196:V196" si="229">IF(N5=0,0,N5*1000000/N59)</f>
        <v>1106.0628242088537</v>
      </c>
      <c r="O196" s="137">
        <f t="shared" si="229"/>
        <v>1195.8905174385784</v>
      </c>
      <c r="P196" s="137">
        <f t="shared" si="229"/>
        <v>1173.0956693735657</v>
      </c>
      <c r="Q196" s="137">
        <f t="shared" si="229"/>
        <v>1141.7769244420783</v>
      </c>
      <c r="R196" s="137">
        <f t="shared" si="229"/>
        <v>1160.5875253132938</v>
      </c>
      <c r="S196" s="137">
        <f t="shared" si="229"/>
        <v>1059.1885005596971</v>
      </c>
      <c r="T196" s="137">
        <f t="shared" si="229"/>
        <v>985.48936134199971</v>
      </c>
      <c r="U196" s="137">
        <f t="shared" si="229"/>
        <v>1022.5034131567996</v>
      </c>
      <c r="V196" s="137">
        <f t="shared" si="229"/>
        <v>896.65396352739856</v>
      </c>
      <c r="W196" s="137">
        <f t="shared" ref="W196" si="230">IF(W5=0,0,W5*1000000/W59)</f>
        <v>909.76202889336014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25925.958439778911</v>
      </c>
      <c r="C197" s="110">
        <f t="shared" si="231"/>
        <v>26082.395810128484</v>
      </c>
      <c r="D197" s="110">
        <f t="shared" si="231"/>
        <v>26370.628902858196</v>
      </c>
      <c r="E197" s="110">
        <f t="shared" si="231"/>
        <v>26329.601417073027</v>
      </c>
      <c r="F197" s="110">
        <f t="shared" si="231"/>
        <v>26338.780844490251</v>
      </c>
      <c r="G197" s="110">
        <f t="shared" si="231"/>
        <v>25994.972533971461</v>
      </c>
      <c r="H197" s="110">
        <f t="shared" si="231"/>
        <v>25728.963400707042</v>
      </c>
      <c r="I197" s="110">
        <f t="shared" si="231"/>
        <v>25886.104799716439</v>
      </c>
      <c r="J197" s="110">
        <f t="shared" si="231"/>
        <v>25580.506517767884</v>
      </c>
      <c r="K197" s="110">
        <f t="shared" si="231"/>
        <v>25325.187039509852</v>
      </c>
      <c r="L197" s="110">
        <f t="shared" si="231"/>
        <v>24919.960735331508</v>
      </c>
      <c r="M197" s="110">
        <f>IF(M6=0,0,M6*1000000/M60)</f>
        <v>24776.217758225044</v>
      </c>
      <c r="N197" s="110">
        <f t="shared" ref="N197:V197" si="232">IF(N6=0,0,N6*1000000/N60)</f>
        <v>24373.331697387217</v>
      </c>
      <c r="O197" s="110">
        <f t="shared" si="232"/>
        <v>24074.293528143837</v>
      </c>
      <c r="P197" s="110">
        <f t="shared" si="232"/>
        <v>24067.051891417275</v>
      </c>
      <c r="Q197" s="110">
        <f t="shared" si="232"/>
        <v>23969.416431841877</v>
      </c>
      <c r="R197" s="110">
        <f t="shared" si="232"/>
        <v>19662.439362468434</v>
      </c>
      <c r="S197" s="110">
        <f t="shared" si="232"/>
        <v>19699.58448430417</v>
      </c>
      <c r="T197" s="110">
        <f t="shared" si="232"/>
        <v>19783.247525297335</v>
      </c>
      <c r="U197" s="110">
        <f t="shared" si="232"/>
        <v>19565.936229056158</v>
      </c>
      <c r="V197" s="110">
        <f t="shared" si="232"/>
        <v>18246.136735168238</v>
      </c>
      <c r="W197" s="110">
        <f t="shared" ref="W197:W209" si="233">IF(W6=0,0,W6*1000000/W60)</f>
        <v>17940.709337123157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24250.735679493926</v>
      </c>
      <c r="C198" s="84">
        <f t="shared" si="231"/>
        <v>24476.386893137846</v>
      </c>
      <c r="D198" s="84">
        <f t="shared" si="231"/>
        <v>24761.417466716157</v>
      </c>
      <c r="E198" s="84">
        <f t="shared" si="231"/>
        <v>24694.986515684101</v>
      </c>
      <c r="F198" s="84">
        <f t="shared" si="231"/>
        <v>24653.226074978767</v>
      </c>
      <c r="G198" s="84">
        <f t="shared" si="231"/>
        <v>24147.018129062893</v>
      </c>
      <c r="H198" s="84">
        <f t="shared" si="231"/>
        <v>23613.487873393504</v>
      </c>
      <c r="I198" s="84">
        <f t="shared" si="231"/>
        <v>23194.963368003726</v>
      </c>
      <c r="J198" s="84">
        <f t="shared" si="231"/>
        <v>22417.566145838027</v>
      </c>
      <c r="K198" s="84">
        <f t="shared" si="231"/>
        <v>21726.723367858183</v>
      </c>
      <c r="L198" s="84">
        <f t="shared" si="231"/>
        <v>20609.775290047975</v>
      </c>
      <c r="M198" s="84">
        <f t="shared" ref="M198:M219" si="234">IF(M7=0,0,M7*1000000/M61)</f>
        <v>19499.45194531318</v>
      </c>
      <c r="N198" s="84">
        <f t="shared" si="231"/>
        <v>18297.412285624785</v>
      </c>
      <c r="O198" s="84">
        <f t="shared" si="231"/>
        <v>17545.696793730589</v>
      </c>
      <c r="P198" s="84">
        <f t="shared" si="231"/>
        <v>17023.117180310779</v>
      </c>
      <c r="Q198" s="84">
        <f t="shared" si="231"/>
        <v>16465.474140378676</v>
      </c>
      <c r="R198" s="84">
        <f t="shared" si="231"/>
        <v>13192.242667347498</v>
      </c>
      <c r="S198" s="84">
        <f t="shared" si="231"/>
        <v>13026.668061297243</v>
      </c>
      <c r="T198" s="84">
        <f t="shared" si="231"/>
        <v>12912.450324996489</v>
      </c>
      <c r="U198" s="84">
        <f t="shared" si="231"/>
        <v>12991.564642200123</v>
      </c>
      <c r="V198" s="84">
        <f t="shared" si="231"/>
        <v>12392.653265186034</v>
      </c>
      <c r="W198" s="84">
        <f t="shared" si="233"/>
        <v>12570.402237326116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58774.200900096454</v>
      </c>
      <c r="C199" s="84">
        <f t="shared" si="231"/>
        <v>59367.940853875793</v>
      </c>
      <c r="D199" s="84">
        <f t="shared" si="231"/>
        <v>59120.613133040373</v>
      </c>
      <c r="E199" s="84">
        <f t="shared" si="231"/>
        <v>58565.639462519815</v>
      </c>
      <c r="F199" s="84">
        <f t="shared" si="231"/>
        <v>58304.656962593908</v>
      </c>
      <c r="G199" s="84">
        <f t="shared" si="231"/>
        <v>59079.043910397326</v>
      </c>
      <c r="H199" s="84">
        <f t="shared" si="231"/>
        <v>57507.480152361364</v>
      </c>
      <c r="I199" s="84">
        <f t="shared" si="231"/>
        <v>55643.714938181867</v>
      </c>
      <c r="J199" s="84">
        <f t="shared" si="231"/>
        <v>54804.865985785502</v>
      </c>
      <c r="K199" s="84">
        <f t="shared" si="231"/>
        <v>52251.491004431853</v>
      </c>
      <c r="L199" s="84">
        <f t="shared" si="231"/>
        <v>49765.90774081547</v>
      </c>
      <c r="M199" s="84">
        <f t="shared" si="234"/>
        <v>48184.501151821707</v>
      </c>
      <c r="N199" s="84">
        <f t="shared" si="231"/>
        <v>45939.721194268583</v>
      </c>
      <c r="O199" s="84">
        <f t="shared" si="231"/>
        <v>43378.264970249875</v>
      </c>
      <c r="P199" s="84">
        <f t="shared" si="231"/>
        <v>41836.560110807819</v>
      </c>
      <c r="Q199" s="84">
        <f t="shared" si="231"/>
        <v>40336.41529606012</v>
      </c>
      <c r="R199" s="84">
        <f t="shared" si="231"/>
        <v>32187.908101126177</v>
      </c>
      <c r="S199" s="84">
        <f t="shared" si="231"/>
        <v>31568.99200730805</v>
      </c>
      <c r="T199" s="84">
        <f t="shared" si="231"/>
        <v>31439.954862070415</v>
      </c>
      <c r="U199" s="84">
        <f t="shared" si="231"/>
        <v>30426.14847312136</v>
      </c>
      <c r="V199" s="84">
        <f t="shared" si="231"/>
        <v>28029.716469133087</v>
      </c>
      <c r="W199" s="84">
        <f t="shared" si="233"/>
        <v>27077.856462173841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0</v>
      </c>
      <c r="C200" s="84">
        <f t="shared" si="231"/>
        <v>0</v>
      </c>
      <c r="D200" s="84">
        <f t="shared" si="231"/>
        <v>0</v>
      </c>
      <c r="E200" s="84">
        <f t="shared" si="231"/>
        <v>0</v>
      </c>
      <c r="F200" s="84">
        <f t="shared" si="231"/>
        <v>0</v>
      </c>
      <c r="G200" s="84">
        <f t="shared" si="231"/>
        <v>47858.644817329034</v>
      </c>
      <c r="H200" s="84">
        <f t="shared" si="231"/>
        <v>46188.664276197422</v>
      </c>
      <c r="I200" s="84">
        <f t="shared" si="231"/>
        <v>45198.69017131588</v>
      </c>
      <c r="J200" s="84">
        <f t="shared" si="231"/>
        <v>43753.35276457102</v>
      </c>
      <c r="K200" s="84">
        <f t="shared" si="231"/>
        <v>41751.053763404132</v>
      </c>
      <c r="L200" s="84">
        <f t="shared" si="231"/>
        <v>39470.478824607308</v>
      </c>
      <c r="M200" s="84">
        <f t="shared" si="234"/>
        <v>37938.82776327138</v>
      </c>
      <c r="N200" s="84">
        <f t="shared" si="231"/>
        <v>35922.136892066286</v>
      </c>
      <c r="O200" s="84">
        <f t="shared" si="231"/>
        <v>34355.010656956409</v>
      </c>
      <c r="P200" s="84">
        <f t="shared" si="231"/>
        <v>33524.729289241186</v>
      </c>
      <c r="Q200" s="84">
        <f t="shared" si="231"/>
        <v>32361.389043742318</v>
      </c>
      <c r="R200" s="84">
        <f t="shared" si="231"/>
        <v>25951.57610419752</v>
      </c>
      <c r="S200" s="84">
        <f t="shared" si="231"/>
        <v>0</v>
      </c>
      <c r="T200" s="84">
        <f t="shared" si="231"/>
        <v>0</v>
      </c>
      <c r="U200" s="84">
        <f t="shared" si="231"/>
        <v>0</v>
      </c>
      <c r="V200" s="84">
        <f t="shared" si="231"/>
        <v>0</v>
      </c>
      <c r="W200" s="84">
        <f t="shared" si="233"/>
        <v>0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38262.391847490399</v>
      </c>
      <c r="E201" s="84">
        <f t="shared" si="231"/>
        <v>37903.703083253655</v>
      </c>
      <c r="F201" s="84">
        <f t="shared" si="231"/>
        <v>37744.416049089341</v>
      </c>
      <c r="G201" s="84">
        <f t="shared" si="231"/>
        <v>38271.170997533096</v>
      </c>
      <c r="H201" s="84">
        <f t="shared" si="231"/>
        <v>37310.692259015457</v>
      </c>
      <c r="I201" s="84">
        <f t="shared" si="231"/>
        <v>36872.794148950314</v>
      </c>
      <c r="J201" s="84">
        <f t="shared" si="231"/>
        <v>36056.516226287567</v>
      </c>
      <c r="K201" s="84">
        <f t="shared" si="231"/>
        <v>34751.78351212859</v>
      </c>
      <c r="L201" s="84">
        <f t="shared" si="231"/>
        <v>33185.918441616115</v>
      </c>
      <c r="M201" s="84">
        <f t="shared" si="234"/>
        <v>32218.298847057275</v>
      </c>
      <c r="N201" s="84">
        <f t="shared" si="231"/>
        <v>30816.418334028014</v>
      </c>
      <c r="O201" s="84">
        <f t="shared" si="231"/>
        <v>29184.797886397704</v>
      </c>
      <c r="P201" s="84">
        <f t="shared" si="231"/>
        <v>28195.665417296175</v>
      </c>
      <c r="Q201" s="84">
        <f t="shared" si="231"/>
        <v>26943.686224738638</v>
      </c>
      <c r="R201" s="84">
        <f t="shared" si="231"/>
        <v>21733.331921135963</v>
      </c>
      <c r="S201" s="84">
        <f t="shared" si="231"/>
        <v>21333.859680845471</v>
      </c>
      <c r="T201" s="84">
        <f t="shared" si="231"/>
        <v>21251.351597189328</v>
      </c>
      <c r="U201" s="84">
        <f t="shared" si="231"/>
        <v>20583.420706424338</v>
      </c>
      <c r="V201" s="84">
        <f t="shared" si="231"/>
        <v>19011.523149819117</v>
      </c>
      <c r="W201" s="84">
        <f t="shared" si="233"/>
        <v>18317.695186929272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22954.39407269048</v>
      </c>
      <c r="K202" s="84">
        <f t="shared" si="231"/>
        <v>22119.732830150366</v>
      </c>
      <c r="L202" s="84">
        <f t="shared" si="231"/>
        <v>21110.792697656074</v>
      </c>
      <c r="M202" s="84">
        <f t="shared" si="234"/>
        <v>20491.507934922014</v>
      </c>
      <c r="N202" s="84">
        <f t="shared" si="231"/>
        <v>19581.855606536315</v>
      </c>
      <c r="O202" s="84">
        <f t="shared" si="231"/>
        <v>18521.293808709699</v>
      </c>
      <c r="P202" s="84">
        <f t="shared" si="231"/>
        <v>17890.423484136842</v>
      </c>
      <c r="Q202" s="84">
        <f t="shared" si="231"/>
        <v>17100.44109475955</v>
      </c>
      <c r="R202" s="84">
        <f t="shared" si="231"/>
        <v>13798.503287388568</v>
      </c>
      <c r="S202" s="84">
        <f t="shared" si="231"/>
        <v>13543.02145223351</v>
      </c>
      <c r="T202" s="84">
        <f t="shared" si="231"/>
        <v>13492.892795243864</v>
      </c>
      <c r="U202" s="84">
        <f t="shared" si="231"/>
        <v>13051.879171866029</v>
      </c>
      <c r="V202" s="84">
        <f t="shared" si="231"/>
        <v>12008.277352980615</v>
      </c>
      <c r="W202" s="84">
        <f t="shared" si="233"/>
        <v>11574.43500228732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33568.15566205098</v>
      </c>
      <c r="K203" s="84">
        <f t="shared" si="231"/>
        <v>32477.179676608495</v>
      </c>
      <c r="L203" s="84">
        <f t="shared" si="231"/>
        <v>31401.40163014568</v>
      </c>
      <c r="M203" s="84">
        <f t="shared" si="234"/>
        <v>30638.690540524603</v>
      </c>
      <c r="N203" s="84">
        <f t="shared" si="231"/>
        <v>29902.510905362691</v>
      </c>
      <c r="O203" s="84">
        <f t="shared" si="231"/>
        <v>29071.890089339195</v>
      </c>
      <c r="P203" s="84">
        <f t="shared" si="231"/>
        <v>28188.707035354793</v>
      </c>
      <c r="Q203" s="84">
        <f t="shared" si="231"/>
        <v>26823.461236407016</v>
      </c>
      <c r="R203" s="84">
        <f t="shared" si="231"/>
        <v>21480.50149022022</v>
      </c>
      <c r="S203" s="84">
        <f t="shared" si="231"/>
        <v>21139.438280555696</v>
      </c>
      <c r="T203" s="84">
        <f t="shared" si="231"/>
        <v>20986.337378560915</v>
      </c>
      <c r="U203" s="84">
        <f t="shared" si="231"/>
        <v>20848.49995642632</v>
      </c>
      <c r="V203" s="84">
        <f t="shared" si="231"/>
        <v>20096.120294023716</v>
      </c>
      <c r="W203" s="84">
        <f t="shared" si="233"/>
        <v>19895.064213682806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639800.23583269748</v>
      </c>
      <c r="C204" s="110">
        <f t="shared" si="231"/>
        <v>647199.21381440421</v>
      </c>
      <c r="D204" s="110">
        <f t="shared" si="231"/>
        <v>664097.62363519589</v>
      </c>
      <c r="E204" s="110">
        <f t="shared" si="231"/>
        <v>678722.16562363552</v>
      </c>
      <c r="F204" s="110">
        <f t="shared" si="231"/>
        <v>692584.000598668</v>
      </c>
      <c r="G204" s="110">
        <f t="shared" si="231"/>
        <v>686651.33189879055</v>
      </c>
      <c r="H204" s="110">
        <f t="shared" si="231"/>
        <v>684013.77996041928</v>
      </c>
      <c r="I204" s="110">
        <f t="shared" si="231"/>
        <v>707322.56853173103</v>
      </c>
      <c r="J204" s="110">
        <f t="shared" si="231"/>
        <v>680347.3356093216</v>
      </c>
      <c r="K204" s="110">
        <f t="shared" si="231"/>
        <v>689374.72019101621</v>
      </c>
      <c r="L204" s="110">
        <f t="shared" si="231"/>
        <v>675944.62070954719</v>
      </c>
      <c r="M204" s="110">
        <f t="shared" si="234"/>
        <v>691938.02897719119</v>
      </c>
      <c r="N204" s="110">
        <f t="shared" si="231"/>
        <v>670775.51595407468</v>
      </c>
      <c r="O204" s="110">
        <f t="shared" si="231"/>
        <v>694084.82941134402</v>
      </c>
      <c r="P204" s="110">
        <f t="shared" si="231"/>
        <v>693000.64345463645</v>
      </c>
      <c r="Q204" s="110">
        <f t="shared" si="231"/>
        <v>696591.00143455598</v>
      </c>
      <c r="R204" s="110">
        <f t="shared" si="231"/>
        <v>709491.57424744358</v>
      </c>
      <c r="S204" s="110">
        <f t="shared" si="231"/>
        <v>692120.9599112221</v>
      </c>
      <c r="T204" s="110">
        <f t="shared" si="231"/>
        <v>694442.51234610833</v>
      </c>
      <c r="U204" s="110">
        <f t="shared" si="231"/>
        <v>674646.28176758531</v>
      </c>
      <c r="V204" s="110">
        <f t="shared" si="231"/>
        <v>667259.7864768682</v>
      </c>
      <c r="W204" s="110">
        <f t="shared" si="233"/>
        <v>653203.85492532921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365037.40209236497</v>
      </c>
      <c r="C205" s="102">
        <f t="shared" si="231"/>
        <v>368999.8671182915</v>
      </c>
      <c r="D205" s="102">
        <f t="shared" si="231"/>
        <v>384418.44896620425</v>
      </c>
      <c r="E205" s="102">
        <f t="shared" si="231"/>
        <v>394463.23566651886</v>
      </c>
      <c r="F205" s="102">
        <f t="shared" si="231"/>
        <v>402017.46707975847</v>
      </c>
      <c r="G205" s="102">
        <f t="shared" si="231"/>
        <v>386459.11215976562</v>
      </c>
      <c r="H205" s="102">
        <f t="shared" si="231"/>
        <v>372557.51077948784</v>
      </c>
      <c r="I205" s="102">
        <f t="shared" si="231"/>
        <v>369115.47418201232</v>
      </c>
      <c r="J205" s="102">
        <f t="shared" si="231"/>
        <v>354198.04913942574</v>
      </c>
      <c r="K205" s="102">
        <f t="shared" si="231"/>
        <v>349389.0552668391</v>
      </c>
      <c r="L205" s="102">
        <f t="shared" si="231"/>
        <v>348633.24449157401</v>
      </c>
      <c r="M205" s="102">
        <f t="shared" si="234"/>
        <v>349286.72329135268</v>
      </c>
      <c r="N205" s="102">
        <f t="shared" si="231"/>
        <v>348994.14734492451</v>
      </c>
      <c r="O205" s="102">
        <f t="shared" si="231"/>
        <v>349515.4192343349</v>
      </c>
      <c r="P205" s="102">
        <f t="shared" si="231"/>
        <v>340725.14695767494</v>
      </c>
      <c r="Q205" s="102">
        <f t="shared" si="231"/>
        <v>336763.6920016096</v>
      </c>
      <c r="R205" s="102">
        <f t="shared" si="231"/>
        <v>351828.61223162455</v>
      </c>
      <c r="S205" s="102">
        <f t="shared" si="231"/>
        <v>349072.35094500578</v>
      </c>
      <c r="T205" s="102">
        <f t="shared" si="231"/>
        <v>358199.52253253717</v>
      </c>
      <c r="U205" s="102">
        <f t="shared" si="231"/>
        <v>350702.55329892732</v>
      </c>
      <c r="V205" s="102">
        <f t="shared" si="231"/>
        <v>362093.12125378073</v>
      </c>
      <c r="W205" s="102">
        <f t="shared" si="233"/>
        <v>357332.30234400503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649830.05398389441</v>
      </c>
      <c r="C206" s="102">
        <f t="shared" si="231"/>
        <v>654725.96713863802</v>
      </c>
      <c r="D206" s="102">
        <f t="shared" si="231"/>
        <v>669085.85225008393</v>
      </c>
      <c r="E206" s="102">
        <f t="shared" si="231"/>
        <v>681455.37265014858</v>
      </c>
      <c r="F206" s="102">
        <f t="shared" si="231"/>
        <v>694465.19435944385</v>
      </c>
      <c r="G206" s="102">
        <f t="shared" si="231"/>
        <v>682173.71095670143</v>
      </c>
      <c r="H206" s="102">
        <f t="shared" si="231"/>
        <v>681370.63517250284</v>
      </c>
      <c r="I206" s="102">
        <f t="shared" si="231"/>
        <v>701746.90027579339</v>
      </c>
      <c r="J206" s="102">
        <f t="shared" si="231"/>
        <v>669754.85029362375</v>
      </c>
      <c r="K206" s="102">
        <f t="shared" si="231"/>
        <v>676481.03931442578</v>
      </c>
      <c r="L206" s="102">
        <f t="shared" si="231"/>
        <v>656666.02770280384</v>
      </c>
      <c r="M206" s="102">
        <f t="shared" si="234"/>
        <v>662124.86319376458</v>
      </c>
      <c r="N206" s="102">
        <f t="shared" si="231"/>
        <v>643049.73819706647</v>
      </c>
      <c r="O206" s="102">
        <f t="shared" si="231"/>
        <v>664775.7659002142</v>
      </c>
      <c r="P206" s="102">
        <f t="shared" si="231"/>
        <v>667152.95136399451</v>
      </c>
      <c r="Q206" s="102">
        <f t="shared" si="231"/>
        <v>675800.7209600705</v>
      </c>
      <c r="R206" s="102">
        <f t="shared" si="231"/>
        <v>694408.20225504262</v>
      </c>
      <c r="S206" s="102">
        <f t="shared" si="231"/>
        <v>682292.96545784897</v>
      </c>
      <c r="T206" s="102">
        <f t="shared" si="231"/>
        <v>690873.07647483889</v>
      </c>
      <c r="U206" s="102">
        <f t="shared" si="231"/>
        <v>678759.45850072149</v>
      </c>
      <c r="V206" s="102">
        <f t="shared" si="231"/>
        <v>682544.69938998658</v>
      </c>
      <c r="W206" s="102">
        <f t="shared" si="233"/>
        <v>676496.27639168256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670095.07711703843</v>
      </c>
      <c r="C208" s="102">
        <f t="shared" si="231"/>
        <v>701421.01521756314</v>
      </c>
      <c r="D208" s="102">
        <f t="shared" si="231"/>
        <v>744556.14002353814</v>
      </c>
      <c r="E208" s="102">
        <f t="shared" si="231"/>
        <v>787418.32553065207</v>
      </c>
      <c r="F208" s="102">
        <f t="shared" si="231"/>
        <v>775310.94741211541</v>
      </c>
      <c r="G208" s="102">
        <f t="shared" si="231"/>
        <v>795391.5191752445</v>
      </c>
      <c r="H208" s="102">
        <f t="shared" si="231"/>
        <v>820582.45937609626</v>
      </c>
      <c r="I208" s="102">
        <f t="shared" si="231"/>
        <v>878966.22258308344</v>
      </c>
      <c r="J208" s="102">
        <f t="shared" si="231"/>
        <v>875616.34715981293</v>
      </c>
      <c r="K208" s="102">
        <f t="shared" si="231"/>
        <v>857089.24011264974</v>
      </c>
      <c r="L208" s="102">
        <f t="shared" si="231"/>
        <v>869696.74581601529</v>
      </c>
      <c r="M208" s="102">
        <f t="shared" si="234"/>
        <v>923124.35250172566</v>
      </c>
      <c r="N208" s="102">
        <f t="shared" si="231"/>
        <v>864315.45504118141</v>
      </c>
      <c r="O208" s="102">
        <f t="shared" si="231"/>
        <v>864125.51888098172</v>
      </c>
      <c r="P208" s="102">
        <f t="shared" si="231"/>
        <v>833553.06941599981</v>
      </c>
      <c r="Q208" s="102">
        <f t="shared" si="231"/>
        <v>809463.25463553169</v>
      </c>
      <c r="R208" s="102">
        <f t="shared" si="231"/>
        <v>795668.9040789078</v>
      </c>
      <c r="S208" s="102">
        <f t="shared" si="231"/>
        <v>748979.27007618232</v>
      </c>
      <c r="T208" s="102">
        <f t="shared" si="231"/>
        <v>725172.56687903276</v>
      </c>
      <c r="U208" s="102">
        <f t="shared" si="231"/>
        <v>679786.01698953344</v>
      </c>
      <c r="V208" s="102">
        <f t="shared" si="231"/>
        <v>648828.66962769034</v>
      </c>
      <c r="W208" s="102">
        <f t="shared" si="233"/>
        <v>612903.60627214308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466710.96483161877</v>
      </c>
      <c r="C209" s="102">
        <f t="shared" si="231"/>
        <v>477228.77431705175</v>
      </c>
      <c r="D209" s="102">
        <f t="shared" si="231"/>
        <v>481326.68940286606</v>
      </c>
      <c r="E209" s="102">
        <f t="shared" si="231"/>
        <v>489528.0124845024</v>
      </c>
      <c r="F209" s="102">
        <f t="shared" si="231"/>
        <v>500381.67087340669</v>
      </c>
      <c r="G209" s="102">
        <f t="shared" si="231"/>
        <v>507028.76263108547</v>
      </c>
      <c r="H209" s="102">
        <f t="shared" si="231"/>
        <v>515070.06440065842</v>
      </c>
      <c r="I209" s="102">
        <f t="shared" si="231"/>
        <v>528811.02430955367</v>
      </c>
      <c r="J209" s="102">
        <f t="shared" si="231"/>
        <v>520212.00765377493</v>
      </c>
      <c r="K209" s="102">
        <f t="shared" si="231"/>
        <v>524772.85335715814</v>
      </c>
      <c r="L209" s="102">
        <f t="shared" si="231"/>
        <v>506039.49588533503</v>
      </c>
      <c r="M209" s="102">
        <f t="shared" si="234"/>
        <v>509908.79341916449</v>
      </c>
      <c r="N209" s="102">
        <f t="shared" si="231"/>
        <v>485859.75007194484</v>
      </c>
      <c r="O209" s="102">
        <f t="shared" si="231"/>
        <v>494997.51481027983</v>
      </c>
      <c r="P209" s="102">
        <f t="shared" si="231"/>
        <v>497549.54492278362</v>
      </c>
      <c r="Q209" s="102">
        <f t="shared" si="231"/>
        <v>496939.06162888528</v>
      </c>
      <c r="R209" s="102">
        <f t="shared" si="231"/>
        <v>492352.47026812384</v>
      </c>
      <c r="S209" s="102">
        <f t="shared" si="231"/>
        <v>490539.94315654226</v>
      </c>
      <c r="T209" s="102">
        <f t="shared" si="231"/>
        <v>488720.82296752016</v>
      </c>
      <c r="U209" s="102">
        <f t="shared" si="231"/>
        <v>490039.30315857235</v>
      </c>
      <c r="V209" s="102">
        <f t="shared" si="231"/>
        <v>473818.72939925146</v>
      </c>
      <c r="W209" s="102">
        <f t="shared" si="233"/>
        <v>481770.15399714763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105330.63331161845</v>
      </c>
      <c r="C210" s="28">
        <f t="shared" si="231"/>
        <v>97394.642124372811</v>
      </c>
      <c r="D210" s="28">
        <f t="shared" si="231"/>
        <v>100124.46920094888</v>
      </c>
      <c r="E210" s="28">
        <f t="shared" si="231"/>
        <v>96774.125988137224</v>
      </c>
      <c r="F210" s="28">
        <f t="shared" ref="B210:V219" si="235">IF(F19=0,0,F19*1000000/F73)</f>
        <v>98461.074269314646</v>
      </c>
      <c r="G210" s="28">
        <f t="shared" si="235"/>
        <v>98877.627570883662</v>
      </c>
      <c r="H210" s="28">
        <f t="shared" si="235"/>
        <v>98652.962517371023</v>
      </c>
      <c r="I210" s="28">
        <f t="shared" si="235"/>
        <v>96309.662501255167</v>
      </c>
      <c r="J210" s="28">
        <f t="shared" si="235"/>
        <v>97237.573460798521</v>
      </c>
      <c r="K210" s="28">
        <f t="shared" si="235"/>
        <v>80976.182124132043</v>
      </c>
      <c r="L210" s="28">
        <f t="shared" si="235"/>
        <v>83573.04333186592</v>
      </c>
      <c r="M210" s="28">
        <f t="shared" si="234"/>
        <v>79527.289869447792</v>
      </c>
      <c r="N210" s="28">
        <f t="shared" si="235"/>
        <v>73586.385289774858</v>
      </c>
      <c r="O210" s="28">
        <f t="shared" si="235"/>
        <v>75424.964204911972</v>
      </c>
      <c r="P210" s="28">
        <f t="shared" si="235"/>
        <v>86628.108171426851</v>
      </c>
      <c r="Q210" s="28">
        <f t="shared" si="235"/>
        <v>85473.684823681077</v>
      </c>
      <c r="R210" s="28">
        <f t="shared" si="235"/>
        <v>85668.580328351774</v>
      </c>
      <c r="S210" s="28">
        <f t="shared" si="235"/>
        <v>81683.333653743903</v>
      </c>
      <c r="T210" s="28">
        <f t="shared" si="235"/>
        <v>83068.208373628178</v>
      </c>
      <c r="U210" s="28">
        <f t="shared" si="235"/>
        <v>79567.209146881214</v>
      </c>
      <c r="V210" s="28">
        <f t="shared" si="235"/>
        <v>79519.379865256298</v>
      </c>
      <c r="W210" s="28">
        <f t="shared" ref="W210" si="236">IF(W19=0,0,W19*1000000/W73)</f>
        <v>85977.039129212324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2352.5333651665278</v>
      </c>
      <c r="C211" s="137">
        <f t="shared" si="235"/>
        <v>2596.0661138322835</v>
      </c>
      <c r="D211" s="137">
        <f t="shared" si="235"/>
        <v>2729.1576999695867</v>
      </c>
      <c r="E211" s="137">
        <f t="shared" si="235"/>
        <v>2862.6088647461756</v>
      </c>
      <c r="F211" s="137">
        <f t="shared" si="235"/>
        <v>3024.2464496933312</v>
      </c>
      <c r="G211" s="137">
        <f t="shared" si="235"/>
        <v>2793.1839359015589</v>
      </c>
      <c r="H211" s="137">
        <f t="shared" si="235"/>
        <v>2901.0888147062442</v>
      </c>
      <c r="I211" s="137">
        <f t="shared" si="235"/>
        <v>2905.100782135868</v>
      </c>
      <c r="J211" s="137">
        <f t="shared" si="235"/>
        <v>2948.7772366160771</v>
      </c>
      <c r="K211" s="137">
        <f t="shared" si="235"/>
        <v>2946.6122329621844</v>
      </c>
      <c r="L211" s="137">
        <f t="shared" si="235"/>
        <v>3091.8586622725925</v>
      </c>
      <c r="M211" s="137">
        <f t="shared" si="234"/>
        <v>3034.2531994275469</v>
      </c>
      <c r="N211" s="137">
        <f t="shared" si="235"/>
        <v>3079.2619298645814</v>
      </c>
      <c r="O211" s="137">
        <f t="shared" si="235"/>
        <v>3073.6201123546603</v>
      </c>
      <c r="P211" s="137">
        <f t="shared" si="235"/>
        <v>3081.9181576414353</v>
      </c>
      <c r="Q211" s="137">
        <f t="shared" si="235"/>
        <v>3173.0831302133106</v>
      </c>
      <c r="R211" s="137">
        <f t="shared" si="235"/>
        <v>3166.516287354525</v>
      </c>
      <c r="S211" s="137">
        <f t="shared" si="235"/>
        <v>3271.2260758374255</v>
      </c>
      <c r="T211" s="137">
        <f t="shared" si="235"/>
        <v>3169.4958265692258</v>
      </c>
      <c r="U211" s="137">
        <f t="shared" si="235"/>
        <v>3152.3169799166403</v>
      </c>
      <c r="V211" s="137">
        <f t="shared" si="235"/>
        <v>3134.3197940834489</v>
      </c>
      <c r="W211" s="137">
        <f t="shared" ref="W211" si="237">IF(W20=0,0,W20*1000000/W74)</f>
        <v>3148.0519960582888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1372.7322660828363</v>
      </c>
      <c r="C212" s="84">
        <f t="shared" si="235"/>
        <v>1393.1529353621954</v>
      </c>
      <c r="D212" s="84">
        <f t="shared" si="235"/>
        <v>1368.4866335495039</v>
      </c>
      <c r="E212" s="84">
        <f t="shared" si="235"/>
        <v>1307.96411091354</v>
      </c>
      <c r="F212" s="84">
        <f t="shared" si="235"/>
        <v>1261.2882837739587</v>
      </c>
      <c r="G212" s="84">
        <f t="shared" si="235"/>
        <v>1251.0172341637299</v>
      </c>
      <c r="H212" s="84">
        <f t="shared" si="235"/>
        <v>1207.6483855043557</v>
      </c>
      <c r="I212" s="84">
        <f t="shared" si="235"/>
        <v>1205.6060457049557</v>
      </c>
      <c r="J212" s="84">
        <f t="shared" si="235"/>
        <v>1188.6112958850194</v>
      </c>
      <c r="K212" s="84">
        <f t="shared" si="235"/>
        <v>1171.2643868712071</v>
      </c>
      <c r="L212" s="84">
        <f t="shared" si="235"/>
        <v>1133.9489994974706</v>
      </c>
      <c r="M212" s="84">
        <f t="shared" si="234"/>
        <v>1146.4488634823645</v>
      </c>
      <c r="N212" s="84">
        <f t="shared" si="235"/>
        <v>1139.0638419001577</v>
      </c>
      <c r="O212" s="84">
        <f t="shared" si="235"/>
        <v>1130.4533861651585</v>
      </c>
      <c r="P212" s="84">
        <f t="shared" si="235"/>
        <v>1120.9599818973481</v>
      </c>
      <c r="Q212" s="84">
        <f t="shared" si="235"/>
        <v>1161.5012367557374</v>
      </c>
      <c r="R212" s="84">
        <f t="shared" si="235"/>
        <v>1063.9357375743316</v>
      </c>
      <c r="S212" s="84">
        <f t="shared" si="235"/>
        <v>1007.9211944730084</v>
      </c>
      <c r="T212" s="84">
        <f t="shared" si="235"/>
        <v>1027.6394173588528</v>
      </c>
      <c r="U212" s="84">
        <f t="shared" si="235"/>
        <v>1045.2551433480351</v>
      </c>
      <c r="V212" s="84">
        <f t="shared" si="235"/>
        <v>1072.5130342521213</v>
      </c>
      <c r="W212" s="84">
        <f t="shared" ref="W212" si="238">IF(W21=0,0,W21*1000000/W75)</f>
        <v>1162.0167736187821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3827.4411744918875</v>
      </c>
      <c r="C213" s="84">
        <f t="shared" si="235"/>
        <v>4014.1642896764915</v>
      </c>
      <c r="D213" s="84">
        <f t="shared" si="235"/>
        <v>4058.3311644189771</v>
      </c>
      <c r="E213" s="84">
        <f t="shared" si="235"/>
        <v>4128.2571579554933</v>
      </c>
      <c r="F213" s="84">
        <f t="shared" si="235"/>
        <v>4205.4880397826337</v>
      </c>
      <c r="G213" s="84">
        <f t="shared" si="235"/>
        <v>3651.1524139344301</v>
      </c>
      <c r="H213" s="84">
        <f t="shared" si="235"/>
        <v>3692.9764327567791</v>
      </c>
      <c r="I213" s="84">
        <f t="shared" si="235"/>
        <v>3569.8220764291464</v>
      </c>
      <c r="J213" s="84">
        <f t="shared" si="235"/>
        <v>3546.5469298955431</v>
      </c>
      <c r="K213" s="84">
        <f t="shared" si="235"/>
        <v>3492.1837746298629</v>
      </c>
      <c r="L213" s="84">
        <f t="shared" si="235"/>
        <v>3629.3195816750144</v>
      </c>
      <c r="M213" s="84">
        <f t="shared" si="234"/>
        <v>3469.2848074455865</v>
      </c>
      <c r="N213" s="84">
        <f t="shared" si="235"/>
        <v>3468.3235013918224</v>
      </c>
      <c r="O213" s="84">
        <f t="shared" si="235"/>
        <v>3402.7613324925615</v>
      </c>
      <c r="P213" s="84">
        <f t="shared" si="235"/>
        <v>3379.6277993697649</v>
      </c>
      <c r="Q213" s="84">
        <f t="shared" si="235"/>
        <v>3444.5747841008115</v>
      </c>
      <c r="R213" s="84">
        <f t="shared" si="235"/>
        <v>3418.3628016103066</v>
      </c>
      <c r="S213" s="84">
        <f t="shared" si="235"/>
        <v>3517.9805339779941</v>
      </c>
      <c r="T213" s="84">
        <f t="shared" si="235"/>
        <v>3399.985784993291</v>
      </c>
      <c r="U213" s="84">
        <f t="shared" si="235"/>
        <v>3375.8628944602046</v>
      </c>
      <c r="V213" s="84">
        <f t="shared" si="235"/>
        <v>3356.1117603717871</v>
      </c>
      <c r="W213" s="84">
        <f t="shared" ref="W213" si="239">IF(W22=0,0,W22*1000000/W76)</f>
        <v>3364.6043090059902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0</v>
      </c>
      <c r="P214" s="84">
        <f t="shared" si="235"/>
        <v>0</v>
      </c>
      <c r="Q214" s="84">
        <f t="shared" si="235"/>
        <v>0</v>
      </c>
      <c r="R214" s="84">
        <f t="shared" si="235"/>
        <v>0</v>
      </c>
      <c r="S214" s="84">
        <f t="shared" si="235"/>
        <v>0</v>
      </c>
      <c r="T214" s="84">
        <f t="shared" si="235"/>
        <v>0</v>
      </c>
      <c r="U214" s="84">
        <f t="shared" si="235"/>
        <v>0</v>
      </c>
      <c r="V214" s="84">
        <f t="shared" si="235"/>
        <v>0</v>
      </c>
      <c r="W214" s="84">
        <f t="shared" ref="W214" si="240">IF(W23=0,0,W23*1000000/W77)</f>
        <v>0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1609.2266322951818</v>
      </c>
      <c r="D215" s="84">
        <f t="shared" si="235"/>
        <v>1665.5583203168846</v>
      </c>
      <c r="E215" s="84">
        <f t="shared" si="235"/>
        <v>1720.5633232042726</v>
      </c>
      <c r="F215" s="84">
        <f t="shared" si="235"/>
        <v>1794.0259009922129</v>
      </c>
      <c r="G215" s="84">
        <f t="shared" si="235"/>
        <v>1628.3936735214379</v>
      </c>
      <c r="H215" s="84">
        <f t="shared" si="235"/>
        <v>1673.5222537878117</v>
      </c>
      <c r="I215" s="84">
        <f t="shared" si="235"/>
        <v>1658.6769392796848</v>
      </c>
      <c r="J215" s="84">
        <f t="shared" si="235"/>
        <v>1671.8536950211978</v>
      </c>
      <c r="K215" s="84">
        <f t="shared" si="235"/>
        <v>1661.0768274647687</v>
      </c>
      <c r="L215" s="84">
        <f t="shared" si="235"/>
        <v>1739.2007920011115</v>
      </c>
      <c r="M215" s="84">
        <f t="shared" si="234"/>
        <v>1692.2898966371206</v>
      </c>
      <c r="N215" s="84">
        <f t="shared" si="235"/>
        <v>1710.4091863019685</v>
      </c>
      <c r="O215" s="84">
        <f t="shared" si="235"/>
        <v>1697.3693063002754</v>
      </c>
      <c r="P215" s="84">
        <f t="shared" si="235"/>
        <v>1696.6098165461067</v>
      </c>
      <c r="Q215" s="84">
        <f t="shared" si="235"/>
        <v>1760.3151025999714</v>
      </c>
      <c r="R215" s="84">
        <f t="shared" si="235"/>
        <v>1767.982166454861</v>
      </c>
      <c r="S215" s="84">
        <f t="shared" si="235"/>
        <v>1824.8185213719953</v>
      </c>
      <c r="T215" s="84">
        <f t="shared" si="235"/>
        <v>1762.3638194396519</v>
      </c>
      <c r="U215" s="84">
        <f t="shared" si="235"/>
        <v>1750.0254191975041</v>
      </c>
      <c r="V215" s="84">
        <f t="shared" si="235"/>
        <v>1723.3534288729554</v>
      </c>
      <c r="W215" s="84">
        <f t="shared" ref="W215" si="241">IF(W24=0,0,W24*1000000/W78)</f>
        <v>1716.6970856693836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1464.0237417908236</v>
      </c>
      <c r="H216" s="84">
        <f t="shared" si="235"/>
        <v>1465.8440209059152</v>
      </c>
      <c r="I216" s="84">
        <f t="shared" si="235"/>
        <v>1466.4378265844077</v>
      </c>
      <c r="J216" s="84">
        <f t="shared" si="235"/>
        <v>1466.9653556607416</v>
      </c>
      <c r="K216" s="84">
        <f t="shared" si="235"/>
        <v>1467.3966351486808</v>
      </c>
      <c r="L216" s="84">
        <f t="shared" si="235"/>
        <v>1470.4653383271891</v>
      </c>
      <c r="M216" s="84">
        <f t="shared" si="234"/>
        <v>1472.2940699487267</v>
      </c>
      <c r="N216" s="84">
        <f t="shared" si="235"/>
        <v>1473.0069701383661</v>
      </c>
      <c r="O216" s="84">
        <f t="shared" si="235"/>
        <v>1473.5194679483627</v>
      </c>
      <c r="P216" s="84">
        <f t="shared" si="235"/>
        <v>1473.549444410156</v>
      </c>
      <c r="Q216" s="84">
        <f t="shared" si="235"/>
        <v>1475.4810943592681</v>
      </c>
      <c r="R216" s="84">
        <f t="shared" si="235"/>
        <v>1475.2387184817394</v>
      </c>
      <c r="S216" s="84">
        <f t="shared" si="235"/>
        <v>1473.1184704657169</v>
      </c>
      <c r="T216" s="84">
        <f t="shared" si="235"/>
        <v>1470.7884653203853</v>
      </c>
      <c r="U216" s="84">
        <f t="shared" si="235"/>
        <v>1470.3188457479073</v>
      </c>
      <c r="V216" s="84">
        <f t="shared" si="235"/>
        <v>1463.0009110362785</v>
      </c>
      <c r="W216" s="84">
        <f t="shared" ref="W216" si="242">IF(W25=0,0,W25*1000000/W79)</f>
        <v>1470.1031501530283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486940.59711963084</v>
      </c>
      <c r="C217" s="110">
        <f t="shared" si="235"/>
        <v>474652.80806492525</v>
      </c>
      <c r="D217" s="110">
        <f t="shared" si="235"/>
        <v>511317.17754557595</v>
      </c>
      <c r="E217" s="110">
        <f t="shared" si="235"/>
        <v>516393.71438233351</v>
      </c>
      <c r="F217" s="110">
        <f t="shared" si="235"/>
        <v>537069.77633536374</v>
      </c>
      <c r="G217" s="110">
        <f t="shared" si="235"/>
        <v>558274.98289377487</v>
      </c>
      <c r="H217" s="110">
        <f t="shared" si="235"/>
        <v>561221.4907472987</v>
      </c>
      <c r="I217" s="110">
        <f t="shared" si="235"/>
        <v>562216.14301728678</v>
      </c>
      <c r="J217" s="110">
        <f t="shared" si="235"/>
        <v>583209.32344925753</v>
      </c>
      <c r="K217" s="110">
        <f t="shared" si="235"/>
        <v>496259.18181746715</v>
      </c>
      <c r="L217" s="110">
        <f t="shared" si="235"/>
        <v>512471.14338933048</v>
      </c>
      <c r="M217" s="110">
        <f t="shared" si="234"/>
        <v>498386.75556758506</v>
      </c>
      <c r="N217" s="110">
        <f t="shared" si="235"/>
        <v>455962.46347470616</v>
      </c>
      <c r="O217" s="110">
        <f t="shared" si="235"/>
        <v>503839.84013960417</v>
      </c>
      <c r="P217" s="110">
        <f t="shared" si="235"/>
        <v>599450.78992698761</v>
      </c>
      <c r="Q217" s="110">
        <f t="shared" si="235"/>
        <v>597463.14533511025</v>
      </c>
      <c r="R217" s="110">
        <f t="shared" si="235"/>
        <v>603661.96781815356</v>
      </c>
      <c r="S217" s="110">
        <f t="shared" si="235"/>
        <v>585633.72052917618</v>
      </c>
      <c r="T217" s="110">
        <f t="shared" si="235"/>
        <v>602985.14275281283</v>
      </c>
      <c r="U217" s="110">
        <f t="shared" si="235"/>
        <v>590886.14565646369</v>
      </c>
      <c r="V217" s="110">
        <f t="shared" si="235"/>
        <v>596726.73357664235</v>
      </c>
      <c r="W217" s="110">
        <f t="shared" ref="W217" si="243">IF(W26=0,0,W26*1000000/W80)</f>
        <v>645198.44775718811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426015.22498848644</v>
      </c>
      <c r="C218" s="163">
        <f t="shared" si="235"/>
        <v>407986.27656532929</v>
      </c>
      <c r="D218" s="163">
        <f t="shared" si="235"/>
        <v>442504.69108346652</v>
      </c>
      <c r="E218" s="163">
        <f t="shared" si="235"/>
        <v>445929.28505633102</v>
      </c>
      <c r="F218" s="163">
        <f t="shared" si="235"/>
        <v>459524.04380034021</v>
      </c>
      <c r="G218" s="163">
        <f t="shared" si="235"/>
        <v>481557.03580349707</v>
      </c>
      <c r="H218" s="163">
        <f t="shared" si="235"/>
        <v>479890.69411939773</v>
      </c>
      <c r="I218" s="163">
        <f t="shared" si="235"/>
        <v>481141.6786748278</v>
      </c>
      <c r="J218" s="163">
        <f t="shared" si="235"/>
        <v>508821.79439051857</v>
      </c>
      <c r="K218" s="163">
        <f t="shared" si="235"/>
        <v>429647.16582403769</v>
      </c>
      <c r="L218" s="163">
        <f t="shared" si="235"/>
        <v>437775.01370889007</v>
      </c>
      <c r="M218" s="163">
        <f t="shared" si="234"/>
        <v>427266.68031109293</v>
      </c>
      <c r="N218" s="163">
        <f t="shared" si="235"/>
        <v>383798.812081385</v>
      </c>
      <c r="O218" s="163">
        <f t="shared" si="235"/>
        <v>420494.21589431172</v>
      </c>
      <c r="P218" s="163">
        <f t="shared" si="235"/>
        <v>530838.87202210003</v>
      </c>
      <c r="Q218" s="163">
        <f t="shared" si="235"/>
        <v>520559.54755334556</v>
      </c>
      <c r="R218" s="163">
        <f t="shared" si="235"/>
        <v>525076.90250100312</v>
      </c>
      <c r="S218" s="163">
        <f t="shared" si="235"/>
        <v>506110.4474869062</v>
      </c>
      <c r="T218" s="163">
        <f t="shared" si="235"/>
        <v>524596.50888261024</v>
      </c>
      <c r="U218" s="163">
        <f t="shared" si="235"/>
        <v>516507.8547514808</v>
      </c>
      <c r="V218" s="163">
        <f t="shared" si="235"/>
        <v>523000.24406849331</v>
      </c>
      <c r="W218" s="163">
        <f t="shared" ref="W218" si="244">IF(W27=0,0,W27*1000000/W81)</f>
        <v>569698.20347091451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1211819.9722935013</v>
      </c>
      <c r="C219" s="86">
        <f t="shared" si="235"/>
        <v>1210780.8004246398</v>
      </c>
      <c r="D219" s="86">
        <f t="shared" si="235"/>
        <v>1218764.2107717062</v>
      </c>
      <c r="E219" s="86">
        <f t="shared" si="235"/>
        <v>1211531.7621090729</v>
      </c>
      <c r="F219" s="86">
        <f t="shared" si="235"/>
        <v>1189468.1867272877</v>
      </c>
      <c r="G219" s="86">
        <f t="shared" si="235"/>
        <v>1189935.7766923828</v>
      </c>
      <c r="H219" s="86">
        <f t="shared" si="235"/>
        <v>1197552.3351091805</v>
      </c>
      <c r="I219" s="86">
        <f t="shared" si="235"/>
        <v>1199845.1413804209</v>
      </c>
      <c r="J219" s="86">
        <f t="shared" si="235"/>
        <v>1182843.7141801794</v>
      </c>
      <c r="K219" s="86">
        <f t="shared" si="235"/>
        <v>1167189.2623461958</v>
      </c>
      <c r="L219" s="86">
        <f t="shared" si="235"/>
        <v>1205135.7744294954</v>
      </c>
      <c r="M219" s="86">
        <f t="shared" si="234"/>
        <v>1201368.5488728744</v>
      </c>
      <c r="N219" s="86">
        <f t="shared" si="235"/>
        <v>1197272.3083083434</v>
      </c>
      <c r="O219" s="86">
        <f t="shared" si="235"/>
        <v>1198894.1982852132</v>
      </c>
      <c r="P219" s="86">
        <f t="shared" si="235"/>
        <v>1201808.8954668108</v>
      </c>
      <c r="Q219" s="86">
        <f t="shared" si="235"/>
        <v>1190478.7531325123</v>
      </c>
      <c r="R219" s="86">
        <f t="shared" si="235"/>
        <v>1184103.0755691503</v>
      </c>
      <c r="S219" s="86">
        <f t="shared" si="235"/>
        <v>1194249.5999377721</v>
      </c>
      <c r="T219" s="86">
        <f t="shared" si="235"/>
        <v>1203200.6322236492</v>
      </c>
      <c r="U219" s="86">
        <f t="shared" si="235"/>
        <v>1198653.1986531985</v>
      </c>
      <c r="V219" s="86">
        <f t="shared" si="235"/>
        <v>1180412.8953523848</v>
      </c>
      <c r="W219" s="86">
        <f t="shared" ref="W219" si="245">IF(W28=0,0,W28*1000000/W82)</f>
        <v>1193476.8548461609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4.2415762448691227E-3</v>
      </c>
      <c r="C223" s="154">
        <f t="shared" si="250"/>
        <v>4.5819091203906205E-3</v>
      </c>
      <c r="D223" s="154">
        <f t="shared" si="250"/>
        <v>5.0953633416539329E-3</v>
      </c>
      <c r="E223" s="154">
        <f t="shared" si="250"/>
        <v>5.4758620342348335E-3</v>
      </c>
      <c r="F223" s="154">
        <f t="shared" si="250"/>
        <v>5.8552308250676248E-3</v>
      </c>
      <c r="G223" s="154">
        <f t="shared" si="250"/>
        <v>6.0471873498028732E-3</v>
      </c>
      <c r="H223" s="154">
        <f t="shared" si="250"/>
        <v>6.6125645120176475E-3</v>
      </c>
      <c r="I223" s="154">
        <f t="shared" si="250"/>
        <v>7.2162433227124937E-3</v>
      </c>
      <c r="J223" s="154">
        <f t="shared" si="250"/>
        <v>7.0615520001692834E-3</v>
      </c>
      <c r="K223" s="154">
        <f t="shared" si="250"/>
        <v>7.1694161134956379E-3</v>
      </c>
      <c r="L223" s="154">
        <f t="shared" ref="L223" si="251">IF(L5=0,0,L5/L$4)</f>
        <v>6.8682827045527962E-3</v>
      </c>
      <c r="M223" s="154">
        <f t="shared" ref="M223:V223" si="252">IF(M5=0,0,M5/M$4)</f>
        <v>6.5697244084072046E-3</v>
      </c>
      <c r="N223" s="154">
        <f t="shared" si="252"/>
        <v>5.7415368048853053E-3</v>
      </c>
      <c r="O223" s="154">
        <f t="shared" si="252"/>
        <v>6.3974101401239152E-3</v>
      </c>
      <c r="P223" s="154">
        <f t="shared" si="252"/>
        <v>6.3165846349847333E-3</v>
      </c>
      <c r="Q223" s="154">
        <f t="shared" si="252"/>
        <v>6.2687114888312365E-3</v>
      </c>
      <c r="R223" s="154">
        <f t="shared" si="252"/>
        <v>7.7717040481331779E-3</v>
      </c>
      <c r="S223" s="154">
        <f t="shared" si="252"/>
        <v>7.2543951586722354E-3</v>
      </c>
      <c r="T223" s="154">
        <f t="shared" si="252"/>
        <v>6.872755814235877E-3</v>
      </c>
      <c r="U223" s="154">
        <f t="shared" si="252"/>
        <v>7.3593572524517309E-3</v>
      </c>
      <c r="V223" s="154">
        <f t="shared" si="252"/>
        <v>7.0172147107838883E-3</v>
      </c>
      <c r="W223" s="154">
        <f t="shared" ref="W223" si="253">IF(W5=0,0,W5/W$4)</f>
        <v>7.3585066719313967E-3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0.91438908816013198</v>
      </c>
      <c r="C224" s="156">
        <f t="shared" si="254"/>
        <v>0.91494978235949942</v>
      </c>
      <c r="D224" s="156">
        <f t="shared" si="254"/>
        <v>0.9150400553064425</v>
      </c>
      <c r="E224" s="156">
        <f t="shared" si="254"/>
        <v>0.91500421400307164</v>
      </c>
      <c r="F224" s="156">
        <f t="shared" si="254"/>
        <v>0.91591646958836093</v>
      </c>
      <c r="G224" s="156">
        <f t="shared" si="254"/>
        <v>0.91549609476547333</v>
      </c>
      <c r="H224" s="156">
        <f t="shared" si="254"/>
        <v>0.91447053816926593</v>
      </c>
      <c r="I224" s="156">
        <f t="shared" si="254"/>
        <v>0.91464314358134513</v>
      </c>
      <c r="J224" s="156">
        <f t="shared" si="254"/>
        <v>0.91621377096788614</v>
      </c>
      <c r="K224" s="156">
        <f t="shared" si="254"/>
        <v>0.91518482972883575</v>
      </c>
      <c r="L224" s="156">
        <f t="shared" ref="L224" si="255">IF(L6=0,0,L6/L$4)</f>
        <v>0.91382455116755601</v>
      </c>
      <c r="M224" s="156">
        <f t="shared" ref="M224:V224" si="256">IF(M6=0,0,M6/M$4)</f>
        <v>0.91267575845728544</v>
      </c>
      <c r="N224" s="156">
        <f t="shared" si="256"/>
        <v>0.91394720217525893</v>
      </c>
      <c r="O224" s="156">
        <f t="shared" si="256"/>
        <v>0.91182889085429586</v>
      </c>
      <c r="P224" s="156">
        <f t="shared" si="256"/>
        <v>0.91344102347405076</v>
      </c>
      <c r="Q224" s="156">
        <f t="shared" si="256"/>
        <v>0.91349555132145988</v>
      </c>
      <c r="R224" s="156">
        <f t="shared" si="256"/>
        <v>0.89785990220241907</v>
      </c>
      <c r="S224" s="156">
        <f t="shared" si="256"/>
        <v>0.8987728445424128</v>
      </c>
      <c r="T224" s="156">
        <f t="shared" si="256"/>
        <v>0.89987445652916687</v>
      </c>
      <c r="U224" s="156">
        <f t="shared" si="256"/>
        <v>0.89814056225434147</v>
      </c>
      <c r="V224" s="156">
        <f t="shared" si="256"/>
        <v>0.90288998852722013</v>
      </c>
      <c r="W224" s="156">
        <f t="shared" ref="W224" si="257">IF(W6=0,0,W6/W$4)</f>
        <v>0.90300888693476511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0.81380225582082732</v>
      </c>
      <c r="C225" s="103">
        <f t="shared" si="258"/>
        <v>0.81909155289712765</v>
      </c>
      <c r="D225" s="103">
        <f t="shared" si="258"/>
        <v>0.81884232907798082</v>
      </c>
      <c r="E225" s="103">
        <f t="shared" si="258"/>
        <v>0.81654608620536195</v>
      </c>
      <c r="F225" s="103">
        <f t="shared" si="258"/>
        <v>0.81399827352541088</v>
      </c>
      <c r="G225" s="103">
        <f t="shared" si="258"/>
        <v>0.80490173725997427</v>
      </c>
      <c r="H225" s="103">
        <f t="shared" si="258"/>
        <v>0.78637398735980168</v>
      </c>
      <c r="I225" s="103">
        <f t="shared" si="258"/>
        <v>0.75103000911536377</v>
      </c>
      <c r="J225" s="103">
        <f t="shared" si="258"/>
        <v>0.72385756477401886</v>
      </c>
      <c r="K225" s="103">
        <f t="shared" si="258"/>
        <v>0.69187973750183129</v>
      </c>
      <c r="L225" s="103">
        <f t="shared" ref="L225" si="259">IF(L7=0,0,L7/L$4)</f>
        <v>0.64263652153351336</v>
      </c>
      <c r="M225" s="103">
        <f t="shared" ref="M225:V225" si="260">IF(M7=0,0,M7/M$4)</f>
        <v>0.58426709961721324</v>
      </c>
      <c r="N225" s="103">
        <f t="shared" si="260"/>
        <v>0.53301701376165034</v>
      </c>
      <c r="O225" s="103">
        <f t="shared" si="260"/>
        <v>0.49404439099830716</v>
      </c>
      <c r="P225" s="103">
        <f t="shared" si="260"/>
        <v>0.45935549676366932</v>
      </c>
      <c r="Q225" s="103">
        <f t="shared" si="260"/>
        <v>0.42586889797795502</v>
      </c>
      <c r="R225" s="103">
        <f t="shared" si="260"/>
        <v>0.39132133711579725</v>
      </c>
      <c r="S225" s="103">
        <f t="shared" si="260"/>
        <v>0.37287823123673303</v>
      </c>
      <c r="T225" s="103">
        <f t="shared" si="260"/>
        <v>0.3598111640150734</v>
      </c>
      <c r="U225" s="103">
        <f t="shared" si="260"/>
        <v>0.35847489696702051</v>
      </c>
      <c r="V225" s="103">
        <f t="shared" si="260"/>
        <v>0.36004083967683148</v>
      </c>
      <c r="W225" s="103">
        <f t="shared" ref="W225" si="261">IF(W7=0,0,W7/W$4)</f>
        <v>0.35937961643312855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0.1005868323393047</v>
      </c>
      <c r="C226" s="103">
        <f t="shared" si="262"/>
        <v>9.5858229462371783E-2</v>
      </c>
      <c r="D226" s="103">
        <f t="shared" si="262"/>
        <v>9.5895625958323197E-2</v>
      </c>
      <c r="E226" s="103">
        <f t="shared" si="262"/>
        <v>9.7866747692170353E-2</v>
      </c>
      <c r="F226" s="103">
        <f t="shared" si="262"/>
        <v>0.10100894244476925</v>
      </c>
      <c r="G226" s="103">
        <f t="shared" si="262"/>
        <v>0.10912933267429427</v>
      </c>
      <c r="H226" s="103">
        <f t="shared" si="262"/>
        <v>0.12664623320956286</v>
      </c>
      <c r="I226" s="103">
        <f t="shared" si="262"/>
        <v>0.16202728483861534</v>
      </c>
      <c r="J226" s="103">
        <f t="shared" si="262"/>
        <v>0.19052714354892114</v>
      </c>
      <c r="K226" s="103">
        <f t="shared" si="262"/>
        <v>0.22131934915371865</v>
      </c>
      <c r="L226" s="103">
        <f t="shared" ref="L226" si="263">IF(L8=0,0,L8/L$4)</f>
        <v>0.26721860871006015</v>
      </c>
      <c r="M226" s="103">
        <f t="shared" ref="M226:V226" si="264">IF(M8=0,0,M8/M$4)</f>
        <v>0.32283679312433466</v>
      </c>
      <c r="N226" s="103">
        <f t="shared" si="264"/>
        <v>0.37413109334811939</v>
      </c>
      <c r="O226" s="103">
        <f t="shared" si="264"/>
        <v>0.4103790824589611</v>
      </c>
      <c r="P226" s="103">
        <f t="shared" si="264"/>
        <v>0.44527685188576804</v>
      </c>
      <c r="Q226" s="103">
        <f t="shared" si="264"/>
        <v>0.47715791969429749</v>
      </c>
      <c r="R226" s="103">
        <f t="shared" si="264"/>
        <v>0.49329196063799785</v>
      </c>
      <c r="S226" s="103">
        <f t="shared" si="264"/>
        <v>0.51080745446583853</v>
      </c>
      <c r="T226" s="103">
        <f t="shared" si="264"/>
        <v>0.52214332335292102</v>
      </c>
      <c r="U226" s="103">
        <f t="shared" si="264"/>
        <v>0.51750893081229055</v>
      </c>
      <c r="V226" s="103">
        <f t="shared" si="264"/>
        <v>0.50685675364122773</v>
      </c>
      <c r="W226" s="103">
        <f t="shared" ref="W226" si="265">IF(W8=0,0,W8/W$4)</f>
        <v>0.4877901729166701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</v>
      </c>
      <c r="C227" s="103">
        <f t="shared" si="266"/>
        <v>0</v>
      </c>
      <c r="D227" s="103">
        <f t="shared" si="266"/>
        <v>0</v>
      </c>
      <c r="E227" s="103">
        <f t="shared" si="266"/>
        <v>0</v>
      </c>
      <c r="F227" s="103">
        <f t="shared" si="266"/>
        <v>0</v>
      </c>
      <c r="G227" s="103">
        <f t="shared" si="266"/>
        <v>1.217257033102999E-4</v>
      </c>
      <c r="H227" s="103">
        <f t="shared" si="266"/>
        <v>1.1093000059755966E-4</v>
      </c>
      <c r="I227" s="103">
        <f t="shared" si="266"/>
        <v>1.0575309490718704E-4</v>
      </c>
      <c r="J227" s="103">
        <f t="shared" si="266"/>
        <v>1.098602114080871E-4</v>
      </c>
      <c r="K227" s="103">
        <f t="shared" si="266"/>
        <v>1.4035250812152321E-4</v>
      </c>
      <c r="L227" s="103">
        <f t="shared" ref="L227" si="267">IF(L9=0,0,L9/L$4)</f>
        <v>1.1687669484229673E-4</v>
      </c>
      <c r="M227" s="103">
        <f t="shared" ref="M227:V227" si="268">IF(M9=0,0,M9/M$4)</f>
        <v>1.5434576700518412E-4</v>
      </c>
      <c r="N227" s="103">
        <f t="shared" si="268"/>
        <v>1.4723162097996919E-4</v>
      </c>
      <c r="O227" s="103">
        <f t="shared" si="268"/>
        <v>1.4214593195492251E-4</v>
      </c>
      <c r="P227" s="103">
        <f t="shared" si="268"/>
        <v>1.3626754282904165E-4</v>
      </c>
      <c r="Q227" s="103">
        <f t="shared" si="268"/>
        <v>1.2971864406821423E-4</v>
      </c>
      <c r="R227" s="103">
        <f t="shared" si="268"/>
        <v>1.1558962411511843E-4</v>
      </c>
      <c r="S227" s="103">
        <f t="shared" si="268"/>
        <v>0</v>
      </c>
      <c r="T227" s="103">
        <f t="shared" si="268"/>
        <v>0</v>
      </c>
      <c r="U227" s="103">
        <f t="shared" si="268"/>
        <v>0</v>
      </c>
      <c r="V227" s="103">
        <f t="shared" si="268"/>
        <v>0</v>
      </c>
      <c r="W227" s="103">
        <f t="shared" ref="W227" si="269">IF(W9=0,0,W9/W$4)</f>
        <v>0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3.0210027013846143E-4</v>
      </c>
      <c r="E228" s="103">
        <f t="shared" si="270"/>
        <v>5.9138010553932312E-4</v>
      </c>
      <c r="F228" s="103">
        <f t="shared" si="270"/>
        <v>9.0925361818085563E-4</v>
      </c>
      <c r="G228" s="103">
        <f t="shared" si="270"/>
        <v>1.3432991278945234E-3</v>
      </c>
      <c r="H228" s="103">
        <f t="shared" si="270"/>
        <v>1.3393875993039062E-3</v>
      </c>
      <c r="I228" s="103">
        <f t="shared" si="270"/>
        <v>1.4800965324588071E-3</v>
      </c>
      <c r="J228" s="103">
        <f t="shared" si="270"/>
        <v>1.657983696476518E-3</v>
      </c>
      <c r="K228" s="103">
        <f t="shared" si="270"/>
        <v>1.7727950671585862E-3</v>
      </c>
      <c r="L228" s="103">
        <f t="shared" ref="L228" si="271">IF(L10=0,0,L10/L$4)</f>
        <v>3.7681328006502111E-3</v>
      </c>
      <c r="M228" s="103">
        <f t="shared" ref="M228:V228" si="272">IF(M10=0,0,M10/M$4)</f>
        <v>5.2601828376886159E-3</v>
      </c>
      <c r="N228" s="103">
        <f t="shared" si="272"/>
        <v>6.3363088270716348E-3</v>
      </c>
      <c r="O228" s="103">
        <f t="shared" si="272"/>
        <v>6.7865639206180477E-3</v>
      </c>
      <c r="P228" s="103">
        <f t="shared" si="272"/>
        <v>7.4365888806925034E-3</v>
      </c>
      <c r="Q228" s="103">
        <f t="shared" si="272"/>
        <v>7.9307866323932649E-3</v>
      </c>
      <c r="R228" s="103">
        <f t="shared" si="272"/>
        <v>9.0922491907719366E-3</v>
      </c>
      <c r="S228" s="103">
        <f t="shared" si="272"/>
        <v>8.7772102101004237E-3</v>
      </c>
      <c r="T228" s="103">
        <f t="shared" si="272"/>
        <v>8.4285813194434848E-3</v>
      </c>
      <c r="U228" s="103">
        <f t="shared" si="272"/>
        <v>8.049080792882024E-3</v>
      </c>
      <c r="V228" s="103">
        <f t="shared" si="272"/>
        <v>8.3561865663554225E-3</v>
      </c>
      <c r="W228" s="103">
        <f t="shared" ref="W228" si="273">IF(W10=0,0,W10/W$4)</f>
        <v>8.0334593832321263E-3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2.4975662847152899E-5</v>
      </c>
      <c r="K229" s="103">
        <f t="shared" si="274"/>
        <v>2.9743536527557821E-5</v>
      </c>
      <c r="L229" s="103">
        <f t="shared" ref="L229" si="275">IF(L11=0,0,L11/L$4)</f>
        <v>3.3934825824328094E-5</v>
      </c>
      <c r="M229" s="103">
        <f t="shared" ref="M229:V229" si="276">IF(M11=0,0,M11/M$4)</f>
        <v>6.3467324204024881E-5</v>
      </c>
      <c r="N229" s="103">
        <f t="shared" si="276"/>
        <v>1.6349019024477235E-4</v>
      </c>
      <c r="O229" s="103">
        <f t="shared" si="276"/>
        <v>2.2927461477768833E-4</v>
      </c>
      <c r="P229" s="103">
        <f t="shared" si="276"/>
        <v>7.2896702491560665E-4</v>
      </c>
      <c r="Q229" s="103">
        <f t="shared" si="276"/>
        <v>1.364778774405023E-3</v>
      </c>
      <c r="R229" s="103">
        <f t="shared" si="276"/>
        <v>2.4890326107204568E-3</v>
      </c>
      <c r="S229" s="103">
        <f t="shared" si="276"/>
        <v>4.1133971619812691E-3</v>
      </c>
      <c r="T229" s="103">
        <f t="shared" si="276"/>
        <v>6.224959326540486E-3</v>
      </c>
      <c r="U229" s="103">
        <f t="shared" si="276"/>
        <v>8.1657670754198362E-3</v>
      </c>
      <c r="V229" s="103">
        <f t="shared" si="276"/>
        <v>1.5920160500354091E-2</v>
      </c>
      <c r="W229" s="103">
        <f t="shared" ref="W229" si="277">IF(W11=0,0,W11/W$4)</f>
        <v>2.4569810301734909E-2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3.6243074214358927E-5</v>
      </c>
      <c r="K230" s="103">
        <f t="shared" si="278"/>
        <v>4.2851961478297092E-5</v>
      </c>
      <c r="L230" s="103">
        <f t="shared" ref="L230" si="279">IF(L12=0,0,L12/L$4)</f>
        <v>5.0476602665757748E-5</v>
      </c>
      <c r="M230" s="103">
        <f t="shared" ref="M230:V230" si="280">IF(M12=0,0,M12/M$4)</f>
        <v>9.3869786839771661E-5</v>
      </c>
      <c r="N230" s="103">
        <f t="shared" si="280"/>
        <v>1.5206442719281827E-4</v>
      </c>
      <c r="O230" s="103">
        <f t="shared" si="280"/>
        <v>2.4743292967702217E-4</v>
      </c>
      <c r="P230" s="103">
        <f t="shared" si="280"/>
        <v>5.0685137617619957E-4</v>
      </c>
      <c r="Q230" s="103">
        <f t="shared" si="280"/>
        <v>1.0434495983407844E-3</v>
      </c>
      <c r="R230" s="103">
        <f t="shared" si="280"/>
        <v>1.5497330230163748E-3</v>
      </c>
      <c r="S230" s="103">
        <f t="shared" si="280"/>
        <v>2.1965514677596324E-3</v>
      </c>
      <c r="T230" s="103">
        <f t="shared" si="280"/>
        <v>3.2664285151885178E-3</v>
      </c>
      <c r="U230" s="103">
        <f t="shared" si="280"/>
        <v>5.9418866067284136E-3</v>
      </c>
      <c r="V230" s="103">
        <f t="shared" si="280"/>
        <v>1.1716048142451417E-2</v>
      </c>
      <c r="W230" s="103">
        <f t="shared" ref="W230" si="281">IF(W12=0,0,W12/W$4)</f>
        <v>2.3235827899999544E-2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8.1369335594998871E-2</v>
      </c>
      <c r="C231" s="156">
        <f t="shared" si="282"/>
        <v>8.0468308520109971E-2</v>
      </c>
      <c r="D231" s="156">
        <f t="shared" si="282"/>
        <v>7.986458135190351E-2</v>
      </c>
      <c r="E231" s="156">
        <f t="shared" si="282"/>
        <v>7.951992396269357E-2</v>
      </c>
      <c r="F231" s="156">
        <f t="shared" si="282"/>
        <v>7.8228299586571487E-2</v>
      </c>
      <c r="G231" s="156">
        <f t="shared" si="282"/>
        <v>7.8456717884723817E-2</v>
      </c>
      <c r="H231" s="156">
        <f t="shared" si="282"/>
        <v>7.8916897318716345E-2</v>
      </c>
      <c r="I231" s="156">
        <f t="shared" si="282"/>
        <v>7.8140613095942377E-2</v>
      </c>
      <c r="J231" s="156">
        <f t="shared" si="282"/>
        <v>7.6724677031944521E-2</v>
      </c>
      <c r="K231" s="156">
        <f t="shared" si="282"/>
        <v>7.7645754157668612E-2</v>
      </c>
      <c r="L231" s="156">
        <f t="shared" ref="L231" si="283">IF(L13=0,0,L13/L$4)</f>
        <v>7.9307166127891154E-2</v>
      </c>
      <c r="M231" s="156">
        <f t="shared" ref="M231:V231" si="284">IF(M13=0,0,M13/M$4)</f>
        <v>8.0754517134307313E-2</v>
      </c>
      <c r="N231" s="156">
        <f t="shared" si="284"/>
        <v>8.0311261019855723E-2</v>
      </c>
      <c r="O231" s="156">
        <f t="shared" si="284"/>
        <v>8.1773699005580222E-2</v>
      </c>
      <c r="P231" s="156">
        <f t="shared" si="284"/>
        <v>8.0242391890964451E-2</v>
      </c>
      <c r="Q231" s="156">
        <f t="shared" si="284"/>
        <v>8.0235737189708889E-2</v>
      </c>
      <c r="R231" s="156">
        <f t="shared" si="284"/>
        <v>9.4368393749447749E-2</v>
      </c>
      <c r="S231" s="156">
        <f t="shared" si="284"/>
        <v>9.3972760298914923E-2</v>
      </c>
      <c r="T231" s="156">
        <f t="shared" si="284"/>
        <v>9.3252787656597225E-2</v>
      </c>
      <c r="U231" s="156">
        <f t="shared" si="284"/>
        <v>9.4500080493206809E-2</v>
      </c>
      <c r="V231" s="156">
        <f t="shared" si="284"/>
        <v>9.0092796761995872E-2</v>
      </c>
      <c r="W231" s="156">
        <f t="shared" ref="W231" si="285">IF(W13=0,0,W13/W$4)</f>
        <v>8.9632606393303463E-2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1.6777087279030007E-3</v>
      </c>
      <c r="C232" s="103">
        <f t="shared" si="286"/>
        <v>1.3719230731444377E-3</v>
      </c>
      <c r="D232" s="103">
        <f t="shared" si="286"/>
        <v>1.1084973794168299E-3</v>
      </c>
      <c r="E232" s="103">
        <f t="shared" si="286"/>
        <v>8.7104436636929673E-4</v>
      </c>
      <c r="F232" s="103">
        <f t="shared" si="286"/>
        <v>6.5242954380551033E-4</v>
      </c>
      <c r="G232" s="103">
        <f t="shared" si="286"/>
        <v>4.6525659414429864E-4</v>
      </c>
      <c r="H232" s="103">
        <f t="shared" si="286"/>
        <v>3.8436906391632776E-4</v>
      </c>
      <c r="I232" s="103">
        <f t="shared" si="286"/>
        <v>3.1544061095195792E-4</v>
      </c>
      <c r="J232" s="103">
        <f t="shared" si="286"/>
        <v>2.6087753042979364E-4</v>
      </c>
      <c r="K232" s="103">
        <f t="shared" si="286"/>
        <v>2.4077749633419037E-4</v>
      </c>
      <c r="L232" s="103">
        <f t="shared" ref="L232" si="287">IF(L14=0,0,L14/L$4)</f>
        <v>1.0028481947006234E-4</v>
      </c>
      <c r="M232" s="103">
        <f t="shared" ref="M232:V232" si="288">IF(M14=0,0,M14/M$4)</f>
        <v>1.7835548061883214E-4</v>
      </c>
      <c r="N232" s="103">
        <f t="shared" si="288"/>
        <v>1.5010355593330165E-4</v>
      </c>
      <c r="O232" s="103">
        <f t="shared" si="288"/>
        <v>1.5021018169869766E-4</v>
      </c>
      <c r="P232" s="103">
        <f t="shared" si="288"/>
        <v>1.3821205382182257E-4</v>
      </c>
      <c r="Q232" s="103">
        <f t="shared" si="288"/>
        <v>1.2646689256372783E-4</v>
      </c>
      <c r="R232" s="103">
        <f t="shared" si="288"/>
        <v>1.6513129816873626E-4</v>
      </c>
      <c r="S232" s="103">
        <f t="shared" si="288"/>
        <v>1.5449992394324936E-4</v>
      </c>
      <c r="T232" s="103">
        <f t="shared" si="288"/>
        <v>1.5055485582972296E-4</v>
      </c>
      <c r="U232" s="103">
        <f t="shared" si="288"/>
        <v>1.3505597854614781E-4</v>
      </c>
      <c r="V232" s="103">
        <f t="shared" si="288"/>
        <v>1.4136192192214562E-4</v>
      </c>
      <c r="W232" s="103">
        <f t="shared" ref="W232" si="289">IF(W14=0,0,W14/W$4)</f>
        <v>1.2986040340962629E-4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7.7611818069322366E-2</v>
      </c>
      <c r="C233" s="103">
        <f t="shared" si="290"/>
        <v>7.6729938433536024E-2</v>
      </c>
      <c r="D233" s="103">
        <f t="shared" si="290"/>
        <v>7.6295680879428257E-2</v>
      </c>
      <c r="E233" s="103">
        <f t="shared" si="290"/>
        <v>7.6057881081738138E-2</v>
      </c>
      <c r="F233" s="103">
        <f t="shared" si="290"/>
        <v>7.4742684240676219E-2</v>
      </c>
      <c r="G233" s="103">
        <f t="shared" si="290"/>
        <v>7.1704638707763654E-2</v>
      </c>
      <c r="H233" s="103">
        <f t="shared" si="290"/>
        <v>7.4705264241196292E-2</v>
      </c>
      <c r="I233" s="103">
        <f t="shared" si="290"/>
        <v>7.3245217398986373E-2</v>
      </c>
      <c r="J233" s="103">
        <f t="shared" si="290"/>
        <v>7.0316905544174718E-2</v>
      </c>
      <c r="K233" s="103">
        <f t="shared" si="290"/>
        <v>6.9359859481044617E-2</v>
      </c>
      <c r="L233" s="103">
        <f t="shared" ref="L233" si="291">IF(L15=0,0,L15/L$4)</f>
        <v>6.9572948930002987E-2</v>
      </c>
      <c r="M233" s="103">
        <f t="shared" ref="M233:V233" si="292">IF(M15=0,0,M15/M$4)</f>
        <v>6.7669744397474432E-2</v>
      </c>
      <c r="N233" s="103">
        <f t="shared" si="292"/>
        <v>6.6644416633409462E-2</v>
      </c>
      <c r="O233" s="103">
        <f t="shared" si="292"/>
        <v>6.5985187688028329E-2</v>
      </c>
      <c r="P233" s="103">
        <f t="shared" si="292"/>
        <v>6.4325791710299951E-2</v>
      </c>
      <c r="Q233" s="103">
        <f t="shared" si="292"/>
        <v>6.4577885786529746E-2</v>
      </c>
      <c r="R233" s="103">
        <f t="shared" si="292"/>
        <v>7.641862712740452E-2</v>
      </c>
      <c r="S233" s="103">
        <f t="shared" si="292"/>
        <v>7.5830071430659104E-2</v>
      </c>
      <c r="T233" s="103">
        <f t="shared" si="292"/>
        <v>7.5563560686252973E-2</v>
      </c>
      <c r="U233" s="103">
        <f t="shared" si="292"/>
        <v>7.6415453934760957E-2</v>
      </c>
      <c r="V233" s="103">
        <f t="shared" si="292"/>
        <v>6.9383880529786654E-2</v>
      </c>
      <c r="W233" s="103">
        <f t="shared" ref="W233" si="293">IF(W15=0,0,W15/W$4)</f>
        <v>6.9138430467123174E-2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2.0098184097536429E-3</v>
      </c>
      <c r="C235" s="103">
        <f t="shared" si="298"/>
        <v>2.2956411058167956E-3</v>
      </c>
      <c r="D235" s="103">
        <f t="shared" si="298"/>
        <v>2.4025722996351162E-3</v>
      </c>
      <c r="E235" s="103">
        <f t="shared" si="298"/>
        <v>2.5242208062891485E-3</v>
      </c>
      <c r="F235" s="103">
        <f t="shared" si="298"/>
        <v>2.7655138284422794E-3</v>
      </c>
      <c r="G235" s="103">
        <f t="shared" si="298"/>
        <v>6.2309399846248829E-3</v>
      </c>
      <c r="H235" s="103">
        <f t="shared" si="298"/>
        <v>3.7749951777045622E-3</v>
      </c>
      <c r="I235" s="103">
        <f t="shared" si="298"/>
        <v>4.5360799345372576E-3</v>
      </c>
      <c r="J235" s="103">
        <f t="shared" si="298"/>
        <v>6.1120619745536012E-3</v>
      </c>
      <c r="K235" s="103">
        <f t="shared" si="298"/>
        <v>8.0098351073724892E-3</v>
      </c>
      <c r="L235" s="103">
        <f t="shared" ref="L235" si="299">IF(L17=0,0,L17/L$4)</f>
        <v>9.6168073268424782E-3</v>
      </c>
      <c r="M235" s="103">
        <f t="shared" ref="M235:V235" si="300">IF(M17=0,0,M17/M$4)</f>
        <v>1.2889343580088785E-2</v>
      </c>
      <c r="N235" s="103">
        <f t="shared" si="300"/>
        <v>1.3492156135013398E-2</v>
      </c>
      <c r="O235" s="103">
        <f t="shared" si="300"/>
        <v>1.5604931162411633E-2</v>
      </c>
      <c r="P235" s="103">
        <f t="shared" si="300"/>
        <v>1.5733080149822398E-2</v>
      </c>
      <c r="Q235" s="103">
        <f t="shared" si="300"/>
        <v>1.5450246027368537E-2</v>
      </c>
      <c r="R235" s="103">
        <f t="shared" si="300"/>
        <v>1.7605425473330889E-2</v>
      </c>
      <c r="S235" s="103">
        <f t="shared" si="300"/>
        <v>1.7738739180333623E-2</v>
      </c>
      <c r="T235" s="103">
        <f t="shared" si="300"/>
        <v>1.708219596139406E-2</v>
      </c>
      <c r="U235" s="103">
        <f t="shared" si="300"/>
        <v>1.6716020638242835E-2</v>
      </c>
      <c r="V235" s="103">
        <f t="shared" si="300"/>
        <v>1.8328823985933447E-2</v>
      </c>
      <c r="W235" s="103">
        <f t="shared" ref="W235" si="301">IF(W17=0,0,W17/W$4)</f>
        <v>1.7144730856091167E-2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6.9990388019866101E-5</v>
      </c>
      <c r="C236" s="103">
        <f t="shared" si="302"/>
        <v>7.0805907612702128E-5</v>
      </c>
      <c r="D236" s="103">
        <f t="shared" si="302"/>
        <v>5.7830793423297468E-5</v>
      </c>
      <c r="E236" s="103">
        <f t="shared" si="302"/>
        <v>6.6777708296989204E-5</v>
      </c>
      <c r="F236" s="103">
        <f t="shared" si="302"/>
        <v>6.7671973647479762E-5</v>
      </c>
      <c r="G236" s="103">
        <f t="shared" si="302"/>
        <v>5.5882598190991978E-5</v>
      </c>
      <c r="H236" s="103">
        <f t="shared" si="302"/>
        <v>5.2268835899165934E-5</v>
      </c>
      <c r="I236" s="103">
        <f t="shared" si="302"/>
        <v>4.3875151466810173E-5</v>
      </c>
      <c r="J236" s="103">
        <f t="shared" si="302"/>
        <v>3.483198278640806E-5</v>
      </c>
      <c r="K236" s="103">
        <f t="shared" si="302"/>
        <v>3.5282072917318483E-5</v>
      </c>
      <c r="L236" s="103">
        <f t="shared" ref="L236" si="303">IF(L18=0,0,L18/L$4)</f>
        <v>1.7125051575614489E-5</v>
      </c>
      <c r="M236" s="103">
        <f t="shared" ref="M236:V236" si="304">IF(M18=0,0,M18/M$4)</f>
        <v>1.7073676125262522E-5</v>
      </c>
      <c r="N236" s="103">
        <f t="shared" si="304"/>
        <v>2.4584695499571459E-5</v>
      </c>
      <c r="O236" s="103">
        <f t="shared" si="304"/>
        <v>3.3369973441554874E-5</v>
      </c>
      <c r="P236" s="103">
        <f t="shared" si="304"/>
        <v>4.5307977020273941E-5</v>
      </c>
      <c r="Q236" s="103">
        <f t="shared" si="304"/>
        <v>8.1138483246868162E-5</v>
      </c>
      <c r="R236" s="103">
        <f t="shared" si="304"/>
        <v>1.7920985054359231E-4</v>
      </c>
      <c r="S236" s="103">
        <f t="shared" si="304"/>
        <v>2.4944976397893849E-4</v>
      </c>
      <c r="T236" s="103">
        <f t="shared" si="304"/>
        <v>4.5647615312046876E-4</v>
      </c>
      <c r="U236" s="103">
        <f t="shared" si="304"/>
        <v>1.2335499416568708E-3</v>
      </c>
      <c r="V236" s="103">
        <f t="shared" si="304"/>
        <v>2.2387303243536351E-3</v>
      </c>
      <c r="W236" s="103">
        <f t="shared" ref="W236" si="305">IF(W18=0,0,W18/W$4)</f>
        <v>3.2195846666794796E-3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1.7588471088837293E-2</v>
      </c>
      <c r="C238" s="154">
        <f t="shared" si="310"/>
        <v>2.1302232809388127E-2</v>
      </c>
      <c r="D238" s="154">
        <f t="shared" si="310"/>
        <v>2.2037771896743864E-2</v>
      </c>
      <c r="E238" s="154">
        <f t="shared" si="310"/>
        <v>2.4170840517422576E-2</v>
      </c>
      <c r="F238" s="154">
        <f t="shared" si="310"/>
        <v>2.5226184586744329E-2</v>
      </c>
      <c r="G238" s="154">
        <f t="shared" si="310"/>
        <v>2.336254524528358E-2</v>
      </c>
      <c r="H238" s="154">
        <f t="shared" si="310"/>
        <v>2.4363713086235611E-2</v>
      </c>
      <c r="I238" s="154">
        <f t="shared" si="310"/>
        <v>2.512677206565889E-2</v>
      </c>
      <c r="J238" s="154">
        <f t="shared" si="310"/>
        <v>2.5397784521782318E-2</v>
      </c>
      <c r="K238" s="154">
        <f t="shared" si="310"/>
        <v>3.063286819460042E-2</v>
      </c>
      <c r="L238" s="154">
        <f t="shared" ref="L238" si="311">IF(L20=0,0,L20/L$19)</f>
        <v>3.1150588701841973E-2</v>
      </c>
      <c r="M238" s="154">
        <f t="shared" ref="M238:V238" si="312">IF(M20=0,0,M20/M$19)</f>
        <v>3.226187534920337E-2</v>
      </c>
      <c r="N238" s="154">
        <f t="shared" si="312"/>
        <v>3.533081576994055E-2</v>
      </c>
      <c r="O238" s="154">
        <f t="shared" si="312"/>
        <v>3.4862986999103215E-2</v>
      </c>
      <c r="P238" s="154">
        <f t="shared" si="312"/>
        <v>3.0592469098649034E-2</v>
      </c>
      <c r="Q238" s="154">
        <f t="shared" si="312"/>
        <v>3.198243869138432E-2</v>
      </c>
      <c r="R238" s="154">
        <f t="shared" si="312"/>
        <v>3.1884135771143289E-2</v>
      </c>
      <c r="S238" s="154">
        <f t="shared" si="312"/>
        <v>3.4655445884966316E-2</v>
      </c>
      <c r="T238" s="154">
        <f t="shared" si="312"/>
        <v>3.3072841773964544E-2</v>
      </c>
      <c r="U238" s="154">
        <f t="shared" si="312"/>
        <v>3.4467274627350317E-2</v>
      </c>
      <c r="V238" s="154">
        <f t="shared" si="312"/>
        <v>3.4343667432511917E-2</v>
      </c>
      <c r="W238" s="154">
        <f t="shared" ref="W238" si="313">IF(W20=0,0,W20/W$19)</f>
        <v>3.1891436603726196E-2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6.1665607731289998E-3</v>
      </c>
      <c r="C239" s="103">
        <f t="shared" si="314"/>
        <v>6.1849848090051382E-3</v>
      </c>
      <c r="D239" s="103">
        <f t="shared" si="314"/>
        <v>5.4600197752830201E-3</v>
      </c>
      <c r="E239" s="103">
        <f t="shared" si="314"/>
        <v>4.9549274124353398E-3</v>
      </c>
      <c r="F239" s="103">
        <f t="shared" si="314"/>
        <v>4.2193982708269859E-3</v>
      </c>
      <c r="G239" s="103">
        <f t="shared" si="314"/>
        <v>3.7368943448253386E-3</v>
      </c>
      <c r="H239" s="103">
        <f t="shared" si="314"/>
        <v>3.2191864783470236E-3</v>
      </c>
      <c r="I239" s="103">
        <f t="shared" si="314"/>
        <v>2.9115625953579664E-3</v>
      </c>
      <c r="J239" s="103">
        <f t="shared" si="314"/>
        <v>2.5632651382083947E-3</v>
      </c>
      <c r="K239" s="103">
        <f t="shared" si="314"/>
        <v>2.8055983357274054E-3</v>
      </c>
      <c r="L239" s="103">
        <f t="shared" ref="L239" si="315">IF(L21=0,0,L21/L$19)</f>
        <v>2.405438468928199E-3</v>
      </c>
      <c r="M239" s="103">
        <f t="shared" ref="M239:V239" si="316">IF(M21=0,0,M21/M$19)</f>
        <v>2.2192801724755049E-3</v>
      </c>
      <c r="N239" s="103">
        <f t="shared" si="316"/>
        <v>2.1009981238224022E-3</v>
      </c>
      <c r="O239" s="103">
        <f t="shared" si="316"/>
        <v>1.7714566008222685E-3</v>
      </c>
      <c r="P239" s="103">
        <f t="shared" si="316"/>
        <v>1.3865024610486107E-3</v>
      </c>
      <c r="Q239" s="103">
        <f t="shared" si="316"/>
        <v>1.2977788173523059E-3</v>
      </c>
      <c r="R239" s="103">
        <f t="shared" si="316"/>
        <v>1.0593241061446909E-3</v>
      </c>
      <c r="S239" s="103">
        <f t="shared" si="316"/>
        <v>9.5745301243363922E-4</v>
      </c>
      <c r="T239" s="103">
        <f t="shared" si="316"/>
        <v>8.9254218397241409E-4</v>
      </c>
      <c r="U239" s="103">
        <f t="shared" si="316"/>
        <v>9.1411324178679841E-4</v>
      </c>
      <c r="V239" s="103">
        <f t="shared" si="316"/>
        <v>9.1728684490562443E-4</v>
      </c>
      <c r="W239" s="103">
        <f t="shared" ref="W239" si="317">IF(W21=0,0,W21/W$19)</f>
        <v>8.8075235277365659E-4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1.1421910315708295E-2</v>
      </c>
      <c r="C240" s="103">
        <f t="shared" si="318"/>
        <v>1.5117123731547784E-2</v>
      </c>
      <c r="D240" s="103">
        <f t="shared" si="318"/>
        <v>1.6577066117161421E-2</v>
      </c>
      <c r="E240" s="103">
        <f t="shared" si="318"/>
        <v>1.9214030520815634E-2</v>
      </c>
      <c r="F240" s="103">
        <f t="shared" si="318"/>
        <v>2.1003922776334585E-2</v>
      </c>
      <c r="G240" s="103">
        <f t="shared" si="318"/>
        <v>1.9620229396398559E-2</v>
      </c>
      <c r="H240" s="103">
        <f t="shared" si="318"/>
        <v>2.1125183117010525E-2</v>
      </c>
      <c r="I240" s="103">
        <f t="shared" si="318"/>
        <v>2.2182208928422004E-2</v>
      </c>
      <c r="J240" s="103">
        <f t="shared" si="318"/>
        <v>2.2779266351696442E-2</v>
      </c>
      <c r="K240" s="103">
        <f t="shared" si="318"/>
        <v>2.7727103641863707E-2</v>
      </c>
      <c r="L240" s="103">
        <f t="shared" ref="L240" si="319">IF(L22=0,0,L22/L$19)</f>
        <v>2.8635565890353685E-2</v>
      </c>
      <c r="M240" s="103">
        <f t="shared" ref="M240:V240" si="320">IF(M22=0,0,M22/M$19)</f>
        <v>2.9921638247298973E-2</v>
      </c>
      <c r="N240" s="103">
        <f t="shared" si="320"/>
        <v>3.307082325280325E-2</v>
      </c>
      <c r="O240" s="103">
        <f t="shared" si="320"/>
        <v>3.2925520256354909E-2</v>
      </c>
      <c r="P240" s="103">
        <f t="shared" si="320"/>
        <v>2.9050594517113146E-2</v>
      </c>
      <c r="Q240" s="103">
        <f t="shared" si="320"/>
        <v>3.0504981072245124E-2</v>
      </c>
      <c r="R240" s="103">
        <f t="shared" si="320"/>
        <v>3.0637273030112731E-2</v>
      </c>
      <c r="S240" s="103">
        <f t="shared" si="320"/>
        <v>3.3477610226748167E-2</v>
      </c>
      <c r="T240" s="103">
        <f t="shared" si="320"/>
        <v>3.1838892365940105E-2</v>
      </c>
      <c r="U240" s="103">
        <f t="shared" si="320"/>
        <v>3.3159069987122869E-2</v>
      </c>
      <c r="V240" s="103">
        <f t="shared" si="320"/>
        <v>3.2980970737137891E-2</v>
      </c>
      <c r="W240" s="103">
        <f t="shared" ref="W240" si="321">IF(W22=0,0,W22/W$19)</f>
        <v>3.0536933298657327E-2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0</v>
      </c>
      <c r="P241" s="103">
        <f t="shared" si="324"/>
        <v>0</v>
      </c>
      <c r="Q241" s="103">
        <f t="shared" si="324"/>
        <v>0</v>
      </c>
      <c r="R241" s="103">
        <f t="shared" si="324"/>
        <v>0</v>
      </c>
      <c r="S241" s="103">
        <f t="shared" si="324"/>
        <v>0</v>
      </c>
      <c r="T241" s="103">
        <f t="shared" si="324"/>
        <v>0</v>
      </c>
      <c r="U241" s="103">
        <f t="shared" si="324"/>
        <v>0</v>
      </c>
      <c r="V241" s="103">
        <f t="shared" si="324"/>
        <v>0</v>
      </c>
      <c r="W241" s="103">
        <f t="shared" ref="W241" si="325">IF(W23=0,0,W23/W$19)</f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1.2426883520970201E-7</v>
      </c>
      <c r="D242" s="103">
        <f t="shared" si="326"/>
        <v>6.860042994250296E-7</v>
      </c>
      <c r="E242" s="103">
        <f t="shared" si="326"/>
        <v>1.882584171602231E-6</v>
      </c>
      <c r="F242" s="103">
        <f t="shared" si="326"/>
        <v>2.8635395827595967E-6</v>
      </c>
      <c r="G242" s="103">
        <f t="shared" si="326"/>
        <v>5.3581189174758431E-6</v>
      </c>
      <c r="H242" s="103">
        <f t="shared" si="326"/>
        <v>1.3016354948163017E-5</v>
      </c>
      <c r="I242" s="103">
        <f t="shared" si="326"/>
        <v>2.7155143208250373E-5</v>
      </c>
      <c r="J242" s="103">
        <f t="shared" si="326"/>
        <v>4.9551376612561138E-5</v>
      </c>
      <c r="K242" s="103">
        <f t="shared" si="326"/>
        <v>9.3365602327186579E-5</v>
      </c>
      <c r="L242" s="103">
        <f t="shared" ref="L242" si="327">IF(L24=0,0,L24/L$19)</f>
        <v>1.032076260642301E-4</v>
      </c>
      <c r="M242" s="103">
        <f t="shared" ref="M242:V242" si="328">IF(M24=0,0,M24/M$19)</f>
        <v>1.1451434428105255E-4</v>
      </c>
      <c r="N242" s="103">
        <f t="shared" si="328"/>
        <v>1.4585877877913635E-4</v>
      </c>
      <c r="O242" s="103">
        <f t="shared" si="328"/>
        <v>1.4710158601173367E-4</v>
      </c>
      <c r="P242" s="103">
        <f t="shared" si="328"/>
        <v>1.3100152471699265E-4</v>
      </c>
      <c r="Q242" s="103">
        <f t="shared" si="328"/>
        <v>1.437165486867904E-4</v>
      </c>
      <c r="R242" s="103">
        <f t="shared" si="328"/>
        <v>1.44285692213642E-4</v>
      </c>
      <c r="S242" s="103">
        <f t="shared" si="328"/>
        <v>1.6549428714546937E-4</v>
      </c>
      <c r="T242" s="103">
        <f t="shared" si="328"/>
        <v>2.697912997323395E-4</v>
      </c>
      <c r="U242" s="103">
        <f t="shared" si="328"/>
        <v>2.8532502617358761E-4</v>
      </c>
      <c r="V242" s="103">
        <f t="shared" si="328"/>
        <v>2.8626181392915986E-4</v>
      </c>
      <c r="W242" s="103">
        <f t="shared" ref="W242" si="329">IF(W24=0,0,W24/W$19)</f>
        <v>2.6214163346480521E-4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6.3385142203548787E-8</v>
      </c>
      <c r="H243" s="103">
        <f t="shared" si="330"/>
        <v>6.3271359299022037E-6</v>
      </c>
      <c r="I243" s="103">
        <f t="shared" si="330"/>
        <v>5.8453986706719322E-6</v>
      </c>
      <c r="J243" s="103">
        <f t="shared" si="330"/>
        <v>5.701655264922476E-6</v>
      </c>
      <c r="K243" s="103">
        <f t="shared" si="330"/>
        <v>6.8006146821221814E-6</v>
      </c>
      <c r="L243" s="103">
        <f t="shared" ref="L243" si="331">IF(L25=0,0,L25/L$19)</f>
        <v>6.3767164958599338E-6</v>
      </c>
      <c r="M243" s="103">
        <f t="shared" ref="M243:V243" si="332">IF(M25=0,0,M25/M$19)</f>
        <v>6.4425851478431014E-6</v>
      </c>
      <c r="N243" s="103">
        <f t="shared" si="332"/>
        <v>1.3135614535759889E-5</v>
      </c>
      <c r="O243" s="103">
        <f t="shared" si="332"/>
        <v>1.890855591429946E-5</v>
      </c>
      <c r="P243" s="103">
        <f t="shared" si="332"/>
        <v>2.4370595770287686E-5</v>
      </c>
      <c r="Q243" s="103">
        <f t="shared" si="332"/>
        <v>3.5962253100099316E-5</v>
      </c>
      <c r="R243" s="103">
        <f t="shared" si="332"/>
        <v>4.3252942672225109E-5</v>
      </c>
      <c r="S243" s="103">
        <f t="shared" si="332"/>
        <v>5.4888358639040558E-5</v>
      </c>
      <c r="T243" s="103">
        <f t="shared" si="332"/>
        <v>7.1615924319681773E-5</v>
      </c>
      <c r="U243" s="103">
        <f t="shared" si="332"/>
        <v>1.0876637226706057E-4</v>
      </c>
      <c r="V243" s="103">
        <f t="shared" si="332"/>
        <v>1.591480365392469E-4</v>
      </c>
      <c r="W243" s="103">
        <f t="shared" ref="W243" si="333">IF(W25=0,0,W25/W$19)</f>
        <v>2.1160931883041292E-4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0.98241152891116279</v>
      </c>
      <c r="C244" s="156">
        <f t="shared" si="334"/>
        <v>0.97869776719061186</v>
      </c>
      <c r="D244" s="156">
        <f t="shared" si="334"/>
        <v>0.97796222810325617</v>
      </c>
      <c r="E244" s="156">
        <f t="shared" si="334"/>
        <v>0.97582915948257754</v>
      </c>
      <c r="F244" s="156">
        <f t="shared" si="334"/>
        <v>0.97477381541325558</v>
      </c>
      <c r="G244" s="156">
        <f t="shared" si="334"/>
        <v>0.97663745475471642</v>
      </c>
      <c r="H244" s="156">
        <f t="shared" si="334"/>
        <v>0.97563628691376447</v>
      </c>
      <c r="I244" s="156">
        <f t="shared" si="334"/>
        <v>0.97487322793434117</v>
      </c>
      <c r="J244" s="156">
        <f t="shared" si="334"/>
        <v>0.97460221547821768</v>
      </c>
      <c r="K244" s="156">
        <f t="shared" si="334"/>
        <v>0.96936713180539957</v>
      </c>
      <c r="L244" s="156">
        <f t="shared" ref="L244" si="335">IF(L26=0,0,L26/L$19)</f>
        <v>0.96884941129815794</v>
      </c>
      <c r="M244" s="156">
        <f t="shared" ref="M244:V244" si="336">IF(M26=0,0,M26/M$19)</f>
        <v>0.96773812465079656</v>
      </c>
      <c r="N244" s="156">
        <f t="shared" si="336"/>
        <v>0.96466918423005932</v>
      </c>
      <c r="O244" s="156">
        <f t="shared" si="336"/>
        <v>0.96513701300089672</v>
      </c>
      <c r="P244" s="156">
        <f t="shared" si="336"/>
        <v>0.96940753090135101</v>
      </c>
      <c r="Q244" s="156">
        <f t="shared" si="336"/>
        <v>0.9680175613086156</v>
      </c>
      <c r="R244" s="156">
        <f t="shared" si="336"/>
        <v>0.96811586422885676</v>
      </c>
      <c r="S244" s="156">
        <f t="shared" si="336"/>
        <v>0.96534455411503373</v>
      </c>
      <c r="T244" s="156">
        <f t="shared" si="336"/>
        <v>0.96692715822603548</v>
      </c>
      <c r="U244" s="156">
        <f t="shared" si="336"/>
        <v>0.96553272537264967</v>
      </c>
      <c r="V244" s="156">
        <f t="shared" si="336"/>
        <v>0.96565633256748817</v>
      </c>
      <c r="W244" s="156">
        <f t="shared" ref="W244" si="337">IF(W26=0,0,W26/W$19)</f>
        <v>0.96810856339627382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0.79285483971250059</v>
      </c>
      <c r="C245" s="103">
        <f t="shared" si="338"/>
        <v>0.77137761083363476</v>
      </c>
      <c r="D245" s="103">
        <f t="shared" si="338"/>
        <v>0.77132350826853113</v>
      </c>
      <c r="E245" s="103">
        <f t="shared" si="338"/>
        <v>0.76511473924951734</v>
      </c>
      <c r="F245" s="103">
        <f t="shared" si="338"/>
        <v>0.74542619040083835</v>
      </c>
      <c r="G245" s="103">
        <f t="shared" si="338"/>
        <v>0.75119267427823244</v>
      </c>
      <c r="H245" s="103">
        <f t="shared" si="338"/>
        <v>0.73970613574941846</v>
      </c>
      <c r="I245" s="103">
        <f t="shared" si="338"/>
        <v>0.74017793448099445</v>
      </c>
      <c r="J245" s="103">
        <f t="shared" si="338"/>
        <v>0.75645161391213578</v>
      </c>
      <c r="K245" s="103">
        <f t="shared" si="338"/>
        <v>0.76345270151725764</v>
      </c>
      <c r="L245" s="103">
        <f t="shared" ref="L245" si="339">IF(L27=0,0,L27/L$19)</f>
        <v>0.74706993444506131</v>
      </c>
      <c r="M245" s="103">
        <f t="shared" ref="M245:V245" si="340">IF(M27=0,0,M27/M$19)</f>
        <v>0.75341861448141656</v>
      </c>
      <c r="N245" s="103">
        <f t="shared" si="340"/>
        <v>0.73996180011834767</v>
      </c>
      <c r="O245" s="103">
        <f t="shared" si="340"/>
        <v>0.71923770278140187</v>
      </c>
      <c r="P245" s="103">
        <f t="shared" si="340"/>
        <v>0.77066779513360373</v>
      </c>
      <c r="Q245" s="103">
        <f t="shared" si="340"/>
        <v>0.74659697653353185</v>
      </c>
      <c r="R245" s="103">
        <f t="shared" si="340"/>
        <v>0.741672089120889</v>
      </c>
      <c r="S245" s="103">
        <f t="shared" si="340"/>
        <v>0.73785086235813624</v>
      </c>
      <c r="T245" s="103">
        <f t="shared" si="340"/>
        <v>0.74405193043009454</v>
      </c>
      <c r="U245" s="103">
        <f t="shared" si="340"/>
        <v>0.75196972429612696</v>
      </c>
      <c r="V245" s="103">
        <f t="shared" si="340"/>
        <v>0.75143311336084384</v>
      </c>
      <c r="W245" s="103">
        <f t="shared" ref="W245" si="341">IF(W27=0,0,W27/W$19)</f>
        <v>0.75135682031843654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0.18955668919866223</v>
      </c>
      <c r="C246" s="105">
        <f t="shared" si="342"/>
        <v>0.20732015635697712</v>
      </c>
      <c r="D246" s="105">
        <f t="shared" si="342"/>
        <v>0.20663871983472515</v>
      </c>
      <c r="E246" s="105">
        <f t="shared" si="342"/>
        <v>0.21071442023306017</v>
      </c>
      <c r="F246" s="105">
        <f t="shared" si="342"/>
        <v>0.22934762501241726</v>
      </c>
      <c r="G246" s="105">
        <f t="shared" si="342"/>
        <v>0.225444780476484</v>
      </c>
      <c r="H246" s="105">
        <f t="shared" si="342"/>
        <v>0.2359301511643459</v>
      </c>
      <c r="I246" s="105">
        <f t="shared" si="342"/>
        <v>0.23469529345334669</v>
      </c>
      <c r="J246" s="105">
        <f t="shared" si="342"/>
        <v>0.21815060156608196</v>
      </c>
      <c r="K246" s="105">
        <f t="shared" si="342"/>
        <v>0.20591443028814202</v>
      </c>
      <c r="L246" s="105">
        <f t="shared" ref="L246" si="343">IF(L28=0,0,L28/L$19)</f>
        <v>0.2217794768530966</v>
      </c>
      <c r="M246" s="105">
        <f t="shared" ref="M246:V246" si="344">IF(M28=0,0,M28/M$19)</f>
        <v>0.21431951016938003</v>
      </c>
      <c r="N246" s="105">
        <f t="shared" si="344"/>
        <v>0.22470738411171176</v>
      </c>
      <c r="O246" s="105">
        <f t="shared" si="344"/>
        <v>0.2458993102194949</v>
      </c>
      <c r="P246" s="105">
        <f t="shared" si="344"/>
        <v>0.19873973576774723</v>
      </c>
      <c r="Q246" s="105">
        <f t="shared" si="344"/>
        <v>0.22142058477508375</v>
      </c>
      <c r="R246" s="105">
        <f t="shared" si="344"/>
        <v>0.2264437751079677</v>
      </c>
      <c r="S246" s="105">
        <f t="shared" si="344"/>
        <v>0.22749369175689743</v>
      </c>
      <c r="T246" s="105">
        <f t="shared" si="344"/>
        <v>0.22287522779594096</v>
      </c>
      <c r="U246" s="105">
        <f t="shared" si="344"/>
        <v>0.21356300107652268</v>
      </c>
      <c r="V246" s="105">
        <f t="shared" si="344"/>
        <v>0.21422321920664428</v>
      </c>
      <c r="W246" s="105">
        <f t="shared" ref="W246" si="345">IF(W28=0,0,W28/W$19)</f>
        <v>0.21675174307783732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9.4076957878094971E-3</v>
      </c>
      <c r="C250" s="154">
        <f t="shared" si="350"/>
        <v>1.0109818911557855E-2</v>
      </c>
      <c r="D250" s="154">
        <f t="shared" si="350"/>
        <v>1.0939156389800097E-2</v>
      </c>
      <c r="E250" s="154">
        <f t="shared" si="350"/>
        <v>1.162475477762955E-2</v>
      </c>
      <c r="F250" s="154">
        <f t="shared" si="350"/>
        <v>1.2395180258182554E-2</v>
      </c>
      <c r="G250" s="154">
        <f t="shared" si="350"/>
        <v>1.3067124793829722E-2</v>
      </c>
      <c r="H250" s="154">
        <f t="shared" si="350"/>
        <v>1.414149316808809E-2</v>
      </c>
      <c r="I250" s="154">
        <f t="shared" si="350"/>
        <v>1.5087711772939704E-2</v>
      </c>
      <c r="J250" s="154">
        <f t="shared" si="350"/>
        <v>1.4650109643827847E-2</v>
      </c>
      <c r="K250" s="154">
        <f t="shared" si="350"/>
        <v>1.4407523039887566E-2</v>
      </c>
      <c r="L250" s="154">
        <f t="shared" ref="L250" si="351">IF(L32=0,0,L32/L$31)</f>
        <v>1.3385142015308427E-2</v>
      </c>
      <c r="M250" s="154">
        <f t="shared" ref="M250:V250" si="352">IF(M32=0,0,M32/M$31)</f>
        <v>1.2515159959247674E-2</v>
      </c>
      <c r="N250" s="154">
        <f t="shared" si="352"/>
        <v>1.0723157395583835E-2</v>
      </c>
      <c r="O250" s="154">
        <f t="shared" si="352"/>
        <v>1.1636189480436706E-2</v>
      </c>
      <c r="P250" s="154">
        <f t="shared" si="352"/>
        <v>1.1110895857723643E-2</v>
      </c>
      <c r="Q250" s="154">
        <f t="shared" si="352"/>
        <v>1.0478443812095548E-2</v>
      </c>
      <c r="R250" s="154">
        <f t="shared" si="352"/>
        <v>1.0575831079984808E-2</v>
      </c>
      <c r="S250" s="154">
        <f t="shared" si="352"/>
        <v>9.730678299092365E-3</v>
      </c>
      <c r="T250" s="154">
        <f t="shared" si="352"/>
        <v>9.1584000723816984E-3</v>
      </c>
      <c r="U250" s="154">
        <f t="shared" si="352"/>
        <v>9.752519779964143E-3</v>
      </c>
      <c r="V250" s="154">
        <f t="shared" si="352"/>
        <v>9.2555453688630551E-3</v>
      </c>
      <c r="W250" s="154">
        <f t="shared" ref="W250" si="353">IF(W32=0,0,W32/W$31)</f>
        <v>9.2860853300907771E-3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0.97016616571508552</v>
      </c>
      <c r="C251" s="156">
        <f t="shared" si="354"/>
        <v>0.97022648078026685</v>
      </c>
      <c r="D251" s="156">
        <f t="shared" si="354"/>
        <v>0.97019601871652739</v>
      </c>
      <c r="E251" s="156">
        <f t="shared" si="354"/>
        <v>0.97011563040606807</v>
      </c>
      <c r="F251" s="156">
        <f t="shared" si="354"/>
        <v>0.97009262585851541</v>
      </c>
      <c r="G251" s="156">
        <f t="shared" si="354"/>
        <v>0.96921336851980056</v>
      </c>
      <c r="H251" s="156">
        <f t="shared" si="354"/>
        <v>0.96844130055709154</v>
      </c>
      <c r="I251" s="156">
        <f t="shared" si="354"/>
        <v>0.96844224003890689</v>
      </c>
      <c r="J251" s="156">
        <f t="shared" si="354"/>
        <v>0.9689758992548454</v>
      </c>
      <c r="K251" s="156">
        <f t="shared" si="354"/>
        <v>0.96965892344247973</v>
      </c>
      <c r="L251" s="156">
        <f t="shared" ref="L251" si="355">IF(L33=0,0,L33/L$31)</f>
        <v>0.97023560063668546</v>
      </c>
      <c r="M251" s="156">
        <f t="shared" ref="M251:V251" si="356">IF(M33=0,0,M33/M$31)</f>
        <v>0.97124372565905781</v>
      </c>
      <c r="N251" s="156">
        <f t="shared" si="356"/>
        <v>0.97269626962606748</v>
      </c>
      <c r="O251" s="156">
        <f t="shared" si="356"/>
        <v>0.97217067400271284</v>
      </c>
      <c r="P251" s="156">
        <f t="shared" si="356"/>
        <v>0.97355158507642725</v>
      </c>
      <c r="Q251" s="156">
        <f t="shared" si="356"/>
        <v>0.97488299584226323</v>
      </c>
      <c r="R251" s="156">
        <f t="shared" si="356"/>
        <v>0.9753224404841927</v>
      </c>
      <c r="S251" s="156">
        <f t="shared" si="356"/>
        <v>0.97646770486660417</v>
      </c>
      <c r="T251" s="156">
        <f t="shared" si="356"/>
        <v>0.97721605459643257</v>
      </c>
      <c r="U251" s="156">
        <f t="shared" si="356"/>
        <v>0.97665014881501855</v>
      </c>
      <c r="V251" s="156">
        <f t="shared" si="356"/>
        <v>0.9775448389452106</v>
      </c>
      <c r="W251" s="156">
        <f t="shared" ref="W251" si="357">IF(W33=0,0,W33/W$31)</f>
        <v>0.97828388335744487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0.86734341201208154</v>
      </c>
      <c r="C252" s="103">
        <f t="shared" si="358"/>
        <v>0.87231244964546473</v>
      </c>
      <c r="D252" s="103">
        <f t="shared" si="358"/>
        <v>0.87192704958180778</v>
      </c>
      <c r="E252" s="103">
        <f t="shared" si="358"/>
        <v>0.86951371626570084</v>
      </c>
      <c r="F252" s="103">
        <f t="shared" si="358"/>
        <v>0.86602708924330107</v>
      </c>
      <c r="G252" s="103">
        <f t="shared" si="358"/>
        <v>0.8562690798094974</v>
      </c>
      <c r="H252" s="103">
        <f t="shared" si="358"/>
        <v>0.83749460074703574</v>
      </c>
      <c r="I252" s="103">
        <f t="shared" si="358"/>
        <v>0.80097470055637421</v>
      </c>
      <c r="J252" s="103">
        <f t="shared" si="358"/>
        <v>0.77207045736312729</v>
      </c>
      <c r="K252" s="103">
        <f t="shared" si="358"/>
        <v>0.74034678488433636</v>
      </c>
      <c r="L252" s="103">
        <f t="shared" ref="L252" si="359">IF(L34=0,0,L34/L$31)</f>
        <v>0.69050305728400896</v>
      </c>
      <c r="M252" s="103">
        <f t="shared" ref="M252:V252" si="360">IF(M34=0,0,M34/M$31)</f>
        <v>0.63081629195313726</v>
      </c>
      <c r="N252" s="103">
        <f t="shared" si="360"/>
        <v>0.57686728536280796</v>
      </c>
      <c r="O252" s="103">
        <f t="shared" si="360"/>
        <v>0.53654665535017987</v>
      </c>
      <c r="P252" s="103">
        <f t="shared" si="360"/>
        <v>0.49946519847826465</v>
      </c>
      <c r="Q252" s="103">
        <f t="shared" si="360"/>
        <v>0.46431210732708456</v>
      </c>
      <c r="R252" s="103">
        <f t="shared" si="360"/>
        <v>0.43473599968734544</v>
      </c>
      <c r="S252" s="103">
        <f t="shared" si="360"/>
        <v>0.41461311014955088</v>
      </c>
      <c r="T252" s="103">
        <f t="shared" si="360"/>
        <v>0.40005496672175994</v>
      </c>
      <c r="U252" s="103">
        <f t="shared" si="360"/>
        <v>0.39892635633680951</v>
      </c>
      <c r="V252" s="103">
        <f t="shared" si="360"/>
        <v>0.39840871360935182</v>
      </c>
      <c r="W252" s="103">
        <f t="shared" ref="W252" si="361">IF(W34=0,0,W34/W$31)</f>
        <v>0.39703157015198798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0.10282275370300401</v>
      </c>
      <c r="C253" s="103">
        <f t="shared" si="362"/>
        <v>9.7914031134802113E-2</v>
      </c>
      <c r="D253" s="103">
        <f t="shared" si="362"/>
        <v>9.7938752640745932E-2</v>
      </c>
      <c r="E253" s="103">
        <f t="shared" si="362"/>
        <v>9.9955523016805062E-2</v>
      </c>
      <c r="F253" s="103">
        <f t="shared" si="362"/>
        <v>0.10307271633790135</v>
      </c>
      <c r="G253" s="103">
        <f t="shared" si="362"/>
        <v>0.11134861018258668</v>
      </c>
      <c r="H253" s="103">
        <f t="shared" si="362"/>
        <v>0.12936627058686131</v>
      </c>
      <c r="I253" s="103">
        <f t="shared" si="362"/>
        <v>0.16573932536633748</v>
      </c>
      <c r="J253" s="103">
        <f t="shared" si="362"/>
        <v>0.19491110248272478</v>
      </c>
      <c r="K253" s="103">
        <f t="shared" si="362"/>
        <v>0.22714326874515114</v>
      </c>
      <c r="L253" s="103">
        <f t="shared" ref="L253" si="363">IF(L35=0,0,L35/L$31)</f>
        <v>0.27538660068818505</v>
      </c>
      <c r="M253" s="103">
        <f t="shared" ref="M253:V253" si="364">IF(M35=0,0,M35/M$31)</f>
        <v>0.334310793491011</v>
      </c>
      <c r="N253" s="103">
        <f t="shared" si="364"/>
        <v>0.38836004783385136</v>
      </c>
      <c r="O253" s="103">
        <f t="shared" si="364"/>
        <v>0.42746704523885787</v>
      </c>
      <c r="P253" s="103">
        <f t="shared" si="364"/>
        <v>0.4643680573266073</v>
      </c>
      <c r="Q253" s="103">
        <f t="shared" si="364"/>
        <v>0.4989673462618085</v>
      </c>
      <c r="R253" s="103">
        <f t="shared" si="364"/>
        <v>0.52562016449796944</v>
      </c>
      <c r="S253" s="103">
        <f t="shared" si="364"/>
        <v>0.54476491720023501</v>
      </c>
      <c r="T253" s="103">
        <f t="shared" si="364"/>
        <v>0.55681466581834393</v>
      </c>
      <c r="U253" s="103">
        <f t="shared" si="364"/>
        <v>0.55236701289822454</v>
      </c>
      <c r="V253" s="103">
        <f t="shared" si="364"/>
        <v>0.53794540751097508</v>
      </c>
      <c r="W253" s="103">
        <f t="shared" ref="W253" si="365">IF(W35=0,0,W35/W$31)</f>
        <v>0.51686907834971763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</v>
      </c>
      <c r="C254" s="103">
        <f t="shared" si="366"/>
        <v>0</v>
      </c>
      <c r="D254" s="103">
        <f t="shared" si="366"/>
        <v>0</v>
      </c>
      <c r="E254" s="103">
        <f t="shared" si="366"/>
        <v>0</v>
      </c>
      <c r="F254" s="103">
        <f t="shared" si="366"/>
        <v>0</v>
      </c>
      <c r="G254" s="103">
        <f t="shared" si="366"/>
        <v>1.2957749973820624E-4</v>
      </c>
      <c r="H254" s="103">
        <f t="shared" si="366"/>
        <v>1.181236893811551E-4</v>
      </c>
      <c r="I254" s="103">
        <f t="shared" si="366"/>
        <v>1.1258992504519733E-4</v>
      </c>
      <c r="J254" s="103">
        <f t="shared" si="366"/>
        <v>1.1682639999608536E-4</v>
      </c>
      <c r="K254" s="103">
        <f t="shared" si="366"/>
        <v>1.495253292512947E-4</v>
      </c>
      <c r="L254" s="103">
        <f t="shared" ref="L254" si="367">IF(L36=0,0,L36/L$31)</f>
        <v>1.2477475030916017E-4</v>
      </c>
      <c r="M254" s="103">
        <f t="shared" ref="M254:V254" si="368">IF(M36=0,0,M36/M$31)</f>
        <v>1.6515466204861638E-4</v>
      </c>
      <c r="N254" s="103">
        <f t="shared" si="368"/>
        <v>1.5755842823090524E-4</v>
      </c>
      <c r="O254" s="103">
        <f t="shared" si="368"/>
        <v>1.5238703059079902E-4</v>
      </c>
      <c r="P254" s="103">
        <f t="shared" si="368"/>
        <v>1.4603443820451244E-4</v>
      </c>
      <c r="Q254" s="103">
        <f t="shared" si="368"/>
        <v>1.3919795744955259E-4</v>
      </c>
      <c r="R254" s="103">
        <f t="shared" si="368"/>
        <v>1.2625334548968837E-4</v>
      </c>
      <c r="S254" s="103">
        <f t="shared" si="368"/>
        <v>0</v>
      </c>
      <c r="T254" s="103">
        <f t="shared" si="368"/>
        <v>0</v>
      </c>
      <c r="U254" s="103">
        <f t="shared" si="368"/>
        <v>0</v>
      </c>
      <c r="V254" s="103">
        <f t="shared" si="368"/>
        <v>0</v>
      </c>
      <c r="W254" s="103">
        <f t="shared" ref="W254" si="369">IF(W36=0,0,W36/W$31)</f>
        <v>0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3.3021649397369169E-4</v>
      </c>
      <c r="E255" s="103">
        <f t="shared" si="370"/>
        <v>6.4639112356208977E-4</v>
      </c>
      <c r="F255" s="103">
        <f t="shared" si="370"/>
        <v>9.9282027731314591E-4</v>
      </c>
      <c r="G255" s="103">
        <f t="shared" si="370"/>
        <v>1.4661010279782493E-3</v>
      </c>
      <c r="H255" s="103">
        <f t="shared" si="370"/>
        <v>1.4623055338132953E-3</v>
      </c>
      <c r="I255" s="103">
        <f t="shared" si="370"/>
        <v>1.6156241911498951E-3</v>
      </c>
      <c r="J255" s="103">
        <f t="shared" si="370"/>
        <v>1.8076930220196023E-3</v>
      </c>
      <c r="K255" s="103">
        <f t="shared" si="370"/>
        <v>1.9364085264133479E-3</v>
      </c>
      <c r="L255" s="103">
        <f t="shared" ref="L255" si="371">IF(L37=0,0,L37/L$31)</f>
        <v>4.1244766594030523E-3</v>
      </c>
      <c r="M255" s="103">
        <f t="shared" ref="M255:V255" si="372">IF(M37=0,0,M37/M$31)</f>
        <v>5.7708636940177523E-3</v>
      </c>
      <c r="N255" s="103">
        <f t="shared" si="372"/>
        <v>6.9521757847652741E-3</v>
      </c>
      <c r="O255" s="103">
        <f t="shared" si="372"/>
        <v>7.4594597929197679E-3</v>
      </c>
      <c r="P255" s="103">
        <f t="shared" si="372"/>
        <v>8.1710994174722176E-3</v>
      </c>
      <c r="Q255" s="103">
        <f t="shared" si="372"/>
        <v>8.7255053736143128E-3</v>
      </c>
      <c r="R255" s="103">
        <f t="shared" si="372"/>
        <v>1.0182144021430906E-2</v>
      </c>
      <c r="S255" s="103">
        <f t="shared" si="372"/>
        <v>9.8308870732091071E-3</v>
      </c>
      <c r="T255" s="103">
        <f t="shared" si="372"/>
        <v>9.4360756946101822E-3</v>
      </c>
      <c r="U255" s="103">
        <f t="shared" si="372"/>
        <v>9.0233803158378655E-3</v>
      </c>
      <c r="V255" s="103">
        <f t="shared" si="372"/>
        <v>9.3269198174973453E-3</v>
      </c>
      <c r="W255" s="103">
        <f t="shared" ref="W255" si="373">IF(W37=0,0,W37/W$31)</f>
        <v>8.9722990924558481E-3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2.7230865746786291E-5</v>
      </c>
      <c r="K256" s="103">
        <f t="shared" si="374"/>
        <v>3.2488604466822778E-5</v>
      </c>
      <c r="L256" s="103">
        <f t="shared" ref="L256" si="375">IF(L38=0,0,L38/L$31)</f>
        <v>3.7143966112127927E-5</v>
      </c>
      <c r="M256" s="103">
        <f t="shared" ref="M256:V256" si="376">IF(M38=0,0,M38/M$31)</f>
        <v>6.9629001178673973E-5</v>
      </c>
      <c r="N256" s="103">
        <f t="shared" si="376"/>
        <v>1.7938086237372791E-4</v>
      </c>
      <c r="O256" s="103">
        <f t="shared" si="376"/>
        <v>2.5200746511433165E-4</v>
      </c>
      <c r="P256" s="103">
        <f t="shared" si="376"/>
        <v>8.0096696593098425E-4</v>
      </c>
      <c r="Q256" s="103">
        <f t="shared" si="376"/>
        <v>1.5015388865999796E-3</v>
      </c>
      <c r="R256" s="103">
        <f t="shared" si="376"/>
        <v>2.7873948441840017E-3</v>
      </c>
      <c r="S256" s="103">
        <f t="shared" si="376"/>
        <v>4.6071977335306429E-3</v>
      </c>
      <c r="T256" s="103">
        <f t="shared" si="376"/>
        <v>6.9690479542035234E-3</v>
      </c>
      <c r="U256" s="103">
        <f t="shared" si="376"/>
        <v>9.1541908682566085E-3</v>
      </c>
      <c r="V256" s="103">
        <f t="shared" si="376"/>
        <v>1.7769596129691693E-2</v>
      </c>
      <c r="W256" s="103">
        <f t="shared" ref="W256" si="377">IF(W38=0,0,W38/W$31)</f>
        <v>2.7441190171720902E-2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4.2589121230856735E-5</v>
      </c>
      <c r="K257" s="103">
        <f t="shared" si="378"/>
        <v>5.0447352860897863E-5</v>
      </c>
      <c r="L257" s="103">
        <f t="shared" ref="L257" si="379">IF(L39=0,0,L39/L$31)</f>
        <v>5.9547288667098767E-5</v>
      </c>
      <c r="M257" s="103">
        <f t="shared" ref="M257:V257" si="380">IF(M39=0,0,M39/M$31)</f>
        <v>1.1099285766452588E-4</v>
      </c>
      <c r="N257" s="103">
        <f t="shared" si="380"/>
        <v>1.7982135403839142E-4</v>
      </c>
      <c r="O257" s="103">
        <f t="shared" si="380"/>
        <v>2.931191250503724E-4</v>
      </c>
      <c r="P257" s="103">
        <f t="shared" si="380"/>
        <v>6.0022844994755953E-4</v>
      </c>
      <c r="Q257" s="103">
        <f t="shared" si="380"/>
        <v>1.2373000357063495E-3</v>
      </c>
      <c r="R257" s="103">
        <f t="shared" si="380"/>
        <v>1.8704840877731663E-3</v>
      </c>
      <c r="S257" s="103">
        <f t="shared" si="380"/>
        <v>2.6515927100784474E-3</v>
      </c>
      <c r="T257" s="103">
        <f t="shared" si="380"/>
        <v>3.9412984075151954E-3</v>
      </c>
      <c r="U257" s="103">
        <f t="shared" si="380"/>
        <v>7.1792083958901369E-3</v>
      </c>
      <c r="V257" s="103">
        <f t="shared" si="380"/>
        <v>1.4094201877694851E-2</v>
      </c>
      <c r="W257" s="103">
        <f t="shared" ref="W257" si="381">IF(W39=0,0,W39/W$31)</f>
        <v>2.7969745591562435E-2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2.0426138497104989E-2</v>
      </c>
      <c r="C258" s="156">
        <f t="shared" si="382"/>
        <v>1.9663700308175318E-2</v>
      </c>
      <c r="D258" s="156">
        <f t="shared" si="382"/>
        <v>1.8864824893672451E-2</v>
      </c>
      <c r="E258" s="156">
        <f t="shared" si="382"/>
        <v>1.8259614816302415E-2</v>
      </c>
      <c r="F258" s="156">
        <f t="shared" si="382"/>
        <v>1.7512193883302003E-2</v>
      </c>
      <c r="G258" s="156">
        <f t="shared" si="382"/>
        <v>1.7719506686369714E-2</v>
      </c>
      <c r="H258" s="156">
        <f t="shared" si="382"/>
        <v>1.7417206274820362E-2</v>
      </c>
      <c r="I258" s="156">
        <f t="shared" si="382"/>
        <v>1.6470048188153529E-2</v>
      </c>
      <c r="J258" s="156">
        <f t="shared" si="382"/>
        <v>1.6373991101326674E-2</v>
      </c>
      <c r="K258" s="156">
        <f t="shared" si="382"/>
        <v>1.5933553517632669E-2</v>
      </c>
      <c r="L258" s="156">
        <f t="shared" ref="L258" si="383">IF(L40=0,0,L40/L$31)</f>
        <v>1.6379257348006004E-2</v>
      </c>
      <c r="M258" s="156">
        <f t="shared" ref="M258:V258" si="384">IF(M40=0,0,M40/M$31)</f>
        <v>1.62411143816946E-2</v>
      </c>
      <c r="N258" s="156">
        <f t="shared" si="384"/>
        <v>1.6580572978348636E-2</v>
      </c>
      <c r="O258" s="156">
        <f t="shared" si="384"/>
        <v>1.6193136516850504E-2</v>
      </c>
      <c r="P258" s="156">
        <f t="shared" si="384"/>
        <v>1.5337519065849065E-2</v>
      </c>
      <c r="Q258" s="156">
        <f t="shared" si="384"/>
        <v>1.4638560345641228E-2</v>
      </c>
      <c r="R258" s="156">
        <f t="shared" si="384"/>
        <v>1.4101728435822476E-2</v>
      </c>
      <c r="S258" s="156">
        <f t="shared" si="384"/>
        <v>1.3801616834303537E-2</v>
      </c>
      <c r="T258" s="156">
        <f t="shared" si="384"/>
        <v>1.3625545331185615E-2</v>
      </c>
      <c r="U258" s="156">
        <f t="shared" si="384"/>
        <v>1.3597331405017421E-2</v>
      </c>
      <c r="V258" s="156">
        <f t="shared" si="384"/>
        <v>1.319961568592635E-2</v>
      </c>
      <c r="W258" s="156">
        <f t="shared" ref="W258" si="385">IF(W40=0,0,W40/W$31)</f>
        <v>1.2430031312464222E-2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6.4479393521136284E-4</v>
      </c>
      <c r="C259" s="103">
        <f t="shared" si="386"/>
        <v>5.2384942341626988E-4</v>
      </c>
      <c r="D259" s="103">
        <f t="shared" si="386"/>
        <v>4.116045948831926E-4</v>
      </c>
      <c r="E259" s="103">
        <f t="shared" si="386"/>
        <v>3.1961580550061324E-4</v>
      </c>
      <c r="F259" s="103">
        <f t="shared" si="386"/>
        <v>2.3842063755833933E-4</v>
      </c>
      <c r="G259" s="103">
        <f t="shared" si="386"/>
        <v>1.7327336661326472E-4</v>
      </c>
      <c r="H259" s="103">
        <f t="shared" si="386"/>
        <v>1.4159506987927134E-4</v>
      </c>
      <c r="I259" s="103">
        <f t="shared" si="386"/>
        <v>1.1360419791738304E-4</v>
      </c>
      <c r="J259" s="103">
        <f t="shared" si="386"/>
        <v>9.3395691779859954E-5</v>
      </c>
      <c r="K259" s="103">
        <f t="shared" si="386"/>
        <v>8.3494760057500441E-5</v>
      </c>
      <c r="L259" s="103">
        <f t="shared" ref="L259" si="387">IF(L41=0,0,L41/L$31)</f>
        <v>3.3750286317693709E-5</v>
      </c>
      <c r="M259" s="103">
        <f t="shared" ref="M259:V259" si="388">IF(M41=0,0,M41/M$31)</f>
        <v>5.8611529551017137E-5</v>
      </c>
      <c r="N259" s="103">
        <f t="shared" si="388"/>
        <v>4.8216291594962823E-5</v>
      </c>
      <c r="O259" s="103">
        <f t="shared" si="388"/>
        <v>4.6925128750257108E-5</v>
      </c>
      <c r="P259" s="103">
        <f t="shared" si="388"/>
        <v>4.1835662271829487E-5</v>
      </c>
      <c r="Q259" s="103">
        <f t="shared" si="388"/>
        <v>3.6446087286274721E-5</v>
      </c>
      <c r="R259" s="103">
        <f t="shared" si="388"/>
        <v>3.8804656138873008E-5</v>
      </c>
      <c r="S259" s="103">
        <f t="shared" si="388"/>
        <v>3.5738908794369242E-5</v>
      </c>
      <c r="T259" s="103">
        <f t="shared" si="388"/>
        <v>3.4565607874476827E-5</v>
      </c>
      <c r="U259" s="103">
        <f t="shared" si="388"/>
        <v>3.0843123329770864E-5</v>
      </c>
      <c r="V259" s="103">
        <f t="shared" si="388"/>
        <v>3.2139990369086163E-5</v>
      </c>
      <c r="W259" s="103">
        <f t="shared" ref="W259" si="389">IF(W41=0,0,W41/W$31)</f>
        <v>2.8231265774034163E-5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1.926508688126893E-2</v>
      </c>
      <c r="C260" s="103">
        <f t="shared" si="390"/>
        <v>1.8567214819181901E-2</v>
      </c>
      <c r="D260" s="103">
        <f t="shared" si="390"/>
        <v>1.7876726928246729E-2</v>
      </c>
      <c r="E260" s="103">
        <f t="shared" si="390"/>
        <v>1.7348986004294374E-2</v>
      </c>
      <c r="F260" s="103">
        <f t="shared" si="390"/>
        <v>1.6642909433563675E-2</v>
      </c>
      <c r="G260" s="103">
        <f t="shared" si="390"/>
        <v>1.6131847000374518E-2</v>
      </c>
      <c r="H260" s="103">
        <f t="shared" si="390"/>
        <v>1.6433688417696057E-2</v>
      </c>
      <c r="I260" s="103">
        <f t="shared" si="390"/>
        <v>1.5393879097026684E-2</v>
      </c>
      <c r="J260" s="103">
        <f t="shared" si="390"/>
        <v>1.4971804920488545E-2</v>
      </c>
      <c r="K260" s="103">
        <f t="shared" si="390"/>
        <v>1.4202676566930209E-2</v>
      </c>
      <c r="L260" s="103">
        <f t="shared" ref="L260" si="391">IF(L42=0,0,L42/L$31)</f>
        <v>1.4357403160588008E-2</v>
      </c>
      <c r="M260" s="103">
        <f t="shared" ref="M260:V260" si="392">IF(M42=0,0,M42/M$31)</f>
        <v>1.3590444236131332E-2</v>
      </c>
      <c r="N260" s="103">
        <f t="shared" si="392"/>
        <v>1.3744677619706517E-2</v>
      </c>
      <c r="O260" s="103">
        <f t="shared" si="392"/>
        <v>1.3052747490286837E-2</v>
      </c>
      <c r="P260" s="103">
        <f t="shared" si="392"/>
        <v>1.2282841503221833E-2</v>
      </c>
      <c r="Q260" s="103">
        <f t="shared" si="392"/>
        <v>1.1771092949919284E-2</v>
      </c>
      <c r="R260" s="103">
        <f t="shared" si="392"/>
        <v>1.1407984189470718E-2</v>
      </c>
      <c r="S260" s="103">
        <f t="shared" si="392"/>
        <v>1.1126485422187289E-2</v>
      </c>
      <c r="T260" s="103">
        <f t="shared" si="392"/>
        <v>1.1030700233642396E-2</v>
      </c>
      <c r="U260" s="103">
        <f t="shared" si="392"/>
        <v>1.0985949144587099E-2</v>
      </c>
      <c r="V260" s="103">
        <f t="shared" si="392"/>
        <v>1.0156709141591117E-2</v>
      </c>
      <c r="W260" s="103">
        <f t="shared" ref="W260" si="393">IF(W42=0,0,W42/W$31)</f>
        <v>9.5800523292555988E-3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4.9888441274360872E-4</v>
      </c>
      <c r="C262" s="103">
        <f t="shared" si="398"/>
        <v>5.5550235578991948E-4</v>
      </c>
      <c r="D262" s="103">
        <f t="shared" si="398"/>
        <v>5.6294312378995322E-4</v>
      </c>
      <c r="E262" s="103">
        <f t="shared" si="398"/>
        <v>5.7578085028421762E-4</v>
      </c>
      <c r="F262" s="103">
        <f t="shared" si="398"/>
        <v>6.1579533370551042E-4</v>
      </c>
      <c r="G262" s="103">
        <f t="shared" si="398"/>
        <v>1.4018140571092701E-3</v>
      </c>
      <c r="H262" s="103">
        <f t="shared" si="398"/>
        <v>8.3042467165910265E-4</v>
      </c>
      <c r="I262" s="103">
        <f t="shared" si="398"/>
        <v>9.5334369350484854E-4</v>
      </c>
      <c r="J262" s="103">
        <f t="shared" si="398"/>
        <v>1.3013740982595532E-3</v>
      </c>
      <c r="K262" s="103">
        <f t="shared" si="398"/>
        <v>1.6401575527347193E-3</v>
      </c>
      <c r="L262" s="103">
        <f t="shared" ref="L262" si="399">IF(L44=0,0,L44/L$31)</f>
        <v>1.9845698943721365E-3</v>
      </c>
      <c r="M262" s="103">
        <f t="shared" ref="M262:V262" si="400">IF(M44=0,0,M44/M$31)</f>
        <v>2.5886296265081178E-3</v>
      </c>
      <c r="N262" s="103">
        <f t="shared" si="400"/>
        <v>2.782608744114044E-3</v>
      </c>
      <c r="O262" s="103">
        <f t="shared" si="400"/>
        <v>3.086862873366081E-3</v>
      </c>
      <c r="P262" s="103">
        <f t="shared" si="400"/>
        <v>3.0041904607730012E-3</v>
      </c>
      <c r="Q262" s="103">
        <f t="shared" si="400"/>
        <v>2.8162315918557309E-3</v>
      </c>
      <c r="R262" s="103">
        <f t="shared" si="400"/>
        <v>2.6281866476588361E-3</v>
      </c>
      <c r="S262" s="103">
        <f t="shared" si="400"/>
        <v>2.6027909399827542E-3</v>
      </c>
      <c r="T262" s="103">
        <f t="shared" si="400"/>
        <v>2.493643513767805E-3</v>
      </c>
      <c r="U262" s="103">
        <f t="shared" si="400"/>
        <v>2.4031965155685187E-3</v>
      </c>
      <c r="V262" s="103">
        <f t="shared" si="400"/>
        <v>2.6830516354966003E-3</v>
      </c>
      <c r="W262" s="103">
        <f t="shared" ref="W262" si="401">IF(W44=0,0,W44/W$31)</f>
        <v>2.3756312901904784E-3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1.7373267881085954E-5</v>
      </c>
      <c r="C263" s="103">
        <f t="shared" si="402"/>
        <v>1.7133709787229432E-5</v>
      </c>
      <c r="D263" s="103">
        <f t="shared" si="402"/>
        <v>1.3550246752577154E-5</v>
      </c>
      <c r="E263" s="103">
        <f t="shared" si="402"/>
        <v>1.52321562232094E-5</v>
      </c>
      <c r="F263" s="103">
        <f t="shared" si="402"/>
        <v>1.5068478474480376E-5</v>
      </c>
      <c r="G263" s="103">
        <f t="shared" si="402"/>
        <v>1.2572262272662172E-5</v>
      </c>
      <c r="H263" s="103">
        <f t="shared" si="402"/>
        <v>1.1498115585928138E-5</v>
      </c>
      <c r="I263" s="103">
        <f t="shared" si="402"/>
        <v>9.2211997046124646E-6</v>
      </c>
      <c r="J263" s="103">
        <f t="shared" si="402"/>
        <v>7.4163907987148193E-6</v>
      </c>
      <c r="K263" s="103">
        <f t="shared" si="402"/>
        <v>7.2246379102378087E-6</v>
      </c>
      <c r="L263" s="103">
        <f t="shared" ref="L263" si="403">IF(L45=0,0,L45/L$31)</f>
        <v>3.5340067281657121E-6</v>
      </c>
      <c r="M263" s="103">
        <f t="shared" ref="M263:V263" si="404">IF(M45=0,0,M45/M$31)</f>
        <v>3.4289895041307016E-6</v>
      </c>
      <c r="N263" s="103">
        <f t="shared" si="404"/>
        <v>5.0703229331121883E-6</v>
      </c>
      <c r="O263" s="103">
        <f t="shared" si="404"/>
        <v>6.6010244473278808E-6</v>
      </c>
      <c r="P263" s="103">
        <f t="shared" si="404"/>
        <v>8.651439582398992E-6</v>
      </c>
      <c r="Q263" s="103">
        <f t="shared" si="404"/>
        <v>1.4789716579937571E-5</v>
      </c>
      <c r="R263" s="103">
        <f t="shared" si="404"/>
        <v>2.6752942554048588E-5</v>
      </c>
      <c r="S263" s="103">
        <f t="shared" si="404"/>
        <v>3.6601563339126016E-5</v>
      </c>
      <c r="T263" s="103">
        <f t="shared" si="404"/>
        <v>6.6635975900936899E-5</v>
      </c>
      <c r="U263" s="103">
        <f t="shared" si="404"/>
        <v>1.7734262153203239E-4</v>
      </c>
      <c r="V263" s="103">
        <f t="shared" si="404"/>
        <v>3.2771491846954689E-4</v>
      </c>
      <c r="W263" s="103">
        <f t="shared" ref="W263" si="405">IF(W45=0,0,W45/W$31)</f>
        <v>4.4611642724411062E-4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0.53335412957168171</v>
      </c>
      <c r="C265" s="154">
        <f t="shared" si="410"/>
        <v>0.57376834424279066</v>
      </c>
      <c r="D265" s="154">
        <f t="shared" si="410"/>
        <v>0.58918568081914635</v>
      </c>
      <c r="E265" s="154">
        <f t="shared" si="410"/>
        <v>0.61236889996893062</v>
      </c>
      <c r="F265" s="154">
        <f t="shared" si="410"/>
        <v>0.62379180608502649</v>
      </c>
      <c r="G265" s="154">
        <f t="shared" si="410"/>
        <v>0.59491656152811234</v>
      </c>
      <c r="H265" s="154">
        <f t="shared" si="410"/>
        <v>0.60858996456387859</v>
      </c>
      <c r="I265" s="154">
        <f t="shared" si="410"/>
        <v>0.60892628257530002</v>
      </c>
      <c r="J265" s="154">
        <f t="shared" si="410"/>
        <v>0.61123476865023563</v>
      </c>
      <c r="K265" s="154">
        <f t="shared" si="410"/>
        <v>0.63685274309832496</v>
      </c>
      <c r="L265" s="154">
        <f t="shared" ref="L265" si="411">IF(L47=0,0,L47/L$46)</f>
        <v>0.64259397051190947</v>
      </c>
      <c r="M265" s="154">
        <f t="shared" ref="M265:V265" si="412">IF(M47=0,0,M47/M$46)</f>
        <v>0.65624993688438127</v>
      </c>
      <c r="N265" s="154">
        <f t="shared" si="412"/>
        <v>0.67331965083452927</v>
      </c>
      <c r="O265" s="154">
        <f t="shared" si="412"/>
        <v>0.67156822848332043</v>
      </c>
      <c r="P265" s="154">
        <f t="shared" si="412"/>
        <v>0.64039752607272493</v>
      </c>
      <c r="Q265" s="154">
        <f t="shared" si="412"/>
        <v>0.64929893596252797</v>
      </c>
      <c r="R265" s="154">
        <f t="shared" si="412"/>
        <v>0.65191391128772147</v>
      </c>
      <c r="S265" s="154">
        <f t="shared" si="412"/>
        <v>0.66774203031955925</v>
      </c>
      <c r="T265" s="154">
        <f t="shared" si="412"/>
        <v>0.65796548523119658</v>
      </c>
      <c r="U265" s="154">
        <f t="shared" si="412"/>
        <v>0.66536249703696149</v>
      </c>
      <c r="V265" s="154">
        <f t="shared" si="412"/>
        <v>0.66598092468095316</v>
      </c>
      <c r="W265" s="154">
        <f t="shared" ref="W265" si="413">IF(W47=0,0,W47/W$46)</f>
        <v>0.65461534518510411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0.21995559362014624</v>
      </c>
      <c r="C266" s="103">
        <f t="shared" si="414"/>
        <v>0.19814499604227467</v>
      </c>
      <c r="D266" s="103">
        <f t="shared" si="414"/>
        <v>0.17473370896443788</v>
      </c>
      <c r="E266" s="103">
        <f t="shared" si="414"/>
        <v>0.15019205603437843</v>
      </c>
      <c r="F266" s="103">
        <f t="shared" si="414"/>
        <v>0.12463237868320888</v>
      </c>
      <c r="G266" s="103">
        <f t="shared" si="414"/>
        <v>0.11695612857606469</v>
      </c>
      <c r="H266" s="103">
        <f t="shared" si="414"/>
        <v>9.8607672991354145E-2</v>
      </c>
      <c r="I266" s="103">
        <f t="shared" si="414"/>
        <v>8.7483023058904402E-2</v>
      </c>
      <c r="J266" s="103">
        <f t="shared" si="414"/>
        <v>7.665156442194998E-2</v>
      </c>
      <c r="K266" s="103">
        <f t="shared" si="414"/>
        <v>7.2650673806710031E-2</v>
      </c>
      <c r="L266" s="103">
        <f t="shared" ref="L266" si="415">IF(L48=0,0,L48/L$46)</f>
        <v>6.1056759426454991E-2</v>
      </c>
      <c r="M266" s="103">
        <f t="shared" ref="M266:V266" si="416">IF(M48=0,0,M48/M$46)</f>
        <v>5.6378239906376623E-2</v>
      </c>
      <c r="N266" s="103">
        <f t="shared" si="416"/>
        <v>5.0048042854418509E-2</v>
      </c>
      <c r="O266" s="103">
        <f t="shared" si="416"/>
        <v>4.286319920172825E-2</v>
      </c>
      <c r="P266" s="103">
        <f t="shared" si="416"/>
        <v>3.6494184383716113E-2</v>
      </c>
      <c r="Q266" s="103">
        <f t="shared" si="416"/>
        <v>3.3295554838012525E-2</v>
      </c>
      <c r="R266" s="103">
        <f t="shared" si="416"/>
        <v>2.6903321796413915E-2</v>
      </c>
      <c r="S266" s="103">
        <f t="shared" si="416"/>
        <v>2.2490063956946981E-2</v>
      </c>
      <c r="T266" s="103">
        <f t="shared" si="416"/>
        <v>2.1907003819047397E-2</v>
      </c>
      <c r="U266" s="103">
        <f t="shared" si="416"/>
        <v>2.1893605752291666E-2</v>
      </c>
      <c r="V266" s="103">
        <f t="shared" si="416"/>
        <v>2.222827588997579E-2</v>
      </c>
      <c r="W266" s="103">
        <f t="shared" ref="W266" si="417">IF(W48=0,0,W48/W$46)</f>
        <v>2.3001542273212123E-2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0.31339853595153544</v>
      </c>
      <c r="C267" s="103">
        <f t="shared" si="418"/>
        <v>0.37561962840883228</v>
      </c>
      <c r="D267" s="103">
        <f t="shared" si="418"/>
        <v>0.41443118941860352</v>
      </c>
      <c r="E267" s="103">
        <f t="shared" si="418"/>
        <v>0.46212176442144265</v>
      </c>
      <c r="F267" s="103">
        <f t="shared" si="418"/>
        <v>0.49907617544385391</v>
      </c>
      <c r="G267" s="103">
        <f t="shared" si="418"/>
        <v>0.47779705138428308</v>
      </c>
      <c r="H267" s="103">
        <f t="shared" si="418"/>
        <v>0.50940079357694801</v>
      </c>
      <c r="I267" s="103">
        <f t="shared" si="418"/>
        <v>0.52047309296067057</v>
      </c>
      <c r="J267" s="103">
        <f t="shared" si="418"/>
        <v>0.53295954088821584</v>
      </c>
      <c r="K267" s="103">
        <f t="shared" si="418"/>
        <v>0.56164868576461291</v>
      </c>
      <c r="L267" s="103">
        <f t="shared" ref="L267" si="419">IF(L49=0,0,L49/L$46)</f>
        <v>0.57874698655873613</v>
      </c>
      <c r="M267" s="103">
        <f t="shared" ref="M267:V267" si="420">IF(M49=0,0,M49/M$46)</f>
        <v>0.59681759295827796</v>
      </c>
      <c r="N267" s="103">
        <f t="shared" si="420"/>
        <v>0.61949082081879103</v>
      </c>
      <c r="O267" s="103">
        <f t="shared" si="420"/>
        <v>0.6246934769081729</v>
      </c>
      <c r="P267" s="103">
        <f t="shared" si="420"/>
        <v>0.59980942407481241</v>
      </c>
      <c r="Q267" s="103">
        <f t="shared" si="420"/>
        <v>0.61139357757545676</v>
      </c>
      <c r="R267" s="103">
        <f t="shared" si="420"/>
        <v>0.62013807831427337</v>
      </c>
      <c r="S267" s="103">
        <f t="shared" si="420"/>
        <v>0.63985259377983783</v>
      </c>
      <c r="T267" s="103">
        <f t="shared" si="420"/>
        <v>0.62741778075786259</v>
      </c>
      <c r="U267" s="103">
        <f t="shared" si="420"/>
        <v>0.63379062114533324</v>
      </c>
      <c r="V267" s="103">
        <f t="shared" si="420"/>
        <v>0.63278774301046936</v>
      </c>
      <c r="W267" s="103">
        <f t="shared" ref="W267" si="421">IF(W49=0,0,W49/W$46)</f>
        <v>0.61929064150601665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0</v>
      </c>
      <c r="P268" s="103">
        <f t="shared" si="424"/>
        <v>0</v>
      </c>
      <c r="Q268" s="103">
        <f t="shared" si="424"/>
        <v>0</v>
      </c>
      <c r="R268" s="103">
        <f t="shared" si="424"/>
        <v>0</v>
      </c>
      <c r="S268" s="103">
        <f t="shared" si="424"/>
        <v>0</v>
      </c>
      <c r="T268" s="103">
        <f t="shared" si="424"/>
        <v>0</v>
      </c>
      <c r="U268" s="103">
        <f t="shared" si="424"/>
        <v>0</v>
      </c>
      <c r="V268" s="103">
        <f t="shared" si="424"/>
        <v>0</v>
      </c>
      <c r="W268" s="103">
        <f t="shared" ref="W268" si="425">IF(W50=0,0,W50/W$46)</f>
        <v>0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3.7197916837078328E-6</v>
      </c>
      <c r="D269" s="103">
        <f t="shared" si="426"/>
        <v>2.0782436104953733E-5</v>
      </c>
      <c r="E269" s="103">
        <f t="shared" si="426"/>
        <v>5.5079513109552838E-5</v>
      </c>
      <c r="F269" s="103">
        <f t="shared" si="426"/>
        <v>8.3251957963762684E-5</v>
      </c>
      <c r="G269" s="103">
        <f t="shared" si="426"/>
        <v>1.6143803284673829E-4</v>
      </c>
      <c r="H269" s="103">
        <f t="shared" si="426"/>
        <v>3.8988274976631688E-4</v>
      </c>
      <c r="I269" s="103">
        <f t="shared" si="426"/>
        <v>7.9642734133916196E-4</v>
      </c>
      <c r="J269" s="103">
        <f t="shared" si="426"/>
        <v>1.4543875087317866E-3</v>
      </c>
      <c r="K269" s="103">
        <f t="shared" si="426"/>
        <v>2.3778916690173628E-3</v>
      </c>
      <c r="L269" s="103">
        <f t="shared" ref="L269" si="427">IF(L51=0,0,L51/L$46)</f>
        <v>2.6275298169081804E-3</v>
      </c>
      <c r="M269" s="103">
        <f t="shared" ref="M269:V269" si="428">IF(M51=0,0,M51/M$46)</f>
        <v>2.8899917609943667E-3</v>
      </c>
      <c r="N269" s="103">
        <f t="shared" si="428"/>
        <v>3.4664848890676569E-3</v>
      </c>
      <c r="O269" s="103">
        <f t="shared" si="428"/>
        <v>3.5510734686028914E-3</v>
      </c>
      <c r="P269" s="103">
        <f t="shared" si="428"/>
        <v>3.4469473484139319E-3</v>
      </c>
      <c r="Q269" s="103">
        <f t="shared" si="428"/>
        <v>3.6871631467166395E-3</v>
      </c>
      <c r="R269" s="103">
        <f t="shared" si="428"/>
        <v>3.7497149520012781E-3</v>
      </c>
      <c r="S269" s="103">
        <f t="shared" si="428"/>
        <v>4.0640759749174995E-3</v>
      </c>
      <c r="T269" s="103">
        <f t="shared" si="428"/>
        <v>6.829724606036325E-3</v>
      </c>
      <c r="U269" s="103">
        <f t="shared" si="428"/>
        <v>7.0059976162034207E-3</v>
      </c>
      <c r="V269" s="103">
        <f t="shared" si="428"/>
        <v>7.0390539041995962E-3</v>
      </c>
      <c r="W269" s="103">
        <f t="shared" ref="W269" si="429">IF(W51=0,0,W51/W$46)</f>
        <v>6.8024722639769813E-3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1.9435349179734277E-6</v>
      </c>
      <c r="H270" s="103">
        <f t="shared" si="430"/>
        <v>1.9161524581008552E-4</v>
      </c>
      <c r="I270" s="103">
        <f t="shared" si="430"/>
        <v>1.7373921438588617E-4</v>
      </c>
      <c r="J270" s="103">
        <f t="shared" si="430"/>
        <v>1.6927583133813235E-4</v>
      </c>
      <c r="K270" s="103">
        <f t="shared" si="430"/>
        <v>1.754918579846952E-4</v>
      </c>
      <c r="L270" s="103">
        <f t="shared" ref="L270" si="431">IF(L52=0,0,L52/L$46)</f>
        <v>1.6269470981005878E-4</v>
      </c>
      <c r="M270" s="103">
        <f t="shared" ref="M270:V270" si="432">IF(M52=0,0,M52/M$46)</f>
        <v>1.6411225873226096E-4</v>
      </c>
      <c r="N270" s="103">
        <f t="shared" si="432"/>
        <v>3.1430227225203187E-4</v>
      </c>
      <c r="O270" s="103">
        <f t="shared" si="432"/>
        <v>4.6047890481629156E-4</v>
      </c>
      <c r="P270" s="103">
        <f t="shared" si="432"/>
        <v>6.4697026578243281E-4</v>
      </c>
      <c r="Q270" s="103">
        <f t="shared" si="432"/>
        <v>9.2264040234198955E-4</v>
      </c>
      <c r="R270" s="103">
        <f t="shared" si="432"/>
        <v>1.1227962250328792E-3</v>
      </c>
      <c r="S270" s="103">
        <f t="shared" si="432"/>
        <v>1.3352966078569583E-3</v>
      </c>
      <c r="T270" s="103">
        <f t="shared" si="432"/>
        <v>1.8109760482502891E-3</v>
      </c>
      <c r="U270" s="103">
        <f t="shared" si="432"/>
        <v>2.6722725231331738E-3</v>
      </c>
      <c r="V270" s="103">
        <f t="shared" si="432"/>
        <v>3.9258518763084739E-3</v>
      </c>
      <c r="W270" s="103">
        <f t="shared" ref="W270" si="433">IF(W52=0,0,W52/W$46)</f>
        <v>5.520689141898307E-3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0.46664587042831829</v>
      </c>
      <c r="C271" s="156">
        <f t="shared" si="434"/>
        <v>0.42623165575720928</v>
      </c>
      <c r="D271" s="156">
        <f t="shared" si="434"/>
        <v>0.41081431918085365</v>
      </c>
      <c r="E271" s="156">
        <f t="shared" si="434"/>
        <v>0.38763110003106943</v>
      </c>
      <c r="F271" s="156">
        <f t="shared" si="434"/>
        <v>0.37620819391497351</v>
      </c>
      <c r="G271" s="156">
        <f t="shared" si="434"/>
        <v>0.40508343847188766</v>
      </c>
      <c r="H271" s="156">
        <f t="shared" si="434"/>
        <v>0.39141003543612141</v>
      </c>
      <c r="I271" s="156">
        <f t="shared" si="434"/>
        <v>0.39107371742469998</v>
      </c>
      <c r="J271" s="156">
        <f t="shared" si="434"/>
        <v>0.38876523134976437</v>
      </c>
      <c r="K271" s="156">
        <f t="shared" si="434"/>
        <v>0.36314725690167504</v>
      </c>
      <c r="L271" s="156">
        <f t="shared" ref="L271" si="435">IF(L53=0,0,L53/L$46)</f>
        <v>0.35740602948809064</v>
      </c>
      <c r="M271" s="156">
        <f t="shared" ref="M271:V271" si="436">IF(M53=0,0,M53/M$46)</f>
        <v>0.34375006311561879</v>
      </c>
      <c r="N271" s="156">
        <f t="shared" si="436"/>
        <v>0.32668034916547078</v>
      </c>
      <c r="O271" s="156">
        <f t="shared" si="436"/>
        <v>0.32843177151667968</v>
      </c>
      <c r="P271" s="156">
        <f t="shared" si="436"/>
        <v>0.35960247392727518</v>
      </c>
      <c r="Q271" s="156">
        <f t="shared" si="436"/>
        <v>0.35070106403747214</v>
      </c>
      <c r="R271" s="156">
        <f t="shared" si="436"/>
        <v>0.34808608871227864</v>
      </c>
      <c r="S271" s="156">
        <f t="shared" si="436"/>
        <v>0.3322579696804408</v>
      </c>
      <c r="T271" s="156">
        <f t="shared" si="436"/>
        <v>0.34203451476880342</v>
      </c>
      <c r="U271" s="156">
        <f t="shared" si="436"/>
        <v>0.33463750296303851</v>
      </c>
      <c r="V271" s="156">
        <f t="shared" si="436"/>
        <v>0.33401907531904684</v>
      </c>
      <c r="W271" s="156">
        <f t="shared" ref="W271" si="437">IF(W53=0,0,W53/W$46)</f>
        <v>0.34538465481489589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0.37866829726665807</v>
      </c>
      <c r="C272" s="104">
        <f t="shared" si="438"/>
        <v>0.34005286427535597</v>
      </c>
      <c r="D272" s="104">
        <f t="shared" si="438"/>
        <v>0.32518834738180247</v>
      </c>
      <c r="E272" s="104">
        <f t="shared" si="438"/>
        <v>0.30349315549537442</v>
      </c>
      <c r="F272" s="104">
        <f t="shared" si="438"/>
        <v>0.28447336863189177</v>
      </c>
      <c r="G272" s="104">
        <f t="shared" si="438"/>
        <v>0.30938489647758882</v>
      </c>
      <c r="H272" s="104">
        <f t="shared" si="438"/>
        <v>0.29315253524371016</v>
      </c>
      <c r="I272" s="104">
        <f t="shared" si="438"/>
        <v>0.29533445820382453</v>
      </c>
      <c r="J272" s="104">
        <f t="shared" si="438"/>
        <v>0.29860706242565316</v>
      </c>
      <c r="K272" s="104">
        <f t="shared" si="438"/>
        <v>0.28819443074063245</v>
      </c>
      <c r="L272" s="104">
        <f t="shared" ref="L272" si="439">IF(L54=0,0,L54/L$46)</f>
        <v>0.28014608610317415</v>
      </c>
      <c r="M272" s="104">
        <f t="shared" ref="M272:V272" si="440">IF(M54=0,0,M54/M$46)</f>
        <v>0.26899164021581484</v>
      </c>
      <c r="N272" s="104">
        <f t="shared" si="440"/>
        <v>0.25281865405889503</v>
      </c>
      <c r="O272" s="104">
        <f t="shared" si="440"/>
        <v>0.246283518200232</v>
      </c>
      <c r="P272" s="104">
        <f t="shared" si="440"/>
        <v>0.2873963464208576</v>
      </c>
      <c r="Q272" s="104">
        <f t="shared" si="440"/>
        <v>0.27224498181179491</v>
      </c>
      <c r="R272" s="104">
        <f t="shared" si="440"/>
        <v>0.26646484106102303</v>
      </c>
      <c r="S272" s="104">
        <f t="shared" si="440"/>
        <v>0.25603279638112891</v>
      </c>
      <c r="T272" s="104">
        <f t="shared" si="440"/>
        <v>0.26496289353516667</v>
      </c>
      <c r="U272" s="104">
        <f t="shared" si="440"/>
        <v>0.26260402902613011</v>
      </c>
      <c r="V272" s="104">
        <f t="shared" si="440"/>
        <v>0.26025532858165024</v>
      </c>
      <c r="W272" s="104">
        <f t="shared" ref="W272" si="441">IF(W54=0,0,W54/W$46)</f>
        <v>0.26741063818122368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8.7977573161660244E-2</v>
      </c>
      <c r="C273" s="105">
        <f t="shared" si="442"/>
        <v>8.617879148185334E-2</v>
      </c>
      <c r="D273" s="105">
        <f t="shared" si="442"/>
        <v>8.5625971799051195E-2</v>
      </c>
      <c r="E273" s="105">
        <f t="shared" si="442"/>
        <v>8.4137944535695008E-2</v>
      </c>
      <c r="F273" s="105">
        <f t="shared" si="442"/>
        <v>9.1734825283081786E-2</v>
      </c>
      <c r="G273" s="105">
        <f t="shared" si="442"/>
        <v>9.569854199429878E-2</v>
      </c>
      <c r="H273" s="105">
        <f t="shared" si="442"/>
        <v>9.8257500192411237E-2</v>
      </c>
      <c r="I273" s="105">
        <f t="shared" si="442"/>
        <v>9.5739259220875436E-2</v>
      </c>
      <c r="J273" s="105">
        <f t="shared" si="442"/>
        <v>9.015816892411127E-2</v>
      </c>
      <c r="K273" s="105">
        <f t="shared" si="442"/>
        <v>7.4952826161042624E-2</v>
      </c>
      <c r="L273" s="105">
        <f t="shared" ref="L273" si="443">IF(L55=0,0,L55/L$46)</f>
        <v>7.7259943384916499E-2</v>
      </c>
      <c r="M273" s="105">
        <f t="shared" ref="M273:V273" si="444">IF(M55=0,0,M55/M$46)</f>
        <v>7.4758422899803889E-2</v>
      </c>
      <c r="N273" s="105">
        <f t="shared" si="444"/>
        <v>7.3861695106575739E-2</v>
      </c>
      <c r="O273" s="105">
        <f t="shared" si="444"/>
        <v>8.2148253316447692E-2</v>
      </c>
      <c r="P273" s="105">
        <f t="shared" si="444"/>
        <v>7.2206127506417542E-2</v>
      </c>
      <c r="Q273" s="105">
        <f t="shared" si="444"/>
        <v>7.8456082225677251E-2</v>
      </c>
      <c r="R273" s="105">
        <f t="shared" si="444"/>
        <v>8.1621247651255668E-2</v>
      </c>
      <c r="S273" s="105">
        <f t="shared" si="444"/>
        <v>7.6225173299311888E-2</v>
      </c>
      <c r="T273" s="105">
        <f t="shared" si="444"/>
        <v>7.7071621233636783E-2</v>
      </c>
      <c r="U273" s="105">
        <f t="shared" si="444"/>
        <v>7.2033473936908357E-2</v>
      </c>
      <c r="V273" s="105">
        <f t="shared" si="444"/>
        <v>7.3763746737396579E-2</v>
      </c>
      <c r="W273" s="105">
        <f t="shared" ref="W273" si="445">IF(W55=0,0,W55/W$46)</f>
        <v>7.7974016633672177E-2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6752.1709304169526</v>
      </c>
      <c r="C4" s="145">
        <f t="shared" si="0"/>
        <v>6738.3989596932579</v>
      </c>
      <c r="D4" s="145">
        <f t="shared" si="0"/>
        <v>6875.6318632884822</v>
      </c>
      <c r="E4" s="145">
        <f t="shared" si="0"/>
        <v>6985.2981366955482</v>
      </c>
      <c r="F4" s="145">
        <f t="shared" si="0"/>
        <v>7172.4650010783525</v>
      </c>
      <c r="G4" s="145">
        <f t="shared" si="0"/>
        <v>6839.0863801985051</v>
      </c>
      <c r="H4" s="145">
        <f t="shared" si="0"/>
        <v>6932.3921748448247</v>
      </c>
      <c r="I4" s="145">
        <f t="shared" si="0"/>
        <v>7043.5603954054477</v>
      </c>
      <c r="J4" s="145">
        <f t="shared" si="0"/>
        <v>6970.6149474269323</v>
      </c>
      <c r="K4" s="145">
        <f t="shared" si="0"/>
        <v>6830.7989994659856</v>
      </c>
      <c r="L4" s="145">
        <f t="shared" ref="L4" si="1">L5+L9+L10+L15</f>
        <v>6961.0665699079709</v>
      </c>
      <c r="M4" s="145">
        <f t="shared" ref="M4:V4" si="2">M5+M9+M10+M15</f>
        <v>6929.7654349160111</v>
      </c>
      <c r="N4" s="145">
        <f t="shared" si="2"/>
        <v>6663.0140396155912</v>
      </c>
      <c r="O4" s="145">
        <f t="shared" si="2"/>
        <v>6567.6270353099053</v>
      </c>
      <c r="P4" s="145">
        <f t="shared" si="2"/>
        <v>6584.8461812276064</v>
      </c>
      <c r="Q4" s="145">
        <f t="shared" si="2"/>
        <v>6743.0066704103465</v>
      </c>
      <c r="R4" s="145">
        <f t="shared" si="2"/>
        <v>6649.9572051094146</v>
      </c>
      <c r="S4" s="145">
        <f t="shared" si="2"/>
        <v>6756.4686587603937</v>
      </c>
      <c r="T4" s="145">
        <f t="shared" si="2"/>
        <v>6581.0089793716106</v>
      </c>
      <c r="U4" s="145">
        <f t="shared" si="2"/>
        <v>6496.1361682434053</v>
      </c>
      <c r="V4" s="145">
        <f t="shared" si="2"/>
        <v>6232.3726333922214</v>
      </c>
      <c r="W4" s="145">
        <f t="shared" ref="W4" si="3">W5+W9+W10+W15</f>
        <v>6425.3754952733443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6741.7143594153049</v>
      </c>
      <c r="C5" s="97">
        <f t="shared" si="4"/>
        <v>6712.897678417884</v>
      </c>
      <c r="D5" s="97">
        <f t="shared" si="4"/>
        <v>6831.0308684436804</v>
      </c>
      <c r="E5" s="97">
        <f t="shared" si="4"/>
        <v>6900.809716251074</v>
      </c>
      <c r="F5" s="97">
        <f t="shared" si="4"/>
        <v>7029.7553740326739</v>
      </c>
      <c r="G5" s="97">
        <f t="shared" si="4"/>
        <v>6678.675838349096</v>
      </c>
      <c r="H5" s="97">
        <f t="shared" si="4"/>
        <v>6714.6476354256229</v>
      </c>
      <c r="I5" s="97">
        <f t="shared" si="4"/>
        <v>6764.6029234737725</v>
      </c>
      <c r="J5" s="97">
        <f t="shared" si="4"/>
        <v>6619.9196044711944</v>
      </c>
      <c r="K5" s="97">
        <f t="shared" si="4"/>
        <v>6471.6565778159929</v>
      </c>
      <c r="L5" s="97">
        <f t="shared" ref="L5" si="5">SUM(L6:L8)</f>
        <v>6569.8905417024926</v>
      </c>
      <c r="M5" s="97">
        <f t="shared" ref="M5:V5" si="6">SUM(M6:M8)</f>
        <v>6432.8177128116931</v>
      </c>
      <c r="N5" s="97">
        <f t="shared" si="6"/>
        <v>6090.4160791057611</v>
      </c>
      <c r="O5" s="97">
        <f t="shared" si="6"/>
        <v>5912.3528804815123</v>
      </c>
      <c r="P5" s="97">
        <f t="shared" si="6"/>
        <v>5756.6631986242464</v>
      </c>
      <c r="Q5" s="97">
        <f t="shared" si="6"/>
        <v>5788.1297506448827</v>
      </c>
      <c r="R5" s="97">
        <f t="shared" si="6"/>
        <v>5494.6525365434209</v>
      </c>
      <c r="S5" s="97">
        <f t="shared" si="6"/>
        <v>5359.3551160791048</v>
      </c>
      <c r="T5" s="97">
        <f t="shared" si="6"/>
        <v>5074.3538263112641</v>
      </c>
      <c r="U5" s="97">
        <f t="shared" si="6"/>
        <v>5071.3960447119516</v>
      </c>
      <c r="V5" s="97">
        <f t="shared" si="6"/>
        <v>4783.1301805674975</v>
      </c>
      <c r="W5" s="97">
        <f t="shared" ref="W5" si="7">SUM(W6:W8)</f>
        <v>4898.1809114359412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0</v>
      </c>
      <c r="E6" s="97">
        <v>0</v>
      </c>
      <c r="F6" s="97">
        <v>0</v>
      </c>
      <c r="G6" s="97">
        <v>0.82132416165090272</v>
      </c>
      <c r="H6" s="97">
        <v>0.61117798796216671</v>
      </c>
      <c r="I6" s="97">
        <v>1.313929492691315</v>
      </c>
      <c r="J6" s="97">
        <v>0.84161650902837482</v>
      </c>
      <c r="K6" s="97">
        <v>1.0393809114359409</v>
      </c>
      <c r="L6" s="97">
        <v>1.096990541702493</v>
      </c>
      <c r="M6" s="97">
        <v>1.0178847807394671</v>
      </c>
      <c r="N6" s="97">
        <v>0.63379191745485808</v>
      </c>
      <c r="O6" s="97">
        <v>0.33104041272570928</v>
      </c>
      <c r="P6" s="97">
        <v>0.38865004299226141</v>
      </c>
      <c r="Q6" s="97">
        <v>2.1713671539122958</v>
      </c>
      <c r="R6" s="97">
        <v>0.7625967325881341</v>
      </c>
      <c r="S6" s="97">
        <v>0</v>
      </c>
      <c r="T6" s="97">
        <v>0</v>
      </c>
      <c r="U6" s="97">
        <v>0</v>
      </c>
      <c r="V6" s="97">
        <v>0</v>
      </c>
      <c r="W6" s="97">
        <v>0</v>
      </c>
      <c r="DA6" s="175" t="s">
        <v>629</v>
      </c>
    </row>
    <row r="7" spans="1:105" ht="11.45" customHeight="1" x14ac:dyDescent="0.25">
      <c r="A7" s="128" t="s">
        <v>53</v>
      </c>
      <c r="B7" s="97">
        <v>4208.0132416165088</v>
      </c>
      <c r="C7" s="97">
        <v>4170.980223559759</v>
      </c>
      <c r="D7" s="97">
        <v>4276.788993981083</v>
      </c>
      <c r="E7" s="97">
        <v>4239.75588993981</v>
      </c>
      <c r="F7" s="97">
        <v>4154.0508168529659</v>
      </c>
      <c r="G7" s="97">
        <v>3941.0885640584688</v>
      </c>
      <c r="H7" s="97">
        <v>3831.3161650902839</v>
      </c>
      <c r="I7" s="97">
        <v>3746.2671539122948</v>
      </c>
      <c r="J7" s="97">
        <v>3521.2775580395519</v>
      </c>
      <c r="K7" s="97">
        <v>3446.9257953568358</v>
      </c>
      <c r="L7" s="97">
        <v>3227.968357695614</v>
      </c>
      <c r="M7" s="97">
        <v>2983.1798796216681</v>
      </c>
      <c r="N7" s="97">
        <v>2722.5591573516772</v>
      </c>
      <c r="O7" s="97">
        <v>2569.2011177987961</v>
      </c>
      <c r="P7" s="97">
        <v>2462.9426483233019</v>
      </c>
      <c r="Q7" s="97">
        <v>2395.445141874462</v>
      </c>
      <c r="R7" s="97">
        <v>2289.4173688736018</v>
      </c>
      <c r="S7" s="97">
        <v>2181.0630266552021</v>
      </c>
      <c r="T7" s="97">
        <v>2039.413413585555</v>
      </c>
      <c r="U7" s="97">
        <v>1990.431814273431</v>
      </c>
      <c r="V7" s="97">
        <v>1817.766294067068</v>
      </c>
      <c r="W7" s="97">
        <v>1907.730610490112</v>
      </c>
      <c r="DA7" s="175" t="s">
        <v>630</v>
      </c>
    </row>
    <row r="8" spans="1:105" ht="11.45" customHeight="1" x14ac:dyDescent="0.25">
      <c r="A8" s="128" t="s">
        <v>54</v>
      </c>
      <c r="B8" s="97">
        <v>2533.7011177987961</v>
      </c>
      <c r="C8" s="97">
        <v>2541.917454858125</v>
      </c>
      <c r="D8" s="97">
        <v>2554.241874462597</v>
      </c>
      <c r="E8" s="97">
        <v>2661.0538263112639</v>
      </c>
      <c r="F8" s="97">
        <v>2875.704557179708</v>
      </c>
      <c r="G8" s="97">
        <v>2736.7659501289768</v>
      </c>
      <c r="H8" s="97">
        <v>2882.7202923473769</v>
      </c>
      <c r="I8" s="97">
        <v>3017.0218400687868</v>
      </c>
      <c r="J8" s="97">
        <v>3097.8004299226141</v>
      </c>
      <c r="K8" s="97">
        <v>3023.6914015477209</v>
      </c>
      <c r="L8" s="97">
        <v>3340.8251934651762</v>
      </c>
      <c r="M8" s="97">
        <v>3448.6199484092858</v>
      </c>
      <c r="N8" s="97">
        <v>3367.2231298366291</v>
      </c>
      <c r="O8" s="97">
        <v>3342.8207222699912</v>
      </c>
      <c r="P8" s="97">
        <v>3293.3319002579528</v>
      </c>
      <c r="Q8" s="97">
        <v>3390.5132416165088</v>
      </c>
      <c r="R8" s="97">
        <v>3204.472570937231</v>
      </c>
      <c r="S8" s="97">
        <v>3178.2920894239028</v>
      </c>
      <c r="T8" s="97">
        <v>3034.9404127257089</v>
      </c>
      <c r="U8" s="97">
        <v>3080.9642304385211</v>
      </c>
      <c r="V8" s="97">
        <v>2965.36388650043</v>
      </c>
      <c r="W8" s="97">
        <v>2990.450300945829</v>
      </c>
      <c r="DA8" s="175" t="s">
        <v>631</v>
      </c>
    </row>
    <row r="9" spans="1:105" ht="11.45" customHeight="1" x14ac:dyDescent="0.25">
      <c r="A9" s="92" t="s">
        <v>55</v>
      </c>
      <c r="B9" s="97">
        <v>10.146173688736029</v>
      </c>
      <c r="C9" s="97">
        <v>10.29664660361135</v>
      </c>
      <c r="D9" s="97">
        <v>12.0378331900258</v>
      </c>
      <c r="E9" s="97">
        <v>17.476354256233879</v>
      </c>
      <c r="F9" s="97">
        <v>15.41272570937231</v>
      </c>
      <c r="G9" s="97">
        <v>15.36973344797936</v>
      </c>
      <c r="H9" s="97">
        <v>22.592433361994839</v>
      </c>
      <c r="I9" s="97">
        <v>23.32330180567498</v>
      </c>
      <c r="J9" s="97">
        <v>24.05417024935511</v>
      </c>
      <c r="K9" s="97">
        <v>20.786758383490969</v>
      </c>
      <c r="L9" s="97">
        <v>31.728288907996561</v>
      </c>
      <c r="M9" s="97">
        <v>42.798796216680998</v>
      </c>
      <c r="N9" s="97">
        <v>52.966466036113488</v>
      </c>
      <c r="O9" s="97">
        <v>52.687016337059333</v>
      </c>
      <c r="P9" s="97">
        <v>50.623387790197761</v>
      </c>
      <c r="Q9" s="97">
        <v>34.43680137575236</v>
      </c>
      <c r="R9" s="97">
        <v>36.457437661220979</v>
      </c>
      <c r="S9" s="97">
        <v>13.31616509028375</v>
      </c>
      <c r="T9" s="97">
        <v>11.414445399828031</v>
      </c>
      <c r="U9" s="97">
        <v>8.6087704213241611</v>
      </c>
      <c r="V9" s="97">
        <v>8.6147893379191736</v>
      </c>
      <c r="W9" s="97">
        <v>9.6147033533963882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14.903955288048149</v>
      </c>
      <c r="D10" s="97">
        <f t="shared" si="8"/>
        <v>32.315821152192605</v>
      </c>
      <c r="E10" s="97">
        <f t="shared" si="8"/>
        <v>66.733533963886501</v>
      </c>
      <c r="F10" s="97">
        <f t="shared" si="8"/>
        <v>127.01822871883064</v>
      </c>
      <c r="G10" s="97">
        <f t="shared" si="8"/>
        <v>144.81556319862423</v>
      </c>
      <c r="H10" s="97">
        <f t="shared" si="8"/>
        <v>194.91908856405851</v>
      </c>
      <c r="I10" s="97">
        <f t="shared" si="8"/>
        <v>255.43740326741181</v>
      </c>
      <c r="J10" s="97">
        <f t="shared" si="8"/>
        <v>326.4270851246776</v>
      </c>
      <c r="K10" s="97">
        <f t="shared" si="8"/>
        <v>338.1304385210662</v>
      </c>
      <c r="L10" s="97">
        <f t="shared" si="8"/>
        <v>359.27987962166799</v>
      </c>
      <c r="M10" s="97">
        <f t="shared" si="8"/>
        <v>453.91100601891662</v>
      </c>
      <c r="N10" s="97">
        <f t="shared" si="8"/>
        <v>519.21857265692165</v>
      </c>
      <c r="O10" s="97">
        <f t="shared" si="8"/>
        <v>601.96354256233872</v>
      </c>
      <c r="P10" s="97">
        <f t="shared" si="8"/>
        <v>776.16921754084262</v>
      </c>
      <c r="Q10" s="97">
        <f t="shared" si="8"/>
        <v>917.51711092003438</v>
      </c>
      <c r="R10" s="97">
        <f t="shared" si="8"/>
        <v>1113.6765262252793</v>
      </c>
      <c r="S10" s="97">
        <f t="shared" si="8"/>
        <v>1375.7140154772142</v>
      </c>
      <c r="T10" s="97">
        <f t="shared" si="8"/>
        <v>1482.3481513327599</v>
      </c>
      <c r="U10" s="97">
        <f t="shared" si="8"/>
        <v>1393.9128116938948</v>
      </c>
      <c r="V10" s="97">
        <f t="shared" si="8"/>
        <v>1399.1194325021493</v>
      </c>
      <c r="W10" s="97">
        <f t="shared" si="8"/>
        <v>1444.4138435081679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18.72553740326741</v>
      </c>
      <c r="K11" s="97">
        <v>21.137833190025791</v>
      </c>
      <c r="L11" s="97">
        <v>21.137833190025791</v>
      </c>
      <c r="M11" s="97">
        <v>62.649269131556323</v>
      </c>
      <c r="N11" s="97">
        <v>69.504127257093714</v>
      </c>
      <c r="O11" s="97">
        <v>74.94987102321582</v>
      </c>
      <c r="P11" s="97">
        <v>83.548323301805667</v>
      </c>
      <c r="Q11" s="97">
        <v>97.019174548581262</v>
      </c>
      <c r="R11" s="97">
        <v>98.88220120378331</v>
      </c>
      <c r="S11" s="97">
        <v>111.1110920034394</v>
      </c>
      <c r="T11" s="97">
        <v>118.4675838349097</v>
      </c>
      <c r="U11" s="97">
        <v>96.756491831470328</v>
      </c>
      <c r="V11" s="97">
        <v>88.277472055030088</v>
      </c>
      <c r="W11" s="97">
        <v>79.153568357695619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12.252794496990539</v>
      </c>
      <c r="D12" s="97">
        <v>29.664660361134999</v>
      </c>
      <c r="E12" s="97">
        <v>63.198624247635422</v>
      </c>
      <c r="F12" s="97">
        <v>119.9484092863285</v>
      </c>
      <c r="G12" s="97">
        <v>138.32046431642303</v>
      </c>
      <c r="H12" s="97">
        <v>154.53078245915739</v>
      </c>
      <c r="I12" s="97">
        <v>173.08933791917451</v>
      </c>
      <c r="J12" s="97">
        <v>203.79544282029235</v>
      </c>
      <c r="K12" s="97">
        <v>187.47558039552882</v>
      </c>
      <c r="L12" s="97">
        <v>191.69217540842641</v>
      </c>
      <c r="M12" s="97">
        <v>200.65546001719696</v>
      </c>
      <c r="N12" s="97">
        <v>193.7014617368873</v>
      </c>
      <c r="O12" s="97">
        <v>168.94557179707652</v>
      </c>
      <c r="P12" s="97">
        <v>155.01513327601029</v>
      </c>
      <c r="Q12" s="97">
        <v>129.4127257093723</v>
      </c>
      <c r="R12" s="97">
        <v>100.84299226139295</v>
      </c>
      <c r="S12" s="97">
        <v>94.675580395528797</v>
      </c>
      <c r="T12" s="97">
        <v>118.66758383490971</v>
      </c>
      <c r="U12" s="97">
        <v>93.188822012037818</v>
      </c>
      <c r="V12" s="97">
        <v>97.3761822871883</v>
      </c>
      <c r="W12" s="97">
        <v>117.31539122957864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2.6511607910576092</v>
      </c>
      <c r="D13" s="97">
        <v>2.6511607910576092</v>
      </c>
      <c r="E13" s="97">
        <v>3.5349097162510739</v>
      </c>
      <c r="F13" s="97">
        <v>7.0698194325021486</v>
      </c>
      <c r="G13" s="97">
        <v>6.4950988822012032</v>
      </c>
      <c r="H13" s="97">
        <v>40.388306104901112</v>
      </c>
      <c r="I13" s="97">
        <v>82.348065348237313</v>
      </c>
      <c r="J13" s="97">
        <v>103.90610490111783</v>
      </c>
      <c r="K13" s="97">
        <v>129.51702493551159</v>
      </c>
      <c r="L13" s="97">
        <v>146.44987102321582</v>
      </c>
      <c r="M13" s="97">
        <v>190.60627687016333</v>
      </c>
      <c r="N13" s="97">
        <v>256.01298366294071</v>
      </c>
      <c r="O13" s="97">
        <v>358.0680997420464</v>
      </c>
      <c r="P13" s="97">
        <v>537.60576096302668</v>
      </c>
      <c r="Q13" s="97">
        <v>691.08521066208084</v>
      </c>
      <c r="R13" s="97">
        <v>913.95133276010301</v>
      </c>
      <c r="S13" s="97">
        <v>1169.9273430782459</v>
      </c>
      <c r="T13" s="97">
        <v>1245.2129836629406</v>
      </c>
      <c r="U13" s="97">
        <v>1203.9674978503867</v>
      </c>
      <c r="V13" s="97">
        <v>1213.465778159931</v>
      </c>
      <c r="W13" s="97">
        <v>1247.9448839208937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0.31039731291222722</v>
      </c>
      <c r="C15" s="98">
        <v>0.30067938371384473</v>
      </c>
      <c r="D15" s="98">
        <v>0.24734050258433449</v>
      </c>
      <c r="E15" s="98">
        <v>0.27853222435360769</v>
      </c>
      <c r="F15" s="98">
        <v>0.27867261747585781</v>
      </c>
      <c r="G15" s="98">
        <v>0.22524520280500029</v>
      </c>
      <c r="H15" s="98">
        <v>0.23301749314835807</v>
      </c>
      <c r="I15" s="98">
        <v>0.19676685858762744</v>
      </c>
      <c r="J15" s="98">
        <v>0.2140875817061848</v>
      </c>
      <c r="K15" s="98">
        <v>0.22522474543494617</v>
      </c>
      <c r="L15" s="98">
        <v>0.16785967581392877</v>
      </c>
      <c r="M15" s="98">
        <v>0.23791986871999588</v>
      </c>
      <c r="N15" s="98">
        <v>0.41292181679573159</v>
      </c>
      <c r="O15" s="98">
        <v>0.62359592899430694</v>
      </c>
      <c r="P15" s="98">
        <v>1.390377272319653</v>
      </c>
      <c r="Q15" s="98">
        <v>2.923007469677156</v>
      </c>
      <c r="R15" s="98">
        <v>5.1707046794933529</v>
      </c>
      <c r="S15" s="98">
        <v>8.083362113790967</v>
      </c>
      <c r="T15" s="98">
        <v>12.892556327758893</v>
      </c>
      <c r="U15" s="98">
        <v>22.218541416234579</v>
      </c>
      <c r="V15" s="98">
        <v>41.508230984656144</v>
      </c>
      <c r="W15" s="98">
        <v>73.166036975839532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6752.1709304169526</v>
      </c>
      <c r="C17" s="79">
        <f t="shared" si="9"/>
        <v>6738.398959693257</v>
      </c>
      <c r="D17" s="79">
        <f t="shared" si="9"/>
        <v>6875.6318632884813</v>
      </c>
      <c r="E17" s="79">
        <f t="shared" si="9"/>
        <v>6985.2981366955482</v>
      </c>
      <c r="F17" s="79">
        <f t="shared" si="9"/>
        <v>7172.4650010783516</v>
      </c>
      <c r="G17" s="79">
        <f t="shared" si="9"/>
        <v>6839.086380198506</v>
      </c>
      <c r="H17" s="79">
        <f t="shared" si="9"/>
        <v>6932.3921748448247</v>
      </c>
      <c r="I17" s="79">
        <f t="shared" si="9"/>
        <v>7043.5603954054477</v>
      </c>
      <c r="J17" s="79">
        <f t="shared" si="9"/>
        <v>6970.6149474269341</v>
      </c>
      <c r="K17" s="79">
        <f t="shared" si="9"/>
        <v>6830.7989994659838</v>
      </c>
      <c r="L17" s="79">
        <f t="shared" ref="L17" si="10">L18+L42</f>
        <v>6961.0665699079691</v>
      </c>
      <c r="M17" s="79">
        <f t="shared" ref="M17:V17" si="11">M18+M42</f>
        <v>6929.7654349160111</v>
      </c>
      <c r="N17" s="79">
        <f t="shared" si="11"/>
        <v>6663.014039615593</v>
      </c>
      <c r="O17" s="79">
        <f t="shared" si="11"/>
        <v>6567.6270353099044</v>
      </c>
      <c r="P17" s="79">
        <f t="shared" si="11"/>
        <v>6584.8461812276073</v>
      </c>
      <c r="Q17" s="79">
        <f t="shared" si="11"/>
        <v>6743.0066704103465</v>
      </c>
      <c r="R17" s="79">
        <f t="shared" si="11"/>
        <v>6649.9572051094128</v>
      </c>
      <c r="S17" s="79">
        <f t="shared" si="11"/>
        <v>6756.4686587603946</v>
      </c>
      <c r="T17" s="79">
        <f t="shared" si="11"/>
        <v>6581.0089793716115</v>
      </c>
      <c r="U17" s="79">
        <f t="shared" si="11"/>
        <v>6496.1361682434053</v>
      </c>
      <c r="V17" s="79">
        <f t="shared" si="11"/>
        <v>6232.3726333922223</v>
      </c>
      <c r="W17" s="79">
        <f t="shared" ref="W17" si="12">W18+W42</f>
        <v>6425.3754952733452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5082.6525194651676</v>
      </c>
      <c r="C18" s="32">
        <f t="shared" si="13"/>
        <v>5020.7164322461304</v>
      </c>
      <c r="D18" s="32">
        <f t="shared" si="13"/>
        <v>5151.1451900797683</v>
      </c>
      <c r="E18" s="32">
        <f t="shared" si="13"/>
        <v>5189.9673064450908</v>
      </c>
      <c r="F18" s="32">
        <f t="shared" si="13"/>
        <v>5191.9079051456938</v>
      </c>
      <c r="G18" s="32">
        <f t="shared" si="13"/>
        <v>4949.1252726395223</v>
      </c>
      <c r="H18" s="32">
        <f t="shared" si="13"/>
        <v>4970.5119629769697</v>
      </c>
      <c r="I18" s="32">
        <f t="shared" si="13"/>
        <v>5041.255083018943</v>
      </c>
      <c r="J18" s="32">
        <f t="shared" si="13"/>
        <v>4957.8743511735565</v>
      </c>
      <c r="K18" s="32">
        <f t="shared" si="13"/>
        <v>4976.4446512404902</v>
      </c>
      <c r="L18" s="32">
        <f t="shared" ref="L18" si="14">L19+L21+L33</f>
        <v>4992.1315815573707</v>
      </c>
      <c r="M18" s="32">
        <f t="shared" ref="M18:V18" si="15">M19+M21+M33</f>
        <v>5005.1614560008557</v>
      </c>
      <c r="N18" s="32">
        <f t="shared" si="15"/>
        <v>4917.304555470665</v>
      </c>
      <c r="O18" s="32">
        <f t="shared" si="15"/>
        <v>4870.8368752065844</v>
      </c>
      <c r="P18" s="32">
        <f t="shared" si="15"/>
        <v>4884.0404274076136</v>
      </c>
      <c r="Q18" s="32">
        <f t="shared" si="15"/>
        <v>5024.2528790997512</v>
      </c>
      <c r="R18" s="32">
        <f t="shared" si="15"/>
        <v>5029.4370023805313</v>
      </c>
      <c r="S18" s="32">
        <f t="shared" si="15"/>
        <v>5066.5468710436589</v>
      </c>
      <c r="T18" s="32">
        <f t="shared" si="15"/>
        <v>4983.1791072338528</v>
      </c>
      <c r="U18" s="32">
        <f t="shared" si="15"/>
        <v>4884.562550486472</v>
      </c>
      <c r="V18" s="32">
        <f t="shared" si="15"/>
        <v>4530.976568438221</v>
      </c>
      <c r="W18" s="32">
        <f t="shared" ref="W18" si="16">W19+W21+W33</f>
        <v>4633.6302135386104</v>
      </c>
      <c r="DA18" s="173" t="s">
        <v>390</v>
      </c>
    </row>
    <row r="19" spans="1:105" ht="11.45" customHeight="1" x14ac:dyDescent="0.25">
      <c r="A19" s="107" t="s">
        <v>181</v>
      </c>
      <c r="B19" s="129">
        <v>22.71495622002292</v>
      </c>
      <c r="C19" s="129">
        <v>24.372989851088295</v>
      </c>
      <c r="D19" s="129">
        <v>27.053455862730857</v>
      </c>
      <c r="E19" s="129">
        <v>28.89891993675371</v>
      </c>
      <c r="F19" s="129">
        <v>30.81305118199127</v>
      </c>
      <c r="G19" s="129">
        <v>31.120026018421655</v>
      </c>
      <c r="H19" s="129">
        <v>33.263686542663812</v>
      </c>
      <c r="I19" s="129">
        <v>36.391626213900018</v>
      </c>
      <c r="J19" s="129">
        <v>35.111153523686482</v>
      </c>
      <c r="K19" s="129">
        <v>34.670957195974616</v>
      </c>
      <c r="L19" s="129">
        <v>32.338771778545635</v>
      </c>
      <c r="M19" s="129">
        <v>31.724210007686562</v>
      </c>
      <c r="N19" s="129">
        <v>27.010612597051438</v>
      </c>
      <c r="O19" s="129">
        <v>29.71357766512131</v>
      </c>
      <c r="P19" s="129">
        <v>28.928022409406559</v>
      </c>
      <c r="Q19" s="129">
        <v>28.907112488024673</v>
      </c>
      <c r="R19" s="129">
        <v>29.913355386583493</v>
      </c>
      <c r="S19" s="129">
        <v>27.867517628053278</v>
      </c>
      <c r="T19" s="129">
        <v>26.231014910939798</v>
      </c>
      <c r="U19" s="129">
        <v>27.479953796767695</v>
      </c>
      <c r="V19" s="129">
        <v>24.410747498100385</v>
      </c>
      <c r="W19" s="129">
        <v>23.816923293523981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7.1389098965696104E-2</v>
      </c>
      <c r="D20" s="97">
        <v>0.18635555939483309</v>
      </c>
      <c r="E20" s="97">
        <v>0.42444603497982442</v>
      </c>
      <c r="F20" s="97">
        <v>0.86475833966789328</v>
      </c>
      <c r="G20" s="97">
        <v>1.0551862827351834</v>
      </c>
      <c r="H20" s="97">
        <v>1.2896289236781393</v>
      </c>
      <c r="I20" s="97">
        <v>1.6071522200887065</v>
      </c>
      <c r="J20" s="97">
        <v>1.9209000947469432</v>
      </c>
      <c r="K20" s="97">
        <v>1.7884534896309598</v>
      </c>
      <c r="L20" s="97">
        <v>1.8127792078353167</v>
      </c>
      <c r="M20" s="97">
        <v>1.9993609196814022</v>
      </c>
      <c r="N20" s="97">
        <v>1.7940766707239046</v>
      </c>
      <c r="O20" s="97">
        <v>1.8333485886074528</v>
      </c>
      <c r="P20" s="97">
        <v>1.7128928818959486</v>
      </c>
      <c r="Q20" s="97">
        <v>1.4816470532824932</v>
      </c>
      <c r="R20" s="97">
        <v>1.2620182783473648</v>
      </c>
      <c r="S20" s="97">
        <v>1.1593481770904277</v>
      </c>
      <c r="T20" s="97">
        <v>1.4423792085372991</v>
      </c>
      <c r="U20" s="97">
        <v>1.2290262817857593</v>
      </c>
      <c r="V20" s="97">
        <v>1.2411741828558636</v>
      </c>
      <c r="W20" s="97">
        <v>1.3797670135354247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4442.2434293631632</v>
      </c>
      <c r="C21" s="130">
        <f t="shared" si="17"/>
        <v>4398.8940240038264</v>
      </c>
      <c r="D21" s="130">
        <f t="shared" si="17"/>
        <v>4540.3244513393029</v>
      </c>
      <c r="E21" s="130">
        <f t="shared" si="17"/>
        <v>4570.5023545203421</v>
      </c>
      <c r="F21" s="130">
        <f t="shared" si="17"/>
        <v>4579.0684133313152</v>
      </c>
      <c r="G21" s="130">
        <f t="shared" si="17"/>
        <v>4400.3706280868555</v>
      </c>
      <c r="H21" s="130">
        <f t="shared" si="17"/>
        <v>4395.6682085852472</v>
      </c>
      <c r="I21" s="130">
        <f t="shared" si="17"/>
        <v>4487.9207742819171</v>
      </c>
      <c r="J21" s="130">
        <f t="shared" si="17"/>
        <v>4407.2780270288431</v>
      </c>
      <c r="K21" s="130">
        <f t="shared" si="17"/>
        <v>4448.2517573820651</v>
      </c>
      <c r="L21" s="130">
        <f t="shared" ref="L21" si="18">L22+L24+L26+L27+L29+L32</f>
        <v>4444.7725153248084</v>
      </c>
      <c r="M21" s="130">
        <f t="shared" ref="M21:V21" si="19">M22+M24+M26+M27+M29+M32</f>
        <v>4432.616188456198</v>
      </c>
      <c r="N21" s="130">
        <f t="shared" si="19"/>
        <v>4343.9476931197632</v>
      </c>
      <c r="O21" s="130">
        <f t="shared" si="19"/>
        <v>4315.3670677033579</v>
      </c>
      <c r="P21" s="130">
        <f t="shared" si="19"/>
        <v>4355.0150747461348</v>
      </c>
      <c r="Q21" s="130">
        <f t="shared" si="19"/>
        <v>4495.5509124380742</v>
      </c>
      <c r="R21" s="130">
        <f t="shared" si="19"/>
        <v>4508.526845936467</v>
      </c>
      <c r="S21" s="130">
        <f t="shared" si="19"/>
        <v>4547.4498405668519</v>
      </c>
      <c r="T21" s="130">
        <f t="shared" si="19"/>
        <v>4467.4955689031676</v>
      </c>
      <c r="U21" s="130">
        <f t="shared" si="19"/>
        <v>4382.1581220356711</v>
      </c>
      <c r="V21" s="130">
        <f t="shared" si="19"/>
        <v>4077.9394461474644</v>
      </c>
      <c r="W21" s="130">
        <f t="shared" ref="W21" si="20">W22+W24+W26+W27+W29+W32</f>
        <v>4192.9750236142709</v>
      </c>
      <c r="DA21" s="176" t="s">
        <v>392</v>
      </c>
    </row>
    <row r="22" spans="1:105" ht="11.45" customHeight="1" x14ac:dyDescent="0.25">
      <c r="A22" s="111" t="s">
        <v>110</v>
      </c>
      <c r="B22" s="96">
        <v>4015.5487395530108</v>
      </c>
      <c r="C22" s="96">
        <v>3995.2370773286398</v>
      </c>
      <c r="D22" s="96">
        <v>4128.2778577882582</v>
      </c>
      <c r="E22" s="96">
        <v>4140.2985829534246</v>
      </c>
      <c r="F22" s="96">
        <v>4124.1185651849164</v>
      </c>
      <c r="G22" s="96">
        <v>3938.8154490474753</v>
      </c>
      <c r="H22" s="96">
        <v>3856.452925015165</v>
      </c>
      <c r="I22" s="96">
        <v>3794.6436299833999</v>
      </c>
      <c r="J22" s="96">
        <v>3611.6793791964847</v>
      </c>
      <c r="K22" s="96">
        <v>3528.7032786936124</v>
      </c>
      <c r="L22" s="96">
        <v>3325.3836666244256</v>
      </c>
      <c r="M22" s="96">
        <v>3094.015803859093</v>
      </c>
      <c r="N22" s="96">
        <v>2838.9285129078103</v>
      </c>
      <c r="O22" s="96">
        <v>2664.7391660619014</v>
      </c>
      <c r="P22" s="96">
        <v>2548.2174134181087</v>
      </c>
      <c r="Q22" s="96">
        <v>2456.3184396473944</v>
      </c>
      <c r="R22" s="96">
        <v>2325.4158202500112</v>
      </c>
      <c r="S22" s="96">
        <v>2214.0873861714699</v>
      </c>
      <c r="T22" s="96">
        <v>2095.5468175838882</v>
      </c>
      <c r="U22" s="96">
        <v>2018.3698316455423</v>
      </c>
      <c r="V22" s="96">
        <v>1844.2575748432441</v>
      </c>
      <c r="W22" s="96">
        <v>1941.5846017574704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11.702149668441166</v>
      </c>
      <c r="D23" s="96">
        <v>28.437310686996863</v>
      </c>
      <c r="E23" s="96">
        <v>60.809653821428334</v>
      </c>
      <c r="F23" s="96">
        <v>115.74205689526814</v>
      </c>
      <c r="G23" s="96">
        <v>133.55335980760569</v>
      </c>
      <c r="H23" s="96">
        <v>149.51419255721621</v>
      </c>
      <c r="I23" s="96">
        <v>167.58168207508959</v>
      </c>
      <c r="J23" s="96">
        <v>197.59177826538382</v>
      </c>
      <c r="K23" s="96">
        <v>182.02328989591649</v>
      </c>
      <c r="L23" s="96">
        <v>186.4074000773023</v>
      </c>
      <c r="M23" s="96">
        <v>194.99474633453974</v>
      </c>
      <c r="N23" s="96">
        <v>188.56497225156622</v>
      </c>
      <c r="O23" s="96">
        <v>164.41627609324246</v>
      </c>
      <c r="P23" s="96">
        <v>150.88565015588028</v>
      </c>
      <c r="Q23" s="96">
        <v>125.8997065007688</v>
      </c>
      <c r="R23" s="96">
        <v>98.107257844765229</v>
      </c>
      <c r="S23" s="96">
        <v>92.110758099702238</v>
      </c>
      <c r="T23" s="96">
        <v>115.22898257889835</v>
      </c>
      <c r="U23" s="96">
        <v>90.270514564971762</v>
      </c>
      <c r="V23" s="96">
        <v>93.772011226199893</v>
      </c>
      <c r="W23" s="96">
        <v>112.48028783892907</v>
      </c>
      <c r="DA23" s="171" t="s">
        <v>641</v>
      </c>
    </row>
    <row r="24" spans="1:105" ht="11.45" customHeight="1" x14ac:dyDescent="0.25">
      <c r="A24" s="111" t="s">
        <v>111</v>
      </c>
      <c r="B24" s="96">
        <v>426.69468981015211</v>
      </c>
      <c r="C24" s="96">
        <v>403.65694667518648</v>
      </c>
      <c r="D24" s="96">
        <v>410.54403102065265</v>
      </c>
      <c r="E24" s="96">
        <v>427.22676253887727</v>
      </c>
      <c r="F24" s="96">
        <v>450.33000616931292</v>
      </c>
      <c r="G24" s="96">
        <v>454.11541826324702</v>
      </c>
      <c r="H24" s="96">
        <v>531.94479449706796</v>
      </c>
      <c r="I24" s="96">
        <v>684.35592706790919</v>
      </c>
      <c r="J24" s="96">
        <v>786.29030261404307</v>
      </c>
      <c r="K24" s="96">
        <v>909.3583802246078</v>
      </c>
      <c r="L24" s="96">
        <v>1100.1468768798995</v>
      </c>
      <c r="M24" s="96">
        <v>1312.120353803484</v>
      </c>
      <c r="N24" s="96">
        <v>1471.9520747863205</v>
      </c>
      <c r="O24" s="96">
        <v>1614.9900379582452</v>
      </c>
      <c r="P24" s="96">
        <v>1765.6842231286139</v>
      </c>
      <c r="Q24" s="96">
        <v>1990.284227146062</v>
      </c>
      <c r="R24" s="96">
        <v>2124.4730096011976</v>
      </c>
      <c r="S24" s="96">
        <v>2271.5206415016505</v>
      </c>
      <c r="T24" s="96">
        <v>2304.452673102327</v>
      </c>
      <c r="U24" s="96">
        <v>2291.1126476739005</v>
      </c>
      <c r="V24" s="96">
        <v>2138.5061534616466</v>
      </c>
      <c r="W24" s="96">
        <v>2117.0463531824157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0.42056616727950258</v>
      </c>
      <c r="D25" s="96">
        <v>0.42568000422306185</v>
      </c>
      <c r="E25" s="96">
        <v>0.56676965323836481</v>
      </c>
      <c r="F25" s="96">
        <v>1.1044054833025521</v>
      </c>
      <c r="G25" s="96">
        <v>1.0751891609495634</v>
      </c>
      <c r="H25" s="96">
        <v>7.3498292887345302</v>
      </c>
      <c r="I25" s="96">
        <v>18.182852748600531</v>
      </c>
      <c r="J25" s="96">
        <v>25.517754915237543</v>
      </c>
      <c r="K25" s="96">
        <v>37.351603851390152</v>
      </c>
      <c r="L25" s="96">
        <v>46.201221654791354</v>
      </c>
      <c r="M25" s="96">
        <v>68.722953716579951</v>
      </c>
      <c r="N25" s="96">
        <v>104.00615104018854</v>
      </c>
      <c r="O25" s="96">
        <v>156.25338717407257</v>
      </c>
      <c r="P25" s="96">
        <v>247.78320461965723</v>
      </c>
      <c r="Q25" s="96">
        <v>336.98954232668143</v>
      </c>
      <c r="R25" s="96">
        <v>471.45825294835305</v>
      </c>
      <c r="S25" s="96">
        <v>611.17295254121359</v>
      </c>
      <c r="T25" s="96">
        <v>670.42793167294849</v>
      </c>
      <c r="U25" s="96">
        <v>643.75008439512214</v>
      </c>
      <c r="V25" s="96">
        <v>620.98822920580801</v>
      </c>
      <c r="W25" s="96">
        <v>623.33903523450192</v>
      </c>
      <c r="DA25" s="171" t="s">
        <v>643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0.82132416165090272</v>
      </c>
      <c r="H26" s="96">
        <v>0.61117798796216671</v>
      </c>
      <c r="I26" s="96">
        <v>1.313929492691315</v>
      </c>
      <c r="J26" s="96">
        <v>0.84161650902837482</v>
      </c>
      <c r="K26" s="96">
        <v>1.0393809114359409</v>
      </c>
      <c r="L26" s="96">
        <v>1.096990541702493</v>
      </c>
      <c r="M26" s="96">
        <v>1.0178847807394671</v>
      </c>
      <c r="N26" s="96">
        <v>0.63379191745485808</v>
      </c>
      <c r="O26" s="96">
        <v>0.33104041272570928</v>
      </c>
      <c r="P26" s="96">
        <v>0.38865004299226141</v>
      </c>
      <c r="Q26" s="96">
        <v>2.1713671539122958</v>
      </c>
      <c r="R26" s="96">
        <v>0.7625967325881341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1.5025625303928669</v>
      </c>
      <c r="E27" s="96">
        <v>2.9770090280402282</v>
      </c>
      <c r="F27" s="96">
        <v>4.6198419770863355</v>
      </c>
      <c r="G27" s="96">
        <v>6.6184366144816318</v>
      </c>
      <c r="H27" s="96">
        <v>6.6593110850518578</v>
      </c>
      <c r="I27" s="96">
        <v>7.6072877379164723</v>
      </c>
      <c r="J27" s="96">
        <v>8.3704419362845481</v>
      </c>
      <c r="K27" s="96">
        <v>9.0342693104006937</v>
      </c>
      <c r="L27" s="96">
        <v>18.008612224795989</v>
      </c>
      <c r="M27" s="96">
        <v>25.212429231272644</v>
      </c>
      <c r="N27" s="96">
        <v>31.915707788165577</v>
      </c>
      <c r="O27" s="96">
        <v>34.526843995391069</v>
      </c>
      <c r="P27" s="96">
        <v>38.48024651046488</v>
      </c>
      <c r="Q27" s="96">
        <v>42.148061895066903</v>
      </c>
      <c r="R27" s="96">
        <v>49.333180063435385</v>
      </c>
      <c r="S27" s="96">
        <v>47.78213374258835</v>
      </c>
      <c r="T27" s="96">
        <v>45.67829047084787</v>
      </c>
      <c r="U27" s="96">
        <v>42.223815316034141</v>
      </c>
      <c r="V27" s="96">
        <v>40.454535807923669</v>
      </c>
      <c r="W27" s="96">
        <v>39.762216606602941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3.6639105819173512</v>
      </c>
      <c r="K28" s="96">
        <v>4.5549609551270933</v>
      </c>
      <c r="L28" s="96">
        <v>7.2005100068771073</v>
      </c>
      <c r="M28" s="96">
        <v>14.979319527143145</v>
      </c>
      <c r="N28" s="96">
        <v>18.112702453380809</v>
      </c>
      <c r="O28" s="96">
        <v>20.274566058547258</v>
      </c>
      <c r="P28" s="96">
        <v>23.961534439886183</v>
      </c>
      <c r="Q28" s="96">
        <v>31.106765174644011</v>
      </c>
      <c r="R28" s="96">
        <v>36.043937149269816</v>
      </c>
      <c r="S28" s="96">
        <v>42.668505136252854</v>
      </c>
      <c r="T28" s="96">
        <v>41.663937171865619</v>
      </c>
      <c r="U28" s="96">
        <v>38.773957890576185</v>
      </c>
      <c r="V28" s="96">
        <v>36.857681954599009</v>
      </c>
      <c r="W28" s="96">
        <v>35.455476033910145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5.9050404170157431E-2</v>
      </c>
      <c r="K29" s="96">
        <v>7.1108573848743528E-2</v>
      </c>
      <c r="L29" s="96">
        <v>8.1597536887327807E-2</v>
      </c>
      <c r="M29" s="96">
        <v>0.14415167900391315</v>
      </c>
      <c r="N29" s="96">
        <v>0.35564675812341257</v>
      </c>
      <c r="O29" s="96">
        <v>0.51520331491184812</v>
      </c>
      <c r="P29" s="96">
        <v>1.7110883426871371</v>
      </c>
      <c r="Q29" s="96">
        <v>3.3837616126918064</v>
      </c>
      <c r="R29" s="96">
        <v>6.5641069306234074</v>
      </c>
      <c r="S29" s="96">
        <v>11.194301173813166</v>
      </c>
      <c r="T29" s="96">
        <v>17.343203002239456</v>
      </c>
      <c r="U29" s="96">
        <v>22.085082147150477</v>
      </c>
      <c r="V29" s="96">
        <v>38.9655918419746</v>
      </c>
      <c r="W29" s="96">
        <v>61.769948817981941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2.4939516525294071E-3</v>
      </c>
      <c r="K30" s="96">
        <v>2.8248895797940211E-3</v>
      </c>
      <c r="L30" s="96">
        <v>3.5108320347894992E-3</v>
      </c>
      <c r="M30" s="96">
        <v>6.7278195124990158E-3</v>
      </c>
      <c r="N30" s="96">
        <v>1.6730677201440201E-2</v>
      </c>
      <c r="O30" s="96">
        <v>2.2200569377873909E-2</v>
      </c>
      <c r="P30" s="96">
        <v>6.7723404650538832E-2</v>
      </c>
      <c r="Q30" s="96">
        <v>0.11287791630233954</v>
      </c>
      <c r="R30" s="96">
        <v>0.17760858161265899</v>
      </c>
      <c r="S30" s="96">
        <v>0.29672505756040379</v>
      </c>
      <c r="T30" s="96">
        <v>0.60271835267362217</v>
      </c>
      <c r="U30" s="96">
        <v>0.59254489538245758</v>
      </c>
      <c r="V30" s="96">
        <v>1.1151617496192419</v>
      </c>
      <c r="W30" s="96">
        <v>1.9622283290778331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1.3464733373390988E-2</v>
      </c>
      <c r="K31" s="96">
        <v>1.634526785715016E-2</v>
      </c>
      <c r="L31" s="96">
        <v>1.8966635432185536E-2</v>
      </c>
      <c r="M31" s="96">
        <v>3.7400188061326882E-2</v>
      </c>
      <c r="N31" s="96">
        <v>0.10375906137738707</v>
      </c>
      <c r="O31" s="96">
        <v>0.15539266759767673</v>
      </c>
      <c r="P31" s="96">
        <v>0.56734830612184795</v>
      </c>
      <c r="Q31" s="96">
        <v>1.181499868414279</v>
      </c>
      <c r="R31" s="96">
        <v>2.3542878553848281</v>
      </c>
      <c r="S31" s="96">
        <v>4.0618530140187099</v>
      </c>
      <c r="T31" s="96">
        <v>6.3822060587855116</v>
      </c>
      <c r="U31" s="96">
        <v>8.8362960235849641</v>
      </c>
      <c r="V31" s="96">
        <v>17.033189230393358</v>
      </c>
      <c r="W31" s="96">
        <v>27.898837869853306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3.7236368831614894E-2</v>
      </c>
      <c r="K32" s="96">
        <v>4.5339668160737367E-2</v>
      </c>
      <c r="L32" s="96">
        <v>5.47715170984251E-2</v>
      </c>
      <c r="M32" s="96">
        <v>0.10556510260496993</v>
      </c>
      <c r="N32" s="96">
        <v>0.16195896188857756</v>
      </c>
      <c r="O32" s="96">
        <v>0.26477596018307692</v>
      </c>
      <c r="P32" s="96">
        <v>0.53345330326810181</v>
      </c>
      <c r="Q32" s="96">
        <v>1.2450549829460416</v>
      </c>
      <c r="R32" s="96">
        <v>1.9781323586122608</v>
      </c>
      <c r="S32" s="96">
        <v>2.8653779773294845</v>
      </c>
      <c r="T32" s="96">
        <v>4.4745847438642246</v>
      </c>
      <c r="U32" s="96">
        <v>8.3667452530435611</v>
      </c>
      <c r="V32" s="96">
        <v>15.75559019267555</v>
      </c>
      <c r="W32" s="96">
        <v>32.811903249799791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617.69413388198188</v>
      </c>
      <c r="C33" s="130">
        <f t="shared" si="21"/>
        <v>597.44941839121589</v>
      </c>
      <c r="D33" s="130">
        <f t="shared" si="21"/>
        <v>583.76728287773517</v>
      </c>
      <c r="E33" s="130">
        <f t="shared" si="21"/>
        <v>590.56603198799496</v>
      </c>
      <c r="F33" s="130">
        <f t="shared" si="21"/>
        <v>582.02644063238802</v>
      </c>
      <c r="G33" s="130">
        <f t="shared" si="21"/>
        <v>517.63461853424508</v>
      </c>
      <c r="H33" s="130">
        <f t="shared" si="21"/>
        <v>541.58006784905865</v>
      </c>
      <c r="I33" s="130">
        <f t="shared" si="21"/>
        <v>516.942682523126</v>
      </c>
      <c r="J33" s="130">
        <f t="shared" si="21"/>
        <v>515.48517062102644</v>
      </c>
      <c r="K33" s="130">
        <f t="shared" si="21"/>
        <v>493.52193666245091</v>
      </c>
      <c r="L33" s="130">
        <f t="shared" ref="L33" si="22">L34+L36+L38+L39+L41</f>
        <v>515.02029445401729</v>
      </c>
      <c r="M33" s="130">
        <f t="shared" ref="M33:V33" si="23">M34+M36+M38+M39+M41</f>
        <v>540.82105753697113</v>
      </c>
      <c r="N33" s="130">
        <f t="shared" si="23"/>
        <v>546.3462497538502</v>
      </c>
      <c r="O33" s="130">
        <f t="shared" si="23"/>
        <v>525.75622983810547</v>
      </c>
      <c r="P33" s="130">
        <f t="shared" si="23"/>
        <v>500.09733025207231</v>
      </c>
      <c r="Q33" s="130">
        <f t="shared" si="23"/>
        <v>499.79485417365271</v>
      </c>
      <c r="R33" s="130">
        <f t="shared" si="23"/>
        <v>490.99680105748121</v>
      </c>
      <c r="S33" s="130">
        <f t="shared" si="23"/>
        <v>491.22951284875359</v>
      </c>
      <c r="T33" s="130">
        <f t="shared" si="23"/>
        <v>489.45252341974532</v>
      </c>
      <c r="U33" s="130">
        <f t="shared" si="23"/>
        <v>474.92447465403336</v>
      </c>
      <c r="V33" s="130">
        <f t="shared" si="23"/>
        <v>428.62637479265595</v>
      </c>
      <c r="W33" s="130">
        <f t="shared" ref="W33" si="24">W34+W36+W38+W39+W41</f>
        <v>416.83826663081516</v>
      </c>
      <c r="DA33" s="176" t="s">
        <v>393</v>
      </c>
    </row>
    <row r="34" spans="1:105" ht="11.45" customHeight="1" x14ac:dyDescent="0.25">
      <c r="A34" s="111" t="s">
        <v>110</v>
      </c>
      <c r="B34" s="97">
        <v>6.3843161165276197</v>
      </c>
      <c r="C34" s="97">
        <v>5.2505183889985858</v>
      </c>
      <c r="D34" s="97">
        <v>4.3065252292290861</v>
      </c>
      <c r="E34" s="97">
        <v>3.3932651250723547</v>
      </c>
      <c r="F34" s="97">
        <v>2.5534577141235499</v>
      </c>
      <c r="G34" s="97">
        <v>1.80757399861127</v>
      </c>
      <c r="H34" s="97">
        <v>1.479178657713647</v>
      </c>
      <c r="I34" s="97">
        <v>1.2278299740665504</v>
      </c>
      <c r="J34" s="97">
        <v>0.99513774461679605</v>
      </c>
      <c r="K34" s="97">
        <v>0.89236547087790075</v>
      </c>
      <c r="L34" s="97">
        <v>0.34293328778001969</v>
      </c>
      <c r="M34" s="97">
        <v>0.56909296816878596</v>
      </c>
      <c r="N34" s="97">
        <v>0.46789327652604046</v>
      </c>
      <c r="O34" s="97">
        <v>0.45823123095283536</v>
      </c>
      <c r="P34" s="97">
        <v>0.42398060311827701</v>
      </c>
      <c r="Q34" s="97">
        <v>0.39178182825745067</v>
      </c>
      <c r="R34" s="97">
        <v>0.42295009602441042</v>
      </c>
      <c r="S34" s="97">
        <v>0.39888995202679717</v>
      </c>
      <c r="T34" s="97">
        <v>0.38747335106505676</v>
      </c>
      <c r="U34" s="97">
        <v>0.34327575637924762</v>
      </c>
      <c r="V34" s="97">
        <v>0.33521161796777421</v>
      </c>
      <c r="W34" s="97">
        <v>0.30339345181919986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1.5378900134268531E-2</v>
      </c>
      <c r="D35" s="97">
        <v>2.9665153398998573E-2</v>
      </c>
      <c r="E35" s="97">
        <v>4.9837777021574971E-2</v>
      </c>
      <c r="F35" s="97">
        <v>7.1661966880066597E-2</v>
      </c>
      <c r="G35" s="97">
        <v>6.1289386044675723E-2</v>
      </c>
      <c r="H35" s="97">
        <v>5.7347569633578031E-2</v>
      </c>
      <c r="I35" s="97">
        <v>5.4224278330238421E-2</v>
      </c>
      <c r="J35" s="97">
        <v>5.4443104144416596E-2</v>
      </c>
      <c r="K35" s="97">
        <v>4.6031441572171261E-2</v>
      </c>
      <c r="L35" s="97">
        <v>1.9223436747052076E-2</v>
      </c>
      <c r="M35" s="97">
        <v>3.5866054346080672E-2</v>
      </c>
      <c r="N35" s="97">
        <v>3.1078021973317761E-2</v>
      </c>
      <c r="O35" s="97">
        <v>2.8273188439013462E-2</v>
      </c>
      <c r="P35" s="97">
        <v>2.5104839413671698E-2</v>
      </c>
      <c r="Q35" s="97">
        <v>2.0080953834726856E-2</v>
      </c>
      <c r="R35" s="97">
        <v>1.7843894311200599E-2</v>
      </c>
      <c r="S35" s="97">
        <v>1.6594672870195674E-2</v>
      </c>
      <c r="T35" s="97">
        <v>2.1306209742019015E-2</v>
      </c>
      <c r="U35" s="97">
        <v>1.5352825176132788E-2</v>
      </c>
      <c r="V35" s="97">
        <v>1.7043968278616664E-2</v>
      </c>
      <c r="W35" s="97">
        <v>1.7576253312979573E-2</v>
      </c>
      <c r="DA35" s="175" t="s">
        <v>652</v>
      </c>
    </row>
    <row r="36" spans="1:105" ht="11.45" customHeight="1" x14ac:dyDescent="0.25">
      <c r="A36" s="111" t="s">
        <v>111</v>
      </c>
      <c r="B36" s="97">
        <v>600.85324676380606</v>
      </c>
      <c r="C36" s="97">
        <v>581.60368193814656</v>
      </c>
      <c r="D36" s="97">
        <v>568.69066625082758</v>
      </c>
      <c r="E36" s="97">
        <v>572.42929129976187</v>
      </c>
      <c r="F36" s="97">
        <v>568.45792126620745</v>
      </c>
      <c r="G36" s="97">
        <v>506.95866304807026</v>
      </c>
      <c r="H36" s="97">
        <v>524.23068953050176</v>
      </c>
      <c r="I36" s="97">
        <v>500.39981145312623</v>
      </c>
      <c r="J36" s="97">
        <v>480.97130983565887</v>
      </c>
      <c r="K36" s="97">
        <v>461.165210916766</v>
      </c>
      <c r="L36" s="97">
        <v>481.50356873521872</v>
      </c>
      <c r="M36" s="97">
        <v>461.86737779908646</v>
      </c>
      <c r="N36" s="97">
        <v>457.59257440593643</v>
      </c>
      <c r="O36" s="97">
        <v>434.60409361169337</v>
      </c>
      <c r="P36" s="97">
        <v>406.56996211976463</v>
      </c>
      <c r="Q36" s="97">
        <v>412.90474910665012</v>
      </c>
      <c r="R36" s="97">
        <v>407.16317242258521</v>
      </c>
      <c r="S36" s="97">
        <v>416.94386184535642</v>
      </c>
      <c r="T36" s="97">
        <v>409.25849527687797</v>
      </c>
      <c r="U36" s="97">
        <v>413.27350020993583</v>
      </c>
      <c r="V36" s="97">
        <v>370.55984582450287</v>
      </c>
      <c r="W36" s="97">
        <v>363.20719274533036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0.60596710499621231</v>
      </c>
      <c r="D37" s="97">
        <v>0.58965720341721428</v>
      </c>
      <c r="E37" s="97">
        <v>0.75939894075321557</v>
      </c>
      <c r="F37" s="97">
        <v>1.3941066255245926</v>
      </c>
      <c r="G37" s="97">
        <v>1.2003037942279045</v>
      </c>
      <c r="H37" s="97">
        <v>7.2432442535839456</v>
      </c>
      <c r="I37" s="97">
        <v>13.295268919584872</v>
      </c>
      <c r="J37" s="97">
        <v>15.609130577910198</v>
      </c>
      <c r="K37" s="97">
        <v>18.94221315027773</v>
      </c>
      <c r="L37" s="97">
        <v>20.220984646886787</v>
      </c>
      <c r="M37" s="97">
        <v>24.190532778244357</v>
      </c>
      <c r="N37" s="97">
        <v>32.332874978583398</v>
      </c>
      <c r="O37" s="97">
        <v>42.048780556193464</v>
      </c>
      <c r="P37" s="97">
        <v>57.055053670709398</v>
      </c>
      <c r="Q37" s="97">
        <v>69.911915357681096</v>
      </c>
      <c r="R37" s="97">
        <v>90.356731795475056</v>
      </c>
      <c r="S37" s="97">
        <v>112.18247654553714</v>
      </c>
      <c r="T37" s="97">
        <v>119.06442241605409</v>
      </c>
      <c r="U37" s="97">
        <v>116.12037099464366</v>
      </c>
      <c r="V37" s="97">
        <v>107.6046950348241</v>
      </c>
      <c r="W37" s="97">
        <v>106.94202362445776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10.146173688736029</v>
      </c>
      <c r="C39" s="97">
        <v>10.294538680356901</v>
      </c>
      <c r="D39" s="97">
        <v>10.522750895094244</v>
      </c>
      <c r="E39" s="97">
        <v>14.464943338807103</v>
      </c>
      <c r="F39" s="97">
        <v>10.736389034581144</v>
      </c>
      <c r="G39" s="97">
        <v>8.6433835738428435</v>
      </c>
      <c r="H39" s="97">
        <v>15.662799043688874</v>
      </c>
      <c r="I39" s="97">
        <v>15.142542040093797</v>
      </c>
      <c r="J39" s="97">
        <v>33.37949140637982</v>
      </c>
      <c r="K39" s="97">
        <v>31.324979361156963</v>
      </c>
      <c r="L39" s="97">
        <v>33.103271772692651</v>
      </c>
      <c r="M39" s="97">
        <v>78.313776825019517</v>
      </c>
      <c r="N39" s="97">
        <v>88.184577286940723</v>
      </c>
      <c r="O39" s="97">
        <v>90.559804580415189</v>
      </c>
      <c r="P39" s="97">
        <v>92.920906676822497</v>
      </c>
      <c r="Q39" s="97">
        <v>86.166598031313811</v>
      </c>
      <c r="R39" s="97">
        <v>82.78023052650191</v>
      </c>
      <c r="S39" s="97">
        <v>72.994063865662554</v>
      </c>
      <c r="T39" s="97">
        <v>78.152922596627633</v>
      </c>
      <c r="U39" s="97">
        <v>56.909703988223661</v>
      </c>
      <c r="V39" s="97">
        <v>50.066300906790588</v>
      </c>
      <c r="W39" s="97">
        <v>42.524015914416047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14.610873919655949</v>
      </c>
      <c r="K40" s="97">
        <v>15.793646725360194</v>
      </c>
      <c r="L40" s="97">
        <v>13.235913833018643</v>
      </c>
      <c r="M40" s="97">
        <v>46.528126095215264</v>
      </c>
      <c r="N40" s="97">
        <v>50.046234912822115</v>
      </c>
      <c r="O40" s="97">
        <v>53.177774964310409</v>
      </c>
      <c r="P40" s="97">
        <v>57.861570739070444</v>
      </c>
      <c r="Q40" s="97">
        <v>63.594006707381652</v>
      </c>
      <c r="R40" s="97">
        <v>60.481108707418805</v>
      </c>
      <c r="S40" s="97">
        <v>65.18226259519227</v>
      </c>
      <c r="T40" s="97">
        <v>71.284595445656379</v>
      </c>
      <c r="U40" s="97">
        <v>52.259949734258043</v>
      </c>
      <c r="V40" s="97">
        <v>45.614855259426854</v>
      </c>
      <c r="W40" s="97">
        <v>37.918138267694559</v>
      </c>
      <c r="DA40" s="175" t="s">
        <v>657</v>
      </c>
    </row>
    <row r="41" spans="1:105" ht="11.45" customHeight="1" x14ac:dyDescent="0.25">
      <c r="A41" s="111" t="s">
        <v>115</v>
      </c>
      <c r="B41" s="97">
        <v>0.31039731291222722</v>
      </c>
      <c r="C41" s="97">
        <v>0.30067938371384473</v>
      </c>
      <c r="D41" s="97">
        <v>0.24734050258433449</v>
      </c>
      <c r="E41" s="97">
        <v>0.27853222435360769</v>
      </c>
      <c r="F41" s="97">
        <v>0.27867261747585781</v>
      </c>
      <c r="G41" s="97">
        <v>0.2249979137206552</v>
      </c>
      <c r="H41" s="97">
        <v>0.20740061715439068</v>
      </c>
      <c r="I41" s="97">
        <v>0.17249905583946301</v>
      </c>
      <c r="J41" s="97">
        <v>0.13923163437091957</v>
      </c>
      <c r="K41" s="97">
        <v>0.13938091365003683</v>
      </c>
      <c r="L41" s="97">
        <v>7.0520658325869942E-2</v>
      </c>
      <c r="M41" s="97">
        <v>7.0809944696393276E-2</v>
      </c>
      <c r="N41" s="97">
        <v>0.10120478444708157</v>
      </c>
      <c r="O41" s="97">
        <v>0.13410041504401959</v>
      </c>
      <c r="P41" s="97">
        <v>0.18248085236692305</v>
      </c>
      <c r="Q41" s="97">
        <v>0.3317252074312983</v>
      </c>
      <c r="R41" s="97">
        <v>0.63044801236971226</v>
      </c>
      <c r="S41" s="97">
        <v>0.89269718570776435</v>
      </c>
      <c r="T41" s="97">
        <v>1.6536321951746751</v>
      </c>
      <c r="U41" s="97">
        <v>4.3979946994946069</v>
      </c>
      <c r="V41" s="97">
        <v>7.6650164433947445</v>
      </c>
      <c r="W41" s="97">
        <v>10.803664519249523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1669.5184109517852</v>
      </c>
      <c r="C42" s="32">
        <f t="shared" si="25"/>
        <v>1717.6825274471269</v>
      </c>
      <c r="D42" s="32">
        <f t="shared" si="25"/>
        <v>1724.486673208713</v>
      </c>
      <c r="E42" s="32">
        <f t="shared" si="25"/>
        <v>1795.330830250457</v>
      </c>
      <c r="F42" s="32">
        <f t="shared" si="25"/>
        <v>1980.5570959326583</v>
      </c>
      <c r="G42" s="32">
        <f t="shared" si="25"/>
        <v>1889.9611075589837</v>
      </c>
      <c r="H42" s="32">
        <f t="shared" si="25"/>
        <v>1961.8802118678555</v>
      </c>
      <c r="I42" s="32">
        <f t="shared" si="25"/>
        <v>2002.3053123865047</v>
      </c>
      <c r="J42" s="32">
        <f t="shared" si="25"/>
        <v>2012.7405962533776</v>
      </c>
      <c r="K42" s="32">
        <f t="shared" si="25"/>
        <v>1854.3543482254931</v>
      </c>
      <c r="L42" s="32">
        <f t="shared" ref="L42" si="26">L43+L52</f>
        <v>1968.9349883505984</v>
      </c>
      <c r="M42" s="32">
        <f t="shared" ref="M42:V42" si="27">M43+M52</f>
        <v>1924.6039789151555</v>
      </c>
      <c r="N42" s="32">
        <f t="shared" si="27"/>
        <v>1745.7094841449275</v>
      </c>
      <c r="O42" s="32">
        <f t="shared" si="27"/>
        <v>1696.7901601033195</v>
      </c>
      <c r="P42" s="32">
        <f t="shared" si="27"/>
        <v>1700.8057538199935</v>
      </c>
      <c r="Q42" s="32">
        <f t="shared" si="27"/>
        <v>1718.7537913105957</v>
      </c>
      <c r="R42" s="32">
        <f t="shared" si="27"/>
        <v>1620.5202027288819</v>
      </c>
      <c r="S42" s="32">
        <f t="shared" si="27"/>
        <v>1689.9217877167357</v>
      </c>
      <c r="T42" s="32">
        <f t="shared" si="27"/>
        <v>1597.8298721377587</v>
      </c>
      <c r="U42" s="32">
        <f t="shared" si="27"/>
        <v>1611.5736177569338</v>
      </c>
      <c r="V42" s="32">
        <f t="shared" si="27"/>
        <v>1701.3960649540018</v>
      </c>
      <c r="W42" s="32">
        <f t="shared" ref="W42" si="28">W43+W52</f>
        <v>1791.7452817347348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395.95543144006433</v>
      </c>
      <c r="C43" s="141">
        <f t="shared" si="29"/>
        <v>439.92123451987368</v>
      </c>
      <c r="D43" s="141">
        <f t="shared" si="29"/>
        <v>463.27044107741671</v>
      </c>
      <c r="E43" s="141">
        <f t="shared" si="29"/>
        <v>503.48021915734591</v>
      </c>
      <c r="F43" s="141">
        <f t="shared" si="29"/>
        <v>563.9043150357279</v>
      </c>
      <c r="G43" s="141">
        <f t="shared" si="29"/>
        <v>509.26647733573378</v>
      </c>
      <c r="H43" s="141">
        <f t="shared" si="29"/>
        <v>547.92804050918551</v>
      </c>
      <c r="I43" s="141">
        <f t="shared" si="29"/>
        <v>563.35282338040486</v>
      </c>
      <c r="J43" s="141">
        <f t="shared" si="29"/>
        <v>572.12039924968497</v>
      </c>
      <c r="K43" s="141">
        <f t="shared" si="29"/>
        <v>566.82372234021716</v>
      </c>
      <c r="L43" s="141">
        <f t="shared" ref="L43" si="30">L44+L46+L48+L49+L51</f>
        <v>607.81758620089761</v>
      </c>
      <c r="M43" s="141">
        <f t="shared" ref="M43:V43" si="31">M44+M46+M48+M49+M51</f>
        <v>622.24238753552822</v>
      </c>
      <c r="N43" s="141">
        <f t="shared" si="31"/>
        <v>600.73064599598399</v>
      </c>
      <c r="O43" s="141">
        <f t="shared" si="31"/>
        <v>591.13409983032147</v>
      </c>
      <c r="P43" s="141">
        <f t="shared" si="31"/>
        <v>573.80678128330442</v>
      </c>
      <c r="Q43" s="141">
        <f t="shared" si="31"/>
        <v>598.26175978182687</v>
      </c>
      <c r="R43" s="141">
        <f t="shared" si="31"/>
        <v>586.72491370968589</v>
      </c>
      <c r="S43" s="141">
        <f t="shared" si="31"/>
        <v>629.770799904304</v>
      </c>
      <c r="T43" s="141">
        <f t="shared" si="31"/>
        <v>600.38582292180479</v>
      </c>
      <c r="U43" s="141">
        <f t="shared" si="31"/>
        <v>611.33732590529269</v>
      </c>
      <c r="V43" s="141">
        <f t="shared" si="31"/>
        <v>630.85807585741168</v>
      </c>
      <c r="W43" s="141">
        <f t="shared" ref="W43" si="32">W44+W46+W48+W49+W51</f>
        <v>643.49388346323758</v>
      </c>
      <c r="DA43" s="174" t="s">
        <v>399</v>
      </c>
    </row>
    <row r="44" spans="1:105" ht="11.45" customHeight="1" x14ac:dyDescent="0.25">
      <c r="A44" s="111" t="s">
        <v>110</v>
      </c>
      <c r="B44" s="96">
        <v>163.36522972694715</v>
      </c>
      <c r="C44" s="96">
        <v>158.37243248802278</v>
      </c>
      <c r="D44" s="96">
        <v>146.81581546199985</v>
      </c>
      <c r="E44" s="96">
        <v>130.36374617219462</v>
      </c>
      <c r="F44" s="96">
        <v>116.51415205826335</v>
      </c>
      <c r="G44" s="96">
        <v>107.66597931038379</v>
      </c>
      <c r="H44" s="96">
        <v>94.651157333898865</v>
      </c>
      <c r="I44" s="96">
        <v>87.093405660103286</v>
      </c>
      <c r="J44" s="96">
        <v>77.24174472425932</v>
      </c>
      <c r="K44" s="96">
        <v>70.080011085908197</v>
      </c>
      <c r="L44" s="96">
        <v>61.532530511833563</v>
      </c>
      <c r="M44" s="96">
        <v>57.419481312974355</v>
      </c>
      <c r="N44" s="96">
        <v>49.601712610430752</v>
      </c>
      <c r="O44" s="96">
        <v>42.875903990582302</v>
      </c>
      <c r="P44" s="96">
        <v>39.24462513211386</v>
      </c>
      <c r="Q44" s="96">
        <v>37.038271875879708</v>
      </c>
      <c r="R44" s="96">
        <v>30.298416327137307</v>
      </c>
      <c r="S44" s="96">
        <v>26.252365139386448</v>
      </c>
      <c r="T44" s="96">
        <v>24.954694631117366</v>
      </c>
      <c r="U44" s="96">
        <v>24.178788963214242</v>
      </c>
      <c r="V44" s="96">
        <v>24.206539783362491</v>
      </c>
      <c r="W44" s="96">
        <v>25.469972268748528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0.46387682944940994</v>
      </c>
      <c r="D45" s="96">
        <v>1.0113289613443039</v>
      </c>
      <c r="E45" s="96">
        <v>1.91468661420569</v>
      </c>
      <c r="F45" s="96">
        <v>3.2699320845124089</v>
      </c>
      <c r="G45" s="96">
        <v>3.650628840037486</v>
      </c>
      <c r="H45" s="96">
        <v>3.669613408629453</v>
      </c>
      <c r="I45" s="96">
        <v>3.8462793456660078</v>
      </c>
      <c r="J45" s="96">
        <v>4.2258274043646544</v>
      </c>
      <c r="K45" s="96">
        <v>3.6149806788293848</v>
      </c>
      <c r="L45" s="96">
        <v>3.449261854506974</v>
      </c>
      <c r="M45" s="96">
        <v>3.6187588891172284</v>
      </c>
      <c r="N45" s="96">
        <v>3.2946041154223904</v>
      </c>
      <c r="O45" s="96">
        <v>2.6454733574097125</v>
      </c>
      <c r="P45" s="96">
        <v>2.3237619941698493</v>
      </c>
      <c r="Q45" s="96">
        <v>1.8984132851839535</v>
      </c>
      <c r="R45" s="96">
        <v>1.2782636623564918</v>
      </c>
      <c r="S45" s="96">
        <v>1.0921543883055251</v>
      </c>
      <c r="T45" s="96">
        <v>1.3721974850584027</v>
      </c>
      <c r="U45" s="96">
        <v>1.0813834447216979</v>
      </c>
      <c r="V45" s="96">
        <v>1.2307911602346842</v>
      </c>
      <c r="W45" s="96">
        <v>1.4755317947233269</v>
      </c>
      <c r="DA45" s="171" t="s">
        <v>660</v>
      </c>
    </row>
    <row r="46" spans="1:105" ht="11.45" customHeight="1" x14ac:dyDescent="0.25">
      <c r="A46" s="111" t="s">
        <v>111</v>
      </c>
      <c r="B46" s="96">
        <v>232.59020171311715</v>
      </c>
      <c r="C46" s="96">
        <v>281.5466941085964</v>
      </c>
      <c r="D46" s="96">
        <v>316.44210585087819</v>
      </c>
      <c r="E46" s="96">
        <v>373.08207109576472</v>
      </c>
      <c r="F46" s="96">
        <v>447.33366827975971</v>
      </c>
      <c r="G46" s="96">
        <v>401.49233747661071</v>
      </c>
      <c r="H46" s="96">
        <v>452.98094306603866</v>
      </c>
      <c r="I46" s="96">
        <v>475.66167788988872</v>
      </c>
      <c r="J46" s="96">
        <v>493.82472537033721</v>
      </c>
      <c r="K46" s="96">
        <v>495.15420945658281</v>
      </c>
      <c r="L46" s="96">
        <v>544.50721672357292</v>
      </c>
      <c r="M46" s="96">
        <v>562.87690229725138</v>
      </c>
      <c r="N46" s="96">
        <v>548.71262615836963</v>
      </c>
      <c r="O46" s="96">
        <v>545.63863016910079</v>
      </c>
      <c r="P46" s="96">
        <v>531.68450343591178</v>
      </c>
      <c r="Q46" s="96">
        <v>557.9174444971087</v>
      </c>
      <c r="R46" s="96">
        <v>552.99243265435507</v>
      </c>
      <c r="S46" s="96">
        <v>599.60394134271019</v>
      </c>
      <c r="T46" s="96">
        <v>568.99817879349064</v>
      </c>
      <c r="U46" s="96">
        <v>580.30928855343018</v>
      </c>
      <c r="V46" s="96">
        <v>599.22567627762169</v>
      </c>
      <c r="W46" s="96">
        <v>609.89024066747913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0.29334070682238977</v>
      </c>
      <c r="D47" s="96">
        <v>0.32810872105501415</v>
      </c>
      <c r="E47" s="96">
        <v>0.49493995836732169</v>
      </c>
      <c r="F47" s="96">
        <v>1.0970571566316316</v>
      </c>
      <c r="G47" s="96">
        <v>0.95059580031461199</v>
      </c>
      <c r="H47" s="96">
        <v>6.2587934632072262</v>
      </c>
      <c r="I47" s="96">
        <v>12.637994214910726</v>
      </c>
      <c r="J47" s="96">
        <v>16.026266979500317</v>
      </c>
      <c r="K47" s="96">
        <v>20.338300365585674</v>
      </c>
      <c r="L47" s="96">
        <v>22.866854545664108</v>
      </c>
      <c r="M47" s="96">
        <v>29.480956676402098</v>
      </c>
      <c r="N47" s="96">
        <v>38.77129510631012</v>
      </c>
      <c r="O47" s="96">
        <v>52.791585169609199</v>
      </c>
      <c r="P47" s="96">
        <v>74.612712954147028</v>
      </c>
      <c r="Q47" s="96">
        <v>94.465072733229547</v>
      </c>
      <c r="R47" s="96">
        <v>122.71883192426282</v>
      </c>
      <c r="S47" s="96">
        <v>161.32880524630119</v>
      </c>
      <c r="T47" s="96">
        <v>165.53703904912243</v>
      </c>
      <c r="U47" s="96">
        <v>163.05359488143142</v>
      </c>
      <c r="V47" s="96">
        <v>174.0056211687523</v>
      </c>
      <c r="W47" s="96">
        <v>179.57490332940637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2.1079232544496777E-3</v>
      </c>
      <c r="D49" s="96">
        <v>1.2519764538689152E-2</v>
      </c>
      <c r="E49" s="96">
        <v>3.4401889386546071E-2</v>
      </c>
      <c r="F49" s="96">
        <v>5.6494697704830482E-2</v>
      </c>
      <c r="G49" s="96">
        <v>0.10791325965488445</v>
      </c>
      <c r="H49" s="96">
        <v>0.27032323325410734</v>
      </c>
      <c r="I49" s="96">
        <v>0.5734720276647115</v>
      </c>
      <c r="J49" s="96">
        <v>1.0297743099581549</v>
      </c>
      <c r="K49" s="96">
        <v>1.5653429019591021</v>
      </c>
      <c r="L49" s="96">
        <v>1.7542381005337169</v>
      </c>
      <c r="M49" s="96">
        <v>1.9218592919451714</v>
      </c>
      <c r="N49" s="96">
        <v>2.3703082181009014</v>
      </c>
      <c r="O49" s="96">
        <v>2.550238784468891</v>
      </c>
      <c r="P49" s="96">
        <v>2.7705579047160485</v>
      </c>
      <c r="Q49" s="96">
        <v>3.1413159979529079</v>
      </c>
      <c r="R49" s="96">
        <v>3.2262282750669944</v>
      </c>
      <c r="S49" s="96">
        <v>3.6510594854722571</v>
      </c>
      <c r="T49" s="96">
        <v>6.0508161672622407</v>
      </c>
      <c r="U49" s="96">
        <v>6.2317429485366924</v>
      </c>
      <c r="V49" s="96">
        <v>6.3714246782350052</v>
      </c>
      <c r="W49" s="96">
        <v>6.482039190073019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0.45075290169410981</v>
      </c>
      <c r="K50" s="96">
        <v>0.78922550953850301</v>
      </c>
      <c r="L50" s="96">
        <v>0.70140935013004369</v>
      </c>
      <c r="M50" s="96">
        <v>1.1418235091979143</v>
      </c>
      <c r="N50" s="96">
        <v>1.3451898908907931</v>
      </c>
      <c r="O50" s="96">
        <v>1.4975300003581506</v>
      </c>
      <c r="P50" s="96">
        <v>1.7252181228490389</v>
      </c>
      <c r="Q50" s="96">
        <v>2.3184026665556008</v>
      </c>
      <c r="R50" s="96">
        <v>2.3571553470946909</v>
      </c>
      <c r="S50" s="96">
        <v>3.2603242719942802</v>
      </c>
      <c r="T50" s="96">
        <v>5.5190512173877186</v>
      </c>
      <c r="U50" s="96">
        <v>5.7225842066361068</v>
      </c>
      <c r="V50" s="96">
        <v>5.8049348410042256</v>
      </c>
      <c r="W50" s="96">
        <v>5.7799540560909151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2.472890843450858E-4</v>
      </c>
      <c r="H51" s="96">
        <v>2.5616875993967378E-2</v>
      </c>
      <c r="I51" s="96">
        <v>2.4267802748164421E-2</v>
      </c>
      <c r="J51" s="96">
        <v>2.4154845130259329E-2</v>
      </c>
      <c r="K51" s="96">
        <v>2.4158895767021835E-2</v>
      </c>
      <c r="L51" s="96">
        <v>2.3600864957448186E-2</v>
      </c>
      <c r="M51" s="96">
        <v>2.4144633357305781E-2</v>
      </c>
      <c r="N51" s="96">
        <v>4.5999009082685394E-2</v>
      </c>
      <c r="O51" s="96">
        <v>6.9326886169533655E-2</v>
      </c>
      <c r="P51" s="96">
        <v>0.10709481056278004</v>
      </c>
      <c r="Q51" s="96">
        <v>0.164727410885537</v>
      </c>
      <c r="R51" s="96">
        <v>0.20783645312655241</v>
      </c>
      <c r="S51" s="96">
        <v>0.26343393673500815</v>
      </c>
      <c r="T51" s="96">
        <v>0.38213332993448046</v>
      </c>
      <c r="U51" s="96">
        <v>0.61750544011144692</v>
      </c>
      <c r="V51" s="96">
        <v>1.054435118192496</v>
      </c>
      <c r="W51" s="96">
        <v>1.6516313369369124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1273.5629795117209</v>
      </c>
      <c r="C52" s="130">
        <f t="shared" si="33"/>
        <v>1277.7612929272532</v>
      </c>
      <c r="D52" s="130">
        <f t="shared" si="33"/>
        <v>1261.2162321312962</v>
      </c>
      <c r="E52" s="130">
        <f t="shared" si="33"/>
        <v>1291.850611093111</v>
      </c>
      <c r="F52" s="130">
        <f t="shared" si="33"/>
        <v>1416.6527808969304</v>
      </c>
      <c r="G52" s="130">
        <f t="shared" si="33"/>
        <v>1380.69463022325</v>
      </c>
      <c r="H52" s="130">
        <f t="shared" si="33"/>
        <v>1413.9521713586698</v>
      </c>
      <c r="I52" s="130">
        <f t="shared" si="33"/>
        <v>1438.9524890061</v>
      </c>
      <c r="J52" s="130">
        <f t="shared" si="33"/>
        <v>1440.6201970036925</v>
      </c>
      <c r="K52" s="130">
        <f t="shared" si="33"/>
        <v>1287.5306258852759</v>
      </c>
      <c r="L52" s="130">
        <f t="shared" ref="L52" si="34">L53+L55</f>
        <v>1361.1174021497006</v>
      </c>
      <c r="M52" s="130">
        <f t="shared" ref="M52:V52" si="35">M53+M55</f>
        <v>1302.3615913796273</v>
      </c>
      <c r="N52" s="130">
        <f t="shared" si="35"/>
        <v>1144.9788381489434</v>
      </c>
      <c r="O52" s="130">
        <f t="shared" si="35"/>
        <v>1105.656060272998</v>
      </c>
      <c r="P52" s="130">
        <f t="shared" si="35"/>
        <v>1126.9989725366891</v>
      </c>
      <c r="Q52" s="130">
        <f t="shared" si="35"/>
        <v>1120.4920315287688</v>
      </c>
      <c r="R52" s="130">
        <f t="shared" si="35"/>
        <v>1033.7952890191962</v>
      </c>
      <c r="S52" s="130">
        <f t="shared" si="35"/>
        <v>1060.1509878124318</v>
      </c>
      <c r="T52" s="130">
        <f t="shared" si="35"/>
        <v>997.44404921595401</v>
      </c>
      <c r="U52" s="130">
        <f t="shared" si="35"/>
        <v>1000.2362918516412</v>
      </c>
      <c r="V52" s="130">
        <f t="shared" si="35"/>
        <v>1070.5379890965901</v>
      </c>
      <c r="W52" s="130">
        <f t="shared" ref="W52" si="36">W53+W55</f>
        <v>1148.2513982714972</v>
      </c>
      <c r="DA52" s="176" t="s">
        <v>400</v>
      </c>
    </row>
    <row r="53" spans="1:105" ht="11.45" customHeight="1" x14ac:dyDescent="0.25">
      <c r="A53" s="128" t="s">
        <v>27</v>
      </c>
      <c r="B53" s="97">
        <v>1011.2140551040198</v>
      </c>
      <c r="C53" s="97">
        <v>998.40267713088656</v>
      </c>
      <c r="D53" s="97">
        <v>979.22558611689374</v>
      </c>
      <c r="E53" s="97">
        <v>992.9854261823242</v>
      </c>
      <c r="F53" s="97">
        <v>1052.9590097369517</v>
      </c>
      <c r="G53" s="97">
        <v>1038.3038316980981</v>
      </c>
      <c r="H53" s="97">
        <v>1042.5866358426786</v>
      </c>
      <c r="I53" s="97">
        <v>1070.5465484932322</v>
      </c>
      <c r="J53" s="97">
        <v>1091.1637119729339</v>
      </c>
      <c r="K53" s="97">
        <v>1008.9402325225719</v>
      </c>
      <c r="L53" s="97">
        <v>1051.2581924959409</v>
      </c>
      <c r="M53" s="97">
        <v>1002.3485368189943</v>
      </c>
      <c r="N53" s="97">
        <v>869.72098775722452</v>
      </c>
      <c r="O53" s="97">
        <v>810.41572084732206</v>
      </c>
      <c r="P53" s="97">
        <v>883.65473266312597</v>
      </c>
      <c r="Q53" s="97">
        <v>851.07498673949783</v>
      </c>
      <c r="R53" s="97">
        <v>771.85374299543707</v>
      </c>
      <c r="S53" s="97">
        <v>794.69574342176111</v>
      </c>
      <c r="T53" s="97">
        <v>749.97139064082398</v>
      </c>
      <c r="U53" s="97">
        <v>759.89332633945219</v>
      </c>
      <c r="V53" s="97">
        <v>803.85550631042361</v>
      </c>
      <c r="W53" s="97">
        <v>851.77290419889118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1.0402258422184694</v>
      </c>
      <c r="D54" s="97">
        <v>1.0153277605748463</v>
      </c>
      <c r="E54" s="97">
        <v>1.3173191733673102</v>
      </c>
      <c r="F54" s="97">
        <v>2.5823144985126643</v>
      </c>
      <c r="G54" s="97">
        <v>2.458346448318657</v>
      </c>
      <c r="H54" s="97">
        <v>14.40531775370528</v>
      </c>
      <c r="I54" s="97">
        <v>28.443664300789194</v>
      </c>
      <c r="J54" s="97">
        <v>35.411918577601554</v>
      </c>
      <c r="K54" s="97">
        <v>41.441896500260327</v>
      </c>
      <c r="L54" s="97">
        <v>44.148116754798082</v>
      </c>
      <c r="M54" s="97">
        <v>52.498501302884435</v>
      </c>
      <c r="N54" s="97">
        <v>61.453313572475651</v>
      </c>
      <c r="O54" s="97">
        <v>78.409277100931405</v>
      </c>
      <c r="P54" s="97">
        <v>124.00563960900672</v>
      </c>
      <c r="Q54" s="97">
        <v>144.10171489842284</v>
      </c>
      <c r="R54" s="97">
        <v>171.28803969723583</v>
      </c>
      <c r="S54" s="97">
        <v>213.82000013785017</v>
      </c>
      <c r="T54" s="97">
        <v>218.18706633029893</v>
      </c>
      <c r="U54" s="97">
        <v>213.51258894186813</v>
      </c>
      <c r="V54" s="97">
        <v>233.42687445299455</v>
      </c>
      <c r="W54" s="97">
        <v>250.79436713518089</v>
      </c>
      <c r="DA54" s="175" t="s">
        <v>668</v>
      </c>
    </row>
    <row r="55" spans="1:105" ht="11.45" customHeight="1" x14ac:dyDescent="0.25">
      <c r="A55" s="128" t="s">
        <v>116</v>
      </c>
      <c r="B55" s="97">
        <v>262.34892440770102</v>
      </c>
      <c r="C55" s="97">
        <v>279.35861579636668</v>
      </c>
      <c r="D55" s="97">
        <v>281.99064601440261</v>
      </c>
      <c r="E55" s="97">
        <v>298.86518491078675</v>
      </c>
      <c r="F55" s="97">
        <v>363.69377115997872</v>
      </c>
      <c r="G55" s="97">
        <v>342.39079852515187</v>
      </c>
      <c r="H55" s="97">
        <v>371.36553551599127</v>
      </c>
      <c r="I55" s="97">
        <v>368.40594051286786</v>
      </c>
      <c r="J55" s="97">
        <v>349.45648503075859</v>
      </c>
      <c r="K55" s="97">
        <v>278.59039336270388</v>
      </c>
      <c r="L55" s="97">
        <v>309.85920965375971</v>
      </c>
      <c r="M55" s="97">
        <v>300.01305456063295</v>
      </c>
      <c r="N55" s="97">
        <v>275.25785039171876</v>
      </c>
      <c r="O55" s="97">
        <v>295.24033942567593</v>
      </c>
      <c r="P55" s="97">
        <v>243.34423987356308</v>
      </c>
      <c r="Q55" s="97">
        <v>269.41704478927102</v>
      </c>
      <c r="R55" s="97">
        <v>261.94154602375903</v>
      </c>
      <c r="S55" s="97">
        <v>265.45524439067071</v>
      </c>
      <c r="T55" s="97">
        <v>247.47265857512997</v>
      </c>
      <c r="U55" s="97">
        <v>240.34296551218901</v>
      </c>
      <c r="V55" s="97">
        <v>266.68248278616642</v>
      </c>
      <c r="W55" s="97">
        <v>296.47849407260611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0.29106096974103512</v>
      </c>
      <c r="D56" s="98">
        <v>0.29238710178747251</v>
      </c>
      <c r="E56" s="98">
        <v>0.39648199052486149</v>
      </c>
      <c r="F56" s="98">
        <v>0.89193566853070805</v>
      </c>
      <c r="G56" s="98">
        <v>0.81066367839046649</v>
      </c>
      <c r="H56" s="98">
        <v>5.1311213456701301</v>
      </c>
      <c r="I56" s="98">
        <v>9.7882851643519828</v>
      </c>
      <c r="J56" s="98">
        <v>11.341033850868216</v>
      </c>
      <c r="K56" s="98">
        <v>11.44301106799772</v>
      </c>
      <c r="L56" s="98">
        <v>13.012693421075484</v>
      </c>
      <c r="M56" s="98">
        <v>15.713332396052508</v>
      </c>
      <c r="N56" s="98">
        <v>19.449348965383027</v>
      </c>
      <c r="O56" s="98">
        <v>28.565069741239768</v>
      </c>
      <c r="P56" s="98">
        <v>34.149150109506309</v>
      </c>
      <c r="Q56" s="98">
        <v>45.616965346065889</v>
      </c>
      <c r="R56" s="98">
        <v>58.12947639477629</v>
      </c>
      <c r="S56" s="98">
        <v>71.423108607343877</v>
      </c>
      <c r="T56" s="98">
        <v>71.996524194516553</v>
      </c>
      <c r="U56" s="98">
        <v>67.530858637321529</v>
      </c>
      <c r="V56" s="98">
        <v>77.440358297552137</v>
      </c>
      <c r="W56" s="98">
        <v>87.294554597346746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12.920603572454922</v>
      </c>
      <c r="C60" s="79">
        <f>IF(C17=0,0,C17/TrRoad_act!C30*100)</f>
        <v>12.579262198878501</v>
      </c>
      <c r="D60" s="79">
        <f>IF(D17=0,0,D17/TrRoad_act!D30*100)</f>
        <v>12.259127808288405</v>
      </c>
      <c r="E60" s="79">
        <f>IF(E17=0,0,E17/TrRoad_act!E30*100)</f>
        <v>12.2063154848052</v>
      </c>
      <c r="F60" s="79">
        <f>IF(F17=0,0,F17/TrRoad_act!F30*100)</f>
        <v>12.280527368715417</v>
      </c>
      <c r="G60" s="79">
        <f>IF(G17=0,0,G17/TrRoad_act!G30*100)</f>
        <v>11.954243860544027</v>
      </c>
      <c r="H60" s="79">
        <f>IF(H17=0,0,H17/TrRoad_act!H30*100)</f>
        <v>11.903421019053189</v>
      </c>
      <c r="I60" s="79">
        <f>IF(I17=0,0,I17/TrRoad_act!I30*100)</f>
        <v>11.613310776481581</v>
      </c>
      <c r="J60" s="79">
        <f>IF(J17=0,0,J17/TrRoad_act!J30*100)</f>
        <v>11.472831880351759</v>
      </c>
      <c r="K60" s="79">
        <f>IF(K17=0,0,K17/TrRoad_act!K30*100)</f>
        <v>11.03700084785431</v>
      </c>
      <c r="L60" s="79">
        <f>IF(L17=0,0,L17/TrRoad_act!L30*100)</f>
        <v>10.921516621732938</v>
      </c>
      <c r="M60" s="79">
        <f>IF(M17=0,0,M17/TrRoad_act!M30*100)</f>
        <v>10.536044561061477</v>
      </c>
      <c r="N60" s="79">
        <f>IF(N17=0,0,N17/TrRoad_act!N30*100)</f>
        <v>9.9886028394527351</v>
      </c>
      <c r="O60" s="79">
        <f>IF(O17=0,0,O17/TrRoad_act!O30*100)</f>
        <v>9.5832486611924885</v>
      </c>
      <c r="P60" s="79">
        <f>IF(P17=0,0,P17/TrRoad_act!P30*100)</f>
        <v>9.1118950140787565</v>
      </c>
      <c r="Q60" s="79">
        <f>IF(Q17=0,0,Q17/TrRoad_act!Q30*100)</f>
        <v>8.7775048369036135</v>
      </c>
      <c r="R60" s="79">
        <f>IF(R17=0,0,R17/TrRoad_act!R30*100)</f>
        <v>8.3012741460835642</v>
      </c>
      <c r="S60" s="79">
        <f>IF(S17=0,0,S17/TrRoad_act!S30*100)</f>
        <v>8.142700045358815</v>
      </c>
      <c r="T60" s="79">
        <f>IF(T17=0,0,T17/TrRoad_act!T30*100)</f>
        <v>7.8169995235599021</v>
      </c>
      <c r="U60" s="79">
        <f>IF(U17=0,0,U17/TrRoad_act!U30*100)</f>
        <v>7.7178672099588592</v>
      </c>
      <c r="V60" s="79">
        <f>IF(V17=0,0,V17/TrRoad_act!V30*100)</f>
        <v>7.7719849475965583</v>
      </c>
      <c r="W60" s="79">
        <f>IF(W17=0,0,W17/TrRoad_act!W30*100)</f>
        <v>7.7262133933261588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10.986133787857685</v>
      </c>
      <c r="C61" s="32">
        <f>IF(C18=0,0,C18/TrRoad_act!C31*100)</f>
        <v>10.680835371565601</v>
      </c>
      <c r="D61" s="32">
        <f>IF(D18=0,0,D18/TrRoad_act!D31*100)</f>
        <v>10.482788782388125</v>
      </c>
      <c r="E61" s="32">
        <f>IF(E18=0,0,E18/TrRoad_act!E31*100)</f>
        <v>10.379715654423869</v>
      </c>
      <c r="F61" s="32">
        <f>IF(F18=0,0,F18/TrRoad_act!F31*100)</f>
        <v>10.266844447874005</v>
      </c>
      <c r="G61" s="32">
        <f>IF(G18=0,0,G18/TrRoad_act!G31*100)</f>
        <v>10.010965566234859</v>
      </c>
      <c r="H61" s="32">
        <f>IF(H18=0,0,H18/TrRoad_act!H31*100)</f>
        <v>9.9280312099348773</v>
      </c>
      <c r="I61" s="32">
        <f>IF(I18=0,0,I18/TrRoad_act!I31*100)</f>
        <v>9.6740185778460823</v>
      </c>
      <c r="J61" s="32">
        <f>IF(J18=0,0,J18/TrRoad_act!J31*100)</f>
        <v>9.5281913741328133</v>
      </c>
      <c r="K61" s="32">
        <f>IF(K18=0,0,K18/TrRoad_act!K31*100)</f>
        <v>9.3066252556428619</v>
      </c>
      <c r="L61" s="32">
        <f>IF(L18=0,0,L18/TrRoad_act!L31*100)</f>
        <v>9.0986370068425479</v>
      </c>
      <c r="M61" s="32">
        <f>IF(M18=0,0,M18/TrRoad_act!M31*100)</f>
        <v>8.8151416048004076</v>
      </c>
      <c r="N61" s="32">
        <f>IF(N18=0,0,N18/TrRoad_act!N31*100)</f>
        <v>8.5012544474539862</v>
      </c>
      <c r="O61" s="32">
        <f>IF(O18=0,0,O18/TrRoad_act!O31*100)</f>
        <v>8.1904596543644601</v>
      </c>
      <c r="P61" s="32">
        <f>IF(P18=0,0,P18/TrRoad_act!P31*100)</f>
        <v>7.8193176590544766</v>
      </c>
      <c r="Q61" s="32">
        <f>IF(Q18=0,0,Q18/TrRoad_act!Q31*100)</f>
        <v>7.5511118031276583</v>
      </c>
      <c r="R61" s="32">
        <f>IF(R18=0,0,R18/TrRoad_act!R31*100)</f>
        <v>7.229740549709204</v>
      </c>
      <c r="S61" s="32">
        <f>IF(S18=0,0,S18/TrRoad_act!S31*100)</f>
        <v>7.0490462285467821</v>
      </c>
      <c r="T61" s="32">
        <f>IF(T18=0,0,T18/TrRoad_act!T31*100)</f>
        <v>6.8239731476413992</v>
      </c>
      <c r="U61" s="32">
        <f>IF(U18=0,0,U18/TrRoad_act!U31*100)</f>
        <v>6.6952636862400912</v>
      </c>
      <c r="V61" s="32">
        <f>IF(V18=0,0,V18/TrRoad_act!V31*100)</f>
        <v>6.5800741528971312</v>
      </c>
      <c r="W61" s="32">
        <f>IF(W18=0,0,W18/TrRoad_act!W31*100)</f>
        <v>6.4928622964690694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5.2189495956306686</v>
      </c>
      <c r="C62" s="141">
        <f>IF(C19=0,0,C19/TrRoad_act!C32*100)</f>
        <v>5.128672400961281</v>
      </c>
      <c r="D62" s="141">
        <f>IF(D19=0,0,D19/TrRoad_act!D32*100)</f>
        <v>5.0328265548109634</v>
      </c>
      <c r="E62" s="141">
        <f>IF(E19=0,0,E19/TrRoad_act!E32*100)</f>
        <v>4.9718571934199929</v>
      </c>
      <c r="F62" s="141">
        <f>IF(F19=0,0,F19/TrRoad_act!F32*100)</f>
        <v>4.9157734568123654</v>
      </c>
      <c r="G62" s="141">
        <f>IF(G19=0,0,G19/TrRoad_act!G32*100)</f>
        <v>4.8173414889197606</v>
      </c>
      <c r="H62" s="141">
        <f>IF(H19=0,0,H19/TrRoad_act!H32*100)</f>
        <v>4.6982608111107078</v>
      </c>
      <c r="I62" s="141">
        <f>IF(I19=0,0,I19/TrRoad_act!I32*100)</f>
        <v>4.6285645876449966</v>
      </c>
      <c r="J62" s="141">
        <f>IF(J19=0,0,J19/TrRoad_act!J32*100)</f>
        <v>4.6059495636477079</v>
      </c>
      <c r="K62" s="141">
        <f>IF(K19=0,0,K19/TrRoad_act!K32*100)</f>
        <v>4.5003838520216268</v>
      </c>
      <c r="L62" s="141">
        <f>IF(L19=0,0,L19/TrRoad_act!L32*100)</f>
        <v>4.4034275297583925</v>
      </c>
      <c r="M62" s="141">
        <f>IF(M19=0,0,M19/TrRoad_act!M32*100)</f>
        <v>4.4644258384022741</v>
      </c>
      <c r="N62" s="141">
        <f>IF(N19=0,0,N19/TrRoad_act!N32*100)</f>
        <v>4.3547944533738709</v>
      </c>
      <c r="O62" s="141">
        <f>IF(O19=0,0,O19/TrRoad_act!O32*100)</f>
        <v>4.2938696047863161</v>
      </c>
      <c r="P62" s="141">
        <f>IF(P19=0,0,P19/TrRoad_act!P32*100)</f>
        <v>4.1683029408366803</v>
      </c>
      <c r="Q62" s="141">
        <f>IF(Q19=0,0,Q19/TrRoad_act!Q32*100)</f>
        <v>4.1461721870373882</v>
      </c>
      <c r="R62" s="141">
        <f>IF(R19=0,0,R19/TrRoad_act!R32*100)</f>
        <v>4.0658744574309749</v>
      </c>
      <c r="S62" s="141">
        <f>IF(S19=0,0,S19/TrRoad_act!S32*100)</f>
        <v>3.984496629102253</v>
      </c>
      <c r="T62" s="141">
        <f>IF(T19=0,0,T19/TrRoad_act!T32*100)</f>
        <v>3.9221689326181726</v>
      </c>
      <c r="U62" s="141">
        <f>IF(U19=0,0,U19/TrRoad_act!U32*100)</f>
        <v>3.8622569991130473</v>
      </c>
      <c r="V62" s="141">
        <f>IF(V19=0,0,V19/TrRoad_act!V32*100)</f>
        <v>3.8301698740576366</v>
      </c>
      <c r="W62" s="141">
        <f>IF(W19=0,0,W19/TrRoad_act!W32*100)</f>
        <v>3.5939150558788948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9.897162313693789</v>
      </c>
      <c r="C63" s="130">
        <f>IF(C21=0,0,C21/TrRoad_act!C33*100)</f>
        <v>9.645170369477075</v>
      </c>
      <c r="D63" s="130">
        <f>IF(D21=0,0,D21/TrRoad_act!D33*100)</f>
        <v>9.5235846140699323</v>
      </c>
      <c r="E63" s="130">
        <f>IF(E21=0,0,E21/TrRoad_act!E33*100)</f>
        <v>9.422394195656917</v>
      </c>
      <c r="F63" s="130">
        <f>IF(F21=0,0,F21/TrRoad_act!F33*100)</f>
        <v>9.3341318369660673</v>
      </c>
      <c r="G63" s="130">
        <f>IF(G21=0,0,G21/TrRoad_act!G33*100)</f>
        <v>9.1836935231576469</v>
      </c>
      <c r="H63" s="130">
        <f>IF(H21=0,0,H21/TrRoad_act!H33*100)</f>
        <v>9.0659561031569158</v>
      </c>
      <c r="I63" s="130">
        <f>IF(I21=0,0,I21/TrRoad_act!I33*100)</f>
        <v>8.8928241039400646</v>
      </c>
      <c r="J63" s="130">
        <f>IF(J21=0,0,J21/TrRoad_act!J33*100)</f>
        <v>8.7412275983763905</v>
      </c>
      <c r="K63" s="130">
        <f>IF(K21=0,0,K21/TrRoad_act!K33*100)</f>
        <v>8.5791331686801389</v>
      </c>
      <c r="L63" s="130">
        <f>IF(L21=0,0,L21/TrRoad_act!L33*100)</f>
        <v>8.3495418855889216</v>
      </c>
      <c r="M63" s="130">
        <f>IF(M21=0,0,M21/TrRoad_act!M33*100)</f>
        <v>8.0379093434438396</v>
      </c>
      <c r="N63" s="130">
        <f>IF(N21=0,0,N21/TrRoad_act!N33*100)</f>
        <v>7.7208167450260659</v>
      </c>
      <c r="O63" s="130">
        <f>IF(O21=0,0,O21/TrRoad_act!O33*100)</f>
        <v>7.464142410440858</v>
      </c>
      <c r="P63" s="130">
        <f>IF(P21=0,0,P21/TrRoad_act!P33*100)</f>
        <v>7.1617688689735184</v>
      </c>
      <c r="Q63" s="130">
        <f>IF(Q21=0,0,Q21/TrRoad_act!Q33*100)</f>
        <v>6.9305840629997517</v>
      </c>
      <c r="R63" s="130">
        <f>IF(R21=0,0,R21/TrRoad_act!R33*100)</f>
        <v>6.644920401040566</v>
      </c>
      <c r="S63" s="130">
        <f>IF(S21=0,0,S21/TrRoad_act!S33*100)</f>
        <v>6.4793035561963395</v>
      </c>
      <c r="T63" s="130">
        <f>IF(T21=0,0,T21/TrRoad_act!T33*100)</f>
        <v>6.2604326718731365</v>
      </c>
      <c r="U63" s="130">
        <f>IF(U21=0,0,U21/TrRoad_act!U33*100)</f>
        <v>6.1502254224105002</v>
      </c>
      <c r="V63" s="130">
        <f>IF(V21=0,0,V21/TrRoad_act!V33*100)</f>
        <v>6.0581923329610756</v>
      </c>
      <c r="W63" s="130">
        <f>IF(W21=0,0,W21/TrRoad_act!W33*100)</f>
        <v>6.0058184097272784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10.007100958301091</v>
      </c>
      <c r="C64" s="96">
        <f>IF(C22=0,0,C22/TrRoad_act!C34*100)</f>
        <v>9.7433883407389708</v>
      </c>
      <c r="D64" s="96">
        <f>IF(D22=0,0,D22/TrRoad_act!D34*100)</f>
        <v>9.6352239545823331</v>
      </c>
      <c r="E64" s="96">
        <f>IF(E22=0,0,E22/TrRoad_act!E34*100)</f>
        <v>9.5230498804101202</v>
      </c>
      <c r="F64" s="96">
        <f>IF(F22=0,0,F22/TrRoad_act!F34*100)</f>
        <v>9.4169370512582891</v>
      </c>
      <c r="G64" s="96">
        <f>IF(G22=0,0,G22/TrRoad_act!G34*100)</f>
        <v>9.3047110628203828</v>
      </c>
      <c r="H64" s="96">
        <f>IF(H22=0,0,H22/TrRoad_act!H34*100)</f>
        <v>9.1974625652919446</v>
      </c>
      <c r="I64" s="96">
        <f>IF(I22=0,0,I22/TrRoad_act!I34*100)</f>
        <v>9.09118386451396</v>
      </c>
      <c r="J64" s="96">
        <f>IF(J22=0,0,J22/TrRoad_act!J34*100)</f>
        <v>8.9901556311796291</v>
      </c>
      <c r="K64" s="96">
        <f>IF(K22=0,0,K22/TrRoad_act!K34*100)</f>
        <v>8.9135969992559598</v>
      </c>
      <c r="L64" s="96">
        <f>IF(L22=0,0,L22/TrRoad_act!L34*100)</f>
        <v>8.7774116898923733</v>
      </c>
      <c r="M64" s="96">
        <f>IF(M22=0,0,M22/TrRoad_act!M34*100)</f>
        <v>8.6383506312279721</v>
      </c>
      <c r="N64" s="96">
        <f>IF(N22=0,0,N22/TrRoad_act!N34*100)</f>
        <v>8.5081365994818547</v>
      </c>
      <c r="O64" s="96">
        <f>IF(O22=0,0,O22/TrRoad_act!O34*100)</f>
        <v>8.3512580487493153</v>
      </c>
      <c r="P64" s="96">
        <f>IF(P22=0,0,P22/TrRoad_act!P34*100)</f>
        <v>8.1680963623211582</v>
      </c>
      <c r="Q64" s="96">
        <f>IF(Q22=0,0,Q22/TrRoad_act!Q34*100)</f>
        <v>7.9508593446611711</v>
      </c>
      <c r="R64" s="96">
        <f>IF(R22=0,0,R22/TrRoad_act!R34*100)</f>
        <v>7.6891504307043457</v>
      </c>
      <c r="S64" s="96">
        <f>IF(S22=0,0,S22/TrRoad_act!S34*100)</f>
        <v>7.429678501814867</v>
      </c>
      <c r="T64" s="96">
        <f>IF(T22=0,0,T22/TrRoad_act!T34*100)</f>
        <v>7.1731268939882469</v>
      </c>
      <c r="U64" s="96">
        <f>IF(U22=0,0,U22/TrRoad_act!U34*100)</f>
        <v>6.9350568636442507</v>
      </c>
      <c r="V64" s="96">
        <f>IF(V22=0,0,V22/TrRoad_act!V34*100)</f>
        <v>6.7225140589005488</v>
      </c>
      <c r="W64" s="96">
        <f>IF(W22=0,0,W22/TrRoad_act!W34*100)</f>
        <v>6.8524535141186629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8.9697940445934723</v>
      </c>
      <c r="C65" s="96">
        <f>IF(C24=0,0,C24/TrRoad_act!C35*100)</f>
        <v>8.7701501285810686</v>
      </c>
      <c r="D65" s="96">
        <f>IF(D24=0,0,D24/TrRoad_act!D35*100)</f>
        <v>8.5305732782910528</v>
      </c>
      <c r="E65" s="96">
        <f>IF(E24=0,0,E24/TrRoad_act!E35*100)</f>
        <v>8.5481569712944694</v>
      </c>
      <c r="F65" s="96">
        <f>IF(F24=0,0,F24/TrRoad_act!F35*100)</f>
        <v>8.63967022895587</v>
      </c>
      <c r="G65" s="96">
        <f>IF(G24=0,0,G24/TrRoad_act!G35*100)</f>
        <v>8.249525465413349</v>
      </c>
      <c r="H65" s="96">
        <f>IF(H24=0,0,H24/TrRoad_act!H35*100)</f>
        <v>8.2131076526084907</v>
      </c>
      <c r="I65" s="96">
        <f>IF(I24=0,0,I24/TrRoad_act!I35*100)</f>
        <v>7.9236395373132869</v>
      </c>
      <c r="J65" s="96">
        <f>IF(J24=0,0,J24/TrRoad_act!J35*100)</f>
        <v>7.7528484883785262</v>
      </c>
      <c r="K65" s="96">
        <f>IF(K24=0,0,K24/TrRoad_act!K35*100)</f>
        <v>7.4870071998816288</v>
      </c>
      <c r="L65" s="96">
        <f>IF(L24=0,0,L24/TrRoad_act!L35*100)</f>
        <v>7.2811198565747919</v>
      </c>
      <c r="M65" s="96">
        <f>IF(M24=0,0,M24/TrRoad_act!M35*100)</f>
        <v>6.9124893574512862</v>
      </c>
      <c r="N65" s="96">
        <f>IF(N24=0,0,N24/TrRoad_act!N35*100)</f>
        <v>6.5526207364647302</v>
      </c>
      <c r="O65" s="96">
        <f>IF(O24=0,0,O24/TrRoad_act!O35*100)</f>
        <v>6.352898235387773</v>
      </c>
      <c r="P65" s="96">
        <f>IF(P24=0,0,P24/TrRoad_act!P35*100)</f>
        <v>6.0875186522633618</v>
      </c>
      <c r="Q65" s="96">
        <f>IF(Q24=0,0,Q24/TrRoad_act!Q35*100)</f>
        <v>5.9949061219812805</v>
      </c>
      <c r="R65" s="96">
        <f>IF(R24=0,0,R24/TrRoad_act!R35*100)</f>
        <v>5.8100857184394599</v>
      </c>
      <c r="S65" s="96">
        <f>IF(S24=0,0,S24/TrRoad_act!S35*100)</f>
        <v>5.8013070244882865</v>
      </c>
      <c r="T65" s="96">
        <f>IF(T24=0,0,T24/TrRoad_act!T35*100)</f>
        <v>5.6674531671347639</v>
      </c>
      <c r="U65" s="96">
        <f>IF(U24=0,0,U24/TrRoad_act!U35*100)</f>
        <v>5.685395984755286</v>
      </c>
      <c r="V65" s="96">
        <f>IF(V24=0,0,V24/TrRoad_act!V35*100)</f>
        <v>5.7731291289820765</v>
      </c>
      <c r="W65" s="96">
        <f>IF(W24=0,0,W24/TrRoad_act!W35*100)</f>
        <v>5.739375454286062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0</v>
      </c>
      <c r="E66" s="96">
        <f>IF(E26=0,0,E26/TrRoad_act!E36*100)</f>
        <v>0</v>
      </c>
      <c r="F66" s="96">
        <f>IF(F26=0,0,F26/TrRoad_act!F36*100)</f>
        <v>0</v>
      </c>
      <c r="G66" s="96">
        <f>IF(G26=0,0,G26/TrRoad_act!G36*100)</f>
        <v>12.821313634832576</v>
      </c>
      <c r="H66" s="96">
        <f>IF(H26=0,0,H26/TrRoad_act!H36*100)</f>
        <v>10.334577153222885</v>
      </c>
      <c r="I66" s="96">
        <f>IF(I26=0,0,I26/TrRoad_act!I36*100)</f>
        <v>22.394469303705065</v>
      </c>
      <c r="J66" s="96">
        <f>IF(J26=0,0,J26/TrRoad_act!J36*100)</f>
        <v>13.844848478944908</v>
      </c>
      <c r="K66" s="96">
        <f>IF(K26=0,0,K26/TrRoad_act!K36*100)</f>
        <v>12.999690656221038</v>
      </c>
      <c r="L66" s="96">
        <f>IF(L26=0,0,L26/TrRoad_act!L36*100)</f>
        <v>16.023835904103461</v>
      </c>
      <c r="M66" s="96">
        <f>IF(M26=0,0,M26/TrRoad_act!M36*100)</f>
        <v>10.854728990718886</v>
      </c>
      <c r="N66" s="96">
        <f>IF(N26=0,0,N26/TrRoad_act!N36*100)</f>
        <v>6.9544207823631812</v>
      </c>
      <c r="O66" s="96">
        <f>IF(O26=0,0,O26/TrRoad_act!O36*100)</f>
        <v>3.6528992855183184</v>
      </c>
      <c r="P66" s="96">
        <f>IF(P26=0,0,P26/TrRoad_act!P36*100)</f>
        <v>4.2608185743684999</v>
      </c>
      <c r="Q66" s="96">
        <f>IF(Q26=0,0,Q26/TrRoad_act!Q36*100)</f>
        <v>23.444437213137618</v>
      </c>
      <c r="R66" s="96">
        <f>IF(R26=0,0,R26/TrRoad_act!R36*100)</f>
        <v>8.6827117763297235</v>
      </c>
      <c r="S66" s="96">
        <f>IF(S26=0,0,S26/TrRoad_act!S36*100)</f>
        <v>0</v>
      </c>
      <c r="T66" s="96">
        <f>IF(T26=0,0,T26/TrRoad_act!T36*100)</f>
        <v>0</v>
      </c>
      <c r="U66" s="96">
        <f>IF(U26=0,0,U26/TrRoad_act!U36*100)</f>
        <v>0</v>
      </c>
      <c r="V66" s="96">
        <f>IF(V26=0,0,V26/TrRoad_act!V36*100)</f>
        <v>0</v>
      </c>
      <c r="W66" s="96">
        <f>IF(W26=0,0,W26/TrRoad_act!W36*100)</f>
        <v>0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9.2599115162081596</v>
      </c>
      <c r="E67" s="96">
        <f>IF(E27=0,0,E27/TrRoad_act!E37*100)</f>
        <v>9.2109749695305059</v>
      </c>
      <c r="F67" s="96">
        <f>IF(F27=0,0,F27/TrRoad_act!F37*100)</f>
        <v>9.2016663941583481</v>
      </c>
      <c r="G67" s="96">
        <f>IF(G27=0,0,G27/TrRoad_act!G37*100)</f>
        <v>9.1314350916894949</v>
      </c>
      <c r="H67" s="96">
        <f>IF(H27=0,0,H27/TrRoad_act!H37*100)</f>
        <v>9.096057352126353</v>
      </c>
      <c r="I67" s="96">
        <f>IF(I27=0,0,I27/TrRoad_act!I37*100)</f>
        <v>9.0356154661356332</v>
      </c>
      <c r="J67" s="96">
        <f>IF(J27=0,0,J27/TrRoad_act!J37*100)</f>
        <v>8.8989478526158514</v>
      </c>
      <c r="K67" s="96">
        <f>IF(K27=0,0,K27/TrRoad_act!K37*100)</f>
        <v>8.7250735184407606</v>
      </c>
      <c r="L67" s="96">
        <f>IF(L27=0,0,L27/TrRoad_act!L37*100)</f>
        <v>7.957959261052638</v>
      </c>
      <c r="M67" s="96">
        <f>IF(M27=0,0,M27/TrRoad_act!M37*100)</f>
        <v>7.6945827990103011</v>
      </c>
      <c r="N67" s="96">
        <f>IF(N27=0,0,N27/TrRoad_act!N37*100)</f>
        <v>7.9366941247524956</v>
      </c>
      <c r="O67" s="96">
        <f>IF(O27=0,0,O27/TrRoad_act!O37*100)</f>
        <v>7.7831284003944177</v>
      </c>
      <c r="P67" s="96">
        <f>IF(P27=0,0,P27/TrRoad_act!P37*100)</f>
        <v>7.5395765930420691</v>
      </c>
      <c r="Q67" s="96">
        <f>IF(Q27=0,0,Q27/TrRoad_act!Q37*100)</f>
        <v>7.2598296353934204</v>
      </c>
      <c r="R67" s="96">
        <f>IF(R27=0,0,R27/TrRoad_act!R37*100)</f>
        <v>6.9647128483205814</v>
      </c>
      <c r="S67" s="96">
        <f>IF(S27=0,0,S27/TrRoad_act!S37*100)</f>
        <v>6.7622484990261924</v>
      </c>
      <c r="T67" s="96">
        <f>IF(T27=0,0,T27/TrRoad_act!T37*100)</f>
        <v>6.6290186066071914</v>
      </c>
      <c r="U67" s="96">
        <f>IF(U27=0,0,U27/TrRoad_act!U37*100)</f>
        <v>6.4140186956770737</v>
      </c>
      <c r="V67" s="96">
        <f>IF(V27=0,0,V27/TrRoad_act!V37*100)</f>
        <v>6.2989469488384842</v>
      </c>
      <c r="W67" s="96">
        <f>IF(W27=0,0,W27/TrRoad_act!W37*100)</f>
        <v>6.2098579333760195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4.1675074103555598</v>
      </c>
      <c r="K68" s="96">
        <f>IF(K29=0,0,K29/TrRoad_act!K38*100)</f>
        <v>4.0932093768335953</v>
      </c>
      <c r="L68" s="96">
        <f>IF(L29=0,0,L29/TrRoad_act!L38*100)</f>
        <v>4.0038619048610506</v>
      </c>
      <c r="M68" s="96">
        <f>IF(M29=0,0,M29/TrRoad_act!M38*100)</f>
        <v>3.6462021392176287</v>
      </c>
      <c r="N68" s="96">
        <f>IF(N29=0,0,N29/TrRoad_act!N38*100)</f>
        <v>3.4276672454703401</v>
      </c>
      <c r="O68" s="96">
        <f>IF(O29=0,0,O29/TrRoad_act!O38*100)</f>
        <v>3.4377155047042924</v>
      </c>
      <c r="P68" s="96">
        <f>IF(P29=0,0,P29/TrRoad_act!P38*100)</f>
        <v>3.4201679590872907</v>
      </c>
      <c r="Q68" s="96">
        <f>IF(Q29=0,0,Q29/TrRoad_act!Q38*100)</f>
        <v>3.386901651058035</v>
      </c>
      <c r="R68" s="96">
        <f>IF(R29=0,0,R29/TrRoad_act!R38*100)</f>
        <v>3.3851700855525508</v>
      </c>
      <c r="S68" s="96">
        <f>IF(S29=0,0,S29/TrRoad_act!S38*100)</f>
        <v>3.3804804544485956</v>
      </c>
      <c r="T68" s="96">
        <f>IF(T29=0,0,T29/TrRoad_act!T38*100)</f>
        <v>3.4078986211799513</v>
      </c>
      <c r="U68" s="96">
        <f>IF(U29=0,0,U29/TrRoad_act!U38*100)</f>
        <v>3.3069000301954943</v>
      </c>
      <c r="V68" s="96">
        <f>IF(V29=0,0,V29/TrRoad_act!V38*100)</f>
        <v>3.1845105457605651</v>
      </c>
      <c r="W68" s="96">
        <f>IF(W29=0,0,W29/TrRoad_act!W38*100)</f>
        <v>3.1541992068671956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1.6802875115530567</v>
      </c>
      <c r="K69" s="96">
        <f>IF(K32=0,0,K32/TrRoad_act!K39*100)</f>
        <v>1.6807882507642005</v>
      </c>
      <c r="L69" s="96">
        <f>IF(L32=0,0,L32/TrRoad_act!L39*100)</f>
        <v>1.6764210054431925</v>
      </c>
      <c r="M69" s="96">
        <f>IF(M32=0,0,M32/TrRoad_act!M39*100)</f>
        <v>1.6750838163341935</v>
      </c>
      <c r="N69" s="96">
        <f>IF(N32=0,0,N32/TrRoad_act!N39*100)</f>
        <v>1.5571112002125935</v>
      </c>
      <c r="O69" s="96">
        <f>IF(O32=0,0,O32/TrRoad_act!O39*100)</f>
        <v>1.5189346386053784</v>
      </c>
      <c r="P69" s="96">
        <f>IF(P32=0,0,P32/TrRoad_act!P39*100)</f>
        <v>1.4228838128980343</v>
      </c>
      <c r="Q69" s="96">
        <f>IF(Q32=0,0,Q32/TrRoad_act!Q39*100)</f>
        <v>1.5123521073101778</v>
      </c>
      <c r="R69" s="96">
        <f>IF(R32=0,0,R32/TrRoad_act!R39*100)</f>
        <v>1.5202137939771934</v>
      </c>
      <c r="S69" s="96">
        <f>IF(S32=0,0,S32/TrRoad_act!S39*100)</f>
        <v>1.5034652561105633</v>
      </c>
      <c r="T69" s="96">
        <f>IF(T32=0,0,T32/TrRoad_act!T39*100)</f>
        <v>1.5546915278237983</v>
      </c>
      <c r="U69" s="96">
        <f>IF(U32=0,0,U32/TrRoad_act!U39*100)</f>
        <v>1.5974305888693641</v>
      </c>
      <c r="V69" s="96">
        <f>IF(V32=0,0,V32/TrRoad_act!V39*100)</f>
        <v>1.62342847758313</v>
      </c>
      <c r="W69" s="96">
        <f>IF(W32=0,0,W32/TrRoad_act!W39*100)</f>
        <v>1.6438331202624137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65.364458611849926</v>
      </c>
      <c r="C70" s="130">
        <f>IF(C33=0,0,C33/TrRoad_act!C40*100)</f>
        <v>64.636141637233465</v>
      </c>
      <c r="D70" s="130">
        <f>IF(D33=0,0,D33/TrRoad_act!D40*100)</f>
        <v>62.973816923164527</v>
      </c>
      <c r="E70" s="130">
        <f>IF(E33=0,0,E33/TrRoad_act!E40*100)</f>
        <v>64.684121794961115</v>
      </c>
      <c r="F70" s="130">
        <f>IF(F33=0,0,F33/TrRoad_act!F40*100)</f>
        <v>65.722210112913146</v>
      </c>
      <c r="G70" s="130">
        <f>IF(G33=0,0,G33/TrRoad_act!G40*100)</f>
        <v>59.090709878338487</v>
      </c>
      <c r="H70" s="130">
        <f>IF(H33=0,0,H33/TrRoad_act!H40*100)</f>
        <v>62.107805945992958</v>
      </c>
      <c r="I70" s="130">
        <f>IF(I33=0,0,I33/TrRoad_act!I40*100)</f>
        <v>60.230402643695655</v>
      </c>
      <c r="J70" s="130">
        <f>IF(J33=0,0,J33/TrRoad_act!J40*100)</f>
        <v>60.502954298242543</v>
      </c>
      <c r="K70" s="130">
        <f>IF(K33=0,0,K33/TrRoad_act!K40*100)</f>
        <v>57.925109936907383</v>
      </c>
      <c r="L70" s="130">
        <f>IF(L33=0,0,L33/TrRoad_act!L40*100)</f>
        <v>57.308686081018031</v>
      </c>
      <c r="M70" s="130">
        <f>IF(M33=0,0,M33/TrRoad_act!M40*100)</f>
        <v>58.647427860247312</v>
      </c>
      <c r="N70" s="130">
        <f>IF(N33=0,0,N33/TrRoad_act!N40*100)</f>
        <v>56.967129904685912</v>
      </c>
      <c r="O70" s="130">
        <f>IF(O33=0,0,O33/TrRoad_act!O40*100)</f>
        <v>54.595662496168792</v>
      </c>
      <c r="P70" s="130">
        <f>IF(P33=0,0,P33/TrRoad_act!P40*100)</f>
        <v>52.20222653988229</v>
      </c>
      <c r="Q70" s="130">
        <f>IF(Q33=0,0,Q33/TrRoad_act!Q40*100)</f>
        <v>51.313640058896581</v>
      </c>
      <c r="R70" s="130">
        <f>IF(R33=0,0,R33/TrRoad_act!R40*100)</f>
        <v>50.050642309631108</v>
      </c>
      <c r="S70" s="130">
        <f>IF(S33=0,0,S33/TrRoad_act!S40*100)</f>
        <v>49.519104117817911</v>
      </c>
      <c r="T70" s="130">
        <f>IF(T33=0,0,T33/TrRoad_act!T40*100)</f>
        <v>49.191208383894001</v>
      </c>
      <c r="U70" s="130">
        <f>IF(U33=0,0,U33/TrRoad_act!U40*100)</f>
        <v>47.875451073995301</v>
      </c>
      <c r="V70" s="130">
        <f>IF(V33=0,0,V33/TrRoad_act!V40*100)</f>
        <v>47.158130073247492</v>
      </c>
      <c r="W70" s="130">
        <f>IF(W33=0,0,W33/TrRoad_act!W40*100)</f>
        <v>46.990512195873727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21.40168179527981</v>
      </c>
      <c r="C71" s="97">
        <f>IF(C34=0,0,C34/TrRoad_act!C41*100)</f>
        <v>21.322358521543034</v>
      </c>
      <c r="D71" s="97">
        <f>IF(D34=0,0,D34/TrRoad_act!D41*100)</f>
        <v>21.292165134254088</v>
      </c>
      <c r="E71" s="97">
        <f>IF(E34=0,0,E34/TrRoad_act!E41*100)</f>
        <v>21.232952111829245</v>
      </c>
      <c r="F71" s="97">
        <f>IF(F34=0,0,F34/TrRoad_act!F41*100)</f>
        <v>21.178481946822828</v>
      </c>
      <c r="G71" s="97">
        <f>IF(G34=0,0,G34/TrRoad_act!G41*100)</f>
        <v>21.101425389844835</v>
      </c>
      <c r="H71" s="97">
        <f>IF(H34=0,0,H34/TrRoad_act!H41*100)</f>
        <v>20.86577452960411</v>
      </c>
      <c r="I71" s="97">
        <f>IF(I34=0,0,I34/TrRoad_act!I41*100)</f>
        <v>20.74015967610227</v>
      </c>
      <c r="J71" s="97">
        <f>IF(J34=0,0,J34/TrRoad_act!J41*100)</f>
        <v>20.477234838622</v>
      </c>
      <c r="K71" s="97">
        <f>IF(K34=0,0,K34/TrRoad_act!K41*100)</f>
        <v>19.987412937198414</v>
      </c>
      <c r="L71" s="97">
        <f>IF(L34=0,0,L34/TrRoad_act!L41*100)</f>
        <v>18.519211724555142</v>
      </c>
      <c r="M71" s="97">
        <f>IF(M34=0,0,M34/TrRoad_act!M41*100)</f>
        <v>17.100600687830809</v>
      </c>
      <c r="N71" s="97">
        <f>IF(N34=0,0,N34/TrRoad_act!N41*100)</f>
        <v>16.776791505674225</v>
      </c>
      <c r="O71" s="97">
        <f>IF(O34=0,0,O34/TrRoad_act!O41*100)</f>
        <v>16.420406439468387</v>
      </c>
      <c r="P71" s="97">
        <f>IF(P34=0,0,P34/TrRoad_act!P41*100)</f>
        <v>16.225158440864011</v>
      </c>
      <c r="Q71" s="97">
        <f>IF(Q34=0,0,Q34/TrRoad_act!Q41*100)</f>
        <v>16.155960701744334</v>
      </c>
      <c r="R71" s="97">
        <f>IF(R34=0,0,R34/TrRoad_act!R41*100)</f>
        <v>15.667821971287854</v>
      </c>
      <c r="S71" s="97">
        <f>IF(S34=0,0,S34/TrRoad_act!S41*100)</f>
        <v>15.528521313884703</v>
      </c>
      <c r="T71" s="97">
        <f>IF(T34=0,0,T34/TrRoad_act!T41*100)</f>
        <v>15.35070946540514</v>
      </c>
      <c r="U71" s="97">
        <f>IF(U34=0,0,U34/TrRoad_act!U41*100)</f>
        <v>15.255512173532443</v>
      </c>
      <c r="V71" s="97">
        <f>IF(V34=0,0,V34/TrRoad_act!V41*100)</f>
        <v>15.146500082188979</v>
      </c>
      <c r="W71" s="97">
        <f>IF(W34=0,0,W34/TrRoad_act!W41*100)</f>
        <v>15.05881066091799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67.414280555501165</v>
      </c>
      <c r="C72" s="97">
        <f>IF(C36=0,0,C36/TrRoad_act!C42*100)</f>
        <v>66.637686793731476</v>
      </c>
      <c r="D72" s="97">
        <f>IF(D36=0,0,D36/TrRoad_act!D42*100)</f>
        <v>64.738277271255924</v>
      </c>
      <c r="E72" s="97">
        <f>IF(E36=0,0,E36/TrRoad_act!E42*100)</f>
        <v>65.988550121267579</v>
      </c>
      <c r="F72" s="97">
        <f>IF(F36=0,0,F36/TrRoad_act!F42*100)</f>
        <v>67.542802198293543</v>
      </c>
      <c r="G72" s="97">
        <f>IF(G36=0,0,G36/TrRoad_act!G42*100)</f>
        <v>63.567623454949477</v>
      </c>
      <c r="H72" s="97">
        <f>IF(H36=0,0,H36/TrRoad_act!H42*100)</f>
        <v>63.716132054822651</v>
      </c>
      <c r="I72" s="97">
        <f>IF(I36=0,0,I36/TrRoad_act!I42*100)</f>
        <v>62.378842284085444</v>
      </c>
      <c r="J72" s="97">
        <f>IF(J36=0,0,J36/TrRoad_act!J42*100)</f>
        <v>61.739053450088612</v>
      </c>
      <c r="K72" s="97">
        <f>IF(K36=0,0,K36/TrRoad_act!K42*100)</f>
        <v>60.723862662668083</v>
      </c>
      <c r="L72" s="97">
        <f>IF(L36=0,0,L36/TrRoad_act!L42*100)</f>
        <v>61.124304394340271</v>
      </c>
      <c r="M72" s="97">
        <f>IF(M36=0,0,M36/TrRoad_act!M42*100)</f>
        <v>59.854228512752009</v>
      </c>
      <c r="N72" s="97">
        <f>IF(N36=0,0,N36/TrRoad_act!N42*100)</f>
        <v>57.557287407542226</v>
      </c>
      <c r="O72" s="97">
        <f>IF(O36=0,0,O36/TrRoad_act!O42*100)</f>
        <v>55.988207859973748</v>
      </c>
      <c r="P72" s="97">
        <f>IF(P36=0,0,P36/TrRoad_act!P42*100)</f>
        <v>52.993920272516391</v>
      </c>
      <c r="Q72" s="97">
        <f>IF(Q36=0,0,Q36/TrRoad_act!Q42*100)</f>
        <v>52.719647702068251</v>
      </c>
      <c r="R72" s="97">
        <f>IF(R36=0,0,R36/TrRoad_act!R42*100)</f>
        <v>51.30538117019816</v>
      </c>
      <c r="S72" s="97">
        <f>IF(S36=0,0,S36/TrRoad_act!S42*100)</f>
        <v>52.136020098897816</v>
      </c>
      <c r="T72" s="97">
        <f>IF(T36=0,0,T36/TrRoad_act!T42*100)</f>
        <v>50.807220045527977</v>
      </c>
      <c r="U72" s="97">
        <f>IF(U36=0,0,U36/TrRoad_act!U42*100)</f>
        <v>51.563452057475942</v>
      </c>
      <c r="V72" s="97">
        <f>IF(V36=0,0,V36/TrRoad_act!V42*100)</f>
        <v>52.983947643003916</v>
      </c>
      <c r="W72" s="97">
        <f>IF(W36=0,0,W36/TrRoad_act!W42*100)</f>
        <v>53.125298022100154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43.959912709160449</v>
      </c>
      <c r="C74" s="97">
        <f>IF(C39=0,0,C39/TrRoad_act!C44*100)</f>
        <v>39.423984239857205</v>
      </c>
      <c r="D74" s="97">
        <f>IF(D39=0,0,D39/TrRoad_act!D44*100)</f>
        <v>38.039764096018047</v>
      </c>
      <c r="E74" s="97">
        <f>IF(E39=0,0,E39/TrRoad_act!E44*100)</f>
        <v>50.243554305090385</v>
      </c>
      <c r="F74" s="97">
        <f>IF(F39=0,0,F39/TrRoad_act!F44*100)</f>
        <v>34.47718887305971</v>
      </c>
      <c r="G74" s="97">
        <f>IF(G39=0,0,G39/TrRoad_act!G44*100)</f>
        <v>12.472137682656124</v>
      </c>
      <c r="H74" s="97">
        <f>IF(H39=0,0,H39/TrRoad_act!H44*100)</f>
        <v>37.67308129887293</v>
      </c>
      <c r="I74" s="97">
        <f>IF(I39=0,0,I39/TrRoad_act!I44*100)</f>
        <v>30.48018047960197</v>
      </c>
      <c r="J74" s="97">
        <f>IF(J39=0,0,J39/TrRoad_act!J44*100)</f>
        <v>49.293824198302005</v>
      </c>
      <c r="K74" s="97">
        <f>IF(K39=0,0,K39/TrRoad_act!K44*100)</f>
        <v>35.717271415568632</v>
      </c>
      <c r="L74" s="97">
        <f>IF(L39=0,0,L39/TrRoad_act!L44*100)</f>
        <v>30.401487661967529</v>
      </c>
      <c r="M74" s="97">
        <f>IF(M39=0,0,M39/TrRoad_act!M44*100)</f>
        <v>53.281869370825639</v>
      </c>
      <c r="N74" s="97">
        <f>IF(N39=0,0,N39/TrRoad_act!N44*100)</f>
        <v>54.789381725531349</v>
      </c>
      <c r="O74" s="97">
        <f>IF(O39=0,0,O39/TrRoad_act!O44*100)</f>
        <v>49.331330561736301</v>
      </c>
      <c r="P74" s="97">
        <f>IF(P39=0,0,P39/TrRoad_act!P44*100)</f>
        <v>49.519423785949492</v>
      </c>
      <c r="Q74" s="97">
        <f>IF(Q39=0,0,Q39/TrRoad_act!Q44*100)</f>
        <v>45.984343570665317</v>
      </c>
      <c r="R74" s="97">
        <f>IF(R39=0,0,R39/TrRoad_act!R44*100)</f>
        <v>45.276595833771786</v>
      </c>
      <c r="S74" s="97">
        <f>IF(S39=0,0,S39/TrRoad_act!S44*100)</f>
        <v>39.018138942114454</v>
      </c>
      <c r="T74" s="97">
        <f>IF(T39=0,0,T39/TrRoad_act!T44*100)</f>
        <v>42.918216670798159</v>
      </c>
      <c r="U74" s="97">
        <f>IF(U39=0,0,U39/TrRoad_act!U44*100)</f>
        <v>32.459292652763224</v>
      </c>
      <c r="V74" s="97">
        <f>IF(V39=0,0,V39/TrRoad_act!V44*100)</f>
        <v>27.099136093666644</v>
      </c>
      <c r="W74" s="97">
        <f>IF(W39=0,0,W39/TrRoad_act!W44*100)</f>
        <v>25.082455787493075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38.618099799521374</v>
      </c>
      <c r="C75" s="97">
        <f>IF(C41=0,0,C41/TrRoad_act!C45*100)</f>
        <v>37.332903933285863</v>
      </c>
      <c r="D75" s="97">
        <f>IF(D41=0,0,D41/TrRoad_act!D45*100)</f>
        <v>37.146771922078564</v>
      </c>
      <c r="E75" s="97">
        <f>IF(E41=0,0,E41/TrRoad_act!E45*100)</f>
        <v>36.570836696090169</v>
      </c>
      <c r="F75" s="97">
        <f>IF(F41=0,0,F41/TrRoad_act!F45*100)</f>
        <v>36.570836696090161</v>
      </c>
      <c r="G75" s="97">
        <f>IF(G41=0,0,G41/TrRoad_act!G45*100)</f>
        <v>36.200334166672008</v>
      </c>
      <c r="H75" s="97">
        <f>IF(H41=0,0,H41/TrRoad_act!H45*100)</f>
        <v>36.028433915009749</v>
      </c>
      <c r="I75" s="97">
        <f>IF(I41=0,0,I41/TrRoad_act!I45*100)</f>
        <v>35.897775631530244</v>
      </c>
      <c r="J75" s="97">
        <f>IF(J41=0,0,J41/TrRoad_act!J45*100)</f>
        <v>36.079480032287755</v>
      </c>
      <c r="K75" s="97">
        <f>IF(K41=0,0,K41/TrRoad_act!K45*100)</f>
        <v>36.079480032287762</v>
      </c>
      <c r="L75" s="97">
        <f>IF(L41=0,0,L41/TrRoad_act!L45*100)</f>
        <v>36.369665022649947</v>
      </c>
      <c r="M75" s="97">
        <f>IF(M41=0,0,M41/TrRoad_act!M45*100)</f>
        <v>36.369665022649947</v>
      </c>
      <c r="N75" s="97">
        <f>IF(N41=0,0,N41/TrRoad_act!N45*100)</f>
        <v>34.508122505708272</v>
      </c>
      <c r="O75" s="97">
        <f>IF(O41=0,0,O41/TrRoad_act!O45*100)</f>
        <v>34.16044117828082</v>
      </c>
      <c r="P75" s="97">
        <f>IF(P41=0,0,P41/TrRoad_act!P45*100)</f>
        <v>33.769025510351653</v>
      </c>
      <c r="Q75" s="97">
        <f>IF(Q41=0,0,Q41/TrRoad_act!Q45*100)</f>
        <v>33.709944172826603</v>
      </c>
      <c r="R75" s="97">
        <f>IF(R41=0,0,R41/TrRoad_act!R45*100)</f>
        <v>33.875137169631095</v>
      </c>
      <c r="S75" s="97">
        <f>IF(S41=0,0,S41/TrRoad_act!S45*100)</f>
        <v>33.933044304022026</v>
      </c>
      <c r="T75" s="97">
        <f>IF(T41=0,0,T41/TrRoad_act!T45*100)</f>
        <v>33.982941577874357</v>
      </c>
      <c r="U75" s="97">
        <f>IF(U41=0,0,U41/TrRoad_act!U45*100)</f>
        <v>33.992537713615725</v>
      </c>
      <c r="V75" s="97">
        <f>IF(V41=0,0,V41/TrRoad_act!V45*100)</f>
        <v>33.966895126625438</v>
      </c>
      <c r="W75" s="97">
        <f>IF(W41=0,0,W41/TrRoad_act!W45*100)</f>
        <v>33.934206207885644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27.849942463896443</v>
      </c>
      <c r="C76" s="32">
        <f>IF(C42=0,0,C42/TrRoad_act!C46*100)</f>
        <v>26.181213060247789</v>
      </c>
      <c r="D76" s="32">
        <f>IF(D42=0,0,D42/TrRoad_act!D46*100)</f>
        <v>24.824390055010351</v>
      </c>
      <c r="E76" s="32">
        <f>IF(E42=0,0,E42/TrRoad_act!E46*100)</f>
        <v>24.845901451474766</v>
      </c>
      <c r="F76" s="32">
        <f>IF(F42=0,0,F42/TrRoad_act!F46*100)</f>
        <v>25.276615022331093</v>
      </c>
      <c r="G76" s="32">
        <f>IF(G42=0,0,G42/TrRoad_act!G46*100)</f>
        <v>24.31290734340147</v>
      </c>
      <c r="H76" s="32">
        <f>IF(H42=0,0,H42/TrRoad_act!H46*100)</f>
        <v>24.003762852818408</v>
      </c>
      <c r="I76" s="32">
        <f>IF(I42=0,0,I42/TrRoad_act!I46*100)</f>
        <v>23.447650856158127</v>
      </c>
      <c r="J76" s="32">
        <f>IF(J42=0,0,J42/TrRoad_act!J46*100)</f>
        <v>23.071729630406089</v>
      </c>
      <c r="K76" s="32">
        <f>IF(K42=0,0,K42/TrRoad_act!K46*100)</f>
        <v>22.028631318147671</v>
      </c>
      <c r="L76" s="32">
        <f>IF(L42=0,0,L42/TrRoad_act!L46*100)</f>
        <v>22.196757777787482</v>
      </c>
      <c r="M76" s="32">
        <f>IF(M42=0,0,M42/TrRoad_act!M46*100)</f>
        <v>21.401503970825601</v>
      </c>
      <c r="N76" s="32">
        <f>IF(N42=0,0,N42/TrRoad_act!N46*100)</f>
        <v>19.69424016775406</v>
      </c>
      <c r="O76" s="32">
        <f>IF(O42=0,0,O42/TrRoad_act!O46*100)</f>
        <v>18.722735227499125</v>
      </c>
      <c r="P76" s="32">
        <f>IF(P42=0,0,P42/TrRoad_act!P46*100)</f>
        <v>17.345825394586186</v>
      </c>
      <c r="Q76" s="32">
        <f>IF(Q42=0,0,Q42/TrRoad_act!Q46*100)</f>
        <v>16.711503380510955</v>
      </c>
      <c r="R76" s="32">
        <f>IF(R42=0,0,R42/TrRoad_act!R46*100)</f>
        <v>15.372433544191111</v>
      </c>
      <c r="S76" s="32">
        <f>IF(S42=0,0,S42/TrRoad_act!S46*100)</f>
        <v>15.224327972361449</v>
      </c>
      <c r="T76" s="32">
        <f>IF(T42=0,0,T42/TrRoad_act!T46*100)</f>
        <v>14.312563431323392</v>
      </c>
      <c r="U76" s="32">
        <f>IF(U42=0,0,U42/TrRoad_act!U46*100)</f>
        <v>14.370313246016551</v>
      </c>
      <c r="V76" s="32">
        <f>IF(V42=0,0,V42/TrRoad_act!V46*100)</f>
        <v>15.015170970909816</v>
      </c>
      <c r="W76" s="32">
        <f>IF(W42=0,0,W42/TrRoad_act!W46*100)</f>
        <v>15.186426283577873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12.38407952704088</v>
      </c>
      <c r="C77" s="141">
        <f>IF(C43=0,0,C43/TrRoad_act!C47*100)</f>
        <v>11.686520051926266</v>
      </c>
      <c r="D77" s="141">
        <f>IF(D43=0,0,D43/TrRoad_act!D47*100)</f>
        <v>11.318819947398815</v>
      </c>
      <c r="E77" s="141">
        <f>IF(E43=0,0,E43/TrRoad_act!E47*100)</f>
        <v>11.378356997674514</v>
      </c>
      <c r="F77" s="141">
        <f>IF(F43=0,0,F43/TrRoad_act!F47*100)</f>
        <v>11.537117061122764</v>
      </c>
      <c r="G77" s="141">
        <f>IF(G43=0,0,G43/TrRoad_act!G47*100)</f>
        <v>11.01217382881774</v>
      </c>
      <c r="H77" s="141">
        <f>IF(H43=0,0,H43/TrRoad_act!H47*100)</f>
        <v>11.015534632511207</v>
      </c>
      <c r="I77" s="141">
        <f>IF(I43=0,0,I43/TrRoad_act!I47*100)</f>
        <v>10.83389930528767</v>
      </c>
      <c r="J77" s="141">
        <f>IF(J43=0,0,J43/TrRoad_act!J47*100)</f>
        <v>10.729308442576473</v>
      </c>
      <c r="K77" s="141">
        <f>IF(K43=0,0,K43/TrRoad_act!K47*100)</f>
        <v>10.573135097947766</v>
      </c>
      <c r="L77" s="141">
        <f>IF(L43=0,0,L43/TrRoad_act!L47*100)</f>
        <v>10.663377436253716</v>
      </c>
      <c r="M77" s="141">
        <f>IF(M43=0,0,M43/TrRoad_act!M47*100)</f>
        <v>10.543704657667426</v>
      </c>
      <c r="N77" s="141">
        <f>IF(N43=0,0,N43/TrRoad_act!N47*100)</f>
        <v>10.065277587998493</v>
      </c>
      <c r="O77" s="141">
        <f>IF(O43=0,0,O43/TrRoad_act!O47*100)</f>
        <v>9.7126341320303364</v>
      </c>
      <c r="P77" s="141">
        <f>IF(P43=0,0,P43/TrRoad_act!P47*100)</f>
        <v>9.1381079669202734</v>
      </c>
      <c r="Q77" s="141">
        <f>IF(Q43=0,0,Q43/TrRoad_act!Q47*100)</f>
        <v>8.958770369165828</v>
      </c>
      <c r="R77" s="141">
        <f>IF(R43=0,0,R43/TrRoad_act!R47*100)</f>
        <v>8.5375341865623326</v>
      </c>
      <c r="S77" s="141">
        <f>IF(S43=0,0,S43/TrRoad_act!S47*100)</f>
        <v>8.4966031243386837</v>
      </c>
      <c r="T77" s="141">
        <f>IF(T43=0,0,T43/TrRoad_act!T47*100)</f>
        <v>8.1736155059356346</v>
      </c>
      <c r="U77" s="141">
        <f>IF(U43=0,0,U43/TrRoad_act!U47*100)</f>
        <v>8.1929193641283113</v>
      </c>
      <c r="V77" s="141">
        <f>IF(V43=0,0,V43/TrRoad_act!V47*100)</f>
        <v>8.3597778071130406</v>
      </c>
      <c r="W77" s="141">
        <f>IF(W43=0,0,W43/TrRoad_act!W47*100)</f>
        <v>8.331775482924936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12.389612016366717</v>
      </c>
      <c r="C78" s="96">
        <f>IF(C44=0,0,C44/TrRoad_act!C48*100)</f>
        <v>12.18269425739085</v>
      </c>
      <c r="D78" s="96">
        <f>IF(D44=0,0,D44/TrRoad_act!D48*100)</f>
        <v>12.095251137194941</v>
      </c>
      <c r="E78" s="96">
        <f>IF(E44=0,0,E44/TrRoad_act!E48*100)</f>
        <v>12.012133187283062</v>
      </c>
      <c r="F78" s="96">
        <f>IF(F44=0,0,F44/TrRoad_act!F48*100)</f>
        <v>11.931068581726082</v>
      </c>
      <c r="G78" s="96">
        <f>IF(G44=0,0,G44/TrRoad_act!G48*100)</f>
        <v>11.842394891582138</v>
      </c>
      <c r="H78" s="96">
        <f>IF(H44=0,0,H44/TrRoad_act!H48*100)</f>
        <v>11.744162698516188</v>
      </c>
      <c r="I78" s="96">
        <f>IF(I44=0,0,I44/TrRoad_act!I48*100)</f>
        <v>11.6581739297536</v>
      </c>
      <c r="J78" s="96">
        <f>IF(J44=0,0,J44/TrRoad_act!J48*100)</f>
        <v>11.551101484294472</v>
      </c>
      <c r="K78" s="96">
        <f>IF(K44=0,0,K44/TrRoad_act!K48*100)</f>
        <v>11.459068161537953</v>
      </c>
      <c r="L78" s="96">
        <f>IF(L44=0,0,L44/TrRoad_act!L48*100)</f>
        <v>11.361330445168358</v>
      </c>
      <c r="M78" s="96">
        <f>IF(M44=0,0,M44/TrRoad_act!M48*100)</f>
        <v>11.325324811421799</v>
      </c>
      <c r="N78" s="96">
        <f>IF(N44=0,0,N44/TrRoad_act!N48*100)</f>
        <v>11.180901750125637</v>
      </c>
      <c r="O78" s="96">
        <f>IF(O44=0,0,O44/TrRoad_act!O48*100)</f>
        <v>11.03747837903067</v>
      </c>
      <c r="P78" s="96">
        <f>IF(P44=0,0,P44/TrRoad_act!P48*100)</f>
        <v>10.967225597829076</v>
      </c>
      <c r="Q78" s="96">
        <f>IF(Q44=0,0,Q44/TrRoad_act!Q48*100)</f>
        <v>10.815990841341527</v>
      </c>
      <c r="R78" s="96">
        <f>IF(R44=0,0,R44/TrRoad_act!R48*100)</f>
        <v>10.683220619314984</v>
      </c>
      <c r="S78" s="96">
        <f>IF(S44=0,0,S44/TrRoad_act!S48*100)</f>
        <v>10.515968382285152</v>
      </c>
      <c r="T78" s="96">
        <f>IF(T44=0,0,T44/TrRoad_act!T48*100)</f>
        <v>10.203664350102896</v>
      </c>
      <c r="U78" s="96">
        <f>IF(U44=0,0,U44/TrRoad_act!U48*100)</f>
        <v>9.8476666103393953</v>
      </c>
      <c r="V78" s="96">
        <f>IF(V44=0,0,V44/TrRoad_act!V48*100)</f>
        <v>9.6106285607565525</v>
      </c>
      <c r="W78" s="96">
        <f>IF(W44=0,0,W44/TrRoad_act!W48*100)</f>
        <v>9.3853577611109955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12.380196605347683</v>
      </c>
      <c r="C79" s="96">
        <f>IF(C46=0,0,C46/TrRoad_act!C49*100)</f>
        <v>11.424810901358587</v>
      </c>
      <c r="D79" s="96">
        <f>IF(D46=0,0,D46/TrRoad_act!D49*100)</f>
        <v>10.991591453729958</v>
      </c>
      <c r="E79" s="96">
        <f>IF(E46=0,0,E46/TrRoad_act!E49*100)</f>
        <v>11.172702263838383</v>
      </c>
      <c r="F79" s="96">
        <f>IF(F46=0,0,F46/TrRoad_act!F49*100)</f>
        <v>11.439216907776498</v>
      </c>
      <c r="G79" s="96">
        <f>IF(G46=0,0,G46/TrRoad_act!G49*100)</f>
        <v>10.809804103478687</v>
      </c>
      <c r="H79" s="96">
        <f>IF(H46=0,0,H46/TrRoad_act!H49*100)</f>
        <v>10.87995640262538</v>
      </c>
      <c r="I79" s="96">
        <f>IF(I46=0,0,I46/TrRoad_act!I49*100)</f>
        <v>10.702097912910704</v>
      </c>
      <c r="J79" s="96">
        <f>IF(J46=0,0,J46/TrRoad_act!J49*100)</f>
        <v>10.621135199387819</v>
      </c>
      <c r="K79" s="96">
        <f>IF(K46=0,0,K46/TrRoad_act!K49*100)</f>
        <v>10.472985829648351</v>
      </c>
      <c r="L79" s="96">
        <f>IF(L46=0,0,L46/TrRoad_act!L49*100)</f>
        <v>10.60652362584112</v>
      </c>
      <c r="M79" s="96">
        <f>IF(M46=0,0,M46/TrRoad_act!M49*100)</f>
        <v>10.48756645311351</v>
      </c>
      <c r="N79" s="96">
        <f>IF(N46=0,0,N46/TrRoad_act!N49*100)</f>
        <v>9.9925731542255054</v>
      </c>
      <c r="O79" s="96">
        <f>IF(O46=0,0,O46/TrRoad_act!O49*100)</f>
        <v>9.6378307987779657</v>
      </c>
      <c r="P79" s="96">
        <f>IF(P46=0,0,P46/TrRoad_act!P49*100)</f>
        <v>9.0402610492870075</v>
      </c>
      <c r="Q79" s="96">
        <f>IF(Q46=0,0,Q46/TrRoad_act!Q49*100)</f>
        <v>8.872600359279355</v>
      </c>
      <c r="R79" s="96">
        <f>IF(R46=0,0,R46/TrRoad_act!R49*100)</f>
        <v>8.4589988076644254</v>
      </c>
      <c r="S79" s="96">
        <f>IF(S46=0,0,S46/TrRoad_act!S49*100)</f>
        <v>8.442208427074263</v>
      </c>
      <c r="T79" s="96">
        <f>IF(T46=0,0,T46/TrRoad_act!T49*100)</f>
        <v>8.123458053459558</v>
      </c>
      <c r="U79" s="96">
        <f>IF(U46=0,0,U46/TrRoad_act!U49*100)</f>
        <v>8.1645038791403319</v>
      </c>
      <c r="V79" s="96">
        <f>IF(V46=0,0,V46/TrRoad_act!V49*100)</f>
        <v>8.3571310696970791</v>
      </c>
      <c r="W79" s="96">
        <f>IF(W46=0,0,W46/TrRoad_act!W49*100)</f>
        <v>8.3471166669749888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0</v>
      </c>
      <c r="T80" s="96">
        <f>IF(T48=0,0,T48/TrRoad_act!T50*100)</f>
        <v>0</v>
      </c>
      <c r="U80" s="96">
        <f>IF(U48=0,0,U48/TrRoad_act!U50*100)</f>
        <v>0</v>
      </c>
      <c r="V80" s="96">
        <f>IF(V48=0,0,V48/TrRoad_act!V50*100)</f>
        <v>0</v>
      </c>
      <c r="W80" s="96">
        <f>IF(W48=0,0,W48/TrRoad_act!W50*100)</f>
        <v>0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8.6374002084603188</v>
      </c>
      <c r="D81" s="96">
        <f>IF(D49=0,0,D49/TrRoad_act!D51*100)</f>
        <v>8.6719836656257243</v>
      </c>
      <c r="E81" s="96">
        <f>IF(E49=0,0,E49/TrRoad_act!E51*100)</f>
        <v>8.6437554649933865</v>
      </c>
      <c r="F81" s="96">
        <f>IF(F49=0,0,F49/TrRoad_act!F51*100)</f>
        <v>8.6605361722676086</v>
      </c>
      <c r="G81" s="96">
        <f>IF(G49=0,0,G49/TrRoad_act!G51*100)</f>
        <v>8.5990996547185894</v>
      </c>
      <c r="H81" s="96">
        <f>IF(H49=0,0,H49/TrRoad_act!H51*100)</f>
        <v>8.4831313896087472</v>
      </c>
      <c r="I81" s="96">
        <f>IF(I49=0,0,I49/TrRoad_act!I51*100)</f>
        <v>8.4320877459336252</v>
      </c>
      <c r="J81" s="96">
        <f>IF(J49=0,0,J49/TrRoad_act!J51*100)</f>
        <v>8.116228487643502</v>
      </c>
      <c r="K81" s="96">
        <f>IF(K49=0,0,K49/TrRoad_act!K51*100)</f>
        <v>7.8200982664605432</v>
      </c>
      <c r="L81" s="96">
        <f>IF(L49=0,0,L49/TrRoad_act!L51*100)</f>
        <v>7.5266037499098823</v>
      </c>
      <c r="M81" s="96">
        <f>IF(M49=0,0,M49/TrRoad_act!M51*100)</f>
        <v>7.3948249513208362</v>
      </c>
      <c r="N81" s="96">
        <f>IF(N49=0,0,N49/TrRoad_act!N51*100)</f>
        <v>7.7140556798975846</v>
      </c>
      <c r="O81" s="96">
        <f>IF(O49=0,0,O49/TrRoad_act!O51*100)</f>
        <v>7.924326248994686</v>
      </c>
      <c r="P81" s="96">
        <f>IF(P49=0,0,P49/TrRoad_act!P51*100)</f>
        <v>8.1973378680966782</v>
      </c>
      <c r="Q81" s="96">
        <f>IF(Q49=0,0,Q49/TrRoad_act!Q51*100)</f>
        <v>8.2836382286526256</v>
      </c>
      <c r="R81" s="96">
        <f>IF(R49=0,0,R49/TrRoad_act!R51*100)</f>
        <v>8.161782422405663</v>
      </c>
      <c r="S81" s="96">
        <f>IF(S49=0,0,S49/TrRoad_act!S51*100)</f>
        <v>8.0933554904447735</v>
      </c>
      <c r="T81" s="96">
        <f>IF(T49=0,0,T49/TrRoad_act!T51*100)</f>
        <v>7.9359268272399097</v>
      </c>
      <c r="U81" s="96">
        <f>IF(U49=0,0,U49/TrRoad_act!U51*100)</f>
        <v>7.9315055344503715</v>
      </c>
      <c r="V81" s="96">
        <f>IF(V49=0,0,V49/TrRoad_act!V51*100)</f>
        <v>7.9881667125965183</v>
      </c>
      <c r="W81" s="96">
        <f>IF(W49=0,0,W49/TrRoad_act!W51*100)</f>
        <v>8.0765184519043665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1.6368038075534881</v>
      </c>
      <c r="H82" s="96">
        <f>IF(H51=0,0,H51/TrRoad_act!H52*100)</f>
        <v>1.635697334678881</v>
      </c>
      <c r="I82" s="96">
        <f>IF(I51=0,0,I51/TrRoad_act!I52*100)</f>
        <v>1.6356924232422541</v>
      </c>
      <c r="J82" s="96">
        <f>IF(J51=0,0,J51/TrRoad_act!J52*100)</f>
        <v>1.6356924514196864</v>
      </c>
      <c r="K82" s="96">
        <f>IF(K51=0,0,K51/TrRoad_act!K52*100)</f>
        <v>1.6353657407979216</v>
      </c>
      <c r="L82" s="96">
        <f>IF(L51=0,0,L51/TrRoad_act!L52*100)</f>
        <v>1.6353573023994834</v>
      </c>
      <c r="M82" s="96">
        <f>IF(M51=0,0,M51/TrRoad_act!M52*100)</f>
        <v>1.6359970144714724</v>
      </c>
      <c r="N82" s="96">
        <f>IF(N51=0,0,N51/TrRoad_act!N52*100)</f>
        <v>1.6510803690438212</v>
      </c>
      <c r="O82" s="96">
        <f>IF(O51=0,0,O51/TrRoad_act!O52*100)</f>
        <v>1.6612428070956125</v>
      </c>
      <c r="P82" s="96">
        <f>IF(P51=0,0,P51/TrRoad_act!P52*100)</f>
        <v>1.6882018026077166</v>
      </c>
      <c r="Q82" s="96">
        <f>IF(Q51=0,0,Q51/TrRoad_act!Q52*100)</f>
        <v>1.73594218082463</v>
      </c>
      <c r="R82" s="96">
        <f>IF(R51=0,0,R51/TrRoad_act!R52*100)</f>
        <v>1.7559370925836673</v>
      </c>
      <c r="S82" s="96">
        <f>IF(S51=0,0,S51/TrRoad_act!S52*100)</f>
        <v>1.7773194854070185</v>
      </c>
      <c r="T82" s="96">
        <f>IF(T51=0,0,T51/TrRoad_act!T52*100)</f>
        <v>1.8901187945640445</v>
      </c>
      <c r="U82" s="96">
        <f>IF(U51=0,0,U51/TrRoad_act!U52*100)</f>
        <v>2.0605166476645862</v>
      </c>
      <c r="V82" s="96">
        <f>IF(V51=0,0,V51/TrRoad_act!V52*100)</f>
        <v>2.3703408979971488</v>
      </c>
      <c r="W82" s="96">
        <f>IF(W51=0,0,W51/TrRoad_act!W52*100)</f>
        <v>2.5357073969183466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45.52669133813432</v>
      </c>
      <c r="C83" s="130">
        <f>IF(C52=0,0,C52/TrRoad_act!C53*100)</f>
        <v>45.693128459674412</v>
      </c>
      <c r="D83" s="130">
        <f>IF(D52=0,0,D52/TrRoad_act!D53*100)</f>
        <v>44.193940110057873</v>
      </c>
      <c r="E83" s="130">
        <f>IF(E52=0,0,E52/TrRoad_act!E53*100)</f>
        <v>46.121556015299262</v>
      </c>
      <c r="F83" s="130">
        <f>IF(F52=0,0,F52/TrRoad_act!F53*100)</f>
        <v>48.05811310384474</v>
      </c>
      <c r="G83" s="130">
        <f>IF(G52=0,0,G52/TrRoad_act!G53*100)</f>
        <v>43.846726544077129</v>
      </c>
      <c r="H83" s="130">
        <f>IF(H52=0,0,H52/TrRoad_act!H53*100)</f>
        <v>44.198710955099124</v>
      </c>
      <c r="I83" s="130">
        <f>IF(I52=0,0,I52/TrRoad_act!I53*100)</f>
        <v>43.0880523942106</v>
      </c>
      <c r="J83" s="130">
        <f>IF(J52=0,0,J52/TrRoad_act!J53*100)</f>
        <v>42.477057964769173</v>
      </c>
      <c r="K83" s="130">
        <f>IF(K52=0,0,K52/TrRoad_act!K53*100)</f>
        <v>42.118179160614517</v>
      </c>
      <c r="L83" s="130">
        <f>IF(L52=0,0,L52/TrRoad_act!L53*100)</f>
        <v>42.933063423512849</v>
      </c>
      <c r="M83" s="130">
        <f>IF(M52=0,0,M52/TrRoad_act!M53*100)</f>
        <v>42.130024132774551</v>
      </c>
      <c r="N83" s="130">
        <f>IF(N52=0,0,N52/TrRoad_act!N53*100)</f>
        <v>39.540459074590714</v>
      </c>
      <c r="O83" s="130">
        <f>IF(O52=0,0,O52/TrRoad_act!O53*100)</f>
        <v>37.146341455352442</v>
      </c>
      <c r="P83" s="130">
        <f>IF(P52=0,0,P52/TrRoad_act!P53*100)</f>
        <v>31.962526659117074</v>
      </c>
      <c r="Q83" s="130">
        <f>IF(Q52=0,0,Q52/TrRoad_act!Q53*100)</f>
        <v>31.065156138547895</v>
      </c>
      <c r="R83" s="130">
        <f>IF(R52=0,0,R52/TrRoad_act!R53*100)</f>
        <v>28.173192086348088</v>
      </c>
      <c r="S83" s="130">
        <f>IF(S52=0,0,S52/TrRoad_act!S53*100)</f>
        <v>28.745101164862312</v>
      </c>
      <c r="T83" s="130">
        <f>IF(T52=0,0,T52/TrRoad_act!T53*100)</f>
        <v>26.121944286548164</v>
      </c>
      <c r="U83" s="130">
        <f>IF(U52=0,0,U52/TrRoad_act!U53*100)</f>
        <v>26.652876264328306</v>
      </c>
      <c r="V83" s="130">
        <f>IF(V52=0,0,V52/TrRoad_act!V53*100)</f>
        <v>28.284966682747481</v>
      </c>
      <c r="W83" s="130">
        <f>IF(W52=0,0,W52/TrRoad_act!W53*100)</f>
        <v>28.178200925093442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44.546874674185901</v>
      </c>
      <c r="C84" s="97">
        <f>IF(C53=0,0,C53/TrRoad_act!C54*100)</f>
        <v>44.751352628009258</v>
      </c>
      <c r="D84" s="97">
        <f>IF(D53=0,0,D53/TrRoad_act!D54*100)</f>
        <v>43.347746176046648</v>
      </c>
      <c r="E84" s="97">
        <f>IF(E53=0,0,E53/TrRoad_act!E54*100)</f>
        <v>45.279773195728417</v>
      </c>
      <c r="F84" s="97">
        <f>IF(F53=0,0,F53/TrRoad_act!F54*100)</f>
        <v>47.239076255583292</v>
      </c>
      <c r="G84" s="97">
        <f>IF(G53=0,0,G53/TrRoad_act!G54*100)</f>
        <v>43.17271649472341</v>
      </c>
      <c r="H84" s="97">
        <f>IF(H53=0,0,H53/TrRoad_act!H54*100)</f>
        <v>43.513632547691095</v>
      </c>
      <c r="I84" s="97">
        <f>IF(I53=0,0,I53/TrRoad_act!I54*100)</f>
        <v>42.448316752308969</v>
      </c>
      <c r="J84" s="97">
        <f>IF(J53=0,0,J53/TrRoad_act!J54*100)</f>
        <v>41.887282609325673</v>
      </c>
      <c r="K84" s="97">
        <f>IF(K53=0,0,K53/TrRoad_act!K54*100)</f>
        <v>41.588632832752346</v>
      </c>
      <c r="L84" s="97">
        <f>IF(L53=0,0,L53/TrRoad_act!L54*100)</f>
        <v>42.304152615530825</v>
      </c>
      <c r="M84" s="97">
        <f>IF(M53=0,0,M53/TrRoad_act!M54*100)</f>
        <v>41.436483539437546</v>
      </c>
      <c r="N84" s="97">
        <f>IF(N53=0,0,N53/TrRoad_act!N54*100)</f>
        <v>38.809504139099708</v>
      </c>
      <c r="O84" s="97">
        <f>IF(O53=0,0,O53/TrRoad_act!O54*100)</f>
        <v>36.30894806663629</v>
      </c>
      <c r="P84" s="97">
        <f>IF(P53=0,0,P53/TrRoad_act!P54*100)</f>
        <v>31.357513579245065</v>
      </c>
      <c r="Q84" s="97">
        <f>IF(Q53=0,0,Q53/TrRoad_act!Q54*100)</f>
        <v>30.395535240696354</v>
      </c>
      <c r="R84" s="97">
        <f>IF(R53=0,0,R53/TrRoad_act!R54*100)</f>
        <v>27.477883339104203</v>
      </c>
      <c r="S84" s="97">
        <f>IF(S53=0,0,S53/TrRoad_act!S54*100)</f>
        <v>27.962552548267457</v>
      </c>
      <c r="T84" s="97">
        <f>IF(T53=0,0,T53/TrRoad_act!T54*100)</f>
        <v>25.35400238812792</v>
      </c>
      <c r="U84" s="97">
        <f>IF(U53=0,0,U53/TrRoad_act!U54*100)</f>
        <v>25.802829417298884</v>
      </c>
      <c r="V84" s="97">
        <f>IF(V53=0,0,V53/TrRoad_act!V54*100)</f>
        <v>27.258579393368045</v>
      </c>
      <c r="W84" s="97">
        <f>IF(W53=0,0,W53/TrRoad_act!W54*100)</f>
        <v>26.997556392991797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49.743965064122214</v>
      </c>
      <c r="C85" s="98">
        <f>IF(C55=0,0,C55/TrRoad_act!C55*100)</f>
        <v>49.409281396565795</v>
      </c>
      <c r="D85" s="98">
        <f>IF(D55=0,0,D55/TrRoad_act!D55*100)</f>
        <v>47.407595980865366</v>
      </c>
      <c r="E85" s="98">
        <f>IF(E55=0,0,E55/TrRoad_act!E55*100)</f>
        <v>49.157942577428351</v>
      </c>
      <c r="F85" s="98">
        <f>IF(F55=0,0,F55/TrRoad_act!F55*100)</f>
        <v>50.597979185669075</v>
      </c>
      <c r="G85" s="98">
        <f>IF(G55=0,0,G55/TrRoad_act!G55*100)</f>
        <v>46.025741239583972</v>
      </c>
      <c r="H85" s="98">
        <f>IF(H55=0,0,H55/TrRoad_act!H55*100)</f>
        <v>46.242651331956971</v>
      </c>
      <c r="I85" s="98">
        <f>IF(I55=0,0,I55/TrRoad_act!I55*100)</f>
        <v>45.061495480487359</v>
      </c>
      <c r="J85" s="98">
        <f>IF(J55=0,0,J55/TrRoad_act!J55*100)</f>
        <v>44.43041492045738</v>
      </c>
      <c r="K85" s="98">
        <f>IF(K55=0,0,K55/TrRoad_act!K55*100)</f>
        <v>44.154290543274435</v>
      </c>
      <c r="L85" s="98">
        <f>IF(L55=0,0,L55/TrRoad_act!L55*100)</f>
        <v>45.213506479060648</v>
      </c>
      <c r="M85" s="98">
        <f>IF(M55=0,0,M55/TrRoad_act!M55*100)</f>
        <v>44.625483701363983</v>
      </c>
      <c r="N85" s="98">
        <f>IF(N55=0,0,N55/TrRoad_act!N55*100)</f>
        <v>42.04241956577485</v>
      </c>
      <c r="O85" s="98">
        <f>IF(O55=0,0,O55/TrRoad_act!O55*100)</f>
        <v>39.656877973958302</v>
      </c>
      <c r="P85" s="98">
        <f>IF(P55=0,0,P55/TrRoad_act!P55*100)</f>
        <v>34.370612436554623</v>
      </c>
      <c r="Q85" s="98">
        <f>IF(Q55=0,0,Q55/TrRoad_act!Q55*100)</f>
        <v>33.388760937370343</v>
      </c>
      <c r="R85" s="98">
        <f>IF(R55=0,0,R55/TrRoad_act!R55*100)</f>
        <v>30.443132085480517</v>
      </c>
      <c r="S85" s="98">
        <f>IF(S55=0,0,S55/TrRoad_act!S55*100)</f>
        <v>31.373604347455576</v>
      </c>
      <c r="T85" s="98">
        <f>IF(T55=0,0,T55/TrRoad_act!T55*100)</f>
        <v>28.762035466873719</v>
      </c>
      <c r="U85" s="98">
        <f>IF(U55=0,0,U55/TrRoad_act!U55*100)</f>
        <v>29.751792847004864</v>
      </c>
      <c r="V85" s="98">
        <f>IF(V55=0,0,V55/TrRoad_act!V55*100)</f>
        <v>31.906295222368019</v>
      </c>
      <c r="W85" s="98">
        <f>IF(W55=0,0,W55/TrRoad_act!W55*100)</f>
        <v>32.227202392822576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44.836519792836917</v>
      </c>
      <c r="C88" s="29">
        <f>IF(TrRoad_act!C4=0,0,C18/TrRoad_act!C4*1000)</f>
        <v>43.818715711710126</v>
      </c>
      <c r="D88" s="29">
        <f>IF(TrRoad_act!D4=0,0,D18/TrRoad_act!D4*1000)</f>
        <v>44.207398891961326</v>
      </c>
      <c r="E88" s="29">
        <f>IF(TrRoad_act!E4=0,0,E18/TrRoad_act!E4*1000)</f>
        <v>44.248504940214346</v>
      </c>
      <c r="F88" s="29">
        <f>IF(TrRoad_act!F4=0,0,F18/TrRoad_act!F4*1000)</f>
        <v>43.884832742261061</v>
      </c>
      <c r="G88" s="29">
        <f>IF(TrRoad_act!G4=0,0,G18/TrRoad_act!G4*1000)</f>
        <v>41.959382460734368</v>
      </c>
      <c r="H88" s="29">
        <f>IF(TrRoad_act!H4=0,0,H18/TrRoad_act!H4*1000)</f>
        <v>42.03358146203437</v>
      </c>
      <c r="I88" s="29">
        <f>IF(TrRoad_act!I4=0,0,I18/TrRoad_act!I4*1000)</f>
        <v>41.827008171600781</v>
      </c>
      <c r="J88" s="29">
        <f>IF(TrRoad_act!J4=0,0,J18/TrRoad_act!J4*1000)</f>
        <v>41.495724703692879</v>
      </c>
      <c r="K88" s="29">
        <f>IF(TrRoad_act!K4=0,0,K18/TrRoad_act!K4*1000)</f>
        <v>41.822686218147425</v>
      </c>
      <c r="L88" s="29">
        <f>IF(TrRoad_act!L4=0,0,L18/TrRoad_act!L4*1000)</f>
        <v>42.235098002012201</v>
      </c>
      <c r="M88" s="29">
        <f>IF(TrRoad_act!M4=0,0,M18/TrRoad_act!M4*1000)</f>
        <v>41.897936825810682</v>
      </c>
      <c r="N88" s="29">
        <f>IF(TrRoad_act!N4=0,0,N18/TrRoad_act!N4*1000)</f>
        <v>41.469592530560774</v>
      </c>
      <c r="O88" s="29">
        <f>IF(TrRoad_act!O4=0,0,O18/TrRoad_act!O4*1000)</f>
        <v>41.045584144520213</v>
      </c>
      <c r="P88" s="29">
        <f>IF(TrRoad_act!P4=0,0,P18/TrRoad_act!P4*1000)</f>
        <v>40.431970080197587</v>
      </c>
      <c r="Q88" s="29">
        <f>IF(TrRoad_act!Q4=0,0,Q18/TrRoad_act!Q4*1000)</f>
        <v>41.017127605407026</v>
      </c>
      <c r="R88" s="29">
        <f>IF(TrRoad_act!R4=0,0,R18/TrRoad_act!R4*1000)</f>
        <v>48.174978824470976</v>
      </c>
      <c r="S88" s="29">
        <f>IF(TrRoad_act!S4=0,0,S18/TrRoad_act!S4*1000)</f>
        <v>47.711934528089309</v>
      </c>
      <c r="T88" s="29">
        <f>IF(TrRoad_act!T4=0,0,T18/TrRoad_act!T4*1000)</f>
        <v>46.544004721721777</v>
      </c>
      <c r="U88" s="29">
        <f>IF(TrRoad_act!U4=0,0,U18/TrRoad_act!U4*1000)</f>
        <v>45.879291739894164</v>
      </c>
      <c r="V88" s="29">
        <f>IF(TrRoad_act!V4=0,0,V18/TrRoad_act!V4*1000)</f>
        <v>45.356483457074468</v>
      </c>
      <c r="W88" s="29">
        <f>IF(TrRoad_act!W4=0,0,W18/TrRoad_act!W4*1000)</f>
        <v>46.776028055211725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47.241763547988185</v>
      </c>
      <c r="C89" s="152">
        <f>IF(TrRoad_act!C5=0,0,C19/TrRoad_act!C5*1000)</f>
        <v>46.425467742266193</v>
      </c>
      <c r="D89" s="152">
        <f>IF(TrRoad_act!D5=0,0,D19/TrRoad_act!D5*1000)</f>
        <v>45.565775243151165</v>
      </c>
      <c r="E89" s="152">
        <f>IF(TrRoad_act!E5=0,0,E19/TrRoad_act!E5*1000)</f>
        <v>44.994879567397632</v>
      </c>
      <c r="F89" s="152">
        <f>IF(TrRoad_act!F5=0,0,F19/TrRoad_act!F5*1000)</f>
        <v>44.481369714318866</v>
      </c>
      <c r="G89" s="152">
        <f>IF(TrRoad_act!G5=0,0,G19/TrRoad_act!G5*1000)</f>
        <v>43.630196461030138</v>
      </c>
      <c r="H89" s="152">
        <f>IF(TrRoad_act!H5=0,0,H19/TrRoad_act!H5*1000)</f>
        <v>42.539827999850104</v>
      </c>
      <c r="I89" s="152">
        <f>IF(TrRoad_act!I5=0,0,I19/TrRoad_act!I5*1000)</f>
        <v>41.841613430396634</v>
      </c>
      <c r="J89" s="152">
        <f>IF(TrRoad_act!J5=0,0,J19/TrRoad_act!J5*1000)</f>
        <v>41.615275479724914</v>
      </c>
      <c r="K89" s="152">
        <f>IF(TrRoad_act!K5=0,0,K19/TrRoad_act!K5*1000)</f>
        <v>40.641973622075845</v>
      </c>
      <c r="L89" s="152">
        <f>IF(TrRoad_act!L5=0,0,L19/TrRoad_act!L5*1000)</f>
        <v>39.834818345015904</v>
      </c>
      <c r="M89" s="152">
        <f>IF(TrRoad_act!M5=0,0,M19/TrRoad_act!M5*1000)</f>
        <v>40.422038412061191</v>
      </c>
      <c r="N89" s="152">
        <f>IF(TrRoad_act!N5=0,0,N19/TrRoad_act!N5*1000)</f>
        <v>39.67426973849782</v>
      </c>
      <c r="O89" s="152">
        <f>IF(TrRoad_act!O5=0,0,O19/TrRoad_act!O5*1000)</f>
        <v>39.139349857605097</v>
      </c>
      <c r="P89" s="152">
        <f>IF(TrRoad_act!P5=0,0,P19/TrRoad_act!P5*1000)</f>
        <v>37.912469917752098</v>
      </c>
      <c r="Q89" s="152">
        <f>IF(TrRoad_act!Q5=0,0,Q19/TrRoad_act!Q5*1000)</f>
        <v>37.646116675217591</v>
      </c>
      <c r="R89" s="152">
        <f>IF(TrRoad_act!R5=0,0,R19/TrRoad_act!R5*1000)</f>
        <v>36.868123740006467</v>
      </c>
      <c r="S89" s="152">
        <f>IF(TrRoad_act!S5=0,0,S19/TrRoad_act!S5*1000)</f>
        <v>36.175291306955693</v>
      </c>
      <c r="T89" s="152">
        <f>IF(TrRoad_act!T5=0,0,T19/TrRoad_act!T5*1000)</f>
        <v>35.648514020301093</v>
      </c>
      <c r="U89" s="152">
        <f>IF(TrRoad_act!U5=0,0,U19/TrRoad_act!U5*1000)</f>
        <v>35.072533749357596</v>
      </c>
      <c r="V89" s="152">
        <f>IF(TrRoad_act!V5=0,0,V19/TrRoad_act!V5*1000)</f>
        <v>34.822814777604151</v>
      </c>
      <c r="W89" s="152">
        <f>IF(TrRoad_act!W5=0,0,W19/TrRoad_act!W5*1000)</f>
        <v>32.673671568904723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42.856114576577198</v>
      </c>
      <c r="C90" s="116">
        <f>IF(TrRoad_act!C6=0,0,C21/TrRoad_act!C6*1000)</f>
        <v>41.960455346594834</v>
      </c>
      <c r="D90" s="116">
        <f>IF(TrRoad_act!D6=0,0,D21/TrRoad_act!D6*1000)</f>
        <v>42.583166678208805</v>
      </c>
      <c r="E90" s="116">
        <f>IF(TrRoad_act!E6=0,0,E21/TrRoad_act!E6*1000)</f>
        <v>42.586781764864561</v>
      </c>
      <c r="F90" s="116">
        <f>IF(TrRoad_act!F6=0,0,F21/TrRoad_act!F6*1000)</f>
        <v>42.257979778338353</v>
      </c>
      <c r="G90" s="116">
        <f>IF(TrRoad_act!G6=0,0,G21/TrRoad_act!G6*1000)</f>
        <v>40.750543185960858</v>
      </c>
      <c r="H90" s="116">
        <f>IF(TrRoad_act!H6=0,0,H21/TrRoad_act!H6*1000)</f>
        <v>40.649055382445788</v>
      </c>
      <c r="I90" s="116">
        <f>IF(TrRoad_act!I6=0,0,I21/TrRoad_act!I6*1000)</f>
        <v>40.710986555740092</v>
      </c>
      <c r="J90" s="116">
        <f>IF(TrRoad_act!J6=0,0,J21/TrRoad_act!J6*1000)</f>
        <v>40.260713834750291</v>
      </c>
      <c r="K90" s="116">
        <f>IF(TrRoad_act!K6=0,0,K21/TrRoad_act!K6*1000)</f>
        <v>40.848234613612803</v>
      </c>
      <c r="L90" s="116">
        <f>IF(TrRoad_act!L6=0,0,L21/TrRoad_act!L6*1000)</f>
        <v>41.150413080163574</v>
      </c>
      <c r="M90" s="116">
        <f>IF(TrRoad_act!M6=0,0,M21/TrRoad_act!M6*1000)</f>
        <v>40.655392565391999</v>
      </c>
      <c r="N90" s="116">
        <f>IF(TrRoad_act!N6=0,0,N21/TrRoad_act!N6*1000)</f>
        <v>40.083546525135979</v>
      </c>
      <c r="O90" s="116">
        <f>IF(TrRoad_act!O6=0,0,O21/TrRoad_act!O6*1000)</f>
        <v>39.881111154515224</v>
      </c>
      <c r="P90" s="116">
        <f>IF(TrRoad_act!P6=0,0,P21/TrRoad_act!P6*1000)</f>
        <v>39.468880067185871</v>
      </c>
      <c r="Q90" s="116">
        <f>IF(TrRoad_act!Q6=0,0,Q21/TrRoad_act!Q6*1000)</f>
        <v>40.176327680722999</v>
      </c>
      <c r="R90" s="116">
        <f>IF(TrRoad_act!R6=0,0,R21/TrRoad_act!R6*1000)</f>
        <v>48.098135678250266</v>
      </c>
      <c r="S90" s="116">
        <f>IF(TrRoad_act!S6=0,0,S21/TrRoad_act!S6*1000)</f>
        <v>47.646712006023122</v>
      </c>
      <c r="T90" s="116">
        <f>IF(TrRoad_act!T6=0,0,T21/TrRoad_act!T6*1000)</f>
        <v>46.370252106028069</v>
      </c>
      <c r="U90" s="116">
        <f>IF(TrRoad_act!U6=0,0,U21/TrRoad_act!U6*1000)</f>
        <v>45.828407170346161</v>
      </c>
      <c r="V90" s="116">
        <f>IF(TrRoad_act!V6=0,0,V21/TrRoad_act!V6*1000)</f>
        <v>45.211976652484189</v>
      </c>
      <c r="W90" s="116">
        <f>IF(TrRoad_act!W6=0,0,W21/TrRoad_act!W6*1000)</f>
        <v>46.874022085747349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43.527877215406733</v>
      </c>
      <c r="C91" s="87">
        <f>IF(TrRoad_act!C7=0,0,C22/TrRoad_act!C7*1000)</f>
        <v>42.57004012943807</v>
      </c>
      <c r="D91" s="87">
        <f>IF(TrRoad_act!D7=0,0,D22/TrRoad_act!D7*1000)</f>
        <v>43.267301165416747</v>
      </c>
      <c r="E91" s="87">
        <f>IF(TrRoad_act!E7=0,0,E22/TrRoad_act!E7*1000)</f>
        <v>43.229970560387237</v>
      </c>
      <c r="F91" s="87">
        <f>IF(TrRoad_act!F7=0,0,F22/TrRoad_act!F7*1000)</f>
        <v>42.824778547820884</v>
      </c>
      <c r="G91" s="87">
        <f>IF(TrRoad_act!G7=0,0,G22/TrRoad_act!G7*1000)</f>
        <v>41.488086880539626</v>
      </c>
      <c r="H91" s="87">
        <f>IF(TrRoad_act!H7=0,0,H22/TrRoad_act!H7*1000)</f>
        <v>41.471922435656076</v>
      </c>
      <c r="I91" s="87">
        <f>IF(TrRoad_act!I7=0,0,I22/TrRoad_act!I7*1000)</f>
        <v>41.921019268691452</v>
      </c>
      <c r="J91" s="87">
        <f>IF(TrRoad_act!J7=0,0,J22/TrRoad_act!J7*1000)</f>
        <v>41.760328835106549</v>
      </c>
      <c r="K91" s="87">
        <f>IF(TrRoad_act!K7=0,0,K22/TrRoad_act!K7*1000)</f>
        <v>42.862477921845105</v>
      </c>
      <c r="L91" s="87">
        <f>IF(TrRoad_act!L7=0,0,L22/TrRoad_act!L7*1000)</f>
        <v>43.778798522206905</v>
      </c>
      <c r="M91" s="87">
        <f>IF(TrRoad_act!M7=0,0,M22/TrRoad_act!M7*1000)</f>
        <v>44.328766035488322</v>
      </c>
      <c r="N91" s="87">
        <f>IF(TrRoad_act!N7=0,0,N22/TrRoad_act!N7*1000)</f>
        <v>44.917548524951322</v>
      </c>
      <c r="O91" s="87">
        <f>IF(TrRoad_act!O7=0,0,O22/TrRoad_act!O7*1000)</f>
        <v>45.451852399489674</v>
      </c>
      <c r="P91" s="87">
        <f>IF(TrRoad_act!P7=0,0,P22/TrRoad_act!P7*1000)</f>
        <v>45.92331333913922</v>
      </c>
      <c r="Q91" s="87">
        <f>IF(TrRoad_act!Q7=0,0,Q22/TrRoad_act!Q7*1000)</f>
        <v>47.087160115793715</v>
      </c>
      <c r="R91" s="87">
        <f>IF(TrRoad_act!R7=0,0,R22/TrRoad_act!R7*1000)</f>
        <v>56.920571739362408</v>
      </c>
      <c r="S91" s="87">
        <f>IF(TrRoad_act!S7=0,0,S22/TrRoad_act!S7*1000)</f>
        <v>55.916848838161911</v>
      </c>
      <c r="T91" s="87">
        <f>IF(TrRoad_act!T7=0,0,T22/TrRoad_act!T7*1000)</f>
        <v>54.397630751071446</v>
      </c>
      <c r="U91" s="87">
        <f>IF(TrRoad_act!U7=0,0,U22/TrRoad_act!U7*1000)</f>
        <v>52.885063121238012</v>
      </c>
      <c r="V91" s="87">
        <f>IF(TrRoad_act!V7=0,0,V22/TrRoad_act!V7*1000)</f>
        <v>51.276381441203547</v>
      </c>
      <c r="W91" s="87">
        <f>IF(TrRoad_act!W7=0,0,W22/TrRoad_act!W7*1000)</f>
        <v>54.538708259428375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37.421188969102715</v>
      </c>
      <c r="C92" s="87">
        <f>IF(TrRoad_act!C8=0,0,C24/TrRoad_act!C8*1000)</f>
        <v>36.751661597723007</v>
      </c>
      <c r="D92" s="87">
        <f>IF(TrRoad_act!D8=0,0,D24/TrRoad_act!D8*1000)</f>
        <v>36.74109665885284</v>
      </c>
      <c r="E92" s="87">
        <f>IF(TrRoad_act!E8=0,0,E24/TrRoad_act!E8*1000)</f>
        <v>37.218363519942784</v>
      </c>
      <c r="F92" s="87">
        <f>IF(TrRoad_act!F8=0,0,F24/TrRoad_act!F8*1000)</f>
        <v>37.684133071143293</v>
      </c>
      <c r="G92" s="87">
        <f>IF(TrRoad_act!G8=0,0,G24/TrRoad_act!G8*1000)</f>
        <v>35.279741060485719</v>
      </c>
      <c r="H92" s="87">
        <f>IF(TrRoad_act!H8=0,0,H24/TrRoad_act!H8*1000)</f>
        <v>35.519722013823547</v>
      </c>
      <c r="I92" s="87">
        <f>IF(TrRoad_act!I8=0,0,I24/TrRoad_act!I8*1000)</f>
        <v>35.043865662729701</v>
      </c>
      <c r="J92" s="87">
        <f>IF(TrRoad_act!J8=0,0,J24/TrRoad_act!J8*1000)</f>
        <v>34.540919989453457</v>
      </c>
      <c r="K92" s="87">
        <f>IF(TrRoad_act!K8=0,0,K24/TrRoad_act!K8*1000)</f>
        <v>34.530942669814536</v>
      </c>
      <c r="L92" s="87">
        <f>IF(TrRoad_act!L8=0,0,L24/TrRoad_act!L8*1000)</f>
        <v>34.831441980974184</v>
      </c>
      <c r="M92" s="87">
        <f>IF(TrRoad_act!M8=0,0,M24/TrRoad_act!M8*1000)</f>
        <v>34.022419398794348</v>
      </c>
      <c r="N92" s="87">
        <f>IF(TrRoad_act!N8=0,0,N24/TrRoad_act!N8*1000)</f>
        <v>33.179705558797693</v>
      </c>
      <c r="O92" s="87">
        <f>IF(TrRoad_act!O8=0,0,O24/TrRoad_act!O8*1000)</f>
        <v>33.162517113618257</v>
      </c>
      <c r="P92" s="87">
        <f>IF(TrRoad_act!P8=0,0,P24/TrRoad_act!P8*1000)</f>
        <v>32.826801649815685</v>
      </c>
      <c r="Q92" s="87">
        <f>IF(TrRoad_act!Q8=0,0,Q24/TrRoad_act!Q8*1000)</f>
        <v>34.052320989342142</v>
      </c>
      <c r="R92" s="87">
        <f>IF(TrRoad_act!R8=0,0,R24/TrRoad_act!R8*1000)</f>
        <v>41.252411388454256</v>
      </c>
      <c r="S92" s="87">
        <f>IF(TrRoad_act!S8=0,0,S24/TrRoad_act!S8*1000)</f>
        <v>41.876890101745367</v>
      </c>
      <c r="T92" s="87">
        <f>IF(TrRoad_act!T8=0,0,T24/TrRoad_act!T8*1000)</f>
        <v>41.222593835272313</v>
      </c>
      <c r="U92" s="87">
        <f>IF(TrRoad_act!U8=0,0,U24/TrRoad_act!U8*1000)</f>
        <v>41.583364325577115</v>
      </c>
      <c r="V92" s="87">
        <f>IF(TrRoad_act!V8=0,0,V24/TrRoad_act!V8*1000)</f>
        <v>42.235031862555381</v>
      </c>
      <c r="W92" s="87">
        <f>IF(TrRoad_act!W8=0,0,W24/TrRoad_act!W8*1000)</f>
        <v>43.812626544164921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0</v>
      </c>
      <c r="E93" s="87">
        <f>IF(TrRoad_act!E9=0,0,E26/TrRoad_act!E9*1000)</f>
        <v>0</v>
      </c>
      <c r="F93" s="87">
        <f>IF(TrRoad_act!F9=0,0,F26/TrRoad_act!F9*1000)</f>
        <v>0</v>
      </c>
      <c r="G93" s="87">
        <f>IF(TrRoad_act!G9=0,0,G26/TrRoad_act!G9*1000)</f>
        <v>57.204862694141809</v>
      </c>
      <c r="H93" s="87">
        <f>IF(TrRoad_act!H9=0,0,H26/TrRoad_act!H9*1000)</f>
        <v>46.592279785624477</v>
      </c>
      <c r="I93" s="87">
        <f>IF(TrRoad_act!I9=0,0,I26/TrRoad_act!I9*1000)</f>
        <v>103.08538642397866</v>
      </c>
      <c r="J93" s="87">
        <f>IF(TrRoad_act!J9=0,0,J26/TrRoad_act!J9*1000)</f>
        <v>64.118248915076521</v>
      </c>
      <c r="K93" s="87">
        <f>IF(TrRoad_act!K9=0,0,K26/TrRoad_act!K9*1000)</f>
        <v>62.236807083117561</v>
      </c>
      <c r="L93" s="87">
        <f>IF(TrRoad_act!L9=0,0,L26/TrRoad_act!L9*1000)</f>
        <v>79.407668310943876</v>
      </c>
      <c r="M93" s="87">
        <f>IF(TrRoad_act!M9=0,0,M26/TrRoad_act!M9*1000)</f>
        <v>55.205003753994674</v>
      </c>
      <c r="N93" s="87">
        <f>IF(TrRoad_act!N9=0,0,N26/TrRoad_act!N9*1000)</f>
        <v>36.303480483482844</v>
      </c>
      <c r="O93" s="87">
        <f>IF(TrRoad_act!O9=0,0,O26/TrRoad_act!O9*1000)</f>
        <v>19.624989590635447</v>
      </c>
      <c r="P93" s="87">
        <f>IF(TrRoad_act!P9=0,0,P26/TrRoad_act!P9*1000)</f>
        <v>23.610867734039157</v>
      </c>
      <c r="Q93" s="87">
        <f>IF(TrRoad_act!Q9=0,0,Q26/TrRoad_act!Q9*1000)</f>
        <v>136.65471393608109</v>
      </c>
      <c r="R93" s="87">
        <f>IF(TrRoad_act!R9=0,0,R26/TrRoad_act!R9*1000)</f>
        <v>63.194349611874074</v>
      </c>
      <c r="S93" s="87">
        <f>IF(TrRoad_act!S9=0,0,S26/TrRoad_act!S9*1000)</f>
        <v>0</v>
      </c>
      <c r="T93" s="87">
        <f>IF(TrRoad_act!T9=0,0,T26/TrRoad_act!T9*1000)</f>
        <v>0</v>
      </c>
      <c r="U93" s="87">
        <f>IF(TrRoad_act!U9=0,0,U26/TrRoad_act!U9*1000)</f>
        <v>0</v>
      </c>
      <c r="V93" s="87">
        <f>IF(TrRoad_act!V9=0,0,V26/TrRoad_act!V9*1000)</f>
        <v>0</v>
      </c>
      <c r="W93" s="87">
        <f>IF(TrRoad_act!W9=0,0,W26/TrRoad_act!W9*1000)</f>
        <v>0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42.684737228169354</v>
      </c>
      <c r="E94" s="87">
        <f>IF(TrRoad_act!E10=0,0,E27/TrRoad_act!E10*1000)</f>
        <v>42.918785166354937</v>
      </c>
      <c r="F94" s="87">
        <f>IF(TrRoad_act!F10=0,0,F27/TrRoad_act!F10*1000)</f>
        <v>42.94667541906994</v>
      </c>
      <c r="G94" s="87">
        <f>IF(TrRoad_act!G10=0,0,G27/TrRoad_act!G10*1000)</f>
        <v>41.771812709255883</v>
      </c>
      <c r="H94" s="87">
        <f>IF(TrRoad_act!H10=0,0,H27/TrRoad_act!H10*1000)</f>
        <v>42.045381902501148</v>
      </c>
      <c r="I94" s="87">
        <f>IF(TrRoad_act!I10=0,0,I27/TrRoad_act!I10*1000)</f>
        <v>42.643999583692782</v>
      </c>
      <c r="J94" s="87">
        <f>IF(TrRoad_act!J10=0,0,J27/TrRoad_act!J10*1000)</f>
        <v>42.25479218284017</v>
      </c>
      <c r="K94" s="87">
        <f>IF(TrRoad_act!K10=0,0,K27/TrRoad_act!K10*1000)</f>
        <v>42.827945710337417</v>
      </c>
      <c r="L94" s="87">
        <f>IF(TrRoad_act!L10=0,0,L27/TrRoad_act!L10*1000)</f>
        <v>40.433517914606973</v>
      </c>
      <c r="M94" s="87">
        <f>IF(TrRoad_act!M10=0,0,M27/TrRoad_act!M10*1000)</f>
        <v>40.122538120560456</v>
      </c>
      <c r="N94" s="87">
        <f>IF(TrRoad_act!N10=0,0,N27/TrRoad_act!N10*1000)</f>
        <v>42.478659633344868</v>
      </c>
      <c r="O94" s="87">
        <f>IF(TrRoad_act!O10=0,0,O27/TrRoad_act!O10*1000)</f>
        <v>42.871610073652484</v>
      </c>
      <c r="P94" s="87">
        <f>IF(TrRoad_act!P10=0,0,P27/TrRoad_act!P10*1000)</f>
        <v>42.836080463754861</v>
      </c>
      <c r="Q94" s="87">
        <f>IF(TrRoad_act!Q10=0,0,Q27/TrRoad_act!Q10*1000)</f>
        <v>43.386547964885565</v>
      </c>
      <c r="R94" s="87">
        <f>IF(TrRoad_act!R10=0,0,R27/TrRoad_act!R10*1000)</f>
        <v>51.97206121227628</v>
      </c>
      <c r="S94" s="87">
        <f>IF(TrRoad_act!S10=0,0,S27/TrRoad_act!S10*1000)</f>
        <v>51.265358769962631</v>
      </c>
      <c r="T94" s="87">
        <f>IF(TrRoad_act!T10=0,0,T27/TrRoad_act!T10*1000)</f>
        <v>50.618889311182379</v>
      </c>
      <c r="U94" s="87">
        <f>IF(TrRoad_act!U10=0,0,U27/TrRoad_act!U10*1000)</f>
        <v>49.272229742828976</v>
      </c>
      <c r="V94" s="87">
        <f>IF(TrRoad_act!V10=0,0,V27/TrRoad_act!V10*1000)</f>
        <v>48.462593734891307</v>
      </c>
      <c r="W94" s="87">
        <f>IF(TrRoad_act!W10=0,0,W27/TrRoad_act!W10*1000)</f>
        <v>49.965467344335615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19.788537078937566</v>
      </c>
      <c r="K95" s="87">
        <f>IF(TrRoad_act!K11=0,0,K29/TrRoad_act!K11*1000)</f>
        <v>20.091950927583866</v>
      </c>
      <c r="L95" s="87">
        <f>IF(TrRoad_act!L11=0,0,L29/TrRoad_act!L11*1000)</f>
        <v>20.34318306329174</v>
      </c>
      <c r="M95" s="87">
        <f>IF(TrRoad_act!M11=0,0,M29/TrRoad_act!M11*1000)</f>
        <v>19.012711689169851</v>
      </c>
      <c r="N95" s="87">
        <f>IF(TrRoad_act!N11=0,0,N29/TrRoad_act!N11*1000)</f>
        <v>18.345511111811927</v>
      </c>
      <c r="O95" s="87">
        <f>IF(TrRoad_act!O11=0,0,O29/TrRoad_act!O11*1000)</f>
        <v>18.935881702062531</v>
      </c>
      <c r="P95" s="87">
        <f>IF(TrRoad_act!P11=0,0,P29/TrRoad_act!P11*1000)</f>
        <v>19.431673395323504</v>
      </c>
      <c r="Q95" s="87">
        <f>IF(TrRoad_act!Q11=0,0,Q29/TrRoad_act!Q11*1000)</f>
        <v>20.240966843021017</v>
      </c>
      <c r="R95" s="87">
        <f>IF(TrRoad_act!R11=0,0,R29/TrRoad_act!R11*1000)</f>
        <v>25.260806975369725</v>
      </c>
      <c r="S95" s="87">
        <f>IF(TrRoad_act!S11=0,0,S29/TrRoad_act!S11*1000)</f>
        <v>25.627798702918142</v>
      </c>
      <c r="T95" s="87">
        <f>IF(TrRoad_act!T11=0,0,T29/TrRoad_act!T11*1000)</f>
        <v>26.022561306028461</v>
      </c>
      <c r="U95" s="87">
        <f>IF(TrRoad_act!U11=0,0,U29/TrRoad_act!U11*1000)</f>
        <v>25.403471014853416</v>
      </c>
      <c r="V95" s="87">
        <f>IF(TrRoad_act!V11=0,0,V29/TrRoad_act!V11*1000)</f>
        <v>24.500863728044166</v>
      </c>
      <c r="W95" s="87">
        <f>IF(TrRoad_act!W11=0,0,W29/TrRoad_act!W11*1000)</f>
        <v>25.379169565409295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8.5990432377799131</v>
      </c>
      <c r="K96" s="87">
        <f>IF(TrRoad_act!K12=0,0,K32/TrRoad_act!K12*1000)</f>
        <v>8.8920188934791806</v>
      </c>
      <c r="L96" s="87">
        <f>IF(TrRoad_act!L12=0,0,L32/TrRoad_act!L12*1000)</f>
        <v>9.1801998528163349</v>
      </c>
      <c r="M96" s="87">
        <f>IF(TrRoad_act!M12=0,0,M32/TrRoad_act!M12*1000)</f>
        <v>9.4138893340949945</v>
      </c>
      <c r="N96" s="87">
        <f>IF(TrRoad_act!N12=0,0,N32/TrRoad_act!N12*1000)</f>
        <v>8.9821440312632372</v>
      </c>
      <c r="O96" s="87">
        <f>IF(TrRoad_act!O12=0,0,O32/TrRoad_act!O12*1000)</f>
        <v>9.0174534650907248</v>
      </c>
      <c r="P96" s="87">
        <f>IF(TrRoad_act!P12=0,0,P32/TrRoad_act!P12*1000)</f>
        <v>8.7128739636298356</v>
      </c>
      <c r="Q96" s="87">
        <f>IF(TrRoad_act!Q12=0,0,Q32/TrRoad_act!Q12*1000)</f>
        <v>9.7411629508348465</v>
      </c>
      <c r="R96" s="87">
        <f>IF(TrRoad_act!R12=0,0,R32/TrRoad_act!R12*1000)</f>
        <v>12.226456853871996</v>
      </c>
      <c r="S96" s="87">
        <f>IF(TrRoad_act!S12=0,0,S32/TrRoad_act!S12*1000)</f>
        <v>12.284443750209176</v>
      </c>
      <c r="T96" s="87">
        <f>IF(TrRoad_act!T12=0,0,T32/TrRoad_act!T12*1000)</f>
        <v>12.794898065146304</v>
      </c>
      <c r="U96" s="87">
        <f>IF(TrRoad_act!U12=0,0,U32/TrRoad_act!U12*1000)</f>
        <v>13.225838517201732</v>
      </c>
      <c r="V96" s="87">
        <f>IF(TrRoad_act!V12=0,0,V32/TrRoad_act!V12*1000)</f>
        <v>13.461736584016338</v>
      </c>
      <c r="W96" s="87">
        <f>IF(TrRoad_act!W12=0,0,W32/TrRoad_act!W12*1000)</f>
        <v>14.255263207141649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66.965972883996301</v>
      </c>
      <c r="C97" s="116">
        <f>IF(TrRoad_act!C13=0,0,C33/TrRoad_act!C13*1000)</f>
        <v>64.79928615956787</v>
      </c>
      <c r="D97" s="116">
        <f>IF(TrRoad_act!D13=0,0,D33/TrRoad_act!D13*1000)</f>
        <v>62.730204478587488</v>
      </c>
      <c r="E97" s="116">
        <f>IF(TrRoad_act!E13=0,0,E33/TrRoad_act!E13*1000)</f>
        <v>63.317897715020358</v>
      </c>
      <c r="F97" s="116">
        <f>IF(TrRoad_act!F13=0,0,F33/TrRoad_act!F13*1000)</f>
        <v>62.887783968923614</v>
      </c>
      <c r="G97" s="116">
        <f>IF(TrRoad_act!G13=0,0,G33/TrRoad_act!G13*1000)</f>
        <v>55.936310626134116</v>
      </c>
      <c r="H97" s="116">
        <f>IF(TrRoad_act!H13=0,0,H33/TrRoad_act!H13*1000)</f>
        <v>58.03472651618717</v>
      </c>
      <c r="I97" s="116">
        <f>IF(TrRoad_act!I13=0,0,I33/TrRoad_act!I13*1000)</f>
        <v>54.888796190605866</v>
      </c>
      <c r="J97" s="116">
        <f>IF(TrRoad_act!J13=0,0,J33/TrRoad_act!J13*1000)</f>
        <v>56.232701060437044</v>
      </c>
      <c r="K97" s="116">
        <f>IF(TrRoad_act!K13=0,0,K33/TrRoad_act!K13*1000)</f>
        <v>53.417246093998365</v>
      </c>
      <c r="L97" s="116">
        <f>IF(TrRoad_act!L13=0,0,L33/TrRoad_act!L13*1000)</f>
        <v>54.941358486667092</v>
      </c>
      <c r="M97" s="116">
        <f>IF(TrRoad_act!M13=0,0,M33/TrRoad_act!M13*1000)</f>
        <v>56.061061214571488</v>
      </c>
      <c r="N97" s="116">
        <f>IF(TrRoad_act!N13=0,0,N33/TrRoad_act!N13*1000)</f>
        <v>57.371232778940488</v>
      </c>
      <c r="O97" s="116">
        <f>IF(TrRoad_act!O13=0,0,O33/TrRoad_act!O13*1000)</f>
        <v>54.17933118694409</v>
      </c>
      <c r="P97" s="116">
        <f>IF(TrRoad_act!P13=0,0,P33/TrRoad_act!P13*1000)</f>
        <v>51.59365833612631</v>
      </c>
      <c r="Q97" s="116">
        <f>IF(TrRoad_act!Q13=0,0,Q33/TrRoad_act!Q13*1000)</f>
        <v>50.853129782733028</v>
      </c>
      <c r="R97" s="116">
        <f>IF(TrRoad_act!R13=0,0,R33/TrRoad_act!R13*1000)</f>
        <v>49.837271727312334</v>
      </c>
      <c r="S97" s="116">
        <f>IF(TrRoad_act!S13=0,0,S33/TrRoad_act!S13*1000)</f>
        <v>49.22632657067377</v>
      </c>
      <c r="T97" s="116">
        <f>IF(TrRoad_act!T13=0,0,T33/TrRoad_act!T13*1000)</f>
        <v>49.023690246368716</v>
      </c>
      <c r="U97" s="116">
        <f>IF(TrRoad_act!U13=0,0,U33/TrRoad_act!U13*1000)</f>
        <v>47.204500015309947</v>
      </c>
      <c r="V97" s="116">
        <f>IF(TrRoad_act!V13=0,0,V33/TrRoad_act!V13*1000)</f>
        <v>47.62515275473956</v>
      </c>
      <c r="W97" s="116">
        <f>IF(TrRoad_act!W13=0,0,W33/TrRoad_act!W13*1000)</f>
        <v>46.946533013944716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33.569068825491243</v>
      </c>
      <c r="C98" s="101">
        <f>IF(TrRoad_act!C14=0,0,C34/TrRoad_act!C14*1000)</f>
        <v>33.401531100292367</v>
      </c>
      <c r="D98" s="101">
        <f>IF(TrRoad_act!D14=0,0,D34/TrRoad_act!D14*1000)</f>
        <v>33.341374242505232</v>
      </c>
      <c r="E98" s="101">
        <f>IF(TrRoad_act!E14=0,0,E34/TrRoad_act!E14*1000)</f>
        <v>33.213259347672405</v>
      </c>
      <c r="F98" s="101">
        <f>IF(TrRoad_act!F14=0,0,F34/TrRoad_act!F14*1000)</f>
        <v>33.081296253946867</v>
      </c>
      <c r="G98" s="101">
        <f>IF(TrRoad_act!G14=0,0,G34/TrRoad_act!G14*1000)</f>
        <v>32.9385281803239</v>
      </c>
      <c r="H98" s="101">
        <f>IF(TrRoad_act!H14=0,0,H34/TrRoad_act!H14*1000)</f>
        <v>32.543741238214714</v>
      </c>
      <c r="I98" s="101">
        <f>IF(TrRoad_act!I14=0,0,I34/TrRoad_act!I14*1000)</f>
        <v>32.295257700280771</v>
      </c>
      <c r="J98" s="101">
        <f>IF(TrRoad_act!J14=0,0,J34/TrRoad_act!J14*1000)</f>
        <v>31.926724297408803</v>
      </c>
      <c r="K98" s="101">
        <f>IF(TrRoad_act!K14=0,0,K34/TrRoad_act!K14*1000)</f>
        <v>31.147242818187653</v>
      </c>
      <c r="L98" s="101">
        <f>IF(TrRoad_act!L14=0,0,L34/TrRoad_act!L14*1000)</f>
        <v>28.930898958617099</v>
      </c>
      <c r="M98" s="101">
        <f>IF(TrRoad_act!M14=0,0,M34/TrRoad_act!M14*1000)</f>
        <v>26.709841224104544</v>
      </c>
      <c r="N98" s="101">
        <f>IF(TrRoad_act!N14=0,0,N34/TrRoad_act!N14*1000)</f>
        <v>26.288056808102965</v>
      </c>
      <c r="O98" s="101">
        <f>IF(TrRoad_act!O14=0,0,O34/TrRoad_act!O14*1000)</f>
        <v>25.706808920754412</v>
      </c>
      <c r="P98" s="101">
        <f>IF(TrRoad_act!P14=0,0,P34/TrRoad_act!P14*1000)</f>
        <v>25.39485402536372</v>
      </c>
      <c r="Q98" s="101">
        <f>IF(TrRoad_act!Q14=0,0,Q34/TrRoad_act!Q14*1000)</f>
        <v>25.290720076871025</v>
      </c>
      <c r="R98" s="101">
        <f>IF(TrRoad_act!R14=0,0,R34/TrRoad_act!R14*1000)</f>
        <v>24.533634595529932</v>
      </c>
      <c r="S98" s="101">
        <f>IF(TrRoad_act!S14=0,0,S34/TrRoad_act!S14*1000)</f>
        <v>24.313069290401579</v>
      </c>
      <c r="T98" s="101">
        <f>IF(TrRoad_act!T14=0,0,T34/TrRoad_act!T14*1000)</f>
        <v>24.038331630591937</v>
      </c>
      <c r="U98" s="101">
        <f>IF(TrRoad_act!U14=0,0,U34/TrRoad_act!U14*1000)</f>
        <v>23.873733866852053</v>
      </c>
      <c r="V98" s="101">
        <f>IF(TrRoad_act!V14=0,0,V34/TrRoad_act!V14*1000)</f>
        <v>23.737456435846738</v>
      </c>
      <c r="W98" s="101">
        <f>IF(TrRoad_act!W14=0,0,W34/TrRoad_act!W14*1000)</f>
        <v>23.584758020990186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68.293918330504056</v>
      </c>
      <c r="C99" s="101">
        <f>IF(TrRoad_act!C15=0,0,C36/TrRoad_act!C15*1000)</f>
        <v>66.154021307614158</v>
      </c>
      <c r="D99" s="101">
        <f>IF(TrRoad_act!D15=0,0,D36/TrRoad_act!D15*1000)</f>
        <v>63.968669600382135</v>
      </c>
      <c r="E99" s="101">
        <f>IF(TrRoad_act!E15=0,0,E36/TrRoad_act!E15*1000)</f>
        <v>64.166980884643863</v>
      </c>
      <c r="F99" s="101">
        <f>IF(TrRoad_act!F15=0,0,F36/TrRoad_act!F15*1000)</f>
        <v>64.2861029059668</v>
      </c>
      <c r="G99" s="101">
        <f>IF(TrRoad_act!G15=0,0,G36/TrRoad_act!G15*1000)</f>
        <v>59.941269666905903</v>
      </c>
      <c r="H99" s="101">
        <f>IF(TrRoad_act!H15=0,0,H36/TrRoad_act!H15*1000)</f>
        <v>59.342591452900656</v>
      </c>
      <c r="I99" s="101">
        <f>IF(TrRoad_act!I15=0,0,I36/TrRoad_act!I15*1000)</f>
        <v>56.68341317909082</v>
      </c>
      <c r="J99" s="101">
        <f>IF(TrRoad_act!J15=0,0,J36/TrRoad_act!J15*1000)</f>
        <v>57.248914779875903</v>
      </c>
      <c r="K99" s="101">
        <f>IF(TrRoad_act!K15=0,0,K36/TrRoad_act!K15*1000)</f>
        <v>55.878028987528779</v>
      </c>
      <c r="L99" s="101">
        <f>IF(TrRoad_act!L15=0,0,L36/TrRoad_act!L15*1000)</f>
        <v>58.552653443583246</v>
      </c>
      <c r="M99" s="101">
        <f>IF(TrRoad_act!M15=0,0,M36/TrRoad_act!M15*1000)</f>
        <v>57.134351023212652</v>
      </c>
      <c r="N99" s="101">
        <f>IF(TrRoad_act!N15=0,0,N36/TrRoad_act!N15*1000)</f>
        <v>57.905238982092641</v>
      </c>
      <c r="O99" s="101">
        <f>IF(TrRoad_act!O15=0,0,O36/TrRoad_act!O15*1000)</f>
        <v>55.502201763967165</v>
      </c>
      <c r="P99" s="101">
        <f>IF(TrRoad_act!P15=0,0,P36/TrRoad_act!P15*1000)</f>
        <v>52.323381363028652</v>
      </c>
      <c r="Q99" s="101">
        <f>IF(TrRoad_act!Q15=0,0,Q36/TrRoad_act!Q15*1000)</f>
        <v>52.198714679818487</v>
      </c>
      <c r="R99" s="101">
        <f>IF(TrRoad_act!R15=0,0,R36/TrRoad_act!R15*1000)</f>
        <v>51.035387669287061</v>
      </c>
      <c r="S99" s="101">
        <f>IF(TrRoad_act!S15=0,0,S36/TrRoad_act!S15*1000)</f>
        <v>51.778692631694518</v>
      </c>
      <c r="T99" s="101">
        <f>IF(TrRoad_act!T15=0,0,T36/TrRoad_act!T15*1000)</f>
        <v>50.587421053384958</v>
      </c>
      <c r="U99" s="101">
        <f>IF(TrRoad_act!U15=0,0,U36/TrRoad_act!U15*1000)</f>
        <v>50.798090866750229</v>
      </c>
      <c r="V99" s="101">
        <f>IF(TrRoad_act!V15=0,0,V36/TrRoad_act!V15*1000)</f>
        <v>53.462262132727105</v>
      </c>
      <c r="W99" s="101">
        <f>IF(TrRoad_act!W15=0,0,W36/TrRoad_act!W15*1000)</f>
        <v>53.031864149950977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44.533512241576609</v>
      </c>
      <c r="C101" s="101">
        <f>IF(TrRoad_act!C17=0,0,C39/TrRoad_act!C17*1000)</f>
        <v>39.137839545773303</v>
      </c>
      <c r="D101" s="101">
        <f>IF(TrRoad_act!D17=0,0,D39/TrRoad_act!D17*1000)</f>
        <v>37.587547950014368</v>
      </c>
      <c r="E101" s="101">
        <f>IF(TrRoad_act!E17=0,0,E39/TrRoad_act!E17*1000)</f>
        <v>48.856615014977251</v>
      </c>
      <c r="F101" s="101">
        <f>IF(TrRoad_act!F17=0,0,F39/TrRoad_act!F17*1000)</f>
        <v>32.8148083832087</v>
      </c>
      <c r="G101" s="101">
        <f>IF(TrRoad_act!G17=0,0,G39/TrRoad_act!G17*1000)</f>
        <v>11.760637373657561</v>
      </c>
      <c r="H101" s="101">
        <f>IF(TrRoad_act!H17=0,0,H39/TrRoad_act!H17*1000)</f>
        <v>35.087162390324593</v>
      </c>
      <c r="I101" s="101">
        <f>IF(TrRoad_act!I17=0,0,I39/TrRoad_act!I17*1000)</f>
        <v>27.697222337506023</v>
      </c>
      <c r="J101" s="101">
        <f>IF(TrRoad_act!J17=0,0,J39/TrRoad_act!J17*1000)</f>
        <v>45.708798288981967</v>
      </c>
      <c r="K101" s="101">
        <f>IF(TrRoad_act!K17=0,0,K39/TrRoad_act!K17*1000)</f>
        <v>32.866992315717177</v>
      </c>
      <c r="L101" s="101">
        <f>IF(TrRoad_act!L17=0,0,L39/TrRoad_act!L17*1000)</f>
        <v>29.122421741708706</v>
      </c>
      <c r="M101" s="101">
        <f>IF(TrRoad_act!M17=0,0,M39/TrRoad_act!M17*1000)</f>
        <v>50.860651009095193</v>
      </c>
      <c r="N101" s="101">
        <f>IF(TrRoad_act!N17=0,0,N39/TrRoad_act!N17*1000)</f>
        <v>55.120600455577758</v>
      </c>
      <c r="O101" s="101">
        <f>IF(TrRoad_act!O17=0,0,O39/TrRoad_act!O17*1000)</f>
        <v>48.903109543534001</v>
      </c>
      <c r="P101" s="101">
        <f>IF(TrRoad_act!P17=0,0,P39/TrRoad_act!P17*1000)</f>
        <v>48.892848128720509</v>
      </c>
      <c r="Q101" s="101">
        <f>IF(TrRoad_act!Q17=0,0,Q39/TrRoad_act!Q17*1000)</f>
        <v>45.529963389526543</v>
      </c>
      <c r="R101" s="101">
        <f>IF(TrRoad_act!R17=0,0,R39/TrRoad_act!R17*1000)</f>
        <v>45.038328690254346</v>
      </c>
      <c r="S101" s="101">
        <f>IF(TrRoad_act!S17=0,0,S39/TrRoad_act!S17*1000)</f>
        <v>38.750718208105141</v>
      </c>
      <c r="T101" s="101">
        <f>IF(TrRoad_act!T17=0,0,T39/TrRoad_act!T17*1000)</f>
        <v>42.732546587680758</v>
      </c>
      <c r="U101" s="101">
        <f>IF(TrRoad_act!U17=0,0,U39/TrRoad_act!U17*1000)</f>
        <v>31.977496305087719</v>
      </c>
      <c r="V101" s="101">
        <f>IF(TrRoad_act!V17=0,0,V39/TrRoad_act!V17*1000)</f>
        <v>27.343774517740222</v>
      </c>
      <c r="W101" s="101">
        <f>IF(TrRoad_act!W17=0,0,W39/TrRoad_act!W17*1000)</f>
        <v>25.038342134403329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39.121998070074362</v>
      </c>
      <c r="C102" s="101">
        <f>IF(TrRoad_act!C18=0,0,C41/TrRoad_act!C18*1000)</f>
        <v>37.061936587361096</v>
      </c>
      <c r="D102" s="101">
        <f>IF(TrRoad_act!D18=0,0,D41/TrRoad_act!D18*1000)</f>
        <v>36.705171653667897</v>
      </c>
      <c r="E102" s="101">
        <f>IF(TrRoad_act!E18=0,0,E41/TrRoad_act!E18*1000)</f>
        <v>35.561323515988981</v>
      </c>
      <c r="F102" s="101">
        <f>IF(TrRoad_act!F18=0,0,F41/TrRoad_act!F18*1000)</f>
        <v>34.807507161163606</v>
      </c>
      <c r="G102" s="101">
        <f>IF(TrRoad_act!G18=0,0,G41/TrRoad_act!G18*1000)</f>
        <v>34.135207113010978</v>
      </c>
      <c r="H102" s="101">
        <f>IF(TrRoad_act!H18=0,0,H41/TrRoad_act!H18*1000)</f>
        <v>33.555405288360213</v>
      </c>
      <c r="I102" s="101">
        <f>IF(TrRoad_act!I18=0,0,I41/TrRoad_act!I18*1000)</f>
        <v>32.620170138224282</v>
      </c>
      <c r="J102" s="101">
        <f>IF(TrRoad_act!J18=0,0,J41/TrRoad_act!J18*1000)</f>
        <v>33.455502834044694</v>
      </c>
      <c r="K102" s="101">
        <f>IF(TrRoad_act!K18=0,0,K41/TrRoad_act!K18*1000)</f>
        <v>33.200296270654924</v>
      </c>
      <c r="L102" s="101">
        <f>IF(TrRoad_act!L18=0,0,L41/TrRoad_act!L18*1000)</f>
        <v>34.839503091794946</v>
      </c>
      <c r="M102" s="101">
        <f>IF(TrRoad_act!M18=0,0,M41/TrRoad_act!M18*1000)</f>
        <v>34.716965862454153</v>
      </c>
      <c r="N102" s="101">
        <f>IF(TrRoad_act!N18=0,0,N41/TrRoad_act!N18*1000)</f>
        <v>34.71673476145309</v>
      </c>
      <c r="O102" s="101">
        <f>IF(TrRoad_act!O18=0,0,O41/TrRoad_act!O18*1000)</f>
        <v>33.863911189386712</v>
      </c>
      <c r="P102" s="101">
        <f>IF(TrRoad_act!P18=0,0,P41/TrRoad_act!P18*1000)</f>
        <v>33.341741674324176</v>
      </c>
      <c r="Q102" s="101">
        <f>IF(TrRoad_act!Q18=0,0,Q41/TrRoad_act!Q18*1000)</f>
        <v>33.376849703055854</v>
      </c>
      <c r="R102" s="101">
        <f>IF(TrRoad_act!R18=0,0,R41/TrRoad_act!R18*1000)</f>
        <v>33.69686996510665</v>
      </c>
      <c r="S102" s="101">
        <f>IF(TrRoad_act!S18=0,0,S41/TrRoad_act!S18*1000)</f>
        <v>33.700475558792675</v>
      </c>
      <c r="T102" s="101">
        <f>IF(TrRoad_act!T18=0,0,T41/TrRoad_act!T18*1000)</f>
        <v>33.835926718526046</v>
      </c>
      <c r="U102" s="101">
        <f>IF(TrRoad_act!U18=0,0,U41/TrRoad_act!U18*1000)</f>
        <v>33.487983264637371</v>
      </c>
      <c r="V102" s="101">
        <f>IF(TrRoad_act!V18=0,0,V41/TrRoad_act!V18*1000)</f>
        <v>34.273532491954299</v>
      </c>
      <c r="W102" s="101">
        <f>IF(TrRoad_act!W18=0,0,W41/TrRoad_act!W18*1000)</f>
        <v>33.874524579690487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42.087238946686789</v>
      </c>
      <c r="C103" s="29">
        <f>IF(TrRoad_act!C19=0,0,C42/TrRoad_act!C19*1000)</f>
        <v>44.214697640499345</v>
      </c>
      <c r="D103" s="29">
        <f>IF(TrRoad_act!D19=0,0,D42/TrRoad_act!D19*1000)</f>
        <v>41.780911884083189</v>
      </c>
      <c r="E103" s="29">
        <f>IF(TrRoad_act!E19=0,0,E42/TrRoad_act!E19*1000)</f>
        <v>43.653162997861187</v>
      </c>
      <c r="F103" s="29">
        <f>IF(TrRoad_act!F19=0,0,F42/TrRoad_act!F19*1000)</f>
        <v>45.161026915433268</v>
      </c>
      <c r="G103" s="29">
        <f>IF(TrRoad_act!G19=0,0,G42/TrRoad_act!G19*1000)</f>
        <v>40.91308431080035</v>
      </c>
      <c r="H103" s="29">
        <f>IF(TrRoad_act!H19=0,0,H42/TrRoad_act!H19*1000)</f>
        <v>40.909252701246594</v>
      </c>
      <c r="I103" s="29">
        <f>IF(TrRoad_act!I19=0,0,I42/TrRoad_act!I19*1000)</f>
        <v>40.721588413863593</v>
      </c>
      <c r="J103" s="29">
        <f>IF(TrRoad_act!J19=0,0,J42/TrRoad_act!J19*1000)</f>
        <v>40.117539850925958</v>
      </c>
      <c r="K103" s="29">
        <f>IF(TrRoad_act!K19=0,0,K42/TrRoad_act!K19*1000)</f>
        <v>44.071594705445513</v>
      </c>
      <c r="L103" s="29">
        <f>IF(TrRoad_act!L19=0,0,L42/TrRoad_act!L19*1000)</f>
        <v>44.938657358965813</v>
      </c>
      <c r="M103" s="29">
        <f>IF(TrRoad_act!M19=0,0,M42/TrRoad_act!M19*1000)</f>
        <v>43.411546111600437</v>
      </c>
      <c r="N103" s="29">
        <f>IF(TrRoad_act!N19=0,0,N42/TrRoad_act!N19*1000)</f>
        <v>42.534024773511788</v>
      </c>
      <c r="O103" s="29">
        <f>IF(TrRoad_act!O19=0,0,O42/TrRoad_act!O19*1000)</f>
        <v>39.732881551515497</v>
      </c>
      <c r="P103" s="29">
        <f>IF(TrRoad_act!P19=0,0,P42/TrRoad_act!P19*1000)</f>
        <v>33.76845167577806</v>
      </c>
      <c r="Q103" s="29">
        <f>IF(TrRoad_act!Q19=0,0,Q42/TrRoad_act!Q19*1000)</f>
        <v>33.674916915919695</v>
      </c>
      <c r="R103" s="29">
        <f>IF(TrRoad_act!R19=0,0,R42/TrRoad_act!R19*1000)</f>
        <v>30.613718905260736</v>
      </c>
      <c r="S103" s="29">
        <f>IF(TrRoad_act!S19=0,0,S42/TrRoad_act!S19*1000)</f>
        <v>32.340238831429524</v>
      </c>
      <c r="T103" s="29">
        <f>IF(TrRoad_act!T19=0,0,T42/TrRoad_act!T19*1000)</f>
        <v>29.237824033814629</v>
      </c>
      <c r="U103" s="29">
        <f>IF(TrRoad_act!U19=0,0,U42/TrRoad_act!U19*1000)</f>
        <v>30.21177126614463</v>
      </c>
      <c r="V103" s="29">
        <f>IF(TrRoad_act!V19=0,0,V42/TrRoad_act!V19*1000)</f>
        <v>31.401614730762738</v>
      </c>
      <c r="W103" s="29">
        <f>IF(TrRoad_act!W19=0,0,W42/TrRoad_act!W19*1000)</f>
        <v>30.066107685027056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567.51512222283657</v>
      </c>
      <c r="C104" s="152">
        <f>IF(TrRoad_act!C20=0,0,C43/TrRoad_act!C20*1000)</f>
        <v>531.58603117449923</v>
      </c>
      <c r="D104" s="152">
        <f>IF(TrRoad_act!D20=0,0,D43/TrRoad_act!D20*1000)</f>
        <v>509.31325541993135</v>
      </c>
      <c r="E104" s="152">
        <f>IF(TrRoad_act!E20=0,0,E43/TrRoad_act!E20*1000)</f>
        <v>506.47951884740769</v>
      </c>
      <c r="F104" s="152">
        <f>IF(TrRoad_act!F20=0,0,F43/TrRoad_act!F20*1000)</f>
        <v>509.71837573403536</v>
      </c>
      <c r="G104" s="152">
        <f>IF(TrRoad_act!G20=0,0,G43/TrRoad_act!G20*1000)</f>
        <v>471.88295213323272</v>
      </c>
      <c r="H104" s="152">
        <f>IF(TrRoad_act!H20=0,0,H43/TrRoad_act!H20*1000)</f>
        <v>468.95277401345641</v>
      </c>
      <c r="I104" s="152">
        <f>IF(TrRoad_act!I20=0,0,I43/TrRoad_act!I20*1000)</f>
        <v>455.97201144657231</v>
      </c>
      <c r="J104" s="152">
        <f>IF(TrRoad_act!J20=0,0,J43/TrRoad_act!J20*1000)</f>
        <v>448.99146475550572</v>
      </c>
      <c r="K104" s="152">
        <f>IF(TrRoad_act!K20=0,0,K43/TrRoad_act!K20*1000)</f>
        <v>439.77080446748664</v>
      </c>
      <c r="L104" s="152">
        <f>IF(TrRoad_act!L20=0,0,L43/TrRoad_act!L20*1000)</f>
        <v>445.34411646662284</v>
      </c>
      <c r="M104" s="152">
        <f>IF(TrRoad_act!M20=0,0,M43/TrRoad_act!M20*1000)</f>
        <v>435.04467539894284</v>
      </c>
      <c r="N104" s="152">
        <f>IF(TrRoad_act!N20=0,0,N43/TrRoad_act!N20*1000)</f>
        <v>414.2768171856639</v>
      </c>
      <c r="O104" s="152">
        <f>IF(TrRoad_act!O20=0,0,O43/TrRoad_act!O20*1000)</f>
        <v>397.04830300684188</v>
      </c>
      <c r="P104" s="152">
        <f>IF(TrRoad_act!P20=0,0,P43/TrRoad_act!P20*1000)</f>
        <v>372.39820433934199</v>
      </c>
      <c r="Q104" s="152">
        <f>IF(TrRoad_act!Q20=0,0,Q43/TrRoad_act!Q20*1000)</f>
        <v>366.49877873222835</v>
      </c>
      <c r="R104" s="152">
        <f>IF(TrRoad_act!R20=0,0,R43/TrRoad_act!R20*1000)</f>
        <v>347.6334195809477</v>
      </c>
      <c r="S104" s="152">
        <f>IF(TrRoad_act!S20=0,0,S43/TrRoad_act!S20*1000)</f>
        <v>347.76642175460762</v>
      </c>
      <c r="T104" s="152">
        <f>IF(TrRoad_act!T20=0,0,T43/TrRoad_act!T20*1000)</f>
        <v>332.17995903692486</v>
      </c>
      <c r="U104" s="152">
        <f>IF(TrRoad_act!U20=0,0,U43/TrRoad_act!U20*1000)</f>
        <v>332.50639872236621</v>
      </c>
      <c r="V104" s="152">
        <f>IF(TrRoad_act!V20=0,0,V43/TrRoad_act!V20*1000)</f>
        <v>339.02486670384275</v>
      </c>
      <c r="W104" s="152">
        <f>IF(TrRoad_act!W20=0,0,W43/TrRoad_act!W20*1000)</f>
        <v>338.58777937305604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667.84523979409164</v>
      </c>
      <c r="C105" s="87">
        <f>IF(TrRoad_act!C21=0,0,C44/TrRoad_act!C21*1000)</f>
        <v>659.12033630371207</v>
      </c>
      <c r="D105" s="87">
        <f>IF(TrRoad_act!D21=0,0,D44/TrRoad_act!D21*1000)</f>
        <v>651.47341495356875</v>
      </c>
      <c r="E105" s="87">
        <f>IF(TrRoad_act!E21=0,0,E44/TrRoad_act!E21*1000)</f>
        <v>639.72122994285053</v>
      </c>
      <c r="F105" s="87">
        <f>IF(TrRoad_act!F21=0,0,F44/TrRoad_act!F21*1000)</f>
        <v>629.65781831314212</v>
      </c>
      <c r="G105" s="87">
        <f>IF(TrRoad_act!G21=0,0,G44/TrRoad_act!G21*1000)</f>
        <v>623.70184637243312</v>
      </c>
      <c r="H105" s="87">
        <f>IF(TrRoad_act!H21=0,0,H44/TrRoad_act!H21*1000)</f>
        <v>613.09652303092616</v>
      </c>
      <c r="I105" s="87">
        <f>IF(TrRoad_act!I21=0,0,I44/TrRoad_act!I21*1000)</f>
        <v>608.35005601859075</v>
      </c>
      <c r="J105" s="87">
        <f>IF(TrRoad_act!J21=0,0,J44/TrRoad_act!J21*1000)</f>
        <v>600.62724806199822</v>
      </c>
      <c r="K105" s="87">
        <f>IF(TrRoad_act!K21=0,0,K44/TrRoad_act!K21*1000)</f>
        <v>593.65578620335668</v>
      </c>
      <c r="L105" s="87">
        <f>IF(TrRoad_act!L21=0,0,L44/TrRoad_act!L21*1000)</f>
        <v>583.84725115205106</v>
      </c>
      <c r="M105" s="87">
        <f>IF(TrRoad_act!M21=0,0,M44/TrRoad_act!M21*1000)</f>
        <v>583.59425270328688</v>
      </c>
      <c r="N105" s="87">
        <f>IF(TrRoad_act!N21=0,0,N44/TrRoad_act!N21*1000)</f>
        <v>575.22203670264389</v>
      </c>
      <c r="O105" s="87">
        <f>IF(TrRoad_act!O21=0,0,O44/TrRoad_act!O21*1000)</f>
        <v>566.76718645501558</v>
      </c>
      <c r="P105" s="87">
        <f>IF(TrRoad_act!P21=0,0,P44/TrRoad_act!P21*1000)</f>
        <v>561.97367496494223</v>
      </c>
      <c r="Q105" s="87">
        <f>IF(TrRoad_act!Q21=0,0,Q44/TrRoad_act!Q21*1000)</f>
        <v>559.16875715086348</v>
      </c>
      <c r="R105" s="87">
        <f>IF(TrRoad_act!R21=0,0,R44/TrRoad_act!R21*1000)</f>
        <v>540.32207876477617</v>
      </c>
      <c r="S105" s="87">
        <f>IF(TrRoad_act!S21=0,0,S44/TrRoad_act!S21*1000)</f>
        <v>524.71995885186845</v>
      </c>
      <c r="T105" s="87">
        <f>IF(TrRoad_act!T21=0,0,T44/TrRoad_act!T21*1000)</f>
        <v>511.60881690397531</v>
      </c>
      <c r="U105" s="87">
        <f>IF(TrRoad_act!U21=0,0,U44/TrRoad_act!U21*1000)</f>
        <v>495.86172095422432</v>
      </c>
      <c r="V105" s="87">
        <f>IF(TrRoad_act!V21=0,0,V44/TrRoad_act!V21*1000)</f>
        <v>487.05062513029884</v>
      </c>
      <c r="W105" s="87">
        <f>IF(TrRoad_act!W21=0,0,W44/TrRoad_act!W21*1000)</f>
        <v>485.26123505311875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513.34802142469334</v>
      </c>
      <c r="C106" s="87">
        <f>IF(TrRoad_act!C22=0,0,C46/TrRoad_act!C22*1000)</f>
        <v>479.4077230434259</v>
      </c>
      <c r="D106" s="87">
        <f>IF(TrRoad_act!D22=0,0,D46/TrRoad_act!D22*1000)</f>
        <v>462.49247211896801</v>
      </c>
      <c r="E106" s="87">
        <f>IF(TrRoad_act!E22=0,0,E46/TrRoad_act!E22*1000)</f>
        <v>472.12514474457203</v>
      </c>
      <c r="F106" s="87">
        <f>IF(TrRoad_act!F22=0,0,F46/TrRoad_act!F22*1000)</f>
        <v>485.63235686294604</v>
      </c>
      <c r="G106" s="87">
        <f>IF(TrRoad_act!G22=0,0,G46/TrRoad_act!G22*1000)</f>
        <v>442.97838355477501</v>
      </c>
      <c r="H106" s="87">
        <f>IF(TrRoad_act!H22=0,0,H46/TrRoad_act!H22*1000)</f>
        <v>447.1245425724195</v>
      </c>
      <c r="I106" s="87">
        <f>IF(TrRoad_act!I22=0,0,I46/TrRoad_act!I22*1000)</f>
        <v>436.10170284174598</v>
      </c>
      <c r="J106" s="87">
        <f>IF(TrRoad_act!J22=0,0,J46/TrRoad_act!J22*1000)</f>
        <v>432.09534198872507</v>
      </c>
      <c r="K106" s="87">
        <f>IF(TrRoad_act!K22=0,0,K46/TrRoad_act!K22*1000)</f>
        <v>424.42602698362049</v>
      </c>
      <c r="L106" s="87">
        <f>IF(TrRoad_act!L22=0,0,L46/TrRoad_act!L22*1000)</f>
        <v>433.99685901917343</v>
      </c>
      <c r="M106" s="87">
        <f>IF(TrRoad_act!M22=0,0,M46/TrRoad_act!M22*1000)</f>
        <v>424.31846762656323</v>
      </c>
      <c r="N106" s="87">
        <f>IF(TrRoad_act!N22=0,0,N46/TrRoad_act!N22*1000)</f>
        <v>404.26342932648271</v>
      </c>
      <c r="O106" s="87">
        <f>IF(TrRoad_act!O22=0,0,O46/TrRoad_act!O22*1000)</f>
        <v>388.05598821947069</v>
      </c>
      <c r="P106" s="87">
        <f>IF(TrRoad_act!P22=0,0,P46/TrRoad_act!P22*1000)</f>
        <v>363.37530528341074</v>
      </c>
      <c r="Q106" s="87">
        <f>IF(TrRoad_act!Q22=0,0,Q46/TrRoad_act!Q22*1000)</f>
        <v>358.33732277563371</v>
      </c>
      <c r="R106" s="87">
        <f>IF(TrRoad_act!R22=0,0,R46/TrRoad_act!R22*1000)</f>
        <v>340.98142542375768</v>
      </c>
      <c r="S106" s="87">
        <f>IF(TrRoad_act!S22=0,0,S46/TrRoad_act!S22*1000)</f>
        <v>342.75724849825929</v>
      </c>
      <c r="T106" s="87">
        <f>IF(TrRoad_act!T22=0,0,T46/TrRoad_act!T22*1000)</f>
        <v>327.0148218138811</v>
      </c>
      <c r="U106" s="87">
        <f>IF(TrRoad_act!U22=0,0,U46/TrRoad_act!U22*1000)</f>
        <v>328.08261621371241</v>
      </c>
      <c r="V106" s="87">
        <f>IF(TrRoad_act!V22=0,0,V46/TrRoad_act!V22*1000)</f>
        <v>335.33087092928378</v>
      </c>
      <c r="W106" s="87">
        <f>IF(TrRoad_act!W22=0,0,W46/TrRoad_act!W22*1000)</f>
        <v>335.14072325851589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436.63277173980623</v>
      </c>
      <c r="D108" s="87">
        <f>IF(TrRoad_act!D24=0,0,D49/TrRoad_act!D24*1000)</f>
        <v>442.16808777361445</v>
      </c>
      <c r="E108" s="87">
        <f>IF(TrRoad_act!E24=0,0,E49/TrRoad_act!E24*1000)</f>
        <v>444.32333323739681</v>
      </c>
      <c r="F108" s="87">
        <f>IF(TrRoad_act!F24=0,0,F49/TrRoad_act!F24*1000)</f>
        <v>449.86368904855073</v>
      </c>
      <c r="G108" s="87">
        <f>IF(TrRoad_act!G24=0,0,G49/TrRoad_act!G24*1000)</f>
        <v>435.98527012755142</v>
      </c>
      <c r="H108" s="87">
        <f>IF(TrRoad_act!H24=0,0,H49/TrRoad_act!H24*1000)</f>
        <v>433.05499240345404</v>
      </c>
      <c r="I108" s="87">
        <f>IF(TrRoad_act!I24=0,0,I49/TrRoad_act!I24*1000)</f>
        <v>429.49147910335216</v>
      </c>
      <c r="J108" s="87">
        <f>IF(TrRoad_act!J24=0,0,J49/TrRoad_act!J24*1000)</f>
        <v>414.22167000854512</v>
      </c>
      <c r="K108" s="87">
        <f>IF(TrRoad_act!K24=0,0,K49/TrRoad_act!K24*1000)</f>
        <v>398.4635716637701</v>
      </c>
      <c r="L108" s="87">
        <f>IF(TrRoad_act!L24=0,0,L49/TrRoad_act!L24*1000)</f>
        <v>387.94080870180863</v>
      </c>
      <c r="M108" s="87">
        <f>IF(TrRoad_act!M24=0,0,M49/TrRoad_act!M24*1000)</f>
        <v>378.5520230633939</v>
      </c>
      <c r="N108" s="87">
        <f>IF(TrRoad_act!N24=0,0,N49/TrRoad_act!N24*1000)</f>
        <v>395.94672718147865</v>
      </c>
      <c r="O108" s="87">
        <f>IF(TrRoad_act!O24=0,0,O49/TrRoad_act!O24*1000)</f>
        <v>405.9620310779822</v>
      </c>
      <c r="P108" s="87">
        <f>IF(TrRoad_act!P24=0,0,P49/TrRoad_act!P24*1000)</f>
        <v>419.90139041572053</v>
      </c>
      <c r="Q108" s="87">
        <f>IF(TrRoad_act!Q24=0,0,Q49/TrRoad_act!Q24*1000)</f>
        <v>428.250334245712</v>
      </c>
      <c r="R108" s="87">
        <f>IF(TrRoad_act!R24=0,0,R49/TrRoad_act!R24*1000)</f>
        <v>422.4092951160543</v>
      </c>
      <c r="S108" s="87">
        <f>IF(TrRoad_act!S24=0,0,S49/TrRoad_act!S24*1000)</f>
        <v>422.19444992331518</v>
      </c>
      <c r="T108" s="87">
        <f>IF(TrRoad_act!T24=0,0,T49/TrRoad_act!T24*1000)</f>
        <v>410.39355331356893</v>
      </c>
      <c r="U108" s="87">
        <f>IF(TrRoad_act!U24=0,0,U49/TrRoad_act!U24*1000)</f>
        <v>409.44512440687777</v>
      </c>
      <c r="V108" s="87">
        <f>IF(TrRoad_act!V24=0,0,V49/TrRoad_act!V24*1000)</f>
        <v>410.78983770753484</v>
      </c>
      <c r="W108" s="87">
        <f>IF(TrRoad_act!W24=0,0,W49/TrRoad_act!W24*1000)</f>
        <v>414.93167598136546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84.455284872155417</v>
      </c>
      <c r="H109" s="87">
        <f>IF(TrRoad_act!H25=0,0,H51/TrRoad_act!H25*1000)</f>
        <v>84.424415122261735</v>
      </c>
      <c r="I109" s="87">
        <f>IF(TrRoad_act!I25=0,0,I51/TrRoad_act!I25*1000)</f>
        <v>84.432710271859065</v>
      </c>
      <c r="J109" s="87">
        <f>IF(TrRoad_act!J25=0,0,J51/TrRoad_act!J25*1000)</f>
        <v>84.440304053535982</v>
      </c>
      <c r="K109" s="87">
        <f>IF(TrRoad_act!K25=0,0,K51/TrRoad_act!K25*1000)</f>
        <v>84.429642399760212</v>
      </c>
      <c r="L109" s="87">
        <f>IF(TrRoad_act!L25=0,0,L51/TrRoad_act!L25*1000)</f>
        <v>84.473312961405398</v>
      </c>
      <c r="M109" s="87">
        <f>IF(TrRoad_act!M25=0,0,M51/TrRoad_act!M25*1000)</f>
        <v>84.532618527857849</v>
      </c>
      <c r="N109" s="87">
        <f>IF(TrRoad_act!N25=0,0,N51/TrRoad_act!N25*1000)</f>
        <v>85.322306840901817</v>
      </c>
      <c r="O109" s="87">
        <f>IF(TrRoad_act!O25=0,0,O51/TrRoad_act!O25*1000)</f>
        <v>85.854933795958146</v>
      </c>
      <c r="P109" s="87">
        <f>IF(TrRoad_act!P25=0,0,P51/TrRoad_act!P25*1000)</f>
        <v>87.248649336161975</v>
      </c>
      <c r="Q109" s="87">
        <f>IF(TrRoad_act!Q25=0,0,Q51/TrRoad_act!Q25*1000)</f>
        <v>89.74532670897419</v>
      </c>
      <c r="R109" s="87">
        <f>IF(TrRoad_act!R25=0,0,R51/TrRoad_act!R25*1000)</f>
        <v>90.775302152056852</v>
      </c>
      <c r="S109" s="87">
        <f>IF(TrRoad_act!S25=0,0,S51/TrRoad_act!S25*1000)</f>
        <v>91.847659853179721</v>
      </c>
      <c r="T109" s="87">
        <f>IF(TrRoad_act!T25=0,0,T51/TrRoad_act!T25*1000)</f>
        <v>97.638214519508807</v>
      </c>
      <c r="U109" s="87">
        <f>IF(TrRoad_act!U25=0,0,U51/TrRoad_act!U25*1000)</f>
        <v>106.43199021350983</v>
      </c>
      <c r="V109" s="87">
        <f>IF(TrRoad_act!V25=0,0,V51/TrRoad_act!V25*1000)</f>
        <v>122.28273218490078</v>
      </c>
      <c r="W109" s="87">
        <f>IF(TrRoad_act!W25=0,0,W51/TrRoad_act!W25*1000)</f>
        <v>130.97224269437294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32.680312356040858</v>
      </c>
      <c r="C110" s="116">
        <f>IF(TrRoad_act!C26=0,0,C52/TrRoad_act!C26*1000)</f>
        <v>33.606624382740307</v>
      </c>
      <c r="D110" s="116">
        <f>IF(TrRoad_act!D26=0,0,D52/TrRoad_act!D26*1000)</f>
        <v>31.245360668392212</v>
      </c>
      <c r="E110" s="116">
        <f>IF(TrRoad_act!E26=0,0,E52/TrRoad_act!E26*1000)</f>
        <v>32.189166533120371</v>
      </c>
      <c r="F110" s="116">
        <f>IF(TrRoad_act!F26=0,0,F52/TrRoad_act!F26*1000)</f>
        <v>33.138741081402785</v>
      </c>
      <c r="G110" s="116">
        <f>IF(TrRoad_act!G26=0,0,G52/TrRoad_act!G26*1000)</f>
        <v>30.603677286384947</v>
      </c>
      <c r="H110" s="116">
        <f>IF(TrRoad_act!H26=0,0,H52/TrRoad_act!H26*1000)</f>
        <v>30.220095602896023</v>
      </c>
      <c r="I110" s="116">
        <f>IF(TrRoad_act!I26=0,0,I52/TrRoad_act!I26*1000)</f>
        <v>30.018758106563329</v>
      </c>
      <c r="J110" s="116">
        <f>IF(TrRoad_act!J26=0,0,J52/TrRoad_act!J26*1000)</f>
        <v>29.462431873148102</v>
      </c>
      <c r="K110" s="116">
        <f>IF(TrRoad_act!K26=0,0,K52/TrRoad_act!K26*1000)</f>
        <v>31.567145833971377</v>
      </c>
      <c r="L110" s="116">
        <f>IF(TrRoad_act!L26=0,0,L52/TrRoad_act!L26*1000)</f>
        <v>32.064762174447431</v>
      </c>
      <c r="M110" s="116">
        <f>IF(TrRoad_act!M26=0,0,M52/TrRoad_act!M26*1000)</f>
        <v>30.355514859089954</v>
      </c>
      <c r="N110" s="116">
        <f>IF(TrRoad_act!N26=0,0,N52/TrRoad_act!N26*1000)</f>
        <v>28.919019414965224</v>
      </c>
      <c r="O110" s="116">
        <f>IF(TrRoad_act!O26=0,0,O52/TrRoad_act!O26*1000)</f>
        <v>26.825819937493083</v>
      </c>
      <c r="P110" s="116">
        <f>IF(TrRoad_act!P26=0,0,P52/TrRoad_act!P26*1000)</f>
        <v>23.08200669364448</v>
      </c>
      <c r="Q110" s="116">
        <f>IF(TrRoad_act!Q26=0,0,Q52/TrRoad_act!Q26*1000)</f>
        <v>22.678712734272356</v>
      </c>
      <c r="R110" s="116">
        <f>IF(TrRoad_act!R26=0,0,R52/TrRoad_act!R26*1000)</f>
        <v>20.172924004619212</v>
      </c>
      <c r="S110" s="116">
        <f>IF(TrRoad_act!S26=0,0,S52/TrRoad_act!S26*1000)</f>
        <v>21.016577278258236</v>
      </c>
      <c r="T110" s="116">
        <f>IF(TrRoad_act!T26=0,0,T52/TrRoad_act!T26*1000)</f>
        <v>18.875970803829414</v>
      </c>
      <c r="U110" s="116">
        <f>IF(TrRoad_act!U26=0,0,U52/TrRoad_act!U26*1000)</f>
        <v>19.420555526787069</v>
      </c>
      <c r="V110" s="116">
        <f>IF(TrRoad_act!V26=0,0,V52/TrRoad_act!V26*1000)</f>
        <v>20.460961929179298</v>
      </c>
      <c r="W110" s="116">
        <f>IF(TrRoad_act!W26=0,0,W52/TrRoad_act!W26*1000)</f>
        <v>19.902785403281111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32.152047791930933</v>
      </c>
      <c r="C111" s="101">
        <f>IF(TrRoad_act!C27=0,0,C53/TrRoad_act!C27*1000)</f>
        <v>33.316737649110237</v>
      </c>
      <c r="D111" s="101">
        <f>IF(TrRoad_act!D27=0,0,D53/TrRoad_act!D27*1000)</f>
        <v>30.758436553489563</v>
      </c>
      <c r="E111" s="101">
        <f>IF(TrRoad_act!E27=0,0,E53/TrRoad_act!E27*1000)</f>
        <v>31.556405954883662</v>
      </c>
      <c r="F111" s="101">
        <f>IF(TrRoad_act!F27=0,0,F53/TrRoad_act!F27*1000)</f>
        <v>32.209446322747901</v>
      </c>
      <c r="G111" s="101">
        <f>IF(TrRoad_act!G27=0,0,G53/TrRoad_act!G27*1000)</f>
        <v>29.921438336016198</v>
      </c>
      <c r="H111" s="101">
        <f>IF(TrRoad_act!H27=0,0,H53/TrRoad_act!H27*1000)</f>
        <v>29.390162819041514</v>
      </c>
      <c r="I111" s="101">
        <f>IF(TrRoad_act!I27=0,0,I53/TrRoad_act!I27*1000)</f>
        <v>29.414659939366182</v>
      </c>
      <c r="J111" s="101">
        <f>IF(TrRoad_act!J27=0,0,J53/TrRoad_act!J27*1000)</f>
        <v>28.751151769944506</v>
      </c>
      <c r="K111" s="101">
        <f>IF(TrRoad_act!K27=0,0,K53/TrRoad_act!K27*1000)</f>
        <v>31.408655247721942</v>
      </c>
      <c r="L111" s="101">
        <f>IF(TrRoad_act!L27=0,0,L53/TrRoad_act!L27*1000)</f>
        <v>32.117138961748161</v>
      </c>
      <c r="M111" s="101">
        <f>IF(TrRoad_act!M27=0,0,M53/TrRoad_act!M27*1000)</f>
        <v>30.008638309651943</v>
      </c>
      <c r="N111" s="101">
        <f>IF(TrRoad_act!N27=0,0,N53/TrRoad_act!N27*1000)</f>
        <v>28.637503712783161</v>
      </c>
      <c r="O111" s="101">
        <f>IF(TrRoad_act!O27=0,0,O53/TrRoad_act!O27*1000)</f>
        <v>26.385014515621751</v>
      </c>
      <c r="P111" s="101">
        <f>IF(TrRoad_act!P27=0,0,P53/TrRoad_act!P27*1000)</f>
        <v>22.765218792846404</v>
      </c>
      <c r="Q111" s="101">
        <f>IF(TrRoad_act!Q27=0,0,Q53/TrRoad_act!Q27*1000)</f>
        <v>22.334408931388701</v>
      </c>
      <c r="R111" s="101">
        <f>IF(TrRoad_act!R27=0,0,R53/TrRoad_act!R27*1000)</f>
        <v>19.66005458470293</v>
      </c>
      <c r="S111" s="101">
        <f>IF(TrRoad_act!S27=0,0,S53/TrRoad_act!S27*1000)</f>
        <v>20.611467564627066</v>
      </c>
      <c r="T111" s="101">
        <f>IF(TrRoad_act!T27=0,0,T53/TrRoad_act!T27*1000)</f>
        <v>18.444035970705425</v>
      </c>
      <c r="U111" s="101">
        <f>IF(TrRoad_act!U27=0,0,U53/TrRoad_act!U27*1000)</f>
        <v>18.944289148869473</v>
      </c>
      <c r="V111" s="101">
        <f>IF(TrRoad_act!V27=0,0,V53/TrRoad_act!V27*1000)</f>
        <v>19.743958007329752</v>
      </c>
      <c r="W111" s="101">
        <f>IF(TrRoad_act!W27=0,0,W53/TrRoad_act!W27*1000)</f>
        <v>19.022978921719027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34.889873612221137</v>
      </c>
      <c r="C112" s="88">
        <f>IF(TrRoad_act!C28=0,0,C55/TrRoad_act!C28*1000)</f>
        <v>34.68520805704015</v>
      </c>
      <c r="D112" s="88">
        <f>IF(TrRoad_act!D28=0,0,D55/TrRoad_act!D28*1000)</f>
        <v>33.06290975535741</v>
      </c>
      <c r="E112" s="88">
        <f>IF(TrRoad_act!E28=0,0,E55/TrRoad_act!E28*1000)</f>
        <v>34.486752262134452</v>
      </c>
      <c r="F112" s="88">
        <f>IF(TrRoad_act!F28=0,0,F55/TrRoad_act!F28*1000)</f>
        <v>36.159137092331946</v>
      </c>
      <c r="G112" s="88">
        <f>IF(TrRoad_act!G28=0,0,G55/TrRoad_act!G28*1000)</f>
        <v>32.876929745550804</v>
      </c>
      <c r="H112" s="88">
        <f>IF(TrRoad_act!H28=0,0,H55/TrRoad_act!H28*1000)</f>
        <v>32.822163924588153</v>
      </c>
      <c r="I112" s="88">
        <f>IF(TrRoad_act!I28=0,0,I55/TrRoad_act!I28*1000)</f>
        <v>31.92395239930114</v>
      </c>
      <c r="J112" s="88">
        <f>IF(TrRoad_act!J28=0,0,J55/TrRoad_act!J28*1000)</f>
        <v>31.928842591932973</v>
      </c>
      <c r="K112" s="88">
        <f>IF(TrRoad_act!K28=0,0,K55/TrRoad_act!K28*1000)</f>
        <v>32.154768887236074</v>
      </c>
      <c r="L112" s="88">
        <f>IF(TrRoad_act!L28=0,0,L55/TrRoad_act!L28*1000)</f>
        <v>31.888329604534199</v>
      </c>
      <c r="M112" s="88">
        <f>IF(TrRoad_act!M28=0,0,M55/TrRoad_act!M28*1000)</f>
        <v>31.574924370931111</v>
      </c>
      <c r="N112" s="88">
        <f>IF(TrRoad_act!N28=0,0,N55/TrRoad_act!N28*1000)</f>
        <v>29.846051103628607</v>
      </c>
      <c r="O112" s="88">
        <f>IF(TrRoad_act!O28=0,0,O55/TrRoad_act!O28*1000)</f>
        <v>28.115143924279884</v>
      </c>
      <c r="P112" s="88">
        <f>IF(TrRoad_act!P28=0,0,P55/TrRoad_act!P28*1000)</f>
        <v>24.310438602794061</v>
      </c>
      <c r="Q112" s="88">
        <f>IF(TrRoad_act!Q28=0,0,Q55/TrRoad_act!Q28*1000)</f>
        <v>23.839653477442408</v>
      </c>
      <c r="R112" s="88">
        <f>IF(TrRoad_act!R28=0,0,R55/TrRoad_act!R28*1000)</f>
        <v>21.852727010615567</v>
      </c>
      <c r="S112" s="88">
        <f>IF(TrRoad_act!S28=0,0,S55/TrRoad_act!S28*1000)</f>
        <v>22.330506245887982</v>
      </c>
      <c r="T112" s="88">
        <f>IF(TrRoad_act!T28=0,0,T55/TrRoad_act!T28*1000)</f>
        <v>20.317952263967975</v>
      </c>
      <c r="U112" s="88">
        <f>IF(TrRoad_act!U28=0,0,U55/TrRoad_act!U28*1000)</f>
        <v>21.097521551280636</v>
      </c>
      <c r="V112" s="88">
        <f>IF(TrRoad_act!V28=0,0,V55/TrRoad_act!V28*1000)</f>
        <v>22.976004375477423</v>
      </c>
      <c r="W112" s="88">
        <f>IF(TrRoad_act!W28=0,0,W55/TrRoad_act!W28*1000)</f>
        <v>22.952581409971827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73.257746566160819</v>
      </c>
      <c r="C116" s="152">
        <f>IF(C19=0,0,1000000*C19/TrRoad_act!C59)</f>
        <v>72.465116804339331</v>
      </c>
      <c r="D116" s="152">
        <f>IF(D19=0,0,1000000*D19/TrRoad_act!D59)</f>
        <v>72.652277345135758</v>
      </c>
      <c r="E116" s="152">
        <f>IF(E19=0,0,1000000*E19/TrRoad_act!E59)</f>
        <v>73.050674636195836</v>
      </c>
      <c r="F116" s="152">
        <f>IF(F19=0,0,1000000*F19/TrRoad_act!F59)</f>
        <v>76.399088513480137</v>
      </c>
      <c r="G116" s="152">
        <f>IF(G19=0,0,1000000*G19/TrRoad_act!G59)</f>
        <v>68.685196097884386</v>
      </c>
      <c r="H116" s="152">
        <f>IF(H19=0,0,1000000*H19/TrRoad_act!H59)</f>
        <v>66.828905105162121</v>
      </c>
      <c r="I116" s="152">
        <f>IF(I19=0,0,1000000*I19/TrRoad_act!I59)</f>
        <v>68.907221233420145</v>
      </c>
      <c r="J116" s="152">
        <f>IF(J19=0,0,1000000*J19/TrRoad_act!J59)</f>
        <v>63.385656868816191</v>
      </c>
      <c r="K116" s="152">
        <f>IF(K19=0,0,1000000*K19/TrRoad_act!K59)</f>
        <v>60.625220227621774</v>
      </c>
      <c r="L116" s="152">
        <f>IF(L19=0,0,1000000*L19/TrRoad_act!L59)</f>
        <v>56.710809095373236</v>
      </c>
      <c r="M116" s="152">
        <f>IF(M19=0,0,1000000*M19/TrRoad_act!M59)</f>
        <v>54.839212106736554</v>
      </c>
      <c r="N116" s="152">
        <f>IF(N19=0,0,1000000*N19/TrRoad_act!N59)</f>
        <v>43.882234835386761</v>
      </c>
      <c r="O116" s="152">
        <f>IF(O19=0,0,1000000*O19/TrRoad_act!O59)</f>
        <v>46.806377353420913</v>
      </c>
      <c r="P116" s="152">
        <f>IF(P19=0,0,1000000*P19/TrRoad_act!P59)</f>
        <v>44.474954275770571</v>
      </c>
      <c r="Q116" s="152">
        <f>IF(Q19=0,0,1000000*Q19/TrRoad_act!Q59)</f>
        <v>42.983467314617585</v>
      </c>
      <c r="R116" s="152">
        <f>IF(R19=0,0,1000000*R19/TrRoad_act!R59)</f>
        <v>42.788684494358407</v>
      </c>
      <c r="S116" s="152">
        <f>IF(S19=0,0,1000000*S19/TrRoad_act!S59)</f>
        <v>38.316452556724649</v>
      </c>
      <c r="T116" s="152">
        <f>IF(T19=0,0,1000000*T19/TrRoad_act!T59)</f>
        <v>35.131231314657846</v>
      </c>
      <c r="U116" s="152">
        <f>IF(U19=0,0,1000000*U19/TrRoad_act!U59)</f>
        <v>35.861785466775196</v>
      </c>
      <c r="V116" s="152">
        <f>IF(V19=0,0,1000000*V19/TrRoad_act!V59)</f>
        <v>31.224014891519229</v>
      </c>
      <c r="W116" s="152">
        <f>IF(W19=0,0,1000000*W19/TrRoad_act!W59)</f>
        <v>29.725265737922062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1111.0858454027436</v>
      </c>
      <c r="C117" s="116">
        <f>IF(C21=0,0,1000000*C21/TrRoad_act!C60)</f>
        <v>1094.4292047231086</v>
      </c>
      <c r="D117" s="116">
        <f>IF(D21=0,0,1000000*D21/TrRoad_act!D60)</f>
        <v>1122.9448859796012</v>
      </c>
      <c r="E117" s="116">
        <f>IF(E21=0,0,1000000*E21/TrRoad_act!E60)</f>
        <v>1121.2929895047575</v>
      </c>
      <c r="F117" s="116">
        <f>IF(F21=0,0,1000000*F21/TrRoad_act!F60)</f>
        <v>1113.0236683125547</v>
      </c>
      <c r="G117" s="116">
        <f>IF(G21=0,0,1000000*G21/TrRoad_act!G60)</f>
        <v>1059.3092508634704</v>
      </c>
      <c r="H117" s="116">
        <f>IF(H21=0,0,1000000*H21/TrRoad_act!H60)</f>
        <v>1045.8580582082611</v>
      </c>
      <c r="I117" s="116">
        <f>IF(I21=0,0,1000000*I21/TrRoad_act!I60)</f>
        <v>1053.8488644817353</v>
      </c>
      <c r="J117" s="116">
        <f>IF(J21=0,0,1000000*J21/TrRoad_act!J60)</f>
        <v>1029.8894526598174</v>
      </c>
      <c r="K117" s="116">
        <f>IF(K21=0,0,1000000*K21/TrRoad_act!K60)</f>
        <v>1034.4891818235246</v>
      </c>
      <c r="L117" s="116">
        <f>IF(L21=0,0,1000000*L21/TrRoad_act!L60)</f>
        <v>1025.4666782003485</v>
      </c>
      <c r="M117" s="116">
        <f>IF(M21=0,0,1000000*M21/TrRoad_act!M60)</f>
        <v>1007.2868592462755</v>
      </c>
      <c r="N117" s="116">
        <f>IF(N21=0,0,1000000*N21/TrRoad_act!N60)</f>
        <v>976.96957506479214</v>
      </c>
      <c r="O117" s="116">
        <f>IF(O21=0,0,1000000*O21/TrRoad_act!O60)</f>
        <v>960.10957616233077</v>
      </c>
      <c r="P117" s="116">
        <f>IF(P21=0,0,1000000*P21/TrRoad_act!P60)</f>
        <v>949.89958467308725</v>
      </c>
      <c r="Q117" s="116">
        <f>IF(Q21=0,0,1000000*Q21/TrRoad_act!Q60)</f>
        <v>963.00312888138546</v>
      </c>
      <c r="R117" s="116">
        <f>IF(R21=0,0,1000000*R21/TrRoad_act!R60)</f>
        <v>945.72667622137556</v>
      </c>
      <c r="S117" s="116">
        <f>IF(S21=0,0,1000000*S21/TrRoad_act!S60)</f>
        <v>938.62042856196229</v>
      </c>
      <c r="T117" s="116">
        <f>IF(T21=0,0,1000000*T21/TrRoad_act!T60)</f>
        <v>917.35417522399337</v>
      </c>
      <c r="U117" s="116">
        <f>IF(U21=0,0,1000000*U21/TrRoad_act!U60)</f>
        <v>896.67569217421305</v>
      </c>
      <c r="V117" s="116">
        <f>IF(V21=0,0,1000000*V21/TrRoad_act!V60)</f>
        <v>824.94390806846047</v>
      </c>
      <c r="W117" s="116">
        <f>IF(W21=0,0,1000000*W21/TrRoad_act!W60)</f>
        <v>840.95320570228444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1055.5830450402948</v>
      </c>
      <c r="C118" s="87">
        <f>IF(C22=0,0,1000000*C22/TrRoad_act!C61)</f>
        <v>1041.9607722645301</v>
      </c>
      <c r="D118" s="87">
        <f>IF(D22=0,0,1000000*D22/TrRoad_act!D61)</f>
        <v>1071.3597068150184</v>
      </c>
      <c r="E118" s="87">
        <f>IF(E22=0,0,1000000*E22/TrRoad_act!E61)</f>
        <v>1067.5635400621836</v>
      </c>
      <c r="F118" s="87">
        <f>IF(F22=0,0,1000000*F22/TrRoad_act!F61)</f>
        <v>1055.7689471503293</v>
      </c>
      <c r="G118" s="87">
        <f>IF(G22=0,0,1000000*G22/TrRoad_act!G61)</f>
        <v>1001.8135860445268</v>
      </c>
      <c r="H118" s="87">
        <f>IF(H22=0,0,1000000*H22/TrRoad_act!H61)</f>
        <v>979.29673752068061</v>
      </c>
      <c r="I118" s="87">
        <f>IF(I22=0,0,1000000*I22/TrRoad_act!I61)</f>
        <v>972.35650628667656</v>
      </c>
      <c r="J118" s="87">
        <f>IF(J22=0,0,1000000*J22/TrRoad_act!J61)</f>
        <v>936.16493393294797</v>
      </c>
      <c r="K118" s="87">
        <f>IF(K22=0,0,1000000*K22/TrRoad_act!K61)</f>
        <v>931.26120066885767</v>
      </c>
      <c r="L118" s="87">
        <f>IF(L22=0,0,1000000*L22/TrRoad_act!L61)</f>
        <v>902.27120001096853</v>
      </c>
      <c r="M118" s="87">
        <f>IF(M22=0,0,1000000*M22/TrRoad_act!M61)</f>
        <v>864.38664310403544</v>
      </c>
      <c r="N118" s="87">
        <f>IF(N22=0,0,1000000*N22/TrRoad_act!N61)</f>
        <v>821.8749042205917</v>
      </c>
      <c r="O118" s="87">
        <f>IF(O22=0,0,1000000*O22/TrRoad_act!O61)</f>
        <v>797.48442091484208</v>
      </c>
      <c r="P118" s="87">
        <f>IF(P22=0,0,1000000*P22/TrRoad_act!P61)</f>
        <v>781.75794428029599</v>
      </c>
      <c r="Q118" s="87">
        <f>IF(Q22=0,0,1000000*Q22/TrRoad_act!Q61)</f>
        <v>775.31241723047151</v>
      </c>
      <c r="R118" s="87">
        <f>IF(R22=0,0,1000000*R22/TrRoad_act!R61)</f>
        <v>750.90999514983093</v>
      </c>
      <c r="S118" s="87">
        <f>IF(S22=0,0,1000000*S22/TrRoad_act!S61)</f>
        <v>728.41022884846961</v>
      </c>
      <c r="T118" s="87">
        <f>IF(T22=0,0,1000000*T22/TrRoad_act!T61)</f>
        <v>702.40670487071156</v>
      </c>
      <c r="U118" s="87">
        <f>IF(U22=0,0,1000000*U22/TrRoad_act!U61)</f>
        <v>687.05971614639725</v>
      </c>
      <c r="V118" s="87">
        <f>IF(V22=0,0,1000000*V22/TrRoad_act!V61)</f>
        <v>635.45041589425568</v>
      </c>
      <c r="W118" s="87">
        <f>IF(W22=0,0,1000000*W22/TrRoad_act!W61)</f>
        <v>685.57350032519457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2199.4004783905161</v>
      </c>
      <c r="C119" s="87">
        <f>IF(C24=0,0,1000000*C24/TrRoad_act!C62)</f>
        <v>2181.8704720152778</v>
      </c>
      <c r="D119" s="87">
        <f>IF(D24=0,0,1000000*D24/TrRoad_act!D62)</f>
        <v>2172.156161651681</v>
      </c>
      <c r="E119" s="87">
        <f>IF(E24=0,0,1000000*E24/TrRoad_act!E62)</f>
        <v>2179.7172592939692</v>
      </c>
      <c r="F119" s="87">
        <f>IF(F24=0,0,1000000*F24/TrRoad_act!F62)</f>
        <v>2197.1604516457501</v>
      </c>
      <c r="G119" s="87">
        <f>IF(G24=0,0,1000000*G24/TrRoad_act!G62)</f>
        <v>2084.2933712598829</v>
      </c>
      <c r="H119" s="87">
        <f>IF(H24=0,0,1000000*H24/TrRoad_act!H62)</f>
        <v>2042.6497087273508</v>
      </c>
      <c r="I119" s="87">
        <f>IF(I24=0,0,1000000*I24/TrRoad_act!I62)</f>
        <v>1949.9708712688712</v>
      </c>
      <c r="J119" s="87">
        <f>IF(J24=0,0,1000000*J24/TrRoad_act!J62)</f>
        <v>1893.0104910477367</v>
      </c>
      <c r="K119" s="87">
        <f>IF(K24=0,0,1000000*K24/TrRoad_act!K62)</f>
        <v>1804.2932402863664</v>
      </c>
      <c r="L119" s="87">
        <f>IF(L24=0,0,1000000*L24/TrRoad_act!L62)</f>
        <v>1733.4183281047278</v>
      </c>
      <c r="M119" s="87">
        <f>IF(M24=0,0,1000000*M24/TrRoad_act!M62)</f>
        <v>1639.3533067089677</v>
      </c>
      <c r="N119" s="87">
        <f>IF(N24=0,0,1000000*N24/TrRoad_act!N62)</f>
        <v>1524.2664226790894</v>
      </c>
      <c r="O119" s="87">
        <f>IF(O24=0,0,1000000*O24/TrRoad_act!O62)</f>
        <v>1438.5324544349787</v>
      </c>
      <c r="P119" s="87">
        <f>IF(P24=0,0,1000000*P24/TrRoad_act!P62)</f>
        <v>1373.3604604680793</v>
      </c>
      <c r="Q119" s="87">
        <f>IF(Q24=0,0,1000000*Q24/TrRoad_act!Q62)</f>
        <v>1373.5485612208495</v>
      </c>
      <c r="R119" s="87">
        <f>IF(R24=0,0,1000000*R24/TrRoad_act!R62)</f>
        <v>1327.8288267214166</v>
      </c>
      <c r="S119" s="87">
        <f>IF(S24=0,0,1000000*S24/TrRoad_act!S62)</f>
        <v>1322.011208912917</v>
      </c>
      <c r="T119" s="87">
        <f>IF(T24=0,0,1000000*T24/TrRoad_act!T62)</f>
        <v>1296.0364894784236</v>
      </c>
      <c r="U119" s="87">
        <f>IF(U24=0,0,1000000*U24/TrRoad_act!U62)</f>
        <v>1265.2216169819076</v>
      </c>
      <c r="V119" s="87">
        <f>IF(V24=0,0,1000000*V24/TrRoad_act!V62)</f>
        <v>1183.8359681722293</v>
      </c>
      <c r="W119" s="87">
        <f>IF(W24=0,0,1000000*W24/TrRoad_act!W62)</f>
        <v>1186.3520127937254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0</v>
      </c>
      <c r="E120" s="87">
        <f>IF(E26=0,0,1000000*E26/TrRoad_act!E63)</f>
        <v>0</v>
      </c>
      <c r="F120" s="87">
        <f>IF(F26=0,0,1000000*F26/TrRoad_act!F63)</f>
        <v>0</v>
      </c>
      <c r="G120" s="87">
        <f>IF(G26=0,0,1000000*G26/TrRoad_act!G63)</f>
        <v>2737.7472055030089</v>
      </c>
      <c r="H120" s="87">
        <f>IF(H26=0,0,1000000*H26/TrRoad_act!H63)</f>
        <v>2152.0351688808687</v>
      </c>
      <c r="I120" s="87">
        <f>IF(I26=0,0,1000000*I26/TrRoad_act!I63)</f>
        <v>4659.3244421677837</v>
      </c>
      <c r="J120" s="87">
        <f>IF(J26=0,0,1000000*J26/TrRoad_act!J63)</f>
        <v>2805.3883634279159</v>
      </c>
      <c r="K120" s="87">
        <f>IF(K26=0,0,1000000*K26/TrRoad_act!K63)</f>
        <v>2598.4522785898521</v>
      </c>
      <c r="L120" s="87">
        <f>IF(L26=0,0,1000000*L26/TrRoad_act!L63)</f>
        <v>3134.2586905785515</v>
      </c>
      <c r="M120" s="87">
        <f>IF(M26=0,0,1000000*M26/TrRoad_act!M63)</f>
        <v>2094.4131290935538</v>
      </c>
      <c r="N120" s="87">
        <f>IF(N26=0,0,1000000*N26/TrRoad_act!N63)</f>
        <v>1304.0985955861277</v>
      </c>
      <c r="O120" s="87">
        <f>IF(O26=0,0,1000000*O26/TrRoad_act!O63)</f>
        <v>674.21672652893949</v>
      </c>
      <c r="P120" s="87">
        <f>IF(P26=0,0,1000000*P26/TrRoad_act!P63)</f>
        <v>791.54794906774214</v>
      </c>
      <c r="Q120" s="87">
        <f>IF(Q26=0,0,1000000*Q26/TrRoad_act!Q63)</f>
        <v>4422.3363623468349</v>
      </c>
      <c r="R120" s="87">
        <f>IF(R26=0,0,1000000*R26/TrRoad_act!R63)</f>
        <v>1639.9929733078154</v>
      </c>
      <c r="S120" s="87">
        <f>IF(S26=0,0,1000000*S26/TrRoad_act!S63)</f>
        <v>0</v>
      </c>
      <c r="T120" s="87">
        <f>IF(T26=0,0,1000000*T26/TrRoad_act!T63)</f>
        <v>0</v>
      </c>
      <c r="U120" s="87">
        <f>IF(U26=0,0,1000000*U26/TrRoad_act!U63)</f>
        <v>0</v>
      </c>
      <c r="V120" s="87">
        <f>IF(V26=0,0,1000000*V26/TrRoad_act!V63)</f>
        <v>0</v>
      </c>
      <c r="W120" s="87">
        <f>IF(W26=0,0,1000000*W26/TrRoad_act!W63)</f>
        <v>0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1633.220141731377</v>
      </c>
      <c r="E121" s="87">
        <f>IF(E27=0,0,1000000*E27/TrRoad_act!E64)</f>
        <v>1626.7808896394688</v>
      </c>
      <c r="F121" s="87">
        <f>IF(F27=0,0,1000000*F27/TrRoad_act!F64)</f>
        <v>1620.9971849425738</v>
      </c>
      <c r="G121" s="87">
        <f>IF(G27=0,0,1000000*G27/TrRoad_act!G64)</f>
        <v>1598.6561870728578</v>
      </c>
      <c r="H121" s="87">
        <f>IF(H27=0,0,1000000*H27/TrRoad_act!H64)</f>
        <v>1568.7423050769983</v>
      </c>
      <c r="I121" s="87">
        <f>IF(I27=0,0,1000000*I27/TrRoad_act!I64)</f>
        <v>1572.4034183374272</v>
      </c>
      <c r="J121" s="87">
        <f>IF(J27=0,0,1000000*J27/TrRoad_act!J64)</f>
        <v>1523.5605999789857</v>
      </c>
      <c r="K121" s="87">
        <f>IF(K27=0,0,1000000*K27/TrRoad_act!K64)</f>
        <v>1488.3474975948427</v>
      </c>
      <c r="L121" s="87">
        <f>IF(L27=0,0,1000000*L27/TrRoad_act!L64)</f>
        <v>1341.823427821771</v>
      </c>
      <c r="M121" s="87">
        <f>IF(M27=0,0,1000000*M27/TrRoad_act!M64)</f>
        <v>1292.6799236706647</v>
      </c>
      <c r="N121" s="87">
        <f>IF(N27=0,0,1000000*N27/TrRoad_act!N64)</f>
        <v>1309.0401455299445</v>
      </c>
      <c r="O121" s="87">
        <f>IF(O27=0,0,1000000*O27/TrRoad_act!O64)</f>
        <v>1251.1992750639997</v>
      </c>
      <c r="P121" s="87">
        <f>IF(P27=0,0,1000000*P27/TrRoad_act!P64)</f>
        <v>1207.7917925444092</v>
      </c>
      <c r="Q121" s="87">
        <f>IF(Q27=0,0,1000000*Q27/TrRoad_act!Q64)</f>
        <v>1168.9935347404494</v>
      </c>
      <c r="R121" s="87">
        <f>IF(R27=0,0,1000000*R27/TrRoad_act!R64)</f>
        <v>1129.5260569519962</v>
      </c>
      <c r="S121" s="87">
        <f>IF(S27=0,0,1000000*S27/TrRoad_act!S64)</f>
        <v>1093.6879704865835</v>
      </c>
      <c r="T121" s="87">
        <f>IF(T27=0,0,1000000*T27/TrRoad_act!T64)</f>
        <v>1075.7198142111454</v>
      </c>
      <c r="U121" s="87">
        <f>IF(U27=0,0,1000000*U27/TrRoad_act!U64)</f>
        <v>1014.1910339402431</v>
      </c>
      <c r="V121" s="87">
        <f>IF(V27=0,0,1000000*V27/TrRoad_act!V64)</f>
        <v>921.3477226911649</v>
      </c>
      <c r="W121" s="87">
        <f>IF(W27=0,0,1000000*W27/TrRoad_act!W64)</f>
        <v>915.25220068600834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454.23387823198027</v>
      </c>
      <c r="K122" s="87">
        <f>IF(K29=0,0,1000000*K29/TrRoad_act!K65)</f>
        <v>444.42858655464704</v>
      </c>
      <c r="L122" s="87">
        <f>IF(L29=0,0,1000000*L29/TrRoad_act!L65)</f>
        <v>429.46072045962001</v>
      </c>
      <c r="M122" s="87">
        <f>IF(M29=0,0,1000000*M29/TrRoad_act!M65)</f>
        <v>389.59913244300856</v>
      </c>
      <c r="N122" s="87">
        <f>IF(N29=0,0,1000000*N29/TrRoad_act!N65)</f>
        <v>359.23914961960867</v>
      </c>
      <c r="O122" s="87">
        <f>IF(O29=0,0,1000000*O29/TrRoad_act!O65)</f>
        <v>350.71702853087004</v>
      </c>
      <c r="P122" s="87">
        <f>IF(P29=0,0,1000000*P29/TrRoad_act!P65)</f>
        <v>347.64086604777265</v>
      </c>
      <c r="Q122" s="87">
        <f>IF(Q29=0,0,1000000*Q29/TrRoad_act!Q65)</f>
        <v>346.12946120006205</v>
      </c>
      <c r="R122" s="87">
        <f>IF(R29=0,0,1000000*R29/TrRoad_act!R65)</f>
        <v>348.56132809172726</v>
      </c>
      <c r="S122" s="87">
        <f>IF(S29=0,0,1000000*S29/TrRoad_act!S65)</f>
        <v>347.07782760714247</v>
      </c>
      <c r="T122" s="87">
        <f>IF(T29=0,0,1000000*T29/TrRoad_act!T65)</f>
        <v>351.11962995990314</v>
      </c>
      <c r="U122" s="87">
        <f>IF(U29=0,0,1000000*U29/TrRoad_act!U65)</f>
        <v>331.56303423186768</v>
      </c>
      <c r="V122" s="87">
        <f>IF(V29=0,0,1000000*V29/TrRoad_act!V65)</f>
        <v>294.21316703393688</v>
      </c>
      <c r="W122" s="87">
        <f>IF(W29=0,0,1000000*W29/TrRoad_act!W65)</f>
        <v>293.74954854685848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288.65402195050302</v>
      </c>
      <c r="K123" s="87">
        <f>IF(K32=0,0,1000000*K32/TrRoad_act!K66)</f>
        <v>288.7876952913208</v>
      </c>
      <c r="L123" s="87">
        <f>IF(L32=0,0,1000000*L32/TrRoad_act!L66)</f>
        <v>288.27114262329002</v>
      </c>
      <c r="M123" s="87">
        <f>IF(M32=0,0,1000000*M32/TrRoad_act!M66)</f>
        <v>288.4292420900818</v>
      </c>
      <c r="N123" s="87">
        <f>IF(N32=0,0,1000000*N32/TrRoad_act!N66)</f>
        <v>268.58865984838735</v>
      </c>
      <c r="O123" s="87">
        <f>IF(O32=0,0,1000000*O32/TrRoad_act!O66)</f>
        <v>262.15441602284841</v>
      </c>
      <c r="P123" s="87">
        <f>IF(P32=0,0,1000000*P32/TrRoad_act!P66)</f>
        <v>245.60465159673194</v>
      </c>
      <c r="Q123" s="87">
        <f>IF(Q32=0,0,1000000*Q32/TrRoad_act!Q66)</f>
        <v>261.29170680924273</v>
      </c>
      <c r="R123" s="87">
        <f>IF(R32=0,0,1000000*R32/TrRoad_act!R66)</f>
        <v>262.63042466971069</v>
      </c>
      <c r="S123" s="87">
        <f>IF(S32=0,0,1000000*S32/TrRoad_act!S66)</f>
        <v>259.68624046850505</v>
      </c>
      <c r="T123" s="87">
        <f>IF(T32=0,0,1000000*T32/TrRoad_act!T66)</f>
        <v>268.51804751945656</v>
      </c>
      <c r="U123" s="87">
        <f>IF(U32=0,0,1000000*U32/TrRoad_act!U66)</f>
        <v>275.73889374958185</v>
      </c>
      <c r="V123" s="87">
        <f>IF(V32=0,0,1000000*V32/TrRoad_act!V66)</f>
        <v>270.52867775885215</v>
      </c>
      <c r="W123" s="87">
        <f>IF(W32=0,0,1000000*W32/TrRoad_act!W66)</f>
        <v>283.60937688903306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42844.84524394686</v>
      </c>
      <c r="C124" s="116">
        <f>IF(C33=0,0,1000000*C33/TrRoad_act!C67)</f>
        <v>41938.047058206932</v>
      </c>
      <c r="D124" s="116">
        <f>IF(D33=0,0,1000000*D33/TrRoad_act!D67)</f>
        <v>41658.979724379875</v>
      </c>
      <c r="E124" s="116">
        <f>IF(E33=0,0,1000000*E33/TrRoad_act!E67)</f>
        <v>42975.260659874468</v>
      </c>
      <c r="F124" s="116">
        <f>IF(F33=0,0,1000000*F33/TrRoad_act!F67)</f>
        <v>43555.07300998189</v>
      </c>
      <c r="G124" s="116">
        <f>IF(G33=0,0,1000000*G33/TrRoad_act!G67)</f>
        <v>38408.742192939455</v>
      </c>
      <c r="H124" s="116">
        <f>IF(H33=0,0,1000000*H33/TrRoad_act!H67)</f>
        <v>39696.55265330636</v>
      </c>
      <c r="I124" s="116">
        <f>IF(I33=0,0,1000000*I33/TrRoad_act!I67)</f>
        <v>38824.084305154036</v>
      </c>
      <c r="J124" s="116">
        <f>IF(J33=0,0,1000000*J33/TrRoad_act!J67)</f>
        <v>38257.768340583825</v>
      </c>
      <c r="K124" s="116">
        <f>IF(K33=0,0,1000000*K33/TrRoad_act!K67)</f>
        <v>36824.499079424779</v>
      </c>
      <c r="L124" s="116">
        <f>IF(L33=0,0,1000000*L33/TrRoad_act!L67)</f>
        <v>37137.315723537446</v>
      </c>
      <c r="M124" s="116">
        <f>IF(M33=0,0,1000000*M33/TrRoad_act!M67)</f>
        <v>38790.780199180255</v>
      </c>
      <c r="N124" s="116">
        <f>IF(N33=0,0,1000000*N33/TrRoad_act!N67)</f>
        <v>38483.218268215132</v>
      </c>
      <c r="O124" s="116">
        <f>IF(O33=0,0,1000000*O33/TrRoad_act!O67)</f>
        <v>37605.051844510795</v>
      </c>
      <c r="P124" s="116">
        <f>IF(P33=0,0,1000000*P33/TrRoad_act!P67)</f>
        <v>35754.438425114204</v>
      </c>
      <c r="Q124" s="116">
        <f>IF(Q33=0,0,1000000*Q33/TrRoad_act!Q67)</f>
        <v>35423.832601435446</v>
      </c>
      <c r="R124" s="116">
        <f>IF(R33=0,0,1000000*R33/TrRoad_act!R67)</f>
        <v>35359.124374008439</v>
      </c>
      <c r="S124" s="116">
        <f>IF(S33=0,0,1000000*S33/TrRoad_act!S67)</f>
        <v>34070.572398998025</v>
      </c>
      <c r="T124" s="116">
        <f>IF(T33=0,0,1000000*T33/TrRoad_act!T67)</f>
        <v>34044.134619165707</v>
      </c>
      <c r="U124" s="116">
        <f>IF(U33=0,0,1000000*U33/TrRoad_act!U67)</f>
        <v>31846.340418026779</v>
      </c>
      <c r="V124" s="116">
        <f>IF(V33=0,0,1000000*V33/TrRoad_act!V67)</f>
        <v>31778.34925805575</v>
      </c>
      <c r="W124" s="116">
        <f>IF(W33=0,0,1000000*W33/TrRoad_act!W67)</f>
        <v>30665.656340087924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12253.965674717121</v>
      </c>
      <c r="C125" s="101">
        <f>IF(C34=0,0,1000000*C34/TrRoad_act!C68)</f>
        <v>12325.160537555366</v>
      </c>
      <c r="D125" s="101">
        <f>IF(D34=0,0,1000000*D34/TrRoad_act!D68)</f>
        <v>12817.039372705613</v>
      </c>
      <c r="E125" s="101">
        <f>IF(E34=0,0,1000000*E34/TrRoad_act!E68)</f>
        <v>13101.409749314111</v>
      </c>
      <c r="F125" s="101">
        <f>IF(F34=0,0,1000000*F34/TrRoad_act!F68)</f>
        <v>13299.258927726822</v>
      </c>
      <c r="G125" s="101">
        <f>IF(G34=0,0,1000000*G34/TrRoad_act!G68)</f>
        <v>12729.394356417395</v>
      </c>
      <c r="H125" s="101">
        <f>IF(H34=0,0,1000000*H34/TrRoad_act!H68)</f>
        <v>12124.41522716104</v>
      </c>
      <c r="I125" s="101">
        <f>IF(I34=0,0,1000000*I34/TrRoad_act!I68)</f>
        <v>11920.67935986942</v>
      </c>
      <c r="J125" s="101">
        <f>IF(J34=0,0,1000000*J34/TrRoad_act!J68)</f>
        <v>11308.3834615545</v>
      </c>
      <c r="K125" s="101">
        <f>IF(K34=0,0,1000000*K34/TrRoad_act!K68)</f>
        <v>10882.505742413423</v>
      </c>
      <c r="L125" s="101">
        <f>IF(L34=0,0,1000000*L34/TrRoad_act!L68)</f>
        <v>10086.273170000579</v>
      </c>
      <c r="M125" s="101">
        <f>IF(M34=0,0,1000000*M34/TrRoad_act!M68)</f>
        <v>9329.3929207997699</v>
      </c>
      <c r="N125" s="101">
        <f>IF(N34=0,0,1000000*N34/TrRoad_act!N68)</f>
        <v>9174.3779710988329</v>
      </c>
      <c r="O125" s="101">
        <f>IF(O34=0,0,1000000*O34/TrRoad_act!O68)</f>
        <v>8984.9260971144195</v>
      </c>
      <c r="P125" s="101">
        <f>IF(P34=0,0,1000000*P34/TrRoad_act!P68)</f>
        <v>8652.6653697607562</v>
      </c>
      <c r="Q125" s="101">
        <f>IF(Q34=0,0,1000000*Q34/TrRoad_act!Q68)</f>
        <v>8516.996266466318</v>
      </c>
      <c r="R125" s="101">
        <f>IF(R34=0,0,1000000*R34/TrRoad_act!R68)</f>
        <v>8631.6346127430697</v>
      </c>
      <c r="S125" s="101">
        <f>IF(S34=0,0,1000000*S34/TrRoad_act!S68)</f>
        <v>8487.0202558893016</v>
      </c>
      <c r="T125" s="101">
        <f>IF(T34=0,0,1000000*T34/TrRoad_act!T68)</f>
        <v>8610.5189125568158</v>
      </c>
      <c r="U125" s="101">
        <f>IF(U34=0,0,1000000*U34/TrRoad_act!U68)</f>
        <v>8372.5794238840881</v>
      </c>
      <c r="V125" s="101">
        <f>IF(V34=0,0,1000000*V34/TrRoad_act!V68)</f>
        <v>8595.1696914813911</v>
      </c>
      <c r="W125" s="101">
        <f>IF(W34=0,0,1000000*W34/TrRoad_act!W68)</f>
        <v>8427.5958838666629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44379.44063548313</v>
      </c>
      <c r="C126" s="101">
        <f>IF(C36=0,0,1000000*C36/TrRoad_act!C69)</f>
        <v>43312.755580737758</v>
      </c>
      <c r="D126" s="101">
        <f>IF(D36=0,0,1000000*D36/TrRoad_act!D69)</f>
        <v>42800.531816875708</v>
      </c>
      <c r="E126" s="101">
        <f>IF(E36=0,0,1000000*E36/TrRoad_act!E69)</f>
        <v>43726.933870579931</v>
      </c>
      <c r="F126" s="101">
        <f>IF(F36=0,0,1000000*F36/TrRoad_act!F69)</f>
        <v>44644.460949203443</v>
      </c>
      <c r="G126" s="101">
        <f>IF(G36=0,0,1000000*G36/TrRoad_act!G69)</f>
        <v>40890.358368129557</v>
      </c>
      <c r="H126" s="101">
        <f>IF(H36=0,0,1000000*H36/TrRoad_act!H69)</f>
        <v>40434.299231045261</v>
      </c>
      <c r="I126" s="101">
        <f>IF(I36=0,0,1000000*I36/TrRoad_act!I69)</f>
        <v>39777.409495479034</v>
      </c>
      <c r="J126" s="101">
        <f>IF(J36=0,0,1000000*J36/TrRoad_act!J69)</f>
        <v>38342.73834786821</v>
      </c>
      <c r="K126" s="101">
        <f>IF(K36=0,0,1000000*K36/TrRoad_act!K69)</f>
        <v>37800.427124325084</v>
      </c>
      <c r="L126" s="101">
        <f>IF(L36=0,0,1000000*L36/TrRoad_act!L69)</f>
        <v>38449.538348256705</v>
      </c>
      <c r="M126" s="101">
        <f>IF(M36=0,0,1000000*M36/TrRoad_act!M69)</f>
        <v>37830.0743549092</v>
      </c>
      <c r="N126" s="101">
        <f>IF(N36=0,0,1000000*N36/TrRoad_act!N69)</f>
        <v>37235.948767673239</v>
      </c>
      <c r="O126" s="101">
        <f>IF(O36=0,0,1000000*O36/TrRoad_act!O69)</f>
        <v>36896.518686789488</v>
      </c>
      <c r="P126" s="101">
        <f>IF(P36=0,0,1000000*P36/TrRoad_act!P69)</f>
        <v>34907.698301688382</v>
      </c>
      <c r="Q126" s="101">
        <f>IF(Q36=0,0,1000000*Q36/TrRoad_act!Q69)</f>
        <v>35275.929013810346</v>
      </c>
      <c r="R126" s="101">
        <f>IF(R36=0,0,1000000*R36/TrRoad_act!R69)</f>
        <v>35439.391802818798</v>
      </c>
      <c r="S126" s="101">
        <f>IF(S36=0,0,1000000*S36/TrRoad_act!S69)</f>
        <v>35328.23774320932</v>
      </c>
      <c r="T126" s="101">
        <f>IF(T36=0,0,1000000*T36/TrRoad_act!T69)</f>
        <v>34949.487214080094</v>
      </c>
      <c r="U126" s="101">
        <f>IF(U36=0,0,1000000*U36/TrRoad_act!U69)</f>
        <v>34479.684649585834</v>
      </c>
      <c r="V126" s="101">
        <f>IF(V36=0,0,1000000*V36/TrRoad_act!V69)</f>
        <v>36490.383636090883</v>
      </c>
      <c r="W126" s="101">
        <f>IF(W36=0,0,1000000*W36/TrRoad_act!W69)</f>
        <v>35875.858627551395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29841.687319811848</v>
      </c>
      <c r="C128" s="101">
        <f>IF(C39=0,0,1000000*C39/TrRoad_act!C71)</f>
        <v>27452.103147618403</v>
      </c>
      <c r="D128" s="101">
        <f>IF(D39=0,0,1000000*D39/TrRoad_act!D71)</f>
        <v>27986.039614612349</v>
      </c>
      <c r="E128" s="101">
        <f>IF(E39=0,0,1000000*E39/TrRoad_act!E71)</f>
        <v>38470.593986189102</v>
      </c>
      <c r="F128" s="101">
        <f>IF(F39=0,0,1000000*F39/TrRoad_act!F71)</f>
        <v>25441.680176732567</v>
      </c>
      <c r="G128" s="101">
        <f>IF(G39=0,0,1000000*G39/TrRoad_act!G71)</f>
        <v>9354.3112271026457</v>
      </c>
      <c r="H128" s="101">
        <f>IF(H39=0,0,1000000*H39/TrRoad_act!H71)</f>
        <v>28791.910006781021</v>
      </c>
      <c r="I128" s="101">
        <f>IF(I39=0,0,1000000*I39/TrRoad_act!I71)</f>
        <v>24344.922894041476</v>
      </c>
      <c r="J128" s="101">
        <f>IF(J39=0,0,1000000*J39/TrRoad_act!J71)</f>
        <v>40023.370990863092</v>
      </c>
      <c r="K128" s="101">
        <f>IF(K39=0,0,1000000*K39/TrRoad_act!K71)</f>
        <v>28169.945468666334</v>
      </c>
      <c r="L128" s="101">
        <f>IF(L39=0,0,1000000*L39/TrRoad_act!L71)</f>
        <v>25327.675419045638</v>
      </c>
      <c r="M128" s="101">
        <f>IF(M39=0,0,1000000*M39/TrRoad_act!M71)</f>
        <v>46950.705530587242</v>
      </c>
      <c r="N128" s="101">
        <f>IF(N39=0,0,1000000*N39/TrRoad_act!N71)</f>
        <v>47641.586864905847</v>
      </c>
      <c r="O128" s="101">
        <f>IF(O39=0,0,1000000*O39/TrRoad_act!O71)</f>
        <v>42258.424909199806</v>
      </c>
      <c r="P128" s="101">
        <f>IF(P39=0,0,1000000*P39/TrRoad_act!P71)</f>
        <v>40754.783630185309</v>
      </c>
      <c r="Q128" s="101">
        <f>IF(Q39=0,0,1000000*Q39/TrRoad_act!Q71)</f>
        <v>36854.832348722761</v>
      </c>
      <c r="R128" s="101">
        <f>IF(R39=0,0,1000000*R39/TrRoad_act!R71)</f>
        <v>35835.597630520308</v>
      </c>
      <c r="S128" s="101">
        <f>IF(S39=0,0,1000000*S39/TrRoad_act!S71)</f>
        <v>29023.484638434416</v>
      </c>
      <c r="T128" s="101">
        <f>IF(T39=0,0,1000000*T39/TrRoad_act!T71)</f>
        <v>30988.470498266313</v>
      </c>
      <c r="U128" s="101">
        <f>IF(U39=0,0,1000000*U39/TrRoad_act!U71)</f>
        <v>21737.854846533104</v>
      </c>
      <c r="V128" s="101">
        <f>IF(V39=0,0,1000000*V39/TrRoad_act!V71)</f>
        <v>17741.424842944925</v>
      </c>
      <c r="W128" s="101">
        <f>IF(W39=0,0,1000000*W39/TrRoad_act!W71)</f>
        <v>15346.09018925155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18258.665465425132</v>
      </c>
      <c r="C129" s="101">
        <f>IF(C41=0,0,1000000*C41/TrRoad_act!C72)</f>
        <v>17687.022571402631</v>
      </c>
      <c r="D129" s="101">
        <f>IF(D41=0,0,1000000*D41/TrRoad_act!D72)</f>
        <v>17667.178756023892</v>
      </c>
      <c r="E129" s="101">
        <f>IF(E41=0,0,1000000*E41/TrRoad_act!E72)</f>
        <v>17408.26402210048</v>
      </c>
      <c r="F129" s="101">
        <f>IF(F41=0,0,1000000*F41/TrRoad_act!F72)</f>
        <v>17417.038592241111</v>
      </c>
      <c r="G129" s="101">
        <f>IF(G41=0,0,1000000*G41/TrRoad_act!G72)</f>
        <v>17307.531824665784</v>
      </c>
      <c r="H129" s="101">
        <f>IF(H41=0,0,1000000*H41/TrRoad_act!H72)</f>
        <v>17283.384762865888</v>
      </c>
      <c r="I129" s="101">
        <f>IF(I41=0,0,1000000*I41/TrRoad_act!I72)</f>
        <v>17249.905583946304</v>
      </c>
      <c r="J129" s="101">
        <f>IF(J41=0,0,1000000*J41/TrRoad_act!J72)</f>
        <v>17403.954296364947</v>
      </c>
      <c r="K129" s="101">
        <f>IF(K41=0,0,1000000*K41/TrRoad_act!K72)</f>
        <v>17422.614206254602</v>
      </c>
      <c r="L129" s="101">
        <f>IF(L41=0,0,1000000*L41/TrRoad_act!L72)</f>
        <v>17630.164581467485</v>
      </c>
      <c r="M129" s="101">
        <f>IF(M41=0,0,1000000*M41/TrRoad_act!M72)</f>
        <v>17702.486174098318</v>
      </c>
      <c r="N129" s="101">
        <f>IF(N41=0,0,1000000*N41/TrRoad_act!N72)</f>
        <v>16867.464074513595</v>
      </c>
      <c r="O129" s="101">
        <f>IF(O41=0,0,1000000*O41/TrRoad_act!O72)</f>
        <v>16762.551880502448</v>
      </c>
      <c r="P129" s="101">
        <f>IF(P41=0,0,1000000*P41/TrRoad_act!P72)</f>
        <v>16589.168396993002</v>
      </c>
      <c r="Q129" s="101">
        <f>IF(Q41=0,0,1000000*Q41/TrRoad_act!Q72)</f>
        <v>16586.260371564913</v>
      </c>
      <c r="R129" s="101">
        <f>IF(R41=0,0,1000000*R41/TrRoad_act!R72)</f>
        <v>16590.737167624007</v>
      </c>
      <c r="S129" s="101">
        <f>IF(S41=0,0,1000000*S41/TrRoad_act!S72)</f>
        <v>16531.4293649586</v>
      </c>
      <c r="T129" s="101">
        <f>IF(T41=0,0,1000000*T41/TrRoad_act!T72)</f>
        <v>16536.321951746751</v>
      </c>
      <c r="U129" s="101">
        <f>IF(U41=0,0,1000000*U41/TrRoad_act!U72)</f>
        <v>16410.427983188831</v>
      </c>
      <c r="V129" s="101">
        <f>IF(V41=0,0,1000000*V41/TrRoad_act!V72)</f>
        <v>16239.441617361748</v>
      </c>
      <c r="W129" s="101">
        <f>IF(W41=0,0,1000000*W41/TrRoad_act!W72)</f>
        <v>16319.734923337648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1335.098260265783</v>
      </c>
      <c r="C131" s="152">
        <f>IF(C43=0,0,1000000*C43/TrRoad_act!C74)</f>
        <v>1380.0324821187094</v>
      </c>
      <c r="D131" s="152">
        <f>IF(D43=0,0,1000000*D43/TrRoad_act!D74)</f>
        <v>1389.9961927258828</v>
      </c>
      <c r="E131" s="152">
        <f>IF(E43=0,0,1000000*E43/TrRoad_act!E74)</f>
        <v>1449.8527604649671</v>
      </c>
      <c r="F131" s="152">
        <f>IF(F43=0,0,1000000*F43/TrRoad_act!F74)</f>
        <v>1541.5139881571076</v>
      </c>
      <c r="G131" s="152">
        <f>IF(G43=0,0,1000000*G43/TrRoad_act!G74)</f>
        <v>1318.0558815243501</v>
      </c>
      <c r="H131" s="152">
        <f>IF(H43=0,0,1000000*H43/TrRoad_act!H74)</f>
        <v>1360.4736473159037</v>
      </c>
      <c r="I131" s="152">
        <f>IF(I43=0,0,1000000*I43/TrRoad_act!I74)</f>
        <v>1324.6446470855021</v>
      </c>
      <c r="J131" s="152">
        <f>IF(J43=0,0,1000000*J43/TrRoad_act!J74)</f>
        <v>1323.9758107059447</v>
      </c>
      <c r="K131" s="152">
        <f>IF(K43=0,0,1000000*K43/TrRoad_act!K74)</f>
        <v>1295.8340321435169</v>
      </c>
      <c r="L131" s="152">
        <f>IF(L43=0,0,1000000*L43/TrRoad_act!L74)</f>
        <v>1376.9410641894622</v>
      </c>
      <c r="M131" s="152">
        <f>IF(M43=0,0,1000000*M43/TrRoad_act!M74)</f>
        <v>1320.0356982231608</v>
      </c>
      <c r="N131" s="152">
        <f>IF(N43=0,0,1000000*N43/TrRoad_act!N74)</f>
        <v>1275.6668315852839</v>
      </c>
      <c r="O131" s="152">
        <f>IF(O43=0,0,1000000*O43/TrRoad_act!O74)</f>
        <v>1220.3756496981161</v>
      </c>
      <c r="P131" s="152">
        <f>IF(P43=0,0,1000000*P43/TrRoad_act!P74)</f>
        <v>1147.7007878264837</v>
      </c>
      <c r="Q131" s="152">
        <f>IF(Q43=0,0,1000000*Q43/TrRoad_act!Q74)</f>
        <v>1162.9310920390146</v>
      </c>
      <c r="R131" s="152">
        <f>IF(R43=0,0,1000000*R43/TrRoad_act!R74)</f>
        <v>1100.7868851318203</v>
      </c>
      <c r="S131" s="152">
        <f>IF(S43=0,0,1000000*S43/TrRoad_act!S74)</f>
        <v>1137.6225871443482</v>
      </c>
      <c r="T131" s="152">
        <f>IF(T43=0,0,1000000*T43/TrRoad_act!T74)</f>
        <v>1052.8429938374697</v>
      </c>
      <c r="U131" s="152">
        <f>IF(U43=0,0,1000000*U43/TrRoad_act!U74)</f>
        <v>1048.1655666234474</v>
      </c>
      <c r="V131" s="152">
        <f>IF(V43=0,0,1000000*V43/TrRoad_act!V74)</f>
        <v>1062.612350396357</v>
      </c>
      <c r="W131" s="152">
        <f>IF(W43=0,0,1000000*W43/TrRoad_act!W74)</f>
        <v>1065.8919346962925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916.77270941517861</v>
      </c>
      <c r="C132" s="87">
        <f>IF(C44=0,0,1000000*C44/TrRoad_act!C75)</f>
        <v>918.25543127843389</v>
      </c>
      <c r="D132" s="87">
        <f>IF(D44=0,0,1000000*D44/TrRoad_act!D75)</f>
        <v>891.53266047680825</v>
      </c>
      <c r="E132" s="87">
        <f>IF(E44=0,0,1000000*E44/TrRoad_act!E75)</f>
        <v>836.73240975471674</v>
      </c>
      <c r="F132" s="87">
        <f>IF(F44=0,0,1000000*F44/TrRoad_act!F75)</f>
        <v>794.18002902503815</v>
      </c>
      <c r="G132" s="87">
        <f>IF(G44=0,0,1000000*G44/TrRoad_act!G75)</f>
        <v>780.26175879165282</v>
      </c>
      <c r="H132" s="87">
        <f>IF(H44=0,0,1000000*H44/TrRoad_act!H75)</f>
        <v>740.40502619663221</v>
      </c>
      <c r="I132" s="87">
        <f>IF(I44=0,0,1000000*I44/TrRoad_act!I75)</f>
        <v>733.4305054409615</v>
      </c>
      <c r="J132" s="87">
        <f>IF(J44=0,0,1000000*J44/TrRoad_act!J75)</f>
        <v>713.91233166282473</v>
      </c>
      <c r="K132" s="87">
        <f>IF(K44=0,0,1000000*K44/TrRoad_act!K75)</f>
        <v>695.32788044001893</v>
      </c>
      <c r="L132" s="87">
        <f>IF(L44=0,0,1000000*L44/TrRoad_act!L75)</f>
        <v>662.05300630321665</v>
      </c>
      <c r="M132" s="87">
        <f>IF(M44=0,0,1000000*M44/TrRoad_act!M75)</f>
        <v>669.06096774652303</v>
      </c>
      <c r="N132" s="87">
        <f>IF(N44=0,0,1000000*N44/TrRoad_act!N75)</f>
        <v>655.21462307214711</v>
      </c>
      <c r="O132" s="87">
        <f>IF(O44=0,0,1000000*O44/TrRoad_act!O75)</f>
        <v>640.70388509537213</v>
      </c>
      <c r="P132" s="87">
        <f>IF(P44=0,0,1000000*P44/TrRoad_act!P75)</f>
        <v>629.95000051548777</v>
      </c>
      <c r="Q132" s="87">
        <f>IF(Q44=0,0,1000000*Q44/TrRoad_act!Q75)</f>
        <v>649.47520298589654</v>
      </c>
      <c r="R132" s="87">
        <f>IF(R44=0,0,1000000*R44/TrRoad_act!R75)</f>
        <v>574.86796939829821</v>
      </c>
      <c r="S132" s="87">
        <f>IF(S44=0,0,1000000*S44/TrRoad_act!S75)</f>
        <v>528.87636768980315</v>
      </c>
      <c r="T132" s="87">
        <f>IF(T44=0,0,1000000*T44/TrRoad_act!T75)</f>
        <v>525.74938651885316</v>
      </c>
      <c r="U132" s="87">
        <f>IF(U44=0,0,1000000*U44/TrRoad_act!U75)</f>
        <v>518.30201421681113</v>
      </c>
      <c r="V132" s="87">
        <f>IF(V44=0,0,1000000*V44/TrRoad_act!V75)</f>
        <v>522.36814379288933</v>
      </c>
      <c r="W132" s="87">
        <f>IF(W44=0,0,1000000*W44/TrRoad_act!W75)</f>
        <v>563.88169471869048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1964.8093540448153</v>
      </c>
      <c r="C133" s="87">
        <f>IF(C46=0,0,1000000*C46/TrRoad_act!C76)</f>
        <v>1924.4213620360376</v>
      </c>
      <c r="D133" s="87">
        <f>IF(D46=0,0,1000000*D46/TrRoad_act!D76)</f>
        <v>1876.9476129095826</v>
      </c>
      <c r="E133" s="87">
        <f>IF(E46=0,0,1000000*E46/TrRoad_act!E76)</f>
        <v>1949.0540082425525</v>
      </c>
      <c r="F133" s="87">
        <f>IF(F46=0,0,1000000*F46/TrRoad_act!F76)</f>
        <v>2042.3210685185713</v>
      </c>
      <c r="G133" s="87">
        <f>IF(G46=0,0,1000000*G46/TrRoad_act!G76)</f>
        <v>1617.3815944367889</v>
      </c>
      <c r="H133" s="87">
        <f>IF(H46=0,0,1000000*H46/TrRoad_act!H76)</f>
        <v>1651.2203982271003</v>
      </c>
      <c r="I133" s="87">
        <f>IF(I46=0,0,1000000*I46/TrRoad_act!I76)</f>
        <v>1556.8054863728082</v>
      </c>
      <c r="J133" s="87">
        <f>IF(J46=0,0,1000000*J46/TrRoad_act!J76)</f>
        <v>1532.4464085522775</v>
      </c>
      <c r="K133" s="87">
        <f>IF(K46=0,0,1000000*K46/TrRoad_act!K76)</f>
        <v>1482.173684962816</v>
      </c>
      <c r="L133" s="87">
        <f>IF(L46=0,0,1000000*L46/TrRoad_act!L76)</f>
        <v>1575.1132988237371</v>
      </c>
      <c r="M133" s="87">
        <f>IF(M46=0,0,1000000*M46/TrRoad_act!M76)</f>
        <v>1472.0816132554276</v>
      </c>
      <c r="N133" s="87">
        <f>IF(N46=0,0,1000000*N46/TrRoad_act!N76)</f>
        <v>1402.116352686292</v>
      </c>
      <c r="O133" s="87">
        <f>IF(O46=0,0,1000000*O46/TrRoad_act!O76)</f>
        <v>1320.4619115554035</v>
      </c>
      <c r="P133" s="87">
        <f>IF(P46=0,0,1000000*P46/TrRoad_act!P76)</f>
        <v>1228.0732833402899</v>
      </c>
      <c r="Q133" s="87">
        <f>IF(Q46=0,0,1000000*Q46/TrRoad_act!Q76)</f>
        <v>1234.319706235141</v>
      </c>
      <c r="R133" s="87">
        <f>IF(R46=0,0,1000000*R46/TrRoad_act!R76)</f>
        <v>1165.5982207086324</v>
      </c>
      <c r="S133" s="87">
        <f>IF(S46=0,0,1000000*S46/TrRoad_act!S76)</f>
        <v>1205.8133280967343</v>
      </c>
      <c r="T133" s="87">
        <f>IF(T46=0,0,1000000*T46/TrRoad_act!T76)</f>
        <v>1111.8457456493095</v>
      </c>
      <c r="U133" s="87">
        <f>IF(U46=0,0,1000000*U46/TrRoad_act!U76)</f>
        <v>1107.5619303932997</v>
      </c>
      <c r="V133" s="87">
        <f>IF(V46=0,0,1000000*V46/TrRoad_act!V76)</f>
        <v>1125.407879541483</v>
      </c>
      <c r="W133" s="87">
        <f>IF(W46=0,0,1000000*W46/TrRoad_act!W76)</f>
        <v>1127.6159215989867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0</v>
      </c>
      <c r="T134" s="87">
        <f>IF(T48=0,0,1000000*T48/TrRoad_act!T77)</f>
        <v>0</v>
      </c>
      <c r="U134" s="87">
        <f>IF(U48=0,0,1000000*U48/TrRoad_act!U77)</f>
        <v>0</v>
      </c>
      <c r="V134" s="87">
        <f>IF(V48=0,0,1000000*V48/TrRoad_act!V77)</f>
        <v>0</v>
      </c>
      <c r="W134" s="87">
        <f>IF(W48=0,0,1000000*W48/TrRoad_act!W77)</f>
        <v>0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702.64108481655921</v>
      </c>
      <c r="D135" s="87">
        <f>IF(D49=0,0,1000000*D49/TrRoad_act!D78)</f>
        <v>736.45673756995006</v>
      </c>
      <c r="E135" s="87">
        <f>IF(E49=0,0,1000000*E49/TrRoad_act!E78)</f>
        <v>764.48643081213493</v>
      </c>
      <c r="F135" s="87">
        <f>IF(F49=0,0,1000000*F49/TrRoad_act!F78)</f>
        <v>807.06711006900696</v>
      </c>
      <c r="G135" s="87">
        <f>IF(G49=0,0,1000000*G49/TrRoad_act!G78)</f>
        <v>709.95565562423974</v>
      </c>
      <c r="H135" s="87">
        <f>IF(H49=0,0,1000000*H49/TrRoad_act!H78)</f>
        <v>724.72716690109212</v>
      </c>
      <c r="I135" s="87">
        <f>IF(I49=0,0,1000000*I49/TrRoad_act!I78)</f>
        <v>712.3876120058527</v>
      </c>
      <c r="J135" s="87">
        <f>IF(J49=0,0,1000000*J49/TrRoad_act!J78)</f>
        <v>692.51802956163749</v>
      </c>
      <c r="K135" s="87">
        <f>IF(K49=0,0,1000000*K49/TrRoad_act!K78)</f>
        <v>661.87860547953574</v>
      </c>
      <c r="L135" s="87">
        <f>IF(L49=0,0,1000000*L49/TrRoad_act!L78)</f>
        <v>674.70696174373722</v>
      </c>
      <c r="M135" s="87">
        <f>IF(M49=0,0,1000000*M49/TrRoad_act!M78)</f>
        <v>640.61976398172374</v>
      </c>
      <c r="N135" s="87">
        <f>IF(N49=0,0,1000000*N49/TrRoad_act!N78)</f>
        <v>677.23091945740032</v>
      </c>
      <c r="O135" s="87">
        <f>IF(O49=0,0,1000000*O49/TrRoad_act!O78)</f>
        <v>689.0674910750854</v>
      </c>
      <c r="P135" s="87">
        <f>IF(P49=0,0,1000000*P49/TrRoad_act!P78)</f>
        <v>712.40882096067071</v>
      </c>
      <c r="Q135" s="87">
        <f>IF(Q49=0,0,1000000*Q49/TrRoad_act!Q78)</f>
        <v>753.85553106621262</v>
      </c>
      <c r="R135" s="87">
        <f>IF(R49=0,0,1000000*R49/TrRoad_act!R78)</f>
        <v>746.81210070995246</v>
      </c>
      <c r="S135" s="87">
        <f>IF(S49=0,0,1000000*S49/TrRoad_act!S78)</f>
        <v>770.42825184052697</v>
      </c>
      <c r="T135" s="87">
        <f>IF(T49=0,0,1000000*T49/TrRoad_act!T78)</f>
        <v>723.26275009111168</v>
      </c>
      <c r="U135" s="87">
        <f>IF(U49=0,0,1000000*U49/TrRoad_act!U78)</f>
        <v>716.53937547852047</v>
      </c>
      <c r="V135" s="87">
        <f>IF(V49=0,0,1000000*V49/TrRoad_act!V78)</f>
        <v>707.93607535944511</v>
      </c>
      <c r="W135" s="87">
        <f>IF(W49=0,0,1000000*W49/TrRoad_act!W78)</f>
        <v>712.31199890912296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123.6445421725429</v>
      </c>
      <c r="H136" s="87">
        <f>IF(H51=0,0,1000000*H51/TrRoad_act!H79)</f>
        <v>123.75302412544626</v>
      </c>
      <c r="I136" s="87">
        <f>IF(I51=0,0,1000000*I51/TrRoad_act!I79)</f>
        <v>123.81532014369603</v>
      </c>
      <c r="J136" s="87">
        <f>IF(J51=0,0,1000000*J51/TrRoad_act!J79)</f>
        <v>123.87100066799655</v>
      </c>
      <c r="K136" s="87">
        <f>IF(K51=0,0,1000000*K51/TrRoad_act!K79)</f>
        <v>123.89177316421453</v>
      </c>
      <c r="L136" s="87">
        <f>IF(L51=0,0,1000000*L51/TrRoad_act!L79)</f>
        <v>124.21507872341151</v>
      </c>
      <c r="M136" s="87">
        <f>IF(M51=0,0,1000000*M51/TrRoad_act!M79)</f>
        <v>124.45687297580299</v>
      </c>
      <c r="N136" s="87">
        <f>IF(N51=0,0,1000000*N51/TrRoad_act!N79)</f>
        <v>125.68035268493277</v>
      </c>
      <c r="O136" s="87">
        <f>IF(O51=0,0,1000000*O51/TrRoad_act!O79)</f>
        <v>126.50891636776214</v>
      </c>
      <c r="P136" s="87">
        <f>IF(P51=0,0,1000000*P51/TrRoad_act!P79)</f>
        <v>128.56519875483798</v>
      </c>
      <c r="Q136" s="87">
        <f>IF(Q51=0,0,1000000*Q51/TrRoad_act!Q79)</f>
        <v>132.41753286618729</v>
      </c>
      <c r="R136" s="87">
        <f>IF(R51=0,0,1000000*R51/TrRoad_act!R79)</f>
        <v>133.91524041659304</v>
      </c>
      <c r="S136" s="87">
        <f>IF(S51=0,0,1000000*S51/TrRoad_act!S79)</f>
        <v>135.30248419877151</v>
      </c>
      <c r="T136" s="87">
        <f>IF(T51=0,0,1000000*T51/TrRoad_act!T79)</f>
        <v>143.60515968977094</v>
      </c>
      <c r="U136" s="87">
        <f>IF(U51=0,0,1000000*U51/TrRoad_act!U79)</f>
        <v>156.48896100138035</v>
      </c>
      <c r="V136" s="87">
        <f>IF(V51=0,0,1000000*V51/TrRoad_act!V79)</f>
        <v>178.89974859051509</v>
      </c>
      <c r="W136" s="87">
        <f>IF(W51=0,0,1000000*W51/TrRoad_act!W79)</f>
        <v>192.54270656760463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15913.370812706587</v>
      </c>
      <c r="C137" s="116">
        <f>IF(C52=0,0,1000000*C52/TrRoad_act!C80)</f>
        <v>15951.478632850871</v>
      </c>
      <c r="D137" s="116">
        <f>IF(D52=0,0,1000000*D52/TrRoad_act!D80)</f>
        <v>15976.289628355853</v>
      </c>
      <c r="E137" s="116">
        <f>IF(E52=0,0,1000000*E52/TrRoad_act!E80)</f>
        <v>16622.283268909534</v>
      </c>
      <c r="F137" s="116">
        <f>IF(F52=0,0,1000000*F52/TrRoad_act!F80)</f>
        <v>17797.816260624528</v>
      </c>
      <c r="G137" s="116">
        <f>IF(G52=0,0,1000000*G52/TrRoad_act!G80)</f>
        <v>17085.267413543163</v>
      </c>
      <c r="H137" s="116">
        <f>IF(H52=0,0,1000000*H52/TrRoad_act!H80)</f>
        <v>16960.167104783191</v>
      </c>
      <c r="I137" s="116">
        <f>IF(I52=0,0,1000000*I52/TrRoad_act!I80)</f>
        <v>16877.030400840948</v>
      </c>
      <c r="J137" s="116">
        <f>IF(J52=0,0,1000000*J52/TrRoad_act!J80)</f>
        <v>17182.764959908549</v>
      </c>
      <c r="K137" s="116">
        <f>IF(K52=0,0,1000000*K52/TrRoad_act!K80)</f>
        <v>15665.4859638793</v>
      </c>
      <c r="L137" s="116">
        <f>IF(L52=0,0,1000000*L52/TrRoad_act!L80)</f>
        <v>16432.265334046027</v>
      </c>
      <c r="M137" s="116">
        <f>IF(M52=0,0,1000000*M52/TrRoad_act!M80)</f>
        <v>15128.786564205462</v>
      </c>
      <c r="N137" s="116">
        <f>IF(N52=0,0,1000000*N52/TrRoad_act!N80)</f>
        <v>13185.987333720399</v>
      </c>
      <c r="O137" s="116">
        <f>IF(O52=0,0,1000000*O52/TrRoad_act!O80)</f>
        <v>13515.916828920323</v>
      </c>
      <c r="P137" s="116">
        <f>IF(P52=0,0,1000000*P52/TrRoad_act!P80)</f>
        <v>13836.5271456052</v>
      </c>
      <c r="Q137" s="116">
        <f>IF(Q52=0,0,1000000*Q52/TrRoad_act!Q80)</f>
        <v>13549.695042369778</v>
      </c>
      <c r="R137" s="116">
        <f>IF(R52=0,0,1000000*R52/TrRoad_act!R80)</f>
        <v>12177.627001274501</v>
      </c>
      <c r="S137" s="116">
        <f>IF(S52=0,0,1000000*S52/TrRoad_act!S80)</f>
        <v>12308.016344255318</v>
      </c>
      <c r="T137" s="116">
        <f>IF(T52=0,0,1000000*T52/TrRoad_act!T80)</f>
        <v>11381.929949745008</v>
      </c>
      <c r="U137" s="116">
        <f>IF(U52=0,0,1000000*U52/TrRoad_act!U80)</f>
        <v>11475.337201730545</v>
      </c>
      <c r="V137" s="116">
        <f>IF(V52=0,0,1000000*V52/TrRoad_act!V80)</f>
        <v>12209.602977835197</v>
      </c>
      <c r="W137" s="116">
        <f>IF(W52=0,0,1000000*W52/TrRoad_act!W80)</f>
        <v>12841.246248241394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13697.261873920026</v>
      </c>
      <c r="C138" s="101">
        <f>IF(C53=0,0,1000000*C53/TrRoad_act!C81)</f>
        <v>13592.771740764409</v>
      </c>
      <c r="D138" s="101">
        <f>IF(D53=0,0,1000000*D53/TrRoad_act!D81)</f>
        <v>13610.752465312306</v>
      </c>
      <c r="E138" s="101">
        <f>IF(E53=0,0,1000000*E53/TrRoad_act!E81)</f>
        <v>14071.925546408618</v>
      </c>
      <c r="F138" s="101">
        <f>IF(F53=0,0,1000000*F53/TrRoad_act!F81)</f>
        <v>14801.015022799113</v>
      </c>
      <c r="G138" s="101">
        <f>IF(G53=0,0,1000000*G53/TrRoad_act!G81)</f>
        <v>14408.879152069083</v>
      </c>
      <c r="H138" s="101">
        <f>IF(H53=0,0,1000000*H53/TrRoad_act!H81)</f>
        <v>14104.065635511946</v>
      </c>
      <c r="I138" s="101">
        <f>IF(I53=0,0,1000000*I53/TrRoad_act!I81)</f>
        <v>14152.618860875855</v>
      </c>
      <c r="J138" s="101">
        <f>IF(J53=0,0,1000000*J53/TrRoad_act!J81)</f>
        <v>14629.2126343773</v>
      </c>
      <c r="K138" s="101">
        <f>IF(K53=0,0,1000000*K53/TrRoad_act!K81)</f>
        <v>13494.639709528019</v>
      </c>
      <c r="L138" s="101">
        <f>IF(L53=0,0,1000000*L53/TrRoad_act!L81)</f>
        <v>14060.08094926963</v>
      </c>
      <c r="M138" s="101">
        <f>IF(M53=0,0,1000000*M53/TrRoad_act!M81)</f>
        <v>12821.691271221274</v>
      </c>
      <c r="N138" s="101">
        <f>IF(N53=0,0,1000000*N53/TrRoad_act!N81)</f>
        <v>10991.039905942431</v>
      </c>
      <c r="O138" s="101">
        <f>IF(O53=0,0,1000000*O53/TrRoad_act!O81)</f>
        <v>11094.745990106401</v>
      </c>
      <c r="P138" s="101">
        <f>IF(P53=0,0,1000000*P53/TrRoad_act!P81)</f>
        <v>12084.663065330898</v>
      </c>
      <c r="Q138" s="101">
        <f>IF(Q53=0,0,1000000*Q53/TrRoad_act!Q81)</f>
        <v>11626.389808195101</v>
      </c>
      <c r="R138" s="101">
        <f>IF(R53=0,0,1000000*R53/TrRoad_act!R81)</f>
        <v>10323.040564336459</v>
      </c>
      <c r="S138" s="101">
        <f>IF(S53=0,0,1000000*S53/TrRoad_act!S81)</f>
        <v>10431.679072495257</v>
      </c>
      <c r="T138" s="101">
        <f>IF(T53=0,0,1000000*T53/TrRoad_act!T81)</f>
        <v>9675.6768799373494</v>
      </c>
      <c r="U138" s="101">
        <f>IF(U53=0,0,1000000*U53/TrRoad_act!U81)</f>
        <v>9784.8741480743265</v>
      </c>
      <c r="V138" s="101">
        <f>IF(V53=0,0,1000000*V53/TrRoad_act!V81)</f>
        <v>10326.094856711545</v>
      </c>
      <c r="W138" s="101">
        <f>IF(W53=0,0,1000000*W53/TrRoad_act!W81)</f>
        <v>10837.356916368404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42280.245674085578</v>
      </c>
      <c r="C139" s="88">
        <f>IF(C55=0,0,1000000*C55/TrRoad_act!C82)</f>
        <v>41996.18397419824</v>
      </c>
      <c r="D139" s="88">
        <f>IF(D55=0,0,1000000*D55/TrRoad_act!D82)</f>
        <v>40295.891113804319</v>
      </c>
      <c r="E139" s="88">
        <f>IF(E55=0,0,1000000*E55/TrRoad_act!E82)</f>
        <v>41781.795737562803</v>
      </c>
      <c r="F139" s="88">
        <f>IF(F55=0,0,1000000*F55/TrRoad_act!F82)</f>
        <v>43010.143230839494</v>
      </c>
      <c r="G139" s="88">
        <f>IF(G55=0,0,1000000*G55/TrRoad_act!G82)</f>
        <v>39121.434932032891</v>
      </c>
      <c r="H139" s="88">
        <f>IF(H55=0,0,1000000*H55/TrRoad_act!H82)</f>
        <v>39306.259051226851</v>
      </c>
      <c r="I139" s="88">
        <f>IF(I55=0,0,1000000*I55/TrRoad_act!I82)</f>
        <v>38303.799179961308</v>
      </c>
      <c r="J139" s="88">
        <f>IF(J55=0,0,1000000*J55/TrRoad_act!J82)</f>
        <v>37766.830760916302</v>
      </c>
      <c r="K139" s="88">
        <f>IF(K55=0,0,1000000*K55/TrRoad_act!K82)</f>
        <v>37530.700978405475</v>
      </c>
      <c r="L139" s="88">
        <f>IF(L55=0,0,1000000*L55/TrRoad_act!L82)</f>
        <v>38429.766793223331</v>
      </c>
      <c r="M139" s="88">
        <f>IF(M55=0,0,1000000*M55/TrRoad_act!M82)</f>
        <v>37933.121072276263</v>
      </c>
      <c r="N139" s="88">
        <f>IF(N55=0,0,1000000*N55/TrRoad_act!N82)</f>
        <v>35733.8504987302</v>
      </c>
      <c r="O139" s="88">
        <f>IF(O55=0,0,1000000*O55/TrRoad_act!O82)</f>
        <v>33707.082934772909</v>
      </c>
      <c r="P139" s="88">
        <f>IF(P55=0,0,1000000*P55/TrRoad_act!P82)</f>
        <v>29216.50136553765</v>
      </c>
      <c r="Q139" s="88">
        <f>IF(Q55=0,0,1000000*Q55/TrRoad_act!Q82)</f>
        <v>28380.600946936796</v>
      </c>
      <c r="R139" s="88">
        <f>IF(R55=0,0,1000000*R55/TrRoad_act!R82)</f>
        <v>25875.881262842937</v>
      </c>
      <c r="S139" s="88">
        <f>IF(S55=0,0,1000000*S55/TrRoad_act!S82)</f>
        <v>26668.198150559645</v>
      </c>
      <c r="T139" s="88">
        <f>IF(T55=0,0,1000000*T55/TrRoad_act!T82)</f>
        <v>24446.573009496191</v>
      </c>
      <c r="U139" s="88">
        <f>IF(U55=0,0,1000000*U55/TrRoad_act!U82)</f>
        <v>25288.611691097329</v>
      </c>
      <c r="V139" s="88">
        <f>IF(V55=0,0,1000000*V55/TrRoad_act!V82)</f>
        <v>27121.171848486367</v>
      </c>
      <c r="W139" s="88">
        <f>IF(W55=0,0,1000000*W55/TrRoad_act!W82)</f>
        <v>27393.374671773639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0.75274346159825511</v>
      </c>
      <c r="C142" s="46">
        <f t="shared" si="41"/>
        <v>0.74509040831187023</v>
      </c>
      <c r="D142" s="46">
        <f t="shared" si="41"/>
        <v>0.7491886262241032</v>
      </c>
      <c r="E142" s="46">
        <f t="shared" si="41"/>
        <v>0.74298436586133265</v>
      </c>
      <c r="F142" s="46">
        <f t="shared" si="41"/>
        <v>0.72386660713786832</v>
      </c>
      <c r="G142" s="46">
        <f t="shared" si="41"/>
        <v>0.72365298484442786</v>
      </c>
      <c r="H142" s="46">
        <f t="shared" si="41"/>
        <v>0.71699809208907461</v>
      </c>
      <c r="I142" s="46">
        <f t="shared" si="41"/>
        <v>0.71572540022619535</v>
      </c>
      <c r="J142" s="46">
        <f t="shared" si="41"/>
        <v>0.71125351042430751</v>
      </c>
      <c r="K142" s="46">
        <f t="shared" si="41"/>
        <v>0.72853038885048982</v>
      </c>
      <c r="L142" s="46">
        <f t="shared" ref="L142" si="42">IF(L18=0,0,L18/L$17)</f>
        <v>0.71715038657120189</v>
      </c>
      <c r="M142" s="46">
        <f t="shared" ref="M142:V142" si="43">IF(M18=0,0,M18/M$17)</f>
        <v>0.72226996757813322</v>
      </c>
      <c r="N142" s="46">
        <f t="shared" si="43"/>
        <v>0.73800002915112539</v>
      </c>
      <c r="O142" s="46">
        <f t="shared" si="43"/>
        <v>0.74164334378600194</v>
      </c>
      <c r="P142" s="46">
        <f t="shared" si="43"/>
        <v>0.74170911407638773</v>
      </c>
      <c r="Q142" s="46">
        <f t="shared" si="43"/>
        <v>0.74510572578063305</v>
      </c>
      <c r="R142" s="46">
        <f t="shared" si="43"/>
        <v>0.75631118325336366</v>
      </c>
      <c r="S142" s="46">
        <f t="shared" si="43"/>
        <v>0.74988091071426877</v>
      </c>
      <c r="T142" s="46">
        <f t="shared" si="43"/>
        <v>0.75720594256196749</v>
      </c>
      <c r="U142" s="46">
        <f t="shared" si="43"/>
        <v>0.75191812855845463</v>
      </c>
      <c r="V142" s="46">
        <f t="shared" si="43"/>
        <v>0.72700668508841271</v>
      </c>
      <c r="W142" s="46">
        <f t="shared" ref="W142" si="44">IF(W18=0,0,W18/W$17)</f>
        <v>0.72114543608341897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3.3640967407530145E-3</v>
      </c>
      <c r="C143" s="154">
        <f t="shared" si="45"/>
        <v>3.6170298014230064E-3</v>
      </c>
      <c r="D143" s="154">
        <f t="shared" si="45"/>
        <v>3.9346864987317275E-3</v>
      </c>
      <c r="E143" s="154">
        <f t="shared" si="45"/>
        <v>4.1371061579949372E-3</v>
      </c>
      <c r="F143" s="154">
        <f t="shared" si="45"/>
        <v>4.296019733433157E-3</v>
      </c>
      <c r="G143" s="154">
        <f t="shared" si="45"/>
        <v>4.5503191930028513E-3</v>
      </c>
      <c r="H143" s="154">
        <f t="shared" si="45"/>
        <v>4.7982984377839804E-3</v>
      </c>
      <c r="I143" s="154">
        <f t="shared" si="45"/>
        <v>5.166652114978452E-3</v>
      </c>
      <c r="J143" s="154">
        <f t="shared" si="45"/>
        <v>5.0370238190601928E-3</v>
      </c>
      <c r="K143" s="154">
        <f t="shared" si="45"/>
        <v>5.07568107313436E-3</v>
      </c>
      <c r="L143" s="154">
        <f t="shared" ref="L143" si="46">IF(L19=0,0,L19/L$17)</f>
        <v>4.6456633410665946E-3</v>
      </c>
      <c r="M143" s="154">
        <f t="shared" ref="M143:V143" si="47">IF(M19=0,0,M19/M$17)</f>
        <v>4.5779630357821862E-3</v>
      </c>
      <c r="N143" s="154">
        <f t="shared" si="47"/>
        <v>4.0538129495836621E-3</v>
      </c>
      <c r="O143" s="154">
        <f t="shared" si="47"/>
        <v>4.5242486373496121E-3</v>
      </c>
      <c r="P143" s="154">
        <f t="shared" si="47"/>
        <v>4.3931204485650613E-3</v>
      </c>
      <c r="Q143" s="154">
        <f t="shared" si="47"/>
        <v>4.2869767005977956E-3</v>
      </c>
      <c r="R143" s="154">
        <f t="shared" si="47"/>
        <v>4.4982778781794165E-3</v>
      </c>
      <c r="S143" s="154">
        <f t="shared" si="47"/>
        <v>4.1245684743790572E-3</v>
      </c>
      <c r="T143" s="154">
        <f t="shared" si="47"/>
        <v>3.9858652363432071E-3</v>
      </c>
      <c r="U143" s="154">
        <f t="shared" si="47"/>
        <v>4.2301997810797803E-3</v>
      </c>
      <c r="V143" s="154">
        <f t="shared" si="47"/>
        <v>3.9167663639543713E-3</v>
      </c>
      <c r="W143" s="154">
        <f t="shared" ref="W143" si="48">IF(W19=0,0,W19/W$17)</f>
        <v>3.7066975013435809E-3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0.65789854480014631</v>
      </c>
      <c r="C144" s="156">
        <f t="shared" si="49"/>
        <v>0.65280997018972464</v>
      </c>
      <c r="D144" s="156">
        <f t="shared" si="49"/>
        <v>0.66035013822973265</v>
      </c>
      <c r="E144" s="156">
        <f t="shared" si="49"/>
        <v>0.65430311850403788</v>
      </c>
      <c r="F144" s="156">
        <f t="shared" si="49"/>
        <v>0.63842324955825791</v>
      </c>
      <c r="G144" s="156">
        <f t="shared" si="49"/>
        <v>0.64341498022710075</v>
      </c>
      <c r="H144" s="156">
        <f t="shared" si="49"/>
        <v>0.63407667912031251</v>
      </c>
      <c r="I144" s="156">
        <f t="shared" si="49"/>
        <v>0.63716650704229238</v>
      </c>
      <c r="J144" s="156">
        <f t="shared" si="49"/>
        <v>0.63226531091861604</v>
      </c>
      <c r="K144" s="156">
        <f t="shared" si="49"/>
        <v>0.65120518957296492</v>
      </c>
      <c r="L144" s="156">
        <f t="shared" ref="L144" si="50">IF(L21=0,0,L21/L$17)</f>
        <v>0.63851889228284908</v>
      </c>
      <c r="M144" s="156">
        <f t="shared" ref="M144:V144" si="51">IF(M21=0,0,M21/M$17)</f>
        <v>0.63964880631055898</v>
      </c>
      <c r="N144" s="156">
        <f t="shared" si="51"/>
        <v>0.65194935314444835</v>
      </c>
      <c r="O144" s="156">
        <f t="shared" si="51"/>
        <v>0.65706640229452828</v>
      </c>
      <c r="P144" s="156">
        <f t="shared" si="51"/>
        <v>0.66136929472424411</v>
      </c>
      <c r="Q144" s="156">
        <f t="shared" si="51"/>
        <v>0.66669827454945951</v>
      </c>
      <c r="R144" s="156">
        <f t="shared" si="51"/>
        <v>0.67797832480371389</v>
      </c>
      <c r="S144" s="156">
        <f t="shared" si="51"/>
        <v>0.67305127430298328</v>
      </c>
      <c r="T144" s="156">
        <f t="shared" si="51"/>
        <v>0.67884659980052886</v>
      </c>
      <c r="U144" s="156">
        <f t="shared" si="51"/>
        <v>0.6745791665294838</v>
      </c>
      <c r="V144" s="156">
        <f t="shared" si="51"/>
        <v>0.65431572950218153</v>
      </c>
      <c r="W144" s="156">
        <f t="shared" ref="W144" si="52">IF(W21=0,0,W21/W$17)</f>
        <v>0.65256497876252062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0.59470484099623455</v>
      </c>
      <c r="C145" s="103">
        <f t="shared" si="53"/>
        <v>0.59290598571363151</v>
      </c>
      <c r="D145" s="103">
        <f t="shared" si="53"/>
        <v>0.60042159613440715</v>
      </c>
      <c r="E145" s="103">
        <f t="shared" si="53"/>
        <v>0.59271608769329154</v>
      </c>
      <c r="F145" s="103">
        <f t="shared" si="53"/>
        <v>0.57499319474753396</v>
      </c>
      <c r="G145" s="103">
        <f t="shared" si="53"/>
        <v>0.57592713852126409</v>
      </c>
      <c r="H145" s="103">
        <f t="shared" si="53"/>
        <v>0.55629468555008399</v>
      </c>
      <c r="I145" s="103">
        <f t="shared" si="53"/>
        <v>0.5387394182718539</v>
      </c>
      <c r="J145" s="103">
        <f t="shared" si="53"/>
        <v>0.51812923342289408</v>
      </c>
      <c r="K145" s="103">
        <f t="shared" si="53"/>
        <v>0.51658719265044661</v>
      </c>
      <c r="L145" s="103">
        <f t="shared" ref="L145" si="54">IF(L22=0,0,L22/L$17)</f>
        <v>0.47771180367671584</v>
      </c>
      <c r="M145" s="103">
        <f t="shared" ref="M145:V145" si="55">IF(M22=0,0,M22/M$17)</f>
        <v>0.44648203938761349</v>
      </c>
      <c r="N145" s="103">
        <f t="shared" si="55"/>
        <v>0.42607271964739785</v>
      </c>
      <c r="O145" s="103">
        <f t="shared" si="55"/>
        <v>0.40573850368410291</v>
      </c>
      <c r="P145" s="103">
        <f t="shared" si="55"/>
        <v>0.38698207115037675</v>
      </c>
      <c r="Q145" s="103">
        <f t="shared" si="55"/>
        <v>0.36427643627081191</v>
      </c>
      <c r="R145" s="103">
        <f t="shared" si="55"/>
        <v>0.34968883987152677</v>
      </c>
      <c r="S145" s="103">
        <f t="shared" si="55"/>
        <v>0.32769890574430449</v>
      </c>
      <c r="T145" s="103">
        <f t="shared" si="55"/>
        <v>0.31842333358797237</v>
      </c>
      <c r="U145" s="103">
        <f t="shared" si="55"/>
        <v>0.31070312865552535</v>
      </c>
      <c r="V145" s="103">
        <f t="shared" si="55"/>
        <v>0.29591580660019551</v>
      </c>
      <c r="W145" s="103">
        <f t="shared" ref="W145" si="56">IF(W22=0,0,W22/W$17)</f>
        <v>0.30217449597860002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6.3193703803911747E-2</v>
      </c>
      <c r="C146" s="103">
        <f t="shared" si="57"/>
        <v>5.9903984476093054E-2</v>
      </c>
      <c r="D146" s="103">
        <f t="shared" si="57"/>
        <v>5.9710007630381971E-2</v>
      </c>
      <c r="E146" s="103">
        <f t="shared" si="57"/>
        <v>6.1160848710886999E-2</v>
      </c>
      <c r="F146" s="103">
        <f t="shared" si="57"/>
        <v>6.2785946826036457E-2</v>
      </c>
      <c r="G146" s="103">
        <f t="shared" si="57"/>
        <v>6.6400012080278223E-2</v>
      </c>
      <c r="H146" s="103">
        <f t="shared" si="57"/>
        <v>7.6733222974214532E-2</v>
      </c>
      <c r="I146" s="103">
        <f t="shared" si="57"/>
        <v>9.7160510970320954E-2</v>
      </c>
      <c r="J146" s="103">
        <f t="shared" si="57"/>
        <v>0.11280070819351265</v>
      </c>
      <c r="K146" s="103">
        <f t="shared" si="57"/>
        <v>0.13312620972974015</v>
      </c>
      <c r="L146" s="103">
        <f t="shared" ref="L146" si="58">IF(L24=0,0,L24/L$17)</f>
        <v>0.15804286108047438</v>
      </c>
      <c r="M146" s="103">
        <f t="shared" ref="M146:V146" si="59">IF(M24=0,0,M24/M$17)</f>
        <v>0.18934556531917981</v>
      </c>
      <c r="N146" s="103">
        <f t="shared" si="59"/>
        <v>0.22091384860285262</v>
      </c>
      <c r="O146" s="103">
        <f t="shared" si="59"/>
        <v>0.2459016063603312</v>
      </c>
      <c r="P146" s="103">
        <f t="shared" si="59"/>
        <v>0.26814357914119702</v>
      </c>
      <c r="Q146" s="103">
        <f t="shared" si="59"/>
        <v>0.29516272553604683</v>
      </c>
      <c r="R146" s="103">
        <f t="shared" si="59"/>
        <v>0.31947168140704496</v>
      </c>
      <c r="S146" s="103">
        <f t="shared" si="59"/>
        <v>0.33619938998109777</v>
      </c>
      <c r="T146" s="103">
        <f t="shared" si="59"/>
        <v>0.35016707625315657</v>
      </c>
      <c r="U146" s="103">
        <f t="shared" si="59"/>
        <v>0.35268851950396096</v>
      </c>
      <c r="V146" s="103">
        <f t="shared" si="59"/>
        <v>0.34312873752185735</v>
      </c>
      <c r="W146" s="103">
        <f t="shared" ref="W146" si="60">IF(W24=0,0,W24/W$17)</f>
        <v>0.3294821220549311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</v>
      </c>
      <c r="C147" s="103">
        <f t="shared" si="61"/>
        <v>0</v>
      </c>
      <c r="D147" s="103">
        <f t="shared" si="61"/>
        <v>0</v>
      </c>
      <c r="E147" s="103">
        <f t="shared" si="61"/>
        <v>0</v>
      </c>
      <c r="F147" s="103">
        <f t="shared" si="61"/>
        <v>0</v>
      </c>
      <c r="G147" s="103">
        <f t="shared" si="61"/>
        <v>1.200926726161724E-4</v>
      </c>
      <c r="H147" s="103">
        <f t="shared" si="61"/>
        <v>8.8162638891076207E-5</v>
      </c>
      <c r="I147" s="103">
        <f t="shared" si="61"/>
        <v>1.8654336996221376E-4</v>
      </c>
      <c r="J147" s="103">
        <f t="shared" si="61"/>
        <v>1.2073777068105606E-4</v>
      </c>
      <c r="K147" s="103">
        <f t="shared" si="61"/>
        <v>1.5216095679541989E-4</v>
      </c>
      <c r="L147" s="103">
        <f t="shared" ref="L147" si="62">IF(L26=0,0,L26/L$17)</f>
        <v>1.5758943413135554E-4</v>
      </c>
      <c r="M147" s="103">
        <f t="shared" ref="M147:V147" si="63">IF(M26=0,0,M26/M$17)</f>
        <v>1.468858925023346E-4</v>
      </c>
      <c r="N147" s="103">
        <f t="shared" si="63"/>
        <v>9.5120903796177991E-5</v>
      </c>
      <c r="O147" s="103">
        <f t="shared" si="63"/>
        <v>5.0404873928729202E-5</v>
      </c>
      <c r="P147" s="103">
        <f t="shared" si="63"/>
        <v>5.9021886357838311E-5</v>
      </c>
      <c r="Q147" s="103">
        <f t="shared" si="63"/>
        <v>3.2201764880949719E-4</v>
      </c>
      <c r="R147" s="103">
        <f t="shared" si="63"/>
        <v>1.146769383722052E-4</v>
      </c>
      <c r="S147" s="103">
        <f t="shared" si="63"/>
        <v>0</v>
      </c>
      <c r="T147" s="103">
        <f t="shared" si="63"/>
        <v>0</v>
      </c>
      <c r="U147" s="103">
        <f t="shared" si="63"/>
        <v>0</v>
      </c>
      <c r="V147" s="103">
        <f t="shared" si="63"/>
        <v>0</v>
      </c>
      <c r="W147" s="103">
        <f t="shared" ref="W147" si="64">IF(W26=0,0,W26/W$17)</f>
        <v>0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2.185344649435929E-4</v>
      </c>
      <c r="E148" s="103">
        <f t="shared" si="65"/>
        <v>4.2618209985930913E-4</v>
      </c>
      <c r="F148" s="103">
        <f t="shared" si="65"/>
        <v>6.4410798468751826E-4</v>
      </c>
      <c r="G148" s="103">
        <f t="shared" si="65"/>
        <v>9.67736952942175E-4</v>
      </c>
      <c r="H148" s="103">
        <f t="shared" si="65"/>
        <v>9.6060795712281247E-4</v>
      </c>
      <c r="I148" s="103">
        <f t="shared" si="65"/>
        <v>1.080034430155344E-3</v>
      </c>
      <c r="J148" s="103">
        <f t="shared" si="65"/>
        <v>1.2008182921327956E-3</v>
      </c>
      <c r="K148" s="103">
        <f t="shared" si="65"/>
        <v>1.3225787072796275E-3</v>
      </c>
      <c r="L148" s="103">
        <f t="shared" ref="L148" si="66">IF(L27=0,0,L27/L$17)</f>
        <v>2.587047838709877E-3</v>
      </c>
      <c r="M148" s="103">
        <f t="shared" ref="M148:V148" si="67">IF(M27=0,0,M27/M$17)</f>
        <v>3.6382803239253104E-3</v>
      </c>
      <c r="N148" s="103">
        <f t="shared" si="67"/>
        <v>4.7899805701155148E-3</v>
      </c>
      <c r="O148" s="103">
        <f t="shared" si="67"/>
        <v>5.2571261750648211E-3</v>
      </c>
      <c r="P148" s="103">
        <f t="shared" si="67"/>
        <v>5.8437578420838738E-3</v>
      </c>
      <c r="Q148" s="103">
        <f t="shared" si="67"/>
        <v>6.250633279071334E-3</v>
      </c>
      <c r="R148" s="103">
        <f t="shared" si="67"/>
        <v>7.4185710587025798E-3</v>
      </c>
      <c r="S148" s="103">
        <f t="shared" si="67"/>
        <v>7.0720573358442704E-3</v>
      </c>
      <c r="T148" s="103">
        <f t="shared" si="67"/>
        <v>6.9409251095125333E-3</v>
      </c>
      <c r="U148" s="103">
        <f t="shared" si="67"/>
        <v>6.4998353209476702E-3</v>
      </c>
      <c r="V148" s="103">
        <f t="shared" si="67"/>
        <v>6.4910328999221991E-3</v>
      </c>
      <c r="W148" s="103">
        <f t="shared" ref="W148" si="68">IF(W27=0,0,W27/W$17)</f>
        <v>6.1883101829384056E-3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8.471333535924937E-6</v>
      </c>
      <c r="K149" s="103">
        <f t="shared" si="69"/>
        <v>1.0409993597279416E-5</v>
      </c>
      <c r="L149" s="103">
        <f t="shared" ref="L149" si="70">IF(L29=0,0,L29/L$17)</f>
        <v>1.1721987725281385E-5</v>
      </c>
      <c r="M149" s="103">
        <f t="shared" ref="M149:V149" si="71">IF(M29=0,0,M29/M$17)</f>
        <v>2.0801812176440613E-5</v>
      </c>
      <c r="N149" s="103">
        <f t="shared" si="71"/>
        <v>5.3376258253229008E-5</v>
      </c>
      <c r="O149" s="103">
        <f t="shared" si="71"/>
        <v>7.8445884966051122E-5</v>
      </c>
      <c r="P149" s="103">
        <f t="shared" si="71"/>
        <v>2.5985243931212686E-4</v>
      </c>
      <c r="Q149" s="103">
        <f t="shared" si="71"/>
        <v>5.0181792456774886E-4</v>
      </c>
      <c r="R149" s="103">
        <f t="shared" si="71"/>
        <v>9.870901012084645E-4</v>
      </c>
      <c r="S149" s="103">
        <f t="shared" si="71"/>
        <v>1.6568272183574337E-3</v>
      </c>
      <c r="T149" s="103">
        <f t="shared" si="71"/>
        <v>2.6353410330547025E-3</v>
      </c>
      <c r="U149" s="103">
        <f t="shared" si="71"/>
        <v>3.3997258639857633E-3</v>
      </c>
      <c r="V149" s="103">
        <f t="shared" si="71"/>
        <v>6.2521280632679361E-3</v>
      </c>
      <c r="W149" s="103">
        <f t="shared" ref="W149" si="72">IF(W29=0,0,W29/W$17)</f>
        <v>9.6134379793712203E-3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5.341905859447877E-6</v>
      </c>
      <c r="K150" s="103">
        <f t="shared" si="73"/>
        <v>6.6375351059637271E-6</v>
      </c>
      <c r="L150" s="103">
        <f t="shared" ref="L150" si="74">IF(L32=0,0,L32/L$17)</f>
        <v>7.8682650924783827E-6</v>
      </c>
      <c r="M150" s="103">
        <f t="shared" ref="M150:V150" si="75">IF(M32=0,0,M32/M$17)</f>
        <v>1.5233575161588334E-5</v>
      </c>
      <c r="N150" s="103">
        <f t="shared" si="75"/>
        <v>2.4307162032923076E-5</v>
      </c>
      <c r="O150" s="103">
        <f t="shared" si="75"/>
        <v>4.0315316134662789E-5</v>
      </c>
      <c r="P150" s="103">
        <f t="shared" si="75"/>
        <v>8.101226491651329E-5</v>
      </c>
      <c r="Q150" s="103">
        <f t="shared" si="75"/>
        <v>1.8464389015208753E-4</v>
      </c>
      <c r="R150" s="103">
        <f t="shared" si="75"/>
        <v>2.9746542685904611E-4</v>
      </c>
      <c r="S150" s="103">
        <f t="shared" si="75"/>
        <v>4.2409402337924762E-4</v>
      </c>
      <c r="T150" s="103">
        <f t="shared" si="75"/>
        <v>6.7992381683264029E-4</v>
      </c>
      <c r="U150" s="103">
        <f t="shared" si="75"/>
        <v>1.2879571850640532E-3</v>
      </c>
      <c r="V150" s="103">
        <f t="shared" si="75"/>
        <v>2.5280244169386145E-3</v>
      </c>
      <c r="W150" s="103">
        <f t="shared" ref="W150" si="76">IF(W32=0,0,W32/W$17)</f>
        <v>5.1066125666798749E-3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9.1480820057355791E-2</v>
      </c>
      <c r="C151" s="156">
        <f t="shared" si="77"/>
        <v>8.8663408320722642E-2</v>
      </c>
      <c r="D151" s="156">
        <f t="shared" si="77"/>
        <v>8.490380149563892E-2</v>
      </c>
      <c r="E151" s="156">
        <f t="shared" si="77"/>
        <v>8.4544141199299899E-2</v>
      </c>
      <c r="F151" s="156">
        <f t="shared" si="77"/>
        <v>8.1147337846177378E-2</v>
      </c>
      <c r="G151" s="156">
        <f t="shared" si="77"/>
        <v>7.5687685424324261E-2</v>
      </c>
      <c r="H151" s="156">
        <f t="shared" si="77"/>
        <v>7.8123114530978102E-2</v>
      </c>
      <c r="I151" s="156">
        <f t="shared" si="77"/>
        <v>7.339224106892453E-2</v>
      </c>
      <c r="J151" s="156">
        <f t="shared" si="77"/>
        <v>7.3951175686631163E-2</v>
      </c>
      <c r="K151" s="156">
        <f t="shared" si="77"/>
        <v>7.2249518204390628E-2</v>
      </c>
      <c r="L151" s="156">
        <f t="shared" ref="L151" si="78">IF(L33=0,0,L33/L$17)</f>
        <v>7.3985830947286321E-2</v>
      </c>
      <c r="M151" s="156">
        <f t="shared" ref="M151:V151" si="79">IF(M33=0,0,M33/M$17)</f>
        <v>7.804319823179208E-2</v>
      </c>
      <c r="N151" s="156">
        <f t="shared" si="79"/>
        <v>8.1996863057093361E-2</v>
      </c>
      <c r="O151" s="156">
        <f t="shared" si="79"/>
        <v>8.00526928541241E-2</v>
      </c>
      <c r="P151" s="156">
        <f t="shared" si="79"/>
        <v>7.594669890357858E-2</v>
      </c>
      <c r="Q151" s="156">
        <f t="shared" si="79"/>
        <v>7.4120474530575783E-2</v>
      </c>
      <c r="R151" s="156">
        <f t="shared" si="79"/>
        <v>7.3834580571470423E-2</v>
      </c>
      <c r="S151" s="156">
        <f t="shared" si="79"/>
        <v>7.270506793690644E-2</v>
      </c>
      <c r="T151" s="156">
        <f t="shared" si="79"/>
        <v>7.4373477525095363E-2</v>
      </c>
      <c r="U151" s="156">
        <f t="shared" si="79"/>
        <v>7.310876224789109E-2</v>
      </c>
      <c r="V151" s="156">
        <f t="shared" si="79"/>
        <v>6.8774189222276752E-2</v>
      </c>
      <c r="W151" s="156">
        <f t="shared" ref="W151" si="80">IF(W33=0,0,W33/W$17)</f>
        <v>6.4873759819554677E-2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9.4552051219079286E-4</v>
      </c>
      <c r="C152" s="103">
        <f t="shared" si="81"/>
        <v>7.7919375513461702E-4</v>
      </c>
      <c r="D152" s="103">
        <f t="shared" si="81"/>
        <v>6.2634610387202411E-4</v>
      </c>
      <c r="E152" s="103">
        <f t="shared" si="81"/>
        <v>4.8577241209600916E-4</v>
      </c>
      <c r="F152" s="103">
        <f t="shared" si="81"/>
        <v>3.560083895480351E-4</v>
      </c>
      <c r="G152" s="103">
        <f t="shared" si="81"/>
        <v>2.6430050713276772E-4</v>
      </c>
      <c r="H152" s="103">
        <f t="shared" si="81"/>
        <v>2.1337203960864449E-4</v>
      </c>
      <c r="I152" s="103">
        <f t="shared" si="81"/>
        <v>1.7431950677493594E-4</v>
      </c>
      <c r="J152" s="103">
        <f t="shared" si="81"/>
        <v>1.4276182978434801E-4</v>
      </c>
      <c r="K152" s="103">
        <f t="shared" si="81"/>
        <v>1.3063851987851844E-4</v>
      </c>
      <c r="L152" s="103">
        <f t="shared" ref="L152" si="82">IF(L34=0,0,L34/L$17)</f>
        <v>4.9264474680142809E-5</v>
      </c>
      <c r="M152" s="103">
        <f t="shared" ref="M152:V152" si="83">IF(M34=0,0,M34/M$17)</f>
        <v>8.2122977107043074E-5</v>
      </c>
      <c r="N152" s="103">
        <f t="shared" si="83"/>
        <v>7.0222465950714772E-5</v>
      </c>
      <c r="O152" s="103">
        <f t="shared" si="83"/>
        <v>6.9771201758142006E-5</v>
      </c>
      <c r="P152" s="103">
        <f t="shared" si="83"/>
        <v>6.4387320743646383E-5</v>
      </c>
      <c r="Q152" s="103">
        <f t="shared" si="83"/>
        <v>5.8101948790391561E-5</v>
      </c>
      <c r="R152" s="103">
        <f t="shared" si="83"/>
        <v>6.360192749803591E-5</v>
      </c>
      <c r="S152" s="103">
        <f t="shared" si="83"/>
        <v>5.9038230201748803E-5</v>
      </c>
      <c r="T152" s="103">
        <f t="shared" si="83"/>
        <v>5.8877499222323608E-5</v>
      </c>
      <c r="U152" s="103">
        <f t="shared" si="83"/>
        <v>5.2843066630493903E-5</v>
      </c>
      <c r="V152" s="103">
        <f t="shared" si="83"/>
        <v>5.3785554504837372E-5</v>
      </c>
      <c r="W152" s="103">
        <f t="shared" ref="W152" si="84">IF(W34=0,0,W34/W$17)</f>
        <v>4.7218011156294768E-5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8.8986675982549931E-2</v>
      </c>
      <c r="C153" s="103">
        <f t="shared" si="85"/>
        <v>8.6311850250645014E-2</v>
      </c>
      <c r="D153" s="103">
        <f t="shared" si="85"/>
        <v>8.2711040608104039E-2</v>
      </c>
      <c r="E153" s="103">
        <f t="shared" si="85"/>
        <v>8.1947725078854575E-2</v>
      </c>
      <c r="F153" s="103">
        <f t="shared" si="85"/>
        <v>7.9255586633150812E-2</v>
      </c>
      <c r="G153" s="103">
        <f t="shared" si="85"/>
        <v>7.4126664712978185E-2</v>
      </c>
      <c r="H153" s="103">
        <f t="shared" si="85"/>
        <v>7.5620460630133959E-2</v>
      </c>
      <c r="I153" s="103">
        <f t="shared" si="85"/>
        <v>7.1043589230744678E-2</v>
      </c>
      <c r="J153" s="103">
        <f t="shared" si="85"/>
        <v>6.8999839105041941E-2</v>
      </c>
      <c r="K153" s="103">
        <f t="shared" si="85"/>
        <v>6.7512630799532944E-2</v>
      </c>
      <c r="L153" s="103">
        <f t="shared" ref="L153" si="86">IF(L36=0,0,L36/L$17)</f>
        <v>6.9170947282233011E-2</v>
      </c>
      <c r="M153" s="103">
        <f t="shared" ref="M153:V153" si="87">IF(M36=0,0,M36/M$17)</f>
        <v>6.6649785210902202E-2</v>
      </c>
      <c r="N153" s="103">
        <f t="shared" si="87"/>
        <v>6.8676513614600782E-2</v>
      </c>
      <c r="O153" s="103">
        <f t="shared" si="87"/>
        <v>6.6173686671777615E-2</v>
      </c>
      <c r="P153" s="103">
        <f t="shared" si="87"/>
        <v>6.1743274015850759E-2</v>
      </c>
      <c r="Q153" s="103">
        <f t="shared" si="87"/>
        <v>6.123451589015301E-2</v>
      </c>
      <c r="R153" s="103">
        <f t="shared" si="87"/>
        <v>6.1227938746695451E-2</v>
      </c>
      <c r="S153" s="103">
        <f t="shared" si="87"/>
        <v>6.1710322788924604E-2</v>
      </c>
      <c r="T153" s="103">
        <f t="shared" si="87"/>
        <v>6.2187803809372111E-2</v>
      </c>
      <c r="U153" s="103">
        <f t="shared" si="87"/>
        <v>6.3618355512656613E-2</v>
      </c>
      <c r="V153" s="103">
        <f t="shared" si="87"/>
        <v>5.9457267339743547E-2</v>
      </c>
      <c r="W153" s="103">
        <f t="shared" ref="W153" si="88">IF(W36=0,0,W36/W$17)</f>
        <v>5.6526998774237239E-2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1.5026535603578823E-3</v>
      </c>
      <c r="C155" s="103">
        <f t="shared" si="93"/>
        <v>1.52774253082004E-3</v>
      </c>
      <c r="D155" s="103">
        <f t="shared" si="93"/>
        <v>1.5304412895168324E-3</v>
      </c>
      <c r="E155" s="103">
        <f t="shared" si="93"/>
        <v>2.0707696444363737E-3</v>
      </c>
      <c r="F155" s="103">
        <f t="shared" si="93"/>
        <v>1.496889707090515E-3</v>
      </c>
      <c r="G155" s="103">
        <f t="shared" si="93"/>
        <v>1.2638213780817851E-3</v>
      </c>
      <c r="H155" s="103">
        <f t="shared" si="93"/>
        <v>2.259364249547736E-3</v>
      </c>
      <c r="I155" s="103">
        <f t="shared" si="93"/>
        <v>2.149842010295157E-3</v>
      </c>
      <c r="J155" s="103">
        <f t="shared" si="93"/>
        <v>4.7886006698306012E-3</v>
      </c>
      <c r="K155" s="103">
        <f t="shared" si="93"/>
        <v>4.5858441104189825E-3</v>
      </c>
      <c r="L155" s="103">
        <f t="shared" ref="L155" si="94">IF(L39=0,0,L39/L$17)</f>
        <v>4.755488464338921E-3</v>
      </c>
      <c r="M155" s="103">
        <f t="shared" ref="M155:V155" si="95">IF(M39=0,0,M39/M$17)</f>
        <v>1.130107181268087E-2</v>
      </c>
      <c r="N155" s="103">
        <f t="shared" si="95"/>
        <v>1.3234937936890243E-2</v>
      </c>
      <c r="O155" s="103">
        <f t="shared" si="95"/>
        <v>1.378881658375748E-2</v>
      </c>
      <c r="P155" s="103">
        <f t="shared" si="95"/>
        <v>1.4111325324762457E-2</v>
      </c>
      <c r="Q155" s="103">
        <f t="shared" si="95"/>
        <v>1.2778661247575205E-2</v>
      </c>
      <c r="R155" s="103">
        <f t="shared" si="95"/>
        <v>1.2448235074790969E-2</v>
      </c>
      <c r="S155" s="103">
        <f t="shared" si="95"/>
        <v>1.0803582100690856E-2</v>
      </c>
      <c r="T155" s="103">
        <f t="shared" si="95"/>
        <v>1.1875522863074724E-2</v>
      </c>
      <c r="U155" s="103">
        <f t="shared" si="95"/>
        <v>8.7605466563999684E-3</v>
      </c>
      <c r="V155" s="103">
        <f t="shared" si="95"/>
        <v>8.0332649942241926E-3</v>
      </c>
      <c r="W155" s="103">
        <f t="shared" ref="W155" si="96">IF(W39=0,0,W39/W$17)</f>
        <v>6.6181370949756468E-3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4.5970002257194027E-5</v>
      </c>
      <c r="C156" s="103">
        <f t="shared" si="97"/>
        <v>4.4621784122965043E-5</v>
      </c>
      <c r="D156" s="103">
        <f t="shared" si="97"/>
        <v>3.5973494146040028E-5</v>
      </c>
      <c r="E156" s="103">
        <f t="shared" si="97"/>
        <v>3.9874063912949834E-5</v>
      </c>
      <c r="F156" s="103">
        <f t="shared" si="97"/>
        <v>3.885311638801451E-5</v>
      </c>
      <c r="G156" s="103">
        <f t="shared" si="97"/>
        <v>3.2898826131528491E-5</v>
      </c>
      <c r="H156" s="103">
        <f t="shared" si="97"/>
        <v>2.9917611687776902E-5</v>
      </c>
      <c r="I156" s="103">
        <f t="shared" si="97"/>
        <v>2.4490321109759358E-5</v>
      </c>
      <c r="J156" s="103">
        <f t="shared" si="97"/>
        <v>1.9974081974261711E-5</v>
      </c>
      <c r="K156" s="103">
        <f t="shared" si="97"/>
        <v>2.040477456018444E-5</v>
      </c>
      <c r="L156" s="103">
        <f t="shared" ref="L156" si="98">IF(L41=0,0,L41/L$17)</f>
        <v>1.0130726034243669E-5</v>
      </c>
      <c r="M156" s="103">
        <f t="shared" ref="M156:V156" si="99">IF(M41=0,0,M41/M$17)</f>
        <v>1.02182311019668E-5</v>
      </c>
      <c r="N156" s="103">
        <f t="shared" si="99"/>
        <v>1.5189039651628941E-5</v>
      </c>
      <c r="O156" s="103">
        <f t="shared" si="99"/>
        <v>2.0418396830856556E-5</v>
      </c>
      <c r="P156" s="103">
        <f t="shared" si="99"/>
        <v>2.7712242221716302E-5</v>
      </c>
      <c r="Q156" s="103">
        <f t="shared" si="99"/>
        <v>4.9195444057170286E-5</v>
      </c>
      <c r="R156" s="103">
        <f t="shared" si="99"/>
        <v>9.4804822485972581E-5</v>
      </c>
      <c r="S156" s="103">
        <f t="shared" si="99"/>
        <v>1.3212481708921994E-4</v>
      </c>
      <c r="T156" s="103">
        <f t="shared" si="99"/>
        <v>2.5127335342620556E-4</v>
      </c>
      <c r="U156" s="103">
        <f t="shared" si="99"/>
        <v>6.7701701220401777E-4</v>
      </c>
      <c r="V156" s="103">
        <f t="shared" si="99"/>
        <v>1.2298713338041772E-3</v>
      </c>
      <c r="W156" s="103">
        <f t="shared" ref="W156" si="100">IF(W41=0,0,W41/W$17)</f>
        <v>1.6814059391854917E-3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0.24725653840174494</v>
      </c>
      <c r="C157" s="46">
        <f t="shared" si="101"/>
        <v>0.25490959168812982</v>
      </c>
      <c r="D157" s="46">
        <f t="shared" si="101"/>
        <v>0.2508113737758968</v>
      </c>
      <c r="E157" s="46">
        <f t="shared" si="101"/>
        <v>0.25701563413866724</v>
      </c>
      <c r="F157" s="46">
        <f t="shared" si="101"/>
        <v>0.27613339286213168</v>
      </c>
      <c r="G157" s="46">
        <f t="shared" si="101"/>
        <v>0.27634701515557214</v>
      </c>
      <c r="H157" s="46">
        <f t="shared" si="101"/>
        <v>0.2830019079109255</v>
      </c>
      <c r="I157" s="46">
        <f t="shared" si="101"/>
        <v>0.28427459977380465</v>
      </c>
      <c r="J157" s="46">
        <f t="shared" si="101"/>
        <v>0.28874648957569249</v>
      </c>
      <c r="K157" s="46">
        <f t="shared" si="101"/>
        <v>0.27146961114951007</v>
      </c>
      <c r="L157" s="46">
        <f t="shared" ref="L157" si="102">IF(L42=0,0,L42/L$17)</f>
        <v>0.28284961342879805</v>
      </c>
      <c r="M157" s="46">
        <f t="shared" ref="M157:V157" si="103">IF(M42=0,0,M42/M$17)</f>
        <v>0.27773003242186678</v>
      </c>
      <c r="N157" s="46">
        <f t="shared" si="103"/>
        <v>0.26199997084887461</v>
      </c>
      <c r="O157" s="46">
        <f t="shared" si="103"/>
        <v>0.25835665621399795</v>
      </c>
      <c r="P157" s="46">
        <f t="shared" si="103"/>
        <v>0.25829088592361221</v>
      </c>
      <c r="Q157" s="46">
        <f t="shared" si="103"/>
        <v>0.254894274219367</v>
      </c>
      <c r="R157" s="46">
        <f t="shared" si="103"/>
        <v>0.24368881674663639</v>
      </c>
      <c r="S157" s="46">
        <f t="shared" si="103"/>
        <v>0.25011908928573118</v>
      </c>
      <c r="T157" s="46">
        <f t="shared" si="103"/>
        <v>0.24279405743803251</v>
      </c>
      <c r="U157" s="46">
        <f t="shared" si="103"/>
        <v>0.24808187144154539</v>
      </c>
      <c r="V157" s="46">
        <f t="shared" si="103"/>
        <v>0.27299331491158735</v>
      </c>
      <c r="W157" s="46">
        <f t="shared" ref="W157" si="104">IF(W42=0,0,W42/W$17)</f>
        <v>0.27885456391658109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5.8641203772904743E-2</v>
      </c>
      <c r="C158" s="154">
        <f t="shared" si="105"/>
        <v>6.5285721007516548E-2</v>
      </c>
      <c r="D158" s="154">
        <f t="shared" si="105"/>
        <v>6.737859883845547E-2</v>
      </c>
      <c r="E158" s="154">
        <f t="shared" si="105"/>
        <v>7.2077126746020501E-2</v>
      </c>
      <c r="F158" s="154">
        <f t="shared" si="105"/>
        <v>7.8620713374125517E-2</v>
      </c>
      <c r="G158" s="154">
        <f t="shared" si="105"/>
        <v>7.4464109535190892E-2</v>
      </c>
      <c r="H158" s="154">
        <f t="shared" si="105"/>
        <v>7.9038811811227391E-2</v>
      </c>
      <c r="I158" s="154">
        <f t="shared" si="105"/>
        <v>7.9981258306222935E-2</v>
      </c>
      <c r="J158" s="154">
        <f t="shared" si="105"/>
        <v>8.2076029670936274E-2</v>
      </c>
      <c r="K158" s="154">
        <f t="shared" si="105"/>
        <v>8.2980588710710138E-2</v>
      </c>
      <c r="L158" s="154">
        <f t="shared" ref="L158" si="106">IF(L43=0,0,L43/L$17)</f>
        <v>8.7316732299104194E-2</v>
      </c>
      <c r="M158" s="154">
        <f t="shared" ref="M158:V158" si="107">IF(M43=0,0,M43/M$17)</f>
        <v>8.9792705594380601E-2</v>
      </c>
      <c r="N158" s="154">
        <f t="shared" si="107"/>
        <v>9.0158994476716089E-2</v>
      </c>
      <c r="O158" s="154">
        <f t="shared" si="107"/>
        <v>9.0007257819631634E-2</v>
      </c>
      <c r="P158" s="154">
        <f t="shared" si="107"/>
        <v>8.7140498880465891E-2</v>
      </c>
      <c r="Q158" s="154">
        <f t="shared" si="107"/>
        <v>8.8723293483768659E-2</v>
      </c>
      <c r="R158" s="154">
        <f t="shared" si="107"/>
        <v>8.8229878119949853E-2</v>
      </c>
      <c r="S158" s="154">
        <f t="shared" si="107"/>
        <v>9.3210052722992681E-2</v>
      </c>
      <c r="T158" s="154">
        <f t="shared" si="107"/>
        <v>9.1230056789731465E-2</v>
      </c>
      <c r="U158" s="154">
        <f t="shared" si="107"/>
        <v>9.4107837347042866E-2</v>
      </c>
      <c r="V158" s="154">
        <f t="shared" si="107"/>
        <v>0.10122277870186358</v>
      </c>
      <c r="W158" s="154">
        <f t="shared" ref="W158" si="108">IF(W43=0,0,W43/W$17)</f>
        <v>0.10014883705031816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2.4194474845271607E-2</v>
      </c>
      <c r="C159" s="103">
        <f t="shared" si="109"/>
        <v>2.3502976513464283E-2</v>
      </c>
      <c r="D159" s="103">
        <f t="shared" si="109"/>
        <v>2.1353065199127851E-2</v>
      </c>
      <c r="E159" s="103">
        <f t="shared" si="109"/>
        <v>1.8662588714340008E-2</v>
      </c>
      <c r="F159" s="103">
        <f t="shared" si="109"/>
        <v>1.6244645605206286E-2</v>
      </c>
      <c r="G159" s="103">
        <f t="shared" si="109"/>
        <v>1.5742743010545037E-2</v>
      </c>
      <c r="H159" s="103">
        <f t="shared" si="109"/>
        <v>1.365346260665317E-2</v>
      </c>
      <c r="I159" s="103">
        <f t="shared" si="109"/>
        <v>1.2364968960430123E-2</v>
      </c>
      <c r="J159" s="103">
        <f t="shared" si="109"/>
        <v>1.1081051715928105E-2</v>
      </c>
      <c r="K159" s="103">
        <f t="shared" si="109"/>
        <v>1.0259416371552858E-2</v>
      </c>
      <c r="L159" s="103">
        <f t="shared" ref="L159" si="110">IF(L44=0,0,L44/L$17)</f>
        <v>8.8395262268906975E-3</v>
      </c>
      <c r="M159" s="103">
        <f t="shared" ref="M159:V159" si="111">IF(M44=0,0,M44/M$17)</f>
        <v>8.2859198990579228E-3</v>
      </c>
      <c r="N159" s="103">
        <f t="shared" si="111"/>
        <v>7.4443355988024311E-3</v>
      </c>
      <c r="O159" s="103">
        <f t="shared" si="111"/>
        <v>6.5283707129022636E-3</v>
      </c>
      <c r="P159" s="103">
        <f t="shared" si="111"/>
        <v>5.959839311659899E-3</v>
      </c>
      <c r="Q159" s="103">
        <f t="shared" si="111"/>
        <v>5.4928422417867395E-3</v>
      </c>
      <c r="R159" s="103">
        <f t="shared" si="111"/>
        <v>4.5561821516472154E-3</v>
      </c>
      <c r="S159" s="103">
        <f t="shared" si="111"/>
        <v>3.8855157132043818E-3</v>
      </c>
      <c r="T159" s="103">
        <f t="shared" si="111"/>
        <v>3.7919253277633679E-3</v>
      </c>
      <c r="U159" s="103">
        <f t="shared" si="111"/>
        <v>3.7220261917250315E-3</v>
      </c>
      <c r="V159" s="103">
        <f t="shared" si="111"/>
        <v>3.8840007180679596E-3</v>
      </c>
      <c r="W159" s="103">
        <f t="shared" ref="W159" si="112">IF(W44=0,0,W44/W$17)</f>
        <v>3.9639663530146724E-3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3.4446728927633133E-2</v>
      </c>
      <c r="C160" s="103">
        <f t="shared" si="113"/>
        <v>4.1782431671486084E-2</v>
      </c>
      <c r="D160" s="103">
        <f t="shared" si="113"/>
        <v>4.602371275002063E-2</v>
      </c>
      <c r="E160" s="103">
        <f t="shared" si="113"/>
        <v>5.3409613132454528E-2</v>
      </c>
      <c r="F160" s="103">
        <f t="shared" si="113"/>
        <v>6.2368191160570997E-2</v>
      </c>
      <c r="G160" s="103">
        <f t="shared" si="113"/>
        <v>5.8705551466504115E-2</v>
      </c>
      <c r="H160" s="103">
        <f t="shared" si="113"/>
        <v>6.5342659740131939E-2</v>
      </c>
      <c r="I160" s="103">
        <f t="shared" si="113"/>
        <v>6.7531426038479822E-2</v>
      </c>
      <c r="J160" s="103">
        <f t="shared" si="113"/>
        <v>7.0843781946759651E-2</v>
      </c>
      <c r="K160" s="103">
        <f t="shared" si="113"/>
        <v>7.248847601800211E-2</v>
      </c>
      <c r="L160" s="103">
        <f t="shared" ref="L160" si="114">IF(L46=0,0,L46/L$17)</f>
        <v>7.8221808577068633E-2</v>
      </c>
      <c r="M160" s="103">
        <f t="shared" ref="M160:V160" si="115">IF(M46=0,0,M46/M$17)</f>
        <v>8.1225967543023109E-2</v>
      </c>
      <c r="N160" s="103">
        <f t="shared" si="115"/>
        <v>8.2352014102918855E-2</v>
      </c>
      <c r="O160" s="103">
        <f t="shared" si="115"/>
        <v>8.3080026809615251E-2</v>
      </c>
      <c r="P160" s="103">
        <f t="shared" si="115"/>
        <v>8.0743648189028808E-2</v>
      </c>
      <c r="Q160" s="103">
        <f t="shared" si="115"/>
        <v>8.2740159066631416E-2</v>
      </c>
      <c r="R160" s="103">
        <f t="shared" si="115"/>
        <v>8.3157291934069913E-2</v>
      </c>
      <c r="S160" s="103">
        <f t="shared" si="115"/>
        <v>8.8745167279843371E-2</v>
      </c>
      <c r="T160" s="103">
        <f t="shared" si="115"/>
        <v>8.64606294531787E-2</v>
      </c>
      <c r="U160" s="103">
        <f t="shared" si="115"/>
        <v>8.9331453886433751E-2</v>
      </c>
      <c r="V160" s="103">
        <f t="shared" si="115"/>
        <v>9.6147279940716368E-2</v>
      </c>
      <c r="W160" s="103">
        <f t="shared" ref="W160" si="116">IF(W46=0,0,W46/W$17)</f>
        <v>9.4919003740112695E-2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0</v>
      </c>
      <c r="P161" s="103">
        <f t="shared" si="119"/>
        <v>0</v>
      </c>
      <c r="Q161" s="103">
        <f t="shared" si="119"/>
        <v>0</v>
      </c>
      <c r="R161" s="103">
        <f t="shared" si="119"/>
        <v>0</v>
      </c>
      <c r="S161" s="103">
        <f t="shared" si="119"/>
        <v>0</v>
      </c>
      <c r="T161" s="103">
        <f t="shared" si="119"/>
        <v>0</v>
      </c>
      <c r="U161" s="103">
        <f t="shared" si="119"/>
        <v>0</v>
      </c>
      <c r="V161" s="103">
        <f t="shared" si="119"/>
        <v>0</v>
      </c>
      <c r="W161" s="103">
        <f t="shared" ref="W161" si="120">IF(W48=0,0,W48/W$17)</f>
        <v>0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3.1282256617017433E-7</v>
      </c>
      <c r="D162" s="103">
        <f t="shared" si="121"/>
        <v>1.8208893069939889E-6</v>
      </c>
      <c r="E162" s="103">
        <f t="shared" si="121"/>
        <v>4.9248992259649155E-6</v>
      </c>
      <c r="F162" s="103">
        <f t="shared" si="121"/>
        <v>7.8766083482229225E-6</v>
      </c>
      <c r="G162" s="103">
        <f t="shared" si="121"/>
        <v>1.5778899937180241E-5</v>
      </c>
      <c r="H162" s="103">
        <f t="shared" si="121"/>
        <v>3.8994221105236055E-5</v>
      </c>
      <c r="I162" s="103">
        <f t="shared" si="121"/>
        <v>8.1417918704692355E-5</v>
      </c>
      <c r="J162" s="103">
        <f t="shared" si="121"/>
        <v>1.4773076948372768E-4</v>
      </c>
      <c r="K162" s="103">
        <f t="shared" si="121"/>
        <v>2.2915956128726332E-4</v>
      </c>
      <c r="L162" s="103">
        <f t="shared" ref="L162" si="122">IF(L49=0,0,L49/L$17)</f>
        <v>2.5200708582749686E-4</v>
      </c>
      <c r="M162" s="103">
        <f t="shared" ref="M162:V162" si="123">IF(M49=0,0,M49/M$17)</f>
        <v>2.7733396028987875E-4</v>
      </c>
      <c r="N162" s="103">
        <f t="shared" si="123"/>
        <v>3.5574114117244913E-4</v>
      </c>
      <c r="O162" s="103">
        <f t="shared" si="123"/>
        <v>3.8830444706404585E-4</v>
      </c>
      <c r="P162" s="103">
        <f t="shared" si="123"/>
        <v>4.2074755103839581E-4</v>
      </c>
      <c r="Q162" s="103">
        <f t="shared" si="123"/>
        <v>4.6586280445748733E-4</v>
      </c>
      <c r="R162" s="103">
        <f t="shared" si="123"/>
        <v>4.8515023113053442E-4</v>
      </c>
      <c r="S162" s="103">
        <f t="shared" si="123"/>
        <v>5.4037984483777874E-4</v>
      </c>
      <c r="T162" s="103">
        <f t="shared" si="123"/>
        <v>9.1943593850558815E-4</v>
      </c>
      <c r="U162" s="103">
        <f t="shared" si="123"/>
        <v>9.5929992647025961E-4</v>
      </c>
      <c r="V162" s="103">
        <f t="shared" si="123"/>
        <v>1.0223112533576315E-3</v>
      </c>
      <c r="W162" s="103">
        <f t="shared" ref="W162" si="124">IF(W49=0,0,W49/W$17)</f>
        <v>1.0088187367168434E-3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3.61582045609297E-8</v>
      </c>
      <c r="H163" s="103">
        <f t="shared" si="125"/>
        <v>3.6952433370578589E-6</v>
      </c>
      <c r="I163" s="103">
        <f t="shared" si="125"/>
        <v>3.4453886082945267E-6</v>
      </c>
      <c r="J163" s="103">
        <f t="shared" si="125"/>
        <v>3.4652387647915649E-6</v>
      </c>
      <c r="K163" s="103">
        <f t="shared" si="125"/>
        <v>3.5367598679027918E-6</v>
      </c>
      <c r="L163" s="103">
        <f t="shared" ref="L163" si="126">IF(L51=0,0,L51/L$17)</f>
        <v>3.3904093173699111E-6</v>
      </c>
      <c r="M163" s="103">
        <f t="shared" ref="M163:V163" si="127">IF(M51=0,0,M51/M$17)</f>
        <v>3.4841920096821306E-6</v>
      </c>
      <c r="N163" s="103">
        <f t="shared" si="127"/>
        <v>6.9036338223503425E-6</v>
      </c>
      <c r="O163" s="103">
        <f t="shared" si="127"/>
        <v>1.0555850050072515E-5</v>
      </c>
      <c r="P163" s="103">
        <f t="shared" si="127"/>
        <v>1.6263828738792868E-5</v>
      </c>
      <c r="Q163" s="103">
        <f t="shared" si="127"/>
        <v>2.442937089301626E-5</v>
      </c>
      <c r="R163" s="103">
        <f t="shared" si="127"/>
        <v>3.1253803102200993E-5</v>
      </c>
      <c r="S163" s="103">
        <f t="shared" si="127"/>
        <v>3.898988510713231E-5</v>
      </c>
      <c r="T163" s="103">
        <f t="shared" si="127"/>
        <v>5.8066070283795374E-5</v>
      </c>
      <c r="U163" s="103">
        <f t="shared" si="127"/>
        <v>9.5057342413809676E-5</v>
      </c>
      <c r="V163" s="103">
        <f t="shared" si="127"/>
        <v>1.6918678972161792E-4</v>
      </c>
      <c r="W163" s="103">
        <f t="shared" ref="W163" si="128">IF(W51=0,0,W51/W$17)</f>
        <v>2.5704822047394597E-4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0.1886153346288402</v>
      </c>
      <c r="C164" s="156">
        <f t="shared" si="129"/>
        <v>0.18962387068061329</v>
      </c>
      <c r="D164" s="156">
        <f t="shared" si="129"/>
        <v>0.18343277493744131</v>
      </c>
      <c r="E164" s="156">
        <f t="shared" si="129"/>
        <v>0.18493850739264672</v>
      </c>
      <c r="F164" s="156">
        <f t="shared" si="129"/>
        <v>0.19751267948800619</v>
      </c>
      <c r="G164" s="156">
        <f t="shared" si="129"/>
        <v>0.20188290562038128</v>
      </c>
      <c r="H164" s="156">
        <f t="shared" si="129"/>
        <v>0.20396309609969807</v>
      </c>
      <c r="I164" s="156">
        <f t="shared" si="129"/>
        <v>0.20429334146758171</v>
      </c>
      <c r="J164" s="156">
        <f t="shared" si="129"/>
        <v>0.20667045990475622</v>
      </c>
      <c r="K164" s="156">
        <f t="shared" si="129"/>
        <v>0.18848902243879992</v>
      </c>
      <c r="L164" s="156">
        <f t="shared" ref="L164" si="130">IF(L52=0,0,L52/L$17)</f>
        <v>0.19553288112969386</v>
      </c>
      <c r="M164" s="156">
        <f t="shared" ref="M164:V164" si="131">IF(M52=0,0,M52/M$17)</f>
        <v>0.18793732682748618</v>
      </c>
      <c r="N164" s="156">
        <f t="shared" si="131"/>
        <v>0.17184097637215848</v>
      </c>
      <c r="O164" s="156">
        <f t="shared" si="131"/>
        <v>0.16834939839436633</v>
      </c>
      <c r="P164" s="156">
        <f t="shared" si="131"/>
        <v>0.17115038704314633</v>
      </c>
      <c r="Q164" s="156">
        <f t="shared" si="131"/>
        <v>0.16617098073559836</v>
      </c>
      <c r="R164" s="156">
        <f t="shared" si="131"/>
        <v>0.15545893862668653</v>
      </c>
      <c r="S164" s="156">
        <f t="shared" si="131"/>
        <v>0.15690903656273855</v>
      </c>
      <c r="T164" s="156">
        <f t="shared" si="131"/>
        <v>0.15156400064830106</v>
      </c>
      <c r="U164" s="156">
        <f t="shared" si="131"/>
        <v>0.15397403409450255</v>
      </c>
      <c r="V164" s="156">
        <f t="shared" si="131"/>
        <v>0.17177053620972374</v>
      </c>
      <c r="W164" s="156">
        <f t="shared" ref="W164" si="132">IF(W52=0,0,W52/W$17)</f>
        <v>0.1787057268662629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0.14976132350985619</v>
      </c>
      <c r="C165" s="104">
        <f t="shared" si="133"/>
        <v>0.14816615684274287</v>
      </c>
      <c r="D165" s="104">
        <f t="shared" si="133"/>
        <v>0.14241972310142695</v>
      </c>
      <c r="E165" s="104">
        <f t="shared" si="133"/>
        <v>0.1421536213273302</v>
      </c>
      <c r="F165" s="104">
        <f t="shared" si="133"/>
        <v>0.14680573688106438</v>
      </c>
      <c r="G165" s="104">
        <f t="shared" si="133"/>
        <v>0.15181908430113455</v>
      </c>
      <c r="H165" s="104">
        <f t="shared" si="133"/>
        <v>0.15039348749279549</v>
      </c>
      <c r="I165" s="104">
        <f t="shared" si="133"/>
        <v>0.15198940427792107</v>
      </c>
      <c r="J165" s="104">
        <f t="shared" si="133"/>
        <v>0.15653765416718587</v>
      </c>
      <c r="K165" s="104">
        <f t="shared" si="133"/>
        <v>0.14770457051970767</v>
      </c>
      <c r="L165" s="104">
        <f t="shared" ref="L165" si="134">IF(L53=0,0,L53/L$17)</f>
        <v>0.1510197010671368</v>
      </c>
      <c r="M165" s="104">
        <f t="shared" ref="M165:V165" si="135">IF(M53=0,0,M53/M$17)</f>
        <v>0.14464393437743289</v>
      </c>
      <c r="N165" s="104">
        <f t="shared" si="135"/>
        <v>0.13052966459116166</v>
      </c>
      <c r="O165" s="104">
        <f t="shared" si="135"/>
        <v>0.12339551507572495</v>
      </c>
      <c r="P165" s="104">
        <f t="shared" si="135"/>
        <v>0.13419519732781168</v>
      </c>
      <c r="Q165" s="104">
        <f t="shared" si="135"/>
        <v>0.1262159491068256</v>
      </c>
      <c r="R165" s="104">
        <f t="shared" si="135"/>
        <v>0.11606897897063048</v>
      </c>
      <c r="S165" s="104">
        <f t="shared" si="135"/>
        <v>0.11761998516656533</v>
      </c>
      <c r="T165" s="104">
        <f t="shared" si="135"/>
        <v>0.11395994033614509</v>
      </c>
      <c r="U165" s="104">
        <f t="shared" si="135"/>
        <v>0.11697620041498175</v>
      </c>
      <c r="V165" s="104">
        <f t="shared" si="135"/>
        <v>0.12898065529706501</v>
      </c>
      <c r="W165" s="104">
        <f t="shared" ref="W165" si="136">IF(W53=0,0,W53/W$17)</f>
        <v>0.13256391082909863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3.8854011118984032E-2</v>
      </c>
      <c r="C166" s="105">
        <f t="shared" si="137"/>
        <v>4.1457713837870405E-2</v>
      </c>
      <c r="D166" s="105">
        <f t="shared" si="137"/>
        <v>4.1013051836014378E-2</v>
      </c>
      <c r="E166" s="105">
        <f t="shared" si="137"/>
        <v>4.278488606531651E-2</v>
      </c>
      <c r="F166" s="105">
        <f t="shared" si="137"/>
        <v>5.07069426069418E-2</v>
      </c>
      <c r="G166" s="105">
        <f t="shared" si="137"/>
        <v>5.0063821319246721E-2</v>
      </c>
      <c r="H166" s="105">
        <f t="shared" si="137"/>
        <v>5.3569608606902561E-2</v>
      </c>
      <c r="I166" s="105">
        <f t="shared" si="137"/>
        <v>5.230393718966065E-2</v>
      </c>
      <c r="J166" s="105">
        <f t="shared" si="137"/>
        <v>5.0132805737570341E-2</v>
      </c>
      <c r="K166" s="105">
        <f t="shared" si="137"/>
        <v>4.0784451919092253E-2</v>
      </c>
      <c r="L166" s="105">
        <f t="shared" ref="L166" si="138">IF(L55=0,0,L55/L$17)</f>
        <v>4.4513180062557035E-2</v>
      </c>
      <c r="M166" s="105">
        <f t="shared" ref="M166:V166" si="139">IF(M55=0,0,M55/M$17)</f>
        <v>4.3293392450053272E-2</v>
      </c>
      <c r="N166" s="105">
        <f t="shared" si="139"/>
        <v>4.1311311780996805E-2</v>
      </c>
      <c r="O166" s="105">
        <f t="shared" si="139"/>
        <v>4.4953883318641363E-2</v>
      </c>
      <c r="P166" s="105">
        <f t="shared" si="139"/>
        <v>3.6955189715334645E-2</v>
      </c>
      <c r="Q166" s="105">
        <f t="shared" si="139"/>
        <v>3.9955031628772751E-2</v>
      </c>
      <c r="R166" s="105">
        <f t="shared" si="139"/>
        <v>3.9389959656056052E-2</v>
      </c>
      <c r="S166" s="105">
        <f t="shared" si="139"/>
        <v>3.9289051396173225E-2</v>
      </c>
      <c r="T166" s="105">
        <f t="shared" si="139"/>
        <v>3.7604060312155956E-2</v>
      </c>
      <c r="U166" s="105">
        <f t="shared" si="139"/>
        <v>3.6997833679520795E-2</v>
      </c>
      <c r="V166" s="105">
        <f t="shared" si="139"/>
        <v>4.2789880912658722E-2</v>
      </c>
      <c r="W166" s="105">
        <f t="shared" ref="W166" si="140">IF(W55=0,0,W55/W$17)</f>
        <v>4.6141816037164295E-2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20093.783380559998</v>
      </c>
      <c r="C4" s="146">
        <f t="shared" si="0"/>
        <v>20012.177790000002</v>
      </c>
      <c r="D4" s="146">
        <f t="shared" si="0"/>
        <v>20361.502101959999</v>
      </c>
      <c r="E4" s="146">
        <f t="shared" si="0"/>
        <v>20598.20169084</v>
      </c>
      <c r="F4" s="146">
        <f t="shared" si="0"/>
        <v>21010.621923720002</v>
      </c>
      <c r="G4" s="146">
        <f t="shared" si="0"/>
        <v>19963.745190000001</v>
      </c>
      <c r="H4" s="146">
        <f t="shared" si="0"/>
        <v>20114.466755759997</v>
      </c>
      <c r="I4" s="146">
        <f t="shared" si="0"/>
        <v>20287.933983359999</v>
      </c>
      <c r="J4" s="146">
        <f t="shared" si="0"/>
        <v>19886.215266359995</v>
      </c>
      <c r="K4" s="146">
        <f t="shared" si="0"/>
        <v>19433.417911200002</v>
      </c>
      <c r="L4" s="146">
        <f t="shared" ref="L4" si="1">L5+L9+L10+L15</f>
        <v>19807.856773559997</v>
      </c>
      <c r="M4" s="146">
        <f t="shared" ref="M4:V4" si="2">M5+M9+M10+M15</f>
        <v>19457.832493440001</v>
      </c>
      <c r="N4" s="146">
        <f t="shared" si="2"/>
        <v>18471.993899400004</v>
      </c>
      <c r="O4" s="146">
        <f t="shared" si="2"/>
        <v>17949.870159120001</v>
      </c>
      <c r="P4" s="146">
        <f t="shared" si="2"/>
        <v>17483.336373239999</v>
      </c>
      <c r="Q4" s="146">
        <f t="shared" si="2"/>
        <v>17555.683529879996</v>
      </c>
      <c r="R4" s="146">
        <f t="shared" si="2"/>
        <v>16671.897189719995</v>
      </c>
      <c r="S4" s="146">
        <f t="shared" si="2"/>
        <v>16219.920622679998</v>
      </c>
      <c r="T4" s="146">
        <f t="shared" si="2"/>
        <v>15359.727326759999</v>
      </c>
      <c r="U4" s="146">
        <f t="shared" si="2"/>
        <v>15353.804750400001</v>
      </c>
      <c r="V4" s="146">
        <f t="shared" si="2"/>
        <v>14494.197419280003</v>
      </c>
      <c r="W4" s="146">
        <f t="shared" ref="W4" si="3">W5+W9+W10+W15</f>
        <v>14835.401757720001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20069.95210056</v>
      </c>
      <c r="C5" s="101">
        <f t="shared" si="4"/>
        <v>19987.99308</v>
      </c>
      <c r="D5" s="101">
        <f t="shared" si="4"/>
        <v>20333.227701960001</v>
      </c>
      <c r="E5" s="101">
        <f t="shared" si="4"/>
        <v>20557.15332084</v>
      </c>
      <c r="F5" s="101">
        <f t="shared" si="4"/>
        <v>20974.420593720002</v>
      </c>
      <c r="G5" s="101">
        <f t="shared" si="4"/>
        <v>19927.644840000001</v>
      </c>
      <c r="H5" s="101">
        <f t="shared" si="4"/>
        <v>20061.401765759998</v>
      </c>
      <c r="I5" s="101">
        <f t="shared" si="4"/>
        <v>20233.152333359998</v>
      </c>
      <c r="J5" s="101">
        <f t="shared" si="4"/>
        <v>19829.716956359996</v>
      </c>
      <c r="K5" s="101">
        <f t="shared" si="4"/>
        <v>19384.594081200001</v>
      </c>
      <c r="L5" s="101">
        <f t="shared" ref="L5" si="5">SUM(L6:L8)</f>
        <v>19733.333533559999</v>
      </c>
      <c r="M5" s="101">
        <f t="shared" ref="M5:V5" si="6">SUM(M6:M8)</f>
        <v>19357.30690344</v>
      </c>
      <c r="N5" s="101">
        <f t="shared" si="6"/>
        <v>18347.586539400003</v>
      </c>
      <c r="O5" s="101">
        <f t="shared" si="6"/>
        <v>17826.11916912</v>
      </c>
      <c r="P5" s="101">
        <f t="shared" si="6"/>
        <v>17364.432423239999</v>
      </c>
      <c r="Q5" s="101">
        <f t="shared" si="6"/>
        <v>17474.798549879997</v>
      </c>
      <c r="R5" s="101">
        <f t="shared" si="6"/>
        <v>16586.266149719995</v>
      </c>
      <c r="S5" s="101">
        <f t="shared" si="6"/>
        <v>16188.643683359998</v>
      </c>
      <c r="T5" s="101">
        <f t="shared" si="6"/>
        <v>15332.917136759999</v>
      </c>
      <c r="U5" s="101">
        <f t="shared" si="6"/>
        <v>15333.5845152</v>
      </c>
      <c r="V5" s="101">
        <f t="shared" si="6"/>
        <v>14473.963046880002</v>
      </c>
      <c r="W5" s="101">
        <f t="shared" ref="W5" si="7">SUM(W6:W8)</f>
        <v>14812.81879248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0</v>
      </c>
      <c r="E6" s="101">
        <v>0</v>
      </c>
      <c r="F6" s="101">
        <v>0</v>
      </c>
      <c r="G6" s="101">
        <v>2.1698323199999998</v>
      </c>
      <c r="H6" s="101">
        <v>1.61465328</v>
      </c>
      <c r="I6" s="101">
        <v>3.471231959999999</v>
      </c>
      <c r="J6" s="101">
        <v>2.2234420800000003</v>
      </c>
      <c r="K6" s="101">
        <v>2.7459100799999989</v>
      </c>
      <c r="L6" s="101">
        <v>2.8981072799999992</v>
      </c>
      <c r="M6" s="101">
        <v>2.6891200800000008</v>
      </c>
      <c r="N6" s="101">
        <v>1.67439636</v>
      </c>
      <c r="O6" s="101">
        <v>0.87456599999999984</v>
      </c>
      <c r="P6" s="101">
        <v>1.0267632000000002</v>
      </c>
      <c r="Q6" s="101">
        <v>5.7364714800000014</v>
      </c>
      <c r="R6" s="101">
        <v>2.0146820400000003</v>
      </c>
      <c r="S6" s="101">
        <v>0</v>
      </c>
      <c r="T6" s="101">
        <v>0</v>
      </c>
      <c r="U6" s="101">
        <v>0</v>
      </c>
      <c r="V6" s="101">
        <v>0</v>
      </c>
      <c r="W6" s="101">
        <v>0</v>
      </c>
      <c r="DA6" s="175" t="s">
        <v>740</v>
      </c>
    </row>
    <row r="7" spans="1:105" ht="11.45" customHeight="1" x14ac:dyDescent="0.25">
      <c r="A7" s="128" t="s">
        <v>53</v>
      </c>
      <c r="B7" s="101">
        <v>12209.350119119999</v>
      </c>
      <c r="C7" s="101">
        <v>12101.90058</v>
      </c>
      <c r="D7" s="101">
        <v>12408.89969088</v>
      </c>
      <c r="E7" s="101">
        <v>12301.449902279999</v>
      </c>
      <c r="F7" s="101">
        <v>12052.780712279999</v>
      </c>
      <c r="G7" s="101">
        <v>11434.880872799999</v>
      </c>
      <c r="H7" s="101">
        <v>11116.381482360001</v>
      </c>
      <c r="I7" s="101">
        <v>10869.615824759998</v>
      </c>
      <c r="J7" s="101">
        <v>10216.819221839998</v>
      </c>
      <c r="K7" s="101">
        <v>10001.091121560001</v>
      </c>
      <c r="L7" s="101">
        <v>9365.7965385599982</v>
      </c>
      <c r="M7" s="101">
        <v>8655.5544213600006</v>
      </c>
      <c r="N7" s="101">
        <v>7899.3758012400021</v>
      </c>
      <c r="O7" s="101">
        <v>7454.4147493199998</v>
      </c>
      <c r="P7" s="101">
        <v>7146.1108580400005</v>
      </c>
      <c r="Q7" s="101">
        <v>6950.2700559599989</v>
      </c>
      <c r="R7" s="101">
        <v>6642.6355195199976</v>
      </c>
      <c r="S7" s="101">
        <v>6328.25055324</v>
      </c>
      <c r="T7" s="101">
        <v>5917.260943440001</v>
      </c>
      <c r="U7" s="101">
        <v>5775.1431645600005</v>
      </c>
      <c r="V7" s="101">
        <v>5274.1623765600007</v>
      </c>
      <c r="W7" s="101">
        <v>5535.1895583600008</v>
      </c>
      <c r="DA7" s="175" t="s">
        <v>741</v>
      </c>
    </row>
    <row r="8" spans="1:105" ht="11.45" customHeight="1" x14ac:dyDescent="0.25">
      <c r="A8" s="128" t="s">
        <v>54</v>
      </c>
      <c r="B8" s="101">
        <v>7860.6019814399997</v>
      </c>
      <c r="C8" s="101">
        <v>7886.0924999999988</v>
      </c>
      <c r="D8" s="101">
        <v>7924.3280110800015</v>
      </c>
      <c r="E8" s="101">
        <v>8255.7034185600005</v>
      </c>
      <c r="F8" s="101">
        <v>8921.6398814400018</v>
      </c>
      <c r="G8" s="101">
        <v>8490.5941348800006</v>
      </c>
      <c r="H8" s="101">
        <v>8943.405630119998</v>
      </c>
      <c r="I8" s="101">
        <v>9360.065276639998</v>
      </c>
      <c r="J8" s="101">
        <v>9610.6742924400005</v>
      </c>
      <c r="K8" s="101">
        <v>9380.7570495599994</v>
      </c>
      <c r="L8" s="101">
        <v>10364.638887720001</v>
      </c>
      <c r="M8" s="101">
        <v>10699.063361999999</v>
      </c>
      <c r="N8" s="101">
        <v>10446.5363418</v>
      </c>
      <c r="O8" s="101">
        <v>10370.8298538</v>
      </c>
      <c r="P8" s="101">
        <v>10217.294801999999</v>
      </c>
      <c r="Q8" s="101">
        <v>10518.79202244</v>
      </c>
      <c r="R8" s="101">
        <v>9941.6159481599989</v>
      </c>
      <c r="S8" s="101">
        <v>9860.3931301199973</v>
      </c>
      <c r="T8" s="101">
        <v>9415.6561933199991</v>
      </c>
      <c r="U8" s="101">
        <v>9558.4413506399997</v>
      </c>
      <c r="V8" s="101">
        <v>9199.8006703200008</v>
      </c>
      <c r="W8" s="101">
        <v>9277.6292341199987</v>
      </c>
      <c r="DA8" s="175" t="s">
        <v>742</v>
      </c>
    </row>
    <row r="9" spans="1:105" ht="11.45" customHeight="1" x14ac:dyDescent="0.25">
      <c r="A9" s="92" t="s">
        <v>55</v>
      </c>
      <c r="B9" s="101">
        <v>23.831280000000007</v>
      </c>
      <c r="C9" s="101">
        <v>24.184710000000003</v>
      </c>
      <c r="D9" s="101">
        <v>28.274400000000014</v>
      </c>
      <c r="E9" s="101">
        <v>41.048370000000006</v>
      </c>
      <c r="F9" s="101">
        <v>36.201329999999999</v>
      </c>
      <c r="G9" s="101">
        <v>36.100349999999999</v>
      </c>
      <c r="H9" s="101">
        <v>53.064990000000002</v>
      </c>
      <c r="I9" s="101">
        <v>54.781650000000013</v>
      </c>
      <c r="J9" s="101">
        <v>56.498309999999989</v>
      </c>
      <c r="K9" s="101">
        <v>48.823830000000001</v>
      </c>
      <c r="L9" s="101">
        <v>74.523240000000015</v>
      </c>
      <c r="M9" s="101">
        <v>100.52559000000001</v>
      </c>
      <c r="N9" s="101">
        <v>124.40735999999998</v>
      </c>
      <c r="O9" s="101">
        <v>123.75099000000003</v>
      </c>
      <c r="P9" s="101">
        <v>118.90395000000001</v>
      </c>
      <c r="Q9" s="101">
        <v>80.884979999999999</v>
      </c>
      <c r="R9" s="101">
        <v>85.631040000000013</v>
      </c>
      <c r="S9" s="101">
        <v>31.276939320000007</v>
      </c>
      <c r="T9" s="101">
        <v>26.810190000000002</v>
      </c>
      <c r="U9" s="101">
        <v>20.220235200000001</v>
      </c>
      <c r="V9" s="101">
        <v>20.234372400000002</v>
      </c>
      <c r="W9" s="101">
        <v>22.58296524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20093.783380559998</v>
      </c>
      <c r="C17" s="79">
        <f t="shared" si="12"/>
        <v>20012.177789999998</v>
      </c>
      <c r="D17" s="79">
        <f t="shared" si="12"/>
        <v>20361.502101959999</v>
      </c>
      <c r="E17" s="79">
        <f t="shared" si="12"/>
        <v>20598.20169084</v>
      </c>
      <c r="F17" s="79">
        <f t="shared" si="12"/>
        <v>21010.621923719998</v>
      </c>
      <c r="G17" s="79">
        <f t="shared" si="12"/>
        <v>19963.745189999998</v>
      </c>
      <c r="H17" s="79">
        <f t="shared" si="12"/>
        <v>20114.466755759997</v>
      </c>
      <c r="I17" s="79">
        <f t="shared" si="12"/>
        <v>20287.933983359999</v>
      </c>
      <c r="J17" s="79">
        <f t="shared" si="12"/>
        <v>19886.215266359999</v>
      </c>
      <c r="K17" s="79">
        <f t="shared" si="12"/>
        <v>19433.417911199998</v>
      </c>
      <c r="L17" s="79">
        <f t="shared" ref="L17" si="13">SUM(L18,L33)</f>
        <v>19807.856773559997</v>
      </c>
      <c r="M17" s="79">
        <f t="shared" ref="M17:V17" si="14">SUM(M18,M33)</f>
        <v>19457.832493440001</v>
      </c>
      <c r="N17" s="79">
        <f t="shared" si="14"/>
        <v>18471.9938994</v>
      </c>
      <c r="O17" s="79">
        <f t="shared" si="14"/>
        <v>17949.870159120001</v>
      </c>
      <c r="P17" s="79">
        <f t="shared" si="14"/>
        <v>17483.336373239999</v>
      </c>
      <c r="Q17" s="79">
        <f t="shared" si="14"/>
        <v>17555.68352988</v>
      </c>
      <c r="R17" s="79">
        <f t="shared" si="14"/>
        <v>16671.897189719995</v>
      </c>
      <c r="S17" s="79">
        <f t="shared" si="14"/>
        <v>16219.92062268</v>
      </c>
      <c r="T17" s="79">
        <f t="shared" si="14"/>
        <v>15359.727326759999</v>
      </c>
      <c r="U17" s="79">
        <f t="shared" si="14"/>
        <v>15353.804750400002</v>
      </c>
      <c r="V17" s="79">
        <f t="shared" si="14"/>
        <v>14494.197419280001</v>
      </c>
      <c r="W17" s="79">
        <f t="shared" ref="W17" si="15">SUM(W18,W33)</f>
        <v>14835.401757719999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14947.068997580453</v>
      </c>
      <c r="C18" s="32">
        <f t="shared" si="16"/>
        <v>14721.422542111808</v>
      </c>
      <c r="D18" s="32">
        <f t="shared" si="16"/>
        <v>15048.946040420084</v>
      </c>
      <c r="E18" s="32">
        <f t="shared" si="16"/>
        <v>15066.966041753665</v>
      </c>
      <c r="F18" s="32">
        <f t="shared" si="16"/>
        <v>14913.232022349375</v>
      </c>
      <c r="G18" s="32">
        <f t="shared" si="16"/>
        <v>14145.696766687392</v>
      </c>
      <c r="H18" s="32">
        <f t="shared" si="16"/>
        <v>14137.872424896495</v>
      </c>
      <c r="I18" s="32">
        <f t="shared" si="16"/>
        <v>14262.934324308826</v>
      </c>
      <c r="J18" s="32">
        <f t="shared" si="16"/>
        <v>13866.31219114405</v>
      </c>
      <c r="K18" s="32">
        <f t="shared" si="16"/>
        <v>13935.283957964581</v>
      </c>
      <c r="L18" s="32">
        <f t="shared" ref="L18" si="17">SUM(L19,L20,L27)</f>
        <v>13973.091743837029</v>
      </c>
      <c r="M18" s="32">
        <f t="shared" ref="M18:V18" si="18">SUM(M19,M20,M27)</f>
        <v>13816.233094469315</v>
      </c>
      <c r="N18" s="32">
        <f t="shared" si="18"/>
        <v>13451.966731522898</v>
      </c>
      <c r="O18" s="32">
        <f t="shared" si="18"/>
        <v>13203.324021793438</v>
      </c>
      <c r="P18" s="32">
        <f t="shared" si="18"/>
        <v>12949.968434848424</v>
      </c>
      <c r="Q18" s="32">
        <f t="shared" si="18"/>
        <v>13126.321953654526</v>
      </c>
      <c r="R18" s="32">
        <f t="shared" si="18"/>
        <v>12755.249691068202</v>
      </c>
      <c r="S18" s="32">
        <f t="shared" si="18"/>
        <v>12382.199917889793</v>
      </c>
      <c r="T18" s="32">
        <f t="shared" si="18"/>
        <v>11844.131258516119</v>
      </c>
      <c r="U18" s="32">
        <f t="shared" si="18"/>
        <v>11759.853508967872</v>
      </c>
      <c r="V18" s="32">
        <f t="shared" si="18"/>
        <v>10750.176280506712</v>
      </c>
      <c r="W18" s="32">
        <f t="shared" ref="W18" si="19">SUM(W19,W20,W27)</f>
        <v>10915.65228615309</v>
      </c>
      <c r="DA18" s="173" t="s">
        <v>402</v>
      </c>
    </row>
    <row r="19" spans="1:105" ht="11.45" customHeight="1" x14ac:dyDescent="0.25">
      <c r="A19" s="136" t="s">
        <v>180</v>
      </c>
      <c r="B19" s="141">
        <v>65.906364240480428</v>
      </c>
      <c r="C19" s="141">
        <v>70.509937826087921</v>
      </c>
      <c r="D19" s="141">
        <v>77.953612656155045</v>
      </c>
      <c r="E19" s="141">
        <v>82.617330641039217</v>
      </c>
      <c r="F19" s="141">
        <v>86.893546143261986</v>
      </c>
      <c r="G19" s="141">
        <v>87.231701406722891</v>
      </c>
      <c r="H19" s="141">
        <v>92.771206216344268</v>
      </c>
      <c r="I19" s="141">
        <v>100.92549555208141</v>
      </c>
      <c r="J19" s="141">
        <v>96.299940468004863</v>
      </c>
      <c r="K19" s="141">
        <v>95.407019296779694</v>
      </c>
      <c r="L19" s="141">
        <v>88.569714406669632</v>
      </c>
      <c r="M19" s="141">
        <v>86.24523472603039</v>
      </c>
      <c r="N19" s="141">
        <v>73.16457868312925</v>
      </c>
      <c r="O19" s="141">
        <v>80.893157566600919</v>
      </c>
      <c r="P19" s="141">
        <v>78.963402883906525</v>
      </c>
      <c r="Q19" s="141">
        <v>79.573682506749748</v>
      </c>
      <c r="R19" s="141">
        <v>83.130490815900771</v>
      </c>
      <c r="S19" s="141">
        <v>77.492482353102844</v>
      </c>
      <c r="T19" s="141">
        <v>71.923046551461411</v>
      </c>
      <c r="U19" s="141">
        <v>76.16581664057037</v>
      </c>
      <c r="V19" s="141">
        <v>67.225414102492167</v>
      </c>
      <c r="W19" s="141">
        <v>65.100340937747873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12974.709155220244</v>
      </c>
      <c r="C20" s="130">
        <f t="shared" si="20"/>
        <v>12809.045104075194</v>
      </c>
      <c r="D20" s="130">
        <f t="shared" si="20"/>
        <v>13171.380288480699</v>
      </c>
      <c r="E20" s="130">
        <f t="shared" si="20"/>
        <v>13167.113310664348</v>
      </c>
      <c r="F20" s="130">
        <f t="shared" si="20"/>
        <v>13034.650649902795</v>
      </c>
      <c r="G20" s="130">
        <f t="shared" si="20"/>
        <v>12464.022527201532</v>
      </c>
      <c r="H20" s="130">
        <f t="shared" si="20"/>
        <v>12400.275572918905</v>
      </c>
      <c r="I20" s="130">
        <f t="shared" si="20"/>
        <v>12611.834653370186</v>
      </c>
      <c r="J20" s="130">
        <f t="shared" si="20"/>
        <v>12279.450865059564</v>
      </c>
      <c r="K20" s="130">
        <f t="shared" si="20"/>
        <v>12428.980485372129</v>
      </c>
      <c r="L20" s="130">
        <f t="shared" ref="L20" si="21">SUM(L21:L26)</f>
        <v>12405.826692699509</v>
      </c>
      <c r="M20" s="130">
        <f t="shared" ref="M20:V20" si="22">SUM(M21:M26)</f>
        <v>12295.925883768303</v>
      </c>
      <c r="N20" s="130">
        <f t="shared" si="22"/>
        <v>11968.621927536373</v>
      </c>
      <c r="O20" s="130">
        <f t="shared" si="22"/>
        <v>11815.509661393464</v>
      </c>
      <c r="P20" s="130">
        <f t="shared" si="22"/>
        <v>11703.158904127942</v>
      </c>
      <c r="Q20" s="130">
        <f t="shared" si="22"/>
        <v>11928.543997941346</v>
      </c>
      <c r="R20" s="130">
        <f t="shared" si="22"/>
        <v>11635.701485155227</v>
      </c>
      <c r="S20" s="130">
        <f t="shared" si="22"/>
        <v>11339.752454510555</v>
      </c>
      <c r="T20" s="130">
        <f t="shared" si="22"/>
        <v>10854.709957044775</v>
      </c>
      <c r="U20" s="130">
        <f t="shared" si="22"/>
        <v>10749.921466382202</v>
      </c>
      <c r="V20" s="130">
        <f t="shared" si="22"/>
        <v>9855.7751823576818</v>
      </c>
      <c r="W20" s="130">
        <f t="shared" ref="W20" si="23">SUM(W21:W26)</f>
        <v>10043.862520286944</v>
      </c>
      <c r="DA20" s="176" t="s">
        <v>404</v>
      </c>
    </row>
    <row r="21" spans="1:105" ht="11.45" customHeight="1" x14ac:dyDescent="0.25">
      <c r="A21" s="111" t="s">
        <v>110</v>
      </c>
      <c r="B21" s="96">
        <v>11650.923527693059</v>
      </c>
      <c r="C21" s="96">
        <v>11558.03697634351</v>
      </c>
      <c r="D21" s="96">
        <v>11895.492195004268</v>
      </c>
      <c r="E21" s="96">
        <v>11836.442944203462</v>
      </c>
      <c r="F21" s="96">
        <v>11630.113640080621</v>
      </c>
      <c r="G21" s="96">
        <v>11040.786821454034</v>
      </c>
      <c r="H21" s="96">
        <v>10755.506281943075</v>
      </c>
      <c r="I21" s="96">
        <v>10523.747593707243</v>
      </c>
      <c r="J21" s="96">
        <v>9905.8126635317858</v>
      </c>
      <c r="K21" s="96">
        <v>9710.2326855290485</v>
      </c>
      <c r="L21" s="96">
        <v>9107.5902221161923</v>
      </c>
      <c r="M21" s="96">
        <v>8411.3716050051535</v>
      </c>
      <c r="N21" s="96">
        <v>7689.9036559095566</v>
      </c>
      <c r="O21" s="96">
        <v>7254.5678498745028</v>
      </c>
      <c r="P21" s="96">
        <v>6955.7439981134248</v>
      </c>
      <c r="Q21" s="96">
        <v>6761.5990262932364</v>
      </c>
      <c r="R21" s="96">
        <v>6462.4297739312515</v>
      </c>
      <c r="S21" s="96">
        <v>6156.8141802627379</v>
      </c>
      <c r="T21" s="96">
        <v>5745.7979351380318</v>
      </c>
      <c r="U21" s="96">
        <v>5594.2883909817829</v>
      </c>
      <c r="V21" s="96">
        <v>5078.9505397220255</v>
      </c>
      <c r="W21" s="96">
        <v>5307.0591014693055</v>
      </c>
      <c r="DA21" s="171" t="s">
        <v>750</v>
      </c>
    </row>
    <row r="22" spans="1:105" ht="11.45" customHeight="1" x14ac:dyDescent="0.25">
      <c r="A22" s="111" t="s">
        <v>111</v>
      </c>
      <c r="B22" s="96">
        <v>1323.7856275271845</v>
      </c>
      <c r="C22" s="96">
        <v>1251.0081277316842</v>
      </c>
      <c r="D22" s="96">
        <v>1272.3588824183703</v>
      </c>
      <c r="E22" s="96">
        <v>1323.6779831362726</v>
      </c>
      <c r="F22" s="96">
        <v>1393.6859490095715</v>
      </c>
      <c r="G22" s="96">
        <v>1405.5205239232748</v>
      </c>
      <c r="H22" s="96">
        <v>1627.5132824476793</v>
      </c>
      <c r="I22" s="96">
        <v>2066.7478698220202</v>
      </c>
      <c r="J22" s="96">
        <v>2360.2350545046711</v>
      </c>
      <c r="K22" s="96">
        <v>2705.3302167476663</v>
      </c>
      <c r="L22" s="96">
        <v>3269.7808149486937</v>
      </c>
      <c r="M22" s="96">
        <v>3857.5394699007329</v>
      </c>
      <c r="N22" s="96">
        <v>4243.9411512133665</v>
      </c>
      <c r="O22" s="96">
        <v>4525.6120096418526</v>
      </c>
      <c r="P22" s="96">
        <v>4709.1646563613358</v>
      </c>
      <c r="Q22" s="96">
        <v>5129.2125121237214</v>
      </c>
      <c r="R22" s="96">
        <v>5128.3440577172105</v>
      </c>
      <c r="S22" s="96">
        <v>5151.0938847674124</v>
      </c>
      <c r="T22" s="96">
        <v>5069.4290774756428</v>
      </c>
      <c r="U22" s="96">
        <v>5110.8085867322716</v>
      </c>
      <c r="V22" s="96">
        <v>4707.9761375482894</v>
      </c>
      <c r="W22" s="96">
        <v>4634.1056648991862</v>
      </c>
      <c r="DA22" s="171" t="s">
        <v>751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2.1698323199999998</v>
      </c>
      <c r="H23" s="96">
        <v>1.61465328</v>
      </c>
      <c r="I23" s="96">
        <v>3.471231959999999</v>
      </c>
      <c r="J23" s="96">
        <v>2.2234420800000003</v>
      </c>
      <c r="K23" s="96">
        <v>2.7459100799999989</v>
      </c>
      <c r="L23" s="96">
        <v>2.8981072799999992</v>
      </c>
      <c r="M23" s="96">
        <v>2.6891200800000008</v>
      </c>
      <c r="N23" s="96">
        <v>1.67439636</v>
      </c>
      <c r="O23" s="96">
        <v>0.87456599999999984</v>
      </c>
      <c r="P23" s="96">
        <v>1.0267632000000002</v>
      </c>
      <c r="Q23" s="96">
        <v>5.7364714800000014</v>
      </c>
      <c r="R23" s="96">
        <v>2.0146820400000003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3.5292110580616081</v>
      </c>
      <c r="E24" s="96">
        <v>6.9923833246139431</v>
      </c>
      <c r="F24" s="96">
        <v>10.851060812602105</v>
      </c>
      <c r="G24" s="96">
        <v>15.545349504224063</v>
      </c>
      <c r="H24" s="96">
        <v>15.641355248152163</v>
      </c>
      <c r="I24" s="96">
        <v>17.867957880921974</v>
      </c>
      <c r="J24" s="96">
        <v>11.054676371174631</v>
      </c>
      <c r="K24" s="96">
        <v>10.520976172463186</v>
      </c>
      <c r="L24" s="96">
        <v>25.386014287316343</v>
      </c>
      <c r="M24" s="96">
        <v>24.035474860888908</v>
      </c>
      <c r="N24" s="96">
        <v>32.420427154714723</v>
      </c>
      <c r="O24" s="96">
        <v>33.475676306213472</v>
      </c>
      <c r="P24" s="96">
        <v>34.101475414072482</v>
      </c>
      <c r="Q24" s="96">
        <v>25.933740322186345</v>
      </c>
      <c r="R24" s="96">
        <v>31.213704652728939</v>
      </c>
      <c r="S24" s="96">
        <v>12.010864279692061</v>
      </c>
      <c r="T24" s="96">
        <v>9.428892154012356</v>
      </c>
      <c r="U24" s="96">
        <v>8.1030071816570377</v>
      </c>
      <c r="V24" s="96">
        <v>8.4482716270489249</v>
      </c>
      <c r="W24" s="96">
        <v>10.115649862089862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0.12502857193117251</v>
      </c>
      <c r="K25" s="96">
        <v>0.15069684295021463</v>
      </c>
      <c r="L25" s="96">
        <v>0.17153406730784918</v>
      </c>
      <c r="M25" s="96">
        <v>0.29021392152763809</v>
      </c>
      <c r="N25" s="96">
        <v>0.68229689873448396</v>
      </c>
      <c r="O25" s="96">
        <v>0.97955957089245749</v>
      </c>
      <c r="P25" s="96">
        <v>3.1220110391089695</v>
      </c>
      <c r="Q25" s="96">
        <v>6.0622477221997961</v>
      </c>
      <c r="R25" s="96">
        <v>11.699266814036113</v>
      </c>
      <c r="S25" s="96">
        <v>19.83352520071244</v>
      </c>
      <c r="T25" s="96">
        <v>30.054052277088182</v>
      </c>
      <c r="U25" s="96">
        <v>36.721481486490674</v>
      </c>
      <c r="V25" s="96">
        <v>60.400233460317722</v>
      </c>
      <c r="W25" s="96">
        <v>92.582104056363249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1906.453478119729</v>
      </c>
      <c r="C27" s="130">
        <f t="shared" si="24"/>
        <v>1841.8675002105258</v>
      </c>
      <c r="D27" s="130">
        <f t="shared" si="24"/>
        <v>1799.6121392832301</v>
      </c>
      <c r="E27" s="130">
        <f t="shared" si="24"/>
        <v>1817.235400448277</v>
      </c>
      <c r="F27" s="130">
        <f t="shared" si="24"/>
        <v>1791.6878263033202</v>
      </c>
      <c r="G27" s="130">
        <f t="shared" si="24"/>
        <v>1594.4425380791363</v>
      </c>
      <c r="H27" s="130">
        <f t="shared" si="24"/>
        <v>1644.8256457612467</v>
      </c>
      <c r="I27" s="130">
        <f t="shared" si="24"/>
        <v>1550.1741753865599</v>
      </c>
      <c r="J27" s="130">
        <f t="shared" si="24"/>
        <v>1490.5613856164812</v>
      </c>
      <c r="K27" s="130">
        <f t="shared" si="24"/>
        <v>1410.896453295672</v>
      </c>
      <c r="L27" s="130">
        <f t="shared" ref="L27" si="25">SUM(L28:L32)</f>
        <v>1478.6953367308502</v>
      </c>
      <c r="M27" s="130">
        <f t="shared" ref="M27:V27" si="26">SUM(M28:M32)</f>
        <v>1434.0619759749829</v>
      </c>
      <c r="N27" s="130">
        <f t="shared" si="26"/>
        <v>1410.1802253033975</v>
      </c>
      <c r="O27" s="130">
        <f t="shared" si="26"/>
        <v>1306.9212028333725</v>
      </c>
      <c r="P27" s="130">
        <f t="shared" si="26"/>
        <v>1167.8461278365755</v>
      </c>
      <c r="Q27" s="130">
        <f t="shared" si="26"/>
        <v>1118.204273206429</v>
      </c>
      <c r="R27" s="130">
        <f t="shared" si="26"/>
        <v>1036.417715097075</v>
      </c>
      <c r="S27" s="130">
        <f t="shared" si="26"/>
        <v>964.95498102613465</v>
      </c>
      <c r="T27" s="130">
        <f t="shared" si="26"/>
        <v>917.49825491988281</v>
      </c>
      <c r="U27" s="130">
        <f t="shared" si="26"/>
        <v>933.7662259450982</v>
      </c>
      <c r="V27" s="130">
        <f t="shared" si="26"/>
        <v>827.17568404653787</v>
      </c>
      <c r="W27" s="130">
        <f t="shared" ref="W27" si="27">SUM(W28:W32)</f>
        <v>806.68942492839756</v>
      </c>
      <c r="DA27" s="176" t="s">
        <v>405</v>
      </c>
    </row>
    <row r="28" spans="1:105" ht="11.45" customHeight="1" x14ac:dyDescent="0.25">
      <c r="A28" s="111" t="s">
        <v>110</v>
      </c>
      <c r="B28" s="97">
        <v>18.523789318657741</v>
      </c>
      <c r="C28" s="97">
        <v>15.189508034300147</v>
      </c>
      <c r="D28" s="97">
        <v>12.409105931481388</v>
      </c>
      <c r="E28" s="97">
        <v>9.7007953032275704</v>
      </c>
      <c r="F28" s="97">
        <v>7.2008122271493988</v>
      </c>
      <c r="G28" s="97">
        <v>5.0667616802144151</v>
      </c>
      <c r="H28" s="97">
        <v>4.1253752229045277</v>
      </c>
      <c r="I28" s="97">
        <v>3.4051610625477919</v>
      </c>
      <c r="J28" s="97">
        <v>2.7293807222657227</v>
      </c>
      <c r="K28" s="97">
        <v>2.4555979005307793</v>
      </c>
      <c r="L28" s="97">
        <v>0.93922872418324643</v>
      </c>
      <c r="M28" s="97">
        <v>1.5471325088554815</v>
      </c>
      <c r="N28" s="97">
        <v>1.2673986686786083</v>
      </c>
      <c r="O28" s="97">
        <v>1.2475027943510306</v>
      </c>
      <c r="P28" s="97">
        <v>1.1573190419025601</v>
      </c>
      <c r="Q28" s="97">
        <v>1.0784723941759107</v>
      </c>
      <c r="R28" s="97">
        <v>1.1753963612156768</v>
      </c>
      <c r="S28" s="97">
        <v>1.1092115552175914</v>
      </c>
      <c r="T28" s="97">
        <v>1.062416530992867</v>
      </c>
      <c r="U28" s="97">
        <v>0.95145277575431242</v>
      </c>
      <c r="V28" s="97">
        <v>0.92314829079296545</v>
      </c>
      <c r="W28" s="97">
        <v>0.82928499656714927</v>
      </c>
      <c r="DA28" s="175" t="s">
        <v>756</v>
      </c>
    </row>
    <row r="29" spans="1:105" ht="11.45" customHeight="1" x14ac:dyDescent="0.25">
      <c r="A29" s="111" t="s">
        <v>111</v>
      </c>
      <c r="B29" s="97">
        <v>1864.0984088010712</v>
      </c>
      <c r="C29" s="97">
        <v>1802.4982332554046</v>
      </c>
      <c r="D29" s="97">
        <v>1762.487250767656</v>
      </c>
      <c r="E29" s="97">
        <v>1773.5594214485648</v>
      </c>
      <c r="F29" s="97">
        <v>1759.2694393409697</v>
      </c>
      <c r="G29" s="97">
        <v>1569.0742420062745</v>
      </c>
      <c r="H29" s="97">
        <v>1603.9115695910809</v>
      </c>
      <c r="I29" s="97">
        <v>1511.2022903214583</v>
      </c>
      <c r="J29" s="97">
        <v>1443.7483737382095</v>
      </c>
      <c r="K29" s="97">
        <v>1371.9609420631114</v>
      </c>
      <c r="L29" s="97">
        <v>1431.0917609882219</v>
      </c>
      <c r="M29" s="97">
        <v>1357.8568723173471</v>
      </c>
      <c r="N29" s="97">
        <v>1319.3336863857694</v>
      </c>
      <c r="O29" s="97">
        <v>1217.8709832632685</v>
      </c>
      <c r="P29" s="97">
        <v>1084.3416228526278</v>
      </c>
      <c r="Q29" s="97">
        <v>1064.1074156880761</v>
      </c>
      <c r="R29" s="97">
        <v>982.86625736263034</v>
      </c>
      <c r="S29" s="97">
        <v>945.49745126820301</v>
      </c>
      <c r="T29" s="97">
        <v>900.30354729198984</v>
      </c>
      <c r="U29" s="97">
        <v>921.89345455635157</v>
      </c>
      <c r="V29" s="97">
        <v>815.79700336673432</v>
      </c>
      <c r="W29" s="97">
        <v>795.04187846577474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23.831280000000007</v>
      </c>
      <c r="C31" s="97">
        <v>24.179758920821154</v>
      </c>
      <c r="D31" s="97">
        <v>24.715782584092711</v>
      </c>
      <c r="E31" s="97">
        <v>33.97518369648477</v>
      </c>
      <c r="F31" s="97">
        <v>25.217574735201215</v>
      </c>
      <c r="G31" s="97">
        <v>20.30153439264749</v>
      </c>
      <c r="H31" s="97">
        <v>36.788700947261404</v>
      </c>
      <c r="I31" s="97">
        <v>35.566724002553705</v>
      </c>
      <c r="J31" s="97">
        <v>44.083631156006099</v>
      </c>
      <c r="K31" s="97">
        <v>36.479913332029746</v>
      </c>
      <c r="L31" s="97">
        <v>46.664347018445028</v>
      </c>
      <c r="M31" s="97">
        <v>74.657971148780447</v>
      </c>
      <c r="N31" s="97">
        <v>89.579140248949457</v>
      </c>
      <c r="O31" s="97">
        <v>87.802716775752913</v>
      </c>
      <c r="P31" s="97">
        <v>82.347185942045158</v>
      </c>
      <c r="Q31" s="97">
        <v>53.018385124176973</v>
      </c>
      <c r="R31" s="97">
        <v>52.376061373228943</v>
      </c>
      <c r="S31" s="97">
        <v>18.348318202713997</v>
      </c>
      <c r="T31" s="97">
        <v>16.132291096900097</v>
      </c>
      <c r="U31" s="97">
        <v>10.921318612992325</v>
      </c>
      <c r="V31" s="97">
        <v>10.455532389010573</v>
      </c>
      <c r="W31" s="97">
        <v>10.81826146605567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5146.7143829795468</v>
      </c>
      <c r="C33" s="32">
        <f t="shared" si="28"/>
        <v>5290.7552478881908</v>
      </c>
      <c r="D33" s="32">
        <f t="shared" si="28"/>
        <v>5312.5560615399154</v>
      </c>
      <c r="E33" s="32">
        <f t="shared" si="28"/>
        <v>5531.235649086334</v>
      </c>
      <c r="F33" s="32">
        <f t="shared" si="28"/>
        <v>6097.389901370625</v>
      </c>
      <c r="G33" s="32">
        <f t="shared" si="28"/>
        <v>5818.0484233126062</v>
      </c>
      <c r="H33" s="32">
        <f t="shared" si="28"/>
        <v>5976.5943308635033</v>
      </c>
      <c r="I33" s="32">
        <f t="shared" si="28"/>
        <v>6024.9996590511719</v>
      </c>
      <c r="J33" s="32">
        <f t="shared" si="28"/>
        <v>6019.9030752159497</v>
      </c>
      <c r="K33" s="32">
        <f t="shared" si="28"/>
        <v>5498.1339532354195</v>
      </c>
      <c r="L33" s="32">
        <f t="shared" ref="L33" si="29">L34+L40</f>
        <v>5834.7650297229675</v>
      </c>
      <c r="M33" s="32">
        <f t="shared" ref="M33:V33" si="30">M34+M40</f>
        <v>5641.599398970684</v>
      </c>
      <c r="N33" s="32">
        <f t="shared" si="30"/>
        <v>5020.0271678771023</v>
      </c>
      <c r="O33" s="32">
        <f t="shared" si="30"/>
        <v>4746.5461373265643</v>
      </c>
      <c r="P33" s="32">
        <f t="shared" si="30"/>
        <v>4533.367938391576</v>
      </c>
      <c r="Q33" s="32">
        <f t="shared" si="30"/>
        <v>4429.361576225474</v>
      </c>
      <c r="R33" s="32">
        <f t="shared" si="30"/>
        <v>3916.6474986517951</v>
      </c>
      <c r="S33" s="32">
        <f t="shared" si="30"/>
        <v>3837.7207047902066</v>
      </c>
      <c r="T33" s="32">
        <f t="shared" si="30"/>
        <v>3515.5960682438804</v>
      </c>
      <c r="U33" s="32">
        <f t="shared" si="30"/>
        <v>3593.9512414321298</v>
      </c>
      <c r="V33" s="32">
        <f t="shared" si="30"/>
        <v>3744.0211387732879</v>
      </c>
      <c r="W33" s="32">
        <f t="shared" ref="W33" si="31">W34+W40</f>
        <v>3919.74947156691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1195.588652358369</v>
      </c>
      <c r="C34" s="141">
        <f t="shared" si="32"/>
        <v>1330.7348000319878</v>
      </c>
      <c r="D34" s="141">
        <f t="shared" si="32"/>
        <v>1403.79219128465</v>
      </c>
      <c r="E34" s="141">
        <f t="shared" si="32"/>
        <v>1528.6909553898986</v>
      </c>
      <c r="F34" s="141">
        <f t="shared" si="32"/>
        <v>1713.118259877846</v>
      </c>
      <c r="G34" s="141">
        <f t="shared" si="32"/>
        <v>1544.6972839234404</v>
      </c>
      <c r="H34" s="141">
        <f t="shared" si="32"/>
        <v>1650.5327480865014</v>
      </c>
      <c r="I34" s="141">
        <f t="shared" si="32"/>
        <v>1679.3779236331563</v>
      </c>
      <c r="J34" s="141">
        <f t="shared" si="32"/>
        <v>1695.5431309415796</v>
      </c>
      <c r="K34" s="141">
        <f t="shared" si="32"/>
        <v>1667.7458653891993</v>
      </c>
      <c r="L34" s="141">
        <f t="shared" ref="L34" si="33">SUM(L35:L39)</f>
        <v>1789.3455843994373</v>
      </c>
      <c r="M34" s="141">
        <f t="shared" ref="M34:V34" si="34">SUM(M35:M39)</f>
        <v>1812.7499887266654</v>
      </c>
      <c r="N34" s="141">
        <f t="shared" si="34"/>
        <v>1718.8172360291717</v>
      </c>
      <c r="O34" s="141">
        <f t="shared" si="34"/>
        <v>1648.2172143625544</v>
      </c>
      <c r="P34" s="141">
        <f t="shared" si="34"/>
        <v>1527.6075313458296</v>
      </c>
      <c r="Q34" s="141">
        <f t="shared" si="34"/>
        <v>1541.7128326621194</v>
      </c>
      <c r="R34" s="141">
        <f t="shared" si="34"/>
        <v>1421.1307736203687</v>
      </c>
      <c r="S34" s="141">
        <f t="shared" si="34"/>
        <v>1433.6319325038814</v>
      </c>
      <c r="T34" s="141">
        <f t="shared" si="34"/>
        <v>1321.3779247038688</v>
      </c>
      <c r="U34" s="141">
        <f t="shared" si="34"/>
        <v>1362.7138405358041</v>
      </c>
      <c r="V34" s="141">
        <f t="shared" si="34"/>
        <v>1387.2043024751038</v>
      </c>
      <c r="W34" s="141">
        <f t="shared" ref="W34" si="35">SUM(W35:W39)</f>
        <v>1406.2861732978511</v>
      </c>
      <c r="DA34" s="174" t="s">
        <v>411</v>
      </c>
    </row>
    <row r="35" spans="1:105" ht="11.45" customHeight="1" x14ac:dyDescent="0.25">
      <c r="A35" s="111" t="s">
        <v>110</v>
      </c>
      <c r="B35" s="96">
        <v>473.99643786780217</v>
      </c>
      <c r="C35" s="96">
        <v>458.16415779610128</v>
      </c>
      <c r="D35" s="96">
        <v>423.04477728809462</v>
      </c>
      <c r="E35" s="96">
        <v>372.68883213226997</v>
      </c>
      <c r="F35" s="96">
        <v>328.57271382896761</v>
      </c>
      <c r="G35" s="96">
        <v>301.79558825902745</v>
      </c>
      <c r="H35" s="96">
        <v>263.97861897767837</v>
      </c>
      <c r="I35" s="96">
        <v>241.53757443812722</v>
      </c>
      <c r="J35" s="96">
        <v>211.85220854600996</v>
      </c>
      <c r="K35" s="96">
        <v>192.84512199069181</v>
      </c>
      <c r="L35" s="96">
        <v>168.52583924564502</v>
      </c>
      <c r="M35" s="96">
        <v>156.10023519843409</v>
      </c>
      <c r="N35" s="96">
        <v>134.35787107990242</v>
      </c>
      <c r="O35" s="96">
        <v>116.72667951365213</v>
      </c>
      <c r="P35" s="96">
        <v>107.12412696165919</v>
      </c>
      <c r="Q35" s="96">
        <v>101.95662704363481</v>
      </c>
      <c r="R35" s="96">
        <v>84.200591597594695</v>
      </c>
      <c r="S35" s="96">
        <v>73.001153868229551</v>
      </c>
      <c r="T35" s="96">
        <v>68.423492942425924</v>
      </c>
      <c r="U35" s="96">
        <v>67.016022675403434</v>
      </c>
      <c r="V35" s="96">
        <v>66.663040984370866</v>
      </c>
      <c r="W35" s="96">
        <v>69.618726900017563</v>
      </c>
      <c r="DA35" s="171" t="s">
        <v>761</v>
      </c>
    </row>
    <row r="36" spans="1:105" ht="11.45" customHeight="1" x14ac:dyDescent="0.25">
      <c r="A36" s="111" t="s">
        <v>111</v>
      </c>
      <c r="B36" s="96">
        <v>721.5922144905669</v>
      </c>
      <c r="C36" s="96">
        <v>872.56569115670766</v>
      </c>
      <c r="D36" s="96">
        <v>980.71800763870954</v>
      </c>
      <c r="E36" s="96">
        <v>1155.9213202787273</v>
      </c>
      <c r="F36" s="96">
        <v>1384.4128515966818</v>
      </c>
      <c r="G36" s="96">
        <v>1242.6482295612846</v>
      </c>
      <c r="H36" s="96">
        <v>1385.9191953042366</v>
      </c>
      <c r="I36" s="96">
        <v>1436.4933810785049</v>
      </c>
      <c r="J36" s="96">
        <v>1482.3309199227504</v>
      </c>
      <c r="K36" s="96">
        <v>1473.0778029030005</v>
      </c>
      <c r="L36" s="96">
        <v>1618.3468664595534</v>
      </c>
      <c r="M36" s="96">
        <v>1654.8176095379006</v>
      </c>
      <c r="N36" s="96">
        <v>1582.0515723529334</v>
      </c>
      <c r="O36" s="96">
        <v>1529.0179379308688</v>
      </c>
      <c r="P36" s="96">
        <v>1418.0281157402881</v>
      </c>
      <c r="Q36" s="96">
        <v>1437.8233510648479</v>
      </c>
      <c r="R36" s="96">
        <v>1334.888908048732</v>
      </c>
      <c r="S36" s="96">
        <v>1359.713021798058</v>
      </c>
      <c r="T36" s="96">
        <v>1251.7054250123551</v>
      </c>
      <c r="U36" s="96">
        <v>1294.5019084550499</v>
      </c>
      <c r="V36" s="96">
        <v>1319.2106931067924</v>
      </c>
      <c r="W36" s="96">
        <v>1335.0183924859791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4.9510791788504802E-3</v>
      </c>
      <c r="D38" s="96">
        <v>2.9406357845697482E-2</v>
      </c>
      <c r="E38" s="96">
        <v>8.0802978901294606E-2</v>
      </c>
      <c r="F38" s="96">
        <v>0.13269445219667778</v>
      </c>
      <c r="G38" s="96">
        <v>0.25346610312844242</v>
      </c>
      <c r="H38" s="96">
        <v>0.63493380458643445</v>
      </c>
      <c r="I38" s="96">
        <v>1.3469681165243308</v>
      </c>
      <c r="J38" s="96">
        <v>1.3600024728192661</v>
      </c>
      <c r="K38" s="96">
        <v>1.8229404955070627</v>
      </c>
      <c r="L38" s="96">
        <v>2.4728786942386463</v>
      </c>
      <c r="M38" s="96">
        <v>1.8321439903306873</v>
      </c>
      <c r="N38" s="96">
        <v>2.4077925963358013</v>
      </c>
      <c r="O38" s="96">
        <v>2.4725969180336298</v>
      </c>
      <c r="P38" s="96">
        <v>2.4552886438823669</v>
      </c>
      <c r="Q38" s="96">
        <v>1.9328545536366721</v>
      </c>
      <c r="R38" s="96">
        <v>2.0412739740421211</v>
      </c>
      <c r="S38" s="96">
        <v>0.9177568375939622</v>
      </c>
      <c r="T38" s="96">
        <v>1.2490067490875383</v>
      </c>
      <c r="U38" s="96">
        <v>1.1959094053506378</v>
      </c>
      <c r="V38" s="96">
        <v>1.3305683839405018</v>
      </c>
      <c r="W38" s="96">
        <v>1.6490539118544691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3951.1257306211778</v>
      </c>
      <c r="C40" s="130">
        <f t="shared" si="36"/>
        <v>3960.0204478562027</v>
      </c>
      <c r="D40" s="130">
        <f t="shared" si="36"/>
        <v>3908.7638702552658</v>
      </c>
      <c r="E40" s="130">
        <f t="shared" si="36"/>
        <v>4002.5446936964354</v>
      </c>
      <c r="F40" s="130">
        <f t="shared" si="36"/>
        <v>4384.2716414927791</v>
      </c>
      <c r="G40" s="130">
        <f t="shared" si="36"/>
        <v>4273.3511393891658</v>
      </c>
      <c r="H40" s="130">
        <f t="shared" si="36"/>
        <v>4326.0615827770016</v>
      </c>
      <c r="I40" s="130">
        <f t="shared" si="36"/>
        <v>4345.6217354180153</v>
      </c>
      <c r="J40" s="130">
        <f t="shared" si="36"/>
        <v>4324.3599442743698</v>
      </c>
      <c r="K40" s="130">
        <f t="shared" si="36"/>
        <v>3830.3880878462205</v>
      </c>
      <c r="L40" s="130">
        <f t="shared" ref="L40" si="37">SUM(L41:L42)</f>
        <v>4045.4194453235305</v>
      </c>
      <c r="M40" s="130">
        <f t="shared" ref="M40:V40" si="38">SUM(M41:M42)</f>
        <v>3828.8494102440181</v>
      </c>
      <c r="N40" s="130">
        <f t="shared" si="38"/>
        <v>3301.2099318479304</v>
      </c>
      <c r="O40" s="130">
        <f t="shared" si="38"/>
        <v>3098.3289229640095</v>
      </c>
      <c r="P40" s="130">
        <f t="shared" si="38"/>
        <v>3005.7604070457464</v>
      </c>
      <c r="Q40" s="130">
        <f t="shared" si="38"/>
        <v>2887.6487435633544</v>
      </c>
      <c r="R40" s="130">
        <f t="shared" si="38"/>
        <v>2495.5167250314266</v>
      </c>
      <c r="S40" s="130">
        <f t="shared" si="38"/>
        <v>2404.0887722863249</v>
      </c>
      <c r="T40" s="130">
        <f t="shared" si="38"/>
        <v>2194.2181435400116</v>
      </c>
      <c r="U40" s="130">
        <f t="shared" si="38"/>
        <v>2231.2374008963257</v>
      </c>
      <c r="V40" s="130">
        <f t="shared" si="38"/>
        <v>2356.8168362981842</v>
      </c>
      <c r="W40" s="130">
        <f t="shared" ref="W40" si="39">SUM(W41:W42)</f>
        <v>2513.4632982690591</v>
      </c>
      <c r="DA40" s="176" t="s">
        <v>412</v>
      </c>
    </row>
    <row r="41" spans="1:105" ht="11.45" customHeight="1" x14ac:dyDescent="0.25">
      <c r="A41" s="128" t="s">
        <v>27</v>
      </c>
      <c r="B41" s="97">
        <v>3137.2094953789474</v>
      </c>
      <c r="C41" s="97">
        <v>3094.2360192920482</v>
      </c>
      <c r="D41" s="97">
        <v>3034.8178958775011</v>
      </c>
      <c r="E41" s="97">
        <v>3076.5697785449997</v>
      </c>
      <c r="F41" s="97">
        <v>3258.7084063896036</v>
      </c>
      <c r="G41" s="97">
        <v>3213.6265073340383</v>
      </c>
      <c r="H41" s="97">
        <v>3189.8490510480106</v>
      </c>
      <c r="I41" s="97">
        <v>3233.0395794528586</v>
      </c>
      <c r="J41" s="97">
        <v>3275.3842119633955</v>
      </c>
      <c r="K41" s="97">
        <v>3001.5850266443367</v>
      </c>
      <c r="L41" s="97">
        <v>3124.4772326487455</v>
      </c>
      <c r="M41" s="97">
        <v>2946.8326073658473</v>
      </c>
      <c r="N41" s="97">
        <v>2507.5848278230396</v>
      </c>
      <c r="O41" s="97">
        <v>2270.9905527999449</v>
      </c>
      <c r="P41" s="97">
        <v>2356.7496276940492</v>
      </c>
      <c r="Q41" s="97">
        <v>2193.3271696572615</v>
      </c>
      <c r="R41" s="97">
        <v>1863.2063285475617</v>
      </c>
      <c r="S41" s="97">
        <v>1802.119826427979</v>
      </c>
      <c r="T41" s="97">
        <v>1649.8176852862703</v>
      </c>
      <c r="U41" s="97">
        <v>1695.1018716601277</v>
      </c>
      <c r="V41" s="97">
        <v>1769.708511532767</v>
      </c>
      <c r="W41" s="97">
        <v>1864.4871117829521</v>
      </c>
      <c r="DA41" s="175" t="s">
        <v>766</v>
      </c>
    </row>
    <row r="42" spans="1:105" ht="11.45" customHeight="1" x14ac:dyDescent="0.25">
      <c r="A42" s="138" t="s">
        <v>116</v>
      </c>
      <c r="B42" s="98">
        <v>813.91623524223053</v>
      </c>
      <c r="C42" s="98">
        <v>865.78442856415427</v>
      </c>
      <c r="D42" s="98">
        <v>873.94597437776474</v>
      </c>
      <c r="E42" s="98">
        <v>925.97491515143543</v>
      </c>
      <c r="F42" s="98">
        <v>1125.5632351031757</v>
      </c>
      <c r="G42" s="98">
        <v>1059.7246320551276</v>
      </c>
      <c r="H42" s="98">
        <v>1136.2125317289906</v>
      </c>
      <c r="I42" s="98">
        <v>1112.5821559651563</v>
      </c>
      <c r="J42" s="98">
        <v>1048.9757323109741</v>
      </c>
      <c r="K42" s="98">
        <v>828.80306120188357</v>
      </c>
      <c r="L42" s="98">
        <v>920.94221267478474</v>
      </c>
      <c r="M42" s="98">
        <v>882.01680287817101</v>
      </c>
      <c r="N42" s="98">
        <v>793.62510402489079</v>
      </c>
      <c r="O42" s="98">
        <v>827.33837016406483</v>
      </c>
      <c r="P42" s="98">
        <v>649.01077935169735</v>
      </c>
      <c r="Q42" s="98">
        <v>694.32157390609314</v>
      </c>
      <c r="R42" s="98">
        <v>632.31039648386502</v>
      </c>
      <c r="S42" s="98">
        <v>601.96894585834593</v>
      </c>
      <c r="T42" s="98">
        <v>544.40045825374148</v>
      </c>
      <c r="U42" s="98">
        <v>536.13552923619807</v>
      </c>
      <c r="V42" s="98">
        <v>587.10832476541736</v>
      </c>
      <c r="W42" s="98">
        <v>648.97618648610694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2.9758996902821577</v>
      </c>
      <c r="C47" s="145">
        <f>IF(C4=0,0,C4/TrRoad_ene!C4)</f>
        <v>2.969871316570277</v>
      </c>
      <c r="D47" s="145">
        <f>IF(D4=0,0,D4/TrRoad_ene!D4)</f>
        <v>2.9614008583963778</v>
      </c>
      <c r="E47" s="145">
        <f>IF(E4=0,0,E4/TrRoad_ene!E4)</f>
        <v>2.9487934928120541</v>
      </c>
      <c r="F47" s="145">
        <f>IF(F4=0,0,F4/TrRoad_ene!F4)</f>
        <v>2.9293446424013414</v>
      </c>
      <c r="G47" s="145">
        <f>IF(G4=0,0,G4/TrRoad_ene!G4)</f>
        <v>2.9190660974544604</v>
      </c>
      <c r="H47" s="145">
        <f>IF(H4=0,0,H4/TrRoad_ene!H4)</f>
        <v>2.9015188766654334</v>
      </c>
      <c r="I47" s="145">
        <f>IF(I4=0,0,I4/TrRoad_ene!I4)</f>
        <v>2.8803521009905624</v>
      </c>
      <c r="J47" s="145">
        <f>IF(J4=0,0,J4/TrRoad_ene!J4)</f>
        <v>2.8528638314329222</v>
      </c>
      <c r="K47" s="145">
        <f>IF(K4=0,0,K4/TrRoad_ene!K4)</f>
        <v>2.8449699534006574</v>
      </c>
      <c r="L47" s="145">
        <f>IF(L4=0,0,L4/TrRoad_ene!L4)</f>
        <v>2.8455203774644935</v>
      </c>
      <c r="M47" s="145">
        <f>IF(M4=0,0,M4/TrRoad_ene!M4)</f>
        <v>2.8078630764903849</v>
      </c>
      <c r="N47" s="145">
        <f>IF(N4=0,0,N4/TrRoad_ene!N4)</f>
        <v>2.7723180214799168</v>
      </c>
      <c r="O47" s="145">
        <f>IF(O4=0,0,O4/TrRoad_ene!O4)</f>
        <v>2.7330830545972078</v>
      </c>
      <c r="P47" s="145">
        <f>IF(P4=0,0,P4/TrRoad_ene!P4)</f>
        <v>2.6550865262551353</v>
      </c>
      <c r="Q47" s="145">
        <f>IF(Q4=0,0,Q4/TrRoad_ene!Q4)</f>
        <v>2.6035393983692505</v>
      </c>
      <c r="R47" s="145">
        <f>IF(R4=0,0,R4/TrRoad_ene!R4)</f>
        <v>2.5070683427722429</v>
      </c>
      <c r="S47" s="145">
        <f>IF(S4=0,0,S4/TrRoad_ene!S4)</f>
        <v>2.4006506123060829</v>
      </c>
      <c r="T47" s="145">
        <f>IF(T4=0,0,T4/TrRoad_ene!T4)</f>
        <v>2.3339471766268014</v>
      </c>
      <c r="U47" s="145">
        <f>IF(U4=0,0,U4/TrRoad_ene!U4)</f>
        <v>2.3635287735281207</v>
      </c>
      <c r="V47" s="145">
        <f>IF(V4=0,0,V4/TrRoad_ene!V4)</f>
        <v>2.3256307464065973</v>
      </c>
      <c r="W47" s="145">
        <f>IF(W4=0,0,W4/TrRoad_ene!W4)</f>
        <v>2.308877009387742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2.8929539731023</v>
      </c>
      <c r="D48" s="97">
        <f>IF(D7=0,0,(D7+D12)/(TrRoad_ene!D7+TrRoad_ene!D12))</f>
        <v>2.8814659780137295</v>
      </c>
      <c r="E48" s="97">
        <f>IF(E7=0,0,(E7+E12)/(TrRoad_ene!E7+TrRoad_ene!E12))</f>
        <v>2.8588380057749605</v>
      </c>
      <c r="F48" s="97">
        <f>IF(F7=0,0,(F7+F12)/(TrRoad_ene!F7+TrRoad_ene!F12))</f>
        <v>2.8200240745404348</v>
      </c>
      <c r="G48" s="97">
        <f>IF(G7=0,0,(G7+G12)/(TrRoad_ene!G7+TrRoad_ene!G12))</f>
        <v>2.8030728944469918</v>
      </c>
      <c r="H48" s="97">
        <f>IF(H7=0,0,(H7+H12)/(TrRoad_ene!H7+TrRoad_ene!H12))</f>
        <v>2.7889634571128026</v>
      </c>
      <c r="I48" s="97">
        <f>IF(I7=0,0,(I7+I12)/(TrRoad_ene!I7+TrRoad_ene!I12))</f>
        <v>2.7733164480990484</v>
      </c>
      <c r="J48" s="97">
        <f>IF(J7=0,0,(J7+J12)/(TrRoad_ene!J7+TrRoad_ene!J12))</f>
        <v>2.7427165103829343</v>
      </c>
      <c r="K48" s="97">
        <f>IF(K7=0,0,(K7+K12)/(TrRoad_ene!K7+TrRoad_ene!K12))</f>
        <v>2.7517849812308239</v>
      </c>
      <c r="L48" s="97">
        <f>IF(L7=0,0,(L7+L12)/(TrRoad_ene!L7+TrRoad_ene!L12))</f>
        <v>2.7388088519004619</v>
      </c>
      <c r="M48" s="97">
        <f>IF(M7=0,0,(M7+M12)/(TrRoad_ene!M7+TrRoad_ene!M12))</f>
        <v>2.7185936136828546</v>
      </c>
      <c r="N48" s="97">
        <f>IF(N7=0,0,(N7+N12)/(TrRoad_ene!N7+TrRoad_ene!N12))</f>
        <v>2.7087345175990611</v>
      </c>
      <c r="O48" s="97">
        <f>IF(O7=0,0,(O7+O12)/(TrRoad_ene!O7+TrRoad_ene!O12))</f>
        <v>2.7224307512977726</v>
      </c>
      <c r="P48" s="97">
        <f>IF(P7=0,0,(P7+P12)/(TrRoad_ene!P7+TrRoad_ene!P12))</f>
        <v>2.7296509165531448</v>
      </c>
      <c r="Q48" s="97">
        <f>IF(Q7=0,0,(Q7+Q12)/(TrRoad_ene!Q7+TrRoad_ene!Q12))</f>
        <v>2.7527371521356438</v>
      </c>
      <c r="R48" s="97">
        <f>IF(R7=0,0,(R7+R12)/(TrRoad_ene!R7+TrRoad_ene!R12))</f>
        <v>2.7790426631037799</v>
      </c>
      <c r="S48" s="97">
        <f>IF(S7=0,0,(S7+S12)/(TrRoad_ene!S7+TrRoad_ene!S12))</f>
        <v>2.7807457911175342</v>
      </c>
      <c r="T48" s="97">
        <f>IF(T7=0,0,(T7+T12)/(TrRoad_ene!T7+TrRoad_ene!T12))</f>
        <v>2.7419086450012076</v>
      </c>
      <c r="U48" s="97">
        <f>IF(U7=0,0,(U7+U12)/(TrRoad_ene!U7+TrRoad_ene!U12))</f>
        <v>2.7716864884077541</v>
      </c>
      <c r="V48" s="97">
        <f>IF(V7=0,0,(V7+V12)/(TrRoad_ene!V7+TrRoad_ene!V12))</f>
        <v>2.7539268966558104</v>
      </c>
      <c r="W48" s="97">
        <f>IF(W7=0,0,(W7+W12)/(TrRoad_ene!W7+TrRoad_ene!W12))</f>
        <v>2.7333648488278581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3.0991864206373783</v>
      </c>
      <c r="D49" s="97">
        <f>IF(D8=0,0,(D8+D13+D14)/(TrRoad_ene!D8+TrRoad_ene!D13+TrRoad_ene!D14))</f>
        <v>3.0992020009526424</v>
      </c>
      <c r="E49" s="97">
        <f>IF(E8=0,0,(E8+E13+E14)/(TrRoad_ene!E8+TrRoad_ene!E13+TrRoad_ene!E14))</f>
        <v>3.0983030540270025</v>
      </c>
      <c r="F49" s="97">
        <f>IF(F8=0,0,(F8+F13+F14)/(TrRoad_ene!F8+TrRoad_ene!F13+TrRoad_ene!F14))</f>
        <v>3.0948103166937986</v>
      </c>
      <c r="G49" s="97">
        <f>IF(G8=0,0,(G8+G13+G14)/(TrRoad_ene!G8+TrRoad_ene!G13+TrRoad_ene!G14))</f>
        <v>3.0950733390613618</v>
      </c>
      <c r="H49" s="97">
        <f>IF(H8=0,0,(H8+H13+H14)/(TrRoad_ene!H8+TrRoad_ene!H13+TrRoad_ene!H14))</f>
        <v>3.0595529823474008</v>
      </c>
      <c r="I49" s="97">
        <f>IF(I8=0,0,(I8+I13+I14)/(TrRoad_ene!I8+TrRoad_ene!I13+TrRoad_ene!I14))</f>
        <v>3.0199897276800165</v>
      </c>
      <c r="J49" s="97">
        <f>IF(J8=0,0,(J8+J13+J14)/(TrRoad_ene!J8+TrRoad_ene!J13+TrRoad_ene!J14))</f>
        <v>3.0017349147738521</v>
      </c>
      <c r="K49" s="97">
        <f>IF(K8=0,0,(K8+K13+K14)/(TrRoad_ene!K8+TrRoad_ene!K13+TrRoad_ene!K14))</f>
        <v>2.9749879426848862</v>
      </c>
      <c r="L49" s="97">
        <f>IF(L8=0,0,(L8+L13+L14)/(TrRoad_ene!L8+TrRoad_ene!L13+TrRoad_ene!L14))</f>
        <v>2.9721311614518617</v>
      </c>
      <c r="M49" s="97">
        <f>IF(M8=0,0,(M8+M13+M14)/(TrRoad_ene!M8+TrRoad_ene!M13+TrRoad_ene!M14))</f>
        <v>2.9399280780293999</v>
      </c>
      <c r="N49" s="97">
        <f>IF(N8=0,0,(N8+N13+N14)/(TrRoad_ene!N8+TrRoad_ene!N13+TrRoad_ene!N14))</f>
        <v>2.8832060662229431</v>
      </c>
      <c r="O49" s="97">
        <f>IF(O8=0,0,(O8+O13+O14)/(TrRoad_ene!O8+TrRoad_ene!O13+TrRoad_ene!O14))</f>
        <v>2.8022538240318604</v>
      </c>
      <c r="P49" s="97">
        <f>IF(P8=0,0,(P8+P13+P14)/(TrRoad_ene!P8+TrRoad_ene!P13+TrRoad_ene!P14))</f>
        <v>2.6670480455543584</v>
      </c>
      <c r="Q49" s="97">
        <f>IF(Q8=0,0,(Q8+Q13+Q14)/(TrRoad_ene!Q8+TrRoad_ene!Q13+TrRoad_ene!Q14))</f>
        <v>2.5771256397276878</v>
      </c>
      <c r="R49" s="97">
        <f>IF(R8=0,0,(R8+R13+R14)/(TrRoad_ene!R8+TrRoad_ene!R13+TrRoad_ene!R14))</f>
        <v>2.4139370255778836</v>
      </c>
      <c r="S49" s="97">
        <f>IF(S8=0,0,(S8+S13+S14)/(TrRoad_ene!S8+TrRoad_ene!S13+TrRoad_ene!S14))</f>
        <v>2.267685263631213</v>
      </c>
      <c r="T49" s="97">
        <f>IF(T8=0,0,(T8+T13+T14)/(TrRoad_ene!T8+TrRoad_ene!T13+TrRoad_ene!T14))</f>
        <v>2.1998408284302138</v>
      </c>
      <c r="U49" s="97">
        <f>IF(U8=0,0,(U8+U13+U14)/(TrRoad_ene!U8+TrRoad_ene!U13+TrRoad_ene!U14))</f>
        <v>2.2307103022285375</v>
      </c>
      <c r="V49" s="97">
        <f>IF(V8=0,0,(V8+V13+V14)/(TrRoad_ene!V8+TrRoad_ene!V13+TrRoad_ene!V14))</f>
        <v>2.2015256443977895</v>
      </c>
      <c r="W49" s="97">
        <f>IF(W8=0,0,(W8+W13+W14)/(TrRoad_ene!W8+TrRoad_ene!W13+TrRoad_ene!W14))</f>
        <v>2.1889486065966581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0</v>
      </c>
      <c r="E50" s="97">
        <f>IF(E6=0,0,E6/TrRoad_ene!E6)</f>
        <v>0</v>
      </c>
      <c r="F50" s="97">
        <f>IF(F6=0,0,F6/TrRoad_ene!F6)</f>
        <v>0</v>
      </c>
      <c r="G50" s="97">
        <f>IF(G6=0,0,G6/TrRoad_ene!G6)</f>
        <v>2.6418708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0</v>
      </c>
      <c r="T50" s="97">
        <f>IF(T6=0,0,T6/TrRoad_ene!T6)</f>
        <v>0</v>
      </c>
      <c r="U50" s="97">
        <f>IF(U6=0,0,U6/TrRoad_ene!U6)</f>
        <v>0</v>
      </c>
      <c r="V50" s="97">
        <f>IF(V6=0,0,V6/TrRoad_ene!V6)</f>
        <v>0</v>
      </c>
      <c r="W50" s="97">
        <f>IF(W6=0,0,W6/TrRoad_ene!W6)</f>
        <v>0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1.3206801331784341</v>
      </c>
      <c r="K51" s="97">
        <f>IF(K9=0,0,(K9+K11)/(TrRoad_ene!K9+TrRoad_ene!K11))</f>
        <v>1.1645630444457662</v>
      </c>
      <c r="L51" s="97">
        <f>IF(L9=0,0,(L9+L11)/(TrRoad_ene!L9+TrRoad_ene!L11))</f>
        <v>1.409659665632782</v>
      </c>
      <c r="M51" s="97">
        <f>IF(M9=0,0,(M9+M11)/(TrRoad_ene!M9+TrRoad_ene!M11))</f>
        <v>0.95331848591075552</v>
      </c>
      <c r="N51" s="97">
        <f>IF(N9=0,0,(N9+N11)/(TrRoad_ene!N9+TrRoad_ene!N11))</f>
        <v>1.0158141367222413</v>
      </c>
      <c r="O51" s="97">
        <f>IF(O9=0,0,(O9+O11)/(TrRoad_ene!O9+TrRoad_ene!O11))</f>
        <v>0.96955506013471981</v>
      </c>
      <c r="P51" s="97">
        <f>IF(P9=0,0,(P9+P11)/(TrRoad_ene!P9+TrRoad_ene!P11))</f>
        <v>0.88620730131753267</v>
      </c>
      <c r="Q51" s="97">
        <f>IF(Q9=0,0,(Q9+Q11)/(TrRoad_ene!Q9+TrRoad_ene!Q11))</f>
        <v>0.61530089774357311</v>
      </c>
      <c r="R51" s="97">
        <f>IF(R9=0,0,(R9+R11)/(TrRoad_ene!R9+TrRoad_ene!R11))</f>
        <v>0.63271219517153754</v>
      </c>
      <c r="S51" s="97">
        <f>IF(S9=0,0,(S9+S11)/(TrRoad_ene!S9+TrRoad_ene!S11))</f>
        <v>0.25136726510366675</v>
      </c>
      <c r="T51" s="97">
        <f>IF(T9=0,0,(T9+T11)/(TrRoad_ene!T9+TrRoad_ene!T11))</f>
        <v>0.20641954978656474</v>
      </c>
      <c r="U51" s="97">
        <f>IF(U9=0,0,(U9+U11)/(TrRoad_ene!U9+TrRoad_ene!U11))</f>
        <v>0.19190608714556415</v>
      </c>
      <c r="V51" s="97">
        <f>IF(V9=0,0,(V9+V11)/(TrRoad_ene!V9+TrRoad_ene!V11))</f>
        <v>0.20883373046624373</v>
      </c>
      <c r="W51" s="97">
        <f>IF(W9=0,0,(W9+W11)/(TrRoad_ene!W9+TrRoad_ene!W11))</f>
        <v>0.2544035701573556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384.50420169527143</v>
      </c>
      <c r="C54" s="62">
        <f>IF(TrRoad_act!C30=0,0,C17/TrRoad_act!C30*1000
)</f>
        <v>373.58789988066007</v>
      </c>
      <c r="D54" s="62">
        <f>IF(TrRoad_act!D30=0,0,D17/TrRoad_act!D30*1000
)</f>
        <v>363.04191614656196</v>
      </c>
      <c r="E54" s="62">
        <f>IF(TrRoad_act!E30=0,0,E17/TrRoad_act!E30*1000
)</f>
        <v>359.93903672804595</v>
      </c>
      <c r="F54" s="62">
        <f>IF(TrRoad_act!F30=0,0,F17/TrRoad_act!F30*1000
)</f>
        <v>359.73897053409547</v>
      </c>
      <c r="G54" s="62">
        <f>IF(TrRoad_act!G30=0,0,G17/TrRoad_act!G30*1000
)</f>
        <v>348.95227974017183</v>
      </c>
      <c r="H54" s="62">
        <f>IF(TrRoad_act!H30=0,0,H17/TrRoad_act!H30*1000
)</f>
        <v>345.38000783678922</v>
      </c>
      <c r="I54" s="62">
        <f>IF(TrRoad_act!I30=0,0,I17/TrRoad_act!I30*1000
)</f>
        <v>334.50424094495065</v>
      </c>
      <c r="J54" s="62">
        <f>IF(TrRoad_act!J30=0,0,J17/TrRoad_act!J30*1000
)</f>
        <v>327.30427115566096</v>
      </c>
      <c r="K54" s="62">
        <f>IF(TrRoad_act!K30=0,0,K17/TrRoad_act!K30*1000
)</f>
        <v>313.99935787803088</v>
      </c>
      <c r="L54" s="62">
        <f>IF(TrRoad_act!L30=0,0,L17/TrRoad_act!L30*1000
)</f>
        <v>310.77398099958259</v>
      </c>
      <c r="M54" s="62">
        <f>IF(TrRoad_act!M30=0,0,M17/TrRoad_act!M30*1000
)</f>
        <v>295.83770495261865</v>
      </c>
      <c r="N54" s="62">
        <f>IF(TrRoad_act!N30=0,0,N17/TrRoad_act!N30*1000
)</f>
        <v>276.91583661220278</v>
      </c>
      <c r="O54" s="62">
        <f>IF(TrRoad_act!O30=0,0,O17/TrRoad_act!O30*1000
)</f>
        <v>261.91814523896574</v>
      </c>
      <c r="P54" s="62">
        <f>IF(TrRoad_act!P30=0,0,P17/TrRoad_act!P30*1000
)</f>
        <v>241.92869680531854</v>
      </c>
      <c r="Q54" s="62">
        <f>IF(TrRoad_act!Q30=0,0,Q17/TrRoad_act!Q30*1000
)</f>
        <v>228.52579662255226</v>
      </c>
      <c r="R54" s="62">
        <f>IF(TrRoad_act!R30=0,0,R17/TrRoad_act!R30*1000
)</f>
        <v>208.11861616319794</v>
      </c>
      <c r="S54" s="62">
        <f>IF(TrRoad_act!S30=0,0,S17/TrRoad_act!S30*1000
)</f>
        <v>195.47777849715405</v>
      </c>
      <c r="T54" s="62">
        <f>IF(TrRoad_act!T30=0,0,T17/TrRoad_act!T30*1000
)</f>
        <v>182.44463967705681</v>
      </c>
      <c r="U54" s="62">
        <f>IF(TrRoad_act!U30=0,0,U17/TrRoad_act!U30*1000
)</f>
        <v>182.41401221006964</v>
      </c>
      <c r="V54" s="62">
        <f>IF(TrRoad_act!V30=0,0,V17/TrRoad_act!V30*1000
)</f>
        <v>180.74767154739817</v>
      </c>
      <c r="W54" s="62">
        <f>IF(TrRoad_act!W30=0,0,W17/TrRoad_act!W30*1000
)</f>
        <v>178.38876473474417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323.08031901625668</v>
      </c>
      <c r="C55" s="29">
        <f>IF(TrRoad_act!C31=0,0,C18/TrRoad_act!C31*1000
)</f>
        <v>313.17660084859136</v>
      </c>
      <c r="D55" s="29">
        <f>IF(TrRoad_act!D31=0,0,D18/TrRoad_act!D31*1000
)</f>
        <v>306.25213795776722</v>
      </c>
      <c r="E55" s="29">
        <f>IF(TrRoad_act!E31=0,0,E18/TrRoad_act!E31*1000
)</f>
        <v>301.33296426366985</v>
      </c>
      <c r="F55" s="29">
        <f>IF(TrRoad_act!F31=0,0,F18/TrRoad_act!F31*1000
)</f>
        <v>294.90475598915293</v>
      </c>
      <c r="G55" s="29">
        <f>IF(TrRoad_act!G31=0,0,G18/TrRoad_act!G31*1000
)</f>
        <v>286.13558041173025</v>
      </c>
      <c r="H55" s="29">
        <f>IF(TrRoad_act!H31=0,0,H18/TrRoad_act!H31*1000
)</f>
        <v>282.38789026550108</v>
      </c>
      <c r="I55" s="29">
        <f>IF(TrRoad_act!I31=0,0,I18/TrRoad_act!I31*1000
)</f>
        <v>273.70146789980163</v>
      </c>
      <c r="J55" s="29">
        <f>IF(TrRoad_act!J31=0,0,J18/TrRoad_act!J31*1000
)</f>
        <v>266.4869394671482</v>
      </c>
      <c r="K55" s="29">
        <f>IF(TrRoad_act!K31=0,0,K18/TrRoad_act!K31*1000
)</f>
        <v>260.60867691037163</v>
      </c>
      <c r="L55" s="29">
        <f>IF(TrRoad_act!L31=0,0,L18/TrRoad_act!L31*1000
)</f>
        <v>254.67295395451023</v>
      </c>
      <c r="M55" s="29">
        <f>IF(TrRoad_act!M31=0,0,M18/TrRoad_act!M31*1000
)</f>
        <v>243.3329119216647</v>
      </c>
      <c r="N55" s="29">
        <f>IF(TrRoad_act!N31=0,0,N18/TrRoad_act!N31*1000
)</f>
        <v>232.56357362721079</v>
      </c>
      <c r="O55" s="29">
        <f>IF(TrRoad_act!O31=0,0,O18/TrRoad_act!O31*1000
)</f>
        <v>222.01789030229779</v>
      </c>
      <c r="P55" s="29">
        <f>IF(TrRoad_act!P31=0,0,P18/TrRoad_act!P31*1000
)</f>
        <v>207.32817095159842</v>
      </c>
      <c r="Q55" s="29">
        <f>IF(TrRoad_act!Q31=0,0,Q18/TrRoad_act!Q31*1000
)</f>
        <v>197.27972898859036</v>
      </c>
      <c r="R55" s="29">
        <f>IF(TrRoad_act!R31=0,0,R18/TrRoad_act!R31*1000
)</f>
        <v>183.35480863868736</v>
      </c>
      <c r="S55" s="29">
        <f>IF(TrRoad_act!S31=0,0,S18/TrRoad_act!S31*1000
)</f>
        <v>172.27255930691499</v>
      </c>
      <c r="T55" s="29">
        <f>IF(TrRoad_act!T31=0,0,T18/TrRoad_act!T31*1000
)</f>
        <v>162.1937159511798</v>
      </c>
      <c r="U55" s="29">
        <f>IF(TrRoad_act!U31=0,0,U18/TrRoad_act!U31*1000
)</f>
        <v>161.19216273779551</v>
      </c>
      <c r="V55" s="29">
        <f>IF(TrRoad_act!V31=0,0,V18/TrRoad_act!V31*1000
)</f>
        <v>156.11856740815654</v>
      </c>
      <c r="W55" s="29">
        <f>IF(TrRoad_act!W31=0,0,W18/TrRoad_act!W31*1000
)</f>
        <v>152.95529402205983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151.42533829721631</v>
      </c>
      <c r="C56" s="152">
        <f>IF(TrRoad_act!C32=0,0,C19/TrRoad_act!C32*1000
)</f>
        <v>148.37013199101048</v>
      </c>
      <c r="D56" s="152">
        <f>IF(TrRoad_act!D32=0,0,D19/TrRoad_act!D32*1000
)</f>
        <v>145.01918490931845</v>
      </c>
      <c r="E56" s="152">
        <f>IF(TrRoad_act!E32=0,0,E19/TrRoad_act!E32*1000
)</f>
        <v>142.13734303834704</v>
      </c>
      <c r="F56" s="152">
        <f>IF(TrRoad_act!F32=0,0,F19/TrRoad_act!F32*1000
)</f>
        <v>138.62599493197726</v>
      </c>
      <c r="G56" s="152">
        <f>IF(TrRoad_act!G32=0,0,G19/TrRoad_act!G32*1000
)</f>
        <v>135.03359350885896</v>
      </c>
      <c r="H56" s="152">
        <f>IF(TrRoad_act!H32=0,0,H19/TrRoad_act!H32*1000
)</f>
        <v>131.03277714172921</v>
      </c>
      <c r="I56" s="152">
        <f>IF(TrRoad_act!I32=0,0,I19/TrRoad_act!I32*1000
)</f>
        <v>128.36474302004657</v>
      </c>
      <c r="J56" s="152">
        <f>IF(TrRoad_act!J32=0,0,J19/TrRoad_act!J32*1000
)</f>
        <v>126.32813914207641</v>
      </c>
      <c r="K56" s="152">
        <f>IF(TrRoad_act!K32=0,0,K19/TrRoad_act!K32*1000
)</f>
        <v>123.84088693766836</v>
      </c>
      <c r="L56" s="152">
        <f>IF(TrRoad_act!L32=0,0,L19/TrRoad_act!L32*1000
)</f>
        <v>120.60146297204471</v>
      </c>
      <c r="M56" s="152">
        <f>IF(TrRoad_act!M32=0,0,M19/TrRoad_act!M32*1000
)</f>
        <v>121.36959573041146</v>
      </c>
      <c r="N56" s="152">
        <f>IF(TrRoad_act!N32=0,0,N19/TrRoad_act!N32*1000
)</f>
        <v>117.95982052902741</v>
      </c>
      <c r="O56" s="152">
        <f>IF(TrRoad_act!O32=0,0,O19/TrRoad_act!O32*1000
)</f>
        <v>116.89762654133081</v>
      </c>
      <c r="P56" s="152">
        <f>IF(TrRoad_act!P32=0,0,P19/TrRoad_act!P32*1000
)</f>
        <v>113.78011942926013</v>
      </c>
      <c r="Q56" s="152">
        <f>IF(TrRoad_act!Q32=0,0,Q19/TrRoad_act!Q32*1000
)</f>
        <v>114.13322218409316</v>
      </c>
      <c r="R56" s="152">
        <f>IF(TrRoad_act!R32=0,0,R19/TrRoad_act!R32*1000
)</f>
        <v>112.9923858002461</v>
      </c>
      <c r="S56" s="152">
        <f>IF(TrRoad_act!S32=0,0,S19/TrRoad_act!S32*1000
)</f>
        <v>110.79872231098092</v>
      </c>
      <c r="T56" s="152">
        <f>IF(TrRoad_act!T32=0,0,T19/TrRoad_act!T32*1000
)</f>
        <v>107.54228903500925</v>
      </c>
      <c r="U56" s="152">
        <f>IF(TrRoad_act!U32=0,0,U19/TrRoad_act!U32*1000
)</f>
        <v>107.04965539199911</v>
      </c>
      <c r="V56" s="152">
        <f>IF(TrRoad_act!V32=0,0,V19/TrRoad_act!V32*1000
)</f>
        <v>105.48007834928121</v>
      </c>
      <c r="W56" s="152">
        <f>IF(TrRoad_act!W32=0,0,W19/TrRoad_act!W32*1000
)</f>
        <v>98.234810834125781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289.07196222831203</v>
      </c>
      <c r="C57" s="116">
        <f>IF(TrRoad_act!C33=0,0,C20/TrRoad_act!C33*1000
)</f>
        <v>280.85564604412025</v>
      </c>
      <c r="D57" s="116">
        <f>IF(TrRoad_act!D33=0,0,D20/TrRoad_act!D33*1000
)</f>
        <v>276.27707227935417</v>
      </c>
      <c r="E57" s="116">
        <f>IF(TrRoad_act!E33=0,0,E20/TrRoad_act!E33*1000
)</f>
        <v>271.44878704472501</v>
      </c>
      <c r="F57" s="116">
        <f>IF(TrRoad_act!F33=0,0,F20/TrRoad_act!F33*1000
)</f>
        <v>265.70283872757017</v>
      </c>
      <c r="G57" s="116">
        <f>IF(TrRoad_act!G33=0,0,G20/TrRoad_act!G33*1000
)</f>
        <v>260.12754976804729</v>
      </c>
      <c r="H57" s="116">
        <f>IF(TrRoad_act!H33=0,0,H20/TrRoad_act!H33*1000
)</f>
        <v>255.75259249904681</v>
      </c>
      <c r="I57" s="116">
        <f>IF(TrRoad_act!I33=0,0,I20/TrRoad_act!I33*1000
)</f>
        <v>249.90375909285552</v>
      </c>
      <c r="J57" s="116">
        <f>IF(TrRoad_act!J33=0,0,J20/TrRoad_act!J33*1000
)</f>
        <v>243.54595770062372</v>
      </c>
      <c r="K57" s="116">
        <f>IF(TrRoad_act!K33=0,0,K20/TrRoad_act!K33*1000
)</f>
        <v>239.71187907244084</v>
      </c>
      <c r="L57" s="116">
        <f>IF(TrRoad_act!L33=0,0,L20/TrRoad_act!L33*1000
)</f>
        <v>233.04447919193939</v>
      </c>
      <c r="M57" s="116">
        <f>IF(TrRoad_act!M33=0,0,M20/TrRoad_act!M33*1000
)</f>
        <v>222.96885934953045</v>
      </c>
      <c r="N57" s="116">
        <f>IF(TrRoad_act!N33=0,0,N20/TrRoad_act!N33*1000
)</f>
        <v>212.72709323680451</v>
      </c>
      <c r="O57" s="116">
        <f>IF(TrRoad_act!O33=0,0,O20/TrRoad_act!O33*1000
)</f>
        <v>204.36881818147825</v>
      </c>
      <c r="P57" s="116">
        <f>IF(TrRoad_act!P33=0,0,P20/TrRoad_act!P33*1000
)</f>
        <v>192.45701259281989</v>
      </c>
      <c r="Q57" s="116">
        <f>IF(TrRoad_act!Q33=0,0,Q20/TrRoad_act!Q33*1000
)</f>
        <v>183.89687612744265</v>
      </c>
      <c r="R57" s="116">
        <f>IF(TrRoad_act!R33=0,0,R20/TrRoad_act!R33*1000
)</f>
        <v>171.49351178603479</v>
      </c>
      <c r="S57" s="116">
        <f>IF(TrRoad_act!S33=0,0,S20/TrRoad_act!S33*1000
)</f>
        <v>161.57121239568792</v>
      </c>
      <c r="T57" s="116">
        <f>IF(TrRoad_act!T33=0,0,T20/TrRoad_act!T33*1000
)</f>
        <v>152.11023673264373</v>
      </c>
      <c r="U57" s="116">
        <f>IF(TrRoad_act!U33=0,0,U20/TrRoad_act!U33*1000
)</f>
        <v>150.87187283134281</v>
      </c>
      <c r="V57" s="116">
        <f>IF(TrRoad_act!V33=0,0,V20/TrRoad_act!V33*1000
)</f>
        <v>146.41752883691109</v>
      </c>
      <c r="W57" s="116">
        <f>IF(TrRoad_act!W33=0,0,W20/TrRoad_act!W33*1000
)</f>
        <v>143.86351955207448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290.35127092505002</v>
      </c>
      <c r="C58" s="87">
        <f>IF(TrRoad_act!C34=0,0,C21/TrRoad_act!C34*1000
)</f>
        <v>281.87174011819434</v>
      </c>
      <c r="D58" s="87">
        <f>IF(TrRoad_act!D34=0,0,D21/TrRoad_act!D34*1000
)</f>
        <v>277.635700156719</v>
      </c>
      <c r="E58" s="87">
        <f>IF(TrRoad_act!E34=0,0,E21/TrRoad_act!E34*1000
)</f>
        <v>272.24856929007143</v>
      </c>
      <c r="F58" s="87">
        <f>IF(TrRoad_act!F34=0,0,F21/TrRoad_act!F34*1000
)</f>
        <v>265.55989192980189</v>
      </c>
      <c r="G58" s="87">
        <f>IF(TrRoad_act!G34=0,0,G21/TrRoad_act!G34*1000
)</f>
        <v>260.81783370852872</v>
      </c>
      <c r="H58" s="87">
        <f>IF(TrRoad_act!H34=0,0,H21/TrRoad_act!H34*1000
)</f>
        <v>256.51386992762207</v>
      </c>
      <c r="I58" s="87">
        <f>IF(TrRoad_act!I34=0,0,I21/TrRoad_act!I34*1000
)</f>
        <v>252.12729744149237</v>
      </c>
      <c r="J58" s="87">
        <f>IF(TrRoad_act!J34=0,0,J21/TrRoad_act!J34*1000
)</f>
        <v>246.57448280548479</v>
      </c>
      <c r="K58" s="87">
        <f>IF(TrRoad_act!K34=0,0,K21/TrRoad_act!K34*1000
)</f>
        <v>245.28302351296691</v>
      </c>
      <c r="L58" s="87">
        <f>IF(TrRoad_act!L34=0,0,L21/TrRoad_act!L34*1000
)</f>
        <v>240.39652833051824</v>
      </c>
      <c r="M58" s="87">
        <f>IF(TrRoad_act!M34=0,0,M21/TrRoad_act!M34*1000
)</f>
        <v>234.84164858809621</v>
      </c>
      <c r="N58" s="87">
        <f>IF(TrRoad_act!N34=0,0,N21/TrRoad_act!N34*1000
)</f>
        <v>230.46283287464396</v>
      </c>
      <c r="O58" s="87">
        <f>IF(TrRoad_act!O34=0,0,O21/TrRoad_act!O34*1000
)</f>
        <v>227.35721723938167</v>
      </c>
      <c r="P58" s="87">
        <f>IF(TrRoad_act!P34=0,0,P21/TrRoad_act!P34*1000
)</f>
        <v>222.9605172190436</v>
      </c>
      <c r="Q58" s="87">
        <f>IF(TrRoad_act!Q34=0,0,Q21/TrRoad_act!Q34*1000
)</f>
        <v>218.86625909453664</v>
      </c>
      <c r="R58" s="87">
        <f>IF(TrRoad_act!R34=0,0,R21/TrRoad_act!R34*1000
)</f>
        <v>213.68477089950184</v>
      </c>
      <c r="S58" s="87">
        <f>IF(TrRoad_act!S34=0,0,S21/TrRoad_act!S34*1000
)</f>
        <v>206.60047223278119</v>
      </c>
      <c r="T58" s="87">
        <f>IF(TrRoad_act!T34=0,0,T21/TrRoad_act!T34*1000
)</f>
        <v>196.68058642317033</v>
      </c>
      <c r="U58" s="87">
        <f>IF(TrRoad_act!U34=0,0,U21/TrRoad_act!U34*1000
)</f>
        <v>192.21803405302228</v>
      </c>
      <c r="V58" s="87">
        <f>IF(TrRoad_act!V34=0,0,V21/TrRoad_act!V34*1000
)</f>
        <v>185.13312279953038</v>
      </c>
      <c r="W58" s="87">
        <f>IF(TrRoad_act!W34=0,0,W21/TrRoad_act!W34*1000
)</f>
        <v>187.30255563718887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278.28057676074832</v>
      </c>
      <c r="C59" s="87">
        <f>IF(TrRoad_act!C35=0,0,C22/TrRoad_act!C35*1000
)</f>
        <v>271.803301854496</v>
      </c>
      <c r="D59" s="87">
        <f>IF(TrRoad_act!D35=0,0,D22/TrRoad_act!D35*1000
)</f>
        <v>264.37969773352773</v>
      </c>
      <c r="E59" s="87">
        <f>IF(TrRoad_act!E35=0,0,E22/TrRoad_act!E35*1000
)</f>
        <v>264.84780850463875</v>
      </c>
      <c r="F59" s="87">
        <f>IF(TrRoad_act!F35=0,0,F22/TrRoad_act!F35*1000
)</f>
        <v>267.38140557404898</v>
      </c>
      <c r="G59" s="87">
        <f>IF(TrRoad_act!G35=0,0,G22/TrRoad_act!G35*1000
)</f>
        <v>255.32886327908628</v>
      </c>
      <c r="H59" s="87">
        <f>IF(TrRoad_act!H35=0,0,H22/TrRoad_act!H35*1000
)</f>
        <v>251.28438012878567</v>
      </c>
      <c r="I59" s="87">
        <f>IF(TrRoad_act!I35=0,0,I22/TrRoad_act!I35*1000
)</f>
        <v>239.29310008525368</v>
      </c>
      <c r="J59" s="87">
        <f>IF(TrRoad_act!J35=0,0,J22/TrRoad_act!J35*1000
)</f>
        <v>232.71995996517506</v>
      </c>
      <c r="K59" s="87">
        <f>IF(TrRoad_act!K35=0,0,K22/TrRoad_act!K35*1000
)</f>
        <v>222.73756146442776</v>
      </c>
      <c r="L59" s="87">
        <f>IF(TrRoad_act!L35=0,0,L22/TrRoad_act!L35*1000
)</f>
        <v>216.40443215991846</v>
      </c>
      <c r="M59" s="87">
        <f>IF(TrRoad_act!M35=0,0,M22/TrRoad_act!M35*1000
)</f>
        <v>203.22221551050441</v>
      </c>
      <c r="N59" s="87">
        <f>IF(TrRoad_act!N35=0,0,N22/TrRoad_act!N35*1000
)</f>
        <v>188.92555857033358</v>
      </c>
      <c r="O59" s="87">
        <f>IF(TrRoad_act!O35=0,0,O22/TrRoad_act!O35*1000
)</f>
        <v>178.02433373800648</v>
      </c>
      <c r="P59" s="87">
        <f>IF(TrRoad_act!P35=0,0,P22/TrRoad_act!P35*1000
)</f>
        <v>162.35704723794703</v>
      </c>
      <c r="Q59" s="87">
        <f>IF(TrRoad_act!Q35=0,0,Q22/TrRoad_act!Q35*1000
)</f>
        <v>154.4962627471844</v>
      </c>
      <c r="R59" s="87">
        <f>IF(TrRoad_act!R35=0,0,R22/TrRoad_act!R35*1000
)</f>
        <v>140.25181037522293</v>
      </c>
      <c r="S59" s="87">
        <f>IF(TrRoad_act!S35=0,0,S22/TrRoad_act!S35*1000
)</f>
        <v>131.5553844923233</v>
      </c>
      <c r="T59" s="87">
        <f>IF(TrRoad_act!T35=0,0,T22/TrRoad_act!T35*1000
)</f>
        <v>124.67494870279175</v>
      </c>
      <c r="U59" s="87">
        <f>IF(TrRoad_act!U35=0,0,U22/TrRoad_act!U35*1000
)</f>
        <v>126.82471395442377</v>
      </c>
      <c r="V59" s="87">
        <f>IF(TrRoad_act!V35=0,0,V22/TrRoad_act!V35*1000
)</f>
        <v>127.09691825873917</v>
      </c>
      <c r="W59" s="87">
        <f>IF(TrRoad_act!W35=0,0,W22/TrRoad_act!W35*1000
)</f>
        <v>125.63197903394538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0</v>
      </c>
      <c r="E60" s="87">
        <f>IF(TrRoad_act!E36=0,0,E23/TrRoad_act!E36*1000
)</f>
        <v>0</v>
      </c>
      <c r="F60" s="87">
        <f>IF(TrRoad_act!F36=0,0,F23/TrRoad_act!F36*1000
)</f>
        <v>0</v>
      </c>
      <c r="G60" s="87">
        <f>IF(TrRoad_act!G36=0,0,G23/TrRoad_act!G36*1000
)</f>
        <v>338.72254109506048</v>
      </c>
      <c r="H60" s="87">
        <f>IF(TrRoad_act!H36=0,0,H23/TrRoad_act!H36*1000
)</f>
        <v>273.02617611446669</v>
      </c>
      <c r="I60" s="87">
        <f>IF(TrRoad_act!I36=0,0,I23/TrRoad_act!I36*1000
)</f>
        <v>591.63294534954753</v>
      </c>
      <c r="J60" s="87">
        <f>IF(TrRoad_act!J36=0,0,J23/TrRoad_act!J36*1000
)</f>
        <v>365.76300926948971</v>
      </c>
      <c r="K60" s="87">
        <f>IF(TrRoad_act!K36=0,0,K23/TrRoad_act!K36*1000
)</f>
        <v>343.4350315370321</v>
      </c>
      <c r="L60" s="87">
        <f>IF(TrRoad_act!L36=0,0,L23/TrRoad_act!L36*1000
)</f>
        <v>423.32904179042544</v>
      </c>
      <c r="M60" s="87">
        <f>IF(TrRoad_act!M36=0,0,M23/TrRoad_act!M36*1000
)</f>
        <v>286.76791562493702</v>
      </c>
      <c r="N60" s="87">
        <f>IF(TrRoad_act!N36=0,0,N23/TrRoad_act!N36*1000
)</f>
        <v>183.72681195838445</v>
      </c>
      <c r="O60" s="87">
        <f>IF(TrRoad_act!O36=0,0,O23/TrRoad_act!O36*1000
)</f>
        <v>96.504879577517087</v>
      </c>
      <c r="P60" s="87">
        <f>IF(TrRoad_act!P36=0,0,P23/TrRoad_act!P36*1000
)</f>
        <v>112.56532175721772</v>
      </c>
      <c r="Q60" s="87">
        <f>IF(TrRoad_act!Q36=0,0,Q23/TrRoad_act!Q36*1000
)</f>
        <v>619.37174095821661</v>
      </c>
      <c r="R60" s="87">
        <f>IF(TrRoad_act!R36=0,0,R23/TrRoad_act!R36*1000
)</f>
        <v>229.3860270670163</v>
      </c>
      <c r="S60" s="87">
        <f>IF(TrRoad_act!S36=0,0,S23/TrRoad_act!S36*1000
)</f>
        <v>0</v>
      </c>
      <c r="T60" s="87">
        <f>IF(TrRoad_act!T36=0,0,T23/TrRoad_act!T36*1000
)</f>
        <v>0</v>
      </c>
      <c r="U60" s="87">
        <f>IF(TrRoad_act!U36=0,0,U23/TrRoad_act!U36*1000
)</f>
        <v>0</v>
      </c>
      <c r="V60" s="87">
        <f>IF(TrRoad_act!V36=0,0,V23/TrRoad_act!V36*1000
)</f>
        <v>0</v>
      </c>
      <c r="W60" s="87">
        <f>IF(TrRoad_act!W36=0,0,W23/TrRoad_act!W36*1000
)</f>
        <v>0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217.49632017729846</v>
      </c>
      <c r="E61" s="87">
        <f>IF(TrRoad_act!E37=0,0,E24/TrRoad_act!E37*1000
)</f>
        <v>216.34690111363415</v>
      </c>
      <c r="F61" s="87">
        <f>IF(TrRoad_act!F37=0,0,F24/TrRoad_act!F37*1000
)</f>
        <v>216.1282617793388</v>
      </c>
      <c r="G61" s="87">
        <f>IF(TrRoad_act!G37=0,0,G24/TrRoad_act!G37*1000
)</f>
        <v>214.47867259897814</v>
      </c>
      <c r="H61" s="87">
        <f>IF(TrRoad_act!H37=0,0,H24/TrRoad_act!H37*1000
)</f>
        <v>213.64772209176149</v>
      </c>
      <c r="I61" s="87">
        <f>IF(TrRoad_act!I37=0,0,I24/TrRoad_act!I37*1000
)</f>
        <v>212.22806621658955</v>
      </c>
      <c r="J61" s="87">
        <f>IF(TrRoad_act!J37=0,0,J24/TrRoad_act!J37*1000
)</f>
        <v>117.52663635140649</v>
      </c>
      <c r="K61" s="87">
        <f>IF(TrRoad_act!K37=0,0,K24/TrRoad_act!K37*1000
)</f>
        <v>101.60898179648505</v>
      </c>
      <c r="L61" s="87">
        <f>IF(TrRoad_act!L37=0,0,L24/TrRoad_act!L37*1000
)</f>
        <v>112.1801419105476</v>
      </c>
      <c r="M61" s="87">
        <f>IF(TrRoad_act!M37=0,0,M24/TrRoad_act!M37*1000
)</f>
        <v>73.353880236674414</v>
      </c>
      <c r="N61" s="87">
        <f>IF(TrRoad_act!N37=0,0,N24/TrRoad_act!N37*1000
)</f>
        <v>80.622060907639408</v>
      </c>
      <c r="O61" s="87">
        <f>IF(TrRoad_act!O37=0,0,O24/TrRoad_act!O37*1000
)</f>
        <v>75.461715242806534</v>
      </c>
      <c r="P61" s="87">
        <f>IF(TrRoad_act!P37=0,0,P24/TrRoad_act!P37*1000
)</f>
        <v>66.816278255966495</v>
      </c>
      <c r="Q61" s="87">
        <f>IF(TrRoad_act!Q37=0,0,Q24/TrRoad_act!Q37*1000
)</f>
        <v>44.669796921229683</v>
      </c>
      <c r="R61" s="87">
        <f>IF(TrRoad_act!R37=0,0,R24/TrRoad_act!R37*1000
)</f>
        <v>44.066587550003277</v>
      </c>
      <c r="S61" s="87">
        <f>IF(TrRoad_act!S37=0,0,S24/TrRoad_act!S37*1000
)</f>
        <v>16.998079111515885</v>
      </c>
      <c r="T61" s="87">
        <f>IF(TrRoad_act!T37=0,0,T24/TrRoad_act!T37*1000
)</f>
        <v>13.683590363026182</v>
      </c>
      <c r="U61" s="87">
        <f>IF(TrRoad_act!U37=0,0,U24/TrRoad_act!U37*1000
)</f>
        <v>12.308892307658798</v>
      </c>
      <c r="V61" s="87">
        <f>IF(TrRoad_act!V37=0,0,V24/TrRoad_act!V37*1000
)</f>
        <v>13.154325893349025</v>
      </c>
      <c r="W61" s="87">
        <f>IF(TrRoad_act!W37=0,0,W24/TrRoad_act!W37*1000
)</f>
        <v>15.798100284208344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88.239446850842</v>
      </c>
      <c r="K62" s="87">
        <f>IF(TrRoad_act!K38=0,0,K25/TrRoad_act!K38*1000
)</f>
        <v>86.74533846440481</v>
      </c>
      <c r="L62" s="87">
        <f>IF(TrRoad_act!L38=0,0,L25/TrRoad_act!L38*1000
)</f>
        <v>84.169050155045724</v>
      </c>
      <c r="M62" s="87">
        <f>IF(TrRoad_act!M38=0,0,M25/TrRoad_act!M38*1000
)</f>
        <v>73.407304640280032</v>
      </c>
      <c r="N62" s="87">
        <f>IF(TrRoad_act!N38=0,0,N25/TrRoad_act!N38*1000
)</f>
        <v>65.758696742193806</v>
      </c>
      <c r="O62" s="87">
        <f>IF(TrRoad_act!O38=0,0,O25/TrRoad_act!O38*1000
)</f>
        <v>65.361518980417642</v>
      </c>
      <c r="P62" s="87">
        <f>IF(TrRoad_act!P38=0,0,P25/TrRoad_act!P38*1000
)</f>
        <v>62.403570040741563</v>
      </c>
      <c r="Q62" s="87">
        <f>IF(TrRoad_act!Q38=0,0,Q25/TrRoad_act!Q38*1000
)</f>
        <v>60.678733225263358</v>
      </c>
      <c r="R62" s="87">
        <f>IF(TrRoad_act!R38=0,0,R25/TrRoad_act!R38*1000
)</f>
        <v>60.334190866100755</v>
      </c>
      <c r="S62" s="87">
        <f>IF(TrRoad_act!S38=0,0,S25/TrRoad_act!S38*1000
)</f>
        <v>59.893729177721951</v>
      </c>
      <c r="T62" s="87">
        <f>IF(TrRoad_act!T38=0,0,T25/TrRoad_act!T38*1000
)</f>
        <v>59.055506242263199</v>
      </c>
      <c r="U62" s="87">
        <f>IF(TrRoad_act!U38=0,0,U25/TrRoad_act!U38*1000
)</f>
        <v>54.984748269169259</v>
      </c>
      <c r="V62" s="87">
        <f>IF(TrRoad_act!V38=0,0,V25/TrRoad_act!V38*1000
)</f>
        <v>49.362827902329833</v>
      </c>
      <c r="W62" s="87">
        <f>IF(TrRoad_act!W38=0,0,W25/TrRoad_act!W38*1000
)</f>
        <v>47.275803974709788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2017.411087957385</v>
      </c>
      <c r="C64" s="116">
        <f>IF(TrRoad_act!C40=0,0,C27/TrRoad_act!C40*1000
)</f>
        <v>1992.6575364522114</v>
      </c>
      <c r="D64" s="116">
        <f>IF(TrRoad_act!D40=0,0,D27/TrRoad_act!D40*1000
)</f>
        <v>1941.3291685903239</v>
      </c>
      <c r="E64" s="116">
        <f>IF(TrRoad_act!E40=0,0,E27/TrRoad_act!E40*1000
)</f>
        <v>1990.4002195490439</v>
      </c>
      <c r="F64" s="116">
        <f>IF(TrRoad_act!F40=0,0,F27/TrRoad_act!F40*1000
)</f>
        <v>2023.1672576440474</v>
      </c>
      <c r="G64" s="116">
        <f>IF(TrRoad_act!G40=0,0,G27/TrRoad_act!G40*1000
)</f>
        <v>1820.1398836519822</v>
      </c>
      <c r="H64" s="116">
        <f>IF(TrRoad_act!H40=0,0,H27/TrRoad_act!H40*1000
)</f>
        <v>1886.2679423867505</v>
      </c>
      <c r="I64" s="116">
        <f>IF(TrRoad_act!I40=0,0,I27/TrRoad_act!I40*1000
)</f>
        <v>1806.150234986922</v>
      </c>
      <c r="J64" s="116">
        <f>IF(TrRoad_act!J40=0,0,J27/TrRoad_act!J40*1000
)</f>
        <v>1749.4851943855413</v>
      </c>
      <c r="K64" s="116">
        <f>IF(TrRoad_act!K40=0,0,K27/TrRoad_act!K40*1000
)</f>
        <v>1655.9817526944507</v>
      </c>
      <c r="L64" s="116">
        <f>IF(TrRoad_act!L40=0,0,L27/TrRoad_act!L40*1000
)</f>
        <v>1645.4125745085491</v>
      </c>
      <c r="M64" s="116">
        <f>IF(TrRoad_act!M40=0,0,M27/TrRoad_act!M40*1000
)</f>
        <v>1555.1178178258542</v>
      </c>
      <c r="N64" s="116">
        <f>IF(TrRoad_act!N40=0,0,N27/TrRoad_act!N40*1000
)</f>
        <v>1470.3847627776595</v>
      </c>
      <c r="O64" s="116">
        <f>IF(TrRoad_act!O40=0,0,O27/TrRoad_act!O40*1000
)</f>
        <v>1357.135205434447</v>
      </c>
      <c r="P64" s="116">
        <f>IF(TrRoad_act!P40=0,0,P27/TrRoad_act!P40*1000
)</f>
        <v>1219.0460624598909</v>
      </c>
      <c r="Q64" s="116">
        <f>IF(TrRoad_act!Q40=0,0,Q27/TrRoad_act!Q40*1000
)</f>
        <v>1148.0536685897628</v>
      </c>
      <c r="R64" s="116">
        <f>IF(TrRoad_act!R40=0,0,R27/TrRoad_act!R40*1000
)</f>
        <v>1056.4910449511467</v>
      </c>
      <c r="S64" s="116">
        <f>IF(TrRoad_act!S40=0,0,S27/TrRoad_act!S40*1000
)</f>
        <v>972.7368760344101</v>
      </c>
      <c r="T64" s="116">
        <f>IF(TrRoad_act!T40=0,0,T27/TrRoad_act!T40*1000
)</f>
        <v>922.10879891445495</v>
      </c>
      <c r="U64" s="116">
        <f>IF(TrRoad_act!U40=0,0,U27/TrRoad_act!U40*1000
)</f>
        <v>941.29659873497803</v>
      </c>
      <c r="V64" s="116">
        <f>IF(TrRoad_act!V40=0,0,V27/TrRoad_act!V40*1000
)</f>
        <v>910.07135341505511</v>
      </c>
      <c r="W64" s="116">
        <f>IF(TrRoad_act!W40=0,0,W27/TrRoad_act!W40*1000
)</f>
        <v>909.38746019576547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620.95961008950917</v>
      </c>
      <c r="C65" s="101">
        <f>IF(TrRoad_act!C41=0,0,C28/TrRoad_act!C41*1000
)</f>
        <v>616.84601800809605</v>
      </c>
      <c r="D65" s="101">
        <f>IF(TrRoad_act!D41=0,0,D28/TrRoad_act!D41*1000
)</f>
        <v>613.52649432603278</v>
      </c>
      <c r="E65" s="101">
        <f>IF(TrRoad_act!E41=0,0,E28/TrRoad_act!E41*1000
)</f>
        <v>607.01570472097148</v>
      </c>
      <c r="F65" s="101">
        <f>IF(TrRoad_act!F41=0,0,F28/TrRoad_act!F41*1000
)</f>
        <v>597.23828952260362</v>
      </c>
      <c r="G65" s="101">
        <f>IF(TrRoad_act!G41=0,0,G28/TrRoad_act!G41*1000
)</f>
        <v>591.48833544469608</v>
      </c>
      <c r="H65" s="101">
        <f>IF(TrRoad_act!H41=0,0,H28/TrRoad_act!H41*1000
)</f>
        <v>581.93882667420939</v>
      </c>
      <c r="I65" s="101">
        <f>IF(TrRoad_act!I41=0,0,I28/TrRoad_act!I41*1000
)</f>
        <v>575.19025965935055</v>
      </c>
      <c r="J65" s="101">
        <f>IF(TrRoad_act!J41=0,0,J28/TrRoad_act!J41*1000
)</f>
        <v>561.63250078877184</v>
      </c>
      <c r="K65" s="101">
        <f>IF(TrRoad_act!K41=0,0,K28/TrRoad_act!K41*1000
)</f>
        <v>550.0106273424127</v>
      </c>
      <c r="L65" s="101">
        <f>IF(TrRoad_act!L41=0,0,L28/TrRoad_act!L41*1000
)</f>
        <v>507.2058100143044</v>
      </c>
      <c r="M65" s="101">
        <f>IF(TrRoad_act!M41=0,0,M28/TrRoad_act!M41*1000
)</f>
        <v>464.89583820077473</v>
      </c>
      <c r="N65" s="101">
        <f>IF(TrRoad_act!N41=0,0,N28/TrRoad_act!N41*1000
)</f>
        <v>454.43874245982499</v>
      </c>
      <c r="O65" s="101">
        <f>IF(TrRoad_act!O41=0,0,O28/TrRoad_act!O41*1000
)</f>
        <v>447.03419439616698</v>
      </c>
      <c r="P65" s="101">
        <f>IF(TrRoad_act!P41=0,0,P28/TrRoad_act!P41*1000
)</f>
        <v>442.89018609324438</v>
      </c>
      <c r="Q65" s="101">
        <f>IF(TrRoad_act!Q41=0,0,Q28/TrRoad_act!Q41*1000
)</f>
        <v>444.73113252135079</v>
      </c>
      <c r="R65" s="101">
        <f>IF(TrRoad_act!R41=0,0,R28/TrRoad_act!R41*1000
)</f>
        <v>435.41545696123711</v>
      </c>
      <c r="S65" s="101">
        <f>IF(TrRoad_act!S41=0,0,S28/TrRoad_act!S41*1000
)</f>
        <v>431.80870285863807</v>
      </c>
      <c r="T65" s="101">
        <f>IF(TrRoad_act!T41=0,0,T28/TrRoad_act!T41*1000
)</f>
        <v>420.9024299009622</v>
      </c>
      <c r="U65" s="101">
        <f>IF(TrRoad_act!U41=0,0,U28/TrRoad_act!U41*1000
)</f>
        <v>422.83496965119878</v>
      </c>
      <c r="V65" s="101">
        <f>IF(TrRoad_act!V41=0,0,V28/TrRoad_act!V41*1000
)</f>
        <v>417.12353966539666</v>
      </c>
      <c r="W65" s="101">
        <f>IF(TrRoad_act!W41=0,0,W28/TrRoad_act!W41*1000
)</f>
        <v>411.61223725707441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2091.4733138386127</v>
      </c>
      <c r="C66" s="101">
        <f>IF(TrRoad_act!C42=0,0,C29/TrRoad_act!C42*1000
)</f>
        <v>2065.2261401381934</v>
      </c>
      <c r="D66" s="101">
        <f>IF(TrRoad_act!D42=0,0,D29/TrRoad_act!D42*1000
)</f>
        <v>2006.3699845730332</v>
      </c>
      <c r="E66" s="101">
        <f>IF(TrRoad_act!E42=0,0,E29/TrRoad_act!E42*1000
)</f>
        <v>2044.5252637153724</v>
      </c>
      <c r="F66" s="101">
        <f>IF(TrRoad_act!F42=0,0,F29/TrRoad_act!F42*1000
)</f>
        <v>2090.3216106168743</v>
      </c>
      <c r="G66" s="101">
        <f>IF(TrRoad_act!G42=0,0,G29/TrRoad_act!G42*1000
)</f>
        <v>1967.4645658290578</v>
      </c>
      <c r="H66" s="101">
        <f>IF(TrRoad_act!H42=0,0,H29/TrRoad_act!H42*1000
)</f>
        <v>1949.4288185197347</v>
      </c>
      <c r="I66" s="101">
        <f>IF(TrRoad_act!I42=0,0,I29/TrRoad_act!I42*1000
)</f>
        <v>1883.8346292250992</v>
      </c>
      <c r="J66" s="101">
        <f>IF(TrRoad_act!J42=0,0,J29/TrRoad_act!J42*1000
)</f>
        <v>1853.2427234622003</v>
      </c>
      <c r="K66" s="101">
        <f>IF(TrRoad_act!K42=0,0,K29/TrRoad_act!K42*1000
)</f>
        <v>1806.527592546905</v>
      </c>
      <c r="L66" s="101">
        <f>IF(TrRoad_act!L42=0,0,L29/TrRoad_act!L42*1000
)</f>
        <v>1816.6944981248766</v>
      </c>
      <c r="M66" s="101">
        <f>IF(TrRoad_act!M42=0,0,M29/TrRoad_act!M42*1000
)</f>
        <v>1759.6712699342754</v>
      </c>
      <c r="N66" s="101">
        <f>IF(TrRoad_act!N42=0,0,N29/TrRoad_act!N42*1000
)</f>
        <v>1659.4952020876317</v>
      </c>
      <c r="O66" s="101">
        <f>IF(TrRoad_act!O42=0,0,O29/TrRoad_act!O42*1000
)</f>
        <v>1568.931695763021</v>
      </c>
      <c r="P66" s="101">
        <f>IF(TrRoad_act!P42=0,0,P29/TrRoad_act!P42*1000
)</f>
        <v>1413.3733148907834</v>
      </c>
      <c r="Q66" s="101">
        <f>IF(TrRoad_act!Q42=0,0,Q29/TrRoad_act!Q42*1000
)</f>
        <v>1358.6515581041097</v>
      </c>
      <c r="R66" s="101">
        <f>IF(TrRoad_act!R42=0,0,R29/TrRoad_act!R42*1000
)</f>
        <v>1238.4795921812772</v>
      </c>
      <c r="S66" s="101">
        <f>IF(TrRoad_act!S42=0,0,S29/TrRoad_act!S42*1000
)</f>
        <v>1182.280844826513</v>
      </c>
      <c r="T66" s="101">
        <f>IF(TrRoad_act!T42=0,0,T29/TrRoad_act!T42*1000
)</f>
        <v>1117.6779703519042</v>
      </c>
      <c r="U66" s="101">
        <f>IF(TrRoad_act!U42=0,0,U29/TrRoad_act!U42*1000
)</f>
        <v>1150.2312372307888</v>
      </c>
      <c r="V66" s="101">
        <f>IF(TrRoad_act!V42=0,0,V29/TrRoad_act!V42*1000
)</f>
        <v>1166.4551947750294</v>
      </c>
      <c r="W66" s="101">
        <f>IF(TrRoad_act!W42=0,0,W29/TrRoad_act!W42*1000
)</f>
        <v>1162.8854708050833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1032.5281437972999</v>
      </c>
      <c r="C68" s="101">
        <f>IF(TrRoad_act!C44=0,0,C31/TrRoad_act!C44*1000
)</f>
        <v>925.98849177858563</v>
      </c>
      <c r="D68" s="101">
        <f>IF(TrRoad_act!D44=0,0,D31/TrRoad_act!D44*1000
)</f>
        <v>893.47600101953901</v>
      </c>
      <c r="E68" s="101">
        <f>IF(TrRoad_act!E44=0,0,E31/TrRoad_act!E44*1000
)</f>
        <v>1180.1179908531396</v>
      </c>
      <c r="F68" s="101">
        <f>IF(TrRoad_act!F44=0,0,F31/TrRoad_act!F44*1000
)</f>
        <v>809.79841943660517</v>
      </c>
      <c r="G68" s="101">
        <f>IF(TrRoad_act!G44=0,0,G31/TrRoad_act!G44*1000
)</f>
        <v>292.94492133906761</v>
      </c>
      <c r="H68" s="101">
        <f>IF(TrRoad_act!H44=0,0,H31/TrRoad_act!H44*1000
)</f>
        <v>884.86337454769989</v>
      </c>
      <c r="I68" s="101">
        <f>IF(TrRoad_act!I44=0,0,I31/TrRoad_act!I44*1000
)</f>
        <v>715.91689413550614</v>
      </c>
      <c r="J68" s="101">
        <f>IF(TrRoad_act!J44=0,0,J31/TrRoad_act!J44*1000
)</f>
        <v>651.01374307087815</v>
      </c>
      <c r="K68" s="101">
        <f>IF(TrRoad_act!K44=0,0,K31/TrRoad_act!K44*1000
)</f>
        <v>415.95014339010356</v>
      </c>
      <c r="L68" s="101">
        <f>IF(TrRoad_act!L44=0,0,L31/TrRoad_act!L44*1000
)</f>
        <v>428.55750932308291</v>
      </c>
      <c r="M68" s="101">
        <f>IF(TrRoad_act!M44=0,0,M31/TrRoad_act!M44*1000
)</f>
        <v>507.94591035090173</v>
      </c>
      <c r="N68" s="101">
        <f>IF(TrRoad_act!N44=0,0,N31/TrRoad_act!N44*1000
)</f>
        <v>556.55828499065967</v>
      </c>
      <c r="O68" s="101">
        <f>IF(TrRoad_act!O44=0,0,O31/TrRoad_act!O44*1000
)</f>
        <v>478.29441169309979</v>
      </c>
      <c r="P68" s="101">
        <f>IF(TrRoad_act!P44=0,0,P31/TrRoad_act!P44*1000
)</f>
        <v>438.8447491614553</v>
      </c>
      <c r="Q68" s="101">
        <f>IF(TrRoad_act!Q44=0,0,Q31/TrRoad_act!Q44*1000
)</f>
        <v>282.94207881179261</v>
      </c>
      <c r="R68" s="101">
        <f>IF(TrRoad_act!R44=0,0,R31/TrRoad_act!R44*1000
)</f>
        <v>286.47054339880236</v>
      </c>
      <c r="S68" s="101">
        <f>IF(TrRoad_act!S44=0,0,S31/TrRoad_act!S44*1000
)</f>
        <v>98.078828753141963</v>
      </c>
      <c r="T68" s="101">
        <f>IF(TrRoad_act!T44=0,0,T31/TrRoad_act!T44*1000
)</f>
        <v>88.591589628283828</v>
      </c>
      <c r="U68" s="101">
        <f>IF(TrRoad_act!U44=0,0,U31/TrRoad_act!U44*1000
)</f>
        <v>62.291358445045582</v>
      </c>
      <c r="V68" s="101">
        <f>IF(TrRoad_act!V44=0,0,V31/TrRoad_act!V44*1000
)</f>
        <v>56.592136828528432</v>
      </c>
      <c r="W68" s="101">
        <f>IF(TrRoad_act!W44=0,0,W31/TrRoad_act!W44*1000
)</f>
        <v>63.810663006522773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858.54518586814265</v>
      </c>
      <c r="C70" s="29">
        <f>IF(TrRoad_act!C46=0,0,C33/TrRoad_act!C46*1000
)</f>
        <v>806.42603147658008</v>
      </c>
      <c r="D70" s="29">
        <f>IF(TrRoad_act!D46=0,0,D33/TrRoad_act!D46*1000
)</f>
        <v>764.75490306566724</v>
      </c>
      <c r="E70" s="29">
        <f>IF(TrRoad_act!E46=0,0,E33/TrRoad_act!E46*1000
)</f>
        <v>765.4775015639384</v>
      </c>
      <c r="F70" s="29">
        <f>IF(TrRoad_act!F46=0,0,F33/TrRoad_act!F46*1000
)</f>
        <v>778.17184616643328</v>
      </c>
      <c r="G70" s="29">
        <f>IF(TrRoad_act!G46=0,0,G33/TrRoad_act!G46*1000
)</f>
        <v>748.44752979133875</v>
      </c>
      <c r="H70" s="29">
        <f>IF(TrRoad_act!H46=0,0,H33/TrRoad_act!H46*1000
)</f>
        <v>731.24114366269691</v>
      </c>
      <c r="I70" s="29">
        <f>IF(TrRoad_act!I46=0,0,I33/TrRoad_act!I46*1000
)</f>
        <v>705.54718873279353</v>
      </c>
      <c r="J70" s="29">
        <f>IF(TrRoad_act!J46=0,0,J33/TrRoad_act!J46*1000
)</f>
        <v>690.05204352299052</v>
      </c>
      <c r="K70" s="29">
        <f>IF(TrRoad_act!K46=0,0,K33/TrRoad_act!K46*1000
)</f>
        <v>653.14574805788322</v>
      </c>
      <c r="L70" s="29">
        <f>IF(TrRoad_act!L46=0,0,L33/TrRoad_act!L46*1000
)</f>
        <v>657.78132249841451</v>
      </c>
      <c r="M70" s="29">
        <f>IF(TrRoad_act!M46=0,0,M33/TrRoad_act!M46*1000
)</f>
        <v>627.34314831322013</v>
      </c>
      <c r="N70" s="29">
        <f>IF(TrRoad_act!N46=0,0,N33/TrRoad_act!N46*1000
)</f>
        <v>566.33490045594624</v>
      </c>
      <c r="O70" s="29">
        <f>IF(TrRoad_act!O46=0,0,O33/TrRoad_act!O46*1000
)</f>
        <v>523.74376433714508</v>
      </c>
      <c r="P70" s="29">
        <f>IF(TrRoad_act!P46=0,0,P33/TrRoad_act!P46*1000
)</f>
        <v>462.33973828076455</v>
      </c>
      <c r="Q70" s="29">
        <f>IF(TrRoad_act!Q46=0,0,Q33/TrRoad_act!Q46*1000
)</f>
        <v>430.66837919905981</v>
      </c>
      <c r="R70" s="29">
        <f>IF(TrRoad_act!R46=0,0,R33/TrRoad_act!R46*1000
)</f>
        <v>371.53750559640582</v>
      </c>
      <c r="S70" s="29">
        <f>IF(TrRoad_act!S46=0,0,S33/TrRoad_act!S46*1000
)</f>
        <v>345.73622933750653</v>
      </c>
      <c r="T70" s="29">
        <f>IF(TrRoad_act!T46=0,0,T33/TrRoad_act!T46*1000
)</f>
        <v>314.90956955468346</v>
      </c>
      <c r="U70" s="29">
        <f>IF(TrRoad_act!U46=0,0,U33/TrRoad_act!U46*1000
)</f>
        <v>320.47065403176214</v>
      </c>
      <c r="V70" s="29">
        <f>IF(TrRoad_act!V46=0,0,V33/TrRoad_act!V46*1000
)</f>
        <v>330.41758280369157</v>
      </c>
      <c r="W70" s="29">
        <f>IF(TrRoad_act!W46=0,0,W33/TrRoad_act!W46*1000
)</f>
        <v>332.22906741750296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373.93766512014355</v>
      </c>
      <c r="C71" s="152">
        <f>IF(TrRoad_act!C47=0,0,C34/TrRoad_act!C47*1000
)</f>
        <v>353.5100764422719</v>
      </c>
      <c r="D71" s="152">
        <f>IF(TrRoad_act!D47=0,0,D34/TrRoad_act!D47*1000
)</f>
        <v>342.9804634148922</v>
      </c>
      <c r="E71" s="152">
        <f>IF(TrRoad_act!E47=0,0,E34/TrRoad_act!E47*1000
)</f>
        <v>345.47516998093778</v>
      </c>
      <c r="F71" s="152">
        <f>IF(TrRoad_act!F47=0,0,F34/TrRoad_act!F47*1000
)</f>
        <v>350.49290059973026</v>
      </c>
      <c r="G71" s="152">
        <f>IF(TrRoad_act!G47=0,0,G34/TrRoad_act!G47*1000
)</f>
        <v>334.01913851583453</v>
      </c>
      <c r="H71" s="152">
        <f>IF(TrRoad_act!H47=0,0,H34/TrRoad_act!H47*1000
)</f>
        <v>331.82278154162026</v>
      </c>
      <c r="I71" s="152">
        <f>IF(TrRoad_act!I47=0,0,I34/TrRoad_act!I47*1000
)</f>
        <v>322.96299166462211</v>
      </c>
      <c r="J71" s="152">
        <f>IF(TrRoad_act!J47=0,0,J34/TrRoad_act!J47*1000
)</f>
        <v>317.97511945776074</v>
      </c>
      <c r="K71" s="152">
        <f>IF(TrRoad_act!K47=0,0,K34/TrRoad_act!K47*1000
)</f>
        <v>311.08970300329122</v>
      </c>
      <c r="L71" s="152">
        <f>IF(TrRoad_act!L47=0,0,L34/TrRoad_act!L47*1000
)</f>
        <v>313.91765825016211</v>
      </c>
      <c r="M71" s="152">
        <f>IF(TrRoad_act!M47=0,0,M34/TrRoad_act!M47*1000
)</f>
        <v>307.16487468852506</v>
      </c>
      <c r="N71" s="152">
        <f>IF(TrRoad_act!N47=0,0,N34/TrRoad_act!N47*1000
)</f>
        <v>287.98884689804208</v>
      </c>
      <c r="O71" s="152">
        <f>IF(TrRoad_act!O47=0,0,O34/TrRoad_act!O47*1000
)</f>
        <v>270.81047731492356</v>
      </c>
      <c r="P71" s="152">
        <f>IF(TrRoad_act!P47=0,0,P34/TrRoad_act!P47*1000
)</f>
        <v>243.27775494912754</v>
      </c>
      <c r="Q71" s="152">
        <f>IF(TrRoad_act!Q47=0,0,Q34/TrRoad_act!Q47*1000
)</f>
        <v>230.86635602537913</v>
      </c>
      <c r="R71" s="152">
        <f>IF(TrRoad_act!R47=0,0,R34/TrRoad_act!R47*1000
)</f>
        <v>206.79116021589482</v>
      </c>
      <c r="S71" s="152">
        <f>IF(TrRoad_act!S47=0,0,S34/TrRoad_act!S47*1000
)</f>
        <v>193.41959898291779</v>
      </c>
      <c r="T71" s="152">
        <f>IF(TrRoad_act!T47=0,0,T34/TrRoad_act!T47*1000
)</f>
        <v>179.89157442125773</v>
      </c>
      <c r="U71" s="152">
        <f>IF(TrRoad_act!U47=0,0,U34/TrRoad_act!U47*1000
)</f>
        <v>182.62592743471794</v>
      </c>
      <c r="V71" s="152">
        <f>IF(TrRoad_act!V47=0,0,V34/TrRoad_act!V47*1000
)</f>
        <v>183.82454288156282</v>
      </c>
      <c r="W71" s="152">
        <f>IF(TrRoad_act!W47=0,0,W34/TrRoad_act!W47*1000
)</f>
        <v>182.08192745516192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359.47869519956055</v>
      </c>
      <c r="C72" s="87">
        <f>IF(TrRoad_act!C48=0,0,C35/TrRoad_act!C48*1000
)</f>
        <v>352.43973755009432</v>
      </c>
      <c r="D72" s="87">
        <f>IF(TrRoad_act!D48=0,0,D35/TrRoad_act!D48*1000
)</f>
        <v>348.52054647359091</v>
      </c>
      <c r="E72" s="87">
        <f>IF(TrRoad_act!E48=0,0,E35/TrRoad_act!E48*1000
)</f>
        <v>343.40742886235523</v>
      </c>
      <c r="F72" s="87">
        <f>IF(TrRoad_act!F48=0,0,F35/TrRoad_act!F48*1000
)</f>
        <v>336.45900635460549</v>
      </c>
      <c r="G72" s="87">
        <f>IF(TrRoad_act!G48=0,0,G35/TrRoad_act!G48*1000
)</f>
        <v>331.95096125931417</v>
      </c>
      <c r="H72" s="87">
        <f>IF(TrRoad_act!H48=0,0,H35/TrRoad_act!H48*1000
)</f>
        <v>327.54040600548927</v>
      </c>
      <c r="I72" s="87">
        <f>IF(TrRoad_act!I48=0,0,I35/TrRoad_act!I48*1000
)</f>
        <v>323.3180551418518</v>
      </c>
      <c r="J72" s="87">
        <f>IF(TrRoad_act!J48=0,0,J35/TrRoad_act!J48*1000
)</f>
        <v>316.81396754083266</v>
      </c>
      <c r="K72" s="87">
        <f>IF(TrRoad_act!K48=0,0,K35/TrRoad_act!K48*1000
)</f>
        <v>315.32891665820449</v>
      </c>
      <c r="L72" s="87">
        <f>IF(TrRoad_act!L48=0,0,L35/TrRoad_act!L48*1000
)</f>
        <v>311.16512392593313</v>
      </c>
      <c r="M72" s="87">
        <f>IF(TrRoad_act!M48=0,0,M35/TrRoad_act!M48*1000
)</f>
        <v>307.8895570521529</v>
      </c>
      <c r="N72" s="87">
        <f>IF(TrRoad_act!N48=0,0,N35/TrRoad_act!N48*1000
)</f>
        <v>302.86094508449071</v>
      </c>
      <c r="O72" s="87">
        <f>IF(TrRoad_act!O48=0,0,O35/TrRoad_act!O48*1000
)</f>
        <v>300.48770555857385</v>
      </c>
      <c r="P72" s="87">
        <f>IF(TrRoad_act!P48=0,0,P35/TrRoad_act!P48*1000
)</f>
        <v>299.36697405159254</v>
      </c>
      <c r="Q72" s="87">
        <f>IF(TrRoad_act!Q48=0,0,Q35/TrRoad_act!Q48*1000
)</f>
        <v>297.73579826119681</v>
      </c>
      <c r="R72" s="87">
        <f>IF(TrRoad_act!R48=0,0,R35/TrRoad_act!R48*1000
)</f>
        <v>296.8912588042632</v>
      </c>
      <c r="S72" s="87">
        <f>IF(TrRoad_act!S48=0,0,S35/TrRoad_act!S48*1000
)</f>
        <v>292.42234818564503</v>
      </c>
      <c r="T72" s="87">
        <f>IF(TrRoad_act!T48=0,0,T35/TrRoad_act!T48*1000
)</f>
        <v>279.77515492237757</v>
      </c>
      <c r="U72" s="87">
        <f>IF(TrRoad_act!U48=0,0,U35/TrRoad_act!U48*1000
)</f>
        <v>272.94644486221887</v>
      </c>
      <c r="V72" s="87">
        <f>IF(TrRoad_act!V48=0,0,V35/TrRoad_act!V48*1000
)</f>
        <v>264.66968487235988</v>
      </c>
      <c r="W72" s="87">
        <f>IF(TrRoad_act!W48=0,0,W35/TrRoad_act!W48*1000
)</f>
        <v>256.53606997894525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384.08554696126839</v>
      </c>
      <c r="C73" s="87">
        <f>IF(TrRoad_act!C49=0,0,C36/TrRoad_act!C49*1000
)</f>
        <v>354.07618803840415</v>
      </c>
      <c r="D73" s="87">
        <f>IF(TrRoad_act!D49=0,0,D36/TrRoad_act!D49*1000
)</f>
        <v>340.6516222705385</v>
      </c>
      <c r="E73" s="87">
        <f>IF(TrRoad_act!E49=0,0,E36/TrRoad_act!E49*1000
)</f>
        <v>346.16417545784878</v>
      </c>
      <c r="F73" s="87">
        <f>IF(TrRoad_act!F49=0,0,F36/TrRoad_act!F49*1000
)</f>
        <v>354.02206501084839</v>
      </c>
      <c r="G73" s="87">
        <f>IF(TrRoad_act!G49=0,0,G36/TrRoad_act!G49*1000
)</f>
        <v>334.57136481152986</v>
      </c>
      <c r="H73" s="87">
        <f>IF(TrRoad_act!H49=0,0,H36/TrRoad_act!H49*1000
)</f>
        <v>332.8780305946218</v>
      </c>
      <c r="I73" s="87">
        <f>IF(TrRoad_act!I49=0,0,I36/TrRoad_act!I49*1000
)</f>
        <v>323.20225761616069</v>
      </c>
      <c r="J73" s="87">
        <f>IF(TrRoad_act!J49=0,0,J36/TrRoad_act!J49*1000
)</f>
        <v>318.8183236253596</v>
      </c>
      <c r="K73" s="87">
        <f>IF(TrRoad_act!K49=0,0,K36/TrRoad_act!K49*1000
)</f>
        <v>311.57006567113518</v>
      </c>
      <c r="L73" s="87">
        <f>IF(TrRoad_act!L49=0,0,L36/TrRoad_act!L49*1000
)</f>
        <v>315.23979383037783</v>
      </c>
      <c r="M73" s="87">
        <f>IF(TrRoad_act!M49=0,0,M36/TrRoad_act!M49*1000
)</f>
        <v>308.32691085707609</v>
      </c>
      <c r="N73" s="87">
        <f>IF(TrRoad_act!N49=0,0,N36/TrRoad_act!N49*1000
)</f>
        <v>288.10647535439506</v>
      </c>
      <c r="O73" s="87">
        <f>IF(TrRoad_act!O49=0,0,O36/TrRoad_act!O49*1000
)</f>
        <v>270.07648211247596</v>
      </c>
      <c r="P73" s="87">
        <f>IF(TrRoad_act!P49=0,0,P36/TrRoad_act!P49*1000
)</f>
        <v>241.10810562802106</v>
      </c>
      <c r="Q73" s="87">
        <f>IF(TrRoad_act!Q49=0,0,Q36/TrRoad_act!Q49*1000
)</f>
        <v>228.65805876955918</v>
      </c>
      <c r="R73" s="87">
        <f>IF(TrRoad_act!R49=0,0,R36/TrRoad_act!R49*1000
)</f>
        <v>204.19490421140327</v>
      </c>
      <c r="S73" s="87">
        <f>IF(TrRoad_act!S49=0,0,S36/TrRoad_act!S49*1000
)</f>
        <v>191.44271642579548</v>
      </c>
      <c r="T73" s="87">
        <f>IF(TrRoad_act!T49=0,0,T36/TrRoad_act!T49*1000
)</f>
        <v>178.70314694040565</v>
      </c>
      <c r="U73" s="87">
        <f>IF(TrRoad_act!U49=0,0,U36/TrRoad_act!U49*1000
)</f>
        <v>182.12642915783198</v>
      </c>
      <c r="V73" s="87">
        <f>IF(TrRoad_act!V49=0,0,V36/TrRoad_act!V49*1000
)</f>
        <v>183.98438363531653</v>
      </c>
      <c r="W73" s="87">
        <f>IF(TrRoad_act!W49=0,0,W36/TrRoad_act!W49*1000
)</f>
        <v>182.71409397274644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0</v>
      </c>
      <c r="T74" s="87">
        <f>IF(TrRoad_act!T50=0,0,T37/TrRoad_act!T50*1000
)</f>
        <v>0</v>
      </c>
      <c r="U74" s="87">
        <f>IF(TrRoad_act!U50=0,0,U37/TrRoad_act!U50*1000
)</f>
        <v>0</v>
      </c>
      <c r="V74" s="87">
        <f>IF(TrRoad_act!V50=0,0,V37/TrRoad_act!V50*1000
)</f>
        <v>0</v>
      </c>
      <c r="W74" s="87">
        <f>IF(TrRoad_act!W50=0,0,W37/TrRoad_act!W50*1000
)</f>
        <v>0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202.87480695150515</v>
      </c>
      <c r="D75" s="87">
        <f>IF(TrRoad_act!D51=0,0,D38/TrRoad_act!D51*1000
)</f>
        <v>203.68710139506641</v>
      </c>
      <c r="E75" s="87">
        <f>IF(TrRoad_act!E51=0,0,E38/TrRoad_act!E51*1000
)</f>
        <v>203.02407888648051</v>
      </c>
      <c r="F75" s="87">
        <f>IF(TrRoad_act!F51=0,0,F38/TrRoad_act!F51*1000
)</f>
        <v>203.41822326634065</v>
      </c>
      <c r="G75" s="87">
        <f>IF(TrRoad_act!G51=0,0,G38/TrRoad_act!G51*1000
)</f>
        <v>201.97520553684819</v>
      </c>
      <c r="H75" s="87">
        <f>IF(TrRoad_act!H51=0,0,H38/TrRoad_act!H51*1000
)</f>
        <v>199.25134895629805</v>
      </c>
      <c r="I75" s="87">
        <f>IF(TrRoad_act!I51=0,0,I38/TrRoad_act!I51*1000
)</f>
        <v>198.05243850792624</v>
      </c>
      <c r="J75" s="87">
        <f>IF(TrRoad_act!J51=0,0,J38/TrRoad_act!J51*1000
)</f>
        <v>107.18941719967621</v>
      </c>
      <c r="K75" s="87">
        <f>IF(TrRoad_act!K51=0,0,K38/TrRoad_act!K51*1000
)</f>
        <v>91.069974450543484</v>
      </c>
      <c r="L75" s="87">
        <f>IF(TrRoad_act!L51=0,0,L38/TrRoad_act!L51*1000
)</f>
        <v>106.09949725448411</v>
      </c>
      <c r="M75" s="87">
        <f>IF(TrRoad_act!M51=0,0,M38/TrRoad_act!M51*1000
)</f>
        <v>70.496233261682562</v>
      </c>
      <c r="N75" s="87">
        <f>IF(TrRoad_act!N51=0,0,N38/TrRoad_act!N51*1000
)</f>
        <v>78.360468111024673</v>
      </c>
      <c r="O75" s="87">
        <f>IF(TrRoad_act!O51=0,0,O38/TrRoad_act!O51*1000
)</f>
        <v>76.830706128711796</v>
      </c>
      <c r="P75" s="87">
        <f>IF(TrRoad_act!P51=0,0,P38/TrRoad_act!P51*1000
)</f>
        <v>72.645406700739727</v>
      </c>
      <c r="Q75" s="87">
        <f>IF(TrRoad_act!Q51=0,0,Q38/TrRoad_act!Q51*1000
)</f>
        <v>50.969300386729408</v>
      </c>
      <c r="R75" s="87">
        <f>IF(TrRoad_act!R51=0,0,R38/TrRoad_act!R51*1000
)</f>
        <v>51.640592729927562</v>
      </c>
      <c r="S75" s="87">
        <f>IF(TrRoad_act!S51=0,0,S38/TrRoad_act!S51*1000
)</f>
        <v>20.34404635144849</v>
      </c>
      <c r="T75" s="87">
        <f>IF(TrRoad_act!T51=0,0,T38/TrRoad_act!T51*1000
)</f>
        <v>16.381304428179824</v>
      </c>
      <c r="U75" s="87">
        <f>IF(TrRoad_act!U51=0,0,U38/TrRoad_act!U51*1000
)</f>
        <v>15.221041922897578</v>
      </c>
      <c r="V75" s="87">
        <f>IF(TrRoad_act!V51=0,0,V38/TrRoad_act!V51*1000
)</f>
        <v>16.681986541778002</v>
      </c>
      <c r="W75" s="87">
        <f>IF(TrRoad_act!W51=0,0,W38/TrRoad_act!W51*1000
)</f>
        <v>20.546951286062288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1412.428631092251</v>
      </c>
      <c r="C77" s="116">
        <f>IF(TrRoad_act!C53=0,0,C40/TrRoad_act!C53*1000
)</f>
        <v>1416.1152323866227</v>
      </c>
      <c r="D77" s="116">
        <f>IF(TrRoad_act!D53=0,0,D40/TrRoad_act!D53*1000
)</f>
        <v>1369.6594761907261</v>
      </c>
      <c r="E77" s="116">
        <f>IF(TrRoad_act!E53=0,0,E40/TrRoad_act!E53*1000
)</f>
        <v>1428.9855785867917</v>
      </c>
      <c r="F77" s="116">
        <f>IF(TrRoad_act!F53=0,0,F40/TrRoad_act!F53*1000
)</f>
        <v>1487.3074423461612</v>
      </c>
      <c r="G77" s="116">
        <f>IF(TrRoad_act!G53=0,0,G40/TrRoad_act!G53*1000
)</f>
        <v>1357.0883433168724</v>
      </c>
      <c r="H77" s="116">
        <f>IF(TrRoad_act!H53=0,0,H40/TrRoad_act!H53*1000
)</f>
        <v>1352.2829791858426</v>
      </c>
      <c r="I77" s="116">
        <f>IF(TrRoad_act!I53=0,0,I40/TrRoad_act!I53*1000
)</f>
        <v>1301.254756162544</v>
      </c>
      <c r="J77" s="116">
        <f>IF(TrRoad_act!J53=0,0,J40/TrRoad_act!J53*1000
)</f>
        <v>1275.0486796972039</v>
      </c>
      <c r="K77" s="116">
        <f>IF(TrRoad_act!K53=0,0,K40/TrRoad_act!K53*1000
)</f>
        <v>1253.0107517067001</v>
      </c>
      <c r="L77" s="116">
        <f>IF(TrRoad_act!L53=0,0,L40/TrRoad_act!L53*1000
)</f>
        <v>1276.0269565761168</v>
      </c>
      <c r="M77" s="116">
        <f>IF(TrRoad_act!M53=0,0,M40/TrRoad_act!M53*1000
)</f>
        <v>1238.5924087600013</v>
      </c>
      <c r="N77" s="116">
        <f>IF(TrRoad_act!N53=0,0,N40/TrRoad_act!N53*1000
)</f>
        <v>1140.0329146509996</v>
      </c>
      <c r="O77" s="116">
        <f>IF(TrRoad_act!O53=0,0,O40/TrRoad_act!O53*1000
)</f>
        <v>1040.9347739205459</v>
      </c>
      <c r="P77" s="116">
        <f>IF(TrRoad_act!P53=0,0,P40/TrRoad_act!P53*1000
)</f>
        <v>852.45594257177265</v>
      </c>
      <c r="Q77" s="116">
        <f>IF(TrRoad_act!Q53=0,0,Q40/TrRoad_act!Q53*1000
)</f>
        <v>800.58810386795744</v>
      </c>
      <c r="R77" s="116">
        <f>IF(TrRoad_act!R53=0,0,R40/TrRoad_act!R53*1000
)</f>
        <v>680.08311505953452</v>
      </c>
      <c r="S77" s="116">
        <f>IF(TrRoad_act!S53=0,0,S40/TrRoad_act!S53*1000
)</f>
        <v>651.84842313146657</v>
      </c>
      <c r="T77" s="116">
        <f>IF(TrRoad_act!T53=0,0,T40/TrRoad_act!T53*1000
)</f>
        <v>574.64119559528012</v>
      </c>
      <c r="U77" s="116">
        <f>IF(TrRoad_act!U53=0,0,U40/TrRoad_act!U53*1000
)</f>
        <v>594.54845666859603</v>
      </c>
      <c r="V77" s="116">
        <f>IF(TrRoad_act!V53=0,0,V40/TrRoad_act!V53*1000
)</f>
        <v>622.70079503005661</v>
      </c>
      <c r="W77" s="116">
        <f>IF(TrRoad_act!W53=0,0,W40/TrRoad_act!W53*1000
)</f>
        <v>616.80633651383971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1382.0306147043821</v>
      </c>
      <c r="C78" s="101">
        <f>IF(TrRoad_act!C54=0,0,C41/TrRoad_act!C54*1000
)</f>
        <v>1386.9278436988116</v>
      </c>
      <c r="D78" s="101">
        <f>IF(TrRoad_act!D54=0,0,D41/TrRoad_act!D54*1000
)</f>
        <v>1343.4342168559101</v>
      </c>
      <c r="E78" s="101">
        <f>IF(TrRoad_act!E54=0,0,E41/TrRoad_act!E54*1000
)</f>
        <v>1402.9045957797537</v>
      </c>
      <c r="F78" s="101">
        <f>IF(TrRoad_act!F54=0,0,F41/TrRoad_act!F54*1000
)</f>
        <v>1461.9598054686423</v>
      </c>
      <c r="G78" s="101">
        <f>IF(TrRoad_act!G54=0,0,G41/TrRoad_act!G54*1000
)</f>
        <v>1336.227237976731</v>
      </c>
      <c r="H78" s="101">
        <f>IF(TrRoad_act!H54=0,0,H41/TrRoad_act!H54*1000
)</f>
        <v>1331.322642340572</v>
      </c>
      <c r="I78" s="101">
        <f>IF(TrRoad_act!I54=0,0,I41/TrRoad_act!I54*1000
)</f>
        <v>1281.9348054928068</v>
      </c>
      <c r="J78" s="101">
        <f>IF(TrRoad_act!J54=0,0,J41/TrRoad_act!J54*1000
)</f>
        <v>1257.345186934125</v>
      </c>
      <c r="K78" s="101">
        <f>IF(TrRoad_act!K54=0,0,K41/TrRoad_act!K54*1000
)</f>
        <v>1237.25681230187</v>
      </c>
      <c r="L78" s="101">
        <f>IF(TrRoad_act!L54=0,0,L41/TrRoad_act!L54*1000
)</f>
        <v>1257.3349024743443</v>
      </c>
      <c r="M78" s="101">
        <f>IF(TrRoad_act!M54=0,0,M41/TrRoad_act!M54*1000
)</f>
        <v>1218.2028141239552</v>
      </c>
      <c r="N78" s="101">
        <f>IF(TrRoad_act!N54=0,0,N41/TrRoad_act!N54*1000
)</f>
        <v>1118.957977609567</v>
      </c>
      <c r="O78" s="101">
        <f>IF(TrRoad_act!O54=0,0,O41/TrRoad_act!O54*1000
)</f>
        <v>1017.4688856630578</v>
      </c>
      <c r="P78" s="101">
        <f>IF(TrRoad_act!P54=0,0,P41/TrRoad_act!P54*1000
)</f>
        <v>836.31995304969803</v>
      </c>
      <c r="Q78" s="101">
        <f>IF(TrRoad_act!Q54=0,0,Q41/TrRoad_act!Q54*1000
)</f>
        <v>783.33113202045058</v>
      </c>
      <c r="R78" s="101">
        <f>IF(TrRoad_act!R54=0,0,R41/TrRoad_act!R54*1000
)</f>
        <v>663.29879976773282</v>
      </c>
      <c r="S78" s="101">
        <f>IF(TrRoad_act!S54=0,0,S41/TrRoad_act!S54*1000
)</f>
        <v>634.10268347219528</v>
      </c>
      <c r="T78" s="101">
        <f>IF(TrRoad_act!T54=0,0,T41/TrRoad_act!T54*1000
)</f>
        <v>557.74769617520974</v>
      </c>
      <c r="U78" s="101">
        <f>IF(TrRoad_act!U54=0,0,U41/TrRoad_act!U54*1000
)</f>
        <v>575.58637407814183</v>
      </c>
      <c r="V78" s="101">
        <f>IF(TrRoad_act!V54=0,0,V41/TrRoad_act!V54*1000
)</f>
        <v>600.10461564352897</v>
      </c>
      <c r="W78" s="101">
        <f>IF(TrRoad_act!W54=0,0,W41/TrRoad_act!W54*1000
)</f>
        <v>590.96263447954107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1543.2661240147595</v>
      </c>
      <c r="C79" s="88">
        <f>IF(TrRoad_act!C55=0,0,C42/TrRoad_act!C55*1000
)</f>
        <v>1531.2857395768779</v>
      </c>
      <c r="D79" s="88">
        <f>IF(TrRoad_act!D55=0,0,D42/TrRoad_act!D55*1000
)</f>
        <v>1469.2571632425238</v>
      </c>
      <c r="E79" s="88">
        <f>IF(TrRoad_act!E55=0,0,E42/TrRoad_act!E55*1000
)</f>
        <v>1523.0620361733029</v>
      </c>
      <c r="F79" s="88">
        <f>IF(TrRoad_act!F55=0,0,F42/TrRoad_act!F55*1000
)</f>
        <v>1565.911479876667</v>
      </c>
      <c r="G79" s="88">
        <f>IF(TrRoad_act!G55=0,0,G42/TrRoad_act!G55*1000
)</f>
        <v>1424.5304462117335</v>
      </c>
      <c r="H79" s="88">
        <f>IF(TrRoad_act!H55=0,0,H42/TrRoad_act!H55*1000
)</f>
        <v>1414.8184179433993</v>
      </c>
      <c r="I79" s="88">
        <f>IF(TrRoad_act!I55=0,0,I42/TrRoad_act!I55*1000
)</f>
        <v>1360.8525346497133</v>
      </c>
      <c r="J79" s="88">
        <f>IF(TrRoad_act!J55=0,0,J42/TrRoad_act!J55*1000
)</f>
        <v>1333.68327744626</v>
      </c>
      <c r="K79" s="88">
        <f>IF(TrRoad_act!K55=0,0,K42/TrRoad_act!K55*1000
)</f>
        <v>1313.5848198404676</v>
      </c>
      <c r="L79" s="88">
        <f>IF(TrRoad_act!L55=0,0,L42/TrRoad_act!L55*1000
)</f>
        <v>1343.8047152492179</v>
      </c>
      <c r="M79" s="88">
        <f>IF(TrRoad_act!M55=0,0,M42/TrRoad_act!M55*1000
)</f>
        <v>1311.9571252928331</v>
      </c>
      <c r="N79" s="88">
        <f>IF(TrRoad_act!N55=0,0,N42/TrRoad_act!N55*1000
)</f>
        <v>1212.169591307322</v>
      </c>
      <c r="O79" s="88">
        <f>IF(TrRoad_act!O55=0,0,O42/TrRoad_act!O55*1000
)</f>
        <v>1111.2863795168953</v>
      </c>
      <c r="P79" s="88">
        <f>IF(TrRoad_act!P55=0,0,P42/TrRoad_act!P55*1000
)</f>
        <v>916.68074723419318</v>
      </c>
      <c r="Q79" s="88">
        <f>IF(TrRoad_act!Q55=0,0,Q42/TrRoad_act!Q55*1000
)</f>
        <v>860.47031890435369</v>
      </c>
      <c r="R79" s="88">
        <f>IF(TrRoad_act!R55=0,0,R42/TrRoad_act!R55*1000
)</f>
        <v>734.87803715699454</v>
      </c>
      <c r="S79" s="88">
        <f>IF(TrRoad_act!S55=0,0,S42/TrRoad_act!S55*1000
)</f>
        <v>711.45460245721142</v>
      </c>
      <c r="T79" s="88">
        <f>IF(TrRoad_act!T55=0,0,T42/TrRoad_act!T55*1000
)</f>
        <v>632.71899928786695</v>
      </c>
      <c r="U79" s="88">
        <f>IF(TrRoad_act!U55=0,0,U42/TrRoad_act!U55*1000
)</f>
        <v>663.6763081358306</v>
      </c>
      <c r="V79" s="88">
        <f>IF(TrRoad_act!V55=0,0,V42/TrRoad_act!V55*1000
)</f>
        <v>702.42527149769853</v>
      </c>
      <c r="W79" s="88">
        <f>IF(TrRoad_act!W55=0,0,W42/TrRoad_act!W55*1000
)</f>
        <v>705.4368977227748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131.85527682412481</v>
      </c>
      <c r="C82" s="29">
        <f>IF(TrRoad_act!C4=0,0,C18/TrRoad_act!C4*1000)</f>
        <v>128.48242635288011</v>
      </c>
      <c r="D82" s="29">
        <f>IF(TrRoad_act!D4=0,0,D18/TrRoad_act!D4*1000)</f>
        <v>129.15084626107199</v>
      </c>
      <c r="E82" s="29">
        <f>IF(TrRoad_act!E4=0,0,E18/TrRoad_act!E4*1000)</f>
        <v>128.45759558150934</v>
      </c>
      <c r="F82" s="29">
        <f>IF(TrRoad_act!F4=0,0,F18/TrRoad_act!F4*1000)</f>
        <v>126.05475769296578</v>
      </c>
      <c r="G82" s="29">
        <f>IF(TrRoad_act!G4=0,0,G18/TrRoad_act!G4*1000)</f>
        <v>119.92921336793198</v>
      </c>
      <c r="H82" s="29">
        <f>IF(TrRoad_act!H4=0,0,H18/TrRoad_act!H4*1000)</f>
        <v>119.55818971931718</v>
      </c>
      <c r="I82" s="29">
        <f>IF(TrRoad_act!I4=0,0,I18/TrRoad_act!I4*1000)</f>
        <v>118.33875904105463</v>
      </c>
      <c r="J82" s="29">
        <f>IF(TrRoad_act!J4=0,0,J18/TrRoad_act!J4*1000)</f>
        <v>116.05632425980606</v>
      </c>
      <c r="K82" s="29">
        <f>IF(TrRoad_act!K4=0,0,K18/TrRoad_act!K4*1000)</f>
        <v>117.11393357694784</v>
      </c>
      <c r="L82" s="29">
        <f>IF(TrRoad_act!L4=0,0,L18/TrRoad_act!L4*1000)</f>
        <v>118.21701602824275</v>
      </c>
      <c r="M82" s="29">
        <f>IF(TrRoad_act!M4=0,0,M18/TrRoad_act!M4*1000)</f>
        <v>115.65494269295181</v>
      </c>
      <c r="N82" s="29">
        <f>IF(TrRoad_act!N4=0,0,N18/TrRoad_act!N4*1000)</f>
        <v>113.44580609112163</v>
      </c>
      <c r="O82" s="29">
        <f>IF(TrRoad_act!O4=0,0,O18/TrRoad_act!O4*1000)</f>
        <v>111.26181414172335</v>
      </c>
      <c r="P82" s="29">
        <f>IF(TrRoad_act!P4=0,0,P18/TrRoad_act!P4*1000)</f>
        <v>107.2048325724468</v>
      </c>
      <c r="Q82" s="29">
        <f>IF(TrRoad_act!Q4=0,0,Q18/TrRoad_act!Q4*1000)</f>
        <v>107.16101189938013</v>
      </c>
      <c r="R82" s="29">
        <f>IF(TrRoad_act!R4=0,0,R18/TrRoad_act!R4*1000)</f>
        <v>122.17746906407284</v>
      </c>
      <c r="S82" s="29">
        <f>IF(TrRoad_act!S4=0,0,S18/TrRoad_act!S4*1000)</f>
        <v>116.60381850456974</v>
      </c>
      <c r="T82" s="29">
        <f>IF(TrRoad_act!T4=0,0,T18/TrRoad_act!T4*1000)</f>
        <v>110.62682864856464</v>
      </c>
      <c r="U82" s="29">
        <f>IF(TrRoad_act!U4=0,0,U18/TrRoad_act!U4*1000)</f>
        <v>110.45692308774321</v>
      </c>
      <c r="V82" s="29">
        <f>IF(TrRoad_act!V4=0,0,V18/TrRoad_act!V4*1000)</f>
        <v>107.61260519948002</v>
      </c>
      <c r="W82" s="29">
        <f>IF(TrRoad_act!W4=0,0,W18/TrRoad_act!W4*1000)</f>
        <v>110.19240510090358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137.06972822654285</v>
      </c>
      <c r="C83" s="152">
        <f>IF(TrRoad_act!C5=0,0,C19/TrRoad_act!C5*1000)</f>
        <v>134.30674135812166</v>
      </c>
      <c r="D83" s="152">
        <f>IF(TrRoad_act!D5=0,0,D19/TrRoad_act!D5*1000)</f>
        <v>131.2962311249604</v>
      </c>
      <c r="E83" s="152">
        <f>IF(TrRoad_act!E5=0,0,E19/TrRoad_act!E5*1000)</f>
        <v>128.63307177254353</v>
      </c>
      <c r="F83" s="152">
        <f>IF(TrRoad_act!F5=0,0,F19/TrRoad_act!F5*1000)</f>
        <v>125.438533462913</v>
      </c>
      <c r="G83" s="152">
        <f>IF(TrRoad_act!G5=0,0,G19/TrRoad_act!G5*1000)</f>
        <v>122.29862107931066</v>
      </c>
      <c r="H83" s="152">
        <f>IF(TrRoad_act!H5=0,0,H19/TrRoad_act!H5*1000)</f>
        <v>118.64202576344593</v>
      </c>
      <c r="I83" s="152">
        <f>IF(TrRoad_act!I5=0,0,I19/TrRoad_act!I5*1000)</f>
        <v>116.04003474152104</v>
      </c>
      <c r="J83" s="152">
        <f>IF(TrRoad_act!J5=0,0,J19/TrRoad_act!J5*1000)</f>
        <v>114.13890314237561</v>
      </c>
      <c r="K83" s="152">
        <f>IF(TrRoad_act!K5=0,0,K19/TrRoad_act!K5*1000)</f>
        <v>111.83797262080761</v>
      </c>
      <c r="L83" s="152">
        <f>IF(TrRoad_act!L5=0,0,L19/TrRoad_act!L5*1000)</f>
        <v>109.09995309717648</v>
      </c>
      <c r="M83" s="152">
        <f>IF(TrRoad_act!M5=0,0,M19/TrRoad_act!M5*1000)</f>
        <v>109.89109547907259</v>
      </c>
      <c r="N83" s="152">
        <f>IF(TrRoad_act!N5=0,0,N19/TrRoad_act!N5*1000)</f>
        <v>107.46706390120494</v>
      </c>
      <c r="O83" s="152">
        <f>IF(TrRoad_act!O5=0,0,O19/TrRoad_act!O5*1000)</f>
        <v>106.55416963814621</v>
      </c>
      <c r="P83" s="152">
        <f>IF(TrRoad_act!P5=0,0,P19/TrRoad_act!P5*1000)</f>
        <v>103.48780825978555</v>
      </c>
      <c r="Q83" s="152">
        <f>IF(TrRoad_act!Q5=0,0,Q19/TrRoad_act!Q5*1000)</f>
        <v>103.62986400550466</v>
      </c>
      <c r="R83" s="152">
        <f>IF(TrRoad_act!R5=0,0,R19/TrRoad_act!R5*1000)</f>
        <v>102.45808878206725</v>
      </c>
      <c r="S83" s="152">
        <f>IF(TrRoad_act!S5=0,0,S19/TrRoad_act!S5*1000)</f>
        <v>100.59428904426778</v>
      </c>
      <c r="T83" s="152">
        <f>IF(TrRoad_act!T5=0,0,T19/TrRoad_act!T5*1000)</f>
        <v>97.744968773710312</v>
      </c>
      <c r="U83" s="152">
        <f>IF(TrRoad_act!U5=0,0,U19/TrRoad_act!U5*1000)</f>
        <v>97.210067907319385</v>
      </c>
      <c r="V83" s="152">
        <f>IF(TrRoad_act!V5=0,0,V19/TrRoad_act!V5*1000)</f>
        <v>95.899486233307471</v>
      </c>
      <c r="W83" s="152">
        <f>IF(TrRoad_act!W5=0,0,W19/TrRoad_act!W5*1000)</f>
        <v>89.309065348590352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125.17225383877673</v>
      </c>
      <c r="C84" s="116">
        <f>IF(TrRoad_act!C6=0,0,C20/TrRoad_act!C6*1000)</f>
        <v>122.18374941273622</v>
      </c>
      <c r="D84" s="116">
        <f>IF(TrRoad_act!D6=0,0,D20/TrRoad_act!D6*1000)</f>
        <v>123.53281978361696</v>
      </c>
      <c r="E84" s="116">
        <f>IF(TrRoad_act!E6=0,0,E20/TrRoad_act!E6*1000)</f>
        <v>122.68782237469256</v>
      </c>
      <c r="F84" s="116">
        <f>IF(TrRoad_act!F6=0,0,F20/TrRoad_act!F6*1000)</f>
        <v>120.29040710063816</v>
      </c>
      <c r="G84" s="116">
        <f>IF(TrRoad_act!G6=0,0,G20/TrRoad_act!G6*1000)</f>
        <v>115.42566097127619</v>
      </c>
      <c r="H84" s="116">
        <f>IF(TrRoad_act!H6=0,0,H20/TrRoad_act!H6*1000)</f>
        <v>114.67186889508264</v>
      </c>
      <c r="I84" s="116">
        <f>IF(TrRoad_act!I6=0,0,I20/TrRoad_act!I6*1000)</f>
        <v>114.40492309018597</v>
      </c>
      <c r="J84" s="116">
        <f>IF(TrRoad_act!J6=0,0,J20/TrRoad_act!J6*1000)</f>
        <v>112.17342184770786</v>
      </c>
      <c r="K84" s="116">
        <f>IF(TrRoad_act!K6=0,0,K20/TrRoad_act!K6*1000)</f>
        <v>114.13515658864019</v>
      </c>
      <c r="L84" s="116">
        <f>IF(TrRoad_act!L6=0,0,L20/TrRoad_act!L6*1000)</f>
        <v>114.85512278645793</v>
      </c>
      <c r="M84" s="116">
        <f>IF(TrRoad_act!M6=0,0,M20/TrRoad_act!M6*1000)</f>
        <v>112.77667014379374</v>
      </c>
      <c r="N84" s="116">
        <f>IF(TrRoad_act!N6=0,0,N20/TrRoad_act!N6*1000)</f>
        <v>110.43982289059764</v>
      </c>
      <c r="O84" s="116">
        <f>IF(TrRoad_act!O6=0,0,O20/TrRoad_act!O6*1000)</f>
        <v>109.19480237959517</v>
      </c>
      <c r="P84" s="116">
        <f>IF(TrRoad_act!P6=0,0,P20/TrRoad_act!P6*1000)</f>
        <v>106.06405885315338</v>
      </c>
      <c r="Q84" s="116">
        <f>IF(TrRoad_act!Q6=0,0,Q20/TrRoad_act!Q6*1000)</f>
        <v>106.60430762540378</v>
      </c>
      <c r="R84" s="116">
        <f>IF(TrRoad_act!R6=0,0,R20/TrRoad_act!R6*1000)</f>
        <v>124.1326863228133</v>
      </c>
      <c r="S84" s="116">
        <f>IF(TrRoad_act!S6=0,0,S20/TrRoad_act!S6*1000)</f>
        <v>118.81426697656727</v>
      </c>
      <c r="T84" s="116">
        <f>IF(TrRoad_act!T6=0,0,T20/TrRoad_act!T6*1000)</f>
        <v>112.66617492573255</v>
      </c>
      <c r="U84" s="116">
        <f>IF(TrRoad_act!U6=0,0,U20/TrRoad_act!U6*1000)</f>
        <v>112.4221820142249</v>
      </c>
      <c r="V84" s="116">
        <f>IF(TrRoad_act!V6=0,0,V20/TrRoad_act!V6*1000)</f>
        <v>109.27064595278817</v>
      </c>
      <c r="W84" s="116">
        <f>IF(TrRoad_act!W6=0,0,W20/TrRoad_act!W6*1000)</f>
        <v>112.28214595858053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126.29406381354718</v>
      </c>
      <c r="C85" s="87">
        <f>IF(TrRoad_act!C7=0,0,C21/TrRoad_act!C7*1000)</f>
        <v>123.15316672758223</v>
      </c>
      <c r="D85" s="87">
        <f>IF(TrRoad_act!D7=0,0,D21/TrRoad_act!D7*1000)</f>
        <v>124.67325626862215</v>
      </c>
      <c r="E85" s="87">
        <f>IF(TrRoad_act!E7=0,0,E21/TrRoad_act!E7*1000)</f>
        <v>123.58748282656769</v>
      </c>
      <c r="F85" s="87">
        <f>IF(TrRoad_act!F7=0,0,F21/TrRoad_act!F7*1000)</f>
        <v>120.76690649171768</v>
      </c>
      <c r="G85" s="87">
        <f>IF(TrRoad_act!G7=0,0,G21/TrRoad_act!G7*1000)</f>
        <v>116.29413177730247</v>
      </c>
      <c r="H85" s="87">
        <f>IF(TrRoad_act!H7=0,0,H21/TrRoad_act!H7*1000)</f>
        <v>115.66367616926138</v>
      </c>
      <c r="I85" s="87">
        <f>IF(TrRoad_act!I7=0,0,I21/TrRoad_act!I7*1000)</f>
        <v>116.26025225893916</v>
      </c>
      <c r="J85" s="87">
        <f>IF(TrRoad_act!J7=0,0,J21/TrRoad_act!J7*1000)</f>
        <v>114.53674337506726</v>
      </c>
      <c r="K85" s="87">
        <f>IF(TrRoad_act!K7=0,0,K21/TrRoad_act!K7*1000)</f>
        <v>117.94832300367112</v>
      </c>
      <c r="L85" s="87">
        <f>IF(TrRoad_act!L7=0,0,L21/TrRoad_act!L7*1000)</f>
        <v>119.90176091818715</v>
      </c>
      <c r="M85" s="87">
        <f>IF(TrRoad_act!M7=0,0,M21/TrRoad_act!M7*1000)</f>
        <v>120.51190024651996</v>
      </c>
      <c r="N85" s="87">
        <f>IF(TrRoad_act!N7=0,0,N21/TrRoad_act!N7*1000)</f>
        <v>121.66971413546642</v>
      </c>
      <c r="O85" s="87">
        <f>IF(TrRoad_act!O7=0,0,O21/TrRoad_act!O7*1000)</f>
        <v>123.73952067581814</v>
      </c>
      <c r="P85" s="87">
        <f>IF(TrRoad_act!P7=0,0,P21/TrRoad_act!P7*1000)</f>
        <v>125.35461434733864</v>
      </c>
      <c r="Q85" s="87">
        <f>IF(TrRoad_act!Q7=0,0,Q21/TrRoad_act!Q7*1000)</f>
        <v>129.61857503930509</v>
      </c>
      <c r="R85" s="87">
        <f>IF(TrRoad_act!R7=0,0,R21/TrRoad_act!R7*1000)</f>
        <v>158.18469727194744</v>
      </c>
      <c r="S85" s="87">
        <f>IF(TrRoad_act!S7=0,0,S21/TrRoad_act!S7*1000)</f>
        <v>155.49054205927413</v>
      </c>
      <c r="T85" s="87">
        <f>IF(TrRoad_act!T7=0,0,T21/TrRoad_act!T7*1000)</f>
        <v>149.15333402394634</v>
      </c>
      <c r="U85" s="87">
        <f>IF(TrRoad_act!U7=0,0,U21/TrRoad_act!U7*1000)</f>
        <v>146.58081489172662</v>
      </c>
      <c r="V85" s="87">
        <f>IF(TrRoad_act!V7=0,0,V21/TrRoad_act!V7*1000)</f>
        <v>141.21140601411324</v>
      </c>
      <c r="W85" s="87">
        <f>IF(TrRoad_act!W7=0,0,W21/TrRoad_act!W7*1000)</f>
        <v>149.0741880567991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116.0962001760969</v>
      </c>
      <c r="C86" s="87">
        <f>IF(TrRoad_act!C8=0,0,C22/TrRoad_act!C8*1000)</f>
        <v>113.90025055952337</v>
      </c>
      <c r="D86" s="87">
        <f>IF(TrRoad_act!D8=0,0,D22/TrRoad_act!D8*1000)</f>
        <v>113.86808028231115</v>
      </c>
      <c r="E86" s="87">
        <f>IF(TrRoad_act!E8=0,0,E22/TrRoad_act!E8*1000)</f>
        <v>115.31376935972594</v>
      </c>
      <c r="F86" s="87">
        <f>IF(TrRoad_act!F8=0,0,F22/TrRoad_act!F8*1000)</f>
        <v>116.62524380423621</v>
      </c>
      <c r="G86" s="87">
        <f>IF(TrRoad_act!G8=0,0,G22/TrRoad_act!G8*1000)</f>
        <v>109.19338596529775</v>
      </c>
      <c r="H86" s="87">
        <f>IF(TrRoad_act!H8=0,0,H22/TrRoad_act!H8*1000)</f>
        <v>108.67447141954445</v>
      </c>
      <c r="I86" s="87">
        <f>IF(TrRoad_act!I8=0,0,I22/TrRoad_act!I8*1000)</f>
        <v>105.83211431964213</v>
      </c>
      <c r="J86" s="87">
        <f>IF(TrRoad_act!J8=0,0,J22/TrRoad_act!J8*1000)</f>
        <v>103.68268552075253</v>
      </c>
      <c r="K86" s="87">
        <f>IF(TrRoad_act!K8=0,0,K22/TrRoad_act!K8*1000)</f>
        <v>102.7291380922413</v>
      </c>
      <c r="L86" s="87">
        <f>IF(TrRoad_act!L8=0,0,L22/TrRoad_act!L8*1000)</f>
        <v>103.52361410995591</v>
      </c>
      <c r="M86" s="87">
        <f>IF(TrRoad_act!M8=0,0,M22/TrRoad_act!M8*1000)</f>
        <v>100.02346607300764</v>
      </c>
      <c r="N86" s="87">
        <f>IF(TrRoad_act!N8=0,0,N22/TrRoad_act!N8*1000)</f>
        <v>95.663928342616629</v>
      </c>
      <c r="O86" s="87">
        <f>IF(TrRoad_act!O8=0,0,O22/TrRoad_act!O8*1000)</f>
        <v>92.929790396158765</v>
      </c>
      <c r="P86" s="87">
        <f>IF(TrRoad_act!P8=0,0,P22/TrRoad_act!P8*1000)</f>
        <v>87.550657181941517</v>
      </c>
      <c r="Q86" s="87">
        <f>IF(TrRoad_act!Q8=0,0,Q22/TrRoad_act!Q8*1000)</f>
        <v>87.75710951387093</v>
      </c>
      <c r="R86" s="87">
        <f>IF(TrRoad_act!R8=0,0,R22/TrRoad_act!R8*1000)</f>
        <v>99.58072324496051</v>
      </c>
      <c r="S86" s="87">
        <f>IF(TrRoad_act!S8=0,0,S22/TrRoad_act!S8*1000)</f>
        <v>94.963606570431779</v>
      </c>
      <c r="T86" s="87">
        <f>IF(TrRoad_act!T8=0,0,T22/TrRoad_act!T8*1000)</f>
        <v>90.683144972627659</v>
      </c>
      <c r="U86" s="87">
        <f>IF(TrRoad_act!U8=0,0,U22/TrRoad_act!U8*1000)</f>
        <v>92.760439202387531</v>
      </c>
      <c r="V86" s="87">
        <f>IF(TrRoad_act!V8=0,0,V22/TrRoad_act!V8*1000)</f>
        <v>92.981505737373411</v>
      </c>
      <c r="W86" s="87">
        <f>IF(TrRoad_act!W8=0,0,W22/TrRoad_act!W8*1000)</f>
        <v>95.903587825189575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0</v>
      </c>
      <c r="E87" s="87">
        <f>IF(TrRoad_act!E9=0,0,E23/TrRoad_act!E9*1000)</f>
        <v>0</v>
      </c>
      <c r="F87" s="87">
        <f>IF(TrRoad_act!F9=0,0,F23/TrRoad_act!F9*1000)</f>
        <v>0</v>
      </c>
      <c r="G87" s="87">
        <f>IF(TrRoad_act!G9=0,0,G23/TrRoad_act!G9*1000)</f>
        <v>151.1278563696626</v>
      </c>
      <c r="H87" s="87">
        <f>IF(TrRoad_act!H9=0,0,H23/TrRoad_act!H9*1000)</f>
        <v>123.09078347107157</v>
      </c>
      <c r="I87" s="87">
        <f>IF(TrRoad_act!I9=0,0,I23/TrRoad_act!I9*1000)</f>
        <v>272.3382723002257</v>
      </c>
      <c r="J87" s="87">
        <f>IF(TrRoad_act!J9=0,0,J23/TrRoad_act!J9*1000)</f>
        <v>169.39212955587237</v>
      </c>
      <c r="K87" s="87">
        <f>IF(TrRoad_act!K9=0,0,K23/TrRoad_act!K9*1000)</f>
        <v>164.42160331812147</v>
      </c>
      <c r="L87" s="87">
        <f>IF(TrRoad_act!L9=0,0,L23/TrRoad_act!L9*1000)</f>
        <v>209.78480020676801</v>
      </c>
      <c r="M87" s="87">
        <f>IF(TrRoad_act!M9=0,0,M23/TrRoad_act!M9*1000)</f>
        <v>145.84448743156895</v>
      </c>
      <c r="N87" s="87">
        <f>IF(TrRoad_act!N9=0,0,N23/TrRoad_act!N9*1000)</f>
        <v>95.909105027683225</v>
      </c>
      <c r="O87" s="87">
        <f>IF(TrRoad_act!O9=0,0,O23/TrRoad_act!O9*1000)</f>
        <v>51.846686949803754</v>
      </c>
      <c r="P87" s="87">
        <f>IF(TrRoad_act!P9=0,0,P23/TrRoad_act!P9*1000)</f>
        <v>62.37686202922022</v>
      </c>
      <c r="Q87" s="87">
        <f>IF(TrRoad_act!Q9=0,0,Q23/TrRoad_act!Q9*1000)</f>
        <v>361.0240984300857</v>
      </c>
      <c r="R87" s="87">
        <f>IF(TrRoad_act!R9=0,0,R23/TrRoad_act!R9*1000)</f>
        <v>166.95130696460151</v>
      </c>
      <c r="S87" s="87">
        <f>IF(TrRoad_act!S9=0,0,S23/TrRoad_act!S9*1000)</f>
        <v>0</v>
      </c>
      <c r="T87" s="87">
        <f>IF(TrRoad_act!T9=0,0,T23/TrRoad_act!T9*1000)</f>
        <v>0</v>
      </c>
      <c r="U87" s="87">
        <f>IF(TrRoad_act!U9=0,0,U23/TrRoad_act!U9*1000)</f>
        <v>0</v>
      </c>
      <c r="V87" s="87">
        <f>IF(TrRoad_act!V9=0,0,V23/TrRoad_act!V9*1000)</f>
        <v>0</v>
      </c>
      <c r="W87" s="87">
        <f>IF(TrRoad_act!W9=0,0,W23/TrRoad_act!W9*1000)</f>
        <v>0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100.25768884089061</v>
      </c>
      <c r="E88" s="87">
        <f>IF(TrRoad_act!E10=0,0,E24/TrRoad_act!E10*1000)</f>
        <v>100.80741942105162</v>
      </c>
      <c r="F88" s="87">
        <f>IF(TrRoad_act!F10=0,0,F24/TrRoad_act!F10*1000)</f>
        <v>100.87292790159931</v>
      </c>
      <c r="G88" s="87">
        <f>IF(TrRoad_act!G10=0,0,G24/TrRoad_act!G10*1000)</f>
        <v>98.113416478074143</v>
      </c>
      <c r="H88" s="87">
        <f>IF(TrRoad_act!H10=0,0,H24/TrRoad_act!H10*1000)</f>
        <v>98.755974376608819</v>
      </c>
      <c r="I88" s="87">
        <f>IF(TrRoad_act!I10=0,0,I24/TrRoad_act!I10*1000)</f>
        <v>100.16200447337978</v>
      </c>
      <c r="J88" s="87">
        <f>IF(TrRoad_act!J10=0,0,J24/TrRoad_act!J10*1000)</f>
        <v>55.805064567460441</v>
      </c>
      <c r="K88" s="87">
        <f>IF(TrRoad_act!K10=0,0,K24/TrRoad_act!K10*1000)</f>
        <v>49.87584284378854</v>
      </c>
      <c r="L88" s="87">
        <f>IF(TrRoad_act!L10=0,0,L24/TrRoad_act!L10*1000)</f>
        <v>56.997499343861968</v>
      </c>
      <c r="M88" s="87">
        <f>IF(TrRoad_act!M10=0,0,M24/TrRoad_act!M10*1000)</f>
        <v>38.249557291989262</v>
      </c>
      <c r="N88" s="87">
        <f>IF(TrRoad_act!N10=0,0,N24/TrRoad_act!N10*1000)</f>
        <v>43.150422964564129</v>
      </c>
      <c r="O88" s="87">
        <f>IF(TrRoad_act!O10=0,0,O24/TrRoad_act!O10*1000)</f>
        <v>41.566386483032389</v>
      </c>
      <c r="P88" s="87">
        <f>IF(TrRoad_act!P10=0,0,P24/TrRoad_act!P10*1000)</f>
        <v>37.961647266804874</v>
      </c>
      <c r="Q88" s="87">
        <f>IF(TrRoad_act!Q10=0,0,Q24/TrRoad_act!Q10*1000)</f>
        <v>26.695781912788679</v>
      </c>
      <c r="R88" s="87">
        <f>IF(TrRoad_act!R10=0,0,R24/TrRoad_act!R10*1000)</f>
        <v>32.883356937208845</v>
      </c>
      <c r="S88" s="87">
        <f>IF(TrRoad_act!S10=0,0,S24/TrRoad_act!S10*1000)</f>
        <v>12.886433028563779</v>
      </c>
      <c r="T88" s="87">
        <f>IF(TrRoad_act!T10=0,0,T24/TrRoad_act!T10*1000)</f>
        <v>10.448728342310229</v>
      </c>
      <c r="U88" s="87">
        <f>IF(TrRoad_act!U10=0,0,U24/TrRoad_act!U10*1000)</f>
        <v>9.4556408148835764</v>
      </c>
      <c r="V88" s="87">
        <f>IF(TrRoad_act!V10=0,0,V24/TrRoad_act!V10*1000)</f>
        <v>10.120624237727348</v>
      </c>
      <c r="W88" s="87">
        <f>IF(TrRoad_act!W10=0,0,W24/TrRoad_act!W10*1000)</f>
        <v>12.711393276979722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41.898655332777267</v>
      </c>
      <c r="K89" s="87">
        <f>IF(TrRoad_act!K11=0,0,K25/TrRoad_act!K11*1000)</f>
        <v>42.579866387673675</v>
      </c>
      <c r="L89" s="87">
        <f>IF(TrRoad_act!L11=0,0,L25/TrRoad_act!L11*1000)</f>
        <v>42.765370940706845</v>
      </c>
      <c r="M89" s="87">
        <f>IF(TrRoad_act!M11=0,0,M25/TrRoad_act!M11*1000)</f>
        <v>38.277414847443858</v>
      </c>
      <c r="N89" s="87">
        <f>IF(TrRoad_act!N11=0,0,N25/TrRoad_act!N11*1000)</f>
        <v>35.195274668987011</v>
      </c>
      <c r="O89" s="87">
        <f>IF(TrRoad_act!O11=0,0,O25/TrRoad_act!O11*1000)</f>
        <v>36.002920823047177</v>
      </c>
      <c r="P89" s="87">
        <f>IF(TrRoad_act!P11=0,0,P25/TrRoad_act!P11*1000)</f>
        <v>35.454568496030284</v>
      </c>
      <c r="Q89" s="87">
        <f>IF(TrRoad_act!Q11=0,0,Q25/TrRoad_act!Q11*1000)</f>
        <v>36.263120510316469</v>
      </c>
      <c r="R89" s="87">
        <f>IF(TrRoad_act!R11=0,0,R25/TrRoad_act!R11*1000)</f>
        <v>45.022563444841325</v>
      </c>
      <c r="S89" s="87">
        <f>IF(TrRoad_act!S11=0,0,S25/TrRoad_act!S11*1000)</f>
        <v>45.406102937640675</v>
      </c>
      <c r="T89" s="87">
        <f>IF(TrRoad_act!T11=0,0,T25/TrRoad_act!T11*1000)</f>
        <v>45.094520186042004</v>
      </c>
      <c r="U89" s="87">
        <f>IF(TrRoad_act!U11=0,0,U25/TrRoad_act!U11*1000)</f>
        <v>42.239059123667481</v>
      </c>
      <c r="V89" s="87">
        <f>IF(TrRoad_act!V11=0,0,V25/TrRoad_act!V11*1000)</f>
        <v>37.978581081351933</v>
      </c>
      <c r="W89" s="87">
        <f>IF(TrRoad_act!W11=0,0,W25/TrRoad_act!W11*1000)</f>
        <v>38.03883542938599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206.6840284171432</v>
      </c>
      <c r="C91" s="116">
        <f>IF(TrRoad_act!C13=0,0,C27/TrRoad_act!C13*1000)</f>
        <v>199.76870935038238</v>
      </c>
      <c r="D91" s="116">
        <f>IF(TrRoad_act!D13=0,0,D27/TrRoad_act!D13*1000)</f>
        <v>193.38191911489685</v>
      </c>
      <c r="E91" s="116">
        <f>IF(TrRoad_act!E13=0,0,E27/TrRoad_act!E13*1000)</f>
        <v>194.83600305009938</v>
      </c>
      <c r="F91" s="116">
        <f>IF(TrRoad_act!F13=0,0,F27/TrRoad_act!F13*1000)</f>
        <v>193.59133725589632</v>
      </c>
      <c r="G91" s="116">
        <f>IF(TrRoad_act!G13=0,0,G27/TrRoad_act!G13*1000)</f>
        <v>172.29765918296263</v>
      </c>
      <c r="H91" s="116">
        <f>IF(TrRoad_act!H13=0,0,H27/TrRoad_act!H13*1000)</f>
        <v>176.25649868851764</v>
      </c>
      <c r="I91" s="116">
        <f>IF(TrRoad_act!I13=0,0,I27/TrRoad_act!I13*1000)</f>
        <v>164.59696064839247</v>
      </c>
      <c r="J91" s="116">
        <f>IF(TrRoad_act!J13=0,0,J27/TrRoad_act!J13*1000)</f>
        <v>162.60078385693041</v>
      </c>
      <c r="K91" s="116">
        <f>IF(TrRoad_act!K13=0,0,K27/TrRoad_act!K13*1000)</f>
        <v>152.71094851127526</v>
      </c>
      <c r="L91" s="116">
        <f>IF(TrRoad_act!L13=0,0,L27/TrRoad_act!L13*1000)</f>
        <v>157.7443286463463</v>
      </c>
      <c r="M91" s="116">
        <f>IF(TrRoad_act!M13=0,0,M27/TrRoad_act!M13*1000)</f>
        <v>148.65367222711549</v>
      </c>
      <c r="N91" s="116">
        <f>IF(TrRoad_act!N13=0,0,N27/TrRoad_act!N13*1000)</f>
        <v>148.0815105852565</v>
      </c>
      <c r="O91" s="116">
        <f>IF(TrRoad_act!O13=0,0,O27/TrRoad_act!O13*1000)</f>
        <v>134.6786070520788</v>
      </c>
      <c r="P91" s="116">
        <f>IF(TrRoad_act!P13=0,0,P27/TrRoad_act!P13*1000)</f>
        <v>120.48345484747504</v>
      </c>
      <c r="Q91" s="116">
        <f>IF(TrRoad_act!Q13=0,0,Q27/TrRoad_act!Q13*1000)</f>
        <v>113.7750550133032</v>
      </c>
      <c r="R91" s="116">
        <f>IF(TrRoad_act!R13=0,0,R27/TrRoad_act!R13*1000)</f>
        <v>105.19871245402707</v>
      </c>
      <c r="S91" s="116">
        <f>IF(TrRoad_act!S13=0,0,S27/TrRoad_act!S13*1000)</f>
        <v>96.698565089300999</v>
      </c>
      <c r="T91" s="116">
        <f>IF(TrRoad_act!T13=0,0,T27/TrRoad_act!T13*1000)</f>
        <v>91.896860468738268</v>
      </c>
      <c r="U91" s="116">
        <f>IF(TrRoad_act!U13=0,0,U27/TrRoad_act!U13*1000)</f>
        <v>92.810478674594805</v>
      </c>
      <c r="V91" s="116">
        <f>IF(TrRoad_act!V13=0,0,V27/TrRoad_act!V13*1000)</f>
        <v>91.908409338504228</v>
      </c>
      <c r="W91" s="116">
        <f>IF(TrRoad_act!W13=0,0,W27/TrRoad_act!W13*1000)</f>
        <v>90.853634973352584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97.399055309486741</v>
      </c>
      <c r="C92" s="101">
        <f>IF(TrRoad_act!C14=0,0,C28/TrRoad_act!C14*1000)</f>
        <v>96.629092104290848</v>
      </c>
      <c r="D92" s="101">
        <f>IF(TrRoad_act!D14=0,0,D28/TrRoad_act!D14*1000)</f>
        <v>96.072035540002105</v>
      </c>
      <c r="E92" s="101">
        <f>IF(TrRoad_act!E14=0,0,E28/TrRoad_act!E14*1000)</f>
        <v>94.951328118786336</v>
      </c>
      <c r="F92" s="101">
        <f>IF(TrRoad_act!F14=0,0,F28/TrRoad_act!F14*1000)</f>
        <v>93.290051853134472</v>
      </c>
      <c r="G92" s="101">
        <f>IF(TrRoad_act!G14=0,0,G28/TrRoad_act!G14*1000)</f>
        <v>92.329095525244313</v>
      </c>
      <c r="H92" s="101">
        <f>IF(TrRoad_act!H14=0,0,H28/TrRoad_act!H14*1000)</f>
        <v>90.763305071115781</v>
      </c>
      <c r="I92" s="101">
        <f>IF(TrRoad_act!I14=0,0,I28/TrRoad_act!I14*1000)</f>
        <v>89.564969375786106</v>
      </c>
      <c r="J92" s="101">
        <f>IF(TrRoad_act!J14=0,0,J28/TrRoad_act!J14*1000)</f>
        <v>87.565953852947118</v>
      </c>
      <c r="K92" s="101">
        <f>IF(TrRoad_act!K14=0,0,K28/TrRoad_act!K14*1000)</f>
        <v>85.710514993838416</v>
      </c>
      <c r="L92" s="101">
        <f>IF(TrRoad_act!L14=0,0,L28/TrRoad_act!L14*1000)</f>
        <v>79.236202161298365</v>
      </c>
      <c r="M92" s="101">
        <f>IF(TrRoad_act!M14=0,0,M28/TrRoad_act!M14*1000)</f>
        <v>72.613203774333655</v>
      </c>
      <c r="N92" s="101">
        <f>IF(TrRoad_act!N14=0,0,N28/TrRoad_act!N14*1000)</f>
        <v>71.207366876713508</v>
      </c>
      <c r="O92" s="101">
        <f>IF(TrRoad_act!O14=0,0,O28/TrRoad_act!O14*1000)</f>
        <v>69.985007123597697</v>
      </c>
      <c r="P92" s="101">
        <f>IF(TrRoad_act!P14=0,0,P28/TrRoad_act!P14*1000)</f>
        <v>69.319086566067398</v>
      </c>
      <c r="Q92" s="101">
        <f>IF(TrRoad_act!Q14=0,0,Q28/TrRoad_act!Q14*1000)</f>
        <v>69.618704759865707</v>
      </c>
      <c r="R92" s="101">
        <f>IF(TrRoad_act!R14=0,0,R28/TrRoad_act!R14*1000)</f>
        <v>68.180017221976527</v>
      </c>
      <c r="S92" s="101">
        <f>IF(TrRoad_act!S14=0,0,S28/TrRoad_act!S14*1000)</f>
        <v>67.608465098433172</v>
      </c>
      <c r="T92" s="101">
        <f>IF(TrRoad_act!T14=0,0,T28/TrRoad_act!T14*1000)</f>
        <v>65.910909309326001</v>
      </c>
      <c r="U92" s="101">
        <f>IF(TrRoad_act!U14=0,0,U28/TrRoad_act!U14*1000)</f>
        <v>66.170505586596434</v>
      </c>
      <c r="V92" s="101">
        <f>IF(TrRoad_act!V14=0,0,V28/TrRoad_act!V14*1000)</f>
        <v>65.371219736873883</v>
      </c>
      <c r="W92" s="101">
        <f>IF(TrRoad_act!W14=0,0,W28/TrRoad_act!W14*1000)</f>
        <v>64.465748542685461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211.87633615422038</v>
      </c>
      <c r="C93" s="101">
        <f>IF(TrRoad_act!C15=0,0,C29/TrRoad_act!C15*1000)</f>
        <v>205.0236445071136</v>
      </c>
      <c r="D93" s="101">
        <f>IF(TrRoad_act!D15=0,0,D29/TrRoad_act!D15*1000)</f>
        <v>198.25182882378274</v>
      </c>
      <c r="E93" s="101">
        <f>IF(TrRoad_act!E15=0,0,E29/TrRoad_act!E15*1000)</f>
        <v>198.80875284258431</v>
      </c>
      <c r="F93" s="101">
        <f>IF(TrRoad_act!F15=0,0,F29/TrRoad_act!F15*1000)</f>
        <v>198.95329449342523</v>
      </c>
      <c r="G93" s="101">
        <f>IF(TrRoad_act!G15=0,0,G29/TrRoad_act!G15*1000)</f>
        <v>185.52262565552797</v>
      </c>
      <c r="H93" s="101">
        <f>IF(TrRoad_act!H15=0,0,H29/TrRoad_act!H15*1000)</f>
        <v>181.56180265994556</v>
      </c>
      <c r="I93" s="101">
        <f>IF(TrRoad_act!I15=0,0,I29/TrRoad_act!I15*1000)</f>
        <v>171.18332553069635</v>
      </c>
      <c r="J93" s="101">
        <f>IF(TrRoad_act!J15=0,0,J29/TrRoad_act!J15*1000)</f>
        <v>171.84606632766634</v>
      </c>
      <c r="K93" s="101">
        <f>IF(TrRoad_act!K15=0,0,K29/TrRoad_act!K15*1000)</f>
        <v>166.23646249889467</v>
      </c>
      <c r="L93" s="101">
        <f>IF(TrRoad_act!L15=0,0,L29/TrRoad_act!L15*1000)</f>
        <v>174.0261658853654</v>
      </c>
      <c r="M93" s="101">
        <f>IF(TrRoad_act!M15=0,0,M29/TrRoad_act!M15*1000)</f>
        <v>167.97088279313067</v>
      </c>
      <c r="N93" s="101">
        <f>IF(TrRoad_act!N15=0,0,N29/TrRoad_act!N15*1000)</f>
        <v>166.95273629925876</v>
      </c>
      <c r="O93" s="101">
        <f>IF(TrRoad_act!O15=0,0,O29/TrRoad_act!O15*1000)</f>
        <v>155.53125713526487</v>
      </c>
      <c r="P93" s="101">
        <f>IF(TrRoad_act!P15=0,0,P29/TrRoad_act!P15*1000)</f>
        <v>139.54897200106089</v>
      </c>
      <c r="Q93" s="101">
        <f>IF(TrRoad_act!Q15=0,0,Q29/TrRoad_act!Q15*1000)</f>
        <v>134.52264596219027</v>
      </c>
      <c r="R93" s="101">
        <f>IF(TrRoad_act!R15=0,0,R29/TrRoad_act!R15*1000)</f>
        <v>123.19621190961301</v>
      </c>
      <c r="S93" s="101">
        <f>IF(TrRoad_act!S15=0,0,S29/TrRoad_act!S15*1000)</f>
        <v>117.4177782509837</v>
      </c>
      <c r="T93" s="101">
        <f>IF(TrRoad_act!T15=0,0,T29/TrRoad_act!T15*1000)</f>
        <v>111.28427423822639</v>
      </c>
      <c r="U93" s="101">
        <f>IF(TrRoad_act!U15=0,0,U29/TrRoad_act!U15*1000)</f>
        <v>113.31582463000113</v>
      </c>
      <c r="V93" s="101">
        <f>IF(TrRoad_act!V15=0,0,V29/TrRoad_act!V15*1000)</f>
        <v>117.69854109271559</v>
      </c>
      <c r="W93" s="101">
        <f>IF(TrRoad_act!W15=0,0,W29/TrRoad_act!W15*1000)</f>
        <v>116.08402513625846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104.60008197875149</v>
      </c>
      <c r="C95" s="101">
        <f>IF(TrRoad_act!C17=0,0,C31/TrRoad_act!C17*1000)</f>
        <v>91.926754008346705</v>
      </c>
      <c r="D95" s="101">
        <f>IF(TrRoad_act!D17=0,0,D31/TrRoad_act!D17*1000)</f>
        <v>88.285437169744426</v>
      </c>
      <c r="E95" s="101">
        <f>IF(TrRoad_act!E17=0,0,E31/TrRoad_act!E17*1000)</f>
        <v>114.75416329278053</v>
      </c>
      <c r="F95" s="101">
        <f>IF(TrRoad_act!F17=0,0,F31/TrRoad_act!F17*1000)</f>
        <v>77.075251293477024</v>
      </c>
      <c r="G95" s="101">
        <f>IF(TrRoad_act!G17=0,0,G31/TrRoad_act!G17*1000)</f>
        <v>27.623323907932537</v>
      </c>
      <c r="H95" s="101">
        <f>IF(TrRoad_act!H17=0,0,H31/TrRoad_act!H17*1000)</f>
        <v>82.412544569149972</v>
      </c>
      <c r="I95" s="101">
        <f>IF(TrRoad_act!I17=0,0,I31/TrRoad_act!I17*1000)</f>
        <v>65.055091800778001</v>
      </c>
      <c r="J95" s="101">
        <f>IF(TrRoad_act!J17=0,0,J31/TrRoad_act!J17*1000)</f>
        <v>60.366701811718883</v>
      </c>
      <c r="K95" s="101">
        <f>IF(TrRoad_act!K17=0,0,K31/TrRoad_act!K17*1000)</f>
        <v>38.275684632967206</v>
      </c>
      <c r="L95" s="101">
        <f>IF(TrRoad_act!L17=0,0,L31/TrRoad_act!L17*1000)</f>
        <v>41.052703294833954</v>
      </c>
      <c r="M95" s="101">
        <f>IF(TrRoad_act!M17=0,0,M31/TrRoad_act!M17*1000)</f>
        <v>48.486398812425989</v>
      </c>
      <c r="N95" s="101">
        <f>IF(TrRoad_act!N17=0,0,N31/TrRoad_act!N17*1000)</f>
        <v>55.9922851673943</v>
      </c>
      <c r="O95" s="101">
        <f>IF(TrRoad_act!O17=0,0,O31/TrRoad_act!O17*1000)</f>
        <v>47.414257314255892</v>
      </c>
      <c r="P95" s="101">
        <f>IF(TrRoad_act!P17=0,0,P31/TrRoad_act!P17*1000)</f>
        <v>43.32919899388137</v>
      </c>
      <c r="Q95" s="101">
        <f>IF(TrRoad_act!Q17=0,0,Q31/TrRoad_act!Q17*1000)</f>
        <v>28.014627347807693</v>
      </c>
      <c r="R95" s="101">
        <f>IF(TrRoad_act!R17=0,0,R31/TrRoad_act!R17*1000)</f>
        <v>28.496299812468067</v>
      </c>
      <c r="S95" s="101">
        <f>IF(TrRoad_act!S17=0,0,S31/TrRoad_act!S17*1000)</f>
        <v>9.7406620567742603</v>
      </c>
      <c r="T95" s="101">
        <f>IF(TrRoad_act!T17=0,0,T31/TrRoad_act!T17*1000)</f>
        <v>8.820833027862454</v>
      </c>
      <c r="U95" s="101">
        <f>IF(TrRoad_act!U17=0,0,U31/TrRoad_act!U17*1000)</f>
        <v>6.1366761926211284</v>
      </c>
      <c r="V95" s="101">
        <f>IF(TrRoad_act!V17=0,0,V31/TrRoad_act!V17*1000)</f>
        <v>5.7103024375675133</v>
      </c>
      <c r="W95" s="101">
        <f>IF(TrRoad_act!W17=0,0,W31/TrRoad_act!W17*1000)</f>
        <v>6.3698436298135634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129.74459976354552</v>
      </c>
      <c r="C97" s="29">
        <f>IF(TrRoad_act!C19=0,0,C33/TrRoad_act!C19*1000)</f>
        <v>136.18881244774278</v>
      </c>
      <c r="D97" s="29">
        <f>IF(TrRoad_act!D19=0,0,D33/TrRoad_act!D19*1000)</f>
        <v>128.71275848913865</v>
      </c>
      <c r="E97" s="29">
        <f>IF(TrRoad_act!E19=0,0,E33/TrRoad_act!E19*1000)</f>
        <v>134.49105162164571</v>
      </c>
      <c r="F97" s="29">
        <f>IF(TrRoad_act!F19=0,0,F33/TrRoad_act!F19*1000)</f>
        <v>139.03380519308826</v>
      </c>
      <c r="G97" s="29">
        <f>IF(TrRoad_act!G19=0,0,G33/TrRoad_act!G19*1000)</f>
        <v>125.94666880460076</v>
      </c>
      <c r="H97" s="29">
        <f>IF(TrRoad_act!H19=0,0,H33/TrRoad_act!H19*1000)</f>
        <v>124.62433042298369</v>
      </c>
      <c r="I97" s="29">
        <f>IF(TrRoad_act!I19=0,0,I33/TrRoad_act!I19*1000)</f>
        <v>122.53254026336563</v>
      </c>
      <c r="J97" s="29">
        <f>IF(TrRoad_act!J19=0,0,J33/TrRoad_act!J19*1000)</f>
        <v>119.98749464696812</v>
      </c>
      <c r="K97" s="29">
        <f>IF(TrRoad_act!K19=0,0,K33/TrRoad_act!K19*1000)</f>
        <v>130.67164399032904</v>
      </c>
      <c r="L97" s="29">
        <f>IF(TrRoad_act!L19=0,0,L33/TrRoad_act!L19*1000)</f>
        <v>133.1717441114956</v>
      </c>
      <c r="M97" s="29">
        <f>IF(TrRoad_act!M19=0,0,M33/TrRoad_act!M19*1000)</f>
        <v>127.25244005244252</v>
      </c>
      <c r="N97" s="29">
        <f>IF(TrRoad_act!N19=0,0,N33/TrRoad_act!N19*1000)</f>
        <v>122.31242475420981</v>
      </c>
      <c r="O97" s="29">
        <f>IF(TrRoad_act!O19=0,0,O33/TrRoad_act!O19*1000)</f>
        <v>111.14748298735779</v>
      </c>
      <c r="P97" s="29">
        <f>IF(TrRoad_act!P19=0,0,P33/TrRoad_act!P19*1000)</f>
        <v>90.007230874113944</v>
      </c>
      <c r="Q97" s="29">
        <f>IF(TrRoad_act!Q19=0,0,Q33/TrRoad_act!Q19*1000)</f>
        <v>86.782867810416676</v>
      </c>
      <c r="R97" s="29">
        <f>IF(TrRoad_act!R19=0,0,R33/TrRoad_act!R19*1000)</f>
        <v>73.990528086479401</v>
      </c>
      <c r="S97" s="29">
        <f>IF(TrRoad_act!S19=0,0,S33/TrRoad_act!S19*1000)</f>
        <v>73.442927988357923</v>
      </c>
      <c r="T97" s="29">
        <f>IF(TrRoad_act!T19=0,0,T33/TrRoad_act!T19*1000)</f>
        <v>64.329989700194517</v>
      </c>
      <c r="U97" s="29">
        <f>IF(TrRoad_act!U19=0,0,U33/TrRoad_act!U19*1000)</f>
        <v>67.374913346465931</v>
      </c>
      <c r="V97" s="29">
        <f>IF(TrRoad_act!V19=0,0,V33/TrRoad_act!V19*1000)</f>
        <v>69.101082202613938</v>
      </c>
      <c r="W97" s="29">
        <f>IF(TrRoad_act!W19=0,0,W33/TrRoad_act!W19*1000)</f>
        <v>65.774756552648398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1713.6136703660873</v>
      </c>
      <c r="C98" s="152">
        <f>IF(TrRoad_act!C20=0,0,C34/TrRoad_act!C20*1000)</f>
        <v>1608.0151976906632</v>
      </c>
      <c r="D98" s="152">
        <f>IF(TrRoad_act!D20=0,0,D34/TrRoad_act!D20*1000)</f>
        <v>1543.3101434520104</v>
      </c>
      <c r="E98" s="152">
        <f>IF(TrRoad_act!E20=0,0,E34/TrRoad_act!E20*1000)</f>
        <v>1537.7975739505541</v>
      </c>
      <c r="F98" s="152">
        <f>IF(TrRoad_act!F20=0,0,F34/TrRoad_act!F20*1000)</f>
        <v>1548.5035910922725</v>
      </c>
      <c r="G98" s="152">
        <f>IF(TrRoad_act!G20=0,0,G34/TrRoad_act!G20*1000)</f>
        <v>1431.3062943065886</v>
      </c>
      <c r="H98" s="152">
        <f>IF(TrRoad_act!H20=0,0,H34/TrRoad_act!H20*1000)</f>
        <v>1412.6342395178854</v>
      </c>
      <c r="I98" s="152">
        <f>IF(TrRoad_act!I20=0,0,I34/TrRoad_act!I20*1000)</f>
        <v>1359.2713092713213</v>
      </c>
      <c r="J98" s="152">
        <f>IF(TrRoad_act!J20=0,0,J34/TrRoad_act!J20*1000)</f>
        <v>1330.6366892632964</v>
      </c>
      <c r="K98" s="152">
        <f>IF(TrRoad_act!K20=0,0,K34/TrRoad_act!K20*1000)</f>
        <v>1293.9224523657431</v>
      </c>
      <c r="L98" s="152">
        <f>IF(TrRoad_act!L20=0,0,L34/TrRoad_act!L20*1000)</f>
        <v>1311.0422377190564</v>
      </c>
      <c r="M98" s="152">
        <f>IF(TrRoad_act!M20=0,0,M34/TrRoad_act!M20*1000)</f>
        <v>1267.3955458876565</v>
      </c>
      <c r="N98" s="152">
        <f>IF(TrRoad_act!N20=0,0,N34/TrRoad_act!N20*1000)</f>
        <v>1185.3334578685462</v>
      </c>
      <c r="O98" s="152">
        <f>IF(TrRoad_act!O20=0,0,O34/TrRoad_act!O20*1000)</f>
        <v>1107.0615756004615</v>
      </c>
      <c r="P98" s="152">
        <f>IF(TrRoad_act!P20=0,0,P34/TrRoad_act!P20*1000)</f>
        <v>991.41090723284958</v>
      </c>
      <c r="Q98" s="152">
        <f>IF(TrRoad_act!Q20=0,0,Q34/TrRoad_act!Q20*1000)</f>
        <v>944.46262206785116</v>
      </c>
      <c r="R98" s="152">
        <f>IF(TrRoad_act!R20=0,0,R34/TrRoad_act!R20*1000)</f>
        <v>842.01733889523553</v>
      </c>
      <c r="S98" s="152">
        <f>IF(TrRoad_act!S20=0,0,S34/TrRoad_act!S20*1000)</f>
        <v>791.667456407597</v>
      </c>
      <c r="T98" s="152">
        <f>IF(TrRoad_act!T20=0,0,T34/TrRoad_act!T20*1000)</f>
        <v>731.08865689787535</v>
      </c>
      <c r="U98" s="152">
        <f>IF(TrRoad_act!U20=0,0,U34/TrRoad_act!U20*1000)</f>
        <v>741.18011841449413</v>
      </c>
      <c r="V98" s="152">
        <f>IF(TrRoad_act!V20=0,0,V34/TrRoad_act!V20*1000)</f>
        <v>745.48741109231196</v>
      </c>
      <c r="W98" s="152">
        <f>IF(TrRoad_act!W20=0,0,W34/TrRoad_act!W20*1000)</f>
        <v>739.94691296417636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1937.7211738291426</v>
      </c>
      <c r="C99" s="87">
        <f>IF(TrRoad_act!C21=0,0,C35/TrRoad_act!C21*1000)</f>
        <v>1906.8047956623479</v>
      </c>
      <c r="D99" s="87">
        <f>IF(TrRoad_act!D21=0,0,D35/TrRoad_act!D21*1000)</f>
        <v>1877.198480769129</v>
      </c>
      <c r="E99" s="87">
        <f>IF(TrRoad_act!E21=0,0,E35/TrRoad_act!E21*1000)</f>
        <v>1828.8593652617233</v>
      </c>
      <c r="F99" s="87">
        <f>IF(TrRoad_act!F21=0,0,F35/TrRoad_act!F21*1000)</f>
        <v>1775.6502063656681</v>
      </c>
      <c r="G99" s="87">
        <f>IF(TrRoad_act!G21=0,0,G35/TrRoad_act!G21*1000)</f>
        <v>1748.2817397831093</v>
      </c>
      <c r="H99" s="87">
        <f>IF(TrRoad_act!H21=0,0,H35/TrRoad_act!H21*1000)</f>
        <v>1709.903798416171</v>
      </c>
      <c r="I99" s="87">
        <f>IF(TrRoad_act!I21=0,0,I35/TrRoad_act!I21*1000)</f>
        <v>1687.1472165583352</v>
      </c>
      <c r="J99" s="87">
        <f>IF(TrRoad_act!J21=0,0,J35/TrRoad_act!J21*1000)</f>
        <v>1647.3502698455088</v>
      </c>
      <c r="K99" s="87">
        <f>IF(TrRoad_act!K21=0,0,K35/TrRoad_act!K21*1000)</f>
        <v>1633.613076495174</v>
      </c>
      <c r="L99" s="87">
        <f>IF(TrRoad_act!L21=0,0,L35/TrRoad_act!L21*1000)</f>
        <v>1599.0460196129893</v>
      </c>
      <c r="M99" s="87">
        <f>IF(TrRoad_act!M21=0,0,M35/TrRoad_act!M21*1000)</f>
        <v>1586.5556083811739</v>
      </c>
      <c r="N99" s="87">
        <f>IF(TrRoad_act!N21=0,0,N35/TrRoad_act!N21*1000)</f>
        <v>1558.1237861000857</v>
      </c>
      <c r="O99" s="87">
        <f>IF(TrRoad_act!O21=0,0,O35/TrRoad_act!O21*1000)</f>
        <v>1542.9844172316527</v>
      </c>
      <c r="P99" s="87">
        <f>IF(TrRoad_act!P21=0,0,P35/TrRoad_act!P21*1000)</f>
        <v>1533.9919569467936</v>
      </c>
      <c r="Q99" s="87">
        <f>IF(TrRoad_act!Q21=0,0,Q35/TrRoad_act!Q21*1000)</f>
        <v>1539.2446121226953</v>
      </c>
      <c r="R99" s="87">
        <f>IF(TrRoad_act!R21=0,0,R35/TrRoad_act!R21*1000)</f>
        <v>1501.5781087042335</v>
      </c>
      <c r="S99" s="87">
        <f>IF(TrRoad_act!S21=0,0,S35/TrRoad_act!S21*1000)</f>
        <v>1459.1128170926993</v>
      </c>
      <c r="T99" s="87">
        <f>IF(TrRoad_act!T21=0,0,T35/TrRoad_act!T21*1000)</f>
        <v>1402.7846379278496</v>
      </c>
      <c r="U99" s="87">
        <f>IF(TrRoad_act!U21=0,0,U35/TrRoad_act!U21*1000)</f>
        <v>1374.3732320874396</v>
      </c>
      <c r="V99" s="87">
        <f>IF(TrRoad_act!V21=0,0,V35/TrRoad_act!V21*1000)</f>
        <v>1341.3018165793562</v>
      </c>
      <c r="W99" s="87">
        <f>IF(TrRoad_act!W21=0,0,W35/TrRoad_act!W21*1000)</f>
        <v>1326.3960023929876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1592.6205526107717</v>
      </c>
      <c r="C100" s="87">
        <f>IF(TrRoad_act!C22=0,0,C36/TrRoad_act!C22*1000)</f>
        <v>1485.7739052048705</v>
      </c>
      <c r="D100" s="87">
        <f>IF(TrRoad_act!D22=0,0,D36/TrRoad_act!D22*1000)</f>
        <v>1433.3575950166398</v>
      </c>
      <c r="E100" s="87">
        <f>IF(TrRoad_act!E22=0,0,E36/TrRoad_act!E22*1000)</f>
        <v>1462.7867778450486</v>
      </c>
      <c r="F100" s="87">
        <f>IF(TrRoad_act!F22=0,0,F36/TrRoad_act!F22*1000)</f>
        <v>1502.9400281397698</v>
      </c>
      <c r="G100" s="87">
        <f>IF(TrRoad_act!G22=0,0,G36/TrRoad_act!G22*1000)</f>
        <v>1371.0505847208819</v>
      </c>
      <c r="H100" s="87">
        <f>IF(TrRoad_act!H22=0,0,H36/TrRoad_act!H22*1000)</f>
        <v>1368.0012277081635</v>
      </c>
      <c r="I100" s="87">
        <f>IF(TrRoad_act!I22=0,0,I36/TrRoad_act!I22*1000)</f>
        <v>1317.0226628058358</v>
      </c>
      <c r="J100" s="87">
        <f>IF(TrRoad_act!J22=0,0,J36/TrRoad_act!J22*1000)</f>
        <v>1297.0356745587044</v>
      </c>
      <c r="K100" s="87">
        <f>IF(TrRoad_act!K22=0,0,K36/TrRoad_act!K22*1000)</f>
        <v>1262.662312837921</v>
      </c>
      <c r="L100" s="87">
        <f>IF(TrRoad_act!L22=0,0,L36/TrRoad_act!L22*1000)</f>
        <v>1289.8955886631161</v>
      </c>
      <c r="M100" s="87">
        <f>IF(TrRoad_act!M22=0,0,M36/TrRoad_act!M22*1000)</f>
        <v>1247.465777001742</v>
      </c>
      <c r="N100" s="87">
        <f>IF(TrRoad_act!N22=0,0,N36/TrRoad_act!N22*1000)</f>
        <v>1165.5747717862048</v>
      </c>
      <c r="O100" s="87">
        <f>IF(TrRoad_act!O22=0,0,O36/TrRoad_act!O22*1000)</f>
        <v>1087.4313769264743</v>
      </c>
      <c r="P100" s="87">
        <f>IF(TrRoad_act!P22=0,0,P36/TrRoad_act!P22*1000)</f>
        <v>969.13939775883887</v>
      </c>
      <c r="Q100" s="87">
        <f>IF(TrRoad_act!Q22=0,0,Q36/TrRoad_act!Q22*1000)</f>
        <v>923.48030219646171</v>
      </c>
      <c r="R100" s="87">
        <f>IF(TrRoad_act!R22=0,0,R36/TrRoad_act!R22*1000)</f>
        <v>823.10768786473261</v>
      </c>
      <c r="S100" s="87">
        <f>IF(TrRoad_act!S22=0,0,S36/TrRoad_act!S22*1000)</f>
        <v>777.26556142228424</v>
      </c>
      <c r="T100" s="87">
        <f>IF(TrRoad_act!T22=0,0,T36/TrRoad_act!T22*1000)</f>
        <v>719.38055652800676</v>
      </c>
      <c r="U100" s="87">
        <f>IF(TrRoad_act!U22=0,0,U36/TrRoad_act!U22*1000)</f>
        <v>731.85727197001984</v>
      </c>
      <c r="V100" s="87">
        <f>IF(TrRoad_act!V22=0,0,V36/TrRoad_act!V22*1000)</f>
        <v>738.23951170906344</v>
      </c>
      <c r="W100" s="87">
        <f>IF(TrRoad_act!W22=0,0,W36/TrRoad_act!W22*1000)</f>
        <v>733.6058191905247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1025.560783772044</v>
      </c>
      <c r="D102" s="87">
        <f>IF(TrRoad_act!D24=0,0,D38/TrRoad_act!D24*1000)</f>
        <v>1038.5621052886095</v>
      </c>
      <c r="E102" s="87">
        <f>IF(TrRoad_act!E24=0,0,E38/TrRoad_act!E24*1000)</f>
        <v>1043.6243346266649</v>
      </c>
      <c r="F102" s="87">
        <f>IF(TrRoad_act!F24=0,0,F38/TrRoad_act!F24*1000)</f>
        <v>1056.6374935460531</v>
      </c>
      <c r="G102" s="87">
        <f>IF(TrRoad_act!G24=0,0,G38/TrRoad_act!G24*1000)</f>
        <v>1024.039935352188</v>
      </c>
      <c r="H102" s="87">
        <f>IF(TrRoad_act!H24=0,0,H38/TrRoad_act!H24*1000)</f>
        <v>1017.1573142712724</v>
      </c>
      <c r="I102" s="87">
        <f>IF(TrRoad_act!I24=0,0,I38/TrRoad_act!I24*1000)</f>
        <v>1008.7873527622623</v>
      </c>
      <c r="J102" s="87">
        <f>IF(TrRoad_act!J24=0,0,J38/TrRoad_act!J24*1000)</f>
        <v>547.05433031227881</v>
      </c>
      <c r="K102" s="87">
        <f>IF(TrRoad_act!K24=0,0,K38/TrRoad_act!K24*1000)</f>
        <v>464.03595011749394</v>
      </c>
      <c r="L102" s="87">
        <f>IF(TrRoad_act!L24=0,0,L38/TrRoad_act!L24*1000)</f>
        <v>546.86451067990276</v>
      </c>
      <c r="M102" s="87">
        <f>IF(TrRoad_act!M24=0,0,M38/TrRoad_act!M24*1000)</f>
        <v>360.88064146524806</v>
      </c>
      <c r="N102" s="87">
        <f>IF(TrRoad_act!N24=0,0,N38/TrRoad_act!N24*1000)</f>
        <v>402.20828285985056</v>
      </c>
      <c r="O102" s="87">
        <f>IF(TrRoad_act!O24=0,0,O38/TrRoad_act!O24*1000)</f>
        <v>393.6025414542259</v>
      </c>
      <c r="P102" s="87">
        <f>IF(TrRoad_act!P24=0,0,P38/TrRoad_act!P24*1000)</f>
        <v>372.11967801979534</v>
      </c>
      <c r="Q102" s="87">
        <f>IF(TrRoad_act!Q24=0,0,Q38/TrRoad_act!Q24*1000)</f>
        <v>263.50281512037185</v>
      </c>
      <c r="R102" s="87">
        <f>IF(TrRoad_act!R24=0,0,R38/TrRoad_act!R24*1000)</f>
        <v>267.26351237374053</v>
      </c>
      <c r="S102" s="87">
        <f>IF(TrRoad_act!S24=0,0,S38/TrRoad_act!S24*1000)</f>
        <v>106.12586421917075</v>
      </c>
      <c r="T102" s="87">
        <f>IF(TrRoad_act!T24=0,0,T38/TrRoad_act!T24*1000)</f>
        <v>84.713252510295405</v>
      </c>
      <c r="U102" s="87">
        <f>IF(TrRoad_act!U24=0,0,U38/TrRoad_act!U24*1000)</f>
        <v>78.57501172575266</v>
      </c>
      <c r="V102" s="87">
        <f>IF(TrRoad_act!V24=0,0,V38/TrRoad_act!V24*1000)</f>
        <v>85.786774246087276</v>
      </c>
      <c r="W102" s="87">
        <f>IF(TrRoad_act!W24=0,0,W38/TrRoad_act!W24*1000)</f>
        <v>105.56009974103441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101.38801544325348</v>
      </c>
      <c r="C104" s="116">
        <f>IF(TrRoad_act!C26=0,0,C40/TrRoad_act!C26*1000)</f>
        <v>104.15319393044977</v>
      </c>
      <c r="D104" s="116">
        <f>IF(TrRoad_act!D26=0,0,D40/TrRoad_act!D26*1000)</f>
        <v>96.835684303968137</v>
      </c>
      <c r="E104" s="116">
        <f>IF(TrRoad_act!E26=0,0,E40/TrRoad_act!E26*1000)</f>
        <v>99.731792976150643</v>
      </c>
      <c r="F104" s="116">
        <f>IF(TrRoad_act!F26=0,0,F40/TrRoad_act!F26*1000)</f>
        <v>102.55811778096995</v>
      </c>
      <c r="G104" s="116">
        <f>IF(TrRoad_act!G26=0,0,G40/TrRoad_act!G26*1000)</f>
        <v>94.720625646327804</v>
      </c>
      <c r="H104" s="116">
        <f>IF(TrRoad_act!H26=0,0,H40/TrRoad_act!H26*1000)</f>
        <v>92.459983628664105</v>
      </c>
      <c r="I104" s="116">
        <f>IF(TrRoad_act!I26=0,0,I40/TrRoad_act!I26*1000)</f>
        <v>90.656341119532513</v>
      </c>
      <c r="J104" s="116">
        <f>IF(TrRoad_act!J26=0,0,J40/TrRoad_act!J26*1000)</f>
        <v>88.43841042777467</v>
      </c>
      <c r="K104" s="116">
        <f>IF(TrRoad_act!K26=0,0,K40/TrRoad_act!K26*1000)</f>
        <v>93.91187824104027</v>
      </c>
      <c r="L104" s="116">
        <f>IF(TrRoad_act!L26=0,0,L40/TrRoad_act!L26*1000)</f>
        <v>95.300678843218165</v>
      </c>
      <c r="M104" s="116">
        <f>IF(TrRoad_act!M26=0,0,M40/TrRoad_act!M26*1000)</f>
        <v>89.243030457277214</v>
      </c>
      <c r="N104" s="116">
        <f>IF(TrRoad_act!N26=0,0,N40/TrRoad_act!N26*1000)</f>
        <v>83.37949220644677</v>
      </c>
      <c r="O104" s="116">
        <f>IF(TrRoad_act!O26=0,0,O40/TrRoad_act!O26*1000)</f>
        <v>75.172756502630108</v>
      </c>
      <c r="P104" s="116">
        <f>IF(TrRoad_act!P26=0,0,P40/TrRoad_act!P26*1000)</f>
        <v>61.560820839757127</v>
      </c>
      <c r="Q104" s="116">
        <f>IF(TrRoad_act!Q26=0,0,Q40/TrRoad_act!Q26*1000)</f>
        <v>58.44589206351209</v>
      </c>
      <c r="R104" s="116">
        <f>IF(TrRoad_act!R26=0,0,R40/TrRoad_act!R26*1000)</f>
        <v>48.696168168919186</v>
      </c>
      <c r="S104" s="116">
        <f>IF(TrRoad_act!S26=0,0,S40/TrRoad_act!S26*1000)</f>
        <v>47.658982585872785</v>
      </c>
      <c r="T104" s="116">
        <f>IF(TrRoad_act!T26=0,0,T40/TrRoad_act!T26*1000)</f>
        <v>41.524131250520639</v>
      </c>
      <c r="U104" s="116">
        <f>IF(TrRoad_act!U26=0,0,U40/TrRoad_act!U26*1000)</f>
        <v>43.32163328860527</v>
      </c>
      <c r="V104" s="116">
        <f>IF(TrRoad_act!V26=0,0,V40/TrRoad_act!V26*1000)</f>
        <v>45.045332396135088</v>
      </c>
      <c r="W104" s="116">
        <f>IF(TrRoad_act!W26=0,0,W40/TrRoad_act!W26*1000)</f>
        <v>43.566174375904517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99.749117528185039</v>
      </c>
      <c r="C105" s="101">
        <f>IF(TrRoad_act!C27=0,0,C41/TrRoad_act!C27*1000)</f>
        <v>103.25478090206055</v>
      </c>
      <c r="D105" s="101">
        <f>IF(TrRoad_act!D27=0,0,D41/TrRoad_act!D27*1000)</f>
        <v>95.326608112749753</v>
      </c>
      <c r="E105" s="101">
        <f>IF(TrRoad_act!E27=0,0,E41/TrRoad_act!E27*1000)</f>
        <v>97.771308944131945</v>
      </c>
      <c r="F105" s="101">
        <f>IF(TrRoad_act!F27=0,0,F41/TrRoad_act!F27*1000)</f>
        <v>99.682126774635321</v>
      </c>
      <c r="G105" s="101">
        <f>IF(TrRoad_act!G27=0,0,G41/TrRoad_act!G27*1000)</f>
        <v>92.60904606017229</v>
      </c>
      <c r="H105" s="101">
        <f>IF(TrRoad_act!H27=0,0,H41/TrRoad_act!H27*1000)</f>
        <v>89.920760304674147</v>
      </c>
      <c r="I105" s="101">
        <f>IF(TrRoad_act!I27=0,0,I41/TrRoad_act!I27*1000)</f>
        <v>88.831970860086784</v>
      </c>
      <c r="J105" s="101">
        <f>IF(TrRoad_act!J27=0,0,J41/TrRoad_act!J27*1000)</f>
        <v>86.303336107804483</v>
      </c>
      <c r="K105" s="101">
        <f>IF(TrRoad_act!K27=0,0,K41/TrRoad_act!K27*1000)</f>
        <v>93.440370657919146</v>
      </c>
      <c r="L105" s="101">
        <f>IF(TrRoad_act!L27=0,0,L41/TrRoad_act!L27*1000)</f>
        <v>95.456349524891408</v>
      </c>
      <c r="M105" s="101">
        <f>IF(TrRoad_act!M27=0,0,M41/TrRoad_act!M27*1000)</f>
        <v>88.22323834997448</v>
      </c>
      <c r="N105" s="101">
        <f>IF(TrRoad_act!N27=0,0,N41/TrRoad_act!N27*1000)</f>
        <v>82.567824426178461</v>
      </c>
      <c r="O105" s="101">
        <f>IF(TrRoad_act!O27=0,0,O41/TrRoad_act!O27*1000)</f>
        <v>73.937507823537203</v>
      </c>
      <c r="P105" s="101">
        <f>IF(TrRoad_act!P27=0,0,P41/TrRoad_act!P27*1000)</f>
        <v>60.715932288078349</v>
      </c>
      <c r="Q105" s="101">
        <f>IF(TrRoad_act!Q27=0,0,Q41/TrRoad_act!Q27*1000)</f>
        <v>57.558577905244888</v>
      </c>
      <c r="R105" s="101">
        <f>IF(TrRoad_act!R27=0,0,R41/TrRoad_act!R27*1000)</f>
        <v>47.45813368689663</v>
      </c>
      <c r="S105" s="101">
        <f>IF(TrRoad_act!S27=0,0,S41/TrRoad_act!S27*1000)</f>
        <v>46.740321258117518</v>
      </c>
      <c r="T105" s="101">
        <f>IF(TrRoad_act!T27=0,0,T41/TrRoad_act!T27*1000)</f>
        <v>40.573943369393298</v>
      </c>
      <c r="U105" s="101">
        <f>IF(TrRoad_act!U27=0,0,U41/TrRoad_act!U27*1000)</f>
        <v>42.25922097277941</v>
      </c>
      <c r="V105" s="101">
        <f>IF(TrRoad_act!V27=0,0,V41/TrRoad_act!V27*1000)</f>
        <v>43.466829875049541</v>
      </c>
      <c r="W105" s="101">
        <f>IF(TrRoad_act!W27=0,0,W41/TrRoad_act!W27*1000)</f>
        <v>41.640323204014472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108.24299982417875</v>
      </c>
      <c r="C106" s="88">
        <f>IF(TrRoad_act!C28=0,0,C42/TrRoad_act!C28*1000)</f>
        <v>107.49592580736103</v>
      </c>
      <c r="D106" s="88">
        <f>IF(TrRoad_act!D28=0,0,D42/TrRoad_act!D28*1000)</f>
        <v>102.46863607112032</v>
      </c>
      <c r="E106" s="88">
        <f>IF(TrRoad_act!E28=0,0,E42/TrRoad_act!E28*1000)</f>
        <v>106.85040985724382</v>
      </c>
      <c r="F106" s="88">
        <f>IF(TrRoad_act!F28=0,0,F42/TrRoad_act!F28*1000)</f>
        <v>111.90567051609432</v>
      </c>
      <c r="G106" s="88">
        <f>IF(TrRoad_act!G28=0,0,G42/TrRoad_act!G28*1000)</f>
        <v>101.75650872564771</v>
      </c>
      <c r="H106" s="88">
        <f>IF(TrRoad_act!H28=0,0,H42/TrRoad_act!H28*1000)</f>
        <v>100.42114952256894</v>
      </c>
      <c r="I106" s="88">
        <f>IF(TrRoad_act!I28=0,0,I42/TrRoad_act!I28*1000)</f>
        <v>96.410008312835274</v>
      </c>
      <c r="J106" s="88">
        <f>IF(TrRoad_act!J28=0,0,J42/TrRoad_act!J28*1000)</f>
        <v>95.841921596523676</v>
      </c>
      <c r="K106" s="88">
        <f>IF(TrRoad_act!K28=0,0,K42/TrRoad_act!K28*1000)</f>
        <v>95.660049739346448</v>
      </c>
      <c r="L106" s="88">
        <f>IF(TrRoad_act!L28=0,0,L42/TrRoad_act!L28*1000)</f>
        <v>94.776298104284038</v>
      </c>
      <c r="M106" s="88">
        <f>IF(TrRoad_act!M28=0,0,M42/TrRoad_act!M28*1000)</f>
        <v>92.828006719755152</v>
      </c>
      <c r="N106" s="88">
        <f>IF(TrRoad_act!N28=0,0,N42/TrRoad_act!N28*1000)</f>
        <v>86.052315594781959</v>
      </c>
      <c r="O106" s="88">
        <f>IF(TrRoad_act!O28=0,0,O42/TrRoad_act!O28*1000)</f>
        <v>78.78576957501943</v>
      </c>
      <c r="P106" s="88">
        <f>IF(TrRoad_act!P28=0,0,P42/TrRoad_act!P28*1000)</f>
        <v>64.83710776215112</v>
      </c>
      <c r="Q106" s="88">
        <f>IF(TrRoad_act!Q28=0,0,Q42/TrRoad_act!Q28*1000)</f>
        <v>61.437782218940164</v>
      </c>
      <c r="R106" s="88">
        <f>IF(TrRoad_act!R28=0,0,R42/TrRoad_act!R28*1000)</f>
        <v>52.751106840770809</v>
      </c>
      <c r="S106" s="88">
        <f>IF(TrRoad_act!S28=0,0,S42/TrRoad_act!S28*1000)</f>
        <v>50.638559943224912</v>
      </c>
      <c r="T106" s="88">
        <f>IF(TrRoad_act!T28=0,0,T42/TrRoad_act!T28*1000)</f>
        <v>44.696260940372866</v>
      </c>
      <c r="U106" s="88">
        <f>IF(TrRoad_act!U28=0,0,U42/TrRoad_act!U28*1000)</f>
        <v>47.062458675930309</v>
      </c>
      <c r="V106" s="88">
        <f>IF(TrRoad_act!V28=0,0,V42/TrRoad_act!V28*1000)</f>
        <v>50.582262838409349</v>
      </c>
      <c r="W106" s="88">
        <f>IF(TrRoad_act!W28=0,0,W42/TrRoad_act!W28*1000)</f>
        <v>50.242021095154207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212.55386459297907</v>
      </c>
      <c r="C110" s="152">
        <f>IF(C19=0,0,1000000*C19/TrRoad_act!C59)</f>
        <v>209.63824757043574</v>
      </c>
      <c r="D110" s="152">
        <f>IF(D19=0,0,1000000*D19/TrRoad_act!D59)</f>
        <v>209.34506539522638</v>
      </c>
      <c r="E110" s="152">
        <f>IF(E19=0,0,1000000*E19/TrRoad_act!E59)</f>
        <v>208.8400449974576</v>
      </c>
      <c r="F110" s="152">
        <f>IF(F19=0,0,1000000*F19/TrRoad_act!F59)</f>
        <v>215.4472688809596</v>
      </c>
      <c r="G110" s="152">
        <f>IF(G19=0,0,1000000*G19/TrRoad_act!G59)</f>
        <v>192.52961143175602</v>
      </c>
      <c r="H110" s="152">
        <f>IF(H19=0,0,1000000*H19/TrRoad_act!H59)</f>
        <v>186.38337421715633</v>
      </c>
      <c r="I110" s="152">
        <f>IF(I19=0,0,1000000*I19/TrRoad_act!I59)</f>
        <v>191.1015300394441</v>
      </c>
      <c r="J110" s="152">
        <f>IF(J19=0,0,1000000*J19/TrRoad_act!J59)</f>
        <v>173.84888761556962</v>
      </c>
      <c r="K110" s="152">
        <f>IF(K19=0,0,1000000*K19/TrRoad_act!K59)</f>
        <v>166.82757050618073</v>
      </c>
      <c r="L110" s="152">
        <f>IF(L19=0,0,1000000*L19/TrRoad_act!L59)</f>
        <v>155.32006594884547</v>
      </c>
      <c r="M110" s="152">
        <f>IF(M19=0,0,1000000*M19/TrRoad_act!M59)</f>
        <v>149.08553181277347</v>
      </c>
      <c r="N110" s="152">
        <f>IF(N19=0,0,1000000*N19/TrRoad_act!N59)</f>
        <v>118.86532420800009</v>
      </c>
      <c r="O110" s="152">
        <f>IF(O19=0,0,1000000*O19/TrRoad_act!O59)</f>
        <v>127.42712106380074</v>
      </c>
      <c r="P110" s="152">
        <f>IF(P19=0,0,1000000*P19/TrRoad_act!P59)</f>
        <v>121.40109970251636</v>
      </c>
      <c r="Q110" s="152">
        <f>IF(Q19=0,0,1000000*Q19/TrRoad_act!Q59)</f>
        <v>118.32218740455595</v>
      </c>
      <c r="R110" s="152">
        <f>IF(R19=0,0,1000000*R19/TrRoad_act!R59)</f>
        <v>118.91157970790918</v>
      </c>
      <c r="S110" s="152">
        <f>IF(S19=0,0,1000000*S19/TrRoad_act!S59)</f>
        <v>106.54831417766675</v>
      </c>
      <c r="T110" s="152">
        <f>IF(T19=0,0,1000000*T19/TrRoad_act!T59)</f>
        <v>96.326626851197489</v>
      </c>
      <c r="U110" s="152">
        <f>IF(U19=0,0,1000000*U19/TrRoad_act!U59)</f>
        <v>99.397626228438355</v>
      </c>
      <c r="V110" s="152">
        <f>IF(V19=0,0,1000000*V19/TrRoad_act!V59)</f>
        <v>85.988654431336343</v>
      </c>
      <c r="W110" s="152">
        <f>IF(W19=0,0,1000000*W19/TrRoad_act!W59)</f>
        <v>81.249996490103243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3245.2106508375814</v>
      </c>
      <c r="C111" s="116">
        <f>IF(C20=0,0,1000000*C20/TrRoad_act!C60)</f>
        <v>3186.84491374854</v>
      </c>
      <c r="D111" s="116">
        <f>IF(D20=0,0,1000000*D20/TrRoad_act!D60)</f>
        <v>3257.6381478374219</v>
      </c>
      <c r="E111" s="116">
        <f>IF(E20=0,0,1000000*E20/TrRoad_act!E60)</f>
        <v>3230.3214618543088</v>
      </c>
      <c r="F111" s="116">
        <f>IF(F20=0,0,1000000*F20/TrRoad_act!F60)</f>
        <v>3168.3026703182227</v>
      </c>
      <c r="G111" s="116">
        <f>IF(G20=0,0,1000000*G20/TrRoad_act!G60)</f>
        <v>3000.4868866638258</v>
      </c>
      <c r="H111" s="116">
        <f>IF(H20=0,0,1000000*H20/TrRoad_act!H60)</f>
        <v>2950.3883178922574</v>
      </c>
      <c r="I111" s="116">
        <f>IF(I20=0,0,1000000*I20/TrRoad_act!I60)</f>
        <v>2961.4978287160534</v>
      </c>
      <c r="J111" s="116">
        <f>IF(J20=0,0,1000000*J20/TrRoad_act!J60)</f>
        <v>2869.4529486956171</v>
      </c>
      <c r="K111" s="116">
        <f>IF(K20=0,0,1000000*K20/TrRoad_act!K60)</f>
        <v>2890.4941883910578</v>
      </c>
      <c r="L111" s="116">
        <f>IF(L20=0,0,1000000*L20/TrRoad_act!L60)</f>
        <v>2862.1851500902108</v>
      </c>
      <c r="M111" s="116">
        <f>IF(M20=0,0,1000000*M20/TrRoad_act!M60)</f>
        <v>2794.1793375301504</v>
      </c>
      <c r="N111" s="116">
        <f>IF(N20=0,0,1000000*N20/TrRoad_act!N60)</f>
        <v>2691.7864359132341</v>
      </c>
      <c r="O111" s="116">
        <f>IF(O20=0,0,1000000*O20/TrRoad_act!O60)</f>
        <v>2628.7877242340332</v>
      </c>
      <c r="P111" s="116">
        <f>IF(P20=0,0,1000000*P20/TrRoad_act!P60)</f>
        <v>2552.6492082331783</v>
      </c>
      <c r="Q111" s="116">
        <f>IF(Q20=0,0,1000000*Q20/TrRoad_act!Q60)</f>
        <v>2555.2430429014794</v>
      </c>
      <c r="R111" s="116">
        <f>IF(R20=0,0,1000000*R20/TrRoad_act!R60)</f>
        <v>2440.7514177226312</v>
      </c>
      <c r="S111" s="116">
        <f>IF(S20=0,0,1000000*S20/TrRoad_act!S60)</f>
        <v>2340.5916902455579</v>
      </c>
      <c r="T111" s="116">
        <f>IF(T20=0,0,1000000*T20/TrRoad_act!T60)</f>
        <v>2228.9028262842148</v>
      </c>
      <c r="U111" s="116">
        <f>IF(U20=0,0,1000000*U20/TrRoad_act!U60)</f>
        <v>2199.645244021669</v>
      </c>
      <c r="V111" s="116">
        <f>IF(V20=0,0,1000000*V20/TrRoad_act!V60)</f>
        <v>1993.7671471947306</v>
      </c>
      <c r="W111" s="116">
        <f>IF(W20=0,0,1000000*W20/TrRoad_act!W60)</f>
        <v>2014.4213443913309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3062.7239594314719</v>
      </c>
      <c r="C112" s="87">
        <f>IF(C21=0,0,1000000*C21/TrRoad_act!C61)</f>
        <v>3014.3445559394131</v>
      </c>
      <c r="D112" s="87">
        <f>IF(D21=0,0,1000000*D21/TrRoad_act!D61)</f>
        <v>3087.0865454022401</v>
      </c>
      <c r="E112" s="87">
        <f>IF(E21=0,0,1000000*E21/TrRoad_act!E61)</f>
        <v>3051.9912219094294</v>
      </c>
      <c r="F112" s="87">
        <f>IF(F21=0,0,1000000*F21/TrRoad_act!F61)</f>
        <v>2977.2938481161368</v>
      </c>
      <c r="G112" s="87">
        <f>IF(G21=0,0,1000000*G21/TrRoad_act!G61)</f>
        <v>2808.1565083301521</v>
      </c>
      <c r="H112" s="87">
        <f>IF(H21=0,0,1000000*H21/TrRoad_act!H61)</f>
        <v>2731.2228146149664</v>
      </c>
      <c r="I112" s="87">
        <f>IF(I21=0,0,1000000*I21/TrRoad_act!I61)</f>
        <v>2696.6522923009661</v>
      </c>
      <c r="J112" s="87">
        <f>IF(J21=0,0,1000000*J21/TrRoad_act!J61)</f>
        <v>2567.6350207394457</v>
      </c>
      <c r="K112" s="87">
        <f>IF(K21=0,0,1000000*K21/TrRoad_act!K61)</f>
        <v>2562.6305856035469</v>
      </c>
      <c r="L112" s="87">
        <f>IF(L21=0,0,1000000*L21/TrRoad_act!L61)</f>
        <v>2471.148349404893</v>
      </c>
      <c r="M112" s="87">
        <f>IF(M21=0,0,1000000*M21/TrRoad_act!M61)</f>
        <v>2349.9160076953913</v>
      </c>
      <c r="N112" s="87">
        <f>IF(N21=0,0,1000000*N21/TrRoad_act!N61)</f>
        <v>2226.240922210739</v>
      </c>
      <c r="O112" s="87">
        <f>IF(O21=0,0,1000000*O21/TrRoad_act!O61)</f>
        <v>2171.0961111794627</v>
      </c>
      <c r="P112" s="87">
        <f>IF(P21=0,0,1000000*P21/TrRoad_act!P61)</f>
        <v>2133.9262891274125</v>
      </c>
      <c r="Q112" s="87">
        <f>IF(Q21=0,0,1000000*Q21/TrRoad_act!Q61)</f>
        <v>2134.2312954224108</v>
      </c>
      <c r="R112" s="87">
        <f>IF(R21=0,0,1000000*R21/TrRoad_act!R61)</f>
        <v>2086.8109126724326</v>
      </c>
      <c r="S112" s="87">
        <f>IF(S21=0,0,1000000*S21/TrRoad_act!S61)</f>
        <v>2025.5236780773421</v>
      </c>
      <c r="T112" s="87">
        <f>IF(T21=0,0,1000000*T21/TrRoad_act!T61)</f>
        <v>1925.9350163918159</v>
      </c>
      <c r="U112" s="87">
        <f>IF(U21=0,0,1000000*U21/TrRoad_act!U61)</f>
        <v>1904.3141319722363</v>
      </c>
      <c r="V112" s="87">
        <f>IF(V21=0,0,1000000*V21/TrRoad_act!V61)</f>
        <v>1749.9839918223117</v>
      </c>
      <c r="W112" s="87">
        <f>IF(W21=0,0,1000000*W21/TrRoad_act!W61)</f>
        <v>1873.9225070767611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6823.4613928877325</v>
      </c>
      <c r="C113" s="87">
        <f>IF(C22=0,0,1000000*C22/TrRoad_act!C62)</f>
        <v>6762.0233384594158</v>
      </c>
      <c r="D113" s="87">
        <f>IF(D22=0,0,1000000*D22/TrRoad_act!D62)</f>
        <v>6731.9507225725001</v>
      </c>
      <c r="E113" s="87">
        <f>IF(E22=0,0,1000000*E22/TrRoad_act!E62)</f>
        <v>6753.4246413858737</v>
      </c>
      <c r="F113" s="87">
        <f>IF(F22=0,0,1000000*F22/TrRoad_act!F62)</f>
        <v>6799.7948331848729</v>
      </c>
      <c r="G113" s="87">
        <f>IF(G22=0,0,1000000*G22/TrRoad_act!G62)</f>
        <v>6451.0408441687887</v>
      </c>
      <c r="H113" s="87">
        <f>IF(H22=0,0,1000000*H22/TrRoad_act!H62)</f>
        <v>6249.595008227815</v>
      </c>
      <c r="I113" s="87">
        <f>IF(I22=0,0,1000000*I22/TrRoad_act!I62)</f>
        <v>5888.8920005072423</v>
      </c>
      <c r="J113" s="87">
        <f>IF(J22=0,0,1000000*J22/TrRoad_act!J62)</f>
        <v>5682.3156850111855</v>
      </c>
      <c r="K113" s="87">
        <f>IF(K22=0,0,1000000*K22/TrRoad_act!K62)</f>
        <v>5367.7506349197838</v>
      </c>
      <c r="L113" s="87">
        <f>IF(L22=0,0,1000000*L22/TrRoad_act!L62)</f>
        <v>5151.9466287918485</v>
      </c>
      <c r="M113" s="87">
        <f>IF(M22=0,0,1000000*M22/TrRoad_act!M62)</f>
        <v>4819.5808162040366</v>
      </c>
      <c r="N113" s="87">
        <f>IF(N22=0,0,1000000*N22/TrRoad_act!N62)</f>
        <v>4394.7741964082952</v>
      </c>
      <c r="O113" s="87">
        <f>IF(O22=0,0,1000000*O22/TrRoad_act!O62)</f>
        <v>4031.1330714343571</v>
      </c>
      <c r="P113" s="87">
        <f>IF(P22=0,0,1000000*P22/TrRoad_act!P62)</f>
        <v>3662.8183319330246</v>
      </c>
      <c r="Q113" s="87">
        <f>IF(Q22=0,0,1000000*Q22/TrRoad_act!Q62)</f>
        <v>3539.8072145333267</v>
      </c>
      <c r="R113" s="87">
        <f>IF(R22=0,0,1000000*R22/TrRoad_act!R62)</f>
        <v>3205.2951684524683</v>
      </c>
      <c r="S113" s="87">
        <f>IF(S22=0,0,1000000*S22/TrRoad_act!S62)</f>
        <v>2997.9053368071068</v>
      </c>
      <c r="T113" s="87">
        <f>IF(T22=0,0,1000000*T22/TrRoad_act!T62)</f>
        <v>2851.073984690001</v>
      </c>
      <c r="U113" s="87">
        <f>IF(U22=0,0,1000000*U22/TrRoad_act!U62)</f>
        <v>2822.3428956037897</v>
      </c>
      <c r="V113" s="87">
        <f>IF(V22=0,0,1000000*V22/TrRoad_act!V62)</f>
        <v>2606.2452426916479</v>
      </c>
      <c r="W113" s="87">
        <f>IF(W22=0,0,1000000*W22/TrRoad_act!W62)</f>
        <v>2596.8635853379665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0</v>
      </c>
      <c r="E114" s="87">
        <f>IF(E23=0,0,1000000*E23/TrRoad_act!E63)</f>
        <v>0</v>
      </c>
      <c r="F114" s="87">
        <f>IF(F23=0,0,1000000*F23/TrRoad_act!F63)</f>
        <v>0</v>
      </c>
      <c r="G114" s="87">
        <f>IF(G23=0,0,1000000*G23/TrRoad_act!G63)</f>
        <v>7232.7743999999993</v>
      </c>
      <c r="H114" s="87">
        <f>IF(H23=0,0,1000000*H23/TrRoad_act!H63)</f>
        <v>5685.3988732394364</v>
      </c>
      <c r="I114" s="87">
        <f>IF(I23=0,0,1000000*I23/TrRoad_act!I63)</f>
        <v>12309.333191489359</v>
      </c>
      <c r="J114" s="87">
        <f>IF(J23=0,0,1000000*J23/TrRoad_act!J63)</f>
        <v>7411.4736000000021</v>
      </c>
      <c r="K114" s="87">
        <f>IF(K23=0,0,1000000*K23/TrRoad_act!K63)</f>
        <v>6864.7751999999982</v>
      </c>
      <c r="L114" s="87">
        <f>IF(L23=0,0,1000000*L23/TrRoad_act!L63)</f>
        <v>8280.3065142857122</v>
      </c>
      <c r="M114" s="87">
        <f>IF(M23=0,0,1000000*M23/TrRoad_act!M63)</f>
        <v>5533.1688888888912</v>
      </c>
      <c r="N114" s="87">
        <f>IF(N23=0,0,1000000*N23/TrRoad_act!N63)</f>
        <v>3445.26</v>
      </c>
      <c r="O114" s="87">
        <f>IF(O23=0,0,1000000*O23/TrRoad_act!O63)</f>
        <v>1781.1934826883908</v>
      </c>
      <c r="P114" s="87">
        <f>IF(P23=0,0,1000000*P23/TrRoad_act!P63)</f>
        <v>2091.1674134419554</v>
      </c>
      <c r="Q114" s="87">
        <f>IF(Q23=0,0,1000000*Q23/TrRoad_act!Q63)</f>
        <v>11683.241303462324</v>
      </c>
      <c r="R114" s="87">
        <f>IF(R23=0,0,1000000*R23/TrRoad_act!R63)</f>
        <v>4332.6495483870976</v>
      </c>
      <c r="S114" s="87">
        <f>IF(S23=0,0,1000000*S23/TrRoad_act!S63)</f>
        <v>0</v>
      </c>
      <c r="T114" s="87">
        <f>IF(T23=0,0,1000000*T23/TrRoad_act!T63)</f>
        <v>0</v>
      </c>
      <c r="U114" s="87">
        <f>IF(U23=0,0,1000000*U23/TrRoad_act!U63)</f>
        <v>0</v>
      </c>
      <c r="V114" s="87">
        <f>IF(V23=0,0,1000000*V23/TrRoad_act!V63)</f>
        <v>0</v>
      </c>
      <c r="W114" s="87">
        <f>IF(W23=0,0,1000000*W23/TrRoad_act!W63)</f>
        <v>0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3836.0989761539217</v>
      </c>
      <c r="E115" s="87">
        <f>IF(E24=0,0,1000000*E24/TrRoad_act!E64)</f>
        <v>3820.9744943245587</v>
      </c>
      <c r="F115" s="87">
        <f>IF(F24=0,0,1000000*F24/TrRoad_act!F64)</f>
        <v>3807.3897588077562</v>
      </c>
      <c r="G115" s="87">
        <f>IF(G24=0,0,1000000*G24/TrRoad_act!G64)</f>
        <v>3754.9153391845566</v>
      </c>
      <c r="H115" s="87">
        <f>IF(H24=0,0,1000000*H24/TrRoad_act!H64)</f>
        <v>3684.6537687048676</v>
      </c>
      <c r="I115" s="87">
        <f>IF(I24=0,0,1000000*I24/TrRoad_act!I64)</f>
        <v>3693.2529724931737</v>
      </c>
      <c r="J115" s="87">
        <f>IF(J24=0,0,1000000*J24/TrRoad_act!J64)</f>
        <v>2012.1362160856629</v>
      </c>
      <c r="K115" s="87">
        <f>IF(K24=0,0,1000000*K24/TrRoad_act!K64)</f>
        <v>1733.2744929922876</v>
      </c>
      <c r="L115" s="87">
        <f>IF(L24=0,0,1000000*L24/TrRoad_act!L64)</f>
        <v>1891.5143646014708</v>
      </c>
      <c r="M115" s="87">
        <f>IF(M24=0,0,1000000*M24/TrRoad_act!M64)</f>
        <v>1232.3356676009489</v>
      </c>
      <c r="N115" s="87">
        <f>IF(N24=0,0,1000000*N24/TrRoad_act!N64)</f>
        <v>1329.7414853662574</v>
      </c>
      <c r="O115" s="87">
        <f>IF(O24=0,0,1000000*O24/TrRoad_act!O64)</f>
        <v>1213.1065883751937</v>
      </c>
      <c r="P115" s="87">
        <f>IF(P24=0,0,1000000*P24/TrRoad_act!P64)</f>
        <v>1070.3539050242462</v>
      </c>
      <c r="Q115" s="87">
        <f>IF(Q24=0,0,1000000*Q24/TrRoad_act!Q64)</f>
        <v>719.2827713822312</v>
      </c>
      <c r="R115" s="87">
        <f>IF(R24=0,0,1000000*R24/TrRoad_act!R64)</f>
        <v>714.66491099754876</v>
      </c>
      <c r="S115" s="87">
        <f>IF(S24=0,0,1000000*S24/TrRoad_act!S64)</f>
        <v>274.91735401799218</v>
      </c>
      <c r="T115" s="87">
        <f>IF(T24=0,0,1000000*T24/TrRoad_act!T64)</f>
        <v>222.04959974595192</v>
      </c>
      <c r="U115" s="87">
        <f>IF(U24=0,0,1000000*U24/TrRoad_act!U64)</f>
        <v>194.62943294158572</v>
      </c>
      <c r="V115" s="87">
        <f>IF(V24=0,0,1000000*V24/TrRoad_act!V64)</f>
        <v>192.40848198617391</v>
      </c>
      <c r="W115" s="87">
        <f>IF(W24=0,0,1000000*W24/TrRoad_act!W64)</f>
        <v>232.84342744889653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961.75824562440391</v>
      </c>
      <c r="K116" s="87">
        <f>IF(K25=0,0,1000000*K25/TrRoad_act!K65)</f>
        <v>941.85526843884145</v>
      </c>
      <c r="L116" s="87">
        <f>IF(L25=0,0,1000000*L25/TrRoad_act!L65)</f>
        <v>902.81088056762724</v>
      </c>
      <c r="M116" s="87">
        <f>IF(M25=0,0,1000000*M25/TrRoad_act!M65)</f>
        <v>784.36195007469757</v>
      </c>
      <c r="N116" s="87">
        <f>IF(N25=0,0,1000000*N25/TrRoad_act!N65)</f>
        <v>689.18878660048892</v>
      </c>
      <c r="O116" s="87">
        <f>IF(O25=0,0,1000000*O25/TrRoad_act!O65)</f>
        <v>666.82067453536933</v>
      </c>
      <c r="P116" s="87">
        <f>IF(P25=0,0,1000000*P25/TrRoad_act!P65)</f>
        <v>634.29724484131839</v>
      </c>
      <c r="Q116" s="87">
        <f>IF(Q25=0,0,1000000*Q25/TrRoad_act!Q65)</f>
        <v>620.11535619883341</v>
      </c>
      <c r="R116" s="87">
        <f>IF(R25=0,0,1000000*R25/TrRoad_act!R65)</f>
        <v>621.24398970030336</v>
      </c>
      <c r="S116" s="87">
        <f>IF(S25=0,0,1000000*S25/TrRoad_act!S65)</f>
        <v>614.93582614679065</v>
      </c>
      <c r="T116" s="87">
        <f>IF(T25=0,0,1000000*T25/TrRoad_act!T65)</f>
        <v>608.45552652322522</v>
      </c>
      <c r="U116" s="87">
        <f>IF(U25=0,0,1000000*U25/TrRoad_act!U65)</f>
        <v>551.2990960154134</v>
      </c>
      <c r="V116" s="87">
        <f>IF(V25=0,0,1000000*V25/TrRoad_act!V65)</f>
        <v>456.0573350975364</v>
      </c>
      <c r="W116" s="87">
        <f>IF(W25=0,0,1000000*W25/TrRoad_act!W65)</f>
        <v>440.2780282401323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132236.4901241402</v>
      </c>
      <c r="C118" s="116">
        <f>IF(C27=0,0,1000000*C27/TrRoad_act!C67)</f>
        <v>129290.15163628568</v>
      </c>
      <c r="D118" s="116">
        <f>IF(D27=0,0,1000000*D27/TrRoad_act!D67)</f>
        <v>128424.47293821666</v>
      </c>
      <c r="E118" s="116">
        <f>IF(E27=0,0,1000000*E27/TrRoad_act!E67)</f>
        <v>132239.51393161673</v>
      </c>
      <c r="F118" s="116">
        <f>IF(F27=0,0,1000000*F27/TrRoad_act!F67)</f>
        <v>134078.2628379346</v>
      </c>
      <c r="G118" s="116">
        <f>IF(G27=0,0,1000000*G27/TrRoad_act!G67)</f>
        <v>118308.41716102518</v>
      </c>
      <c r="H118" s="116">
        <f>IF(H27=0,0,1000000*H27/TrRoad_act!H67)</f>
        <v>120561.87391052164</v>
      </c>
      <c r="I118" s="116">
        <f>IF(I27=0,0,1000000*I27/TrRoad_act!I67)</f>
        <v>116423.14497833721</v>
      </c>
      <c r="J118" s="116">
        <f>IF(J27=0,0,1000000*J27/TrRoad_act!J67)</f>
        <v>110625.01006504981</v>
      </c>
      <c r="K118" s="116">
        <f>IF(K27=0,0,1000000*K27/TrRoad_act!K67)</f>
        <v>105275.06740006506</v>
      </c>
      <c r="L118" s="116">
        <f>IF(L27=0,0,1000000*L27/TrRoad_act!L67)</f>
        <v>106626.43039593671</v>
      </c>
      <c r="M118" s="116">
        <f>IF(M27=0,0,1000000*M27/TrRoad_act!M67)</f>
        <v>102859.12896105171</v>
      </c>
      <c r="N118" s="116">
        <f>IF(N27=0,0,1000000*N27/TrRoad_act!N67)</f>
        <v>99329.451666084205</v>
      </c>
      <c r="O118" s="116">
        <f>IF(O27=0,0,1000000*O27/TrRoad_act!O67)</f>
        <v>93478.37800109954</v>
      </c>
      <c r="P118" s="116">
        <f>IF(P27=0,0,1000000*P27/TrRoad_act!P67)</f>
        <v>83495.111734937833</v>
      </c>
      <c r="Q118" s="116">
        <f>IF(Q27=0,0,1000000*Q27/TrRoad_act!Q67)</f>
        <v>79254.679509988593</v>
      </c>
      <c r="R118" s="116">
        <f>IF(R27=0,0,1000000*R27/TrRoad_act!R67)</f>
        <v>74637.600107811828</v>
      </c>
      <c r="S118" s="116">
        <f>IF(S27=0,0,1000000*S27/TrRoad_act!S67)</f>
        <v>66927.103691644792</v>
      </c>
      <c r="T118" s="116">
        <f>IF(T27=0,0,1000000*T27/TrRoad_act!T67)</f>
        <v>63817.086660630368</v>
      </c>
      <c r="U118" s="116">
        <f>IF(U27=0,0,1000000*U27/TrRoad_act!U67)</f>
        <v>62614.244346885142</v>
      </c>
      <c r="V118" s="116">
        <f>IF(V27=0,0,1000000*V27/TrRoad_act!V67)</f>
        <v>61326.78559063893</v>
      </c>
      <c r="W118" s="116">
        <f>IF(W27=0,0,1000000*W27/TrRoad_act!W67)</f>
        <v>59345.944598572612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35554.298116425605</v>
      </c>
      <c r="C119" s="101">
        <f>IF(C28=0,0,1000000*C28/TrRoad_act!C68)</f>
        <v>35656.122146244474</v>
      </c>
      <c r="D119" s="101">
        <f>IF(D28=0,0,1000000*D28/TrRoad_act!D68)</f>
        <v>36931.862891313656</v>
      </c>
      <c r="E119" s="101">
        <f>IF(E28=0,0,1000000*E28/TrRoad_act!E68)</f>
        <v>37454.808120569767</v>
      </c>
      <c r="F119" s="101">
        <f>IF(F28=0,0,1000000*F28/TrRoad_act!F68)</f>
        <v>37504.230349736456</v>
      </c>
      <c r="G119" s="101">
        <f>IF(G28=0,0,1000000*G28/TrRoad_act!G68)</f>
        <v>35681.42028320011</v>
      </c>
      <c r="H119" s="101">
        <f>IF(H28=0,0,1000000*H28/TrRoad_act!H68)</f>
        <v>33814.551007414164</v>
      </c>
      <c r="I119" s="101">
        <f>IF(I28=0,0,1000000*I28/TrRoad_act!I68)</f>
        <v>33059.816141240699</v>
      </c>
      <c r="J119" s="101">
        <f>IF(J28=0,0,1000000*J28/TrRoad_act!J68)</f>
        <v>31015.690025746848</v>
      </c>
      <c r="K119" s="101">
        <f>IF(K28=0,0,1000000*K28/TrRoad_act!K68)</f>
        <v>29946.315860131454</v>
      </c>
      <c r="L119" s="101">
        <f>IF(L28=0,0,1000000*L28/TrRoad_act!L68)</f>
        <v>27624.374240683715</v>
      </c>
      <c r="M119" s="101">
        <f>IF(M28=0,0,1000000*M28/TrRoad_act!M68)</f>
        <v>25362.828014024286</v>
      </c>
      <c r="N119" s="101">
        <f>IF(N28=0,0,1000000*N28/TrRoad_act!N68)</f>
        <v>24850.95428781585</v>
      </c>
      <c r="O119" s="101">
        <f>IF(O28=0,0,1000000*O28/TrRoad_act!O68)</f>
        <v>24460.839104922168</v>
      </c>
      <c r="P119" s="101">
        <f>IF(P28=0,0,1000000*P28/TrRoad_act!P68)</f>
        <v>23618.755957195102</v>
      </c>
      <c r="Q119" s="101">
        <f>IF(Q28=0,0,1000000*Q28/TrRoad_act!Q68)</f>
        <v>23445.052047302404</v>
      </c>
      <c r="R119" s="101">
        <f>IF(R28=0,0,1000000*R28/TrRoad_act!R68)</f>
        <v>23987.680841136262</v>
      </c>
      <c r="S119" s="101">
        <f>IF(S28=0,0,1000000*S28/TrRoad_act!S68)</f>
        <v>23600.245855693433</v>
      </c>
      <c r="T119" s="101">
        <f>IF(T28=0,0,1000000*T28/TrRoad_act!T68)</f>
        <v>23609.256244285931</v>
      </c>
      <c r="U119" s="101">
        <f>IF(U28=0,0,1000000*U28/TrRoad_act!U68)</f>
        <v>23206.165262300303</v>
      </c>
      <c r="V119" s="101">
        <f>IF(V28=0,0,1000000*V28/TrRoad_act!V68)</f>
        <v>23670.468994691422</v>
      </c>
      <c r="W119" s="101">
        <f>IF(W28=0,0,1000000*W28/TrRoad_act!W68)</f>
        <v>23035.69434908748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137683.61096100681</v>
      </c>
      <c r="C120" s="101">
        <f>IF(C29=0,0,1000000*C29/TrRoad_act!C69)</f>
        <v>134234.30393620825</v>
      </c>
      <c r="D120" s="101">
        <f>IF(D29=0,0,1000000*D29/TrRoad_act!D69)</f>
        <v>132647.49384869842</v>
      </c>
      <c r="E120" s="101">
        <f>IF(E29=0,0,1000000*E29/TrRoad_act!E69)</f>
        <v>135479.29275445457</v>
      </c>
      <c r="F120" s="101">
        <f>IF(F29=0,0,1000000*F29/TrRoad_act!F69)</f>
        <v>138166.13832882824</v>
      </c>
      <c r="G120" s="101">
        <f>IF(G29=0,0,1000000*G29/TrRoad_act!G69)</f>
        <v>126558.65800986244</v>
      </c>
      <c r="H120" s="101">
        <f>IF(H29=0,0,1000000*H29/TrRoad_act!H69)</f>
        <v>123710.88080147172</v>
      </c>
      <c r="I120" s="101">
        <f>IF(I29=0,0,1000000*I29/TrRoad_act!I69)</f>
        <v>120127.36807006823</v>
      </c>
      <c r="J120" s="101">
        <f>IF(J29=0,0,1000000*J29/TrRoad_act!J69)</f>
        <v>115094.73642683431</v>
      </c>
      <c r="K120" s="101">
        <f>IF(K29=0,0,1000000*K29/TrRoad_act!K69)</f>
        <v>112455.81492320585</v>
      </c>
      <c r="L120" s="101">
        <f>IF(L29=0,0,1000000*L29/TrRoad_act!L69)</f>
        <v>114277.07106829209</v>
      </c>
      <c r="M120" s="101">
        <f>IF(M29=0,0,1000000*M29/TrRoad_act!M69)</f>
        <v>111217.69778993751</v>
      </c>
      <c r="N120" s="101">
        <f>IF(N29=0,0,1000000*N29/TrRoad_act!N69)</f>
        <v>107358.9133685222</v>
      </c>
      <c r="O120" s="101">
        <f>IF(O29=0,0,1000000*O29/TrRoad_act!O69)</f>
        <v>103393.41058351884</v>
      </c>
      <c r="P120" s="101">
        <f>IF(P29=0,0,1000000*P29/TrRoad_act!P69)</f>
        <v>93100.508530319203</v>
      </c>
      <c r="Q120" s="101">
        <f>IF(Q29=0,0,1000000*Q29/TrRoad_act!Q69)</f>
        <v>90910.50112670449</v>
      </c>
      <c r="R120" s="101">
        <f>IF(R29=0,0,1000000*R29/TrRoad_act!R69)</f>
        <v>85548.460036785647</v>
      </c>
      <c r="S120" s="101">
        <f>IF(S29=0,0,1000000*S29/TrRoad_act!S69)</f>
        <v>80113.32412033579</v>
      </c>
      <c r="T120" s="101">
        <f>IF(T29=0,0,1000000*T29/TrRoad_act!T69)</f>
        <v>76883.308906233113</v>
      </c>
      <c r="U120" s="101">
        <f>IF(U29=0,0,1000000*U29/TrRoad_act!U69)</f>
        <v>76914.187765422292</v>
      </c>
      <c r="V120" s="101">
        <f>IF(V29=0,0,1000000*V29/TrRoad_act!V69)</f>
        <v>80334.515348767527</v>
      </c>
      <c r="W120" s="101">
        <f>IF(W29=0,0,1000000*W29/TrRoad_act!W69)</f>
        <v>78530.410753237331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70092.000000000029</v>
      </c>
      <c r="C122" s="101">
        <f>IF(C31=0,0,1000000*C31/TrRoad_act!C71)</f>
        <v>64479.357122189744</v>
      </c>
      <c r="D122" s="101">
        <f>IF(D31=0,0,1000000*D31/TrRoad_act!D71)</f>
        <v>65733.464319395513</v>
      </c>
      <c r="E122" s="101">
        <f>IF(E31=0,0,1000000*E31/TrRoad_act!E71)</f>
        <v>90359.531107672257</v>
      </c>
      <c r="F122" s="101">
        <f>IF(F31=0,0,1000000*F31/TrRoad_act!F71)</f>
        <v>59757.286102372542</v>
      </c>
      <c r="G122" s="101">
        <f>IF(G31=0,0,1000000*G31/TrRoad_act!G71)</f>
        <v>21971.357567800314</v>
      </c>
      <c r="H122" s="101">
        <f>IF(H31=0,0,1000000*H31/TrRoad_act!H71)</f>
        <v>67626.288505995224</v>
      </c>
      <c r="I122" s="101">
        <f>IF(I31=0,0,1000000*I31/TrRoad_act!I71)</f>
        <v>57181.228299925577</v>
      </c>
      <c r="J122" s="101">
        <f>IF(J31=0,0,1000000*J31/TrRoad_act!J71)</f>
        <v>52858.070930462949</v>
      </c>
      <c r="K122" s="101">
        <f>IF(K31=0,0,1000000*K31/TrRoad_act!K71)</f>
        <v>32805.677456861282</v>
      </c>
      <c r="L122" s="101">
        <f>IF(L31=0,0,1000000*L31/TrRoad_act!L71)</f>
        <v>35703.402462467508</v>
      </c>
      <c r="M122" s="101">
        <f>IF(M31=0,0,1000000*M31/TrRoad_act!M71)</f>
        <v>44758.975508861178</v>
      </c>
      <c r="N122" s="101">
        <f>IF(N31=0,0,1000000*N31/TrRoad_act!N71)</f>
        <v>48394.997433252</v>
      </c>
      <c r="O122" s="101">
        <f>IF(O31=0,0,1000000*O31/TrRoad_act!O71)</f>
        <v>40971.869704037759</v>
      </c>
      <c r="P122" s="101">
        <f>IF(P31=0,0,1000000*P31/TrRoad_act!P71)</f>
        <v>36117.186816686473</v>
      </c>
      <c r="Q122" s="101">
        <f>IF(Q31=0,0,1000000*Q31/TrRoad_act!Q71)</f>
        <v>22676.811430357986</v>
      </c>
      <c r="R122" s="101">
        <f>IF(R31=0,0,1000000*R31/TrRoad_act!R71)</f>
        <v>22673.619642090453</v>
      </c>
      <c r="S122" s="101">
        <f>IF(S31=0,0,1000000*S31/TrRoad_act!S71)</f>
        <v>7295.553957341549</v>
      </c>
      <c r="T122" s="101">
        <f>IF(T31=0,0,1000000*T31/TrRoad_act!T71)</f>
        <v>6396.6261288263668</v>
      </c>
      <c r="U122" s="101">
        <f>IF(U31=0,0,1000000*U31/TrRoad_act!U71)</f>
        <v>4171.626666536411</v>
      </c>
      <c r="V122" s="101">
        <f>IF(V31=0,0,1000000*V31/TrRoad_act!V71)</f>
        <v>3705.0079337386865</v>
      </c>
      <c r="W122" s="101">
        <f>IF(W31=0,0,1000000*W31/TrRoad_act!W71)</f>
        <v>3904.1001321023714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4031.3333345416963</v>
      </c>
      <c r="C125" s="152">
        <f>IF(C34=0,0,1000000*C34/TrRoad_act!C74)</f>
        <v>4174.5137652520516</v>
      </c>
      <c r="D125" s="152">
        <f>IF(D34=0,0,1000000*D34/TrRoad_act!D74)</f>
        <v>4211.9367614432222</v>
      </c>
      <c r="E125" s="152">
        <f>IF(E34=0,0,1000000*E34/TrRoad_act!E74)</f>
        <v>4402.1129673760188</v>
      </c>
      <c r="F125" s="152">
        <f>IF(F34=0,0,1000000*F34/TrRoad_act!F74)</f>
        <v>4683.056487698178</v>
      </c>
      <c r="G125" s="152">
        <f>IF(G34=0,0,1000000*G34/TrRoad_act!G74)</f>
        <v>3997.9017486119528</v>
      </c>
      <c r="H125" s="152">
        <f>IF(H34=0,0,1000000*H34/TrRoad_act!H74)</f>
        <v>4098.1773915363983</v>
      </c>
      <c r="I125" s="152">
        <f>IF(I34=0,0,1000000*I34/TrRoad_act!I74)</f>
        <v>3948.8201436989611</v>
      </c>
      <c r="J125" s="152">
        <f>IF(J34=0,0,1000000*J34/TrRoad_act!J74)</f>
        <v>3923.7511795057881</v>
      </c>
      <c r="K125" s="152">
        <f>IF(K34=0,0,1000000*K34/TrRoad_act!K74)</f>
        <v>3812.6877266453275</v>
      </c>
      <c r="L125" s="152">
        <f>IF(L34=0,0,1000000*L34/TrRoad_act!L74)</f>
        <v>4053.5572992969087</v>
      </c>
      <c r="M125" s="152">
        <f>IF(M34=0,0,1000000*M34/TrRoad_act!M74)</f>
        <v>3845.5989900498439</v>
      </c>
      <c r="N125" s="152">
        <f>IF(N34=0,0,1000000*N34/TrRoad_act!N74)</f>
        <v>3649.9521910093576</v>
      </c>
      <c r="O125" s="152">
        <f>IF(O34=0,0,1000000*O34/TrRoad_act!O74)</f>
        <v>3402.6867243806178</v>
      </c>
      <c r="P125" s="152">
        <f>IF(P34=0,0,1000000*P34/TrRoad_act!P74)</f>
        <v>3055.447276684687</v>
      </c>
      <c r="Q125" s="152">
        <f>IF(Q34=0,0,1000000*Q34/TrRoad_act!Q74)</f>
        <v>2996.8584132005285</v>
      </c>
      <c r="R125" s="152">
        <f>IF(R34=0,0,1000000*R34/TrRoad_act!R74)</f>
        <v>2666.2616178466783</v>
      </c>
      <c r="S125" s="152">
        <f>IF(S34=0,0,1000000*S34/TrRoad_act!S74)</f>
        <v>2589.7232267924192</v>
      </c>
      <c r="T125" s="152">
        <f>IF(T34=0,0,1000000*T34/TrRoad_act!T74)</f>
        <v>2317.1824468899167</v>
      </c>
      <c r="U125" s="152">
        <f>IF(U34=0,0,1000000*U34/TrRoad_act!U74)</f>
        <v>2336.4346724546358</v>
      </c>
      <c r="V125" s="152">
        <f>IF(V34=0,0,1000000*V34/TrRoad_act!V74)</f>
        <v>2336.595948826659</v>
      </c>
      <c r="W125" s="152">
        <f>IF(W34=0,0,1000000*W34/TrRoad_act!W74)</f>
        <v>2329.3913563340443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2659.9723779871724</v>
      </c>
      <c r="C126" s="87">
        <f>IF(C35=0,0,1000000*C35/TrRoad_act!C75)</f>
        <v>2656.4706982397115</v>
      </c>
      <c r="D126" s="87">
        <f>IF(D35=0,0,1000000*D35/TrRoad_act!D75)</f>
        <v>2568.9210294519889</v>
      </c>
      <c r="E126" s="87">
        <f>IF(E35=0,0,1000000*E35/TrRoad_act!E75)</f>
        <v>2392.0824136704514</v>
      </c>
      <c r="F126" s="87">
        <f>IF(F35=0,0,1000000*F35/TrRoad_act!F75)</f>
        <v>2239.6068013698291</v>
      </c>
      <c r="G126" s="87">
        <f>IF(G35=0,0,1000000*G35/TrRoad_act!G75)</f>
        <v>2187.1305866424191</v>
      </c>
      <c r="H126" s="87">
        <f>IF(H35=0,0,1000000*H35/TrRoad_act!H75)</f>
        <v>2064.9625615250543</v>
      </c>
      <c r="I126" s="87">
        <f>IF(I35=0,0,1000000*I35/TrRoad_act!I75)</f>
        <v>2034.034884277017</v>
      </c>
      <c r="J126" s="87">
        <f>IF(J35=0,0,1000000*J35/TrRoad_act!J75)</f>
        <v>1958.0591390176066</v>
      </c>
      <c r="K126" s="87">
        <f>IF(K35=0,0,1000000*K35/TrRoad_act!K75)</f>
        <v>1913.3928184259062</v>
      </c>
      <c r="L126" s="87">
        <f>IF(L35=0,0,1000000*L35/TrRoad_act!L75)</f>
        <v>1813.2366340905621</v>
      </c>
      <c r="M126" s="87">
        <f>IF(M35=0,0,1000000*M35/TrRoad_act!M75)</f>
        <v>1818.9048740801679</v>
      </c>
      <c r="N126" s="87">
        <f>IF(N35=0,0,1000000*N35/TrRoad_act!N75)</f>
        <v>1774.802465951183</v>
      </c>
      <c r="O126" s="87">
        <f>IF(O35=0,0,1000000*O35/TrRoad_act!O75)</f>
        <v>1744.2719592595954</v>
      </c>
      <c r="P126" s="87">
        <f>IF(P35=0,0,1000000*P35/TrRoad_act!P75)</f>
        <v>1719.5435962897557</v>
      </c>
      <c r="Q126" s="87">
        <f>IF(Q35=0,0,1000000*Q35/TrRoad_act!Q75)</f>
        <v>1787.834520650116</v>
      </c>
      <c r="R126" s="87">
        <f>IF(R35=0,0,1000000*R35/TrRoad_act!R75)</f>
        <v>1597.5826126097086</v>
      </c>
      <c r="S126" s="87">
        <f>IF(S35=0,0,1000000*S35/TrRoad_act!S75)</f>
        <v>1470.6707334749497</v>
      </c>
      <c r="T126" s="87">
        <f>IF(T35=0,0,1000000*T35/TrRoad_act!T75)</f>
        <v>1441.5567880001247</v>
      </c>
      <c r="U126" s="87">
        <f>IF(U35=0,0,1000000*U35/TrRoad_act!U75)</f>
        <v>1436.570689719259</v>
      </c>
      <c r="V126" s="87">
        <f>IF(V35=0,0,1000000*V35/TrRoad_act!V75)</f>
        <v>1438.5636811474076</v>
      </c>
      <c r="W126" s="87">
        <f>IF(W35=0,0,1000000*W35/TrRoad_act!W75)</f>
        <v>1541.2944032415496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6095.6614784044914</v>
      </c>
      <c r="C127" s="87">
        <f>IF(C36=0,0,1000000*C36/TrRoad_act!C76)</f>
        <v>5964.1405528065761</v>
      </c>
      <c r="D127" s="87">
        <f>IF(D36=0,0,1000000*D36/TrRoad_act!D76)</f>
        <v>5817.0397976126642</v>
      </c>
      <c r="E127" s="87">
        <f>IF(E36=0,0,1000000*E36/TrRoad_act!E76)</f>
        <v>6038.7599862014731</v>
      </c>
      <c r="F127" s="87">
        <f>IF(F36=0,0,1000000*F36/TrRoad_act!F76)</f>
        <v>6320.5963128523772</v>
      </c>
      <c r="G127" s="87">
        <f>IF(G36=0,0,1000000*G36/TrRoad_act!G76)</f>
        <v>5005.9146520298609</v>
      </c>
      <c r="H127" s="87">
        <f>IF(H36=0,0,1000000*H36/TrRoad_act!H76)</f>
        <v>5051.9962939085872</v>
      </c>
      <c r="I127" s="87">
        <f>IF(I36=0,0,1000000*I36/TrRoad_act!I76)</f>
        <v>4701.5365768417732</v>
      </c>
      <c r="J127" s="87">
        <f>IF(J36=0,0,1000000*J36/TrRoad_act!J76)</f>
        <v>4599.9978895711674</v>
      </c>
      <c r="K127" s="87">
        <f>IF(K36=0,0,1000000*K36/TrRoad_act!K76)</f>
        <v>4409.448841729205</v>
      </c>
      <c r="L127" s="87">
        <f>IF(L36=0,0,1000000*L36/TrRoad_act!L76)</f>
        <v>4681.4433182512666</v>
      </c>
      <c r="M127" s="87">
        <f>IF(M36=0,0,1000000*M36/TrRoad_act!M76)</f>
        <v>4327.8140679604485</v>
      </c>
      <c r="N127" s="87">
        <f>IF(N36=0,0,1000000*N36/TrRoad_act!N76)</f>
        <v>4042.5903736155051</v>
      </c>
      <c r="O127" s="87">
        <f>IF(O36=0,0,1000000*O36/TrRoad_act!O76)</f>
        <v>3700.2694411445505</v>
      </c>
      <c r="P127" s="87">
        <f>IF(P36=0,0,1000000*P36/TrRoad_act!P76)</f>
        <v>3275.3304501302437</v>
      </c>
      <c r="Q127" s="87">
        <f>IF(Q36=0,0,1000000*Q36/TrRoad_act!Q76)</f>
        <v>3180.9969625597296</v>
      </c>
      <c r="R127" s="87">
        <f>IF(R36=0,0,1000000*R36/TrRoad_act!R76)</f>
        <v>2813.6807019162698</v>
      </c>
      <c r="S127" s="87">
        <f>IF(S36=0,0,1000000*S36/TrRoad_act!S76)</f>
        <v>2734.4051148150729</v>
      </c>
      <c r="T127" s="87">
        <f>IF(T36=0,0,1000000*T36/TrRoad_act!T76)</f>
        <v>2445.8836661957853</v>
      </c>
      <c r="U127" s="87">
        <f>IF(U36=0,0,1000000*U36/TrRoad_act!U76)</f>
        <v>2470.6498084844602</v>
      </c>
      <c r="V127" s="87">
        <f>IF(V36=0,0,1000000*V36/TrRoad_act!V76)</f>
        <v>2477.6143072179134</v>
      </c>
      <c r="W127" s="87">
        <f>IF(W36=0,0,1000000*W36/TrRoad_act!W76)</f>
        <v>2468.2933003603089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0</v>
      </c>
      <c r="T128" s="87">
        <f>IF(T37=0,0,1000000*T37/TrRoad_act!T77)</f>
        <v>0</v>
      </c>
      <c r="U128" s="87">
        <f>IF(U37=0,0,1000000*U37/TrRoad_act!U77)</f>
        <v>0</v>
      </c>
      <c r="V128" s="87">
        <f>IF(V37=0,0,1000000*V37/TrRoad_act!V77)</f>
        <v>0</v>
      </c>
      <c r="W128" s="87">
        <f>IF(W37=0,0,1000000*W37/TrRoad_act!W77)</f>
        <v>0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1650.3597262834935</v>
      </c>
      <c r="D129" s="87">
        <f>IF(D38=0,0,1000000*D38/TrRoad_act!D78)</f>
        <v>1729.7857556292638</v>
      </c>
      <c r="E129" s="87">
        <f>IF(E38=0,0,1000000*E38/TrRoad_act!E78)</f>
        <v>1795.6217533621025</v>
      </c>
      <c r="F129" s="87">
        <f>IF(F38=0,0,1000000*F38/TrRoad_act!F78)</f>
        <v>1895.635031381111</v>
      </c>
      <c r="G129" s="87">
        <f>IF(G38=0,0,1000000*G38/TrRoad_act!G78)</f>
        <v>1667.5401521608055</v>
      </c>
      <c r="H129" s="87">
        <f>IF(H38=0,0,1000000*H38/TrRoad_act!H78)</f>
        <v>1702.2354010360175</v>
      </c>
      <c r="I129" s="87">
        <f>IF(I38=0,0,1000000*I38/TrRoad_act!I78)</f>
        <v>1673.252318663765</v>
      </c>
      <c r="J129" s="87">
        <f>IF(J38=0,0,1000000*J38/TrRoad_act!J78)</f>
        <v>914.5948035099301</v>
      </c>
      <c r="K129" s="87">
        <f>IF(K38=0,0,1000000*K38/TrRoad_act!K78)</f>
        <v>770.79936385076644</v>
      </c>
      <c r="L129" s="87">
        <f>IF(L38=0,0,1000000*L38/TrRoad_act!L78)</f>
        <v>951.10719009178706</v>
      </c>
      <c r="M129" s="87">
        <f>IF(M38=0,0,1000000*M38/TrRoad_act!M78)</f>
        <v>610.71466344356247</v>
      </c>
      <c r="N129" s="87">
        <f>IF(N38=0,0,1000000*N38/TrRoad_act!N78)</f>
        <v>687.94074181022893</v>
      </c>
      <c r="O129" s="87">
        <f>IF(O38=0,0,1000000*O38/TrRoad_act!O78)</f>
        <v>668.08887274618473</v>
      </c>
      <c r="P129" s="87">
        <f>IF(P38=0,0,1000000*P38/TrRoad_act!P78)</f>
        <v>631.34189865836129</v>
      </c>
      <c r="Q129" s="87">
        <f>IF(Q38=0,0,1000000*Q38/TrRoad_act!Q78)</f>
        <v>463.84798503399861</v>
      </c>
      <c r="R129" s="87">
        <f>IF(R38=0,0,1000000*R38/TrRoad_act!R78)</f>
        <v>472.51712362086135</v>
      </c>
      <c r="S129" s="87">
        <f>IF(S38=0,0,1000000*S38/TrRoad_act!S78)</f>
        <v>193.66044262375232</v>
      </c>
      <c r="T129" s="87">
        <f>IF(T38=0,0,1000000*T38/TrRoad_act!T78)</f>
        <v>149.2955712511999</v>
      </c>
      <c r="U129" s="87">
        <f>IF(U38=0,0,1000000*U38/TrRoad_act!U78)</f>
        <v>137.5082678338091</v>
      </c>
      <c r="V129" s="87">
        <f>IF(V38=0,0,1000000*V38/TrRoad_act!V78)</f>
        <v>147.84093154894464</v>
      </c>
      <c r="W129" s="87">
        <f>IF(W38=0,0,1000000*W38/TrRoad_act!W78)</f>
        <v>181.21471558840321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49369.940780712197</v>
      </c>
      <c r="C131" s="116">
        <f>IF(C40=0,0,1000000*C40/TrRoad_act!C80)</f>
        <v>49436.60596801871</v>
      </c>
      <c r="D131" s="116">
        <f>IF(D40=0,0,1000000*D40/TrRoad_act!D80)</f>
        <v>49513.748783999414</v>
      </c>
      <c r="E131" s="116">
        <f>IF(E40=0,0,1000000*E40/TrRoad_act!E80)</f>
        <v>51500.871016964353</v>
      </c>
      <c r="F131" s="116">
        <f>IF(F40=0,0,1000000*F40/TrRoad_act!F80)</f>
        <v>55080.865378001414</v>
      </c>
      <c r="G131" s="116">
        <f>IF(G40=0,0,1000000*G40/TrRoad_act!G80)</f>
        <v>52880.155662391298</v>
      </c>
      <c r="H131" s="116">
        <f>IF(H40=0,0,1000000*H40/TrRoad_act!H80)</f>
        <v>51890.529846549696</v>
      </c>
      <c r="I131" s="116">
        <f>IF(I40=0,0,1000000*I40/TrRoad_act!I80)</f>
        <v>50968.458444283031</v>
      </c>
      <c r="J131" s="116">
        <f>IF(J40=0,0,1000000*J40/TrRoad_act!J80)</f>
        <v>51578.105512510228</v>
      </c>
      <c r="K131" s="116">
        <f>IF(K40=0,0,1000000*K40/TrRoad_act!K80)</f>
        <v>46604.631858840243</v>
      </c>
      <c r="L131" s="116">
        <f>IF(L40=0,0,1000000*L40/TrRoad_act!L80)</f>
        <v>48838.847852563391</v>
      </c>
      <c r="M131" s="116">
        <f>IF(M40=0,0,1000000*M40/TrRoad_act!M80)</f>
        <v>44477.544406621571</v>
      </c>
      <c r="N131" s="116">
        <f>IF(N40=0,0,1000000*N40/TrRoad_act!N80)</f>
        <v>38017.918669721541</v>
      </c>
      <c r="O131" s="116">
        <f>IF(O40=0,0,1000000*O40/TrRoad_act!O80)</f>
        <v>37875.029619138542</v>
      </c>
      <c r="P131" s="116">
        <f>IF(P40=0,0,1000000*P40/TrRoad_act!P80)</f>
        <v>36902.682680946171</v>
      </c>
      <c r="Q131" s="116">
        <f>IF(Q40=0,0,1000000*Q40/TrRoad_act!Q80)</f>
        <v>34919.266504182291</v>
      </c>
      <c r="R131" s="116">
        <f>IF(R40=0,0,1000000*R40/TrRoad_act!R80)</f>
        <v>29396.024702053484</v>
      </c>
      <c r="S131" s="116">
        <f>IF(S40=0,0,1000000*S40/TrRoad_act!S80)</f>
        <v>27910.707288399895</v>
      </c>
      <c r="T131" s="116">
        <f>IF(T40=0,0,1000000*T40/TrRoad_act!T80)</f>
        <v>25038.434209781721</v>
      </c>
      <c r="U131" s="116">
        <f>IF(U40=0,0,1000000*U40/TrRoad_act!U80)</f>
        <v>25598.152917446718</v>
      </c>
      <c r="V131" s="116">
        <f>IF(V40=0,0,1000000*V40/TrRoad_act!V80)</f>
        <v>26879.754063619803</v>
      </c>
      <c r="W131" s="116">
        <f>IF(W40=0,0,1000000*W40/TrRoad_act!W80)</f>
        <v>28108.828082052576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42494.642746172722</v>
      </c>
      <c r="C132" s="101">
        <f>IF(C41=0,0,1000000*C41/TrRoad_act!C81)</f>
        <v>42126.533597800553</v>
      </c>
      <c r="D132" s="101">
        <f>IF(D41=0,0,1000000*D41/TrRoad_act!D81)</f>
        <v>42182.471274967</v>
      </c>
      <c r="E132" s="101">
        <f>IF(E41=0,0,1000000*E41/TrRoad_act!E81)</f>
        <v>43599.089896478421</v>
      </c>
      <c r="F132" s="101">
        <f>IF(F41=0,0,1000000*F41/TrRoad_act!F81)</f>
        <v>45806.333990098588</v>
      </c>
      <c r="G132" s="101">
        <f>IF(G41=0,0,1000000*G41/TrRoad_act!G81)</f>
        <v>44596.53770932609</v>
      </c>
      <c r="H132" s="101">
        <f>IF(H41=0,0,1000000*H41/TrRoad_act!H81)</f>
        <v>43152.136078354059</v>
      </c>
      <c r="I132" s="101">
        <f>IF(I41=0,0,1000000*I41/TrRoad_act!I81)</f>
        <v>42740.763579615545</v>
      </c>
      <c r="J132" s="101">
        <f>IF(J41=0,0,1000000*J41/TrRoad_act!J81)</f>
        <v>43913.018340261107</v>
      </c>
      <c r="K132" s="101">
        <f>IF(K41=0,0,1000000*K41/TrRoad_act!K81)</f>
        <v>40146.39042672253</v>
      </c>
      <c r="L132" s="101">
        <f>IF(L41=0,0,1000000*L41/TrRoad_act!L81)</f>
        <v>41788.404721859937</v>
      </c>
      <c r="M132" s="101">
        <f>IF(M41=0,0,1000000*M41/TrRoad_act!M81)</f>
        <v>37694.850176087893</v>
      </c>
      <c r="N132" s="101">
        <f>IF(N41=0,0,1000000*N41/TrRoad_act!N81)</f>
        <v>31689.432930911658</v>
      </c>
      <c r="O132" s="101">
        <f>IF(O41=0,0,1000000*O41/TrRoad_act!O81)</f>
        <v>31090.294377437811</v>
      </c>
      <c r="P132" s="101">
        <f>IF(P41=0,0,1000000*P41/TrRoad_act!P81)</f>
        <v>32230.377009573716</v>
      </c>
      <c r="Q132" s="101">
        <f>IF(Q41=0,0,1000000*Q41/TrRoad_act!Q81)</f>
        <v>29962.667272168266</v>
      </c>
      <c r="R132" s="101">
        <f>IF(R41=0,0,1000000*R41/TrRoad_act!R81)</f>
        <v>24919.169834794189</v>
      </c>
      <c r="S132" s="101">
        <f>IF(S41=0,0,1000000*S41/TrRoad_act!S81)</f>
        <v>23655.76490762761</v>
      </c>
      <c r="T132" s="101">
        <f>IF(T41=0,0,1000000*T41/TrRoad_act!T81)</f>
        <v>21284.949043184457</v>
      </c>
      <c r="U132" s="101">
        <f>IF(U41=0,0,1000000*U41/TrRoad_act!U81)</f>
        <v>21827.219568119079</v>
      </c>
      <c r="V132" s="101">
        <f>IF(V41=0,0,1000000*V41/TrRoad_act!V81)</f>
        <v>22733.162633534586</v>
      </c>
      <c r="W132" s="101">
        <f>IF(W41=0,0,1000000*W41/TrRoad_act!W81)</f>
        <v>23722.417321275283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131171.02904790177</v>
      </c>
      <c r="C133" s="88">
        <f>IF(C42=0,0,1000000*C42/TrRoad_act!C82)</f>
        <v>130154.00309142427</v>
      </c>
      <c r="D133" s="88">
        <f>IF(D42=0,0,1000000*D42/TrRoad_act!D82)</f>
        <v>124885.10637007213</v>
      </c>
      <c r="E133" s="88">
        <f>IF(E42=0,0,1000000*E42/TrRoad_act!E82)</f>
        <v>129452.66533642323</v>
      </c>
      <c r="F133" s="88">
        <f>IF(F42=0,0,1000000*F42/TrRoad_act!F82)</f>
        <v>133108.23499328</v>
      </c>
      <c r="G133" s="88">
        <f>IF(G42=0,0,1000000*G42/TrRoad_act!G82)</f>
        <v>121083.71024395882</v>
      </c>
      <c r="H133" s="88">
        <f>IF(H42=0,0,1000000*H42/TrRoad_act!H82)</f>
        <v>120259.58210510061</v>
      </c>
      <c r="I133" s="88">
        <f>IF(I42=0,0,1000000*I42/TrRoad_act!I82)</f>
        <v>115677.08005460141</v>
      </c>
      <c r="J133" s="88">
        <f>IF(J42=0,0,1000000*J42/TrRoad_act!J82)</f>
        <v>113366.01451539762</v>
      </c>
      <c r="K133" s="88">
        <f>IF(K42=0,0,1000000*K42/TrRoad_act!K82)</f>
        <v>111653.38289126816</v>
      </c>
      <c r="L133" s="88">
        <f>IF(L42=0,0,1000000*L42/TrRoad_act!L82)</f>
        <v>114218.30741346705</v>
      </c>
      <c r="M133" s="88">
        <f>IF(M42=0,0,1000000*M42/TrRoad_act!M82)</f>
        <v>111520.64772767366</v>
      </c>
      <c r="N133" s="88">
        <f>IF(N42=0,0,1000000*N42/TrRoad_act!N82)</f>
        <v>103028.05452744265</v>
      </c>
      <c r="O133" s="88">
        <f>IF(O42=0,0,1000000*O42/TrRoad_act!O82)</f>
        <v>94455.802050926461</v>
      </c>
      <c r="P133" s="88">
        <f>IF(P42=0,0,1000000*P42/TrRoad_act!P82)</f>
        <v>77921.812864893422</v>
      </c>
      <c r="Q133" s="88">
        <f>IF(Q42=0,0,1000000*Q42/TrRoad_act!Q82)</f>
        <v>73140.374371230704</v>
      </c>
      <c r="R133" s="88">
        <f>IF(R42=0,0,1000000*R42/TrRoad_act!R82)</f>
        <v>62462.747849833548</v>
      </c>
      <c r="S133" s="88">
        <f>IF(S42=0,0,1000000*S42/TrRoad_act!S82)</f>
        <v>60475.079953621258</v>
      </c>
      <c r="T133" s="88">
        <f>IF(T42=0,0,1000000*T42/TrRoad_act!T82)</f>
        <v>53778.569421489825</v>
      </c>
      <c r="U133" s="88">
        <f>IF(U42=0,0,1000000*U42/TrRoad_act!U82)</f>
        <v>56411.566628387845</v>
      </c>
      <c r="V133" s="88">
        <f>IF(V42=0,0,1000000*V42/TrRoad_act!V82)</f>
        <v>59707.955330562123</v>
      </c>
      <c r="W133" s="88">
        <f>IF(W42=0,0,1000000*W42/TrRoad_act!W82)</f>
        <v>59962.689317759126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0.74386533956771905</v>
      </c>
      <c r="C136" s="46">
        <f t="shared" si="40"/>
        <v>0.73562321385471807</v>
      </c>
      <c r="D136" s="46">
        <f t="shared" si="40"/>
        <v>0.73908820503824579</v>
      </c>
      <c r="E136" s="46">
        <f t="shared" si="40"/>
        <v>0.73146997334499986</v>
      </c>
      <c r="F136" s="46">
        <f t="shared" si="40"/>
        <v>0.70979488739041285</v>
      </c>
      <c r="G136" s="46">
        <f t="shared" si="40"/>
        <v>0.70856929058446838</v>
      </c>
      <c r="H136" s="46">
        <f t="shared" si="40"/>
        <v>0.70287085392646376</v>
      </c>
      <c r="I136" s="46">
        <f t="shared" si="40"/>
        <v>0.70302547001617666</v>
      </c>
      <c r="J136" s="46">
        <f t="shared" si="40"/>
        <v>0.69728261539040248</v>
      </c>
      <c r="K136" s="46">
        <f t="shared" si="40"/>
        <v>0.71707838639816956</v>
      </c>
      <c r="L136" s="46">
        <f t="shared" si="41"/>
        <v>0.70543178414378716</v>
      </c>
      <c r="M136" s="46">
        <f t="shared" si="40"/>
        <v>0.71006023405368046</v>
      </c>
      <c r="N136" s="46">
        <f t="shared" si="40"/>
        <v>0.72823577166511733</v>
      </c>
      <c r="O136" s="46">
        <f t="shared" si="40"/>
        <v>0.73556654754324624</v>
      </c>
      <c r="P136" s="46">
        <f t="shared" si="40"/>
        <v>0.74070349951452341</v>
      </c>
      <c r="Q136" s="46">
        <f t="shared" si="40"/>
        <v>0.74769643297074462</v>
      </c>
      <c r="R136" s="46">
        <f t="shared" si="40"/>
        <v>0.76507487695720533</v>
      </c>
      <c r="S136" s="46">
        <f t="shared" si="40"/>
        <v>0.7633946062951753</v>
      </c>
      <c r="T136" s="46">
        <f t="shared" si="40"/>
        <v>0.77111598445377716</v>
      </c>
      <c r="U136" s="46">
        <f t="shared" si="40"/>
        <v>0.76592438813327357</v>
      </c>
      <c r="V136" s="46">
        <f t="shared" si="40"/>
        <v>0.74168827493731815</v>
      </c>
      <c r="W136" s="46">
        <f t="shared" si="42"/>
        <v>0.7357840700520859</v>
      </c>
      <c r="DA136" s="211"/>
    </row>
    <row r="137" spans="1:105" ht="11.45" customHeight="1" x14ac:dyDescent="0.25">
      <c r="A137" s="153" t="s">
        <v>180</v>
      </c>
      <c r="B137" s="154">
        <f t="shared" si="40"/>
        <v>3.2799380282083875E-3</v>
      </c>
      <c r="C137" s="154">
        <f t="shared" si="40"/>
        <v>3.523351559534987E-3</v>
      </c>
      <c r="D137" s="154">
        <f t="shared" si="40"/>
        <v>3.8284804463739061E-3</v>
      </c>
      <c r="E137" s="154">
        <f t="shared" si="40"/>
        <v>4.0109001689103306E-3</v>
      </c>
      <c r="F137" s="154">
        <f t="shared" si="40"/>
        <v>4.1356960521555667E-3</v>
      </c>
      <c r="G137" s="154">
        <f t="shared" si="40"/>
        <v>4.3695058505564353E-3</v>
      </c>
      <c r="H137" s="154">
        <f t="shared" si="40"/>
        <v>4.6121633420770757E-3</v>
      </c>
      <c r="I137" s="154">
        <f t="shared" si="40"/>
        <v>4.9746561495546907E-3</v>
      </c>
      <c r="J137" s="154">
        <f t="shared" si="40"/>
        <v>4.8425474218268252E-3</v>
      </c>
      <c r="K137" s="154">
        <f t="shared" si="40"/>
        <v>4.9094307410429373E-3</v>
      </c>
      <c r="L137" s="154">
        <f t="shared" si="41"/>
        <v>4.4714436003442139E-3</v>
      </c>
      <c r="M137" s="154">
        <f t="shared" si="40"/>
        <v>4.4324173699772079E-3</v>
      </c>
      <c r="N137" s="154">
        <f t="shared" si="40"/>
        <v>3.9608381792236164E-3</v>
      </c>
      <c r="O137" s="154">
        <f t="shared" si="40"/>
        <v>4.5066151927288783E-3</v>
      </c>
      <c r="P137" s="154">
        <f t="shared" si="40"/>
        <v>4.5164950898484079E-3</v>
      </c>
      <c r="Q137" s="154">
        <f t="shared" si="40"/>
        <v>4.5326450759558476E-3</v>
      </c>
      <c r="R137" s="154">
        <f t="shared" si="40"/>
        <v>4.9862646026368005E-3</v>
      </c>
      <c r="S137" s="154">
        <f t="shared" si="40"/>
        <v>4.7776116884780933E-3</v>
      </c>
      <c r="T137" s="154">
        <f t="shared" si="40"/>
        <v>4.6825731356673079E-3</v>
      </c>
      <c r="U137" s="154">
        <f t="shared" si="40"/>
        <v>4.960712857742057E-3</v>
      </c>
      <c r="V137" s="154">
        <f t="shared" si="40"/>
        <v>4.6380915174419907E-3</v>
      </c>
      <c r="W137" s="154">
        <f t="shared" si="42"/>
        <v>4.3881751233242582E-3</v>
      </c>
      <c r="DA137" s="212"/>
    </row>
    <row r="138" spans="1:105" ht="11.45" customHeight="1" x14ac:dyDescent="0.25">
      <c r="A138" s="155" t="s">
        <v>20</v>
      </c>
      <c r="B138" s="156">
        <f t="shared" si="40"/>
        <v>0.64570762556208305</v>
      </c>
      <c r="C138" s="156">
        <f t="shared" si="40"/>
        <v>0.64006252785120776</v>
      </c>
      <c r="D138" s="156">
        <f t="shared" si="40"/>
        <v>0.64687665097226899</v>
      </c>
      <c r="E138" s="156">
        <f t="shared" si="40"/>
        <v>0.63923606090913021</v>
      </c>
      <c r="F138" s="156">
        <f t="shared" si="40"/>
        <v>0.62038385618596514</v>
      </c>
      <c r="G138" s="156">
        <f t="shared" si="40"/>
        <v>0.62433287985687491</v>
      </c>
      <c r="H138" s="156">
        <f t="shared" si="40"/>
        <v>0.6164854243211767</v>
      </c>
      <c r="I138" s="156">
        <f t="shared" si="40"/>
        <v>0.62164213782016009</v>
      </c>
      <c r="J138" s="156">
        <f t="shared" si="40"/>
        <v>0.61748556477872285</v>
      </c>
      <c r="K138" s="156">
        <f t="shared" si="40"/>
        <v>0.63956739582124533</v>
      </c>
      <c r="L138" s="156">
        <f t="shared" si="41"/>
        <v>0.62630838028166202</v>
      </c>
      <c r="M138" s="156">
        <f t="shared" si="40"/>
        <v>0.63192680314797356</v>
      </c>
      <c r="N138" s="156">
        <f t="shared" si="40"/>
        <v>0.64793340625373053</v>
      </c>
      <c r="O138" s="156">
        <f t="shared" si="40"/>
        <v>0.65825042502551023</v>
      </c>
      <c r="P138" s="156">
        <f t="shared" si="40"/>
        <v>0.66938933475196427</v>
      </c>
      <c r="Q138" s="156">
        <f t="shared" si="40"/>
        <v>0.67946907208932139</v>
      </c>
      <c r="R138" s="156">
        <f t="shared" si="40"/>
        <v>0.69792305895035622</v>
      </c>
      <c r="S138" s="156">
        <f t="shared" si="40"/>
        <v>0.69912502769307017</v>
      </c>
      <c r="T138" s="156">
        <f t="shared" si="40"/>
        <v>0.70669939160531192</v>
      </c>
      <c r="U138" s="156">
        <f t="shared" si="40"/>
        <v>0.70014707371488116</v>
      </c>
      <c r="V138" s="156">
        <f t="shared" si="40"/>
        <v>0.67998074658812446</v>
      </c>
      <c r="W138" s="156">
        <f t="shared" si="42"/>
        <v>0.67701992061390259</v>
      </c>
      <c r="DA138" s="213"/>
    </row>
    <row r="139" spans="1:105" ht="11.45" customHeight="1" x14ac:dyDescent="0.25">
      <c r="A139" s="157" t="s">
        <v>110</v>
      </c>
      <c r="B139" s="103">
        <f t="shared" si="40"/>
        <v>0.57982726831647358</v>
      </c>
      <c r="C139" s="103">
        <f t="shared" si="40"/>
        <v>0.57755018457406537</v>
      </c>
      <c r="D139" s="103">
        <f t="shared" si="40"/>
        <v>0.58421486467146289</v>
      </c>
      <c r="E139" s="103">
        <f t="shared" si="40"/>
        <v>0.57463477258148787</v>
      </c>
      <c r="F139" s="103">
        <f t="shared" si="40"/>
        <v>0.55353495400108899</v>
      </c>
      <c r="G139" s="103">
        <f t="shared" si="40"/>
        <v>0.55304186245496934</v>
      </c>
      <c r="H139" s="103">
        <f t="shared" si="40"/>
        <v>0.53471495976213834</v>
      </c>
      <c r="I139" s="103">
        <f t="shared" si="40"/>
        <v>0.51871953065002763</v>
      </c>
      <c r="J139" s="103">
        <f t="shared" si="40"/>
        <v>0.49812458181968378</v>
      </c>
      <c r="K139" s="103">
        <f t="shared" si="40"/>
        <v>0.49966674570059966</v>
      </c>
      <c r="L139" s="103">
        <f t="shared" si="41"/>
        <v>0.45979685365421374</v>
      </c>
      <c r="M139" s="103">
        <f t="shared" si="40"/>
        <v>0.4322871834692254</v>
      </c>
      <c r="N139" s="103">
        <f t="shared" si="40"/>
        <v>0.41630068187491859</v>
      </c>
      <c r="O139" s="103">
        <f t="shared" si="40"/>
        <v>0.40415712122511316</v>
      </c>
      <c r="P139" s="103">
        <f t="shared" si="40"/>
        <v>0.39784992118322959</v>
      </c>
      <c r="Q139" s="103">
        <f t="shared" si="40"/>
        <v>0.38515156728502808</v>
      </c>
      <c r="R139" s="103">
        <f t="shared" si="40"/>
        <v>0.38762413781654254</v>
      </c>
      <c r="S139" s="103">
        <f t="shared" si="40"/>
        <v>0.37958349633683064</v>
      </c>
      <c r="T139" s="103">
        <f t="shared" si="40"/>
        <v>0.37408202716773475</v>
      </c>
      <c r="U139" s="103">
        <f t="shared" si="40"/>
        <v>0.36435844286974134</v>
      </c>
      <c r="V139" s="103">
        <f t="shared" si="40"/>
        <v>0.35041267845338359</v>
      </c>
      <c r="W139" s="103">
        <f t="shared" si="42"/>
        <v>0.35772938192979065</v>
      </c>
      <c r="DA139" s="191"/>
    </row>
    <row r="140" spans="1:105" ht="11.45" customHeight="1" x14ac:dyDescent="0.25">
      <c r="A140" s="157" t="s">
        <v>111</v>
      </c>
      <c r="B140" s="103">
        <f t="shared" si="40"/>
        <v>6.5880357245609547E-2</v>
      </c>
      <c r="C140" s="103">
        <f t="shared" si="40"/>
        <v>6.2512343277142376E-2</v>
      </c>
      <c r="D140" s="103">
        <f t="shared" si="40"/>
        <v>6.2488458663169696E-2</v>
      </c>
      <c r="E140" s="103">
        <f t="shared" si="40"/>
        <v>6.4261822609733496E-2</v>
      </c>
      <c r="F140" s="103">
        <f t="shared" si="40"/>
        <v>6.6332446229788469E-2</v>
      </c>
      <c r="G140" s="103">
        <f t="shared" si="40"/>
        <v>7.0403649743401422E-2</v>
      </c>
      <c r="H140" s="103">
        <f t="shared" si="40"/>
        <v>8.0912574129345147E-2</v>
      </c>
      <c r="I140" s="103">
        <f t="shared" si="40"/>
        <v>0.10187079036816417</v>
      </c>
      <c r="J140" s="103">
        <f t="shared" si="40"/>
        <v>0.11868699110872553</v>
      </c>
      <c r="K140" s="103">
        <f t="shared" si="40"/>
        <v>0.13921021145685919</v>
      </c>
      <c r="L140" s="103">
        <f t="shared" si="41"/>
        <v>0.16507494234879946</v>
      </c>
      <c r="M140" s="103">
        <f t="shared" si="40"/>
        <v>0.19825124258836441</v>
      </c>
      <c r="N140" s="103">
        <f t="shared" si="40"/>
        <v>0.22975002992780419</v>
      </c>
      <c r="O140" s="103">
        <f t="shared" si="40"/>
        <v>0.25212505547526048</v>
      </c>
      <c r="P140" s="103">
        <f t="shared" si="40"/>
        <v>0.26935160176687928</v>
      </c>
      <c r="Q140" s="103">
        <f t="shared" si="40"/>
        <v>0.29216820315732711</v>
      </c>
      <c r="R140" s="103">
        <f t="shared" si="40"/>
        <v>0.30760410764045393</v>
      </c>
      <c r="S140" s="103">
        <f t="shared" si="40"/>
        <v>0.31757824249551125</v>
      </c>
      <c r="T140" s="103">
        <f t="shared" si="40"/>
        <v>0.33004681461002178</v>
      </c>
      <c r="U140" s="103">
        <f t="shared" si="40"/>
        <v>0.33286919234785262</v>
      </c>
      <c r="V140" s="103">
        <f t="shared" si="40"/>
        <v>0.32481799449521764</v>
      </c>
      <c r="W140" s="103">
        <f t="shared" si="42"/>
        <v>0.31236805990021166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0</v>
      </c>
      <c r="E141" s="103">
        <f t="shared" si="40"/>
        <v>0</v>
      </c>
      <c r="F141" s="103">
        <f t="shared" si="40"/>
        <v>0</v>
      </c>
      <c r="G141" s="103">
        <f t="shared" si="40"/>
        <v>1.0868864030016204E-4</v>
      </c>
      <c r="H141" s="103">
        <f t="shared" si="40"/>
        <v>8.0273233171226192E-5</v>
      </c>
      <c r="I141" s="103">
        <f t="shared" si="40"/>
        <v>1.710983465762002E-4</v>
      </c>
      <c r="J141" s="103">
        <f t="shared" si="40"/>
        <v>1.1180820735463064E-4</v>
      </c>
      <c r="K141" s="103">
        <f t="shared" si="40"/>
        <v>1.4129835999757189E-4</v>
      </c>
      <c r="L141" s="103">
        <f t="shared" si="41"/>
        <v>1.4631099735476998E-4</v>
      </c>
      <c r="M141" s="103">
        <f t="shared" si="40"/>
        <v>1.3820244782694109E-4</v>
      </c>
      <c r="N141" s="103">
        <f t="shared" si="40"/>
        <v>9.0645133877744892E-5</v>
      </c>
      <c r="O141" s="103">
        <f t="shared" si="40"/>
        <v>4.8722692267255698E-5</v>
      </c>
      <c r="P141" s="103">
        <f t="shared" si="40"/>
        <v>5.8728104183339077E-5</v>
      </c>
      <c r="Q141" s="103">
        <f t="shared" si="40"/>
        <v>3.2675865170595338E-4</v>
      </c>
      <c r="R141" s="103">
        <f t="shared" si="40"/>
        <v>1.2084299807476421E-4</v>
      </c>
      <c r="S141" s="103">
        <f t="shared" si="40"/>
        <v>0</v>
      </c>
      <c r="T141" s="103">
        <f t="shared" si="40"/>
        <v>0</v>
      </c>
      <c r="U141" s="103">
        <f t="shared" si="40"/>
        <v>0</v>
      </c>
      <c r="V141" s="103">
        <f t="shared" si="40"/>
        <v>0</v>
      </c>
      <c r="W141" s="103">
        <f t="shared" si="42"/>
        <v>0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1.7332763763641416E-4</v>
      </c>
      <c r="E142" s="103">
        <f t="shared" si="40"/>
        <v>3.3946571790893033E-4</v>
      </c>
      <c r="F142" s="103">
        <f t="shared" si="40"/>
        <v>5.1645595508773446E-4</v>
      </c>
      <c r="G142" s="103">
        <f t="shared" si="40"/>
        <v>7.7867901820400189E-4</v>
      </c>
      <c r="H142" s="103">
        <f t="shared" si="40"/>
        <v>7.7761719652215443E-4</v>
      </c>
      <c r="I142" s="103">
        <f t="shared" si="40"/>
        <v>8.8071845539211286E-4</v>
      </c>
      <c r="J142" s="103">
        <f t="shared" si="40"/>
        <v>5.5589644500504774E-4</v>
      </c>
      <c r="K142" s="103">
        <f t="shared" si="40"/>
        <v>5.4138578301245026E-4</v>
      </c>
      <c r="L142" s="103">
        <f t="shared" si="41"/>
        <v>1.2816133808682525E-3</v>
      </c>
      <c r="M142" s="103">
        <f t="shared" si="40"/>
        <v>1.2352596245749474E-3</v>
      </c>
      <c r="N142" s="103">
        <f t="shared" si="40"/>
        <v>1.7551124871131422E-3</v>
      </c>
      <c r="O142" s="103">
        <f t="shared" si="40"/>
        <v>1.8649536742863342E-3</v>
      </c>
      <c r="P142" s="103">
        <f t="shared" si="40"/>
        <v>1.950513030583122E-3</v>
      </c>
      <c r="Q142" s="103">
        <f t="shared" si="40"/>
        <v>1.477227604271106E-3</v>
      </c>
      <c r="R142" s="103">
        <f t="shared" si="40"/>
        <v>1.8722347131540328E-3</v>
      </c>
      <c r="S142" s="103">
        <f t="shared" si="40"/>
        <v>7.4050080509626564E-4</v>
      </c>
      <c r="T142" s="103">
        <f t="shared" si="40"/>
        <v>6.1387106381668424E-4</v>
      </c>
      <c r="U142" s="103">
        <f t="shared" si="40"/>
        <v>5.2775239189139329E-4</v>
      </c>
      <c r="V142" s="103">
        <f t="shared" si="40"/>
        <v>5.8287267536532509E-4</v>
      </c>
      <c r="W142" s="103">
        <f t="shared" si="42"/>
        <v>6.818588419303112E-4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6.2871979537842909E-6</v>
      </c>
      <c r="K143" s="103">
        <f t="shared" si="40"/>
        <v>7.7545207764694867E-6</v>
      </c>
      <c r="L143" s="103">
        <f t="shared" si="41"/>
        <v>8.6599004258157275E-6</v>
      </c>
      <c r="M143" s="103">
        <f t="shared" si="40"/>
        <v>1.4915017981857979E-5</v>
      </c>
      <c r="N143" s="103">
        <f t="shared" si="40"/>
        <v>3.6936830016853025E-5</v>
      </c>
      <c r="O143" s="103">
        <f t="shared" si="40"/>
        <v>5.4571958582929427E-5</v>
      </c>
      <c r="P143" s="103">
        <f t="shared" si="40"/>
        <v>1.7857066708889274E-4</v>
      </c>
      <c r="Q143" s="103">
        <f t="shared" si="40"/>
        <v>3.4531539098900778E-4</v>
      </c>
      <c r="R143" s="103">
        <f t="shared" si="40"/>
        <v>7.0173578213101988E-4</v>
      </c>
      <c r="S143" s="103">
        <f t="shared" si="40"/>
        <v>1.2227880556320114E-3</v>
      </c>
      <c r="T143" s="103">
        <f t="shared" si="40"/>
        <v>1.9566787637386933E-3</v>
      </c>
      <c r="U143" s="103">
        <f t="shared" si="40"/>
        <v>2.3916861053957321E-3</v>
      </c>
      <c r="V143" s="103">
        <f t="shared" si="40"/>
        <v>4.1672009641578415E-3</v>
      </c>
      <c r="W143" s="103">
        <f t="shared" si="42"/>
        <v>6.2406199419699345E-3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9.4877775977427581E-2</v>
      </c>
      <c r="C145" s="156">
        <f t="shared" si="40"/>
        <v>9.2037334443975369E-2</v>
      </c>
      <c r="D145" s="156">
        <f t="shared" si="40"/>
        <v>8.8383073619602917E-2</v>
      </c>
      <c r="E145" s="156">
        <f t="shared" si="40"/>
        <v>8.8223012266959194E-2</v>
      </c>
      <c r="F145" s="156">
        <f t="shared" si="40"/>
        <v>8.5275335152292159E-2</v>
      </c>
      <c r="G145" s="156">
        <f t="shared" si="40"/>
        <v>7.986690487703707E-2</v>
      </c>
      <c r="H145" s="156">
        <f t="shared" si="40"/>
        <v>8.1773266263209937E-2</v>
      </c>
      <c r="I145" s="156">
        <f t="shared" si="40"/>
        <v>7.6408676046461926E-2</v>
      </c>
      <c r="J145" s="156">
        <f t="shared" si="40"/>
        <v>7.4954503189852861E-2</v>
      </c>
      <c r="K145" s="156">
        <f t="shared" si="40"/>
        <v>7.2601559835881194E-2</v>
      </c>
      <c r="L145" s="156">
        <f t="shared" si="41"/>
        <v>7.4651960261780975E-2</v>
      </c>
      <c r="M145" s="156">
        <f t="shared" si="40"/>
        <v>7.370101353572972E-2</v>
      </c>
      <c r="N145" s="156">
        <f t="shared" si="40"/>
        <v>7.6341527232163198E-2</v>
      </c>
      <c r="O145" s="156">
        <f t="shared" si="40"/>
        <v>7.2809507325007017E-2</v>
      </c>
      <c r="P145" s="156">
        <f t="shared" si="40"/>
        <v>6.6797669672710822E-2</v>
      </c>
      <c r="Q145" s="156">
        <f t="shared" si="40"/>
        <v>6.3694715805467261E-2</v>
      </c>
      <c r="R145" s="156">
        <f t="shared" si="40"/>
        <v>6.216555340421228E-2</v>
      </c>
      <c r="S145" s="156">
        <f t="shared" si="40"/>
        <v>5.9491966913626994E-2</v>
      </c>
      <c r="T145" s="156">
        <f t="shared" si="40"/>
        <v>5.9734019712797924E-2</v>
      </c>
      <c r="U145" s="156">
        <f t="shared" si="40"/>
        <v>6.0816601560650392E-2</v>
      </c>
      <c r="V145" s="156">
        <f t="shared" si="40"/>
        <v>5.7069436831751655E-2</v>
      </c>
      <c r="W145" s="156">
        <f t="shared" si="42"/>
        <v>5.4375974314859056E-2</v>
      </c>
      <c r="DA145" s="213"/>
    </row>
    <row r="146" spans="1:105" ht="11.45" customHeight="1" x14ac:dyDescent="0.25">
      <c r="A146" s="157" t="s">
        <v>110</v>
      </c>
      <c r="B146" s="103">
        <f t="shared" si="40"/>
        <v>9.2186667726192517E-4</v>
      </c>
      <c r="C146" s="103">
        <f t="shared" si="40"/>
        <v>7.5901324651884115E-4</v>
      </c>
      <c r="D146" s="103">
        <f t="shared" si="40"/>
        <v>6.0943961154451796E-4</v>
      </c>
      <c r="E146" s="103">
        <f t="shared" si="40"/>
        <v>4.7095350598210255E-4</v>
      </c>
      <c r="F146" s="103">
        <f t="shared" si="40"/>
        <v>3.4272246929635254E-4</v>
      </c>
      <c r="G146" s="103">
        <f t="shared" si="40"/>
        <v>2.53798154203671E-4</v>
      </c>
      <c r="H146" s="103">
        <f t="shared" si="40"/>
        <v>2.0509493356184457E-4</v>
      </c>
      <c r="I146" s="103">
        <f t="shared" si="40"/>
        <v>1.678416868539043E-4</v>
      </c>
      <c r="J146" s="103">
        <f t="shared" si="40"/>
        <v>1.3724988318329273E-4</v>
      </c>
      <c r="K146" s="103">
        <f t="shared" si="40"/>
        <v>1.2635954785470611E-4</v>
      </c>
      <c r="L146" s="103">
        <f t="shared" si="41"/>
        <v>4.741697877364256E-5</v>
      </c>
      <c r="M146" s="103">
        <f t="shared" si="40"/>
        <v>7.951206843707184E-5</v>
      </c>
      <c r="N146" s="103">
        <f t="shared" si="40"/>
        <v>6.8611903814009783E-5</v>
      </c>
      <c r="O146" s="103">
        <f t="shared" si="40"/>
        <v>6.9499265637706987E-5</v>
      </c>
      <c r="P146" s="103">
        <f t="shared" si="40"/>
        <v>6.619554856096877E-5</v>
      </c>
      <c r="Q146" s="103">
        <f t="shared" si="40"/>
        <v>6.1431524004197091E-5</v>
      </c>
      <c r="R146" s="103">
        <f t="shared" si="40"/>
        <v>7.0501656040707484E-5</v>
      </c>
      <c r="S146" s="103">
        <f t="shared" si="40"/>
        <v>6.8385757305532212E-5</v>
      </c>
      <c r="T146" s="103">
        <f t="shared" si="40"/>
        <v>6.9168970802099163E-5</v>
      </c>
      <c r="U146" s="103">
        <f t="shared" si="40"/>
        <v>6.1968534263764482E-5</v>
      </c>
      <c r="V146" s="103">
        <f t="shared" si="40"/>
        <v>6.3690887055602334E-5</v>
      </c>
      <c r="W146" s="103">
        <f t="shared" si="42"/>
        <v>5.5899058893744388E-5</v>
      </c>
      <c r="DA146" s="191"/>
    </row>
    <row r="147" spans="1:105" ht="11.45" customHeight="1" x14ac:dyDescent="0.25">
      <c r="A147" s="157" t="s">
        <v>111</v>
      </c>
      <c r="B147" s="103">
        <f t="shared" si="40"/>
        <v>9.2769906666980317E-2</v>
      </c>
      <c r="C147" s="103">
        <f t="shared" si="40"/>
        <v>9.0070068943526246E-2</v>
      </c>
      <c r="D147" s="103">
        <f t="shared" si="40"/>
        <v>8.6559785321437502E-2</v>
      </c>
      <c r="E147" s="103">
        <f t="shared" si="40"/>
        <v>8.6102634009903145E-2</v>
      </c>
      <c r="F147" s="103">
        <f t="shared" si="40"/>
        <v>8.3732382874151745E-2</v>
      </c>
      <c r="G147" s="103">
        <f t="shared" si="40"/>
        <v>7.8596186590892597E-2</v>
      </c>
      <c r="H147" s="103">
        <f t="shared" si="40"/>
        <v>7.9739204079659898E-2</v>
      </c>
      <c r="I147" s="103">
        <f t="shared" si="40"/>
        <v>7.4487736975136762E-2</v>
      </c>
      <c r="J147" s="103">
        <f t="shared" si="40"/>
        <v>7.2600459886426397E-2</v>
      </c>
      <c r="K147" s="103">
        <f t="shared" si="40"/>
        <v>7.0598025953654484E-2</v>
      </c>
      <c r="L147" s="103">
        <f t="shared" si="41"/>
        <v>7.2248692897379868E-2</v>
      </c>
      <c r="M147" s="103">
        <f t="shared" si="40"/>
        <v>6.9784590486896933E-2</v>
      </c>
      <c r="N147" s="103">
        <f t="shared" si="40"/>
        <v>7.1423458321336036E-2</v>
      </c>
      <c r="O147" s="103">
        <f t="shared" si="40"/>
        <v>6.7848456421535197E-2</v>
      </c>
      <c r="P147" s="103">
        <f t="shared" si="40"/>
        <v>6.2021435709051588E-2</v>
      </c>
      <c r="Q147" s="103">
        <f t="shared" si="40"/>
        <v>6.0613271700697476E-2</v>
      </c>
      <c r="R147" s="103">
        <f t="shared" ref="R147:V147" si="43">IF(R29=0,0,R29/R$17)</f>
        <v>5.8953473991470648E-2</v>
      </c>
      <c r="S147" s="103">
        <f t="shared" si="43"/>
        <v>5.8292359948182007E-2</v>
      </c>
      <c r="T147" s="103">
        <f t="shared" si="43"/>
        <v>5.8614552728645415E-2</v>
      </c>
      <c r="U147" s="103">
        <f t="shared" si="43"/>
        <v>6.0043322781757669E-2</v>
      </c>
      <c r="V147" s="103">
        <f t="shared" si="43"/>
        <v>5.6284386073117185E-2</v>
      </c>
      <c r="W147" s="103">
        <f t="shared" ref="W147" si="44">IF(W29=0,0,W29/W$17)</f>
        <v>5.3590855943759889E-2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1.1860026331853412E-3</v>
      </c>
      <c r="C149" s="103">
        <f t="shared" si="49"/>
        <v>1.2082522539302884E-3</v>
      </c>
      <c r="D149" s="103">
        <f t="shared" si="49"/>
        <v>1.2138486866208936E-3</v>
      </c>
      <c r="E149" s="103">
        <f t="shared" si="49"/>
        <v>1.6494247510739494E-3</v>
      </c>
      <c r="F149" s="103">
        <f t="shared" si="49"/>
        <v>1.2002298088440574E-3</v>
      </c>
      <c r="G149" s="103">
        <f t="shared" si="49"/>
        <v>1.0169201319408091E-3</v>
      </c>
      <c r="H149" s="103">
        <f t="shared" si="49"/>
        <v>1.8289672499881987E-3</v>
      </c>
      <c r="I149" s="103">
        <f t="shared" si="49"/>
        <v>1.7530973844712453E-3</v>
      </c>
      <c r="J149" s="103">
        <f t="shared" si="49"/>
        <v>2.2167934202431687E-3</v>
      </c>
      <c r="K149" s="103">
        <f t="shared" si="49"/>
        <v>1.8771743343719994E-3</v>
      </c>
      <c r="L149" s="103">
        <f t="shared" si="46"/>
        <v>2.3558503856274705E-3</v>
      </c>
      <c r="M149" s="103">
        <f t="shared" ref="M149:V149" si="50">IF(M31=0,0,M31/M$17)</f>
        <v>3.8369109803957136E-3</v>
      </c>
      <c r="N149" s="103">
        <f t="shared" si="50"/>
        <v>4.8494570070131485E-3</v>
      </c>
      <c r="O149" s="103">
        <f t="shared" si="50"/>
        <v>4.8915516378341024E-3</v>
      </c>
      <c r="P149" s="103">
        <f t="shared" si="50"/>
        <v>4.7100384150982636E-3</v>
      </c>
      <c r="Q149" s="103">
        <f t="shared" si="50"/>
        <v>3.0200125807655965E-3</v>
      </c>
      <c r="R149" s="103">
        <f t="shared" si="50"/>
        <v>3.1415777567009215E-3</v>
      </c>
      <c r="S149" s="103">
        <f t="shared" si="50"/>
        <v>1.1312212081394468E-3</v>
      </c>
      <c r="T149" s="103">
        <f t="shared" si="50"/>
        <v>1.0502980133504144E-3</v>
      </c>
      <c r="U149" s="103">
        <f t="shared" si="50"/>
        <v>7.1131024462896069E-4</v>
      </c>
      <c r="V149" s="103">
        <f t="shared" si="50"/>
        <v>7.2135987157886743E-4</v>
      </c>
      <c r="W149" s="103">
        <f t="shared" ref="W149" si="51">IF(W31=0,0,W31/W$17)</f>
        <v>7.2921931220542094E-4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0.256134660432281</v>
      </c>
      <c r="C151" s="46">
        <f t="shared" si="55"/>
        <v>0.26437678614528198</v>
      </c>
      <c r="D151" s="46">
        <f t="shared" si="55"/>
        <v>0.26091179496175426</v>
      </c>
      <c r="E151" s="46">
        <f t="shared" si="55"/>
        <v>0.26853002665500014</v>
      </c>
      <c r="F151" s="46">
        <f t="shared" si="55"/>
        <v>0.29020511260958726</v>
      </c>
      <c r="G151" s="46">
        <f t="shared" si="55"/>
        <v>0.29143070941553162</v>
      </c>
      <c r="H151" s="46">
        <f t="shared" si="55"/>
        <v>0.29712914607353635</v>
      </c>
      <c r="I151" s="46">
        <f t="shared" si="55"/>
        <v>0.29697452998382329</v>
      </c>
      <c r="J151" s="46">
        <f t="shared" si="55"/>
        <v>0.30271738460959752</v>
      </c>
      <c r="K151" s="46">
        <f t="shared" si="55"/>
        <v>0.2829216136018306</v>
      </c>
      <c r="L151" s="46">
        <f t="shared" ref="L151" si="56">IF(L33=0,0,L33/L$17)</f>
        <v>0.29456821585621279</v>
      </c>
      <c r="M151" s="46">
        <f t="shared" ref="M151:V151" si="57">IF(M33=0,0,M33/M$17)</f>
        <v>0.28993976594631948</v>
      </c>
      <c r="N151" s="46">
        <f t="shared" si="57"/>
        <v>0.27176422833488273</v>
      </c>
      <c r="O151" s="46">
        <f t="shared" si="57"/>
        <v>0.26443345245675393</v>
      </c>
      <c r="P151" s="46">
        <f t="shared" si="57"/>
        <v>0.25929650048547659</v>
      </c>
      <c r="Q151" s="46">
        <f t="shared" si="57"/>
        <v>0.25230356702925544</v>
      </c>
      <c r="R151" s="46">
        <f t="shared" si="57"/>
        <v>0.23492512304279481</v>
      </c>
      <c r="S151" s="46">
        <f t="shared" si="57"/>
        <v>0.2366053937048247</v>
      </c>
      <c r="T151" s="46">
        <f t="shared" si="57"/>
        <v>0.2288840155462229</v>
      </c>
      <c r="U151" s="46">
        <f t="shared" si="57"/>
        <v>0.23407561186672632</v>
      </c>
      <c r="V151" s="46">
        <f t="shared" si="57"/>
        <v>0.2583117250626818</v>
      </c>
      <c r="W151" s="46">
        <f t="shared" ref="W151" si="58">IF(W33=0,0,W33/W$17)</f>
        <v>0.26421592994791415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5.9500425067538915E-2</v>
      </c>
      <c r="C152" s="154">
        <f t="shared" si="59"/>
        <v>6.6496251132495451E-2</v>
      </c>
      <c r="D152" s="154">
        <f t="shared" si="59"/>
        <v>6.8943449469257026E-2</v>
      </c>
      <c r="E152" s="154">
        <f t="shared" si="59"/>
        <v>7.4214777500198281E-2</v>
      </c>
      <c r="F152" s="154">
        <f t="shared" si="59"/>
        <v>8.1535818696723897E-2</v>
      </c>
      <c r="G152" s="154">
        <f t="shared" si="59"/>
        <v>7.7375125219349722E-2</v>
      </c>
      <c r="H152" s="154">
        <f t="shared" si="59"/>
        <v>8.2056997489821773E-2</v>
      </c>
      <c r="I152" s="154">
        <f t="shared" si="59"/>
        <v>8.27771780512776E-2</v>
      </c>
      <c r="J152" s="154">
        <f t="shared" si="59"/>
        <v>8.5262233573916962E-2</v>
      </c>
      <c r="K152" s="154">
        <f t="shared" si="59"/>
        <v>8.5818453192839164E-2</v>
      </c>
      <c r="L152" s="154">
        <f t="shared" ref="L152" si="60">IF(L34=0,0,L34/L$17)</f>
        <v>9.0335143516783636E-2</v>
      </c>
      <c r="M152" s="154">
        <f t="shared" ref="M152:V152" si="61">IF(M34=0,0,M34/M$17)</f>
        <v>9.3162996923620067E-2</v>
      </c>
      <c r="N152" s="154">
        <f t="shared" si="61"/>
        <v>9.3049902754948483E-2</v>
      </c>
      <c r="O152" s="154">
        <f t="shared" si="61"/>
        <v>9.1823350238838655E-2</v>
      </c>
      <c r="P152" s="154">
        <f t="shared" si="61"/>
        <v>8.7375058097262606E-2</v>
      </c>
      <c r="Q152" s="154">
        <f t="shared" si="61"/>
        <v>8.7818445236729423E-2</v>
      </c>
      <c r="R152" s="154">
        <f t="shared" si="61"/>
        <v>8.5241095086445687E-2</v>
      </c>
      <c r="S152" s="154">
        <f t="shared" si="61"/>
        <v>8.8387111494199408E-2</v>
      </c>
      <c r="T152" s="154">
        <f t="shared" si="61"/>
        <v>8.6028735835807432E-2</v>
      </c>
      <c r="U152" s="154">
        <f t="shared" si="61"/>
        <v>8.8754146785688562E-2</v>
      </c>
      <c r="V152" s="154">
        <f t="shared" si="61"/>
        <v>9.5707562298679744E-2</v>
      </c>
      <c r="W152" s="154">
        <f t="shared" ref="W152" si="62">IF(W34=0,0,W34/W$17)</f>
        <v>9.4792591145437116E-2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2.35892081093288E-2</v>
      </c>
      <c r="C153" s="103">
        <f t="shared" si="63"/>
        <v>2.2894267810525049E-2</v>
      </c>
      <c r="D153" s="103">
        <f t="shared" si="63"/>
        <v>2.0776697866871634E-2</v>
      </c>
      <c r="E153" s="103">
        <f t="shared" si="63"/>
        <v>1.809327036048998E-2</v>
      </c>
      <c r="F153" s="103">
        <f t="shared" si="63"/>
        <v>1.5638409706379256E-2</v>
      </c>
      <c r="G153" s="103">
        <f t="shared" si="63"/>
        <v>1.5117182942717548E-2</v>
      </c>
      <c r="H153" s="103">
        <f t="shared" si="63"/>
        <v>1.3123818900249256E-2</v>
      </c>
      <c r="I153" s="103">
        <f t="shared" si="63"/>
        <v>1.1905479120556801E-2</v>
      </c>
      <c r="J153" s="103">
        <f t="shared" si="63"/>
        <v>1.0653219112255325E-2</v>
      </c>
      <c r="K153" s="103">
        <f t="shared" si="63"/>
        <v>9.9233764678909112E-3</v>
      </c>
      <c r="L153" s="103">
        <f t="shared" ref="L153" si="64">IF(L35=0,0,L35/L$17)</f>
        <v>8.5080299788211997E-3</v>
      </c>
      <c r="M153" s="103">
        <f t="shared" ref="M153:V153" si="65">IF(M35=0,0,M35/M$17)</f>
        <v>8.0224883861582021E-3</v>
      </c>
      <c r="N153" s="103">
        <f t="shared" si="65"/>
        <v>7.2735987144444967E-3</v>
      </c>
      <c r="O153" s="103">
        <f t="shared" si="65"/>
        <v>6.5029261202953848E-3</v>
      </c>
      <c r="P153" s="103">
        <f t="shared" si="65"/>
        <v>6.1272130601813168E-3</v>
      </c>
      <c r="Q153" s="103">
        <f t="shared" si="65"/>
        <v>5.8076136352141067E-3</v>
      </c>
      <c r="R153" s="103">
        <f t="shared" si="65"/>
        <v>5.0504505059876057E-3</v>
      </c>
      <c r="S153" s="103">
        <f t="shared" si="65"/>
        <v>4.500709686960703E-3</v>
      </c>
      <c r="T153" s="103">
        <f t="shared" si="65"/>
        <v>4.4547335696003701E-3</v>
      </c>
      <c r="U153" s="103">
        <f t="shared" si="65"/>
        <v>4.3647827860815742E-3</v>
      </c>
      <c r="V153" s="103">
        <f t="shared" si="65"/>
        <v>4.5992916376105461E-3</v>
      </c>
      <c r="W153" s="103">
        <f t="shared" ref="W153" si="66">IF(W35=0,0,W35/W$17)</f>
        <v>4.6927429426567155E-3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3.5911216958210118E-2</v>
      </c>
      <c r="C154" s="103">
        <f t="shared" si="67"/>
        <v>4.3601735918652747E-2</v>
      </c>
      <c r="D154" s="103">
        <f t="shared" si="67"/>
        <v>4.8165307388805347E-2</v>
      </c>
      <c r="E154" s="103">
        <f t="shared" si="67"/>
        <v>5.6117584322555904E-2</v>
      </c>
      <c r="F154" s="103">
        <f t="shared" si="67"/>
        <v>6.5891093401368811E-2</v>
      </c>
      <c r="G154" s="103">
        <f t="shared" si="67"/>
        <v>6.2245245956341753E-2</v>
      </c>
      <c r="H154" s="103">
        <f t="shared" si="67"/>
        <v>6.8901612562379436E-2</v>
      </c>
      <c r="I154" s="103">
        <f t="shared" si="67"/>
        <v>7.080530635877981E-2</v>
      </c>
      <c r="J154" s="103">
        <f t="shared" si="67"/>
        <v>7.4540625255641133E-2</v>
      </c>
      <c r="K154" s="103">
        <f t="shared" si="67"/>
        <v>7.5801272304962183E-2</v>
      </c>
      <c r="L154" s="103">
        <f t="shared" ref="L154" si="68">IF(L36=0,0,L36/L$17)</f>
        <v>8.1702270213290393E-2</v>
      </c>
      <c r="M154" s="103">
        <f t="shared" ref="M154:V154" si="69">IF(M36=0,0,M36/M$17)</f>
        <v>8.5046348821011003E-2</v>
      </c>
      <c r="N154" s="103">
        <f t="shared" si="69"/>
        <v>8.5645955762486528E-2</v>
      </c>
      <c r="O154" s="103">
        <f t="shared" si="69"/>
        <v>8.5182673990207264E-2</v>
      </c>
      <c r="P154" s="103">
        <f t="shared" si="69"/>
        <v>8.1107409104747438E-2</v>
      </c>
      <c r="Q154" s="103">
        <f t="shared" si="69"/>
        <v>8.1900733094080552E-2</v>
      </c>
      <c r="R154" s="103">
        <f t="shared" si="69"/>
        <v>8.0068206566906705E-2</v>
      </c>
      <c r="S154" s="103">
        <f t="shared" si="69"/>
        <v>8.3829819727773369E-2</v>
      </c>
      <c r="T154" s="103">
        <f t="shared" si="69"/>
        <v>8.1492685279094174E-2</v>
      </c>
      <c r="U154" s="103">
        <f t="shared" si="69"/>
        <v>8.4311473898437142E-2</v>
      </c>
      <c r="V154" s="103">
        <f t="shared" si="69"/>
        <v>9.101647058787779E-2</v>
      </c>
      <c r="W154" s="103">
        <f t="shared" ref="W154" si="70">IF(W36=0,0,W36/W$17)</f>
        <v>8.9988691529116593E-2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0</v>
      </c>
      <c r="T155" s="103">
        <f t="shared" si="73"/>
        <v>0</v>
      </c>
      <c r="U155" s="103">
        <f t="shared" si="73"/>
        <v>0</v>
      </c>
      <c r="V155" s="103">
        <f t="shared" si="73"/>
        <v>0</v>
      </c>
      <c r="W155" s="103">
        <f t="shared" ref="W155" si="74">IF(W37=0,0,W37/W$17)</f>
        <v>0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2.4740331766013562E-7</v>
      </c>
      <c r="D156" s="103">
        <f t="shared" si="75"/>
        <v>1.4442135800416624E-6</v>
      </c>
      <c r="E156" s="103">
        <f t="shared" si="75"/>
        <v>3.9228171523938232E-6</v>
      </c>
      <c r="F156" s="103">
        <f t="shared" si="75"/>
        <v>6.315588975825224E-6</v>
      </c>
      <c r="G156" s="103">
        <f t="shared" si="75"/>
        <v>1.2696320290413527E-5</v>
      </c>
      <c r="H156" s="103">
        <f t="shared" si="75"/>
        <v>3.1566027193070592E-5</v>
      </c>
      <c r="I156" s="103">
        <f t="shared" si="75"/>
        <v>6.6392571940992285E-5</v>
      </c>
      <c r="J156" s="103">
        <f t="shared" si="75"/>
        <v>6.8389206020508039E-5</v>
      </c>
      <c r="K156" s="103">
        <f t="shared" si="75"/>
        <v>9.3804419986072204E-5</v>
      </c>
      <c r="L156" s="103">
        <f t="shared" ref="L156" si="76">IF(L38=0,0,L38/L$17)</f>
        <v>1.2484332467203136E-4</v>
      </c>
      <c r="M156" s="103">
        <f t="shared" ref="M156:V156" si="77">IF(M38=0,0,M38/M$17)</f>
        <v>9.41597164508624E-5</v>
      </c>
      <c r="N156" s="103">
        <f t="shared" si="77"/>
        <v>1.303482780174592E-4</v>
      </c>
      <c r="O156" s="103">
        <f t="shared" si="77"/>
        <v>1.3775012833601745E-4</v>
      </c>
      <c r="P156" s="103">
        <f t="shared" si="77"/>
        <v>1.4043593233385547E-4</v>
      </c>
      <c r="Q156" s="103">
        <f t="shared" si="77"/>
        <v>1.1009850743475347E-4</v>
      </c>
      <c r="R156" s="103">
        <f t="shared" si="77"/>
        <v>1.2243801355137822E-4</v>
      </c>
      <c r="S156" s="103">
        <f t="shared" si="77"/>
        <v>5.6582079465338486E-5</v>
      </c>
      <c r="T156" s="103">
        <f t="shared" si="77"/>
        <v>8.1316987112882907E-5</v>
      </c>
      <c r="U156" s="103">
        <f t="shared" si="77"/>
        <v>7.7890101169840763E-5</v>
      </c>
      <c r="V156" s="103">
        <f t="shared" si="77"/>
        <v>9.1800073191399781E-5</v>
      </c>
      <c r="W156" s="103">
        <f t="shared" ref="W156" si="78">IF(W38=0,0,W38/W$17)</f>
        <v>1.1115667366381498E-4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0.19663423536474209</v>
      </c>
      <c r="C158" s="156">
        <f t="shared" si="83"/>
        <v>0.19788053501278649</v>
      </c>
      <c r="D158" s="156">
        <f t="shared" si="83"/>
        <v>0.19196834549249725</v>
      </c>
      <c r="E158" s="156">
        <f t="shared" si="83"/>
        <v>0.19431524915480186</v>
      </c>
      <c r="F158" s="156">
        <f t="shared" si="83"/>
        <v>0.20866929391286337</v>
      </c>
      <c r="G158" s="156">
        <f t="shared" si="83"/>
        <v>0.2140555841961819</v>
      </c>
      <c r="H158" s="156">
        <f t="shared" si="83"/>
        <v>0.2150721485837146</v>
      </c>
      <c r="I158" s="156">
        <f t="shared" si="83"/>
        <v>0.21419735193254569</v>
      </c>
      <c r="J158" s="156">
        <f t="shared" si="83"/>
        <v>0.21745515103568056</v>
      </c>
      <c r="K158" s="156">
        <f t="shared" si="83"/>
        <v>0.19710316040899142</v>
      </c>
      <c r="L158" s="156">
        <f t="shared" ref="L158" si="84">IF(L40=0,0,L40/L$17)</f>
        <v>0.20423307233942914</v>
      </c>
      <c r="M158" s="156">
        <f t="shared" ref="M158:V158" si="85">IF(M40=0,0,M40/M$17)</f>
        <v>0.19677676902269939</v>
      </c>
      <c r="N158" s="156">
        <f t="shared" si="85"/>
        <v>0.17871432557993422</v>
      </c>
      <c r="O158" s="156">
        <f t="shared" si="85"/>
        <v>0.17261010221791523</v>
      </c>
      <c r="P158" s="156">
        <f t="shared" si="85"/>
        <v>0.17192144238821397</v>
      </c>
      <c r="Q158" s="156">
        <f t="shared" si="85"/>
        <v>0.164485121792526</v>
      </c>
      <c r="R158" s="156">
        <f t="shared" si="85"/>
        <v>0.14968402795634916</v>
      </c>
      <c r="S158" s="156">
        <f t="shared" si="85"/>
        <v>0.14821828221062527</v>
      </c>
      <c r="T158" s="156">
        <f t="shared" si="85"/>
        <v>0.14285527971041545</v>
      </c>
      <c r="U158" s="156">
        <f t="shared" si="85"/>
        <v>0.14532146508103777</v>
      </c>
      <c r="V158" s="156">
        <f t="shared" si="85"/>
        <v>0.16260416276400208</v>
      </c>
      <c r="W158" s="156">
        <f t="shared" ref="W158" si="86">IF(W40=0,0,W40/W$17)</f>
        <v>0.16942333880247706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0.15612836248718015</v>
      </c>
      <c r="C159" s="103">
        <f t="shared" si="87"/>
        <v>0.15461765589741189</v>
      </c>
      <c r="D159" s="103">
        <f t="shared" si="87"/>
        <v>0.14904685718571664</v>
      </c>
      <c r="E159" s="103">
        <f t="shared" si="87"/>
        <v>0.14936108621138258</v>
      </c>
      <c r="F159" s="103">
        <f t="shared" si="87"/>
        <v>0.15509814122687515</v>
      </c>
      <c r="G159" s="103">
        <f t="shared" si="87"/>
        <v>0.16097312787501264</v>
      </c>
      <c r="H159" s="103">
        <f t="shared" si="87"/>
        <v>0.15858481807053434</v>
      </c>
      <c r="I159" s="103">
        <f t="shared" si="87"/>
        <v>0.15935775333775098</v>
      </c>
      <c r="J159" s="103">
        <f t="shared" si="87"/>
        <v>0.16470626351431056</v>
      </c>
      <c r="K159" s="103">
        <f t="shared" si="87"/>
        <v>0.15445481800267585</v>
      </c>
      <c r="L159" s="103">
        <f t="shared" ref="L159" si="88">IF(L41=0,0,L41/L$17)</f>
        <v>0.15773928842313584</v>
      </c>
      <c r="M159" s="103">
        <f t="shared" ref="M159:V159" si="89">IF(M41=0,0,M41/M$17)</f>
        <v>0.15144711562088636</v>
      </c>
      <c r="N159" s="103">
        <f t="shared" si="89"/>
        <v>0.1357506310081929</v>
      </c>
      <c r="O159" s="103">
        <f t="shared" si="89"/>
        <v>0.12651849471156737</v>
      </c>
      <c r="P159" s="103">
        <f t="shared" si="89"/>
        <v>0.13479976460907606</v>
      </c>
      <c r="Q159" s="103">
        <f t="shared" si="89"/>
        <v>0.12493544702626876</v>
      </c>
      <c r="R159" s="103">
        <f t="shared" si="89"/>
        <v>0.11175730676268969</v>
      </c>
      <c r="S159" s="103">
        <f t="shared" si="89"/>
        <v>0.11110534190334506</v>
      </c>
      <c r="T159" s="103">
        <f t="shared" si="89"/>
        <v>0.1074119123463818</v>
      </c>
      <c r="U159" s="103">
        <f t="shared" si="89"/>
        <v>0.11040272422481902</v>
      </c>
      <c r="V159" s="103">
        <f t="shared" si="89"/>
        <v>0.12209772368483976</v>
      </c>
      <c r="W159" s="103">
        <f t="shared" ref="W159" si="90">IF(W41=0,0,W41/W$17)</f>
        <v>0.12567823522626989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4.0505872877561959E-2</v>
      </c>
      <c r="C160" s="105">
        <f t="shared" si="91"/>
        <v>4.3262879115374596E-2</v>
      </c>
      <c r="D160" s="105">
        <f t="shared" si="91"/>
        <v>4.2921488306780602E-2</v>
      </c>
      <c r="E160" s="105">
        <f t="shared" si="91"/>
        <v>4.4954162943419258E-2</v>
      </c>
      <c r="F160" s="105">
        <f t="shared" si="91"/>
        <v>5.3571152685988221E-2</v>
      </c>
      <c r="G160" s="105">
        <f t="shared" si="91"/>
        <v>5.3082456321169251E-2</v>
      </c>
      <c r="H160" s="105">
        <f t="shared" si="91"/>
        <v>5.6487330513180209E-2</v>
      </c>
      <c r="I160" s="105">
        <f t="shared" si="91"/>
        <v>5.4839598594794682E-2</v>
      </c>
      <c r="J160" s="105">
        <f t="shared" si="91"/>
        <v>5.2748887521369976E-2</v>
      </c>
      <c r="K160" s="105">
        <f t="shared" si="91"/>
        <v>4.2648342406315577E-2</v>
      </c>
      <c r="L160" s="105">
        <f t="shared" ref="L160" si="92">IF(L42=0,0,L42/L$17)</f>
        <v>4.6493783916293281E-2</v>
      </c>
      <c r="M160" s="105">
        <f t="shared" ref="M160:V160" si="93">IF(M42=0,0,M42/M$17)</f>
        <v>4.5329653401813046E-2</v>
      </c>
      <c r="N160" s="105">
        <f t="shared" si="93"/>
        <v>4.2963694571741332E-2</v>
      </c>
      <c r="O160" s="105">
        <f t="shared" si="93"/>
        <v>4.6091607506347859E-2</v>
      </c>
      <c r="P160" s="105">
        <f t="shared" si="93"/>
        <v>3.712167777913794E-2</v>
      </c>
      <c r="Q160" s="105">
        <f t="shared" si="93"/>
        <v>3.9549674766257259E-2</v>
      </c>
      <c r="R160" s="105">
        <f t="shared" si="93"/>
        <v>3.7926721193659467E-2</v>
      </c>
      <c r="S160" s="105">
        <f t="shared" si="93"/>
        <v>3.7112940307280198E-2</v>
      </c>
      <c r="T160" s="105">
        <f t="shared" si="93"/>
        <v>3.5443367364033668E-2</v>
      </c>
      <c r="U160" s="105">
        <f t="shared" si="93"/>
        <v>3.4918740856218745E-2</v>
      </c>
      <c r="V160" s="105">
        <f t="shared" si="93"/>
        <v>4.0506439079162342E-2</v>
      </c>
      <c r="W160" s="105">
        <f t="shared" ref="W160" si="94">IF(W42=0,0,W42/W$17)</f>
        <v>4.3745103576207145E-2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4699201</v>
      </c>
      <c r="C3" s="54">
        <f>TrRoad_act!C57</f>
        <v>4768816</v>
      </c>
      <c r="D3" s="54">
        <f>TrRoad_act!D57</f>
        <v>4841844</v>
      </c>
      <c r="E3" s="54">
        <f>TrRoad_act!E57</f>
        <v>4910424</v>
      </c>
      <c r="F3" s="54">
        <f>TrRoad_act!F57</f>
        <v>4976169</v>
      </c>
      <c r="G3" s="54">
        <f>TrRoad_act!G57</f>
        <v>5087748</v>
      </c>
      <c r="H3" s="54">
        <f>TrRoad_act!H57</f>
        <v>5200434</v>
      </c>
      <c r="I3" s="54">
        <f>TrRoad_act!I57</f>
        <v>5310587</v>
      </c>
      <c r="J3" s="54">
        <f>TrRoad_act!J57</f>
        <v>5362737</v>
      </c>
      <c r="K3" s="54">
        <f>TrRoad_act!K57</f>
        <v>5404851</v>
      </c>
      <c r="L3" s="54">
        <f>TrRoad_act!L57</f>
        <v>5442756</v>
      </c>
      <c r="M3" s="54">
        <f>TrRoad_act!M57</f>
        <v>5550455</v>
      </c>
      <c r="N3" s="54">
        <f>TrRoad_act!N57</f>
        <v>5633819</v>
      </c>
      <c r="O3" s="54">
        <f>TrRoad_act!O57</f>
        <v>5709652</v>
      </c>
      <c r="P3" s="54">
        <f>TrRoad_act!P57</f>
        <v>5830545</v>
      </c>
      <c r="Q3" s="54">
        <f>TrRoad_act!Q57</f>
        <v>5952026</v>
      </c>
      <c r="R3" s="54">
        <f>TrRoad_act!R57</f>
        <v>6098141</v>
      </c>
      <c r="S3" s="54">
        <f>TrRoad_act!S57</f>
        <v>6226260</v>
      </c>
      <c r="T3" s="54">
        <f>TrRoad_act!T57</f>
        <v>6288900</v>
      </c>
      <c r="U3" s="54">
        <f>TrRoad_act!U57</f>
        <v>6338712</v>
      </c>
      <c r="V3" s="54">
        <f>TrRoad_act!V57</f>
        <v>6419941</v>
      </c>
      <c r="W3" s="54">
        <f>TrRoad_act!W57</f>
        <v>6493940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4322596</v>
      </c>
      <c r="C4" s="28">
        <f>TrRoad_act!C58</f>
        <v>4369937</v>
      </c>
      <c r="D4" s="28">
        <f>TrRoad_act!D58</f>
        <v>4429612</v>
      </c>
      <c r="E4" s="28">
        <f>TrRoad_act!E58</f>
        <v>4485443</v>
      </c>
      <c r="F4" s="28">
        <f>TrRoad_act!F58</f>
        <v>4530760</v>
      </c>
      <c r="G4" s="28">
        <f>TrRoad_act!G58</f>
        <v>4620559</v>
      </c>
      <c r="H4" s="28">
        <f>TrRoad_act!H58</f>
        <v>4714317</v>
      </c>
      <c r="I4" s="28">
        <f>TrRoad_act!I58</f>
        <v>4800040</v>
      </c>
      <c r="J4" s="28">
        <f>TrRoad_act!J58</f>
        <v>4846773</v>
      </c>
      <c r="K4" s="28">
        <f>TrRoad_act!K58</f>
        <v>4885242</v>
      </c>
      <c r="L4" s="28">
        <f>TrRoad_act!L58</f>
        <v>4918498</v>
      </c>
      <c r="M4" s="28">
        <f>TrRoad_act!M58</f>
        <v>4992987</v>
      </c>
      <c r="N4" s="28">
        <f>TrRoad_act!N58</f>
        <v>5076071</v>
      </c>
      <c r="O4" s="28">
        <f>TrRoad_act!O58</f>
        <v>5143461</v>
      </c>
      <c r="P4" s="28">
        <f>TrRoad_act!P58</f>
        <v>5249132</v>
      </c>
      <c r="Q4" s="28">
        <f>TrRoad_act!Q58</f>
        <v>5354888</v>
      </c>
      <c r="R4" s="28">
        <f>TrRoad_act!R58</f>
        <v>5480243</v>
      </c>
      <c r="S4" s="28">
        <f>TrRoad_act!S58</f>
        <v>5586540</v>
      </c>
      <c r="T4" s="28">
        <f>TrRoad_act!T58</f>
        <v>5631014</v>
      </c>
      <c r="U4" s="28">
        <f>TrRoad_act!U58</f>
        <v>5668303</v>
      </c>
      <c r="V4" s="28">
        <f>TrRoad_act!V58</f>
        <v>5738575</v>
      </c>
      <c r="W4" s="28">
        <f>TrRoad_act!W58</f>
        <v>5800807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310069</v>
      </c>
      <c r="C5" s="137">
        <f>TrRoad_act!C59</f>
        <v>336341</v>
      </c>
      <c r="D5" s="137">
        <f>TrRoad_act!D59</f>
        <v>372369</v>
      </c>
      <c r="E5" s="137">
        <f>TrRoad_act!E59</f>
        <v>395601</v>
      </c>
      <c r="F5" s="137">
        <f>TrRoad_act!F59</f>
        <v>403317</v>
      </c>
      <c r="G5" s="137">
        <f>TrRoad_act!G59</f>
        <v>453082</v>
      </c>
      <c r="H5" s="137">
        <f>TrRoad_act!H59</f>
        <v>497744</v>
      </c>
      <c r="I5" s="137">
        <f>TrRoad_act!I59</f>
        <v>528125</v>
      </c>
      <c r="J5" s="137">
        <f>TrRoad_act!J59</f>
        <v>553929</v>
      </c>
      <c r="K5" s="137">
        <f>TrRoad_act!K59</f>
        <v>571890</v>
      </c>
      <c r="L5" s="137">
        <f>TrRoad_act!L59</f>
        <v>570240</v>
      </c>
      <c r="M5" s="137">
        <f>TrRoad_act!M59</f>
        <v>578495</v>
      </c>
      <c r="N5" s="137">
        <f>TrRoad_act!N59</f>
        <v>615525</v>
      </c>
      <c r="O5" s="137">
        <f>TrRoad_act!O59</f>
        <v>634819</v>
      </c>
      <c r="P5" s="137">
        <f>TrRoad_act!P59</f>
        <v>650434</v>
      </c>
      <c r="Q5" s="137">
        <f>TrRoad_act!Q59</f>
        <v>672517</v>
      </c>
      <c r="R5" s="137">
        <f>TrRoad_act!R59</f>
        <v>699095</v>
      </c>
      <c r="S5" s="137">
        <f>TrRoad_act!S59</f>
        <v>727299</v>
      </c>
      <c r="T5" s="137">
        <f>TrRoad_act!T59</f>
        <v>746658</v>
      </c>
      <c r="U5" s="137">
        <f>TrRoad_act!U59</f>
        <v>766274</v>
      </c>
      <c r="V5" s="137">
        <f>TrRoad_act!V59</f>
        <v>781794</v>
      </c>
      <c r="W5" s="137">
        <f>TrRoad_act!W59</f>
        <v>801235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3998110</v>
      </c>
      <c r="C6" s="110">
        <f>TrRoad_act!C60</f>
        <v>4019350</v>
      </c>
      <c r="D6" s="110">
        <f>TrRoad_act!D60</f>
        <v>4043230</v>
      </c>
      <c r="E6" s="110">
        <f>TrRoad_act!E60</f>
        <v>4076100</v>
      </c>
      <c r="F6" s="110">
        <f>TrRoad_act!F60</f>
        <v>4114080</v>
      </c>
      <c r="G6" s="110">
        <f>TrRoad_act!G60</f>
        <v>4154000</v>
      </c>
      <c r="H6" s="110">
        <f>TrRoad_act!H60</f>
        <v>4202930</v>
      </c>
      <c r="I6" s="110">
        <f>TrRoad_act!I60</f>
        <v>4258600</v>
      </c>
      <c r="J6" s="110">
        <f>TrRoad_act!J60</f>
        <v>4279370</v>
      </c>
      <c r="K6" s="110">
        <f>TrRoad_act!K60</f>
        <v>4299950</v>
      </c>
      <c r="L6" s="110">
        <f>TrRoad_act!L60</f>
        <v>4334390</v>
      </c>
      <c r="M6" s="110">
        <f>TrRoad_act!M60</f>
        <v>4400550</v>
      </c>
      <c r="N6" s="110">
        <f>TrRoad_act!N60</f>
        <v>4446349</v>
      </c>
      <c r="O6" s="110">
        <f>TrRoad_act!O60</f>
        <v>4494661</v>
      </c>
      <c r="P6" s="110">
        <f>TrRoad_act!P60</f>
        <v>4584711</v>
      </c>
      <c r="Q6" s="110">
        <f>TrRoad_act!Q60</f>
        <v>4668262</v>
      </c>
      <c r="R6" s="110">
        <f>TrRoad_act!R60</f>
        <v>4767262</v>
      </c>
      <c r="S6" s="110">
        <f>TrRoad_act!S60</f>
        <v>4844823</v>
      </c>
      <c r="T6" s="110">
        <f>TrRoad_act!T60</f>
        <v>4869979</v>
      </c>
      <c r="U6" s="110">
        <f>TrRoad_act!U60</f>
        <v>4887116</v>
      </c>
      <c r="V6" s="110">
        <f>TrRoad_act!V60</f>
        <v>4943293</v>
      </c>
      <c r="W6" s="110">
        <f>TrRoad_act!W60</f>
        <v>4985979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3804105</v>
      </c>
      <c r="C7" s="84">
        <f>TrRoad_act!C61</f>
        <v>3834345</v>
      </c>
      <c r="D7" s="84">
        <f>TrRoad_act!D61</f>
        <v>3853307</v>
      </c>
      <c r="E7" s="84">
        <f>TrRoad_act!E61</f>
        <v>3878269</v>
      </c>
      <c r="F7" s="84">
        <f>TrRoad_act!F61</f>
        <v>3906270</v>
      </c>
      <c r="G7" s="84">
        <f>TrRoad_act!G61</f>
        <v>3931685</v>
      </c>
      <c r="H7" s="84">
        <f>TrRoad_act!H61</f>
        <v>3937982</v>
      </c>
      <c r="I7" s="84">
        <f>TrRoad_act!I61</f>
        <v>3902523</v>
      </c>
      <c r="J7" s="84">
        <f>TrRoad_act!J61</f>
        <v>3857952</v>
      </c>
      <c r="K7" s="84">
        <f>TrRoad_act!K61</f>
        <v>3789166</v>
      </c>
      <c r="L7" s="84">
        <f>TrRoad_act!L61</f>
        <v>3685570</v>
      </c>
      <c r="M7" s="84">
        <f>TrRoad_act!M61</f>
        <v>3579435</v>
      </c>
      <c r="N7" s="84">
        <f>TrRoad_act!N61</f>
        <v>3454210</v>
      </c>
      <c r="O7" s="84">
        <f>TrRoad_act!O61</f>
        <v>3341431</v>
      </c>
      <c r="P7" s="84">
        <f>TrRoad_act!P61</f>
        <v>3259599</v>
      </c>
      <c r="Q7" s="84">
        <f>TrRoad_act!Q61</f>
        <v>3168166</v>
      </c>
      <c r="R7" s="84">
        <f>TrRoad_act!R61</f>
        <v>3096797</v>
      </c>
      <c r="S7" s="84">
        <f>TrRoad_act!S61</f>
        <v>3039616</v>
      </c>
      <c r="T7" s="84">
        <f>TrRoad_act!T61</f>
        <v>2983381</v>
      </c>
      <c r="U7" s="84">
        <f>TrRoad_act!U61</f>
        <v>2937692</v>
      </c>
      <c r="V7" s="84">
        <f>TrRoad_act!V61</f>
        <v>2902284</v>
      </c>
      <c r="W7" s="84">
        <f>TrRoad_act!W61</f>
        <v>2832059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194005</v>
      </c>
      <c r="C8" s="84">
        <f>TrRoad_act!C62</f>
        <v>185005</v>
      </c>
      <c r="D8" s="84">
        <f>TrRoad_act!D62</f>
        <v>189003</v>
      </c>
      <c r="E8" s="84">
        <f>TrRoad_act!E62</f>
        <v>196001</v>
      </c>
      <c r="F8" s="84">
        <f>TrRoad_act!F62</f>
        <v>204960</v>
      </c>
      <c r="G8" s="84">
        <f>TrRoad_act!G62</f>
        <v>217875</v>
      </c>
      <c r="H8" s="84">
        <f>TrRoad_act!H62</f>
        <v>260419</v>
      </c>
      <c r="I8" s="84">
        <f>TrRoad_act!I62</f>
        <v>350957</v>
      </c>
      <c r="J8" s="84">
        <f>TrRoad_act!J62</f>
        <v>415365</v>
      </c>
      <c r="K8" s="84">
        <f>TrRoad_act!K62</f>
        <v>503997</v>
      </c>
      <c r="L8" s="84">
        <f>TrRoad_act!L62</f>
        <v>634669</v>
      </c>
      <c r="M8" s="84">
        <f>TrRoad_act!M62</f>
        <v>800389</v>
      </c>
      <c r="N8" s="84">
        <f>TrRoad_act!N62</f>
        <v>965679</v>
      </c>
      <c r="O8" s="84">
        <f>TrRoad_act!O62</f>
        <v>1122665</v>
      </c>
      <c r="P8" s="84">
        <f>TrRoad_act!P62</f>
        <v>1285667</v>
      </c>
      <c r="Q8" s="84">
        <f>TrRoad_act!Q62</f>
        <v>1449009</v>
      </c>
      <c r="R8" s="84">
        <f>TrRoad_act!R62</f>
        <v>1599960</v>
      </c>
      <c r="S8" s="84">
        <f>TrRoad_act!S62</f>
        <v>1718231</v>
      </c>
      <c r="T8" s="84">
        <f>TrRoad_act!T62</f>
        <v>1778077</v>
      </c>
      <c r="U8" s="84">
        <f>TrRoad_act!U62</f>
        <v>1810839</v>
      </c>
      <c r="V8" s="84">
        <f>TrRoad_act!V62</f>
        <v>1806421</v>
      </c>
      <c r="W8" s="84">
        <f>TrRoad_act!W62</f>
        <v>1784501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0</v>
      </c>
      <c r="E9" s="84">
        <f>TrRoad_act!E63</f>
        <v>0</v>
      </c>
      <c r="F9" s="84">
        <f>TrRoad_act!F63</f>
        <v>0</v>
      </c>
      <c r="G9" s="84">
        <f>TrRoad_act!G63</f>
        <v>300</v>
      </c>
      <c r="H9" s="84">
        <f>TrRoad_act!H63</f>
        <v>284</v>
      </c>
      <c r="I9" s="84">
        <f>TrRoad_act!I63</f>
        <v>282</v>
      </c>
      <c r="J9" s="84">
        <f>TrRoad_act!J63</f>
        <v>300</v>
      </c>
      <c r="K9" s="84">
        <f>TrRoad_act!K63</f>
        <v>400</v>
      </c>
      <c r="L9" s="84">
        <f>TrRoad_act!L63</f>
        <v>350</v>
      </c>
      <c r="M9" s="84">
        <f>TrRoad_act!M63</f>
        <v>486</v>
      </c>
      <c r="N9" s="84">
        <f>TrRoad_act!N63</f>
        <v>486</v>
      </c>
      <c r="O9" s="84">
        <f>TrRoad_act!O63</f>
        <v>491</v>
      </c>
      <c r="P9" s="84">
        <f>TrRoad_act!P63</f>
        <v>491</v>
      </c>
      <c r="Q9" s="84">
        <f>TrRoad_act!Q63</f>
        <v>491</v>
      </c>
      <c r="R9" s="84">
        <f>TrRoad_act!R63</f>
        <v>465</v>
      </c>
      <c r="S9" s="84">
        <f>TrRoad_act!S63</f>
        <v>0</v>
      </c>
      <c r="T9" s="84">
        <f>TrRoad_act!T63</f>
        <v>0</v>
      </c>
      <c r="U9" s="84">
        <f>TrRoad_act!U63</f>
        <v>0</v>
      </c>
      <c r="V9" s="84">
        <f>TrRoad_act!V63</f>
        <v>0</v>
      </c>
      <c r="W9" s="84">
        <f>TrRoad_act!W63</f>
        <v>0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920</v>
      </c>
      <c r="E10" s="84">
        <f>TrRoad_act!E64</f>
        <v>1830</v>
      </c>
      <c r="F10" s="84">
        <f>TrRoad_act!F64</f>
        <v>2850</v>
      </c>
      <c r="G10" s="84">
        <f>TrRoad_act!G64</f>
        <v>4140</v>
      </c>
      <c r="H10" s="84">
        <f>TrRoad_act!H64</f>
        <v>4245</v>
      </c>
      <c r="I10" s="84">
        <f>TrRoad_act!I64</f>
        <v>4838</v>
      </c>
      <c r="J10" s="84">
        <f>TrRoad_act!J64</f>
        <v>5494</v>
      </c>
      <c r="K10" s="84">
        <f>TrRoad_act!K64</f>
        <v>6070</v>
      </c>
      <c r="L10" s="84">
        <f>TrRoad_act!L64</f>
        <v>13421</v>
      </c>
      <c r="M10" s="84">
        <f>TrRoad_act!M64</f>
        <v>19504</v>
      </c>
      <c r="N10" s="84">
        <f>TrRoad_act!N64</f>
        <v>24381</v>
      </c>
      <c r="O10" s="84">
        <f>TrRoad_act!O64</f>
        <v>27595</v>
      </c>
      <c r="P10" s="84">
        <f>TrRoad_act!P64</f>
        <v>31860</v>
      </c>
      <c r="Q10" s="84">
        <f>TrRoad_act!Q64</f>
        <v>36055</v>
      </c>
      <c r="R10" s="84">
        <f>TrRoad_act!R64</f>
        <v>43676</v>
      </c>
      <c r="S10" s="84">
        <f>TrRoad_act!S64</f>
        <v>43689</v>
      </c>
      <c r="T10" s="84">
        <f>TrRoad_act!T64</f>
        <v>42463</v>
      </c>
      <c r="U10" s="84">
        <f>TrRoad_act!U64</f>
        <v>41633</v>
      </c>
      <c r="V10" s="84">
        <f>TrRoad_act!V64</f>
        <v>43908</v>
      </c>
      <c r="W10" s="84">
        <f>TrRoad_act!W64</f>
        <v>43444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130</v>
      </c>
      <c r="K11" s="84">
        <f>TrRoad_act!K65</f>
        <v>160</v>
      </c>
      <c r="L11" s="84">
        <f>TrRoad_act!L65</f>
        <v>190</v>
      </c>
      <c r="M11" s="84">
        <f>TrRoad_act!M65</f>
        <v>370</v>
      </c>
      <c r="N11" s="84">
        <f>TrRoad_act!N65</f>
        <v>990</v>
      </c>
      <c r="O11" s="84">
        <f>TrRoad_act!O65</f>
        <v>1469</v>
      </c>
      <c r="P11" s="84">
        <f>TrRoad_act!P65</f>
        <v>4922</v>
      </c>
      <c r="Q11" s="84">
        <f>TrRoad_act!Q65</f>
        <v>9776</v>
      </c>
      <c r="R11" s="84">
        <f>TrRoad_act!R65</f>
        <v>18832</v>
      </c>
      <c r="S11" s="84">
        <f>TrRoad_act!S65</f>
        <v>32253</v>
      </c>
      <c r="T11" s="84">
        <f>TrRoad_act!T65</f>
        <v>49394</v>
      </c>
      <c r="U11" s="84">
        <f>TrRoad_act!U65</f>
        <v>66609</v>
      </c>
      <c r="V11" s="84">
        <f>TrRoad_act!V65</f>
        <v>132440</v>
      </c>
      <c r="W11" s="84">
        <f>TrRoad_act!W65</f>
        <v>210281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129</v>
      </c>
      <c r="K12" s="84">
        <f>TrRoad_act!K66</f>
        <v>157</v>
      </c>
      <c r="L12" s="84">
        <f>TrRoad_act!L66</f>
        <v>190</v>
      </c>
      <c r="M12" s="84">
        <f>TrRoad_act!M66</f>
        <v>366</v>
      </c>
      <c r="N12" s="84">
        <f>TrRoad_act!N66</f>
        <v>603</v>
      </c>
      <c r="O12" s="84">
        <f>TrRoad_act!O66</f>
        <v>1010</v>
      </c>
      <c r="P12" s="84">
        <f>TrRoad_act!P66</f>
        <v>2172</v>
      </c>
      <c r="Q12" s="84">
        <f>TrRoad_act!Q66</f>
        <v>4765</v>
      </c>
      <c r="R12" s="84">
        <f>TrRoad_act!R66</f>
        <v>7532</v>
      </c>
      <c r="S12" s="84">
        <f>TrRoad_act!S66</f>
        <v>11034</v>
      </c>
      <c r="T12" s="84">
        <f>TrRoad_act!T66</f>
        <v>16664</v>
      </c>
      <c r="U12" s="84">
        <f>TrRoad_act!U66</f>
        <v>30343</v>
      </c>
      <c r="V12" s="84">
        <f>TrRoad_act!V66</f>
        <v>58240</v>
      </c>
      <c r="W12" s="84">
        <f>TrRoad_act!W66</f>
        <v>115694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14417</v>
      </c>
      <c r="C13" s="110">
        <f>TrRoad_act!C67</f>
        <v>14246</v>
      </c>
      <c r="D13" s="110">
        <f>TrRoad_act!D67</f>
        <v>14013</v>
      </c>
      <c r="E13" s="110">
        <f>TrRoad_act!E67</f>
        <v>13742</v>
      </c>
      <c r="F13" s="110">
        <f>TrRoad_act!F67</f>
        <v>13363</v>
      </c>
      <c r="G13" s="110">
        <f>TrRoad_act!G67</f>
        <v>13477</v>
      </c>
      <c r="H13" s="110">
        <f>TrRoad_act!H67</f>
        <v>13643</v>
      </c>
      <c r="I13" s="110">
        <f>TrRoad_act!I67</f>
        <v>13315</v>
      </c>
      <c r="J13" s="110">
        <f>TrRoad_act!J67</f>
        <v>13474</v>
      </c>
      <c r="K13" s="110">
        <f>TrRoad_act!K67</f>
        <v>13402</v>
      </c>
      <c r="L13" s="110">
        <f>TrRoad_act!L67</f>
        <v>13868</v>
      </c>
      <c r="M13" s="110">
        <f>TrRoad_act!M67</f>
        <v>13942</v>
      </c>
      <c r="N13" s="110">
        <f>TrRoad_act!N67</f>
        <v>14197</v>
      </c>
      <c r="O13" s="110">
        <f>TrRoad_act!O67</f>
        <v>13981</v>
      </c>
      <c r="P13" s="110">
        <f>TrRoad_act!P67</f>
        <v>13987</v>
      </c>
      <c r="Q13" s="110">
        <f>TrRoad_act!Q67</f>
        <v>14109</v>
      </c>
      <c r="R13" s="110">
        <f>TrRoad_act!R67</f>
        <v>13886</v>
      </c>
      <c r="S13" s="110">
        <f>TrRoad_act!S67</f>
        <v>14418</v>
      </c>
      <c r="T13" s="110">
        <f>TrRoad_act!T67</f>
        <v>14377</v>
      </c>
      <c r="U13" s="110">
        <f>TrRoad_act!U67</f>
        <v>14913</v>
      </c>
      <c r="V13" s="110">
        <f>TrRoad_act!V67</f>
        <v>13488</v>
      </c>
      <c r="W13" s="110">
        <f>TrRoad_act!W67</f>
        <v>13593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521</v>
      </c>
      <c r="C14" s="102">
        <f>TrRoad_act!C68</f>
        <v>426</v>
      </c>
      <c r="D14" s="102">
        <f>TrRoad_act!D68</f>
        <v>336</v>
      </c>
      <c r="E14" s="102">
        <f>TrRoad_act!E68</f>
        <v>259</v>
      </c>
      <c r="F14" s="102">
        <f>TrRoad_act!F68</f>
        <v>192</v>
      </c>
      <c r="G14" s="102">
        <f>TrRoad_act!G68</f>
        <v>142</v>
      </c>
      <c r="H14" s="102">
        <f>TrRoad_act!H68</f>
        <v>122</v>
      </c>
      <c r="I14" s="102">
        <f>TrRoad_act!I68</f>
        <v>103</v>
      </c>
      <c r="J14" s="102">
        <f>TrRoad_act!J68</f>
        <v>88</v>
      </c>
      <c r="K14" s="102">
        <f>TrRoad_act!K68</f>
        <v>82</v>
      </c>
      <c r="L14" s="102">
        <f>TrRoad_act!L68</f>
        <v>34</v>
      </c>
      <c r="M14" s="102">
        <f>TrRoad_act!M68</f>
        <v>61</v>
      </c>
      <c r="N14" s="102">
        <f>TrRoad_act!N68</f>
        <v>51</v>
      </c>
      <c r="O14" s="102">
        <f>TrRoad_act!O68</f>
        <v>51</v>
      </c>
      <c r="P14" s="102">
        <f>TrRoad_act!P68</f>
        <v>49</v>
      </c>
      <c r="Q14" s="102">
        <f>TrRoad_act!Q68</f>
        <v>46</v>
      </c>
      <c r="R14" s="102">
        <f>TrRoad_act!R68</f>
        <v>49</v>
      </c>
      <c r="S14" s="102">
        <f>TrRoad_act!S68</f>
        <v>47</v>
      </c>
      <c r="T14" s="102">
        <f>TrRoad_act!T68</f>
        <v>45</v>
      </c>
      <c r="U14" s="102">
        <f>TrRoad_act!U68</f>
        <v>41</v>
      </c>
      <c r="V14" s="102">
        <f>TrRoad_act!V68</f>
        <v>39</v>
      </c>
      <c r="W14" s="102">
        <f>TrRoad_act!W68</f>
        <v>36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13539</v>
      </c>
      <c r="C15" s="102">
        <f>TrRoad_act!C69</f>
        <v>13428</v>
      </c>
      <c r="D15" s="102">
        <f>TrRoad_act!D69</f>
        <v>13287</v>
      </c>
      <c r="E15" s="102">
        <f>TrRoad_act!E69</f>
        <v>13091</v>
      </c>
      <c r="F15" s="102">
        <f>TrRoad_act!F69</f>
        <v>12733</v>
      </c>
      <c r="G15" s="102">
        <f>TrRoad_act!G69</f>
        <v>12398</v>
      </c>
      <c r="H15" s="102">
        <f>TrRoad_act!H69</f>
        <v>12965</v>
      </c>
      <c r="I15" s="102">
        <f>TrRoad_act!I69</f>
        <v>12580</v>
      </c>
      <c r="J15" s="102">
        <f>TrRoad_act!J69</f>
        <v>12544</v>
      </c>
      <c r="K15" s="102">
        <f>TrRoad_act!K69</f>
        <v>12200</v>
      </c>
      <c r="L15" s="102">
        <f>TrRoad_act!L69</f>
        <v>12523</v>
      </c>
      <c r="M15" s="102">
        <f>TrRoad_act!M69</f>
        <v>12209</v>
      </c>
      <c r="N15" s="102">
        <f>TrRoad_act!N69</f>
        <v>12289</v>
      </c>
      <c r="O15" s="102">
        <f>TrRoad_act!O69</f>
        <v>11779</v>
      </c>
      <c r="P15" s="102">
        <f>TrRoad_act!P69</f>
        <v>11647</v>
      </c>
      <c r="Q15" s="102">
        <f>TrRoad_act!Q69</f>
        <v>11705</v>
      </c>
      <c r="R15" s="102">
        <f>TrRoad_act!R69</f>
        <v>11489</v>
      </c>
      <c r="S15" s="102">
        <f>TrRoad_act!S69</f>
        <v>11802</v>
      </c>
      <c r="T15" s="102">
        <f>TrRoad_act!T69</f>
        <v>11710</v>
      </c>
      <c r="U15" s="102">
        <f>TrRoad_act!U69</f>
        <v>11986</v>
      </c>
      <c r="V15" s="102">
        <f>TrRoad_act!V69</f>
        <v>10155</v>
      </c>
      <c r="W15" s="102">
        <f>TrRoad_act!W69</f>
        <v>10124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340</v>
      </c>
      <c r="C17" s="102">
        <f>TrRoad_act!C71</f>
        <v>375</v>
      </c>
      <c r="D17" s="102">
        <f>TrRoad_act!D71</f>
        <v>376</v>
      </c>
      <c r="E17" s="102">
        <f>TrRoad_act!E71</f>
        <v>376</v>
      </c>
      <c r="F17" s="102">
        <f>TrRoad_act!F71</f>
        <v>422</v>
      </c>
      <c r="G17" s="102">
        <f>TrRoad_act!G71</f>
        <v>924</v>
      </c>
      <c r="H17" s="102">
        <f>TrRoad_act!H71</f>
        <v>544</v>
      </c>
      <c r="I17" s="102">
        <f>TrRoad_act!I71</f>
        <v>622</v>
      </c>
      <c r="J17" s="102">
        <f>TrRoad_act!J71</f>
        <v>834</v>
      </c>
      <c r="K17" s="102">
        <f>TrRoad_act!K71</f>
        <v>1112</v>
      </c>
      <c r="L17" s="102">
        <f>TrRoad_act!L71</f>
        <v>1307</v>
      </c>
      <c r="M17" s="102">
        <f>TrRoad_act!M71</f>
        <v>1668</v>
      </c>
      <c r="N17" s="102">
        <f>TrRoad_act!N71</f>
        <v>1851</v>
      </c>
      <c r="O17" s="102">
        <f>TrRoad_act!O71</f>
        <v>2143</v>
      </c>
      <c r="P17" s="102">
        <f>TrRoad_act!P71</f>
        <v>2280</v>
      </c>
      <c r="Q17" s="102">
        <f>TrRoad_act!Q71</f>
        <v>2338</v>
      </c>
      <c r="R17" s="102">
        <f>TrRoad_act!R71</f>
        <v>2310</v>
      </c>
      <c r="S17" s="102">
        <f>TrRoad_act!S71</f>
        <v>2515</v>
      </c>
      <c r="T17" s="102">
        <f>TrRoad_act!T71</f>
        <v>2522</v>
      </c>
      <c r="U17" s="102">
        <f>TrRoad_act!U71</f>
        <v>2618</v>
      </c>
      <c r="V17" s="102">
        <f>TrRoad_act!V71</f>
        <v>2822</v>
      </c>
      <c r="W17" s="102">
        <f>TrRoad_act!W71</f>
        <v>2771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17</v>
      </c>
      <c r="C18" s="102">
        <f>TrRoad_act!C72</f>
        <v>17</v>
      </c>
      <c r="D18" s="102">
        <f>TrRoad_act!D72</f>
        <v>14</v>
      </c>
      <c r="E18" s="102">
        <f>TrRoad_act!E72</f>
        <v>16</v>
      </c>
      <c r="F18" s="102">
        <f>TrRoad_act!F72</f>
        <v>16</v>
      </c>
      <c r="G18" s="102">
        <f>TrRoad_act!G72</f>
        <v>13</v>
      </c>
      <c r="H18" s="102">
        <f>TrRoad_act!H72</f>
        <v>12</v>
      </c>
      <c r="I18" s="102">
        <f>TrRoad_act!I72</f>
        <v>10</v>
      </c>
      <c r="J18" s="102">
        <f>TrRoad_act!J72</f>
        <v>8</v>
      </c>
      <c r="K18" s="102">
        <f>TrRoad_act!K72</f>
        <v>8</v>
      </c>
      <c r="L18" s="102">
        <f>TrRoad_act!L72</f>
        <v>4</v>
      </c>
      <c r="M18" s="102">
        <f>TrRoad_act!M72</f>
        <v>4</v>
      </c>
      <c r="N18" s="102">
        <f>TrRoad_act!N72</f>
        <v>6</v>
      </c>
      <c r="O18" s="102">
        <f>TrRoad_act!O72</f>
        <v>8</v>
      </c>
      <c r="P18" s="102">
        <f>TrRoad_act!P72</f>
        <v>11</v>
      </c>
      <c r="Q18" s="102">
        <f>TrRoad_act!Q72</f>
        <v>20</v>
      </c>
      <c r="R18" s="102">
        <f>TrRoad_act!R72</f>
        <v>38</v>
      </c>
      <c r="S18" s="102">
        <f>TrRoad_act!S72</f>
        <v>54</v>
      </c>
      <c r="T18" s="102">
        <f>TrRoad_act!T72</f>
        <v>100</v>
      </c>
      <c r="U18" s="102">
        <f>TrRoad_act!U72</f>
        <v>268</v>
      </c>
      <c r="V18" s="102">
        <f>TrRoad_act!V72</f>
        <v>472</v>
      </c>
      <c r="W18" s="102">
        <f>TrRoad_act!W72</f>
        <v>662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376605</v>
      </c>
      <c r="C19" s="28">
        <f>TrRoad_act!C73</f>
        <v>398879</v>
      </c>
      <c r="D19" s="28">
        <f>TrRoad_act!D73</f>
        <v>412232</v>
      </c>
      <c r="E19" s="28">
        <f>TrRoad_act!E73</f>
        <v>424981</v>
      </c>
      <c r="F19" s="28">
        <f>TrRoad_act!F73</f>
        <v>445409</v>
      </c>
      <c r="G19" s="28">
        <f>TrRoad_act!G73</f>
        <v>467189</v>
      </c>
      <c r="H19" s="28">
        <f>TrRoad_act!H73</f>
        <v>486117</v>
      </c>
      <c r="I19" s="28">
        <f>TrRoad_act!I73</f>
        <v>510547</v>
      </c>
      <c r="J19" s="28">
        <f>TrRoad_act!J73</f>
        <v>515964</v>
      </c>
      <c r="K19" s="28">
        <f>TrRoad_act!K73</f>
        <v>519609</v>
      </c>
      <c r="L19" s="28">
        <f>TrRoad_act!L73</f>
        <v>524258</v>
      </c>
      <c r="M19" s="28">
        <f>TrRoad_act!M73</f>
        <v>557468</v>
      </c>
      <c r="N19" s="28">
        <f>TrRoad_act!N73</f>
        <v>557748</v>
      </c>
      <c r="O19" s="28">
        <f>TrRoad_act!O73</f>
        <v>566191</v>
      </c>
      <c r="P19" s="28">
        <f>TrRoad_act!P73</f>
        <v>581413</v>
      </c>
      <c r="Q19" s="28">
        <f>TrRoad_act!Q73</f>
        <v>597138</v>
      </c>
      <c r="R19" s="28">
        <f>TrRoad_act!R73</f>
        <v>617898</v>
      </c>
      <c r="S19" s="28">
        <f>TrRoad_act!S73</f>
        <v>639720</v>
      </c>
      <c r="T19" s="28">
        <f>TrRoad_act!T73</f>
        <v>657886</v>
      </c>
      <c r="U19" s="28">
        <f>TrRoad_act!U73</f>
        <v>670409</v>
      </c>
      <c r="V19" s="28">
        <f>TrRoad_act!V73</f>
        <v>681366</v>
      </c>
      <c r="W19" s="28">
        <f>TrRoad_act!W73</f>
        <v>693133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296574</v>
      </c>
      <c r="C20" s="137">
        <f>TrRoad_act!C74</f>
        <v>318776</v>
      </c>
      <c r="D20" s="137">
        <f>TrRoad_act!D74</f>
        <v>333289</v>
      </c>
      <c r="E20" s="137">
        <f>TrRoad_act!E74</f>
        <v>347263</v>
      </c>
      <c r="F20" s="137">
        <f>TrRoad_act!F74</f>
        <v>365812</v>
      </c>
      <c r="G20" s="137">
        <f>TrRoad_act!G74</f>
        <v>386377</v>
      </c>
      <c r="H20" s="137">
        <f>TrRoad_act!H74</f>
        <v>402748</v>
      </c>
      <c r="I20" s="137">
        <f>TrRoad_act!I74</f>
        <v>425286</v>
      </c>
      <c r="J20" s="137">
        <f>TrRoad_act!J74</f>
        <v>432123</v>
      </c>
      <c r="K20" s="137">
        <f>TrRoad_act!K74</f>
        <v>437420</v>
      </c>
      <c r="L20" s="137">
        <f>TrRoad_act!L74</f>
        <v>441426</v>
      </c>
      <c r="M20" s="137">
        <f>TrRoad_act!M74</f>
        <v>471383</v>
      </c>
      <c r="N20" s="137">
        <f>TrRoad_act!N74</f>
        <v>470915</v>
      </c>
      <c r="O20" s="137">
        <f>TrRoad_act!O74</f>
        <v>484387</v>
      </c>
      <c r="P20" s="137">
        <f>TrRoad_act!P74</f>
        <v>499962</v>
      </c>
      <c r="Q20" s="137">
        <f>TrRoad_act!Q74</f>
        <v>514443</v>
      </c>
      <c r="R20" s="137">
        <f>TrRoad_act!R74</f>
        <v>533005</v>
      </c>
      <c r="S20" s="137">
        <f>TrRoad_act!S74</f>
        <v>553585</v>
      </c>
      <c r="T20" s="137">
        <f>TrRoad_act!T74</f>
        <v>570252</v>
      </c>
      <c r="U20" s="137">
        <f>TrRoad_act!U74</f>
        <v>583245</v>
      </c>
      <c r="V20" s="137">
        <f>TrRoad_act!V74</f>
        <v>593686</v>
      </c>
      <c r="W20" s="137">
        <f>TrRoad_act!W74</f>
        <v>603714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178196</v>
      </c>
      <c r="C21" s="84">
        <f>TrRoad_act!C75</f>
        <v>172471</v>
      </c>
      <c r="D21" s="84">
        <f>TrRoad_act!D75</f>
        <v>164678</v>
      </c>
      <c r="E21" s="84">
        <f>TrRoad_act!E75</f>
        <v>155801</v>
      </c>
      <c r="F21" s="84">
        <f>TrRoad_act!F75</f>
        <v>146710</v>
      </c>
      <c r="G21" s="84">
        <f>TrRoad_act!G75</f>
        <v>137987</v>
      </c>
      <c r="H21" s="84">
        <f>TrRoad_act!H75</f>
        <v>127837</v>
      </c>
      <c r="I21" s="84">
        <f>TrRoad_act!I75</f>
        <v>118748</v>
      </c>
      <c r="J21" s="84">
        <f>TrRoad_act!J75</f>
        <v>108195</v>
      </c>
      <c r="K21" s="84">
        <f>TrRoad_act!K75</f>
        <v>100787</v>
      </c>
      <c r="L21" s="84">
        <f>TrRoad_act!L75</f>
        <v>92942</v>
      </c>
      <c r="M21" s="84">
        <f>TrRoad_act!M75</f>
        <v>85821</v>
      </c>
      <c r="N21" s="84">
        <f>TrRoad_act!N75</f>
        <v>75703</v>
      </c>
      <c r="O21" s="84">
        <f>TrRoad_act!O75</f>
        <v>66920</v>
      </c>
      <c r="P21" s="84">
        <f>TrRoad_act!P75</f>
        <v>62298</v>
      </c>
      <c r="Q21" s="84">
        <f>TrRoad_act!Q75</f>
        <v>57028</v>
      </c>
      <c r="R21" s="84">
        <f>TrRoad_act!R75</f>
        <v>52705</v>
      </c>
      <c r="S21" s="84">
        <f>TrRoad_act!S75</f>
        <v>49638</v>
      </c>
      <c r="T21" s="84">
        <f>TrRoad_act!T75</f>
        <v>47465</v>
      </c>
      <c r="U21" s="84">
        <f>TrRoad_act!U75</f>
        <v>46650</v>
      </c>
      <c r="V21" s="84">
        <f>TrRoad_act!V75</f>
        <v>46340</v>
      </c>
      <c r="W21" s="84">
        <f>TrRoad_act!W75</f>
        <v>45169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118378</v>
      </c>
      <c r="C22" s="84">
        <f>TrRoad_act!C76</f>
        <v>146302</v>
      </c>
      <c r="D22" s="84">
        <f>TrRoad_act!D76</f>
        <v>168594</v>
      </c>
      <c r="E22" s="84">
        <f>TrRoad_act!E76</f>
        <v>191417</v>
      </c>
      <c r="F22" s="84">
        <f>TrRoad_act!F76</f>
        <v>219032</v>
      </c>
      <c r="G22" s="84">
        <f>TrRoad_act!G76</f>
        <v>248236</v>
      </c>
      <c r="H22" s="84">
        <f>TrRoad_act!H76</f>
        <v>274331</v>
      </c>
      <c r="I22" s="84">
        <f>TrRoad_act!I76</f>
        <v>305537</v>
      </c>
      <c r="J22" s="84">
        <f>TrRoad_act!J76</f>
        <v>322246</v>
      </c>
      <c r="K22" s="84">
        <f>TrRoad_act!K76</f>
        <v>334073</v>
      </c>
      <c r="L22" s="84">
        <f>TrRoad_act!L76</f>
        <v>345694</v>
      </c>
      <c r="M22" s="84">
        <f>TrRoad_act!M76</f>
        <v>382368</v>
      </c>
      <c r="N22" s="84">
        <f>TrRoad_act!N76</f>
        <v>391346</v>
      </c>
      <c r="O22" s="84">
        <f>TrRoad_act!O76</f>
        <v>413218</v>
      </c>
      <c r="P22" s="84">
        <f>TrRoad_act!P76</f>
        <v>432942</v>
      </c>
      <c r="Q22" s="84">
        <f>TrRoad_act!Q76</f>
        <v>452004</v>
      </c>
      <c r="R22" s="84">
        <f>TrRoad_act!R76</f>
        <v>474428</v>
      </c>
      <c r="S22" s="84">
        <f>TrRoad_act!S76</f>
        <v>497261</v>
      </c>
      <c r="T22" s="84">
        <f>TrRoad_act!T76</f>
        <v>511760</v>
      </c>
      <c r="U22" s="84">
        <f>TrRoad_act!U76</f>
        <v>523952</v>
      </c>
      <c r="V22" s="84">
        <f>TrRoad_act!V76</f>
        <v>532452</v>
      </c>
      <c r="W22" s="84">
        <f>TrRoad_act!W76</f>
        <v>540867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0</v>
      </c>
      <c r="T23" s="84">
        <f>TrRoad_act!T77</f>
        <v>0</v>
      </c>
      <c r="U23" s="84">
        <f>TrRoad_act!U77</f>
        <v>0</v>
      </c>
      <c r="V23" s="84">
        <f>TrRoad_act!V77</f>
        <v>0</v>
      </c>
      <c r="W23" s="84">
        <f>TrRoad_act!W77</f>
        <v>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3</v>
      </c>
      <c r="D24" s="84">
        <f>TrRoad_act!D78</f>
        <v>17</v>
      </c>
      <c r="E24" s="84">
        <f>TrRoad_act!E78</f>
        <v>45</v>
      </c>
      <c r="F24" s="84">
        <f>TrRoad_act!F78</f>
        <v>70</v>
      </c>
      <c r="G24" s="84">
        <f>TrRoad_act!G78</f>
        <v>152</v>
      </c>
      <c r="H24" s="84">
        <f>TrRoad_act!H78</f>
        <v>373</v>
      </c>
      <c r="I24" s="84">
        <f>TrRoad_act!I78</f>
        <v>805</v>
      </c>
      <c r="J24" s="84">
        <f>TrRoad_act!J78</f>
        <v>1487</v>
      </c>
      <c r="K24" s="84">
        <f>TrRoad_act!K78</f>
        <v>2365</v>
      </c>
      <c r="L24" s="84">
        <f>TrRoad_act!L78</f>
        <v>2600</v>
      </c>
      <c r="M24" s="84">
        <f>TrRoad_act!M78</f>
        <v>3000</v>
      </c>
      <c r="N24" s="84">
        <f>TrRoad_act!N78</f>
        <v>3500</v>
      </c>
      <c r="O24" s="84">
        <f>TrRoad_act!O78</f>
        <v>3701</v>
      </c>
      <c r="P24" s="84">
        <f>TrRoad_act!P78</f>
        <v>3889</v>
      </c>
      <c r="Q24" s="84">
        <f>TrRoad_act!Q78</f>
        <v>4167</v>
      </c>
      <c r="R24" s="84">
        <f>TrRoad_act!R78</f>
        <v>4320</v>
      </c>
      <c r="S24" s="84">
        <f>TrRoad_act!S78</f>
        <v>4739</v>
      </c>
      <c r="T24" s="84">
        <f>TrRoad_act!T78</f>
        <v>8366</v>
      </c>
      <c r="U24" s="84">
        <f>TrRoad_act!U78</f>
        <v>8697</v>
      </c>
      <c r="V24" s="84">
        <f>TrRoad_act!V78</f>
        <v>9000</v>
      </c>
      <c r="W24" s="84">
        <f>TrRoad_act!W78</f>
        <v>9100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2</v>
      </c>
      <c r="H25" s="84">
        <f>TrRoad_act!H79</f>
        <v>207</v>
      </c>
      <c r="I25" s="84">
        <f>TrRoad_act!I79</f>
        <v>196</v>
      </c>
      <c r="J25" s="84">
        <f>TrRoad_act!J79</f>
        <v>195</v>
      </c>
      <c r="K25" s="84">
        <f>TrRoad_act!K79</f>
        <v>195</v>
      </c>
      <c r="L25" s="84">
        <f>TrRoad_act!L79</f>
        <v>190</v>
      </c>
      <c r="M25" s="84">
        <f>TrRoad_act!M79</f>
        <v>194</v>
      </c>
      <c r="N25" s="84">
        <f>TrRoad_act!N79</f>
        <v>366</v>
      </c>
      <c r="O25" s="84">
        <f>TrRoad_act!O79</f>
        <v>548</v>
      </c>
      <c r="P25" s="84">
        <f>TrRoad_act!P79</f>
        <v>833</v>
      </c>
      <c r="Q25" s="84">
        <f>TrRoad_act!Q79</f>
        <v>1244</v>
      </c>
      <c r="R25" s="84">
        <f>TrRoad_act!R79</f>
        <v>1552</v>
      </c>
      <c r="S25" s="84">
        <f>TrRoad_act!S79</f>
        <v>1947</v>
      </c>
      <c r="T25" s="84">
        <f>TrRoad_act!T79</f>
        <v>2661</v>
      </c>
      <c r="U25" s="84">
        <f>TrRoad_act!U79</f>
        <v>3946</v>
      </c>
      <c r="V25" s="84">
        <f>TrRoad_act!V79</f>
        <v>5894</v>
      </c>
      <c r="W25" s="84">
        <f>TrRoad_act!W79</f>
        <v>8578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80031</v>
      </c>
      <c r="C26" s="110">
        <f>TrRoad_act!C80</f>
        <v>80103</v>
      </c>
      <c r="D26" s="110">
        <f>TrRoad_act!D80</f>
        <v>78943</v>
      </c>
      <c r="E26" s="110">
        <f>TrRoad_act!E80</f>
        <v>77718</v>
      </c>
      <c r="F26" s="110">
        <f>TrRoad_act!F80</f>
        <v>79597</v>
      </c>
      <c r="G26" s="110">
        <f>TrRoad_act!G80</f>
        <v>80812</v>
      </c>
      <c r="H26" s="110">
        <f>TrRoad_act!H80</f>
        <v>83369</v>
      </c>
      <c r="I26" s="110">
        <f>TrRoad_act!I80</f>
        <v>85261</v>
      </c>
      <c r="J26" s="110">
        <f>TrRoad_act!J80</f>
        <v>83841</v>
      </c>
      <c r="K26" s="110">
        <f>TrRoad_act!K80</f>
        <v>82189</v>
      </c>
      <c r="L26" s="110">
        <f>TrRoad_act!L80</f>
        <v>82832</v>
      </c>
      <c r="M26" s="110">
        <f>TrRoad_act!M80</f>
        <v>86085</v>
      </c>
      <c r="N26" s="110">
        <f>TrRoad_act!N80</f>
        <v>86833</v>
      </c>
      <c r="O26" s="110">
        <f>TrRoad_act!O80</f>
        <v>81804</v>
      </c>
      <c r="P26" s="110">
        <f>TrRoad_act!P80</f>
        <v>81451</v>
      </c>
      <c r="Q26" s="110">
        <f>TrRoad_act!Q80</f>
        <v>82695</v>
      </c>
      <c r="R26" s="110">
        <f>TrRoad_act!R80</f>
        <v>84893</v>
      </c>
      <c r="S26" s="110">
        <f>TrRoad_act!S80</f>
        <v>86135</v>
      </c>
      <c r="T26" s="110">
        <f>TrRoad_act!T80</f>
        <v>87634</v>
      </c>
      <c r="U26" s="110">
        <f>TrRoad_act!U80</f>
        <v>87164</v>
      </c>
      <c r="V26" s="110">
        <f>TrRoad_act!V80</f>
        <v>87680</v>
      </c>
      <c r="W26" s="110">
        <f>TrRoad_act!W80</f>
        <v>89419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73826</v>
      </c>
      <c r="C27" s="102">
        <f>TrRoad_act!C81</f>
        <v>73451</v>
      </c>
      <c r="D27" s="102">
        <f>TrRoad_act!D81</f>
        <v>71945</v>
      </c>
      <c r="E27" s="102">
        <f>TrRoad_act!E81</f>
        <v>70565</v>
      </c>
      <c r="F27" s="102">
        <f>TrRoad_act!F81</f>
        <v>71141</v>
      </c>
      <c r="G27" s="102">
        <f>TrRoad_act!G81</f>
        <v>72060</v>
      </c>
      <c r="H27" s="102">
        <f>TrRoad_act!H81</f>
        <v>73921</v>
      </c>
      <c r="I27" s="102">
        <f>TrRoad_act!I81</f>
        <v>75643</v>
      </c>
      <c r="J27" s="102">
        <f>TrRoad_act!J81</f>
        <v>74588</v>
      </c>
      <c r="K27" s="102">
        <f>TrRoad_act!K81</f>
        <v>74766</v>
      </c>
      <c r="L27" s="102">
        <f>TrRoad_act!L81</f>
        <v>74769</v>
      </c>
      <c r="M27" s="102">
        <f>TrRoad_act!M81</f>
        <v>78176</v>
      </c>
      <c r="N27" s="102">
        <f>TrRoad_act!N81</f>
        <v>79130</v>
      </c>
      <c r="O27" s="102">
        <f>TrRoad_act!O81</f>
        <v>73045</v>
      </c>
      <c r="P27" s="102">
        <f>TrRoad_act!P81</f>
        <v>73122</v>
      </c>
      <c r="Q27" s="102">
        <f>TrRoad_act!Q81</f>
        <v>73202</v>
      </c>
      <c r="R27" s="102">
        <f>TrRoad_act!R81</f>
        <v>74770</v>
      </c>
      <c r="S27" s="102">
        <f>TrRoad_act!S81</f>
        <v>76181</v>
      </c>
      <c r="T27" s="102">
        <f>TrRoad_act!T81</f>
        <v>77511</v>
      </c>
      <c r="U27" s="102">
        <f>TrRoad_act!U81</f>
        <v>77660</v>
      </c>
      <c r="V27" s="102">
        <f>TrRoad_act!V81</f>
        <v>77847</v>
      </c>
      <c r="W27" s="102">
        <f>TrRoad_act!W81</f>
        <v>78596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6205</v>
      </c>
      <c r="C28" s="86">
        <f>TrRoad_act!C82</f>
        <v>6652</v>
      </c>
      <c r="D28" s="86">
        <f>TrRoad_act!D82</f>
        <v>6998</v>
      </c>
      <c r="E28" s="86">
        <f>TrRoad_act!E82</f>
        <v>7153</v>
      </c>
      <c r="F28" s="86">
        <f>TrRoad_act!F82</f>
        <v>8456</v>
      </c>
      <c r="G28" s="86">
        <f>TrRoad_act!G82</f>
        <v>8752</v>
      </c>
      <c r="H28" s="86">
        <f>TrRoad_act!H82</f>
        <v>9448</v>
      </c>
      <c r="I28" s="86">
        <f>TrRoad_act!I82</f>
        <v>9618</v>
      </c>
      <c r="J28" s="86">
        <f>TrRoad_act!J82</f>
        <v>9253</v>
      </c>
      <c r="K28" s="86">
        <f>TrRoad_act!K82</f>
        <v>7423</v>
      </c>
      <c r="L28" s="86">
        <f>TrRoad_act!L82</f>
        <v>8063</v>
      </c>
      <c r="M28" s="86">
        <f>TrRoad_act!M82</f>
        <v>7909</v>
      </c>
      <c r="N28" s="86">
        <f>TrRoad_act!N82</f>
        <v>7703</v>
      </c>
      <c r="O28" s="86">
        <f>TrRoad_act!O82</f>
        <v>8759</v>
      </c>
      <c r="P28" s="86">
        <f>TrRoad_act!P82</f>
        <v>8329</v>
      </c>
      <c r="Q28" s="86">
        <f>TrRoad_act!Q82</f>
        <v>9493</v>
      </c>
      <c r="R28" s="86">
        <f>TrRoad_act!R82</f>
        <v>10123</v>
      </c>
      <c r="S28" s="86">
        <f>TrRoad_act!S82</f>
        <v>9954</v>
      </c>
      <c r="T28" s="86">
        <f>TrRoad_act!T82</f>
        <v>10123</v>
      </c>
      <c r="U28" s="86">
        <f>TrRoad_act!U82</f>
        <v>9504</v>
      </c>
      <c r="V28" s="86">
        <f>TrRoad_act!V82</f>
        <v>9833</v>
      </c>
      <c r="W28" s="86">
        <f>TrRoad_act!W82</f>
        <v>10823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409026</v>
      </c>
      <c r="C30" s="54">
        <f>TrRoad_act!C111</f>
        <v>370260</v>
      </c>
      <c r="D30" s="54">
        <f>TrRoad_act!D111</f>
        <v>381409</v>
      </c>
      <c r="E30" s="54">
        <f>TrRoad_act!E111</f>
        <v>375294</v>
      </c>
      <c r="F30" s="54">
        <f>TrRoad_act!F111</f>
        <v>381451</v>
      </c>
      <c r="G30" s="54">
        <f>TrRoad_act!G111</f>
        <v>430861</v>
      </c>
      <c r="H30" s="54">
        <f>TrRoad_act!H111</f>
        <v>430084</v>
      </c>
      <c r="I30" s="54">
        <f>TrRoad_act!I111</f>
        <v>436739</v>
      </c>
      <c r="J30" s="54">
        <f>TrRoad_act!J111</f>
        <v>358698</v>
      </c>
      <c r="K30" s="54">
        <f>TrRoad_act!K111</f>
        <v>258845</v>
      </c>
      <c r="L30" s="54">
        <f>TrRoad_act!L111</f>
        <v>382605</v>
      </c>
      <c r="M30" s="54">
        <f>TrRoad_act!M111</f>
        <v>420245</v>
      </c>
      <c r="N30" s="54">
        <f>TrRoad_act!N111</f>
        <v>413325</v>
      </c>
      <c r="O30" s="54">
        <f>TrRoad_act!O111</f>
        <v>382744</v>
      </c>
      <c r="P30" s="54">
        <f>TrRoad_act!P111</f>
        <v>411517</v>
      </c>
      <c r="Q30" s="54">
        <f>TrRoad_act!Q111</f>
        <v>463817</v>
      </c>
      <c r="R30" s="54">
        <f>TrRoad_act!R111</f>
        <v>516737</v>
      </c>
      <c r="S30" s="54">
        <f>TrRoad_act!S111</f>
        <v>527772</v>
      </c>
      <c r="T30" s="54">
        <f>TrRoad_act!T111</f>
        <v>496515</v>
      </c>
      <c r="U30" s="54">
        <f>TrRoad_act!U111</f>
        <v>500435</v>
      </c>
      <c r="V30" s="54">
        <f>TrRoad_act!V111</f>
        <v>422828</v>
      </c>
      <c r="W30" s="54">
        <f>TrRoad_act!W111</f>
        <v>465323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371093</v>
      </c>
      <c r="C31" s="28">
        <f>TrRoad_act!C112</f>
        <v>326542</v>
      </c>
      <c r="D31" s="28">
        <f>TrRoad_act!D112</f>
        <v>342239</v>
      </c>
      <c r="E31" s="28">
        <f>TrRoad_act!E112</f>
        <v>336001</v>
      </c>
      <c r="F31" s="28">
        <f>TrRoad_act!F112</f>
        <v>336032</v>
      </c>
      <c r="G31" s="28">
        <f>TrRoad_act!G112</f>
        <v>381802</v>
      </c>
      <c r="H31" s="28">
        <f>TrRoad_act!H112</f>
        <v>379301</v>
      </c>
      <c r="I31" s="28">
        <f>TrRoad_act!I112</f>
        <v>380912</v>
      </c>
      <c r="J31" s="28">
        <f>TrRoad_act!J112</f>
        <v>312316</v>
      </c>
      <c r="K31" s="28">
        <f>TrRoad_act!K112</f>
        <v>225311</v>
      </c>
      <c r="L31" s="28">
        <f>TrRoad_act!L112</f>
        <v>346640</v>
      </c>
      <c r="M31" s="28">
        <f>TrRoad_act!M112</f>
        <v>355659</v>
      </c>
      <c r="N31" s="28">
        <f>TrRoad_act!N112</f>
        <v>372850</v>
      </c>
      <c r="O31" s="28">
        <f>TrRoad_act!O112</f>
        <v>334679</v>
      </c>
      <c r="P31" s="28">
        <f>TrRoad_act!P112</f>
        <v>362703</v>
      </c>
      <c r="Q31" s="28">
        <f>TrRoad_act!Q112</f>
        <v>410913</v>
      </c>
      <c r="R31" s="28">
        <f>TrRoad_act!R112</f>
        <v>454340</v>
      </c>
      <c r="S31" s="28">
        <f>TrRoad_act!S112</f>
        <v>461960</v>
      </c>
      <c r="T31" s="28">
        <f>TrRoad_act!T112</f>
        <v>425565</v>
      </c>
      <c r="U31" s="28">
        <f>TrRoad_act!U112</f>
        <v>434677</v>
      </c>
      <c r="V31" s="28">
        <f>TrRoad_act!V112</f>
        <v>380873</v>
      </c>
      <c r="W31" s="28">
        <f>TrRoad_act!W112</f>
        <v>417998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26681</v>
      </c>
      <c r="C32" s="137">
        <f>TrRoad_act!C113</f>
        <v>44838</v>
      </c>
      <c r="D32" s="137">
        <f>TrRoad_act!D113</f>
        <v>59556</v>
      </c>
      <c r="E32" s="137">
        <f>TrRoad_act!E113</f>
        <v>41786</v>
      </c>
      <c r="F32" s="137">
        <f>TrRoad_act!F113</f>
        <v>36685</v>
      </c>
      <c r="G32" s="137">
        <f>TrRoad_act!G113</f>
        <v>80932</v>
      </c>
      <c r="H32" s="137">
        <f>TrRoad_act!H113</f>
        <v>74614</v>
      </c>
      <c r="I32" s="137">
        <f>TrRoad_act!I113</f>
        <v>54878</v>
      </c>
      <c r="J32" s="137">
        <f>TrRoad_act!J113</f>
        <v>48903</v>
      </c>
      <c r="K32" s="137">
        <f>TrRoad_act!K113</f>
        <v>38092</v>
      </c>
      <c r="L32" s="137">
        <f>TrRoad_act!L113</f>
        <v>21476</v>
      </c>
      <c r="M32" s="137">
        <f>TrRoad_act!M113</f>
        <v>24373</v>
      </c>
      <c r="N32" s="137">
        <f>TrRoad_act!N113</f>
        <v>66275</v>
      </c>
      <c r="O32" s="137">
        <f>TrRoad_act!O113</f>
        <v>41364</v>
      </c>
      <c r="P32" s="137">
        <f>TrRoad_act!P113</f>
        <v>36449</v>
      </c>
      <c r="Q32" s="137">
        <f>TrRoad_act!Q113</f>
        <v>46168</v>
      </c>
      <c r="R32" s="137">
        <f>TrRoad_act!R113</f>
        <v>53166</v>
      </c>
      <c r="S32" s="137">
        <f>TrRoad_act!S113</f>
        <v>56101</v>
      </c>
      <c r="T32" s="137">
        <f>TrRoad_act!T113</f>
        <v>43889</v>
      </c>
      <c r="U32" s="137">
        <f>TrRoad_act!U113</f>
        <v>44683</v>
      </c>
      <c r="V32" s="137">
        <f>TrRoad_act!V113</f>
        <v>39170</v>
      </c>
      <c r="W32" s="137">
        <f>TrRoad_act!W113</f>
        <v>45194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342949</v>
      </c>
      <c r="C33" s="110">
        <f>TrRoad_act!C114</f>
        <v>280525</v>
      </c>
      <c r="D33" s="110">
        <f>TrRoad_act!D114</f>
        <v>281445</v>
      </c>
      <c r="E33" s="110">
        <f>TrRoad_act!E114</f>
        <v>293032</v>
      </c>
      <c r="F33" s="110">
        <f>TrRoad_act!F114</f>
        <v>298229</v>
      </c>
      <c r="G33" s="110">
        <f>TrRoad_act!G114</f>
        <v>299283</v>
      </c>
      <c r="H33" s="110">
        <f>TrRoad_act!H114</f>
        <v>303326</v>
      </c>
      <c r="I33" s="110">
        <f>TrRoad_act!I114</f>
        <v>325072</v>
      </c>
      <c r="J33" s="110">
        <f>TrRoad_act!J114</f>
        <v>262146</v>
      </c>
      <c r="K33" s="110">
        <f>TrRoad_act!K114</f>
        <v>186031</v>
      </c>
      <c r="L33" s="110">
        <f>TrRoad_act!L114</f>
        <v>323507</v>
      </c>
      <c r="M33" s="110">
        <f>TrRoad_act!M114</f>
        <v>329656</v>
      </c>
      <c r="N33" s="110">
        <f>TrRoad_act!N114</f>
        <v>305057</v>
      </c>
      <c r="O33" s="110">
        <f>TrRoad_act!O114</f>
        <v>291961</v>
      </c>
      <c r="P33" s="110">
        <f>TrRoad_act!P114</f>
        <v>324616</v>
      </c>
      <c r="Q33" s="110">
        <f>TrRoad_act!Q114</f>
        <v>363247</v>
      </c>
      <c r="R33" s="110">
        <f>TrRoad_act!R114</f>
        <v>399792</v>
      </c>
      <c r="S33" s="110">
        <f>TrRoad_act!S114</f>
        <v>404486</v>
      </c>
      <c r="T33" s="110">
        <f>TrRoad_act!T114</f>
        <v>380673</v>
      </c>
      <c r="U33" s="110">
        <f>TrRoad_act!U114</f>
        <v>388527</v>
      </c>
      <c r="V33" s="110">
        <f>TrRoad_act!V114</f>
        <v>340004</v>
      </c>
      <c r="W33" s="110">
        <f>TrRoad_act!W114</f>
        <v>371586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315229</v>
      </c>
      <c r="C34" s="84">
        <f>TrRoad_act!C115</f>
        <v>265142</v>
      </c>
      <c r="D34" s="84">
        <f>TrRoad_act!D115</f>
        <v>262364</v>
      </c>
      <c r="E34" s="84">
        <f>TrRoad_act!E115</f>
        <v>270998</v>
      </c>
      <c r="F34" s="84">
        <f>TrRoad_act!F115</f>
        <v>273807</v>
      </c>
      <c r="G34" s="84">
        <f>TrRoad_act!G115</f>
        <v>268256</v>
      </c>
      <c r="H34" s="84">
        <f>TrRoad_act!H115</f>
        <v>244199</v>
      </c>
      <c r="I34" s="84">
        <f>TrRoad_act!I115</f>
        <v>215950</v>
      </c>
      <c r="J34" s="84">
        <f>TrRoad_act!J115</f>
        <v>171565</v>
      </c>
      <c r="K34" s="84">
        <f>TrRoad_act!K115</f>
        <v>93981</v>
      </c>
      <c r="L34" s="84">
        <f>TrRoad_act!L115</f>
        <v>154339</v>
      </c>
      <c r="M34" s="84">
        <f>TrRoad_act!M115</f>
        <v>127369</v>
      </c>
      <c r="N34" s="84">
        <f>TrRoad_act!N115</f>
        <v>102549</v>
      </c>
      <c r="O34" s="84">
        <f>TrRoad_act!O115</f>
        <v>110654</v>
      </c>
      <c r="P34" s="84">
        <f>TrRoad_act!P115</f>
        <v>125853</v>
      </c>
      <c r="Q34" s="84">
        <f>TrRoad_act!Q115</f>
        <v>142579</v>
      </c>
      <c r="R34" s="84">
        <f>TrRoad_act!R115</f>
        <v>176336</v>
      </c>
      <c r="S34" s="84">
        <f>TrRoad_act!S115</f>
        <v>188423</v>
      </c>
      <c r="T34" s="84">
        <f>TrRoad_act!T115</f>
        <v>210109</v>
      </c>
      <c r="U34" s="84">
        <f>TrRoad_act!U115</f>
        <v>219627</v>
      </c>
      <c r="V34" s="84">
        <f>TrRoad_act!V115</f>
        <v>164695</v>
      </c>
      <c r="W34" s="84">
        <f>TrRoad_act!W115</f>
        <v>163527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27720</v>
      </c>
      <c r="C35" s="84">
        <f>TrRoad_act!C116</f>
        <v>15383</v>
      </c>
      <c r="D35" s="84">
        <f>TrRoad_act!D116</f>
        <v>18161</v>
      </c>
      <c r="E35" s="84">
        <f>TrRoad_act!E116</f>
        <v>21096</v>
      </c>
      <c r="F35" s="84">
        <f>TrRoad_act!F116</f>
        <v>23402</v>
      </c>
      <c r="G35" s="84">
        <f>TrRoad_act!G116</f>
        <v>29437</v>
      </c>
      <c r="H35" s="84">
        <f>TrRoad_act!H116</f>
        <v>58780</v>
      </c>
      <c r="I35" s="84">
        <f>TrRoad_act!I116</f>
        <v>108458</v>
      </c>
      <c r="J35" s="84">
        <f>TrRoad_act!J116</f>
        <v>89538</v>
      </c>
      <c r="K35" s="84">
        <f>TrRoad_act!K116</f>
        <v>91175</v>
      </c>
      <c r="L35" s="84">
        <f>TrRoad_act!L116</f>
        <v>161565</v>
      </c>
      <c r="M35" s="84">
        <f>TrRoad_act!M116</f>
        <v>195145</v>
      </c>
      <c r="N35" s="84">
        <f>TrRoad_act!N116</f>
        <v>196136</v>
      </c>
      <c r="O35" s="84">
        <f>TrRoad_act!O116</f>
        <v>176485</v>
      </c>
      <c r="P35" s="84">
        <f>TrRoad_act!P116</f>
        <v>188998</v>
      </c>
      <c r="Q35" s="84">
        <f>TrRoad_act!Q116</f>
        <v>207091</v>
      </c>
      <c r="R35" s="84">
        <f>TrRoad_act!R116</f>
        <v>202383</v>
      </c>
      <c r="S35" s="84">
        <f>TrRoad_act!S116</f>
        <v>192191</v>
      </c>
      <c r="T35" s="84">
        <f>TrRoad_act!T116</f>
        <v>138666</v>
      </c>
      <c r="U35" s="84">
        <f>TrRoad_act!U116</f>
        <v>123708</v>
      </c>
      <c r="V35" s="84">
        <f>TrRoad_act!V116</f>
        <v>77772</v>
      </c>
      <c r="W35" s="84">
        <f>TrRoad_act!W116</f>
        <v>70794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300</v>
      </c>
      <c r="H36" s="84">
        <f>TrRoad_act!H117</f>
        <v>0</v>
      </c>
      <c r="I36" s="84">
        <f>TrRoad_act!I117</f>
        <v>0</v>
      </c>
      <c r="J36" s="84">
        <f>TrRoad_act!J117</f>
        <v>19</v>
      </c>
      <c r="K36" s="84">
        <f>TrRoad_act!K117</f>
        <v>101</v>
      </c>
      <c r="L36" s="84">
        <f>TrRoad_act!L117</f>
        <v>0</v>
      </c>
      <c r="M36" s="84">
        <f>TrRoad_act!M117</f>
        <v>138</v>
      </c>
      <c r="N36" s="84">
        <f>TrRoad_act!N117</f>
        <v>3</v>
      </c>
      <c r="O36" s="84">
        <f>TrRoad_act!O117</f>
        <v>9</v>
      </c>
      <c r="P36" s="84">
        <f>TrRoad_act!P117</f>
        <v>4</v>
      </c>
      <c r="Q36" s="84">
        <f>TrRoad_act!Q117</f>
        <v>5</v>
      </c>
      <c r="R36" s="84">
        <f>TrRoad_act!R117</f>
        <v>0</v>
      </c>
      <c r="S36" s="84">
        <f>TrRoad_act!S117</f>
        <v>0</v>
      </c>
      <c r="T36" s="84">
        <f>TrRoad_act!T117</f>
        <v>0</v>
      </c>
      <c r="U36" s="84">
        <f>TrRoad_act!U117</f>
        <v>0</v>
      </c>
      <c r="V36" s="84">
        <f>TrRoad_act!V117</f>
        <v>0</v>
      </c>
      <c r="W36" s="84">
        <f>TrRoad_act!W117</f>
        <v>0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920</v>
      </c>
      <c r="E37" s="84">
        <f>TrRoad_act!E118</f>
        <v>938</v>
      </c>
      <c r="F37" s="84">
        <f>TrRoad_act!F118</f>
        <v>1020</v>
      </c>
      <c r="G37" s="84">
        <f>TrRoad_act!G118</f>
        <v>1290</v>
      </c>
      <c r="H37" s="84">
        <f>TrRoad_act!H118</f>
        <v>347</v>
      </c>
      <c r="I37" s="84">
        <f>TrRoad_act!I118</f>
        <v>664</v>
      </c>
      <c r="J37" s="84">
        <f>TrRoad_act!J118</f>
        <v>765</v>
      </c>
      <c r="K37" s="84">
        <f>TrRoad_act!K118</f>
        <v>716</v>
      </c>
      <c r="L37" s="84">
        <f>TrRoad_act!L118</f>
        <v>7517</v>
      </c>
      <c r="M37" s="84">
        <f>TrRoad_act!M118</f>
        <v>6634</v>
      </c>
      <c r="N37" s="84">
        <f>TrRoad_act!N118</f>
        <v>5461</v>
      </c>
      <c r="O37" s="84">
        <f>TrRoad_act!O118</f>
        <v>3841</v>
      </c>
      <c r="P37" s="84">
        <f>TrRoad_act!P118</f>
        <v>4935</v>
      </c>
      <c r="Q37" s="84">
        <f>TrRoad_act!Q118</f>
        <v>5061</v>
      </c>
      <c r="R37" s="84">
        <f>TrRoad_act!R118</f>
        <v>7827</v>
      </c>
      <c r="S37" s="84">
        <f>TrRoad_act!S118</f>
        <v>3921</v>
      </c>
      <c r="T37" s="84">
        <f>TrRoad_act!T118</f>
        <v>3260</v>
      </c>
      <c r="U37" s="84">
        <f>TrRoad_act!U118</f>
        <v>4966</v>
      </c>
      <c r="V37" s="84">
        <f>TrRoad_act!V118</f>
        <v>3524</v>
      </c>
      <c r="W37" s="84">
        <f>TrRoad_act!W118</f>
        <v>1494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130</v>
      </c>
      <c r="K38" s="84">
        <f>TrRoad_act!K119</f>
        <v>30</v>
      </c>
      <c r="L38" s="84">
        <f>TrRoad_act!L119</f>
        <v>30</v>
      </c>
      <c r="M38" s="84">
        <f>TrRoad_act!M119</f>
        <v>185</v>
      </c>
      <c r="N38" s="84">
        <f>TrRoad_act!N119</f>
        <v>641</v>
      </c>
      <c r="O38" s="84">
        <f>TrRoad_act!O119</f>
        <v>519</v>
      </c>
      <c r="P38" s="84">
        <f>TrRoad_act!P119</f>
        <v>3456</v>
      </c>
      <c r="Q38" s="84">
        <f>TrRoad_act!Q119</f>
        <v>5408</v>
      </c>
      <c r="R38" s="84">
        <f>TrRoad_act!R119</f>
        <v>10027</v>
      </c>
      <c r="S38" s="84">
        <f>TrRoad_act!S119</f>
        <v>15548</v>
      </c>
      <c r="T38" s="84">
        <f>TrRoad_act!T119</f>
        <v>21375</v>
      </c>
      <c r="U38" s="84">
        <f>TrRoad_act!U119</f>
        <v>24431</v>
      </c>
      <c r="V38" s="84">
        <f>TrRoad_act!V119</f>
        <v>66032</v>
      </c>
      <c r="W38" s="84">
        <f>TrRoad_act!W119</f>
        <v>78176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129</v>
      </c>
      <c r="K39" s="84">
        <f>TrRoad_act!K120</f>
        <v>28</v>
      </c>
      <c r="L39" s="84">
        <f>TrRoad_act!L120</f>
        <v>56</v>
      </c>
      <c r="M39" s="84">
        <f>TrRoad_act!M120</f>
        <v>185</v>
      </c>
      <c r="N39" s="84">
        <f>TrRoad_act!N120</f>
        <v>267</v>
      </c>
      <c r="O39" s="84">
        <f>TrRoad_act!O120</f>
        <v>453</v>
      </c>
      <c r="P39" s="84">
        <f>TrRoad_act!P120</f>
        <v>1370</v>
      </c>
      <c r="Q39" s="84">
        <f>TrRoad_act!Q120</f>
        <v>3103</v>
      </c>
      <c r="R39" s="84">
        <f>TrRoad_act!R120</f>
        <v>3219</v>
      </c>
      <c r="S39" s="84">
        <f>TrRoad_act!S120</f>
        <v>4403</v>
      </c>
      <c r="T39" s="84">
        <f>TrRoad_act!T120</f>
        <v>7263</v>
      </c>
      <c r="U39" s="84">
        <f>TrRoad_act!U120</f>
        <v>15795</v>
      </c>
      <c r="V39" s="84">
        <f>TrRoad_act!V120</f>
        <v>27981</v>
      </c>
      <c r="W39" s="84">
        <f>TrRoad_act!W120</f>
        <v>57595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1463</v>
      </c>
      <c r="C40" s="110">
        <f>TrRoad_act!C121</f>
        <v>1179</v>
      </c>
      <c r="D40" s="110">
        <f>TrRoad_act!D121</f>
        <v>1238</v>
      </c>
      <c r="E40" s="110">
        <f>TrRoad_act!E121</f>
        <v>1183</v>
      </c>
      <c r="F40" s="110">
        <f>TrRoad_act!F121</f>
        <v>1118</v>
      </c>
      <c r="G40" s="110">
        <f>TrRoad_act!G121</f>
        <v>1587</v>
      </c>
      <c r="H40" s="110">
        <f>TrRoad_act!H121</f>
        <v>1361</v>
      </c>
      <c r="I40" s="110">
        <f>TrRoad_act!I121</f>
        <v>962</v>
      </c>
      <c r="J40" s="110">
        <f>TrRoad_act!J121</f>
        <v>1267</v>
      </c>
      <c r="K40" s="110">
        <f>TrRoad_act!K121</f>
        <v>1188</v>
      </c>
      <c r="L40" s="110">
        <f>TrRoad_act!L121</f>
        <v>1657</v>
      </c>
      <c r="M40" s="110">
        <f>TrRoad_act!M121</f>
        <v>1630</v>
      </c>
      <c r="N40" s="110">
        <f>TrRoad_act!N121</f>
        <v>1518</v>
      </c>
      <c r="O40" s="110">
        <f>TrRoad_act!O121</f>
        <v>1354</v>
      </c>
      <c r="P40" s="110">
        <f>TrRoad_act!P121</f>
        <v>1638</v>
      </c>
      <c r="Q40" s="110">
        <f>TrRoad_act!Q121</f>
        <v>1498</v>
      </c>
      <c r="R40" s="110">
        <f>TrRoad_act!R121</f>
        <v>1382</v>
      </c>
      <c r="S40" s="110">
        <f>TrRoad_act!S121</f>
        <v>1373</v>
      </c>
      <c r="T40" s="110">
        <f>TrRoad_act!T121</f>
        <v>1003</v>
      </c>
      <c r="U40" s="110">
        <f>TrRoad_act!U121</f>
        <v>1467</v>
      </c>
      <c r="V40" s="110">
        <f>TrRoad_act!V121</f>
        <v>1699</v>
      </c>
      <c r="W40" s="110">
        <f>TrRoad_act!W121</f>
        <v>1218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9</v>
      </c>
      <c r="C41" s="102">
        <f>TrRoad_act!C122</f>
        <v>4</v>
      </c>
      <c r="D41" s="102">
        <f>TrRoad_act!D122</f>
        <v>2</v>
      </c>
      <c r="E41" s="102">
        <f>TrRoad_act!E122</f>
        <v>3</v>
      </c>
      <c r="F41" s="102">
        <f>TrRoad_act!F122</f>
        <v>0</v>
      </c>
      <c r="G41" s="102">
        <f>TrRoad_act!G122</f>
        <v>0</v>
      </c>
      <c r="H41" s="102">
        <f>TrRoad_act!H122</f>
        <v>7</v>
      </c>
      <c r="I41" s="102">
        <f>TrRoad_act!I122</f>
        <v>1</v>
      </c>
      <c r="J41" s="102">
        <f>TrRoad_act!J122</f>
        <v>3</v>
      </c>
      <c r="K41" s="102">
        <f>TrRoad_act!K122</f>
        <v>6</v>
      </c>
      <c r="L41" s="102">
        <f>TrRoad_act!L122</f>
        <v>0</v>
      </c>
      <c r="M41" s="102">
        <f>TrRoad_act!M122</f>
        <v>27</v>
      </c>
      <c r="N41" s="102">
        <f>TrRoad_act!N122</f>
        <v>0</v>
      </c>
      <c r="O41" s="102">
        <f>TrRoad_act!O122</f>
        <v>4</v>
      </c>
      <c r="P41" s="102">
        <f>TrRoad_act!P122</f>
        <v>2</v>
      </c>
      <c r="Q41" s="102">
        <f>TrRoad_act!Q122</f>
        <v>0</v>
      </c>
      <c r="R41" s="102">
        <f>TrRoad_act!R122</f>
        <v>7</v>
      </c>
      <c r="S41" s="102">
        <f>TrRoad_act!S122</f>
        <v>2</v>
      </c>
      <c r="T41" s="102">
        <f>TrRoad_act!T122</f>
        <v>2</v>
      </c>
      <c r="U41" s="102">
        <f>TrRoad_act!U122</f>
        <v>1</v>
      </c>
      <c r="V41" s="102">
        <f>TrRoad_act!V122</f>
        <v>2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1449</v>
      </c>
      <c r="C42" s="102">
        <f>TrRoad_act!C123</f>
        <v>1140</v>
      </c>
      <c r="D42" s="102">
        <f>TrRoad_act!D123</f>
        <v>1235</v>
      </c>
      <c r="E42" s="102">
        <f>TrRoad_act!E123</f>
        <v>1174</v>
      </c>
      <c r="F42" s="102">
        <f>TrRoad_act!F123</f>
        <v>1072</v>
      </c>
      <c r="G42" s="102">
        <f>TrRoad_act!G123</f>
        <v>1085</v>
      </c>
      <c r="H42" s="102">
        <f>TrRoad_act!H123</f>
        <v>1212</v>
      </c>
      <c r="I42" s="102">
        <f>TrRoad_act!I123</f>
        <v>869</v>
      </c>
      <c r="J42" s="102">
        <f>TrRoad_act!J123</f>
        <v>1043</v>
      </c>
      <c r="K42" s="102">
        <f>TrRoad_act!K123</f>
        <v>894</v>
      </c>
      <c r="L42" s="102">
        <f>TrRoad_act!L123</f>
        <v>1289</v>
      </c>
      <c r="M42" s="102">
        <f>TrRoad_act!M123</f>
        <v>1226</v>
      </c>
      <c r="N42" s="102">
        <f>TrRoad_act!N123</f>
        <v>1204</v>
      </c>
      <c r="O42" s="102">
        <f>TrRoad_act!O123</f>
        <v>899</v>
      </c>
      <c r="P42" s="102">
        <f>TrRoad_act!P123</f>
        <v>864</v>
      </c>
      <c r="Q42" s="102">
        <f>TrRoad_act!Q123</f>
        <v>888</v>
      </c>
      <c r="R42" s="102">
        <f>TrRoad_act!R123</f>
        <v>1319</v>
      </c>
      <c r="S42" s="102">
        <f>TrRoad_act!S123</f>
        <v>1055</v>
      </c>
      <c r="T42" s="102">
        <f>TrRoad_act!T123</f>
        <v>879</v>
      </c>
      <c r="U42" s="102">
        <f>TrRoad_act!U123</f>
        <v>1012</v>
      </c>
      <c r="V42" s="102">
        <f>TrRoad_act!V123</f>
        <v>1029</v>
      </c>
      <c r="W42" s="102">
        <f>TrRoad_act!W123</f>
        <v>860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35</v>
      </c>
      <c r="D44" s="102">
        <f>TrRoad_act!D125</f>
        <v>1</v>
      </c>
      <c r="E44" s="102">
        <f>TrRoad_act!E125</f>
        <v>0</v>
      </c>
      <c r="F44" s="102">
        <f>TrRoad_act!F125</f>
        <v>46</v>
      </c>
      <c r="G44" s="102">
        <f>TrRoad_act!G125</f>
        <v>502</v>
      </c>
      <c r="H44" s="102">
        <f>TrRoad_act!H125</f>
        <v>142</v>
      </c>
      <c r="I44" s="102">
        <f>TrRoad_act!I125</f>
        <v>92</v>
      </c>
      <c r="J44" s="102">
        <f>TrRoad_act!J125</f>
        <v>221</v>
      </c>
      <c r="K44" s="102">
        <f>TrRoad_act!K125</f>
        <v>288</v>
      </c>
      <c r="L44" s="102">
        <f>TrRoad_act!L125</f>
        <v>368</v>
      </c>
      <c r="M44" s="102">
        <f>TrRoad_act!M125</f>
        <v>377</v>
      </c>
      <c r="N44" s="102">
        <f>TrRoad_act!N125</f>
        <v>312</v>
      </c>
      <c r="O44" s="102">
        <f>TrRoad_act!O125</f>
        <v>449</v>
      </c>
      <c r="P44" s="102">
        <f>TrRoad_act!P125</f>
        <v>768</v>
      </c>
      <c r="Q44" s="102">
        <f>TrRoad_act!Q125</f>
        <v>600</v>
      </c>
      <c r="R44" s="102">
        <f>TrRoad_act!R125</f>
        <v>33</v>
      </c>
      <c r="S44" s="102">
        <f>TrRoad_act!S125</f>
        <v>299</v>
      </c>
      <c r="T44" s="102">
        <f>TrRoad_act!T125</f>
        <v>75</v>
      </c>
      <c r="U44" s="102">
        <f>TrRoad_act!U125</f>
        <v>284</v>
      </c>
      <c r="V44" s="102">
        <f>TrRoad_act!V125</f>
        <v>463</v>
      </c>
      <c r="W44" s="102">
        <f>TrRoad_act!W125</f>
        <v>166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5</v>
      </c>
      <c r="C45" s="102">
        <f>TrRoad_act!C126</f>
        <v>0</v>
      </c>
      <c r="D45" s="102">
        <f>TrRoad_act!D126</f>
        <v>0</v>
      </c>
      <c r="E45" s="102">
        <f>TrRoad_act!E126</f>
        <v>6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2</v>
      </c>
      <c r="O45" s="102">
        <f>TrRoad_act!O126</f>
        <v>2</v>
      </c>
      <c r="P45" s="102">
        <f>TrRoad_act!P126</f>
        <v>4</v>
      </c>
      <c r="Q45" s="102">
        <f>TrRoad_act!Q126</f>
        <v>10</v>
      </c>
      <c r="R45" s="102">
        <f>TrRoad_act!R126</f>
        <v>23</v>
      </c>
      <c r="S45" s="102">
        <f>TrRoad_act!S126</f>
        <v>17</v>
      </c>
      <c r="T45" s="102">
        <f>TrRoad_act!T126</f>
        <v>47</v>
      </c>
      <c r="U45" s="102">
        <f>TrRoad_act!U126</f>
        <v>170</v>
      </c>
      <c r="V45" s="102">
        <f>TrRoad_act!V126</f>
        <v>205</v>
      </c>
      <c r="W45" s="102">
        <f>TrRoad_act!W126</f>
        <v>192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37933</v>
      </c>
      <c r="C46" s="28">
        <f>TrRoad_act!C127</f>
        <v>43718</v>
      </c>
      <c r="D46" s="28">
        <f>TrRoad_act!D127</f>
        <v>39170</v>
      </c>
      <c r="E46" s="28">
        <f>TrRoad_act!E127</f>
        <v>39293</v>
      </c>
      <c r="F46" s="28">
        <f>TrRoad_act!F127</f>
        <v>45419</v>
      </c>
      <c r="G46" s="28">
        <f>TrRoad_act!G127</f>
        <v>49059</v>
      </c>
      <c r="H46" s="28">
        <f>TrRoad_act!H127</f>
        <v>50783</v>
      </c>
      <c r="I46" s="28">
        <f>TrRoad_act!I127</f>
        <v>55827</v>
      </c>
      <c r="J46" s="28">
        <f>TrRoad_act!J127</f>
        <v>46382</v>
      </c>
      <c r="K46" s="28">
        <f>TrRoad_act!K127</f>
        <v>33534</v>
      </c>
      <c r="L46" s="28">
        <f>TrRoad_act!L127</f>
        <v>35965</v>
      </c>
      <c r="M46" s="28">
        <f>TrRoad_act!M127</f>
        <v>64586</v>
      </c>
      <c r="N46" s="28">
        <f>TrRoad_act!N127</f>
        <v>40475</v>
      </c>
      <c r="O46" s="28">
        <f>TrRoad_act!O127</f>
        <v>48065</v>
      </c>
      <c r="P46" s="28">
        <f>TrRoad_act!P127</f>
        <v>48814</v>
      </c>
      <c r="Q46" s="28">
        <f>TrRoad_act!Q127</f>
        <v>52904</v>
      </c>
      <c r="R46" s="28">
        <f>TrRoad_act!R127</f>
        <v>62397</v>
      </c>
      <c r="S46" s="28">
        <f>TrRoad_act!S127</f>
        <v>65812</v>
      </c>
      <c r="T46" s="28">
        <f>TrRoad_act!T127</f>
        <v>70950</v>
      </c>
      <c r="U46" s="28">
        <f>TrRoad_act!U127</f>
        <v>65758</v>
      </c>
      <c r="V46" s="28">
        <f>TrRoad_act!V127</f>
        <v>41955</v>
      </c>
      <c r="W46" s="28">
        <f>TrRoad_act!W127</f>
        <v>47325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32247</v>
      </c>
      <c r="C47" s="137">
        <f>TrRoad_act!C128</f>
        <v>37954</v>
      </c>
      <c r="D47" s="137">
        <f>TrRoad_act!D128</f>
        <v>33785</v>
      </c>
      <c r="E47" s="137">
        <f>TrRoad_act!E128</f>
        <v>34087</v>
      </c>
      <c r="F47" s="137">
        <f>TrRoad_act!F128</f>
        <v>38910</v>
      </c>
      <c r="G47" s="137">
        <f>TrRoad_act!G128</f>
        <v>41869</v>
      </c>
      <c r="H47" s="137">
        <f>TrRoad_act!H128</f>
        <v>40419</v>
      </c>
      <c r="I47" s="137">
        <f>TrRoad_act!I128</f>
        <v>46210</v>
      </c>
      <c r="J47" s="137">
        <f>TrRoad_act!J128</f>
        <v>39542</v>
      </c>
      <c r="K47" s="137">
        <f>TrRoad_act!K128</f>
        <v>27502</v>
      </c>
      <c r="L47" s="137">
        <f>TrRoad_act!L128</f>
        <v>26907</v>
      </c>
      <c r="M47" s="137">
        <f>TrRoad_act!M128</f>
        <v>53795</v>
      </c>
      <c r="N47" s="137">
        <f>TrRoad_act!N128</f>
        <v>32512</v>
      </c>
      <c r="O47" s="137">
        <f>TrRoad_act!O128</f>
        <v>41465</v>
      </c>
      <c r="P47" s="137">
        <f>TrRoad_act!P128</f>
        <v>43456</v>
      </c>
      <c r="Q47" s="137">
        <f>TrRoad_act!Q128</f>
        <v>45835</v>
      </c>
      <c r="R47" s="137">
        <f>TrRoad_act!R128</f>
        <v>53227</v>
      </c>
      <c r="S47" s="137">
        <f>TrRoad_act!S128</f>
        <v>57178</v>
      </c>
      <c r="T47" s="137">
        <f>TrRoad_act!T128</f>
        <v>62595</v>
      </c>
      <c r="U47" s="137">
        <f>TrRoad_act!U128</f>
        <v>58835</v>
      </c>
      <c r="V47" s="137">
        <f>TrRoad_act!V128</f>
        <v>34158</v>
      </c>
      <c r="W47" s="137">
        <f>TrRoad_act!W128</f>
        <v>37729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8946</v>
      </c>
      <c r="C48" s="84">
        <f>TrRoad_act!C129</f>
        <v>7404</v>
      </c>
      <c r="D48" s="84">
        <f>TrRoad_act!D129</f>
        <v>6275</v>
      </c>
      <c r="E48" s="84">
        <f>TrRoad_act!E129</f>
        <v>5330</v>
      </c>
      <c r="F48" s="84">
        <f>TrRoad_act!F129</f>
        <v>4568</v>
      </c>
      <c r="G48" s="84">
        <f>TrRoad_act!G129</f>
        <v>4609</v>
      </c>
      <c r="H48" s="84">
        <f>TrRoad_act!H129</f>
        <v>4442</v>
      </c>
      <c r="I48" s="84">
        <f>TrRoad_act!I129</f>
        <v>4177</v>
      </c>
      <c r="J48" s="84">
        <f>TrRoad_act!J129</f>
        <v>2928</v>
      </c>
      <c r="K48" s="84">
        <f>TrRoad_act!K129</f>
        <v>2413</v>
      </c>
      <c r="L48" s="84">
        <f>TrRoad_act!L129</f>
        <v>2248</v>
      </c>
      <c r="M48" s="84">
        <f>TrRoad_act!M129</f>
        <v>2183</v>
      </c>
      <c r="N48" s="84">
        <f>TrRoad_act!N129</f>
        <v>1680</v>
      </c>
      <c r="O48" s="84">
        <f>TrRoad_act!O129</f>
        <v>1110</v>
      </c>
      <c r="P48" s="84">
        <f>TrRoad_act!P129</f>
        <v>1535</v>
      </c>
      <c r="Q48" s="84">
        <f>TrRoad_act!Q129</f>
        <v>1242</v>
      </c>
      <c r="R48" s="84">
        <f>TrRoad_act!R129</f>
        <v>1430</v>
      </c>
      <c r="S48" s="84">
        <f>TrRoad_act!S129</f>
        <v>1504</v>
      </c>
      <c r="T48" s="84">
        <f>TrRoad_act!T129</f>
        <v>3440</v>
      </c>
      <c r="U48" s="84">
        <f>TrRoad_act!U129</f>
        <v>4868</v>
      </c>
      <c r="V48" s="84">
        <f>TrRoad_act!V129</f>
        <v>3355</v>
      </c>
      <c r="W48" s="84">
        <f>TrRoad_act!W129</f>
        <v>2274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23301</v>
      </c>
      <c r="C49" s="84">
        <f>TrRoad_act!C130</f>
        <v>30547</v>
      </c>
      <c r="D49" s="84">
        <f>TrRoad_act!D130</f>
        <v>27496</v>
      </c>
      <c r="E49" s="84">
        <f>TrRoad_act!E130</f>
        <v>28729</v>
      </c>
      <c r="F49" s="84">
        <f>TrRoad_act!F130</f>
        <v>34317</v>
      </c>
      <c r="G49" s="84">
        <f>TrRoad_act!G130</f>
        <v>37176</v>
      </c>
      <c r="H49" s="84">
        <f>TrRoad_act!H130</f>
        <v>35542</v>
      </c>
      <c r="I49" s="84">
        <f>TrRoad_act!I130</f>
        <v>41586</v>
      </c>
      <c r="J49" s="84">
        <f>TrRoad_act!J130</f>
        <v>35688</v>
      </c>
      <c r="K49" s="84">
        <f>TrRoad_act!K130</f>
        <v>24048</v>
      </c>
      <c r="L49" s="84">
        <f>TrRoad_act!L130</f>
        <v>23571</v>
      </c>
      <c r="M49" s="84">
        <f>TrRoad_act!M130</f>
        <v>50687</v>
      </c>
      <c r="N49" s="84">
        <f>TrRoad_act!N130</f>
        <v>29845</v>
      </c>
      <c r="O49" s="84">
        <f>TrRoad_act!O130</f>
        <v>39534</v>
      </c>
      <c r="P49" s="84">
        <f>TrRoad_act!P130</f>
        <v>40918</v>
      </c>
      <c r="Q49" s="84">
        <f>TrRoad_act!Q130</f>
        <v>43429</v>
      </c>
      <c r="R49" s="84">
        <f>TrRoad_act!R130</f>
        <v>50921</v>
      </c>
      <c r="S49" s="84">
        <f>TrRoad_act!S130</f>
        <v>54199</v>
      </c>
      <c r="T49" s="84">
        <f>TrRoad_act!T130</f>
        <v>54584</v>
      </c>
      <c r="U49" s="84">
        <f>TrRoad_act!U130</f>
        <v>51492</v>
      </c>
      <c r="V49" s="84">
        <f>TrRoad_act!V130</f>
        <v>28144</v>
      </c>
      <c r="W49" s="84">
        <f>TrRoad_act!W130</f>
        <v>32304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3</v>
      </c>
      <c r="D51" s="84">
        <f>TrRoad_act!D132</f>
        <v>14</v>
      </c>
      <c r="E51" s="84">
        <f>TrRoad_act!E132</f>
        <v>28</v>
      </c>
      <c r="F51" s="84">
        <f>TrRoad_act!F132</f>
        <v>25</v>
      </c>
      <c r="G51" s="84">
        <f>TrRoad_act!G132</f>
        <v>82</v>
      </c>
      <c r="H51" s="84">
        <f>TrRoad_act!H132</f>
        <v>230</v>
      </c>
      <c r="I51" s="84">
        <f>TrRoad_act!I132</f>
        <v>447</v>
      </c>
      <c r="J51" s="84">
        <f>TrRoad_act!J132</f>
        <v>926</v>
      </c>
      <c r="K51" s="84">
        <f>TrRoad_act!K132</f>
        <v>1038</v>
      </c>
      <c r="L51" s="84">
        <f>TrRoad_act!L132</f>
        <v>1088</v>
      </c>
      <c r="M51" s="84">
        <f>TrRoad_act!M132</f>
        <v>916</v>
      </c>
      <c r="N51" s="84">
        <f>TrRoad_act!N132</f>
        <v>721</v>
      </c>
      <c r="O51" s="84">
        <f>TrRoad_act!O132</f>
        <v>613</v>
      </c>
      <c r="P51" s="84">
        <f>TrRoad_act!P132</f>
        <v>715</v>
      </c>
      <c r="Q51" s="84">
        <f>TrRoad_act!Q132</f>
        <v>711</v>
      </c>
      <c r="R51" s="84">
        <f>TrRoad_act!R132</f>
        <v>560</v>
      </c>
      <c r="S51" s="84">
        <f>TrRoad_act!S132</f>
        <v>1000</v>
      </c>
      <c r="T51" s="84">
        <f>TrRoad_act!T132</f>
        <v>3704</v>
      </c>
      <c r="U51" s="84">
        <f>TrRoad_act!U132</f>
        <v>1076</v>
      </c>
      <c r="V51" s="84">
        <f>TrRoad_act!V132</f>
        <v>691</v>
      </c>
      <c r="W51" s="84">
        <f>TrRoad_act!W132</f>
        <v>439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2</v>
      </c>
      <c r="H52" s="84">
        <f>TrRoad_act!H133</f>
        <v>205</v>
      </c>
      <c r="I52" s="84">
        <f>TrRoad_act!I133</f>
        <v>0</v>
      </c>
      <c r="J52" s="84">
        <f>TrRoad_act!J133</f>
        <v>0</v>
      </c>
      <c r="K52" s="84">
        <f>TrRoad_act!K133</f>
        <v>3</v>
      </c>
      <c r="L52" s="84">
        <f>TrRoad_act!L133</f>
        <v>0</v>
      </c>
      <c r="M52" s="84">
        <f>TrRoad_act!M133</f>
        <v>9</v>
      </c>
      <c r="N52" s="84">
        <f>TrRoad_act!N133</f>
        <v>266</v>
      </c>
      <c r="O52" s="84">
        <f>TrRoad_act!O133</f>
        <v>208</v>
      </c>
      <c r="P52" s="84">
        <f>TrRoad_act!P133</f>
        <v>288</v>
      </c>
      <c r="Q52" s="84">
        <f>TrRoad_act!Q133</f>
        <v>453</v>
      </c>
      <c r="R52" s="84">
        <f>TrRoad_act!R133</f>
        <v>316</v>
      </c>
      <c r="S52" s="84">
        <f>TrRoad_act!S133</f>
        <v>475</v>
      </c>
      <c r="T52" s="84">
        <f>TrRoad_act!T133</f>
        <v>867</v>
      </c>
      <c r="U52" s="84">
        <f>TrRoad_act!U133</f>
        <v>1399</v>
      </c>
      <c r="V52" s="84">
        <f>TrRoad_act!V133</f>
        <v>1968</v>
      </c>
      <c r="W52" s="84">
        <f>TrRoad_act!W133</f>
        <v>2712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5686</v>
      </c>
      <c r="C53" s="110">
        <f>TrRoad_act!C134</f>
        <v>5764</v>
      </c>
      <c r="D53" s="110">
        <f>TrRoad_act!D134</f>
        <v>5385</v>
      </c>
      <c r="E53" s="110">
        <f>TrRoad_act!E134</f>
        <v>5206</v>
      </c>
      <c r="F53" s="110">
        <f>TrRoad_act!F134</f>
        <v>6509</v>
      </c>
      <c r="G53" s="110">
        <f>TrRoad_act!G134</f>
        <v>7190</v>
      </c>
      <c r="H53" s="110">
        <f>TrRoad_act!H134</f>
        <v>10364</v>
      </c>
      <c r="I53" s="110">
        <f>TrRoad_act!I134</f>
        <v>9617</v>
      </c>
      <c r="J53" s="110">
        <f>TrRoad_act!J134</f>
        <v>6840</v>
      </c>
      <c r="K53" s="110">
        <f>TrRoad_act!K134</f>
        <v>6032</v>
      </c>
      <c r="L53" s="110">
        <f>TrRoad_act!L134</f>
        <v>9058</v>
      </c>
      <c r="M53" s="110">
        <f>TrRoad_act!M134</f>
        <v>10791</v>
      </c>
      <c r="N53" s="110">
        <f>TrRoad_act!N134</f>
        <v>7963</v>
      </c>
      <c r="O53" s="110">
        <f>TrRoad_act!O134</f>
        <v>6600</v>
      </c>
      <c r="P53" s="110">
        <f>TrRoad_act!P134</f>
        <v>5358</v>
      </c>
      <c r="Q53" s="110">
        <f>TrRoad_act!Q134</f>
        <v>7069</v>
      </c>
      <c r="R53" s="110">
        <f>TrRoad_act!R134</f>
        <v>9170</v>
      </c>
      <c r="S53" s="110">
        <f>TrRoad_act!S134</f>
        <v>8634</v>
      </c>
      <c r="T53" s="110">
        <f>TrRoad_act!T134</f>
        <v>8355</v>
      </c>
      <c r="U53" s="110">
        <f>TrRoad_act!U134</f>
        <v>6923</v>
      </c>
      <c r="V53" s="110">
        <f>TrRoad_act!V134</f>
        <v>7797</v>
      </c>
      <c r="W53" s="110">
        <f>TrRoad_act!W134</f>
        <v>9596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5065</v>
      </c>
      <c r="C54" s="102">
        <f>TrRoad_act!C135</f>
        <v>4709</v>
      </c>
      <c r="D54" s="102">
        <f>TrRoad_act!D135</f>
        <v>4328</v>
      </c>
      <c r="E54" s="102">
        <f>TrRoad_act!E135</f>
        <v>4248</v>
      </c>
      <c r="F54" s="102">
        <f>TrRoad_act!F135</f>
        <v>4329</v>
      </c>
      <c r="G54" s="102">
        <f>TrRoad_act!G135</f>
        <v>5942</v>
      </c>
      <c r="H54" s="102">
        <f>TrRoad_act!H135</f>
        <v>8662</v>
      </c>
      <c r="I54" s="102">
        <f>TrRoad_act!I135</f>
        <v>8403</v>
      </c>
      <c r="J54" s="102">
        <f>TrRoad_act!J135</f>
        <v>6148</v>
      </c>
      <c r="K54" s="102">
        <f>TrRoad_act!K135</f>
        <v>6032</v>
      </c>
      <c r="L54" s="102">
        <f>TrRoad_act!L135</f>
        <v>7550</v>
      </c>
      <c r="M54" s="102">
        <f>TrRoad_act!M135</f>
        <v>10026</v>
      </c>
      <c r="N54" s="102">
        <f>TrRoad_act!N135</f>
        <v>7205</v>
      </c>
      <c r="O54" s="102">
        <f>TrRoad_act!O135</f>
        <v>4553</v>
      </c>
      <c r="P54" s="102">
        <f>TrRoad_act!P135</f>
        <v>4758</v>
      </c>
      <c r="Q54" s="102">
        <f>TrRoad_act!Q135</f>
        <v>4858</v>
      </c>
      <c r="R54" s="102">
        <f>TrRoad_act!R135</f>
        <v>7474</v>
      </c>
      <c r="S54" s="102">
        <f>TrRoad_act!S135</f>
        <v>7707</v>
      </c>
      <c r="T54" s="102">
        <f>TrRoad_act!T135</f>
        <v>7076</v>
      </c>
      <c r="U54" s="102">
        <f>TrRoad_act!U135</f>
        <v>6420</v>
      </c>
      <c r="V54" s="102">
        <f>TrRoad_act!V135</f>
        <v>6332</v>
      </c>
      <c r="W54" s="102">
        <f>TrRoad_act!W135</f>
        <v>7443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621</v>
      </c>
      <c r="C55" s="86">
        <f>TrRoad_act!C136</f>
        <v>1055</v>
      </c>
      <c r="D55" s="86">
        <f>TrRoad_act!D136</f>
        <v>1057</v>
      </c>
      <c r="E55" s="86">
        <f>TrRoad_act!E136</f>
        <v>958</v>
      </c>
      <c r="F55" s="86">
        <f>TrRoad_act!F136</f>
        <v>2180</v>
      </c>
      <c r="G55" s="86">
        <f>TrRoad_act!G136</f>
        <v>1248</v>
      </c>
      <c r="H55" s="86">
        <f>TrRoad_act!H136</f>
        <v>1702</v>
      </c>
      <c r="I55" s="86">
        <f>TrRoad_act!I136</f>
        <v>1214</v>
      </c>
      <c r="J55" s="86">
        <f>TrRoad_act!J136</f>
        <v>692</v>
      </c>
      <c r="K55" s="86">
        <f>TrRoad_act!K136</f>
        <v>0</v>
      </c>
      <c r="L55" s="86">
        <f>TrRoad_act!L136</f>
        <v>1508</v>
      </c>
      <c r="M55" s="86">
        <f>TrRoad_act!M136</f>
        <v>765</v>
      </c>
      <c r="N55" s="86">
        <f>TrRoad_act!N136</f>
        <v>758</v>
      </c>
      <c r="O55" s="86">
        <f>TrRoad_act!O136</f>
        <v>2047</v>
      </c>
      <c r="P55" s="86">
        <f>TrRoad_act!P136</f>
        <v>600</v>
      </c>
      <c r="Q55" s="86">
        <f>TrRoad_act!Q136</f>
        <v>2211</v>
      </c>
      <c r="R55" s="86">
        <f>TrRoad_act!R136</f>
        <v>1696</v>
      </c>
      <c r="S55" s="86">
        <f>TrRoad_act!S136</f>
        <v>927</v>
      </c>
      <c r="T55" s="86">
        <f>TrRoad_act!T136</f>
        <v>1279</v>
      </c>
      <c r="U55" s="86">
        <f>TrRoad_act!U136</f>
        <v>503</v>
      </c>
      <c r="V55" s="86">
        <f>TrRoad_act!V136</f>
        <v>1465</v>
      </c>
      <c r="W55" s="86">
        <f>TrRoad_act!W136</f>
        <v>2153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232819</v>
      </c>
      <c r="C59" s="54">
        <f t="shared" si="0"/>
        <v>79376</v>
      </c>
      <c r="D59" s="54">
        <f t="shared" si="0"/>
        <v>101909</v>
      </c>
      <c r="E59" s="54">
        <f t="shared" si="0"/>
        <v>115199</v>
      </c>
      <c r="F59" s="54">
        <f t="shared" si="0"/>
        <v>137634</v>
      </c>
      <c r="G59" s="54">
        <f t="shared" si="0"/>
        <v>189271</v>
      </c>
      <c r="H59" s="54">
        <f t="shared" si="0"/>
        <v>194482</v>
      </c>
      <c r="I59" s="54">
        <f t="shared" si="0"/>
        <v>185805</v>
      </c>
      <c r="J59" s="54">
        <f t="shared" si="0"/>
        <v>194488</v>
      </c>
      <c r="K59" s="54">
        <f t="shared" si="0"/>
        <v>165806</v>
      </c>
      <c r="L59" s="54">
        <f t="shared" ref="L59" si="1">L60+L75</f>
        <v>260501</v>
      </c>
      <c r="M59" s="54">
        <f t="shared" ref="M59:V59" si="2">M60+M75</f>
        <v>313236</v>
      </c>
      <c r="N59" s="54">
        <f t="shared" si="2"/>
        <v>335848</v>
      </c>
      <c r="O59" s="54">
        <f t="shared" si="2"/>
        <v>326919</v>
      </c>
      <c r="P59" s="54">
        <f t="shared" si="2"/>
        <v>364252</v>
      </c>
      <c r="Q59" s="54">
        <f t="shared" si="2"/>
        <v>422757</v>
      </c>
      <c r="R59" s="54">
        <f t="shared" si="2"/>
        <v>488691</v>
      </c>
      <c r="S59" s="54">
        <f t="shared" si="2"/>
        <v>513286</v>
      </c>
      <c r="T59" s="54">
        <f t="shared" si="2"/>
        <v>489447</v>
      </c>
      <c r="U59" s="54">
        <f t="shared" si="2"/>
        <v>497776</v>
      </c>
      <c r="V59" s="54">
        <f t="shared" si="2"/>
        <v>419115</v>
      </c>
      <c r="W59" s="54">
        <f t="shared" ref="W59" si="3">W60+W75</f>
        <v>465323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227376</v>
      </c>
      <c r="C60" s="28">
        <f t="shared" si="4"/>
        <v>77974</v>
      </c>
      <c r="D60" s="28">
        <f t="shared" si="4"/>
        <v>100440</v>
      </c>
      <c r="E60" s="28">
        <f t="shared" si="4"/>
        <v>113687</v>
      </c>
      <c r="F60" s="28">
        <f t="shared" si="4"/>
        <v>129899</v>
      </c>
      <c r="G60" s="28">
        <f t="shared" si="4"/>
        <v>175370</v>
      </c>
      <c r="H60" s="28">
        <f t="shared" si="4"/>
        <v>177590</v>
      </c>
      <c r="I60" s="28">
        <f t="shared" si="4"/>
        <v>163185</v>
      </c>
      <c r="J60" s="28">
        <f t="shared" si="4"/>
        <v>171847</v>
      </c>
      <c r="K60" s="28">
        <f t="shared" si="4"/>
        <v>145659</v>
      </c>
      <c r="L60" s="28">
        <f t="shared" ref="L60" si="5">L61+L62+L69</f>
        <v>237592</v>
      </c>
      <c r="M60" s="28">
        <f t="shared" ref="M60:V60" si="6">M61+M62+M69</f>
        <v>266186</v>
      </c>
      <c r="N60" s="28">
        <f t="shared" si="6"/>
        <v>304322</v>
      </c>
      <c r="O60" s="28">
        <f t="shared" si="6"/>
        <v>286701</v>
      </c>
      <c r="P60" s="28">
        <f t="shared" si="6"/>
        <v>321048</v>
      </c>
      <c r="Q60" s="28">
        <f t="shared" si="6"/>
        <v>374448</v>
      </c>
      <c r="R60" s="28">
        <f t="shared" si="6"/>
        <v>429796</v>
      </c>
      <c r="S60" s="28">
        <f t="shared" si="6"/>
        <v>449647</v>
      </c>
      <c r="T60" s="28">
        <f t="shared" si="6"/>
        <v>419791</v>
      </c>
      <c r="U60" s="28">
        <f t="shared" si="6"/>
        <v>432502</v>
      </c>
      <c r="V60" s="28">
        <f t="shared" si="6"/>
        <v>377749</v>
      </c>
      <c r="W60" s="28">
        <f t="shared" ref="W60" si="7">W61+W62+W69</f>
        <v>417998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12626</v>
      </c>
      <c r="D61" s="137">
        <v>23636</v>
      </c>
      <c r="E61" s="137">
        <v>20896</v>
      </c>
      <c r="F61" s="137">
        <v>21792</v>
      </c>
      <c r="G61" s="137">
        <v>54851</v>
      </c>
      <c r="H61" s="137">
        <v>54281</v>
      </c>
      <c r="I61" s="137">
        <v>42075</v>
      </c>
      <c r="J61" s="137">
        <v>39273</v>
      </c>
      <c r="K61" s="137">
        <v>31864</v>
      </c>
      <c r="L61" s="137">
        <v>18614</v>
      </c>
      <c r="M61" s="137">
        <v>21783</v>
      </c>
      <c r="N61" s="137">
        <v>60808</v>
      </c>
      <c r="O61" s="137">
        <v>38800</v>
      </c>
      <c r="P61" s="137">
        <v>34821</v>
      </c>
      <c r="Q61" s="137">
        <v>44764</v>
      </c>
      <c r="R61" s="137">
        <v>52154</v>
      </c>
      <c r="S61" s="137">
        <v>55513</v>
      </c>
      <c r="T61" s="137">
        <v>43689</v>
      </c>
      <c r="U61" s="137">
        <v>44633</v>
      </c>
      <c r="V61" s="137">
        <v>39168</v>
      </c>
      <c r="W61" s="137">
        <v>45194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227359</v>
      </c>
      <c r="C62" s="110">
        <f t="shared" si="8"/>
        <v>65341</v>
      </c>
      <c r="D62" s="110">
        <f t="shared" si="8"/>
        <v>76791</v>
      </c>
      <c r="E62" s="110">
        <f t="shared" si="8"/>
        <v>92777</v>
      </c>
      <c r="F62" s="110">
        <f t="shared" si="8"/>
        <v>108088</v>
      </c>
      <c r="G62" s="110">
        <f t="shared" si="8"/>
        <v>120482</v>
      </c>
      <c r="H62" s="110">
        <f t="shared" si="8"/>
        <v>123229</v>
      </c>
      <c r="I62" s="110">
        <f t="shared" si="8"/>
        <v>121008</v>
      </c>
      <c r="J62" s="110">
        <f t="shared" si="8"/>
        <v>132373</v>
      </c>
      <c r="K62" s="110">
        <f t="shared" si="8"/>
        <v>113548</v>
      </c>
      <c r="L62" s="110">
        <f t="shared" ref="L62" si="9">SUM(L63:L68)</f>
        <v>218515</v>
      </c>
      <c r="M62" s="110">
        <f t="shared" ref="M62:V62" si="10">SUM(M63:M68)</f>
        <v>243833</v>
      </c>
      <c r="N62" s="110">
        <f t="shared" si="10"/>
        <v>242854</v>
      </c>
      <c r="O62" s="110">
        <f t="shared" si="10"/>
        <v>247125</v>
      </c>
      <c r="P62" s="110">
        <f t="shared" si="10"/>
        <v>284906</v>
      </c>
      <c r="Q62" s="110">
        <f t="shared" si="10"/>
        <v>328393</v>
      </c>
      <c r="R62" s="110">
        <f t="shared" si="10"/>
        <v>376435</v>
      </c>
      <c r="S62" s="110">
        <f t="shared" si="10"/>
        <v>392850</v>
      </c>
      <c r="T62" s="110">
        <f t="shared" si="10"/>
        <v>375138</v>
      </c>
      <c r="U62" s="110">
        <f t="shared" si="10"/>
        <v>386421</v>
      </c>
      <c r="V62" s="110">
        <f t="shared" si="10"/>
        <v>336927</v>
      </c>
      <c r="W62" s="110">
        <f t="shared" ref="W62" si="11">SUM(W63:W68)</f>
        <v>371586</v>
      </c>
      <c r="DA62" s="176" t="s">
        <v>839</v>
      </c>
    </row>
    <row r="63" spans="1:105" ht="11.45" customHeight="1" x14ac:dyDescent="0.25">
      <c r="A63" s="111" t="s">
        <v>110</v>
      </c>
      <c r="B63" s="84">
        <v>227359</v>
      </c>
      <c r="C63" s="84">
        <v>65341</v>
      </c>
      <c r="D63" s="84">
        <v>76791</v>
      </c>
      <c r="E63" s="84">
        <v>92777</v>
      </c>
      <c r="F63" s="84">
        <v>108088</v>
      </c>
      <c r="G63" s="84">
        <v>120482</v>
      </c>
      <c r="H63" s="84">
        <v>123229</v>
      </c>
      <c r="I63" s="84">
        <v>121008</v>
      </c>
      <c r="J63" s="84">
        <v>105586</v>
      </c>
      <c r="K63" s="84">
        <v>62873</v>
      </c>
      <c r="L63" s="84">
        <v>111163</v>
      </c>
      <c r="M63" s="84">
        <v>97879</v>
      </c>
      <c r="N63" s="84">
        <v>83373</v>
      </c>
      <c r="O63" s="84">
        <v>94428</v>
      </c>
      <c r="P63" s="84">
        <v>111898</v>
      </c>
      <c r="Q63" s="84">
        <v>131170</v>
      </c>
      <c r="R63" s="84">
        <v>166772</v>
      </c>
      <c r="S63" s="84">
        <v>182091</v>
      </c>
      <c r="T63" s="84">
        <v>206305</v>
      </c>
      <c r="U63" s="84">
        <v>217959</v>
      </c>
      <c r="V63" s="84">
        <v>161960</v>
      </c>
      <c r="W63" s="84">
        <v>163527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26787</v>
      </c>
      <c r="K64" s="84">
        <v>50675</v>
      </c>
      <c r="L64" s="84">
        <v>107352</v>
      </c>
      <c r="M64" s="84">
        <v>143154</v>
      </c>
      <c r="N64" s="84">
        <v>155919</v>
      </c>
      <c r="O64" s="84">
        <v>149637</v>
      </c>
      <c r="P64" s="84">
        <v>168603</v>
      </c>
      <c r="Q64" s="84">
        <v>192149</v>
      </c>
      <c r="R64" s="84">
        <v>193410</v>
      </c>
      <c r="S64" s="84">
        <v>187596</v>
      </c>
      <c r="T64" s="84">
        <v>137252</v>
      </c>
      <c r="U64" s="84">
        <v>123402</v>
      </c>
      <c r="V64" s="84">
        <v>77771</v>
      </c>
      <c r="W64" s="84">
        <v>70794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2800</v>
      </c>
      <c r="N66" s="84">
        <v>3562</v>
      </c>
      <c r="O66" s="84">
        <v>3060</v>
      </c>
      <c r="P66" s="84">
        <v>4405</v>
      </c>
      <c r="Q66" s="84">
        <v>4809</v>
      </c>
      <c r="R66" s="84">
        <v>7673</v>
      </c>
      <c r="S66" s="84">
        <v>3897</v>
      </c>
      <c r="T66" s="84">
        <v>3255</v>
      </c>
      <c r="U66" s="84">
        <v>4965</v>
      </c>
      <c r="V66" s="84">
        <v>3524</v>
      </c>
      <c r="W66" s="84">
        <v>1494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5845</v>
      </c>
      <c r="S67" s="84">
        <v>14993</v>
      </c>
      <c r="T67" s="84">
        <v>21137</v>
      </c>
      <c r="U67" s="84">
        <v>24347</v>
      </c>
      <c r="V67" s="84">
        <v>65783</v>
      </c>
      <c r="W67" s="84">
        <v>78176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265</v>
      </c>
      <c r="R68" s="84">
        <v>2735</v>
      </c>
      <c r="S68" s="84">
        <v>4273</v>
      </c>
      <c r="T68" s="84">
        <v>7189</v>
      </c>
      <c r="U68" s="84">
        <v>15748</v>
      </c>
      <c r="V68" s="84">
        <v>27889</v>
      </c>
      <c r="W68" s="84">
        <v>57595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17</v>
      </c>
      <c r="C69" s="110">
        <f t="shared" si="12"/>
        <v>7</v>
      </c>
      <c r="D69" s="110">
        <f t="shared" si="12"/>
        <v>13</v>
      </c>
      <c r="E69" s="110">
        <f t="shared" si="12"/>
        <v>14</v>
      </c>
      <c r="F69" s="110">
        <f t="shared" si="12"/>
        <v>19</v>
      </c>
      <c r="G69" s="110">
        <f t="shared" si="12"/>
        <v>37</v>
      </c>
      <c r="H69" s="110">
        <f t="shared" si="12"/>
        <v>80</v>
      </c>
      <c r="I69" s="110">
        <f t="shared" si="12"/>
        <v>102</v>
      </c>
      <c r="J69" s="110">
        <f t="shared" si="12"/>
        <v>201</v>
      </c>
      <c r="K69" s="110">
        <f t="shared" si="12"/>
        <v>247</v>
      </c>
      <c r="L69" s="110">
        <f t="shared" ref="L69" si="13">SUM(L70:L74)</f>
        <v>463</v>
      </c>
      <c r="M69" s="110">
        <f t="shared" ref="M69:V69" si="14">SUM(M70:M74)</f>
        <v>570</v>
      </c>
      <c r="N69" s="110">
        <f t="shared" si="14"/>
        <v>660</v>
      </c>
      <c r="O69" s="110">
        <f t="shared" si="14"/>
        <v>776</v>
      </c>
      <c r="P69" s="110">
        <f t="shared" si="14"/>
        <v>1321</v>
      </c>
      <c r="Q69" s="110">
        <f t="shared" si="14"/>
        <v>1291</v>
      </c>
      <c r="R69" s="110">
        <f t="shared" si="14"/>
        <v>1207</v>
      </c>
      <c r="S69" s="110">
        <f t="shared" si="14"/>
        <v>1284</v>
      </c>
      <c r="T69" s="110">
        <f t="shared" si="14"/>
        <v>964</v>
      </c>
      <c r="U69" s="110">
        <f t="shared" si="14"/>
        <v>1448</v>
      </c>
      <c r="V69" s="110">
        <f t="shared" si="14"/>
        <v>1654</v>
      </c>
      <c r="W69" s="110">
        <f t="shared" ref="W69" si="15">SUM(W70:W74)</f>
        <v>1218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3</v>
      </c>
      <c r="L70" s="102">
        <v>0</v>
      </c>
      <c r="M70" s="102">
        <v>15</v>
      </c>
      <c r="N70" s="102">
        <v>0</v>
      </c>
      <c r="O70" s="102">
        <v>3</v>
      </c>
      <c r="P70" s="102">
        <v>2</v>
      </c>
      <c r="Q70" s="102">
        <v>0</v>
      </c>
      <c r="R70" s="102">
        <v>6</v>
      </c>
      <c r="S70" s="102">
        <v>2</v>
      </c>
      <c r="T70" s="102">
        <v>2</v>
      </c>
      <c r="U70" s="102">
        <v>1</v>
      </c>
      <c r="V70" s="102">
        <v>2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17</v>
      </c>
      <c r="C71" s="102">
        <v>7</v>
      </c>
      <c r="D71" s="102">
        <v>13</v>
      </c>
      <c r="E71" s="102">
        <v>14</v>
      </c>
      <c r="F71" s="102">
        <v>19</v>
      </c>
      <c r="G71" s="102">
        <v>37</v>
      </c>
      <c r="H71" s="102">
        <v>80</v>
      </c>
      <c r="I71" s="102">
        <v>102</v>
      </c>
      <c r="J71" s="102">
        <v>201</v>
      </c>
      <c r="K71" s="102">
        <v>244</v>
      </c>
      <c r="L71" s="102">
        <v>463</v>
      </c>
      <c r="M71" s="102">
        <v>555</v>
      </c>
      <c r="N71" s="102">
        <v>660</v>
      </c>
      <c r="O71" s="102">
        <v>577</v>
      </c>
      <c r="P71" s="102">
        <v>629</v>
      </c>
      <c r="Q71" s="102">
        <v>714</v>
      </c>
      <c r="R71" s="102">
        <v>1145</v>
      </c>
      <c r="S71" s="102">
        <v>969</v>
      </c>
      <c r="T71" s="102">
        <v>840</v>
      </c>
      <c r="U71" s="102">
        <v>993</v>
      </c>
      <c r="V71" s="102">
        <v>985</v>
      </c>
      <c r="W71" s="102">
        <v>860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196</v>
      </c>
      <c r="P73" s="102">
        <v>690</v>
      </c>
      <c r="Q73" s="102">
        <v>568</v>
      </c>
      <c r="R73" s="102">
        <v>33</v>
      </c>
      <c r="S73" s="102">
        <v>296</v>
      </c>
      <c r="T73" s="102">
        <v>75</v>
      </c>
      <c r="U73" s="102">
        <v>284</v>
      </c>
      <c r="V73" s="102">
        <v>463</v>
      </c>
      <c r="W73" s="102">
        <v>166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9</v>
      </c>
      <c r="R74" s="102">
        <v>23</v>
      </c>
      <c r="S74" s="102">
        <v>17</v>
      </c>
      <c r="T74" s="102">
        <v>47</v>
      </c>
      <c r="U74" s="102">
        <v>170</v>
      </c>
      <c r="V74" s="102">
        <v>204</v>
      </c>
      <c r="W74" s="102">
        <v>192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5443</v>
      </c>
      <c r="C75" s="28">
        <f t="shared" si="16"/>
        <v>1402</v>
      </c>
      <c r="D75" s="28">
        <f t="shared" si="16"/>
        <v>1469</v>
      </c>
      <c r="E75" s="28">
        <f t="shared" si="16"/>
        <v>1512</v>
      </c>
      <c r="F75" s="28">
        <f t="shared" si="16"/>
        <v>7735</v>
      </c>
      <c r="G75" s="28">
        <f t="shared" si="16"/>
        <v>13901</v>
      </c>
      <c r="H75" s="28">
        <f t="shared" si="16"/>
        <v>16892</v>
      </c>
      <c r="I75" s="28">
        <f t="shared" si="16"/>
        <v>22620</v>
      </c>
      <c r="J75" s="28">
        <f t="shared" si="16"/>
        <v>22641</v>
      </c>
      <c r="K75" s="28">
        <f t="shared" si="16"/>
        <v>20147</v>
      </c>
      <c r="L75" s="28">
        <f t="shared" ref="L75" si="17">L76+L82</f>
        <v>22909</v>
      </c>
      <c r="M75" s="28">
        <f t="shared" ref="M75:V75" si="18">M76+M82</f>
        <v>47050</v>
      </c>
      <c r="N75" s="28">
        <f t="shared" si="18"/>
        <v>31526</v>
      </c>
      <c r="O75" s="28">
        <f t="shared" si="18"/>
        <v>40218</v>
      </c>
      <c r="P75" s="28">
        <f t="shared" si="18"/>
        <v>43204</v>
      </c>
      <c r="Q75" s="28">
        <f t="shared" si="18"/>
        <v>48309</v>
      </c>
      <c r="R75" s="28">
        <f t="shared" si="18"/>
        <v>58895</v>
      </c>
      <c r="S75" s="28">
        <f t="shared" si="18"/>
        <v>63639</v>
      </c>
      <c r="T75" s="28">
        <f t="shared" si="18"/>
        <v>69656</v>
      </c>
      <c r="U75" s="28">
        <f t="shared" si="18"/>
        <v>65274</v>
      </c>
      <c r="V75" s="28">
        <f t="shared" si="18"/>
        <v>41366</v>
      </c>
      <c r="W75" s="28">
        <f t="shared" ref="W75" si="19">W76+W82</f>
        <v>47325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5443</v>
      </c>
      <c r="C76" s="137">
        <f t="shared" si="20"/>
        <v>1402</v>
      </c>
      <c r="D76" s="137">
        <f t="shared" si="20"/>
        <v>1469</v>
      </c>
      <c r="E76" s="137">
        <f t="shared" si="20"/>
        <v>1512</v>
      </c>
      <c r="F76" s="137">
        <f t="shared" si="20"/>
        <v>7735</v>
      </c>
      <c r="G76" s="137">
        <f t="shared" si="20"/>
        <v>13901</v>
      </c>
      <c r="H76" s="137">
        <f t="shared" si="20"/>
        <v>16892</v>
      </c>
      <c r="I76" s="137">
        <f t="shared" si="20"/>
        <v>22620</v>
      </c>
      <c r="J76" s="137">
        <f t="shared" si="20"/>
        <v>21686</v>
      </c>
      <c r="K76" s="137">
        <f t="shared" si="20"/>
        <v>16595</v>
      </c>
      <c r="L76" s="137">
        <f t="shared" ref="L76" si="21">SUM(L77:L81)</f>
        <v>17788</v>
      </c>
      <c r="M76" s="137">
        <f t="shared" ref="M76:V76" si="22">SUM(M77:M81)</f>
        <v>39447</v>
      </c>
      <c r="N76" s="137">
        <f t="shared" si="22"/>
        <v>25232</v>
      </c>
      <c r="O76" s="137">
        <f t="shared" si="22"/>
        <v>34843</v>
      </c>
      <c r="P76" s="137">
        <f t="shared" si="22"/>
        <v>38369</v>
      </c>
      <c r="Q76" s="137">
        <f t="shared" si="22"/>
        <v>42028</v>
      </c>
      <c r="R76" s="137">
        <f t="shared" si="22"/>
        <v>50250</v>
      </c>
      <c r="S76" s="137">
        <f t="shared" si="22"/>
        <v>55223</v>
      </c>
      <c r="T76" s="137">
        <f t="shared" si="22"/>
        <v>61501</v>
      </c>
      <c r="U76" s="137">
        <f t="shared" si="22"/>
        <v>58403</v>
      </c>
      <c r="V76" s="137">
        <f t="shared" si="22"/>
        <v>33646</v>
      </c>
      <c r="W76" s="137">
        <f t="shared" ref="W76" si="23">SUM(W77:W81)</f>
        <v>37729</v>
      </c>
      <c r="DA76" s="174" t="s">
        <v>853</v>
      </c>
    </row>
    <row r="77" spans="1:105" ht="11.45" customHeight="1" x14ac:dyDescent="0.25">
      <c r="A77" s="111" t="s">
        <v>110</v>
      </c>
      <c r="B77" s="84">
        <v>5443</v>
      </c>
      <c r="C77" s="84">
        <v>1402</v>
      </c>
      <c r="D77" s="84">
        <v>1469</v>
      </c>
      <c r="E77" s="84">
        <v>1512</v>
      </c>
      <c r="F77" s="84">
        <v>1542</v>
      </c>
      <c r="G77" s="84">
        <v>1820</v>
      </c>
      <c r="H77" s="84">
        <v>2018</v>
      </c>
      <c r="I77" s="84">
        <v>2152</v>
      </c>
      <c r="J77" s="84">
        <v>1687</v>
      </c>
      <c r="K77" s="84">
        <v>1535</v>
      </c>
      <c r="L77" s="84">
        <v>1560</v>
      </c>
      <c r="M77" s="84">
        <v>1633</v>
      </c>
      <c r="N77" s="84">
        <v>1341</v>
      </c>
      <c r="O77" s="84">
        <v>937</v>
      </c>
      <c r="P77" s="84">
        <v>1357</v>
      </c>
      <c r="Q77" s="84">
        <v>1141</v>
      </c>
      <c r="R77" s="84">
        <v>1353</v>
      </c>
      <c r="S77" s="84">
        <v>1456</v>
      </c>
      <c r="T77" s="84">
        <v>3385</v>
      </c>
      <c r="U77" s="84">
        <v>4838</v>
      </c>
      <c r="V77" s="84">
        <v>3314</v>
      </c>
      <c r="W77" s="84">
        <v>2274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6193</v>
      </c>
      <c r="G78" s="84">
        <v>12081</v>
      </c>
      <c r="H78" s="84">
        <v>14874</v>
      </c>
      <c r="I78" s="84">
        <v>20468</v>
      </c>
      <c r="J78" s="84">
        <v>19999</v>
      </c>
      <c r="K78" s="84">
        <v>15060</v>
      </c>
      <c r="L78" s="84">
        <v>16228</v>
      </c>
      <c r="M78" s="84">
        <v>37814</v>
      </c>
      <c r="N78" s="84">
        <v>23817</v>
      </c>
      <c r="O78" s="84">
        <v>33364</v>
      </c>
      <c r="P78" s="84">
        <v>36150</v>
      </c>
      <c r="Q78" s="84">
        <v>39805</v>
      </c>
      <c r="R78" s="84">
        <v>48051</v>
      </c>
      <c r="S78" s="84">
        <v>52313</v>
      </c>
      <c r="T78" s="84">
        <v>53566</v>
      </c>
      <c r="U78" s="84">
        <v>51096</v>
      </c>
      <c r="V78" s="84">
        <v>27684</v>
      </c>
      <c r="W78" s="84">
        <v>32304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396</v>
      </c>
      <c r="P80" s="84">
        <v>615</v>
      </c>
      <c r="Q80" s="84">
        <v>661</v>
      </c>
      <c r="R80" s="84">
        <v>543</v>
      </c>
      <c r="S80" s="84">
        <v>988</v>
      </c>
      <c r="T80" s="84">
        <v>3692</v>
      </c>
      <c r="U80" s="84">
        <v>1075</v>
      </c>
      <c r="V80" s="84">
        <v>691</v>
      </c>
      <c r="W80" s="84">
        <v>439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74</v>
      </c>
      <c r="O81" s="84">
        <v>146</v>
      </c>
      <c r="P81" s="84">
        <v>247</v>
      </c>
      <c r="Q81" s="84">
        <v>421</v>
      </c>
      <c r="R81" s="84">
        <v>303</v>
      </c>
      <c r="S81" s="84">
        <v>466</v>
      </c>
      <c r="T81" s="84">
        <v>858</v>
      </c>
      <c r="U81" s="84">
        <v>1394</v>
      </c>
      <c r="V81" s="84">
        <v>1957</v>
      </c>
      <c r="W81" s="84">
        <v>2712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0</v>
      </c>
      <c r="J82" s="110">
        <f t="shared" si="24"/>
        <v>955</v>
      </c>
      <c r="K82" s="110">
        <f t="shared" si="24"/>
        <v>3552</v>
      </c>
      <c r="L82" s="110">
        <f t="shared" ref="L82" si="25">SUM(L83:L84)</f>
        <v>5121</v>
      </c>
      <c r="M82" s="110">
        <f t="shared" ref="M82:V82" si="26">SUM(M83:M84)</f>
        <v>7603</v>
      </c>
      <c r="N82" s="110">
        <f t="shared" si="26"/>
        <v>6294</v>
      </c>
      <c r="O82" s="110">
        <f t="shared" si="26"/>
        <v>5375</v>
      </c>
      <c r="P82" s="110">
        <f t="shared" si="26"/>
        <v>4835</v>
      </c>
      <c r="Q82" s="110">
        <f t="shared" si="26"/>
        <v>6281</v>
      </c>
      <c r="R82" s="110">
        <f t="shared" si="26"/>
        <v>8645</v>
      </c>
      <c r="S82" s="110">
        <f t="shared" si="26"/>
        <v>8416</v>
      </c>
      <c r="T82" s="110">
        <f t="shared" si="26"/>
        <v>8155</v>
      </c>
      <c r="U82" s="110">
        <f t="shared" si="26"/>
        <v>6871</v>
      </c>
      <c r="V82" s="110">
        <f t="shared" si="26"/>
        <v>7720</v>
      </c>
      <c r="W82" s="110">
        <f t="shared" ref="W82" si="27">SUM(W83:W84)</f>
        <v>9596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0</v>
      </c>
      <c r="J83" s="102">
        <v>955</v>
      </c>
      <c r="K83" s="102">
        <v>3552</v>
      </c>
      <c r="L83" s="102">
        <v>5121</v>
      </c>
      <c r="M83" s="102">
        <v>7603</v>
      </c>
      <c r="N83" s="102">
        <v>5960</v>
      </c>
      <c r="O83" s="102">
        <v>4025</v>
      </c>
      <c r="P83" s="102">
        <v>4419</v>
      </c>
      <c r="Q83" s="102">
        <v>4670</v>
      </c>
      <c r="R83" s="102">
        <v>7349</v>
      </c>
      <c r="S83" s="102">
        <v>7673</v>
      </c>
      <c r="T83" s="102">
        <v>7074</v>
      </c>
      <c r="U83" s="102">
        <v>6420</v>
      </c>
      <c r="V83" s="102">
        <v>6332</v>
      </c>
      <c r="W83" s="102">
        <v>7443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334</v>
      </c>
      <c r="O84" s="86">
        <v>1350</v>
      </c>
      <c r="P84" s="86">
        <v>416</v>
      </c>
      <c r="Q84" s="86">
        <v>1611</v>
      </c>
      <c r="R84" s="86">
        <v>1296</v>
      </c>
      <c r="S84" s="86">
        <v>743</v>
      </c>
      <c r="T84" s="86">
        <v>1081</v>
      </c>
      <c r="U84" s="86">
        <v>451</v>
      </c>
      <c r="V84" s="86">
        <v>1388</v>
      </c>
      <c r="W84" s="86">
        <v>2153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4.6287801291341353</v>
      </c>
      <c r="C90" s="141">
        <v>4.5467548623589193</v>
      </c>
      <c r="D90" s="141">
        <v>4.4564589501222942</v>
      </c>
      <c r="E90" s="141">
        <v>4.3966772335909035</v>
      </c>
      <c r="F90" s="141">
        <v>4.3392634653627598</v>
      </c>
      <c r="G90" s="141">
        <v>4.2375432815538545</v>
      </c>
      <c r="H90" s="141">
        <v>4.1471451031556512</v>
      </c>
      <c r="I90" s="141">
        <v>4.0831465569273018</v>
      </c>
      <c r="J90" s="141">
        <v>4.0109136668551857</v>
      </c>
      <c r="K90" s="141">
        <v>3.9417758012316213</v>
      </c>
      <c r="L90" s="141">
        <v>3.8861147177068665</v>
      </c>
      <c r="M90" s="141">
        <v>3.8482475434418326</v>
      </c>
      <c r="N90" s="141">
        <v>3.7053122979304782</v>
      </c>
      <c r="O90" s="141">
        <v>3.6340812187412173</v>
      </c>
      <c r="P90" s="141">
        <v>3.5470813731822113</v>
      </c>
      <c r="Q90" s="141">
        <v>3.4605599110332279</v>
      </c>
      <c r="R90" s="141">
        <v>3.3646085546583882</v>
      </c>
      <c r="S90" s="141">
        <v>3.2664724716226452</v>
      </c>
      <c r="T90" s="141">
        <v>3.1895628077856197</v>
      </c>
      <c r="U90" s="141">
        <v>3.1132444645213018</v>
      </c>
      <c r="V90" s="141">
        <v>3.0691402423351333</v>
      </c>
      <c r="W90" s="141">
        <v>2.8709826485536709</v>
      </c>
      <c r="DA90" s="174" t="s">
        <v>862</v>
      </c>
    </row>
    <row r="91" spans="1:105" ht="11.45" customHeight="1" x14ac:dyDescent="0.25">
      <c r="A91" s="109" t="s">
        <v>20</v>
      </c>
      <c r="B91" s="130">
        <v>9.6643040696419682</v>
      </c>
      <c r="C91" s="130">
        <v>9.4637431821294857</v>
      </c>
      <c r="D91" s="130">
        <v>9.373767916730559</v>
      </c>
      <c r="E91" s="130">
        <v>9.2759753429062464</v>
      </c>
      <c r="F91" s="130">
        <v>9.1838385194068568</v>
      </c>
      <c r="G91" s="130">
        <v>9.0772044729407124</v>
      </c>
      <c r="H91" s="130">
        <v>8.9672952825090864</v>
      </c>
      <c r="I91" s="130">
        <v>8.8232569529027867</v>
      </c>
      <c r="J91" s="130">
        <v>8.7021969446218801</v>
      </c>
      <c r="K91" s="130">
        <v>8.5945354583218716</v>
      </c>
      <c r="L91" s="130">
        <v>8.3970813043514401</v>
      </c>
      <c r="M91" s="130">
        <v>8.1823497696404051</v>
      </c>
      <c r="N91" s="130">
        <v>7.9772670069942233</v>
      </c>
      <c r="O91" s="130">
        <v>7.776675493314138</v>
      </c>
      <c r="P91" s="130">
        <v>7.5655435640892685</v>
      </c>
      <c r="Q91" s="130">
        <v>7.3256946201528201</v>
      </c>
      <c r="R91" s="130">
        <v>7.068907314256502</v>
      </c>
      <c r="S91" s="130">
        <v>6.8321923513546272</v>
      </c>
      <c r="T91" s="130">
        <v>6.6153878907015793</v>
      </c>
      <c r="U91" s="130">
        <v>6.4015249662702605</v>
      </c>
      <c r="V91" s="130">
        <v>6.2022311951555151</v>
      </c>
      <c r="W91" s="130">
        <v>5.9467356983065294</v>
      </c>
      <c r="DA91" s="176" t="s">
        <v>863</v>
      </c>
    </row>
    <row r="92" spans="1:105" ht="11.45" customHeight="1" x14ac:dyDescent="0.25">
      <c r="A92" s="111" t="s">
        <v>110</v>
      </c>
      <c r="B92" s="96">
        <v>9.7366387702027843</v>
      </c>
      <c r="C92" s="96">
        <v>9.4793257132932425</v>
      </c>
      <c r="D92" s="96">
        <v>9.3724465484089166</v>
      </c>
      <c r="E92" s="96">
        <v>9.2605204089149282</v>
      </c>
      <c r="F92" s="96">
        <v>9.1530835724162039</v>
      </c>
      <c r="G92" s="96">
        <v>9.0385539952657332</v>
      </c>
      <c r="H92" s="96">
        <v>8.9278454251549544</v>
      </c>
      <c r="I92" s="96">
        <v>8.8172316853097996</v>
      </c>
      <c r="J92" s="96">
        <v>8.7122345470860214</v>
      </c>
      <c r="K92" s="96">
        <v>8.6331356671560524</v>
      </c>
      <c r="L92" s="96">
        <v>8.4917939370309004</v>
      </c>
      <c r="M92" s="96">
        <v>8.3482880093521015</v>
      </c>
      <c r="N92" s="96">
        <v>8.2140621434572285</v>
      </c>
      <c r="O92" s="96">
        <v>8.0520758529647267</v>
      </c>
      <c r="P92" s="96">
        <v>7.8642311472876711</v>
      </c>
      <c r="Q92" s="96">
        <v>7.6408277830416722</v>
      </c>
      <c r="R92" s="96">
        <v>7.3731814204047446</v>
      </c>
      <c r="S92" s="96">
        <v>7.108889157090351</v>
      </c>
      <c r="T92" s="96">
        <v>6.8473365042852565</v>
      </c>
      <c r="U92" s="96">
        <v>6.5982291078643849</v>
      </c>
      <c r="V92" s="96">
        <v>6.4081429843017776</v>
      </c>
      <c r="W92" s="96">
        <v>6.2054040211286052</v>
      </c>
      <c r="DA92" s="171" t="s">
        <v>864</v>
      </c>
    </row>
    <row r="93" spans="1:105" ht="11.45" customHeight="1" x14ac:dyDescent="0.25">
      <c r="A93" s="111" t="s">
        <v>111</v>
      </c>
      <c r="B93" s="96">
        <v>8.2459447692275329</v>
      </c>
      <c r="C93" s="96">
        <v>7.865010192185923</v>
      </c>
      <c r="D93" s="96">
        <v>7.7702963447591307</v>
      </c>
      <c r="E93" s="96">
        <v>7.6921080844283338</v>
      </c>
      <c r="F93" s="96">
        <v>7.6224601166726238</v>
      </c>
      <c r="G93" s="96">
        <v>7.5615582245257782</v>
      </c>
      <c r="H93" s="96">
        <v>7.4689943747660532</v>
      </c>
      <c r="I93" s="96">
        <v>7.3013081018150467</v>
      </c>
      <c r="J93" s="96">
        <v>7.1447581442248778</v>
      </c>
      <c r="K93" s="96">
        <v>7.0136849941703368</v>
      </c>
      <c r="L93" s="96">
        <v>6.7491265958252704</v>
      </c>
      <c r="M93" s="96">
        <v>6.5020318009921958</v>
      </c>
      <c r="N93" s="96">
        <v>6.3076540965572114</v>
      </c>
      <c r="O93" s="96">
        <v>6.1982545734424344</v>
      </c>
      <c r="P93" s="96">
        <v>6.0978488352560518</v>
      </c>
      <c r="Q93" s="96">
        <v>5.9730613968377861</v>
      </c>
      <c r="R93" s="96">
        <v>5.8590266069887615</v>
      </c>
      <c r="S93" s="96">
        <v>5.7646136421259264</v>
      </c>
      <c r="T93" s="96">
        <v>5.7067910293878441</v>
      </c>
      <c r="U93" s="96">
        <v>5.6545205843197968</v>
      </c>
      <c r="V93" s="96">
        <v>5.6382703445056803</v>
      </c>
      <c r="W93" s="96">
        <v>5.5903915771169546</v>
      </c>
      <c r="DA93" s="171" t="s">
        <v>865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0</v>
      </c>
      <c r="E94" s="96">
        <v>0</v>
      </c>
      <c r="F94" s="96">
        <v>0</v>
      </c>
      <c r="G94" s="96">
        <v>9.3499542380713994</v>
      </c>
      <c r="H94" s="96">
        <v>9.3499542380713994</v>
      </c>
      <c r="I94" s="96">
        <v>9.3499542380713994</v>
      </c>
      <c r="J94" s="96">
        <v>9.3144899328631716</v>
      </c>
      <c r="K94" s="96">
        <v>9.0194778077238666</v>
      </c>
      <c r="L94" s="96">
        <v>8.974603572784682</v>
      </c>
      <c r="M94" s="96">
        <v>8.4680286811292618</v>
      </c>
      <c r="N94" s="96">
        <v>8.4592991372269495</v>
      </c>
      <c r="O94" s="96">
        <v>8.3874057902416794</v>
      </c>
      <c r="P94" s="96">
        <v>8.3560607459516625</v>
      </c>
      <c r="Q94" s="96">
        <v>8.3103060765209733</v>
      </c>
      <c r="R94" s="96">
        <v>8.2844629476214795</v>
      </c>
      <c r="S94" s="96">
        <v>0</v>
      </c>
      <c r="T94" s="96">
        <v>0</v>
      </c>
      <c r="U94" s="96">
        <v>0</v>
      </c>
      <c r="V94" s="96">
        <v>0</v>
      </c>
      <c r="W94" s="96">
        <v>0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8.986973793553803</v>
      </c>
      <c r="E95" s="96">
        <v>8.9311526376489976</v>
      </c>
      <c r="F95" s="96">
        <v>8.9121942057621286</v>
      </c>
      <c r="G95" s="96">
        <v>8.8316613592429558</v>
      </c>
      <c r="H95" s="96">
        <v>8.7917728618077273</v>
      </c>
      <c r="I95" s="96">
        <v>8.7223690837547245</v>
      </c>
      <c r="J95" s="96">
        <v>8.5767558651157003</v>
      </c>
      <c r="K95" s="96">
        <v>8.3955126672533638</v>
      </c>
      <c r="L95" s="96">
        <v>7.5903842651370388</v>
      </c>
      <c r="M95" s="96">
        <v>7.3078127547172116</v>
      </c>
      <c r="N95" s="96">
        <v>7.5108588203644606</v>
      </c>
      <c r="O95" s="96">
        <v>7.3486918145514908</v>
      </c>
      <c r="P95" s="96">
        <v>7.0985400700225725</v>
      </c>
      <c r="Q95" s="96">
        <v>6.8148321525853301</v>
      </c>
      <c r="R95" s="96">
        <v>6.5142867330774736</v>
      </c>
      <c r="S95" s="96">
        <v>6.3027416278618453</v>
      </c>
      <c r="T95" s="96">
        <v>6.1599031231055914</v>
      </c>
      <c r="U95" s="96">
        <v>5.9341849561329054</v>
      </c>
      <c r="V95" s="96">
        <v>5.8173672247073132</v>
      </c>
      <c r="W95" s="96">
        <v>5.7274690209247403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3.9803253083979531</v>
      </c>
      <c r="K96" s="96">
        <v>3.9066678651698004</v>
      </c>
      <c r="L96" s="96">
        <v>3.817215895161914</v>
      </c>
      <c r="M96" s="96">
        <v>3.4582658425186166</v>
      </c>
      <c r="N96" s="96">
        <v>3.2285650097927627</v>
      </c>
      <c r="O96" s="96">
        <v>3.2263768936354502</v>
      </c>
      <c r="P96" s="96">
        <v>3.1861587331491235</v>
      </c>
      <c r="Q96" s="96">
        <v>3.1383849470475269</v>
      </c>
      <c r="R96" s="96">
        <v>3.1237717340357012</v>
      </c>
      <c r="S96" s="96">
        <v>3.111114090574941</v>
      </c>
      <c r="T96" s="96">
        <v>3.1313338983154422</v>
      </c>
      <c r="U96" s="96">
        <v>3.0344339051208231</v>
      </c>
      <c r="V96" s="96">
        <v>2.9250555310540882</v>
      </c>
      <c r="W96" s="96">
        <v>2.8194060694985823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1.6048023633442892</v>
      </c>
      <c r="K97" s="96">
        <v>1.6041355015985352</v>
      </c>
      <c r="L97" s="96">
        <v>1.5962193522368726</v>
      </c>
      <c r="M97" s="96">
        <v>1.5868310003521566</v>
      </c>
      <c r="N97" s="96">
        <v>1.4687564826207102</v>
      </c>
      <c r="O97" s="96">
        <v>1.425381737561374</v>
      </c>
      <c r="P97" s="96">
        <v>1.325204981693993</v>
      </c>
      <c r="Q97" s="96">
        <v>1.3990392291336855</v>
      </c>
      <c r="R97" s="96">
        <v>1.4015740312161249</v>
      </c>
      <c r="S97" s="96">
        <v>1.3818971079014257</v>
      </c>
      <c r="T97" s="96">
        <v>1.4243193879044767</v>
      </c>
      <c r="U97" s="96">
        <v>1.45931441888035</v>
      </c>
      <c r="V97" s="96">
        <v>1.4808410579090117</v>
      </c>
      <c r="W97" s="96">
        <v>1.4975168306928652</v>
      </c>
      <c r="DA97" s="171" t="s">
        <v>869</v>
      </c>
    </row>
    <row r="98" spans="1:105" ht="11.45" customHeight="1" x14ac:dyDescent="0.25">
      <c r="A98" s="109" t="s">
        <v>21</v>
      </c>
      <c r="B98" s="130">
        <v>52.621582183144731</v>
      </c>
      <c r="C98" s="130">
        <v>51.906213681464699</v>
      </c>
      <c r="D98" s="130">
        <v>51.668274945379814</v>
      </c>
      <c r="E98" s="130">
        <v>51.393344507769285</v>
      </c>
      <c r="F98" s="130">
        <v>51.071294206284712</v>
      </c>
      <c r="G98" s="130">
        <v>50.339275397479462</v>
      </c>
      <c r="H98" s="130">
        <v>50.246233893364725</v>
      </c>
      <c r="I98" s="130">
        <v>49.851021802506253</v>
      </c>
      <c r="J98" s="130">
        <v>49.317803940819473</v>
      </c>
      <c r="K98" s="130">
        <v>48.661580166516366</v>
      </c>
      <c r="L98" s="130">
        <v>48.156284545761253</v>
      </c>
      <c r="M98" s="130">
        <v>47.235062983776871</v>
      </c>
      <c r="N98" s="130">
        <v>46.608206184585327</v>
      </c>
      <c r="O98" s="130">
        <v>45.832992611869145</v>
      </c>
      <c r="P98" s="130">
        <v>45.201878439326698</v>
      </c>
      <c r="Q98" s="130">
        <v>44.720519601451485</v>
      </c>
      <c r="R98" s="130">
        <v>44.085927731270367</v>
      </c>
      <c r="S98" s="130">
        <v>43.607261433645924</v>
      </c>
      <c r="T98" s="130">
        <v>43.180529459728014</v>
      </c>
      <c r="U98" s="130">
        <v>42.623467141407204</v>
      </c>
      <c r="V98" s="130">
        <v>41.152239750216516</v>
      </c>
      <c r="W98" s="130">
        <v>40.744406751227785</v>
      </c>
      <c r="DA98" s="176" t="s">
        <v>870</v>
      </c>
    </row>
    <row r="99" spans="1:105" ht="11.45" customHeight="1" x14ac:dyDescent="0.25">
      <c r="A99" s="111" t="s">
        <v>110</v>
      </c>
      <c r="B99" s="97">
        <v>19.456074359226246</v>
      </c>
      <c r="C99" s="97">
        <v>19.383206017063237</v>
      </c>
      <c r="D99" s="97">
        <v>19.354511593948605</v>
      </c>
      <c r="E99" s="97">
        <v>19.296497204022923</v>
      </c>
      <c r="F99" s="97">
        <v>19.244981704216237</v>
      </c>
      <c r="G99" s="97">
        <v>19.172104982700237</v>
      </c>
      <c r="H99" s="97">
        <v>18.906036364536416</v>
      </c>
      <c r="I99" s="97">
        <v>18.770170198255652</v>
      </c>
      <c r="J99" s="97">
        <v>18.47402711376386</v>
      </c>
      <c r="K99" s="97">
        <v>17.915840637778917</v>
      </c>
      <c r="L99" s="97">
        <v>16.307296965417621</v>
      </c>
      <c r="M99" s="97">
        <v>14.591990745874872</v>
      </c>
      <c r="N99" s="97">
        <v>14.174254892244425</v>
      </c>
      <c r="O99" s="97">
        <v>13.742757773973517</v>
      </c>
      <c r="P99" s="97">
        <v>13.515538801043489</v>
      </c>
      <c r="Q99" s="97">
        <v>13.439447231981886</v>
      </c>
      <c r="R99" s="97">
        <v>12.785513414032572</v>
      </c>
      <c r="S99" s="97">
        <v>12.592459097234592</v>
      </c>
      <c r="T99" s="97">
        <v>12.348052119925777</v>
      </c>
      <c r="U99" s="97">
        <v>12.201506069036583</v>
      </c>
      <c r="V99" s="97">
        <v>12.031677856146132</v>
      </c>
      <c r="W99" s="97">
        <v>11.916115125323929</v>
      </c>
      <c r="DA99" s="175" t="s">
        <v>871</v>
      </c>
    </row>
    <row r="100" spans="1:105" ht="11.45" customHeight="1" x14ac:dyDescent="0.25">
      <c r="A100" s="111" t="s">
        <v>111</v>
      </c>
      <c r="B100" s="97">
        <v>54.120041276060967</v>
      </c>
      <c r="C100" s="97">
        <v>52.94517924215063</v>
      </c>
      <c r="D100" s="97">
        <v>52.42131116346485</v>
      </c>
      <c r="E100" s="97">
        <v>51.924997754974243</v>
      </c>
      <c r="F100" s="97">
        <v>51.47081460468948</v>
      </c>
      <c r="G100" s="97">
        <v>51.003282380787098</v>
      </c>
      <c r="H100" s="97">
        <v>50.626793639723864</v>
      </c>
      <c r="I100" s="97">
        <v>50.260180555706185</v>
      </c>
      <c r="J100" s="97">
        <v>49.831752848614251</v>
      </c>
      <c r="K100" s="97">
        <v>49.372675426285909</v>
      </c>
      <c r="L100" s="97">
        <v>48.850876334171176</v>
      </c>
      <c r="M100" s="97">
        <v>48.227799913599469</v>
      </c>
      <c r="N100" s="97">
        <v>47.652525208446086</v>
      </c>
      <c r="O100" s="97">
        <v>47.112806809749294</v>
      </c>
      <c r="P100" s="97">
        <v>46.650489153394403</v>
      </c>
      <c r="Q100" s="97">
        <v>46.20694784241261</v>
      </c>
      <c r="R100" s="97">
        <v>45.505114791524967</v>
      </c>
      <c r="S100" s="97">
        <v>45.055657726889045</v>
      </c>
      <c r="T100" s="97">
        <v>44.63420916177536</v>
      </c>
      <c r="U100" s="97">
        <v>44.230938059103266</v>
      </c>
      <c r="V100" s="97">
        <v>43.307827337179717</v>
      </c>
      <c r="W100" s="97">
        <v>43.056854867158613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44.649034052750295</v>
      </c>
      <c r="C102" s="97">
        <v>44.157122322061824</v>
      </c>
      <c r="D102" s="97">
        <v>44.144354091665264</v>
      </c>
      <c r="E102" s="97">
        <v>44.144354091665257</v>
      </c>
      <c r="F102" s="97">
        <v>43.590922129325953</v>
      </c>
      <c r="G102" s="97">
        <v>41.466354116677628</v>
      </c>
      <c r="H102" s="97">
        <v>40.152029043403957</v>
      </c>
      <c r="I102" s="97">
        <v>40.101701856916691</v>
      </c>
      <c r="J102" s="97">
        <v>39.836425650431018</v>
      </c>
      <c r="K102" s="97">
        <v>39.449587932155133</v>
      </c>
      <c r="L102" s="97">
        <v>38.921654409716744</v>
      </c>
      <c r="M102" s="97">
        <v>38.572096530366288</v>
      </c>
      <c r="N102" s="97">
        <v>38.19776068897238</v>
      </c>
      <c r="O102" s="97">
        <v>37.679278788000083</v>
      </c>
      <c r="P102" s="97">
        <v>36.774475590155035</v>
      </c>
      <c r="Q102" s="97">
        <v>36.241332637480532</v>
      </c>
      <c r="R102" s="97">
        <v>36.198412199411393</v>
      </c>
      <c r="S102" s="97">
        <v>36.024782613491531</v>
      </c>
      <c r="T102" s="97">
        <v>35.960783834932123</v>
      </c>
      <c r="U102" s="97">
        <v>35.775388620513176</v>
      </c>
      <c r="V102" s="97">
        <v>35.537237842485247</v>
      </c>
      <c r="W102" s="97">
        <v>35.439726023826083</v>
      </c>
      <c r="DA102" s="175" t="s">
        <v>874</v>
      </c>
    </row>
    <row r="103" spans="1:105" ht="11.45" customHeight="1" x14ac:dyDescent="0.25">
      <c r="A103" s="111" t="s">
        <v>115</v>
      </c>
      <c r="B103" s="97">
        <v>35.107363453895537</v>
      </c>
      <c r="C103" s="97">
        <v>33.93900357550676</v>
      </c>
      <c r="D103" s="97">
        <v>33.769792656228439</v>
      </c>
      <c r="E103" s="97">
        <v>33.046877135112219</v>
      </c>
      <c r="F103" s="97">
        <v>33.046877135112219</v>
      </c>
      <c r="G103" s="97">
        <v>32.673981540178062</v>
      </c>
      <c r="H103" s="97">
        <v>32.50097098957913</v>
      </c>
      <c r="I103" s="97">
        <v>32.337521658061092</v>
      </c>
      <c r="J103" s="97">
        <v>32.434472864704212</v>
      </c>
      <c r="K103" s="97">
        <v>32.434472864704212</v>
      </c>
      <c r="L103" s="97">
        <v>32.589305575678999</v>
      </c>
      <c r="M103" s="97">
        <v>32.589305575678999</v>
      </c>
      <c r="N103" s="97">
        <v>29.78454078431146</v>
      </c>
      <c r="O103" s="97">
        <v>28.817861280804344</v>
      </c>
      <c r="P103" s="97">
        <v>27.524509354882039</v>
      </c>
      <c r="Q103" s="97">
        <v>26.550207058402552</v>
      </c>
      <c r="R103" s="97">
        <v>25.913694802630978</v>
      </c>
      <c r="S103" s="97">
        <v>25.792895198731465</v>
      </c>
      <c r="T103" s="97">
        <v>25.591569290286838</v>
      </c>
      <c r="U103" s="97">
        <v>25.346932110304252</v>
      </c>
      <c r="V103" s="97">
        <v>25.222238592873545</v>
      </c>
      <c r="W103" s="97">
        <v>25.135304461967372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10.734612044845736</v>
      </c>
      <c r="C105" s="141">
        <v>10.255875296217672</v>
      </c>
      <c r="D105" s="141">
        <v>10.04765770452398</v>
      </c>
      <c r="E105" s="141">
        <v>9.8632281581624035</v>
      </c>
      <c r="F105" s="141">
        <v>9.6884937382295</v>
      </c>
      <c r="G105" s="141">
        <v>9.5333253360283052</v>
      </c>
      <c r="H105" s="141">
        <v>9.3931440943158346</v>
      </c>
      <c r="I105" s="141">
        <v>9.2700698172010423</v>
      </c>
      <c r="J105" s="141">
        <v>9.1460268883484286</v>
      </c>
      <c r="K105" s="141">
        <v>9.0540343383926984</v>
      </c>
      <c r="L105" s="141">
        <v>9.0011803209395254</v>
      </c>
      <c r="M105" s="141">
        <v>8.956587322414217</v>
      </c>
      <c r="N105" s="141">
        <v>8.7853911574497232</v>
      </c>
      <c r="O105" s="141">
        <v>8.6156550417759554</v>
      </c>
      <c r="P105" s="141">
        <v>8.463501179353754</v>
      </c>
      <c r="Q105" s="141">
        <v>8.26932978705835</v>
      </c>
      <c r="R105" s="141">
        <v>8.0329146177294266</v>
      </c>
      <c r="S105" s="141">
        <v>7.7929090764434088</v>
      </c>
      <c r="T105" s="141">
        <v>7.5554631851617238</v>
      </c>
      <c r="U105" s="141">
        <v>7.3395513765771314</v>
      </c>
      <c r="V105" s="141">
        <v>7.2488574965453543</v>
      </c>
      <c r="W105" s="141">
        <v>7.135816625928161</v>
      </c>
      <c r="DA105" s="174" t="s">
        <v>876</v>
      </c>
    </row>
    <row r="106" spans="1:105" ht="11.45" customHeight="1" x14ac:dyDescent="0.25">
      <c r="A106" s="111" t="s">
        <v>110</v>
      </c>
      <c r="B106" s="96">
        <v>11.263283651173557</v>
      </c>
      <c r="C106" s="96">
        <v>11.074851689051428</v>
      </c>
      <c r="D106" s="96">
        <v>10.994677714147615</v>
      </c>
      <c r="E106" s="96">
        <v>10.918062738710459</v>
      </c>
      <c r="F106" s="96">
        <v>10.842845586221143</v>
      </c>
      <c r="G106" s="96">
        <v>10.760044556740239</v>
      </c>
      <c r="H106" s="96">
        <v>10.666328555644334</v>
      </c>
      <c r="I106" s="96">
        <v>10.580782239224201</v>
      </c>
      <c r="J106" s="96">
        <v>10.474687235362504</v>
      </c>
      <c r="K106" s="96">
        <v>10.380605235646922</v>
      </c>
      <c r="L106" s="96">
        <v>10.280058691166831</v>
      </c>
      <c r="M106" s="96">
        <v>10.232306986077608</v>
      </c>
      <c r="N106" s="96">
        <v>10.078427839467285</v>
      </c>
      <c r="O106" s="96">
        <v>9.9256072327058895</v>
      </c>
      <c r="P106" s="96">
        <v>9.8318307945829311</v>
      </c>
      <c r="Q106" s="96">
        <v>9.6594649783831503</v>
      </c>
      <c r="R106" s="96">
        <v>9.4996789539924293</v>
      </c>
      <c r="S106" s="96">
        <v>9.3010907000470038</v>
      </c>
      <c r="T106" s="96">
        <v>8.9168001767456868</v>
      </c>
      <c r="U106" s="96">
        <v>8.4542037433935935</v>
      </c>
      <c r="V106" s="96">
        <v>8.1439781682376235</v>
      </c>
      <c r="W106" s="96">
        <v>7.8737376450326515</v>
      </c>
      <c r="DA106" s="171" t="s">
        <v>877</v>
      </c>
    </row>
    <row r="107" spans="1:105" ht="11.45" customHeight="1" x14ac:dyDescent="0.25">
      <c r="A107" s="111" t="s">
        <v>111</v>
      </c>
      <c r="B107" s="96">
        <v>9.938795545486121</v>
      </c>
      <c r="C107" s="96">
        <v>9.076902014130269</v>
      </c>
      <c r="D107" s="96">
        <v>8.9019647117630303</v>
      </c>
      <c r="E107" s="96">
        <v>8.7970822376581808</v>
      </c>
      <c r="F107" s="96">
        <v>8.7276164454333038</v>
      </c>
      <c r="G107" s="96">
        <v>8.6928469922699634</v>
      </c>
      <c r="H107" s="96">
        <v>8.6766303519766446</v>
      </c>
      <c r="I107" s="96">
        <v>8.6611687743770407</v>
      </c>
      <c r="J107" s="96">
        <v>8.6277677809249038</v>
      </c>
      <c r="K107" s="96">
        <v>8.5976803925360272</v>
      </c>
      <c r="L107" s="96">
        <v>8.6215028823265722</v>
      </c>
      <c r="M107" s="96">
        <v>8.6531018325386739</v>
      </c>
      <c r="N107" s="96">
        <v>8.504858114751201</v>
      </c>
      <c r="O107" s="96">
        <v>8.3585452085677918</v>
      </c>
      <c r="P107" s="96">
        <v>8.2004184806285849</v>
      </c>
      <c r="Q107" s="96">
        <v>8.0095053579211708</v>
      </c>
      <c r="R107" s="96">
        <v>7.7636228072800444</v>
      </c>
      <c r="S107" s="96">
        <v>7.5161635566389258</v>
      </c>
      <c r="T107" s="96">
        <v>7.3077887036082751</v>
      </c>
      <c r="U107" s="96">
        <v>7.132485568560651</v>
      </c>
      <c r="V107" s="96">
        <v>7.077501324878531</v>
      </c>
      <c r="W107" s="96">
        <v>6.999481749318627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7.8237320728369193</v>
      </c>
      <c r="D109" s="96">
        <v>7.8237320728369211</v>
      </c>
      <c r="E109" s="96">
        <v>7.7648383551483819</v>
      </c>
      <c r="F109" s="96">
        <v>7.7521888676431967</v>
      </c>
      <c r="G109" s="96">
        <v>7.6364185674908729</v>
      </c>
      <c r="H109" s="96">
        <v>7.4573858164937921</v>
      </c>
      <c r="I109" s="96">
        <v>7.342868460482757</v>
      </c>
      <c r="J109" s="96">
        <v>6.9769871267329808</v>
      </c>
      <c r="K109" s="96">
        <v>6.6653849158179677</v>
      </c>
      <c r="L109" s="96">
        <v>6.3361630591740647</v>
      </c>
      <c r="M109" s="96">
        <v>6.1625491966919377</v>
      </c>
      <c r="N109" s="96">
        <v>6.3763486607395192</v>
      </c>
      <c r="O109" s="96">
        <v>6.4901598711216817</v>
      </c>
      <c r="P109" s="96">
        <v>6.6281006138068284</v>
      </c>
      <c r="Q109" s="96">
        <v>6.621372176130806</v>
      </c>
      <c r="R109" s="96">
        <v>6.4650308496156379</v>
      </c>
      <c r="S109" s="96">
        <v>6.3137624455178267</v>
      </c>
      <c r="T109" s="96">
        <v>6.06346169353652</v>
      </c>
      <c r="U109" s="96">
        <v>6.0098454296194559</v>
      </c>
      <c r="V109" s="96">
        <v>6.0236683094285652</v>
      </c>
      <c r="W109" s="96">
        <v>6.0693917877794359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1.4442386537151279</v>
      </c>
      <c r="H110" s="96">
        <v>1.4299308148307517</v>
      </c>
      <c r="I110" s="96">
        <v>1.4298673048744193</v>
      </c>
      <c r="J110" s="96">
        <v>1.4298676692377774</v>
      </c>
      <c r="K110" s="96">
        <v>1.4287631111615839</v>
      </c>
      <c r="L110" s="96">
        <v>1.4287359676857847</v>
      </c>
      <c r="M110" s="96">
        <v>1.4245344615308451</v>
      </c>
      <c r="N110" s="96">
        <v>1.3583651884788168</v>
      </c>
      <c r="O110" s="96">
        <v>1.3458272587532671</v>
      </c>
      <c r="P110" s="96">
        <v>1.35033043799337</v>
      </c>
      <c r="Q110" s="96">
        <v>1.3642746715966485</v>
      </c>
      <c r="R110" s="96">
        <v>1.3691665069157506</v>
      </c>
      <c r="S110" s="96">
        <v>1.3698783979009914</v>
      </c>
      <c r="T110" s="96">
        <v>1.4365409403521678</v>
      </c>
      <c r="U110" s="96">
        <v>1.5487153502342563</v>
      </c>
      <c r="V110" s="96">
        <v>1.768285314336872</v>
      </c>
      <c r="W110" s="96">
        <v>1.882524013838804</v>
      </c>
      <c r="DA110" s="171" t="s">
        <v>881</v>
      </c>
    </row>
    <row r="111" spans="1:105" ht="11.45" customHeight="1" x14ac:dyDescent="0.25">
      <c r="A111" s="109" t="s">
        <v>158</v>
      </c>
      <c r="B111" s="130">
        <v>33.201178353536996</v>
      </c>
      <c r="C111" s="130">
        <v>33.075459964989534</v>
      </c>
      <c r="D111" s="130">
        <v>32.942097558183619</v>
      </c>
      <c r="E111" s="130">
        <v>32.789460010294356</v>
      </c>
      <c r="F111" s="130">
        <v>32.620276850381366</v>
      </c>
      <c r="G111" s="130">
        <v>32.382213555162323</v>
      </c>
      <c r="H111" s="130">
        <v>32.027475283336628</v>
      </c>
      <c r="I111" s="130">
        <v>31.656516167424968</v>
      </c>
      <c r="J111" s="130">
        <v>31.312480319091133</v>
      </c>
      <c r="K111" s="130">
        <v>30.946427345119936</v>
      </c>
      <c r="L111" s="130">
        <v>30.493311418992722</v>
      </c>
      <c r="M111" s="130">
        <v>29.949524327071515</v>
      </c>
      <c r="N111" s="130">
        <v>29.499674464379574</v>
      </c>
      <c r="O111" s="130">
        <v>28.884589084603697</v>
      </c>
      <c r="P111" s="130">
        <v>28.518982854836153</v>
      </c>
      <c r="Q111" s="130">
        <v>28.098262519233643</v>
      </c>
      <c r="R111" s="130">
        <v>27.426232404189392</v>
      </c>
      <c r="S111" s="130">
        <v>26.702548039126203</v>
      </c>
      <c r="T111" s="130">
        <v>26.114141667537204</v>
      </c>
      <c r="U111" s="130">
        <v>25.347587631411074</v>
      </c>
      <c r="V111" s="130">
        <v>24.58253117731417</v>
      </c>
      <c r="W111" s="130">
        <v>23.690216484125994</v>
      </c>
      <c r="DA111" s="176" t="s">
        <v>882</v>
      </c>
    </row>
    <row r="112" spans="1:105" ht="11.45" customHeight="1" x14ac:dyDescent="0.25">
      <c r="A112" s="128" t="s">
        <v>27</v>
      </c>
      <c r="B112" s="97">
        <v>32.903553377082559</v>
      </c>
      <c r="C112" s="97">
        <v>32.792944757272956</v>
      </c>
      <c r="D112" s="97">
        <v>32.673887002091007</v>
      </c>
      <c r="E112" s="97">
        <v>32.53892743839458</v>
      </c>
      <c r="F112" s="97">
        <v>32.395090071748832</v>
      </c>
      <c r="G112" s="97">
        <v>32.176003395916204</v>
      </c>
      <c r="H112" s="97">
        <v>31.831157901845245</v>
      </c>
      <c r="I112" s="97">
        <v>31.467588879242172</v>
      </c>
      <c r="J112" s="97">
        <v>31.130086009069789</v>
      </c>
      <c r="K112" s="97">
        <v>30.789370642452479</v>
      </c>
      <c r="L112" s="97">
        <v>30.318259031859061</v>
      </c>
      <c r="M112" s="97">
        <v>29.756665472433198</v>
      </c>
      <c r="N112" s="97">
        <v>29.299629566877517</v>
      </c>
      <c r="O112" s="97">
        <v>28.644690401705624</v>
      </c>
      <c r="P112" s="97">
        <v>28.282812310704294</v>
      </c>
      <c r="Q112" s="97">
        <v>27.873913892756644</v>
      </c>
      <c r="R112" s="97">
        <v>27.183031179888975</v>
      </c>
      <c r="S112" s="97">
        <v>26.428276395683241</v>
      </c>
      <c r="T112" s="97">
        <v>25.833590717707079</v>
      </c>
      <c r="U112" s="97">
        <v>25.03230618405507</v>
      </c>
      <c r="V112" s="97">
        <v>24.239630849693636</v>
      </c>
      <c r="W112" s="97">
        <v>23.290574951071534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36.19497657984072</v>
      </c>
      <c r="D113" s="98">
        <v>35.699515171513589</v>
      </c>
      <c r="E113" s="98">
        <v>35.260986773345977</v>
      </c>
      <c r="F113" s="98">
        <v>34.514791114654912</v>
      </c>
      <c r="G113" s="98">
        <v>34.080054514403081</v>
      </c>
      <c r="H113" s="98">
        <v>33.563459317759211</v>
      </c>
      <c r="I113" s="98">
        <v>33.142378806228393</v>
      </c>
      <c r="J113" s="98">
        <v>32.782752316915868</v>
      </c>
      <c r="K113" s="98">
        <v>32.528335122519259</v>
      </c>
      <c r="L113" s="98">
        <v>32.116589595055849</v>
      </c>
      <c r="M113" s="98">
        <v>31.855825227337668</v>
      </c>
      <c r="N113" s="98">
        <v>31.554659890750816</v>
      </c>
      <c r="O113" s="98">
        <v>30.8852055125395</v>
      </c>
      <c r="P113" s="98">
        <v>30.592372520823677</v>
      </c>
      <c r="Q113" s="98">
        <v>29.828249684025501</v>
      </c>
      <c r="R113" s="98">
        <v>29.222553212343353</v>
      </c>
      <c r="S113" s="98">
        <v>28.801632635180852</v>
      </c>
      <c r="T113" s="98">
        <v>28.262297814161972</v>
      </c>
      <c r="U113" s="98">
        <v>27.923845754482091</v>
      </c>
      <c r="V113" s="98">
        <v>27.297243045947916</v>
      </c>
      <c r="W113" s="98">
        <v>26.59239018198685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1.1279852457892252</v>
      </c>
      <c r="D117" s="150">
        <f>IF(TrRoad_act!D59=0,0,TrRoad_ene!D62/TrRoad_tech!D90)</f>
        <v>1.1293330895986045</v>
      </c>
      <c r="E117" s="150">
        <f>IF(TrRoad_act!E59=0,0,TrRoad_ene!E62/TrRoad_tech!E90)</f>
        <v>1.1308215111709081</v>
      </c>
      <c r="F117" s="150">
        <f>IF(TrRoad_act!F59=0,0,TrRoad_ene!F62/TrRoad_tech!F90)</f>
        <v>1.1328589508453388</v>
      </c>
      <c r="G117" s="150">
        <f>IF(TrRoad_act!G59=0,0,TrRoad_ene!G62/TrRoad_tech!G90)</f>
        <v>1.1368241381485786</v>
      </c>
      <c r="H117" s="150">
        <f>IF(TrRoad_act!H59=0,0,TrRoad_ene!H62/TrRoad_tech!H90)</f>
        <v>1.1328903846493581</v>
      </c>
      <c r="I117" s="150">
        <f>IF(TrRoad_act!I59=0,0,TrRoad_ene!I62/TrRoad_tech!I90)</f>
        <v>1.1335778726316743</v>
      </c>
      <c r="J117" s="150">
        <f>IF(TrRoad_act!J59=0,0,TrRoad_ene!J62/TrRoad_tech!J90)</f>
        <v>1.148354202113522</v>
      </c>
      <c r="K117" s="150">
        <f>IF(TrRoad_act!K59=0,0,TrRoad_ene!K62/TrRoad_tech!K90)</f>
        <v>1.1417148206692695</v>
      </c>
      <c r="L117" s="150">
        <f>IF(TrRoad_act!L59=0,0,TrRoad_ene!L62/TrRoad_tech!L90)</f>
        <v>1.1331182555405324</v>
      </c>
      <c r="M117" s="150">
        <f>IF(TrRoad_act!M59=0,0,TrRoad_ene!M62/TrRoad_tech!M90)</f>
        <v>1.1601191939979354</v>
      </c>
      <c r="N117" s="150">
        <f>IF(TrRoad_act!N59=0,0,TrRoad_ene!N62/TrRoad_tech!N90)</f>
        <v>1.175284052522684</v>
      </c>
      <c r="O117" s="150">
        <f>IF(TrRoad_act!O59=0,0,TrRoad_ene!O62/TrRoad_tech!O90)</f>
        <v>1.1815557623320367</v>
      </c>
      <c r="P117" s="150">
        <f>IF(TrRoad_act!P59=0,0,TrRoad_ene!P62/TrRoad_tech!P90)</f>
        <v>1.1751359786531057</v>
      </c>
      <c r="Q117" s="150">
        <f>IF(TrRoad_act!Q59=0,0,TrRoad_ene!Q62/TrRoad_tech!Q90)</f>
        <v>1.1981217761375083</v>
      </c>
      <c r="R117" s="150">
        <f>IF(TrRoad_act!R59=0,0,TrRoad_ene!R62/TrRoad_tech!R90)</f>
        <v>1.2084242167789967</v>
      </c>
      <c r="S117" s="150">
        <f>IF(TrRoad_act!S59=0,0,TrRoad_ene!S62/TrRoad_tech!S90)</f>
        <v>1.2198163810402247</v>
      </c>
      <c r="T117" s="150">
        <f>IF(TrRoad_act!T59=0,0,TrRoad_ene!T62/TrRoad_tech!T90)</f>
        <v>1.229688571438156</v>
      </c>
      <c r="U117" s="150">
        <f>IF(TrRoad_act!U59=0,0,TrRoad_ene!U62/TrRoad_tech!U90)</f>
        <v>1.2405890520733376</v>
      </c>
      <c r="V117" s="150">
        <f>IF(TrRoad_act!V59=0,0,TrRoad_ene!V62/TrRoad_tech!V90)</f>
        <v>1.2479618302301754</v>
      </c>
      <c r="W117" s="150">
        <f>IF(TrRoad_act!W59=0,0,TrRoad_ene!W62/TrRoad_tech!W90)</f>
        <v>1.2518066097297451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1.0240946727642073</v>
      </c>
      <c r="C118" s="151">
        <f>IF(TrRoad_act!C60=0,0,TrRoad_ene!C63/TrRoad_tech!C91)</f>
        <v>1.0191707640260337</v>
      </c>
      <c r="D118" s="151">
        <f>IF(TrRoad_act!D60=0,0,TrRoad_ene!D63/TrRoad_tech!D91)</f>
        <v>1.0159825481780893</v>
      </c>
      <c r="E118" s="151">
        <f>IF(TrRoad_act!E60=0,0,TrRoad_ene!E63/TrRoad_tech!E91)</f>
        <v>1.0157847393226034</v>
      </c>
      <c r="F118" s="151">
        <f>IF(TrRoad_act!F60=0,0,TrRoad_ene!F63/TrRoad_tech!F91)</f>
        <v>1.016364978243206</v>
      </c>
      <c r="G118" s="151">
        <f>IF(TrRoad_act!G60=0,0,TrRoad_ene!G63/TrRoad_tech!G91)</f>
        <v>1.0117314808247826</v>
      </c>
      <c r="H118" s="151">
        <f>IF(TrRoad_act!H60=0,0,TrRoad_ene!H63/TrRoad_tech!H91)</f>
        <v>1.0110022941745065</v>
      </c>
      <c r="I118" s="151">
        <f>IF(TrRoad_act!I60=0,0,TrRoad_ene!I63/TrRoad_tech!I91)</f>
        <v>1.0078845205810754</v>
      </c>
      <c r="J118" s="151">
        <f>IF(TrRoad_act!J60=0,0,TrRoad_ene!J63/TrRoad_tech!J91)</f>
        <v>1.0044851494401803</v>
      </c>
      <c r="K118" s="151">
        <f>IF(TrRoad_act!K60=0,0,TrRoad_ene!K63/TrRoad_tech!K91)</f>
        <v>0.99820789736496818</v>
      </c>
      <c r="L118" s="151">
        <f>IF(TrRoad_act!L60=0,0,TrRoad_ene!L63/TrRoad_tech!L91)</f>
        <v>0.99433857824648153</v>
      </c>
      <c r="M118" s="151">
        <f>IF(TrRoad_act!M60=0,0,TrRoad_ene!M63/TrRoad_tech!M91)</f>
        <v>0.98234731705890965</v>
      </c>
      <c r="N118" s="151">
        <f>IF(TrRoad_act!N60=0,0,TrRoad_ene!N63/TrRoad_tech!N91)</f>
        <v>0.96785236576094169</v>
      </c>
      <c r="O118" s="151">
        <f>IF(TrRoad_act!O60=0,0,TrRoad_ene!O63/TrRoad_tech!O91)</f>
        <v>0.95981147945005874</v>
      </c>
      <c r="P118" s="151">
        <f>IF(TrRoad_act!P60=0,0,TrRoad_ene!P63/TrRoad_tech!P91)</f>
        <v>0.94662978387536967</v>
      </c>
      <c r="Q118" s="151">
        <f>IF(TrRoad_act!Q60=0,0,TrRoad_ene!Q63/TrRoad_tech!Q91)</f>
        <v>0.94606510677279287</v>
      </c>
      <c r="R118" s="151">
        <f>IF(TrRoad_act!R60=0,0,TrRoad_ene!R63/TrRoad_tech!R91)</f>
        <v>0.94002086965253551</v>
      </c>
      <c r="S118" s="151">
        <f>IF(TrRoad_act!S60=0,0,TrRoad_ene!S63/TrRoad_tech!S91)</f>
        <v>0.94834911299177338</v>
      </c>
      <c r="T118" s="151">
        <f>IF(TrRoad_act!T60=0,0,TrRoad_ene!T63/TrRoad_tech!T91)</f>
        <v>0.94634400511459671</v>
      </c>
      <c r="U118" s="151">
        <f>IF(TrRoad_act!U60=0,0,TrRoad_ene!U63/TrRoad_tech!U91)</f>
        <v>0.96074380008140847</v>
      </c>
      <c r="V118" s="151">
        <f>IF(TrRoad_act!V60=0,0,TrRoad_ene!V63/TrRoad_tech!V91)</f>
        <v>0.97677628297588348</v>
      </c>
      <c r="W118" s="151">
        <f>IF(TrRoad_act!W60=0,0,TrRoad_ene!W63/TrRoad_tech!W91)</f>
        <v>1.0099353182011392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1.02777777778159</v>
      </c>
      <c r="C119" s="91">
        <f>IF(TrRoad_act!C61=0,0,TrRoad_ene!C64/TrRoad_tech!C92)</f>
        <v>1.0278566889072525</v>
      </c>
      <c r="D119" s="91">
        <f>IF(TrRoad_act!D61=0,0,TrRoad_ene!D64/TrRoad_tech!D92)</f>
        <v>1.0280372264398805</v>
      </c>
      <c r="E119" s="91">
        <f>IF(TrRoad_act!E61=0,0,TrRoad_ene!E64/TrRoad_tech!E92)</f>
        <v>1.0283493216258623</v>
      </c>
      <c r="F119" s="91">
        <f>IF(TrRoad_act!F61=0,0,TrRoad_ene!F64/TrRoad_tech!F92)</f>
        <v>1.0288267310960906</v>
      </c>
      <c r="G119" s="91">
        <f>IF(TrRoad_act!G61=0,0,TrRoad_ene!G64/TrRoad_tech!G92)</f>
        <v>1.0294468637012135</v>
      </c>
      <c r="H119" s="91">
        <f>IF(TrRoad_act!H61=0,0,TrRoad_ene!H64/TrRoad_tech!H92)</f>
        <v>1.030199575294765</v>
      </c>
      <c r="I119" s="91">
        <f>IF(TrRoad_act!I61=0,0,TrRoad_ene!I64/TrRoad_tech!I92)</f>
        <v>1.0310700896813891</v>
      </c>
      <c r="J119" s="91">
        <f>IF(TrRoad_act!J61=0,0,TrRoad_ene!J64/TrRoad_tech!J92)</f>
        <v>1.0319000920592254</v>
      </c>
      <c r="K119" s="91">
        <f>IF(TrRoad_act!K61=0,0,TrRoad_ene!K64/TrRoad_tech!K92)</f>
        <v>1.032486612386609</v>
      </c>
      <c r="L119" s="91">
        <f>IF(TrRoad_act!L61=0,0,TrRoad_ene!L64/TrRoad_tech!L92)</f>
        <v>1.0336345600210521</v>
      </c>
      <c r="M119" s="91">
        <f>IF(TrRoad_act!M61=0,0,TrRoad_ene!M64/TrRoad_tech!M92)</f>
        <v>1.0347451623076409</v>
      </c>
      <c r="N119" s="91">
        <f>IF(TrRoad_act!N61=0,0,TrRoad_ene!N64/TrRoad_tech!N92)</f>
        <v>1.0358013429760653</v>
      </c>
      <c r="O119" s="91">
        <f>IF(TrRoad_act!O61=0,0,TrRoad_ene!O64/TrRoad_tech!O92)</f>
        <v>1.0371559087678528</v>
      </c>
      <c r="P119" s="91">
        <f>IF(TrRoad_act!P61=0,0,TrRoad_ene!P64/TrRoad_tech!P92)</f>
        <v>1.0386388967137987</v>
      </c>
      <c r="Q119" s="91">
        <f>IF(TrRoad_act!Q61=0,0,TrRoad_ene!Q64/TrRoad_tech!Q92)</f>
        <v>1.0405756510188064</v>
      </c>
      <c r="R119" s="91">
        <f>IF(TrRoad_act!R61=0,0,TrRoad_ene!R64/TrRoad_tech!R92)</f>
        <v>1.0428538228321875</v>
      </c>
      <c r="S119" s="91">
        <f>IF(TrRoad_act!S61=0,0,TrRoad_ene!S64/TrRoad_tech!S92)</f>
        <v>1.0451251014941714</v>
      </c>
      <c r="T119" s="91">
        <f>IF(TrRoad_act!T61=0,0,TrRoad_ene!T64/TrRoad_tech!T92)</f>
        <v>1.0475791411009379</v>
      </c>
      <c r="U119" s="91">
        <f>IF(TrRoad_act!U61=0,0,TrRoad_ene!U64/TrRoad_tech!U92)</f>
        <v>1.051048205552366</v>
      </c>
      <c r="V119" s="91">
        <f>IF(TrRoad_act!V61=0,0,TrRoad_ene!V64/TrRoad_tech!V92)</f>
        <v>1.0490580618080614</v>
      </c>
      <c r="W119" s="91">
        <f>IF(TrRoad_act!W61=0,0,TrRoad_ene!W64/TrRoad_tech!W92)</f>
        <v>1.1042719363295181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1.0877824549671036</v>
      </c>
      <c r="C120" s="91">
        <f>IF(TrRoad_act!C62=0,0,TrRoad_ene!C65/TrRoad_tech!C93)</f>
        <v>1.1150843945878701</v>
      </c>
      <c r="D120" s="91">
        <f>IF(TrRoad_act!D62=0,0,TrRoad_ene!D65/TrRoad_tech!D93)</f>
        <v>1.0978440074611453</v>
      </c>
      <c r="E120" s="91">
        <f>IF(TrRoad_act!E62=0,0,TrRoad_ene!E65/TrRoad_tech!E93)</f>
        <v>1.111289243139874</v>
      </c>
      <c r="F120" s="91">
        <f>IF(TrRoad_act!F62=0,0,TrRoad_ene!F65/TrRoad_tech!F93)</f>
        <v>1.1334490566973647</v>
      </c>
      <c r="G120" s="91">
        <f>IF(TrRoad_act!G62=0,0,TrRoad_ene!G65/TrRoad_tech!G93)</f>
        <v>1.0909822050508269</v>
      </c>
      <c r="H120" s="91">
        <f>IF(TrRoad_act!H62=0,0,TrRoad_ene!H65/TrRoad_tech!H93)</f>
        <v>1.0996269699112935</v>
      </c>
      <c r="I120" s="91">
        <f>IF(TrRoad_act!I62=0,0,TrRoad_ene!I65/TrRoad_tech!I93)</f>
        <v>1.0852356080335157</v>
      </c>
      <c r="J120" s="91">
        <f>IF(TrRoad_act!J62=0,0,TrRoad_ene!J65/TrRoad_tech!J93)</f>
        <v>1.0851099969906146</v>
      </c>
      <c r="K120" s="91">
        <f>IF(TrRoad_act!K62=0,0,TrRoad_ene!K65/TrRoad_tech!K93)</f>
        <v>1.0674855238158985</v>
      </c>
      <c r="L120" s="91">
        <f>IF(TrRoad_act!L62=0,0,TrRoad_ene!L65/TrRoad_tech!L93)</f>
        <v>1.0788240156998374</v>
      </c>
      <c r="M120" s="91">
        <f>IF(TrRoad_act!M62=0,0,TrRoad_ene!M65/TrRoad_tech!M93)</f>
        <v>1.0631275836572278</v>
      </c>
      <c r="N120" s="91">
        <f>IF(TrRoad_act!N62=0,0,TrRoad_ene!N65/TrRoad_tech!N93)</f>
        <v>1.0388364098851306</v>
      </c>
      <c r="O120" s="91">
        <f>IF(TrRoad_act!O62=0,0,TrRoad_ene!O65/TrRoad_tech!O93)</f>
        <v>1.0249495499278036</v>
      </c>
      <c r="P120" s="91">
        <f>IF(TrRoad_act!P62=0,0,TrRoad_ene!P65/TrRoad_tech!P93)</f>
        <v>0.99830592996452061</v>
      </c>
      <c r="Q120" s="91">
        <f>IF(TrRoad_act!Q62=0,0,TrRoad_ene!Q65/TrRoad_tech!Q93)</f>
        <v>1.003657207534324</v>
      </c>
      <c r="R120" s="91">
        <f>IF(TrRoad_act!R62=0,0,TrRoad_ene!R65/TrRoad_tech!R93)</f>
        <v>0.99164692502148322</v>
      </c>
      <c r="S120" s="91">
        <f>IF(TrRoad_act!S62=0,0,TrRoad_ene!S65/TrRoad_tech!S93)</f>
        <v>1.0063652804229961</v>
      </c>
      <c r="T120" s="91">
        <f>IF(TrRoad_act!T62=0,0,TrRoad_ene!T65/TrRoad_tech!T93)</f>
        <v>0.99310683323596305</v>
      </c>
      <c r="U120" s="91">
        <f>IF(TrRoad_act!U62=0,0,TrRoad_ene!U65/TrRoad_tech!U93)</f>
        <v>1.0054603038356793</v>
      </c>
      <c r="V120" s="91">
        <f>IF(TrRoad_act!V62=0,0,TrRoad_ene!V65/TrRoad_tech!V93)</f>
        <v>1.0239184672313224</v>
      </c>
      <c r="W120" s="91">
        <f>IF(TrRoad_act!W62=0,0,TrRoad_ene!W65/TrRoad_tech!W93)</f>
        <v>1.0266499895604702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0</v>
      </c>
      <c r="E121" s="91">
        <f>IF(TrRoad_act!E63=0,0,TrRoad_ene!E66/TrRoad_tech!E94)</f>
        <v>0</v>
      </c>
      <c r="F121" s="91">
        <f>IF(TrRoad_act!F63=0,0,TrRoad_ene!F66/TrRoad_tech!F94)</f>
        <v>0</v>
      </c>
      <c r="G121" s="91">
        <f>IF(TrRoad_act!G63=0,0,TrRoad_ene!G66/TrRoad_tech!G94)</f>
        <v>1.3712702017969671</v>
      </c>
      <c r="H121" s="91">
        <f>IF(TrRoad_act!H63=0,0,TrRoad_ene!H66/TrRoad_tech!H94)</f>
        <v>1.1053077790629466</v>
      </c>
      <c r="I121" s="91">
        <f>IF(TrRoad_act!I63=0,0,TrRoad_ene!I66/TrRoad_tech!I94)</f>
        <v>2.3951421294147788</v>
      </c>
      <c r="J121" s="91">
        <f>IF(TrRoad_act!J63=0,0,TrRoad_ene!J66/TrRoad_tech!J94)</f>
        <v>1.4863775234860503</v>
      </c>
      <c r="K121" s="91">
        <f>IF(TrRoad_act!K63=0,0,TrRoad_ene!K66/TrRoad_tech!K94)</f>
        <v>1.4412908300621017</v>
      </c>
      <c r="L121" s="91">
        <f>IF(TrRoad_act!L63=0,0,TrRoad_ene!L66/TrRoad_tech!L94)</f>
        <v>1.7854644803136981</v>
      </c>
      <c r="M121" s="91">
        <f>IF(TrRoad_act!M63=0,0,TrRoad_ene!M66/TrRoad_tech!M94)</f>
        <v>1.2818483970074772</v>
      </c>
      <c r="N121" s="91">
        <f>IF(TrRoad_act!N63=0,0,TrRoad_ene!N66/TrRoad_tech!N94)</f>
        <v>0.82210366007259039</v>
      </c>
      <c r="O121" s="91">
        <f>IF(TrRoad_act!O63=0,0,TrRoad_ene!O66/TrRoad_tech!O94)</f>
        <v>0.4355219452680209</v>
      </c>
      <c r="P121" s="91">
        <f>IF(TrRoad_act!P63=0,0,TrRoad_ene!P66/TrRoad_tech!P94)</f>
        <v>0.50990756337342069</v>
      </c>
      <c r="Q121" s="91">
        <f>IF(TrRoad_act!Q63=0,0,TrRoad_ene!Q66/TrRoad_tech!Q94)</f>
        <v>2.821128006268621</v>
      </c>
      <c r="R121" s="91">
        <f>IF(TrRoad_act!R63=0,0,TrRoad_ene!R66/TrRoad_tech!R94)</f>
        <v>1.0480717737801681</v>
      </c>
      <c r="S121" s="91">
        <f>IF(TrRoad_act!S63=0,0,TrRoad_ene!S66/TrRoad_tech!S94)</f>
        <v>0</v>
      </c>
      <c r="T121" s="91">
        <f>IF(TrRoad_act!T63=0,0,TrRoad_ene!T66/TrRoad_tech!T94)</f>
        <v>0</v>
      </c>
      <c r="U121" s="91">
        <f>IF(TrRoad_act!U63=0,0,TrRoad_ene!U66/TrRoad_tech!U94)</f>
        <v>0</v>
      </c>
      <c r="V121" s="91">
        <f>IF(TrRoad_act!V63=0,0,TrRoad_ene!V66/TrRoad_tech!V94)</f>
        <v>0</v>
      </c>
      <c r="W121" s="91">
        <f>IF(TrRoad_act!W63=0,0,TrRoad_ene!W66/TrRoad_tech!W94)</f>
        <v>0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1.0303703703742999</v>
      </c>
      <c r="E122" s="91">
        <f>IF(TrRoad_act!E64=0,0,TrRoad_ene!E67/TrRoad_tech!E95)</f>
        <v>1.0313310435096503</v>
      </c>
      <c r="F122" s="91">
        <f>IF(TrRoad_act!F64=0,0,TrRoad_ene!F67/TrRoad_tech!F95)</f>
        <v>1.0324804623544965</v>
      </c>
      <c r="G122" s="91">
        <f>IF(TrRoad_act!G64=0,0,TrRoad_ene!G67/TrRoad_tech!G95)</f>
        <v>1.0339430737041118</v>
      </c>
      <c r="H122" s="91">
        <f>IF(TrRoad_act!H64=0,0,TrRoad_ene!H67/TrRoad_tech!H95)</f>
        <v>1.0346101400822656</v>
      </c>
      <c r="I122" s="91">
        <f>IF(TrRoad_act!I64=0,0,TrRoad_ene!I67/TrRoad_tech!I95)</f>
        <v>1.0359129932903579</v>
      </c>
      <c r="J122" s="91">
        <f>IF(TrRoad_act!J64=0,0,TrRoad_ene!J67/TrRoad_tech!J95)</f>
        <v>1.0375657174539157</v>
      </c>
      <c r="K122" s="91">
        <f>IF(TrRoad_act!K64=0,0,TrRoad_ene!K67/TrRoad_tech!K95)</f>
        <v>1.0392544046146039</v>
      </c>
      <c r="L122" s="91">
        <f>IF(TrRoad_act!L64=0,0,TrRoad_ene!L67/TrRoad_tech!L95)</f>
        <v>1.0484264014937803</v>
      </c>
      <c r="M122" s="91">
        <f>IF(TrRoad_act!M64=0,0,TrRoad_ene!M67/TrRoad_tech!M95)</f>
        <v>1.0529255547829175</v>
      </c>
      <c r="N122" s="91">
        <f>IF(TrRoad_act!N64=0,0,TrRoad_ene!N67/TrRoad_tech!N95)</f>
        <v>1.0566959537614331</v>
      </c>
      <c r="O122" s="91">
        <f>IF(TrRoad_act!O64=0,0,TrRoad_ene!O67/TrRoad_tech!O95)</f>
        <v>1.0591175404828759</v>
      </c>
      <c r="P122" s="91">
        <f>IF(TrRoad_act!P64=0,0,TrRoad_ene!P67/TrRoad_tech!P95)</f>
        <v>1.0621305956814997</v>
      </c>
      <c r="Q122" s="91">
        <f>IF(TrRoad_act!Q64=0,0,TrRoad_ene!Q67/TrRoad_tech!Q95)</f>
        <v>1.0652983775454061</v>
      </c>
      <c r="R122" s="91">
        <f>IF(TrRoad_act!R64=0,0,TrRoad_ene!R67/TrRoad_tech!R95)</f>
        <v>1.0691443489823662</v>
      </c>
      <c r="S122" s="91">
        <f>IF(TrRoad_act!S64=0,0,TrRoad_ene!S67/TrRoad_tech!S95)</f>
        <v>1.0729058714913928</v>
      </c>
      <c r="T122" s="91">
        <f>IF(TrRoad_act!T64=0,0,TrRoad_ene!T67/TrRoad_tech!T95)</f>
        <v>1.0761563086506936</v>
      </c>
      <c r="U122" s="91">
        <f>IF(TrRoad_act!U64=0,0,TrRoad_ene!U67/TrRoad_tech!U95)</f>
        <v>1.0808592490950701</v>
      </c>
      <c r="V122" s="91">
        <f>IF(TrRoad_act!V64=0,0,TrRoad_ene!V67/TrRoad_tech!V95)</f>
        <v>1.0827831054030461</v>
      </c>
      <c r="W122" s="91">
        <f>IF(TrRoad_act!W64=0,0,TrRoad_ene!W67/TrRoad_tech!W95)</f>
        <v>1.0842237488651478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1.0470268351088483</v>
      </c>
      <c r="K123" s="91">
        <f>IF(TrRoad_act!K65=0,0,TrRoad_ene!K68/TrRoad_tech!K96)</f>
        <v>1.0477495190535444</v>
      </c>
      <c r="L123" s="91">
        <f>IF(TrRoad_act!L65=0,0,TrRoad_ene!L68/TrRoad_tech!L96)</f>
        <v>1.0488958483945587</v>
      </c>
      <c r="M123" s="91">
        <f>IF(TrRoad_act!M65=0,0,TrRoad_ene!M68/TrRoad_tech!M96)</f>
        <v>1.0543440860989854</v>
      </c>
      <c r="N123" s="91">
        <f>IF(TrRoad_act!N65=0,0,TrRoad_ene!N68/TrRoad_tech!N96)</f>
        <v>1.0616689566645454</v>
      </c>
      <c r="O123" s="91">
        <f>IF(TrRoad_act!O65=0,0,TrRoad_ene!O68/TrRoad_tech!O96)</f>
        <v>1.0655033860073018</v>
      </c>
      <c r="P123" s="91">
        <f>IF(TrRoad_act!P65=0,0,TrRoad_ene!P68/TrRoad_tech!P96)</f>
        <v>1.0734455642474781</v>
      </c>
      <c r="Q123" s="91">
        <f>IF(TrRoad_act!Q65=0,0,TrRoad_ene!Q68/TrRoad_tech!Q96)</f>
        <v>1.0791861763944233</v>
      </c>
      <c r="R123" s="91">
        <f>IF(TrRoad_act!R65=0,0,TrRoad_ene!R68/TrRoad_tech!R96)</f>
        <v>1.0836803626426124</v>
      </c>
      <c r="S123" s="91">
        <f>IF(TrRoad_act!S65=0,0,TrRoad_ene!S68/TrRoad_tech!S96)</f>
        <v>1.0865819626125877</v>
      </c>
      <c r="T123" s="91">
        <f>IF(TrRoad_act!T65=0,0,TrRoad_ene!T68/TrRoad_tech!T96)</f>
        <v>1.0883216967099203</v>
      </c>
      <c r="U123" s="91">
        <f>IF(TrRoad_act!U65=0,0,TrRoad_ene!U68/TrRoad_tech!U96)</f>
        <v>1.0897914186283197</v>
      </c>
      <c r="V123" s="91">
        <f>IF(TrRoad_act!V65=0,0,TrRoad_ene!V68/TrRoad_tech!V96)</f>
        <v>1.0887008851462654</v>
      </c>
      <c r="W123" s="91">
        <f>IF(TrRoad_act!W65=0,0,TrRoad_ene!W68/TrRoad_tech!W96)</f>
        <v>1.1187459802227617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1.0470370370414099</v>
      </c>
      <c r="K124" s="91">
        <f>IF(TrRoad_act!K66=0,0,TrRoad_ene!K69/TrRoad_tech!K97)</f>
        <v>1.0477844602836108</v>
      </c>
      <c r="L124" s="91">
        <f>IF(TrRoad_act!L66=0,0,TrRoad_ene!L69/TrRoad_tech!L97)</f>
        <v>1.0502447568336575</v>
      </c>
      <c r="M124" s="91">
        <f>IF(TrRoad_act!M66=0,0,TrRoad_ene!M69/TrRoad_tech!M97)</f>
        <v>1.0556157624614413</v>
      </c>
      <c r="N124" s="91">
        <f>IF(TrRoad_act!N66=0,0,TrRoad_ene!N69/TrRoad_tech!N97)</f>
        <v>1.0601561379557158</v>
      </c>
      <c r="O124" s="91">
        <f>IF(TrRoad_act!O66=0,0,TrRoad_ene!O69/TrRoad_tech!O97)</f>
        <v>1.0656335763106242</v>
      </c>
      <c r="P124" s="91">
        <f>IF(TrRoad_act!P66=0,0,TrRoad_ene!P69/TrRoad_tech!P97)</f>
        <v>1.0737084696732575</v>
      </c>
      <c r="Q124" s="91">
        <f>IF(TrRoad_act!Q66=0,0,TrRoad_ene!Q69/TrRoad_tech!Q97)</f>
        <v>1.0809933530217433</v>
      </c>
      <c r="R124" s="91">
        <f>IF(TrRoad_act!R66=0,0,TrRoad_ene!R69/TrRoad_tech!R97)</f>
        <v>1.0846475178040553</v>
      </c>
      <c r="S124" s="91">
        <f>IF(TrRoad_act!S66=0,0,TrRoad_ene!S69/TrRoad_tech!S97)</f>
        <v>1.0879719246201718</v>
      </c>
      <c r="T124" s="91">
        <f>IF(TrRoad_act!T66=0,0,TrRoad_ene!T69/TrRoad_tech!T97)</f>
        <v>1.0915329391893844</v>
      </c>
      <c r="U124" s="91">
        <f>IF(TrRoad_act!U66=0,0,TrRoad_ene!U69/TrRoad_tech!U97)</f>
        <v>1.0946445592547376</v>
      </c>
      <c r="V124" s="91">
        <f>IF(TrRoad_act!V66=0,0,TrRoad_ene!V69/TrRoad_tech!V97)</f>
        <v>1.0962881322830524</v>
      </c>
      <c r="W124" s="91">
        <f>IF(TrRoad_act!W66=0,0,TrRoad_ene!W69/TrRoad_tech!W97)</f>
        <v>1.0977059399738776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1.2421606477805009</v>
      </c>
      <c r="C125" s="151">
        <f>IF(TrRoad_act!C67=0,0,TrRoad_ene!C70/TrRoad_tech!C98)</f>
        <v>1.2452486331191313</v>
      </c>
      <c r="D125" s="151">
        <f>IF(TrRoad_act!D67=0,0,TrRoad_ene!D70/TrRoad_tech!D98)</f>
        <v>1.2188101303892216</v>
      </c>
      <c r="E125" s="151">
        <f>IF(TrRoad_act!E67=0,0,TrRoad_ene!E70/TrRoad_tech!E98)</f>
        <v>1.2586089193938843</v>
      </c>
      <c r="F125" s="151">
        <f>IF(TrRoad_act!F67=0,0,TrRoad_ene!F70/TrRoad_tech!F98)</f>
        <v>1.2868718354277682</v>
      </c>
      <c r="G125" s="151">
        <f>IF(TrRoad_act!G67=0,0,TrRoad_ene!G70/TrRoad_tech!G98)</f>
        <v>1.1738490356040607</v>
      </c>
      <c r="H125" s="151">
        <f>IF(TrRoad_act!H67=0,0,TrRoad_ene!H70/TrRoad_tech!H98)</f>
        <v>1.2360688778745388</v>
      </c>
      <c r="I125" s="151">
        <f>IF(TrRoad_act!I67=0,0,TrRoad_ene!I70/TrRoad_tech!I98)</f>
        <v>1.2082079858324506</v>
      </c>
      <c r="J125" s="151">
        <f>IF(TrRoad_act!J67=0,0,TrRoad_ene!J70/TrRoad_tech!J98)</f>
        <v>1.2267974131785158</v>
      </c>
      <c r="K125" s="151">
        <f>IF(TrRoad_act!K67=0,0,TrRoad_ene!K70/TrRoad_tech!K98)</f>
        <v>1.1903663986802708</v>
      </c>
      <c r="L125" s="151">
        <f>IF(TrRoad_act!L67=0,0,TrRoad_ene!L70/TrRoad_tech!L98)</f>
        <v>1.1900562226008025</v>
      </c>
      <c r="M125" s="151">
        <f>IF(TrRoad_act!M67=0,0,TrRoad_ene!M70/TrRoad_tech!M98)</f>
        <v>1.2416079106402393</v>
      </c>
      <c r="N125" s="151">
        <f>IF(TrRoad_act!N67=0,0,TrRoad_ene!N70/TrRoad_tech!N98)</f>
        <v>1.2222553616218463</v>
      </c>
      <c r="O125" s="151">
        <f>IF(TrRoad_act!O67=0,0,TrRoad_ene!O70/TrRoad_tech!O98)</f>
        <v>1.1911869460173636</v>
      </c>
      <c r="P125" s="151">
        <f>IF(TrRoad_act!P67=0,0,TrRoad_ene!P70/TrRoad_tech!P98)</f>
        <v>1.154868521890124</v>
      </c>
      <c r="Q125" s="151">
        <f>IF(TrRoad_act!Q67=0,0,TrRoad_ene!Q70/TrRoad_tech!Q98)</f>
        <v>1.1474294242598895</v>
      </c>
      <c r="R125" s="151">
        <f>IF(TrRoad_act!R67=0,0,TrRoad_ene!R70/TrRoad_tech!R98)</f>
        <v>1.1352974721257809</v>
      </c>
      <c r="S125" s="151">
        <f>IF(TrRoad_act!S67=0,0,TrRoad_ene!S70/TrRoad_tech!S98)</f>
        <v>1.1355701433617338</v>
      </c>
      <c r="T125" s="151">
        <f>IF(TrRoad_act!T67=0,0,TrRoad_ene!T70/TrRoad_tech!T98)</f>
        <v>1.1391988240850961</v>
      </c>
      <c r="U125" s="151">
        <f>IF(TrRoad_act!U67=0,0,TrRoad_ene!U70/TrRoad_tech!U98)</f>
        <v>1.1232181304060547</v>
      </c>
      <c r="V125" s="151">
        <f>IF(TrRoad_act!V67=0,0,TrRoad_ene!V70/TrRoad_tech!V98)</f>
        <v>1.1459432186312382</v>
      </c>
      <c r="W125" s="151">
        <f>IF(TrRoad_act!W67=0,0,TrRoad_ene!W70/TrRoad_tech!W98)</f>
        <v>1.1532997027735032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</v>
      </c>
      <c r="C126" s="93">
        <f>IF(TrRoad_act!C68=0,0,TrRoad_ene!C71/TrRoad_tech!C99)</f>
        <v>1.1000429187396936</v>
      </c>
      <c r="D126" s="93">
        <f>IF(TrRoad_act!D68=0,0,TrRoad_ene!D71/TrRoad_tech!D99)</f>
        <v>1.1001137916035717</v>
      </c>
      <c r="E126" s="93">
        <f>IF(TrRoad_act!E68=0,0,TrRoad_ene!E71/TrRoad_tech!E99)</f>
        <v>1.1003526643894008</v>
      </c>
      <c r="F126" s="93">
        <f>IF(TrRoad_act!F68=0,0,TrRoad_ene!F71/TrRoad_tech!F99)</f>
        <v>1.1004677620547176</v>
      </c>
      <c r="G126" s="93">
        <f>IF(TrRoad_act!G68=0,0,TrRoad_ene!G71/TrRoad_tech!G99)</f>
        <v>1.1006316421115732</v>
      </c>
      <c r="H126" s="93">
        <f>IF(TrRoad_act!H68=0,0,TrRoad_ene!H71/TrRoad_tech!H99)</f>
        <v>1.1036567436601219</v>
      </c>
      <c r="I126" s="93">
        <f>IF(TrRoad_act!I68=0,0,TrRoad_ene!I71/TrRoad_tech!I99)</f>
        <v>1.1049532027168136</v>
      </c>
      <c r="J126" s="93">
        <f>IF(TrRoad_act!J68=0,0,TrRoad_ene!J71/TrRoad_tech!J99)</f>
        <v>1.1084337330741316</v>
      </c>
      <c r="K126" s="93">
        <f>IF(TrRoad_act!K68=0,0,TrRoad_ene!K71/TrRoad_tech!K99)</f>
        <v>1.1156279708723909</v>
      </c>
      <c r="L126" s="93">
        <f>IF(TrRoad_act!L68=0,0,TrRoad_ene!L71/TrRoad_tech!L99)</f>
        <v>1.1356395706675522</v>
      </c>
      <c r="M126" s="93">
        <f>IF(TrRoad_act!M68=0,0,TrRoad_ene!M71/TrRoad_tech!M99)</f>
        <v>1.1719169087785446</v>
      </c>
      <c r="N126" s="93">
        <f>IF(TrRoad_act!N68=0,0,TrRoad_ene!N71/TrRoad_tech!N99)</f>
        <v>1.1836101180072471</v>
      </c>
      <c r="O126" s="93">
        <f>IF(TrRoad_act!O68=0,0,TrRoad_ene!O71/TrRoad_tech!O99)</f>
        <v>1.194840708796155</v>
      </c>
      <c r="P126" s="93">
        <f>IF(TrRoad_act!P68=0,0,TrRoad_ene!P71/TrRoad_tech!P99)</f>
        <v>1.2004818068822622</v>
      </c>
      <c r="Q126" s="93">
        <f>IF(TrRoad_act!Q68=0,0,TrRoad_ene!Q71/TrRoad_tech!Q99)</f>
        <v>1.2021298512410505</v>
      </c>
      <c r="R126" s="93">
        <f>IF(TrRoad_act!R68=0,0,TrRoad_ene!R71/TrRoad_tech!R99)</f>
        <v>1.2254354959333773</v>
      </c>
      <c r="S126" s="93">
        <f>IF(TrRoad_act!S68=0,0,TrRoad_ene!S71/TrRoad_tech!S99)</f>
        <v>1.2331603536671321</v>
      </c>
      <c r="T126" s="93">
        <f>IF(TrRoad_act!T68=0,0,TrRoad_ene!T71/TrRoad_tech!T99)</f>
        <v>1.2431685027174482</v>
      </c>
      <c r="U126" s="93">
        <f>IF(TrRoad_act!U68=0,0,TrRoad_ene!U71/TrRoad_tech!U99)</f>
        <v>1.2502974704283372</v>
      </c>
      <c r="V126" s="93">
        <f>IF(TrRoad_act!V68=0,0,TrRoad_ene!V71/TrRoad_tech!V99)</f>
        <v>1.2588851084017101</v>
      </c>
      <c r="W126" s="93">
        <f>IF(TrRoad_act!W68=0,0,TrRoad_ene!W71/TrRoad_tech!W99)</f>
        <v>1.2637349087804008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1.2456435539586455</v>
      </c>
      <c r="C127" s="93">
        <f>IF(TrRoad_act!C69=0,0,TrRoad_ene!C72/TrRoad_tech!C100)</f>
        <v>1.2586167002845841</v>
      </c>
      <c r="D127" s="93">
        <f>IF(TrRoad_act!D69=0,0,TrRoad_ene!D72/TrRoad_tech!D100)</f>
        <v>1.234961046078821</v>
      </c>
      <c r="E127" s="93">
        <f>IF(TrRoad_act!E69=0,0,TrRoad_ene!E72/TrRoad_tech!E100)</f>
        <v>1.270843581595458</v>
      </c>
      <c r="F127" s="93">
        <f>IF(TrRoad_act!F69=0,0,TrRoad_ene!F72/TrRoad_tech!F100)</f>
        <v>1.312254385656056</v>
      </c>
      <c r="G127" s="93">
        <f>IF(TrRoad_act!G69=0,0,TrRoad_ene!G72/TrRoad_tech!G100)</f>
        <v>1.246343774119435</v>
      </c>
      <c r="H127" s="93">
        <f>IF(TrRoad_act!H69=0,0,TrRoad_ene!H72/TrRoad_tech!H100)</f>
        <v>1.2585456726382205</v>
      </c>
      <c r="I127" s="93">
        <f>IF(TrRoad_act!I69=0,0,TrRoad_ene!I72/TrRoad_tech!I100)</f>
        <v>1.2411185474144379</v>
      </c>
      <c r="J127" s="93">
        <f>IF(TrRoad_act!J69=0,0,TrRoad_ene!J72/TrRoad_tech!J100)</f>
        <v>1.2389500653859797</v>
      </c>
      <c r="K127" s="93">
        <f>IF(TrRoad_act!K69=0,0,TrRoad_ene!K72/TrRoad_tech!K100)</f>
        <v>1.2299082870915037</v>
      </c>
      <c r="L127" s="93">
        <f>IF(TrRoad_act!L69=0,0,TrRoad_ene!L72/TrRoad_tech!L100)</f>
        <v>1.2512427407895617</v>
      </c>
      <c r="M127" s="93">
        <f>IF(TrRoad_act!M69=0,0,TrRoad_ene!M72/TrRoad_tech!M100)</f>
        <v>1.2410731698311221</v>
      </c>
      <c r="N127" s="93">
        <f>IF(TrRoad_act!N69=0,0,TrRoad_ene!N72/TrRoad_tech!N100)</f>
        <v>1.2078538787980242</v>
      </c>
      <c r="O127" s="93">
        <f>IF(TrRoad_act!O69=0,0,TrRoad_ene!O72/TrRoad_tech!O100)</f>
        <v>1.1883861661238961</v>
      </c>
      <c r="P127" s="93">
        <f>IF(TrRoad_act!P69=0,0,TrRoad_ene!P72/TrRoad_tech!P100)</f>
        <v>1.1359778050400233</v>
      </c>
      <c r="Q127" s="93">
        <f>IF(TrRoad_act!Q69=0,0,TrRoad_ene!Q72/TrRoad_tech!Q100)</f>
        <v>1.1409463330464285</v>
      </c>
      <c r="R127" s="93">
        <f>IF(TrRoad_act!R69=0,0,TrRoad_ene!R72/TrRoad_tech!R100)</f>
        <v>1.1274640533321643</v>
      </c>
      <c r="S127" s="93">
        <f>IF(TrRoad_act!S69=0,0,TrRoad_ene!S72/TrRoad_tech!S100)</f>
        <v>1.1571470205790213</v>
      </c>
      <c r="T127" s="93">
        <f>IF(TrRoad_act!T69=0,0,TrRoad_ene!T72/TrRoad_tech!T100)</f>
        <v>1.1383022349825607</v>
      </c>
      <c r="U127" s="93">
        <f>IF(TrRoad_act!U69=0,0,TrRoad_ene!U72/TrRoad_tech!U100)</f>
        <v>1.1657779445820176</v>
      </c>
      <c r="V127" s="93">
        <f>IF(TrRoad_act!V69=0,0,TrRoad_ene!V72/TrRoad_tech!V100)</f>
        <v>1.2234265928532799</v>
      </c>
      <c r="W127" s="93">
        <f>IF(TrRoad_act!W69=0,0,TrRoad_ene!W72/TrRoad_tech!W100)</f>
        <v>1.2338406552453787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0.98456581742002103</v>
      </c>
      <c r="C129" s="93">
        <f>IF(TrRoad_act!C71=0,0,TrRoad_ene!C74/TrRoad_tech!C102)</f>
        <v>0.89281144618792685</v>
      </c>
      <c r="D129" s="93">
        <f>IF(TrRoad_act!D71=0,0,TrRoad_ene!D74/TrRoad_tech!D102)</f>
        <v>0.86171300676478124</v>
      </c>
      <c r="E129" s="93">
        <f>IF(TrRoad_act!E71=0,0,TrRoad_ene!E74/TrRoad_tech!E102)</f>
        <v>1.138164898749231</v>
      </c>
      <c r="F129" s="93">
        <f>IF(TrRoad_act!F71=0,0,TrRoad_ene!F74/TrRoad_tech!F102)</f>
        <v>0.79092588981651879</v>
      </c>
      <c r="G129" s="93">
        <f>IF(TrRoad_act!G71=0,0,TrRoad_ene!G74/TrRoad_tech!G102)</f>
        <v>0.30077729157384181</v>
      </c>
      <c r="H129" s="93">
        <f>IF(TrRoad_act!H71=0,0,TrRoad_ene!H74/TrRoad_tech!H102)</f>
        <v>0.93826095956816258</v>
      </c>
      <c r="I129" s="93">
        <f>IF(TrRoad_act!I71=0,0,TrRoad_ene!I74/TrRoad_tech!I102)</f>
        <v>0.76007199366140588</v>
      </c>
      <c r="J129" s="93">
        <f>IF(TrRoad_act!J71=0,0,TrRoad_ene!J74/TrRoad_tech!J102)</f>
        <v>1.2374058011845914</v>
      </c>
      <c r="K129" s="93">
        <f>IF(TrRoad_act!K71=0,0,TrRoad_ene!K74/TrRoad_tech!K102)</f>
        <v>0.90539022808032144</v>
      </c>
      <c r="L129" s="93">
        <f>IF(TrRoad_act!L71=0,0,TrRoad_ene!L74/TrRoad_tech!L102)</f>
        <v>0.78109443503968412</v>
      </c>
      <c r="M129" s="93">
        <f>IF(TrRoad_act!M71=0,0,TrRoad_ene!M74/TrRoad_tech!M102)</f>
        <v>1.381357876901478</v>
      </c>
      <c r="N129" s="93">
        <f>IF(TrRoad_act!N71=0,0,TrRoad_ene!N74/TrRoad_tech!N102)</f>
        <v>1.4343610917838159</v>
      </c>
      <c r="O129" s="93">
        <f>IF(TrRoad_act!O71=0,0,TrRoad_ene!O74/TrRoad_tech!O102)</f>
        <v>1.309242961875563</v>
      </c>
      <c r="P129" s="93">
        <f>IF(TrRoad_act!P71=0,0,TrRoad_ene!P74/TrRoad_tech!P102)</f>
        <v>1.3465704946505459</v>
      </c>
      <c r="Q129" s="93">
        <f>IF(TrRoad_act!Q71=0,0,TrRoad_ene!Q74/TrRoad_tech!Q102)</f>
        <v>1.2688369942309636</v>
      </c>
      <c r="R129" s="93">
        <f>IF(TrRoad_act!R71=0,0,TrRoad_ene!R74/TrRoad_tech!R102)</f>
        <v>1.2507895535403624</v>
      </c>
      <c r="S129" s="93">
        <f>IF(TrRoad_act!S71=0,0,TrRoad_ene!S74/TrRoad_tech!S102)</f>
        <v>1.0830915861655162</v>
      </c>
      <c r="T129" s="93">
        <f>IF(TrRoad_act!T71=0,0,TrRoad_ene!T74/TrRoad_tech!T102)</f>
        <v>1.1934727804544578</v>
      </c>
      <c r="U129" s="93">
        <f>IF(TrRoad_act!U71=0,0,TrRoad_ene!U74/TrRoad_tech!U102)</f>
        <v>0.90730789809370394</v>
      </c>
      <c r="V129" s="93">
        <f>IF(TrRoad_act!V71=0,0,TrRoad_ene!V74/TrRoad_tech!V102)</f>
        <v>0.76255606059706926</v>
      </c>
      <c r="W129" s="93">
        <f>IF(TrRoad_act!W71=0,0,TrRoad_ene!W74/TrRoad_tech!W102)</f>
        <v>0.7077497092000703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1.1000000000067305</v>
      </c>
      <c r="D130" s="93">
        <f>IF(TrRoad_act!D72=0,0,TrRoad_ene!D75/TrRoad_tech!D103)</f>
        <v>1.1000000000067303</v>
      </c>
      <c r="E130" s="93">
        <f>IF(TrRoad_act!E72=0,0,TrRoad_ene!E75/TrRoad_tech!E103)</f>
        <v>1.106635176043117</v>
      </c>
      <c r="F130" s="93">
        <f>IF(TrRoad_act!F72=0,0,TrRoad_ene!F75/TrRoad_tech!F103)</f>
        <v>1.1066351760431168</v>
      </c>
      <c r="G130" s="93">
        <f>IF(TrRoad_act!G72=0,0,TrRoad_ene!G75/TrRoad_tech!G103)</f>
        <v>1.1079254030353696</v>
      </c>
      <c r="H130" s="93">
        <f>IF(TrRoad_act!H72=0,0,TrRoad_ene!H75/TrRoad_tech!H103)</f>
        <v>1.1085340781529769</v>
      </c>
      <c r="I130" s="93">
        <f>IF(TrRoad_act!I72=0,0,TrRoad_ene!I75/TrRoad_tech!I103)</f>
        <v>1.1100966861689492</v>
      </c>
      <c r="J130" s="93">
        <f>IF(TrRoad_act!J72=0,0,TrRoad_ene!J75/TrRoad_tech!J103)</f>
        <v>1.1123806507597078</v>
      </c>
      <c r="K130" s="93">
        <f>IF(TrRoad_act!K72=0,0,TrRoad_ene!K75/TrRoad_tech!K103)</f>
        <v>1.112380650759708</v>
      </c>
      <c r="L130" s="93">
        <f>IF(TrRoad_act!L72=0,0,TrRoad_ene!L75/TrRoad_tech!L103)</f>
        <v>1.1160000000058972</v>
      </c>
      <c r="M130" s="93">
        <f>IF(TrRoad_act!M72=0,0,TrRoad_ene!M75/TrRoad_tech!M103)</f>
        <v>1.1160000000058972</v>
      </c>
      <c r="N130" s="93">
        <f>IF(TrRoad_act!N72=0,0,TrRoad_ene!N75/TrRoad_tech!N103)</f>
        <v>1.1585917256741753</v>
      </c>
      <c r="O130" s="93">
        <f>IF(TrRoad_act!O72=0,0,TrRoad_ene!O75/TrRoad_tech!O103)</f>
        <v>1.1853912698592655</v>
      </c>
      <c r="P130" s="93">
        <f>IF(TrRoad_act!P72=0,0,TrRoad_ene!P75/TrRoad_tech!P103)</f>
        <v>1.2268711160281598</v>
      </c>
      <c r="Q130" s="93">
        <f>IF(TrRoad_act!Q72=0,0,TrRoad_ene!Q75/TrRoad_tech!Q103)</f>
        <v>1.2696678447243277</v>
      </c>
      <c r="R130" s="93">
        <f>IF(TrRoad_act!R72=0,0,TrRoad_ene!R75/TrRoad_tech!R103)</f>
        <v>1.3072291476625635</v>
      </c>
      <c r="S130" s="93">
        <f>IF(TrRoad_act!S72=0,0,TrRoad_ene!S75/TrRoad_tech!S103)</f>
        <v>1.3155965641922551</v>
      </c>
      <c r="T130" s="93">
        <f>IF(TrRoad_act!T72=0,0,TrRoad_ene!T75/TrRoad_tech!T103)</f>
        <v>1.3278959641905361</v>
      </c>
      <c r="U130" s="93">
        <f>IF(TrRoad_act!U72=0,0,TrRoad_ene!U75/TrRoad_tech!U103)</f>
        <v>1.3410908099523724</v>
      </c>
      <c r="V130" s="93">
        <f>IF(TrRoad_act!V72=0,0,TrRoad_ene!V75/TrRoad_tech!V103)</f>
        <v>1.3467042190387757</v>
      </c>
      <c r="W130" s="93">
        <f>IF(TrRoad_act!W72=0,0,TrRoad_ene!W75/TrRoad_tech!W103)</f>
        <v>1.35006147465737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1.1536587885341549</v>
      </c>
      <c r="C132" s="150">
        <f>IF(TrRoad_act!C74=0,0,TrRoad_ene!C77/TrRoad_tech!C105)</f>
        <v>1.1394951395553932</v>
      </c>
      <c r="D132" s="150">
        <f>IF(TrRoad_act!D74=0,0,TrRoad_ene!D77/TrRoad_tech!D105)</f>
        <v>1.1265132909834787</v>
      </c>
      <c r="E132" s="150">
        <f>IF(TrRoad_act!E74=0,0,TrRoad_ene!E77/TrRoad_tech!E105)</f>
        <v>1.1536138894098533</v>
      </c>
      <c r="F132" s="150">
        <f>IF(TrRoad_act!F74=0,0,TrRoad_ene!F77/TrRoad_tech!F105)</f>
        <v>1.1908060605539583</v>
      </c>
      <c r="G132" s="150">
        <f>IF(TrRoad_act!G74=0,0,TrRoad_ene!G77/TrRoad_tech!G105)</f>
        <v>1.1551240979053319</v>
      </c>
      <c r="H132" s="150">
        <f>IF(TrRoad_act!H74=0,0,TrRoad_ene!H77/TrRoad_tech!H105)</f>
        <v>1.1727207122455563</v>
      </c>
      <c r="I132" s="150">
        <f>IF(TrRoad_act!I74=0,0,TrRoad_ene!I77/TrRoad_tech!I105)</f>
        <v>1.1686966246127801</v>
      </c>
      <c r="J132" s="150">
        <f>IF(TrRoad_act!J74=0,0,TrRoad_ene!J77/TrRoad_tech!J105)</f>
        <v>1.1731114038430244</v>
      </c>
      <c r="K132" s="150">
        <f>IF(TrRoad_act!K74=0,0,TrRoad_ene!K77/TrRoad_tech!K105)</f>
        <v>1.1677816432740351</v>
      </c>
      <c r="L132" s="150">
        <f>IF(TrRoad_act!L74=0,0,TrRoad_ene!L77/TrRoad_tech!L105)</f>
        <v>1.1846643502349805</v>
      </c>
      <c r="M132" s="150">
        <f>IF(TrRoad_act!M74=0,0,TrRoad_ene!M77/TrRoad_tech!M105)</f>
        <v>1.1772011233878539</v>
      </c>
      <c r="N132" s="150">
        <f>IF(TrRoad_act!N74=0,0,TrRoad_ene!N77/TrRoad_tech!N105)</f>
        <v>1.1456834883741593</v>
      </c>
      <c r="O132" s="150">
        <f>IF(TrRoad_act!O74=0,0,TrRoad_ene!O77/TrRoad_tech!O105)</f>
        <v>1.1273239335761822</v>
      </c>
      <c r="P132" s="150">
        <f>IF(TrRoad_act!P74=0,0,TrRoad_ene!P77/TrRoad_tech!P105)</f>
        <v>1.0797077678930542</v>
      </c>
      <c r="Q132" s="150">
        <f>IF(TrRoad_act!Q74=0,0,TrRoad_ene!Q77/TrRoad_tech!Q105)</f>
        <v>1.0833732115976877</v>
      </c>
      <c r="R132" s="150">
        <f>IF(TrRoad_act!R74=0,0,TrRoad_ene!R77/TrRoad_tech!R105)</f>
        <v>1.0628189882311412</v>
      </c>
      <c r="S132" s="150">
        <f>IF(TrRoad_act!S74=0,0,TrRoad_ene!S77/TrRoad_tech!S105)</f>
        <v>1.0902992760460171</v>
      </c>
      <c r="T132" s="150">
        <f>IF(TrRoad_act!T74=0,0,TrRoad_ene!T77/TrRoad_tech!T105)</f>
        <v>1.081815277981621</v>
      </c>
      <c r="U132" s="150">
        <f>IF(TrRoad_act!U74=0,0,TrRoad_ene!U77/TrRoad_tech!U105)</f>
        <v>1.1162697750539019</v>
      </c>
      <c r="V132" s="150">
        <f>IF(TrRoad_act!V74=0,0,TrRoad_ene!V77/TrRoad_tech!V105)</f>
        <v>1.1532545385389528</v>
      </c>
      <c r="W132" s="150">
        <f>IF(TrRoad_act!W74=0,0,TrRoad_ene!W77/TrRoad_tech!W105)</f>
        <v>1.1675994381149355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1.100032271261441</v>
      </c>
      <c r="D133" s="91">
        <f>IF(TrRoad_act!D75=0,0,TrRoad_ene!D78/TrRoad_tech!D106)</f>
        <v>1.1001005624413294</v>
      </c>
      <c r="E133" s="91">
        <f>IF(TrRoad_act!E75=0,0,TrRoad_ene!E78/TrRoad_tech!E106)</f>
        <v>1.1002073787956475</v>
      </c>
      <c r="F133" s="91">
        <f>IF(TrRoad_act!F75=0,0,TrRoad_ene!F78/TrRoad_tech!F106)</f>
        <v>1.100363229085161</v>
      </c>
      <c r="G133" s="91">
        <f>IF(TrRoad_act!G75=0,0,TrRoad_ene!G78/TrRoad_tech!G106)</f>
        <v>1.1005897632797348</v>
      </c>
      <c r="H133" s="91">
        <f>IF(TrRoad_act!H75=0,0,TrRoad_ene!H78/TrRoad_tech!H106)</f>
        <v>1.1010501539727551</v>
      </c>
      <c r="I133" s="91">
        <f>IF(TrRoad_act!I75=0,0,TrRoad_ene!I78/TrRoad_tech!I106)</f>
        <v>1.1018253344762527</v>
      </c>
      <c r="J133" s="91">
        <f>IF(TrRoad_act!J75=0,0,TrRoad_ene!J78/TrRoad_tech!J106)</f>
        <v>1.1027633784900037</v>
      </c>
      <c r="K133" s="91">
        <f>IF(TrRoad_act!K75=0,0,TrRoad_ene!K78/TrRoad_tech!K106)</f>
        <v>1.1038921046903505</v>
      </c>
      <c r="L133" s="91">
        <f>IF(TrRoad_act!L75=0,0,TrRoad_ene!L78/TrRoad_tech!L106)</f>
        <v>1.1051814767293706</v>
      </c>
      <c r="M133" s="91">
        <f>IF(TrRoad_act!M75=0,0,TrRoad_ene!M78/TrRoad_tech!M106)</f>
        <v>1.1068202729679031</v>
      </c>
      <c r="N133" s="91">
        <f>IF(TrRoad_act!N75=0,0,TrRoad_ene!N78/TrRoad_tech!N106)</f>
        <v>1.1093894730625591</v>
      </c>
      <c r="O133" s="91">
        <f>IF(TrRoad_act!O75=0,0,TrRoad_ene!O78/TrRoad_tech!O106)</f>
        <v>1.1120204658774984</v>
      </c>
      <c r="P133" s="91">
        <f>IF(TrRoad_act!P75=0,0,TrRoad_ene!P78/TrRoad_tech!P106)</f>
        <v>1.1154815239366931</v>
      </c>
      <c r="Q133" s="91">
        <f>IF(TrRoad_act!Q75=0,0,TrRoad_ene!Q78/TrRoad_tech!Q106)</f>
        <v>1.1197298054857654</v>
      </c>
      <c r="R133" s="91">
        <f>IF(TrRoad_act!R75=0,0,TrRoad_ene!R78/TrRoad_tech!R106)</f>
        <v>1.124587543542737</v>
      </c>
      <c r="S133" s="91">
        <f>IF(TrRoad_act!S75=0,0,TrRoad_ene!S78/TrRoad_tech!S106)</f>
        <v>1.1306166901729071</v>
      </c>
      <c r="T133" s="91">
        <f>IF(TrRoad_act!T75=0,0,TrRoad_ene!T78/TrRoad_tech!T106)</f>
        <v>1.1443190548009867</v>
      </c>
      <c r="U133" s="91">
        <f>IF(TrRoad_act!U75=0,0,TrRoad_ene!U78/TrRoad_tech!U106)</f>
        <v>1.1648248503633121</v>
      </c>
      <c r="V133" s="91">
        <f>IF(TrRoad_act!V75=0,0,TrRoad_ene!V78/TrRoad_tech!V106)</f>
        <v>1.180090167510397</v>
      </c>
      <c r="W133" s="91">
        <f>IF(TrRoad_act!W75=0,0,TrRoad_ene!W78/TrRoad_tech!W106)</f>
        <v>1.1919825353886395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1.2456435539586452</v>
      </c>
      <c r="C134" s="91">
        <f>IF(TrRoad_act!C76=0,0,TrRoad_ene!C79/TrRoad_tech!C107)</f>
        <v>1.2586685284883832</v>
      </c>
      <c r="D134" s="91">
        <f>IF(TrRoad_act!D76=0,0,TrRoad_ene!D79/TrRoad_tech!D107)</f>
        <v>1.2347377022519199</v>
      </c>
      <c r="E134" s="91">
        <f>IF(TrRoad_act!E76=0,0,TrRoad_ene!E79/TrRoad_tech!E107)</f>
        <v>1.270046358781409</v>
      </c>
      <c r="F134" s="91">
        <f>IF(TrRoad_act!F76=0,0,TrRoad_ene!F79/TrRoad_tech!F107)</f>
        <v>1.31069198323467</v>
      </c>
      <c r="G134" s="91">
        <f>IF(TrRoad_act!G76=0,0,TrRoad_ene!G79/TrRoad_tech!G107)</f>
        <v>1.2435286291236012</v>
      </c>
      <c r="H134" s="91">
        <f>IF(TrRoad_act!H76=0,0,TrRoad_ene!H79/TrRoad_tech!H107)</f>
        <v>1.2539379875906307</v>
      </c>
      <c r="I134" s="91">
        <f>IF(TrRoad_act!I76=0,0,TrRoad_ene!I79/TrRoad_tech!I107)</f>
        <v>1.2356413079689073</v>
      </c>
      <c r="J134" s="91">
        <f>IF(TrRoad_act!J76=0,0,TrRoad_ene!J79/TrRoad_tech!J107)</f>
        <v>1.231040921484934</v>
      </c>
      <c r="K134" s="91">
        <f>IF(TrRoad_act!K76=0,0,TrRoad_ene!K79/TrRoad_tech!K107)</f>
        <v>1.2181176028292873</v>
      </c>
      <c r="L134" s="91">
        <f>IF(TrRoad_act!L76=0,0,TrRoad_ene!L79/TrRoad_tech!L107)</f>
        <v>1.2302406866421967</v>
      </c>
      <c r="M134" s="91">
        <f>IF(TrRoad_act!M76=0,0,TrRoad_ene!M79/TrRoad_tech!M107)</f>
        <v>1.2120008126654203</v>
      </c>
      <c r="N134" s="91">
        <f>IF(TrRoad_act!N76=0,0,TrRoad_ene!N79/TrRoad_tech!N107)</f>
        <v>1.1749253214341042</v>
      </c>
      <c r="O134" s="91">
        <f>IF(TrRoad_act!O76=0,0,TrRoad_ene!O79/TrRoad_tech!O107)</f>
        <v>1.1530512258160501</v>
      </c>
      <c r="P134" s="91">
        <f>IF(TrRoad_act!P76=0,0,TrRoad_ene!P79/TrRoad_tech!P107)</f>
        <v>1.1024145987966758</v>
      </c>
      <c r="Q134" s="91">
        <f>IF(TrRoad_act!Q76=0,0,TrRoad_ene!Q79/TrRoad_tech!Q107)</f>
        <v>1.1077588393775912</v>
      </c>
      <c r="R134" s="91">
        <f>IF(TrRoad_act!R76=0,0,TrRoad_ene!R79/TrRoad_tech!R107)</f>
        <v>1.0895684936847161</v>
      </c>
      <c r="S134" s="91">
        <f>IF(TrRoad_act!S76=0,0,TrRoad_ene!S79/TrRoad_tech!S107)</f>
        <v>1.1232071206882366</v>
      </c>
      <c r="T134" s="91">
        <f>IF(TrRoad_act!T76=0,0,TrRoad_ene!T79/TrRoad_tech!T107)</f>
        <v>1.1116164386975966</v>
      </c>
      <c r="U134" s="91">
        <f>IF(TrRoad_act!U76=0,0,TrRoad_ene!U79/TrRoad_tech!U107)</f>
        <v>1.1446926601756791</v>
      </c>
      <c r="V134" s="91">
        <f>IF(TrRoad_act!V76=0,0,TrRoad_ene!V79/TrRoad_tech!V107)</f>
        <v>1.1808024733701494</v>
      </c>
      <c r="W134" s="91">
        <f>IF(TrRoad_act!W76=0,0,TrRoad_ene!W79/TrRoad_tech!W107)</f>
        <v>1.1925335283269436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0</v>
      </c>
      <c r="T135" s="91">
        <f>IF(TrRoad_act!T77=0,0,TrRoad_ene!T80/TrRoad_tech!T108)</f>
        <v>0</v>
      </c>
      <c r="U135" s="91">
        <f>IF(TrRoad_act!U77=0,0,TrRoad_ene!U80/TrRoad_tech!U108)</f>
        <v>0</v>
      </c>
      <c r="V135" s="91">
        <f>IF(TrRoad_act!V77=0,0,TrRoad_ene!V80/TrRoad_tech!V108)</f>
        <v>0</v>
      </c>
      <c r="W135" s="91">
        <f>IF(TrRoad_act!W77=0,0,TrRoad_ene!W80/TrRoad_tech!W108)</f>
        <v>0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1.1040000000061811</v>
      </c>
      <c r="D136" s="91">
        <f>IF(TrRoad_act!D78=0,0,TrRoad_ene!D81/TrRoad_tech!D109)</f>
        <v>1.1084203273951359</v>
      </c>
      <c r="E136" s="91">
        <f>IF(TrRoad_act!E78=0,0,TrRoad_ene!E81/TrRoad_tech!E109)</f>
        <v>1.1131919390520537</v>
      </c>
      <c r="F136" s="91">
        <f>IF(TrRoad_act!F78=0,0,TrRoad_ene!F81/TrRoad_tech!F109)</f>
        <v>1.1171730101179238</v>
      </c>
      <c r="G136" s="91">
        <f>IF(TrRoad_act!G78=0,0,TrRoad_ene!G81/TrRoad_tech!G109)</f>
        <v>1.1260644736429146</v>
      </c>
      <c r="H136" s="91">
        <f>IF(TrRoad_act!H78=0,0,TrRoad_ene!H81/TrRoad_tech!H109)</f>
        <v>1.137547606943746</v>
      </c>
      <c r="I136" s="91">
        <f>IF(TrRoad_act!I78=0,0,TrRoad_ene!I81/TrRoad_tech!I109)</f>
        <v>1.1483370281399889</v>
      </c>
      <c r="J136" s="91">
        <f>IF(TrRoad_act!J78=0,0,TrRoad_ene!J81/TrRoad_tech!J109)</f>
        <v>1.1632855758820897</v>
      </c>
      <c r="K136" s="91">
        <f>IF(TrRoad_act!K78=0,0,TrRoad_ene!K81/TrRoad_tech!K109)</f>
        <v>1.1732403102335869</v>
      </c>
      <c r="L136" s="91">
        <f>IF(TrRoad_act!L78=0,0,TrRoad_ene!L81/TrRoad_tech!L109)</f>
        <v>1.1878803748606486</v>
      </c>
      <c r="M136" s="91">
        <f>IF(TrRoad_act!M78=0,0,TrRoad_ene!M81/TrRoad_tech!M109)</f>
        <v>1.1999620149548478</v>
      </c>
      <c r="N136" s="91">
        <f>IF(TrRoad_act!N78=0,0,TrRoad_ene!N81/TrRoad_tech!N109)</f>
        <v>1.2097920126913073</v>
      </c>
      <c r="O136" s="91">
        <f>IF(TrRoad_act!O78=0,0,TrRoad_ene!O81/TrRoad_tech!O109)</f>
        <v>1.2209755085162701</v>
      </c>
      <c r="P136" s="91">
        <f>IF(TrRoad_act!P78=0,0,TrRoad_ene!P81/TrRoad_tech!P109)</f>
        <v>1.2367551951491218</v>
      </c>
      <c r="Q136" s="91">
        <f>IF(TrRoad_act!Q78=0,0,TrRoad_ene!Q81/TrRoad_tech!Q109)</f>
        <v>1.2510455549552213</v>
      </c>
      <c r="R136" s="91">
        <f>IF(TrRoad_act!R78=0,0,TrRoad_ene!R81/TrRoad_tech!R109)</f>
        <v>1.262450653718211</v>
      </c>
      <c r="S136" s="91">
        <f>IF(TrRoad_act!S78=0,0,TrRoad_ene!S81/TrRoad_tech!S109)</f>
        <v>1.2818593604500101</v>
      </c>
      <c r="T136" s="91">
        <f>IF(TrRoad_act!T78=0,0,TrRoad_ene!T81/TrRoad_tech!T109)</f>
        <v>1.3088112415551969</v>
      </c>
      <c r="U136" s="91">
        <f>IF(TrRoad_act!U78=0,0,TrRoad_ene!U81/TrRoad_tech!U109)</f>
        <v>1.3197520015007433</v>
      </c>
      <c r="V136" s="91">
        <f>IF(TrRoad_act!V78=0,0,TrRoad_ene!V81/TrRoad_tech!V109)</f>
        <v>1.3261299099243258</v>
      </c>
      <c r="W136" s="91">
        <f>IF(TrRoad_act!W78=0,0,TrRoad_ene!W81/TrRoad_tech!W109)</f>
        <v>1.330696507048075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1.1333333333400333</v>
      </c>
      <c r="H137" s="91">
        <f>IF(TrRoad_act!H79=0,0,TrRoad_ene!H82/TrRoad_tech!H110)</f>
        <v>1.1438996332647633</v>
      </c>
      <c r="I137" s="91">
        <f>IF(TrRoad_act!I79=0,0,TrRoad_ene!I82/TrRoad_tech!I110)</f>
        <v>1.1439470065971693</v>
      </c>
      <c r="J137" s="91">
        <f>IF(TrRoad_act!J79=0,0,TrRoad_ene!J82/TrRoad_tech!J110)</f>
        <v>1.1439467347993317</v>
      </c>
      <c r="K137" s="91">
        <f>IF(TrRoad_act!K79=0,0,TrRoad_ene!K82/TrRoad_tech!K110)</f>
        <v>1.1446024383064943</v>
      </c>
      <c r="L137" s="91">
        <f>IF(TrRoad_act!L79=0,0,TrRoad_ene!L82/TrRoad_tech!L110)</f>
        <v>1.1446182775452742</v>
      </c>
      <c r="M137" s="91">
        <f>IF(TrRoad_act!M79=0,0,TrRoad_ene!M82/TrRoad_tech!M110)</f>
        <v>1.1484432694688085</v>
      </c>
      <c r="N137" s="91">
        <f>IF(TrRoad_act!N79=0,0,TrRoad_ene!N82/TrRoad_tech!N110)</f>
        <v>1.2154907848402721</v>
      </c>
      <c r="O137" s="91">
        <f>IF(TrRoad_act!O79=0,0,TrRoad_ene!O82/TrRoad_tech!O110)</f>
        <v>1.2343655519613539</v>
      </c>
      <c r="P137" s="91">
        <f>IF(TrRoad_act!P79=0,0,TrRoad_ene!P82/TrRoad_tech!P110)</f>
        <v>1.2502138403370608</v>
      </c>
      <c r="Q137" s="91">
        <f>IF(TrRoad_act!Q79=0,0,TrRoad_ene!Q82/TrRoad_tech!Q110)</f>
        <v>1.2724286516240961</v>
      </c>
      <c r="R137" s="91">
        <f>IF(TrRoad_act!R79=0,0,TrRoad_ene!R82/TrRoad_tech!R110)</f>
        <v>1.2824861576107163</v>
      </c>
      <c r="S137" s="91">
        <f>IF(TrRoad_act!S79=0,0,TrRoad_ene!S82/TrRoad_tech!S110)</f>
        <v>1.2974286536165052</v>
      </c>
      <c r="T137" s="91">
        <f>IF(TrRoad_act!T79=0,0,TrRoad_ene!T82/TrRoad_tech!T110)</f>
        <v>1.3157430752378572</v>
      </c>
      <c r="U137" s="91">
        <f>IF(TrRoad_act!U79=0,0,TrRoad_ene!U82/TrRoad_tech!U110)</f>
        <v>1.3304682796311895</v>
      </c>
      <c r="V137" s="91">
        <f>IF(TrRoad_act!V79=0,0,TrRoad_ene!V82/TrRoad_tech!V110)</f>
        <v>1.3404742316067104</v>
      </c>
      <c r="W137" s="91">
        <f>IF(TrRoad_act!W79=0,0,TrRoad_ene!W82/TrRoad_tech!W110)</f>
        <v>1.3469721386170179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1.3712372149371097</v>
      </c>
      <c r="C138" s="151">
        <f>IF(TrRoad_act!C80=0,0,TrRoad_ene!C83/TrRoad_tech!C111)</f>
        <v>1.3814812706472024</v>
      </c>
      <c r="D138" s="151">
        <f>IF(TrRoad_act!D80=0,0,TrRoad_ene!D83/TrRoad_tech!D111)</f>
        <v>1.3415642410748378</v>
      </c>
      <c r="E138" s="151">
        <f>IF(TrRoad_act!E80=0,0,TrRoad_ene!E83/TrRoad_tech!E111)</f>
        <v>1.4065969979627373</v>
      </c>
      <c r="F138" s="151">
        <f>IF(TrRoad_act!F80=0,0,TrRoad_ene!F83/TrRoad_tech!F111)</f>
        <v>1.4732588973500049</v>
      </c>
      <c r="G138" s="151">
        <f>IF(TrRoad_act!G80=0,0,TrRoad_ene!G83/TrRoad_tech!G111)</f>
        <v>1.3540373473661793</v>
      </c>
      <c r="H138" s="151">
        <f>IF(TrRoad_act!H80=0,0,TrRoad_ene!H83/TrRoad_tech!H111)</f>
        <v>1.380024824438628</v>
      </c>
      <c r="I138" s="151">
        <f>IF(TrRoad_act!I80=0,0,TrRoad_ene!I83/TrRoad_tech!I111)</f>
        <v>1.3611116323200736</v>
      </c>
      <c r="J138" s="151">
        <f>IF(TrRoad_act!J80=0,0,TrRoad_ene!J83/TrRoad_tech!J111)</f>
        <v>1.3565536020112412</v>
      </c>
      <c r="K138" s="151">
        <f>IF(TrRoad_act!K80=0,0,TrRoad_ene!K83/TrRoad_tech!K111)</f>
        <v>1.3610029581413474</v>
      </c>
      <c r="L138" s="151">
        <f>IF(TrRoad_act!L80=0,0,TrRoad_ene!L83/TrRoad_tech!L111)</f>
        <v>1.4079501840122239</v>
      </c>
      <c r="M138" s="151">
        <f>IF(TrRoad_act!M80=0,0,TrRoad_ene!M83/TrRoad_tech!M111)</f>
        <v>1.4067009436504814</v>
      </c>
      <c r="N138" s="151">
        <f>IF(TrRoad_act!N80=0,0,TrRoad_ene!N83/TrRoad_tech!N111)</f>
        <v>1.3403693360187836</v>
      </c>
      <c r="O138" s="151">
        <f>IF(TrRoad_act!O80=0,0,TrRoad_ene!O83/TrRoad_tech!O111)</f>
        <v>1.2860263078886067</v>
      </c>
      <c r="P138" s="151">
        <f>IF(TrRoad_act!P80=0,0,TrRoad_ene!P83/TrRoad_tech!P111)</f>
        <v>1.1207456739186257</v>
      </c>
      <c r="Q138" s="151">
        <f>IF(TrRoad_act!Q80=0,0,TrRoad_ene!Q83/TrRoad_tech!Q111)</f>
        <v>1.1055899316651119</v>
      </c>
      <c r="R138" s="151">
        <f>IF(TrRoad_act!R80=0,0,TrRoad_ene!R83/TrRoad_tech!R111)</f>
        <v>1.0272352276153176</v>
      </c>
      <c r="S138" s="151">
        <f>IF(TrRoad_act!S80=0,0,TrRoad_ene!S83/TrRoad_tech!S111)</f>
        <v>1.0764928171926977</v>
      </c>
      <c r="T138" s="151">
        <f>IF(TrRoad_act!T80=0,0,TrRoad_ene!T83/TrRoad_tech!T111)</f>
        <v>1.0002987890281938</v>
      </c>
      <c r="U138" s="151">
        <f>IF(TrRoad_act!U80=0,0,TrRoad_ene!U83/TrRoad_tech!U111)</f>
        <v>1.0514955763009062</v>
      </c>
      <c r="V138" s="151">
        <f>IF(TrRoad_act!V80=0,0,TrRoad_ene!V83/TrRoad_tech!V111)</f>
        <v>1.1506124604796628</v>
      </c>
      <c r="W138" s="151">
        <f>IF(TrRoad_act!W80=0,0,TrRoad_ene!W83/TrRoad_tech!W111)</f>
        <v>1.1894446361000834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1.3538621243629254</v>
      </c>
      <c r="C139" s="93">
        <f>IF(TrRoad_act!C81=0,0,TrRoad_ene!C84/TrRoad_tech!C112)</f>
        <v>1.3646640446367391</v>
      </c>
      <c r="D139" s="93">
        <f>IF(TrRoad_act!D81=0,0,TrRoad_ene!D84/TrRoad_tech!D112)</f>
        <v>1.3266785850508864</v>
      </c>
      <c r="E139" s="93">
        <f>IF(TrRoad_act!E81=0,0,TrRoad_ene!E84/TrRoad_tech!E112)</f>
        <v>1.3915570290832686</v>
      </c>
      <c r="F139" s="93">
        <f>IF(TrRoad_act!F81=0,0,TrRoad_ene!F84/TrRoad_tech!F112)</f>
        <v>1.4582171604078864</v>
      </c>
      <c r="G139" s="93">
        <f>IF(TrRoad_act!G81=0,0,TrRoad_ene!G84/TrRoad_tech!G112)</f>
        <v>1.3417675266718463</v>
      </c>
      <c r="H139" s="93">
        <f>IF(TrRoad_act!H81=0,0,TrRoad_ene!H84/TrRoad_tech!H112)</f>
        <v>1.3670138133796452</v>
      </c>
      <c r="I139" s="93">
        <f>IF(TrRoad_act!I81=0,0,TrRoad_ene!I84/TrRoad_tech!I112)</f>
        <v>1.3489535825323533</v>
      </c>
      <c r="J139" s="93">
        <f>IF(TrRoad_act!J81=0,0,TrRoad_ene!J84/TrRoad_tech!J112)</f>
        <v>1.3455562762377773</v>
      </c>
      <c r="K139" s="93">
        <f>IF(TrRoad_act!K81=0,0,TrRoad_ene!K84/TrRoad_tech!K112)</f>
        <v>1.3507464415466099</v>
      </c>
      <c r="L139" s="93">
        <f>IF(TrRoad_act!L81=0,0,TrRoad_ene!L84/TrRoad_tech!L112)</f>
        <v>1.3953358130187072</v>
      </c>
      <c r="M139" s="93">
        <f>IF(TrRoad_act!M81=0,0,TrRoad_ene!M84/TrRoad_tech!M112)</f>
        <v>1.3925109847346511</v>
      </c>
      <c r="N139" s="93">
        <f>IF(TrRoad_act!N81=0,0,TrRoad_ene!N84/TrRoad_tech!N112)</f>
        <v>1.3245732015319696</v>
      </c>
      <c r="O139" s="93">
        <f>IF(TrRoad_act!O81=0,0,TrRoad_ene!O84/TrRoad_tech!O112)</f>
        <v>1.2675629429904505</v>
      </c>
      <c r="P139" s="93">
        <f>IF(TrRoad_act!P81=0,0,TrRoad_ene!P84/TrRoad_tech!P112)</f>
        <v>1.1087127133880204</v>
      </c>
      <c r="Q139" s="93">
        <f>IF(TrRoad_act!Q81=0,0,TrRoad_ene!Q84/TrRoad_tech!Q112)</f>
        <v>1.0904652772352499</v>
      </c>
      <c r="R139" s="93">
        <f>IF(TrRoad_act!R81=0,0,TrRoad_ene!R84/TrRoad_tech!R112)</f>
        <v>1.0108469198031664</v>
      </c>
      <c r="S139" s="93">
        <f>IF(TrRoad_act!S81=0,0,TrRoad_ene!S84/TrRoad_tech!S112)</f>
        <v>1.0580543403441482</v>
      </c>
      <c r="T139" s="93">
        <f>IF(TrRoad_act!T81=0,0,TrRoad_ene!T84/TrRoad_tech!T112)</f>
        <v>0.98143547543120147</v>
      </c>
      <c r="U139" s="93">
        <f>IF(TrRoad_act!U81=0,0,TrRoad_ene!U84/TrRoad_tech!U112)</f>
        <v>1.0307811524666719</v>
      </c>
      <c r="V139" s="93">
        <f>IF(TrRoad_act!V81=0,0,TrRoad_ene!V84/TrRoad_tech!V112)</f>
        <v>1.1245459785421017</v>
      </c>
      <c r="W139" s="93">
        <f>IF(TrRoad_act!W81=0,0,TrRoad_ene!W84/TrRoad_tech!W112)</f>
        <v>1.1591622984708549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1.3538621243629247</v>
      </c>
      <c r="C140" s="94">
        <f>IF(TrRoad_act!C82=0,0,TrRoad_ene!C85/TrRoad_tech!C113)</f>
        <v>1.3650867072002737</v>
      </c>
      <c r="D140" s="94">
        <f>IF(TrRoad_act!D82=0,0,TrRoad_ene!D85/TrRoad_tech!D113)</f>
        <v>1.3279618995692759</v>
      </c>
      <c r="E140" s="94">
        <f>IF(TrRoad_act!E82=0,0,TrRoad_ene!E85/TrRoad_tech!E113)</f>
        <v>1.3941170419707931</v>
      </c>
      <c r="F140" s="94">
        <f>IF(TrRoad_act!F82=0,0,TrRoad_ene!F85/TrRoad_tech!F113)</f>
        <v>1.4659795858994862</v>
      </c>
      <c r="G140" s="94">
        <f>IF(TrRoad_act!G82=0,0,TrRoad_ene!G85/TrRoad_tech!G113)</f>
        <v>1.350518415988224</v>
      </c>
      <c r="H140" s="94">
        <f>IF(TrRoad_act!H82=0,0,TrRoad_ene!H85/TrRoad_tech!H113)</f>
        <v>1.3777677352670528</v>
      </c>
      <c r="I140" s="94">
        <f>IF(TrRoad_act!I82=0,0,TrRoad_ene!I85/TrRoad_tech!I113)</f>
        <v>1.3596337107829757</v>
      </c>
      <c r="J140" s="94">
        <f>IF(TrRoad_act!J82=0,0,TrRoad_ene!J85/TrRoad_tech!J113)</f>
        <v>1.3552984963233647</v>
      </c>
      <c r="K140" s="94">
        <f>IF(TrRoad_act!K82=0,0,TrRoad_ene!K85/TrRoad_tech!K113)</f>
        <v>1.3574100972879661</v>
      </c>
      <c r="L140" s="94">
        <f>IF(TrRoad_act!L82=0,0,TrRoad_ene!L85/TrRoad_tech!L113)</f>
        <v>1.4077928898783509</v>
      </c>
      <c r="M140" s="94">
        <f>IF(TrRoad_act!M82=0,0,TrRoad_ene!M85/TrRoad_tech!M113)</f>
        <v>1.4008578771039903</v>
      </c>
      <c r="N140" s="94">
        <f>IF(TrRoad_act!N82=0,0,TrRoad_ene!N85/TrRoad_tech!N113)</f>
        <v>1.3323680150993535</v>
      </c>
      <c r="O140" s="94">
        <f>IF(TrRoad_act!O82=0,0,TrRoad_ene!O85/TrRoad_tech!O113)</f>
        <v>1.2840088746651686</v>
      </c>
      <c r="P140" s="94">
        <f>IF(TrRoad_act!P82=0,0,TrRoad_ene!P85/TrRoad_tech!P113)</f>
        <v>1.1235026774454699</v>
      </c>
      <c r="Q140" s="94">
        <f>IF(TrRoad_act!Q82=0,0,TrRoad_ene!Q85/TrRoad_tech!Q113)</f>
        <v>1.1193670862709613</v>
      </c>
      <c r="R140" s="94">
        <f>IF(TrRoad_act!R82=0,0,TrRoad_ene!R85/TrRoad_tech!R113)</f>
        <v>1.0417683856803315</v>
      </c>
      <c r="S140" s="94">
        <f>IF(TrRoad_act!S82=0,0,TrRoad_ene!S85/TrRoad_tech!S113)</f>
        <v>1.0892995110677541</v>
      </c>
      <c r="T140" s="94">
        <f>IF(TrRoad_act!T82=0,0,TrRoad_ene!T85/TrRoad_tech!T113)</f>
        <v>1.0176821310141786</v>
      </c>
      <c r="U140" s="94">
        <f>IF(TrRoad_act!U82=0,0,TrRoad_ene!U85/TrRoad_tech!U113)</f>
        <v>1.0654618675591763</v>
      </c>
      <c r="V140" s="94">
        <f>IF(TrRoad_act!V82=0,0,TrRoad_ene!V85/TrRoad_tech!V113)</f>
        <v>1.1688468014393227</v>
      </c>
      <c r="W140" s="94">
        <f>IF(TrRoad_act!W82=0,0,TrRoad_ene!W85/TrRoad_tech!W113)</f>
        <v>1.2118956653491282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4.0365750448229818</v>
      </c>
      <c r="C144" s="141">
        <v>4.0365750448229818</v>
      </c>
      <c r="D144" s="141">
        <v>4.0365750448229818</v>
      </c>
      <c r="E144" s="141">
        <v>3.9915262095784265</v>
      </c>
      <c r="F144" s="141">
        <v>3.9915262095784265</v>
      </c>
      <c r="G144" s="141">
        <v>3.9014285390893151</v>
      </c>
      <c r="H144" s="141">
        <v>3.811330868600205</v>
      </c>
      <c r="I144" s="141">
        <v>3.7662820333556488</v>
      </c>
      <c r="J144" s="141">
        <v>3.541037857132872</v>
      </c>
      <c r="K144" s="141">
        <v>3.3157936809100952</v>
      </c>
      <c r="L144" s="141">
        <v>3.2256960104209851</v>
      </c>
      <c r="M144" s="141">
        <v>3.0375846767632178</v>
      </c>
      <c r="N144" s="141">
        <v>2.8614614775576444</v>
      </c>
      <c r="O144" s="141">
        <v>2.7200841460218714</v>
      </c>
      <c r="P144" s="141">
        <v>2.621397862783605</v>
      </c>
      <c r="Q144" s="141">
        <v>2.5247288428033143</v>
      </c>
      <c r="R144" s="141">
        <v>2.4399658207552175</v>
      </c>
      <c r="S144" s="141">
        <v>2.3721554031167402</v>
      </c>
      <c r="T144" s="141">
        <v>2.3179070690059582</v>
      </c>
      <c r="U144" s="141">
        <v>2.2745084017173327</v>
      </c>
      <c r="V144" s="141">
        <v>2.2397894678864323</v>
      </c>
      <c r="W144" s="141">
        <v>2.2120143208217118</v>
      </c>
      <c r="DA144" s="174" t="s">
        <v>885</v>
      </c>
    </row>
    <row r="145" spans="1:105" ht="11.45" customHeight="1" x14ac:dyDescent="0.25">
      <c r="A145" s="109" t="s">
        <v>20</v>
      </c>
      <c r="B145" s="130">
        <v>8.3381723728557482</v>
      </c>
      <c r="C145" s="130">
        <v>8.3483870370258089</v>
      </c>
      <c r="D145" s="130">
        <v>8.3514856859454909</v>
      </c>
      <c r="E145" s="130">
        <v>8.2580426935036559</v>
      </c>
      <c r="F145" s="130">
        <v>8.2525333505529481</v>
      </c>
      <c r="G145" s="130">
        <v>8.0561785625029785</v>
      </c>
      <c r="H145" s="130">
        <v>7.8071196147149964</v>
      </c>
      <c r="I145" s="130">
        <v>7.5538623798092077</v>
      </c>
      <c r="J145" s="130">
        <v>7.1045729026335032</v>
      </c>
      <c r="K145" s="130">
        <v>6.6058069904802226</v>
      </c>
      <c r="L145" s="130">
        <v>6.2899092333652646</v>
      </c>
      <c r="M145" s="130">
        <v>5.8602202301519135</v>
      </c>
      <c r="N145" s="130">
        <v>5.6456186517612634</v>
      </c>
      <c r="O145" s="130">
        <v>5.5380066341714551</v>
      </c>
      <c r="P145" s="130">
        <v>5.4555392546392838</v>
      </c>
      <c r="Q145" s="130">
        <v>5.2753326470025241</v>
      </c>
      <c r="R145" s="130">
        <v>5.1553664590406374</v>
      </c>
      <c r="S145" s="130">
        <v>5.1521112721378337</v>
      </c>
      <c r="T145" s="130">
        <v>5.2072777539631767</v>
      </c>
      <c r="U145" s="130">
        <v>5.0656529800405883</v>
      </c>
      <c r="V145" s="130">
        <v>4.402006496673363</v>
      </c>
      <c r="W145" s="130">
        <v>3.918415400736007</v>
      </c>
      <c r="DA145" s="176" t="s">
        <v>886</v>
      </c>
    </row>
    <row r="146" spans="1:105" ht="11.45" customHeight="1" x14ac:dyDescent="0.25">
      <c r="A146" s="111" t="s">
        <v>110</v>
      </c>
      <c r="B146" s="96">
        <v>8.419069719127652</v>
      </c>
      <c r="C146" s="96">
        <v>8.419069719127652</v>
      </c>
      <c r="D146" s="96">
        <v>8.419069719127652</v>
      </c>
      <c r="E146" s="96">
        <v>8.3188426986618467</v>
      </c>
      <c r="F146" s="96">
        <v>8.3188426986618484</v>
      </c>
      <c r="G146" s="96">
        <v>8.1183886577302378</v>
      </c>
      <c r="H146" s="96">
        <v>7.9179346167986271</v>
      </c>
      <c r="I146" s="96">
        <v>7.8177075963328191</v>
      </c>
      <c r="J146" s="96">
        <v>7.3165724940037933</v>
      </c>
      <c r="K146" s="96">
        <v>6.8154373916747675</v>
      </c>
      <c r="L146" s="96">
        <v>6.6005159190459963</v>
      </c>
      <c r="M146" s="96">
        <v>6.0881620629010476</v>
      </c>
      <c r="N146" s="96">
        <v>5.7728007194354536</v>
      </c>
      <c r="O146" s="96">
        <v>5.4903644919082515</v>
      </c>
      <c r="P146" s="96">
        <v>5.3445563801228184</v>
      </c>
      <c r="Q146" s="96">
        <v>5.1882391272950876</v>
      </c>
      <c r="R146" s="96">
        <v>5.1061170987862479</v>
      </c>
      <c r="S146" s="96">
        <v>5.1634940517374863</v>
      </c>
      <c r="T146" s="96">
        <v>5.3495284230204083</v>
      </c>
      <c r="U146" s="96">
        <v>5.3448770151121865</v>
      </c>
      <c r="V146" s="96">
        <v>5.0805226077728793</v>
      </c>
      <c r="W146" s="96">
        <v>4.8260256891839655</v>
      </c>
      <c r="DA146" s="171" t="s">
        <v>887</v>
      </c>
    </row>
    <row r="147" spans="1:105" ht="11.45" customHeight="1" x14ac:dyDescent="0.25">
      <c r="A147" s="111" t="s">
        <v>111</v>
      </c>
      <c r="B147" s="96">
        <v>6.9438224940788462</v>
      </c>
      <c r="C147" s="96">
        <v>7.1300975162660905</v>
      </c>
      <c r="D147" s="96">
        <v>7.3429362480949276</v>
      </c>
      <c r="E147" s="96">
        <v>7.449355614009348</v>
      </c>
      <c r="F147" s="96">
        <v>7.449355614009348</v>
      </c>
      <c r="G147" s="96">
        <v>7.449355614009348</v>
      </c>
      <c r="H147" s="96">
        <v>7.3429362480949312</v>
      </c>
      <c r="I147" s="96">
        <v>7.0236781503516692</v>
      </c>
      <c r="J147" s="96">
        <v>6.7044200526084126</v>
      </c>
      <c r="K147" s="96">
        <v>6.385161954865155</v>
      </c>
      <c r="L147" s="96">
        <v>5.9594844912074789</v>
      </c>
      <c r="M147" s="96">
        <v>5.6820079960979202</v>
      </c>
      <c r="N147" s="96">
        <v>5.5201892431965849</v>
      </c>
      <c r="O147" s="96">
        <v>5.5624567703366203</v>
      </c>
      <c r="P147" s="96">
        <v>5.5872270694178559</v>
      </c>
      <c r="Q147" s="96">
        <v>5.4450975096645617</v>
      </c>
      <c r="R147" s="96">
        <v>5.3520457103041261</v>
      </c>
      <c r="S147" s="96">
        <v>5.3903557840653002</v>
      </c>
      <c r="T147" s="96">
        <v>5.4949577382415296</v>
      </c>
      <c r="U147" s="96">
        <v>5.45046698598627</v>
      </c>
      <c r="V147" s="96">
        <v>5.3232328125097252</v>
      </c>
      <c r="W147" s="96">
        <v>5.159810560736406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9.3499542380713994</v>
      </c>
      <c r="H148" s="96">
        <v>0</v>
      </c>
      <c r="I148" s="96">
        <v>0</v>
      </c>
      <c r="J148" s="96">
        <v>8.8447883485172589</v>
      </c>
      <c r="K148" s="96">
        <v>8.2603273920959381</v>
      </c>
      <c r="L148" s="96">
        <v>0</v>
      </c>
      <c r="M148" s="96">
        <v>7.3942679698849281</v>
      </c>
      <c r="N148" s="96">
        <v>7.2406095621694915</v>
      </c>
      <c r="O148" s="96">
        <v>5.1336237659928816</v>
      </c>
      <c r="P148" s="96">
        <v>5.1245972325162334</v>
      </c>
      <c r="Q148" s="96">
        <v>5.1099156711073013</v>
      </c>
      <c r="R148" s="96">
        <v>0</v>
      </c>
      <c r="S148" s="96">
        <v>0</v>
      </c>
      <c r="T148" s="96">
        <v>0</v>
      </c>
      <c r="U148" s="96">
        <v>0</v>
      </c>
      <c r="V148" s="96">
        <v>0</v>
      </c>
      <c r="W148" s="96">
        <v>0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8.986973793553803</v>
      </c>
      <c r="E149" s="96">
        <v>8.8799860102972126</v>
      </c>
      <c r="F149" s="96">
        <v>8.8799860102972126</v>
      </c>
      <c r="G149" s="96">
        <v>8.6660104437840246</v>
      </c>
      <c r="H149" s="96">
        <v>8.4520348772708438</v>
      </c>
      <c r="I149" s="96">
        <v>8.3450470940142463</v>
      </c>
      <c r="J149" s="96">
        <v>7.8101081777312809</v>
      </c>
      <c r="K149" s="96">
        <v>7.2751692614483172</v>
      </c>
      <c r="L149" s="96">
        <v>7.0611936949351835</v>
      </c>
      <c r="M149" s="96">
        <v>6.8896256555072242</v>
      </c>
      <c r="N149" s="96">
        <v>8.2679327411057564</v>
      </c>
      <c r="O149" s="96">
        <v>6.5847701100101306</v>
      </c>
      <c r="P149" s="96">
        <v>5.9996846545491067</v>
      </c>
      <c r="Q149" s="96">
        <v>5.4452808253862521</v>
      </c>
      <c r="R149" s="96">
        <v>5.3367758995423822</v>
      </c>
      <c r="S149" s="96">
        <v>5.3315802769415743</v>
      </c>
      <c r="T149" s="96">
        <v>5.5346436930579417</v>
      </c>
      <c r="U149" s="96">
        <v>5.2936683440249181</v>
      </c>
      <c r="V149" s="96">
        <v>4.9678965967094273</v>
      </c>
      <c r="W149" s="96">
        <v>4.6728316110653507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3.9803253083979526</v>
      </c>
      <c r="K150" s="96">
        <v>3.5990123623774242</v>
      </c>
      <c r="L150" s="96">
        <v>3.3708605187978908</v>
      </c>
      <c r="M150" s="96">
        <v>3.134832605257714</v>
      </c>
      <c r="N150" s="96">
        <v>3.1266540085884329</v>
      </c>
      <c r="O150" s="96">
        <v>3.2647467247798527</v>
      </c>
      <c r="P150" s="96">
        <v>3.1702493652850343</v>
      </c>
      <c r="Q150" s="96">
        <v>3.1086544481616847</v>
      </c>
      <c r="R150" s="96">
        <v>3.1158738295892485</v>
      </c>
      <c r="S150" s="96">
        <v>3.103578999869216</v>
      </c>
      <c r="T150" s="96">
        <v>3.1599756080049466</v>
      </c>
      <c r="U150" s="96">
        <v>2.8718842225122838</v>
      </c>
      <c r="V150" s="96">
        <v>2.8230576837720838</v>
      </c>
      <c r="W150" s="96">
        <v>2.6533116413890045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1.6048023633442894</v>
      </c>
      <c r="K151" s="96">
        <v>1.6011741264054362</v>
      </c>
      <c r="L151" s="96">
        <v>1.5787372558653732</v>
      </c>
      <c r="M151" s="96">
        <v>1.5787372558653732</v>
      </c>
      <c r="N151" s="96">
        <v>1.3319210560816903</v>
      </c>
      <c r="O151" s="96">
        <v>1.3869120579572269</v>
      </c>
      <c r="P151" s="96">
        <v>1.289643025545725</v>
      </c>
      <c r="Q151" s="96">
        <v>1.446472455650049</v>
      </c>
      <c r="R151" s="96">
        <v>1.3995414158784756</v>
      </c>
      <c r="S151" s="96">
        <v>1.3396319010362794</v>
      </c>
      <c r="T151" s="96">
        <v>1.478004985619588</v>
      </c>
      <c r="U151" s="96">
        <v>1.4907199011820818</v>
      </c>
      <c r="V151" s="96">
        <v>1.5026507677219243</v>
      </c>
      <c r="W151" s="96">
        <v>1.5131985776850776</v>
      </c>
      <c r="DA151" s="171" t="s">
        <v>892</v>
      </c>
    </row>
    <row r="152" spans="1:105" ht="11.45" customHeight="1" x14ac:dyDescent="0.25">
      <c r="A152" s="109" t="s">
        <v>21</v>
      </c>
      <c r="B152" s="130">
        <v>48.9460726042213</v>
      </c>
      <c r="C152" s="130">
        <v>48.836954899441231</v>
      </c>
      <c r="D152" s="130">
        <v>49.141901741263638</v>
      </c>
      <c r="E152" s="130">
        <v>48.888296867545499</v>
      </c>
      <c r="F152" s="130">
        <v>48.699095627670609</v>
      </c>
      <c r="G152" s="130">
        <v>46.052674482801656</v>
      </c>
      <c r="H152" s="130">
        <v>47.395785169707281</v>
      </c>
      <c r="I152" s="130">
        <v>47.448500997570193</v>
      </c>
      <c r="J152" s="130">
        <v>45.951409480331343</v>
      </c>
      <c r="K152" s="130">
        <v>44.478372284356446</v>
      </c>
      <c r="L152" s="130">
        <v>44.432936273095315</v>
      </c>
      <c r="M152" s="130">
        <v>43.119385695215627</v>
      </c>
      <c r="N152" s="130">
        <v>43.135209969506803</v>
      </c>
      <c r="O152" s="130">
        <v>41.4316221299147</v>
      </c>
      <c r="P152" s="130">
        <v>39.994798840002929</v>
      </c>
      <c r="Q152" s="130">
        <v>40.057272595539573</v>
      </c>
      <c r="R152" s="130">
        <v>42.169045800987938</v>
      </c>
      <c r="S152" s="130">
        <v>40.596114866279756</v>
      </c>
      <c r="T152" s="130">
        <v>40.728298095450896</v>
      </c>
      <c r="U152" s="130">
        <v>38.54283021327732</v>
      </c>
      <c r="V152" s="130">
        <v>37.716515424979725</v>
      </c>
      <c r="W152" s="130">
        <v>37.855582638554736</v>
      </c>
      <c r="DA152" s="176" t="s">
        <v>893</v>
      </c>
    </row>
    <row r="153" spans="1:105" ht="11.45" customHeight="1" x14ac:dyDescent="0.25">
      <c r="A153" s="111" t="s">
        <v>110</v>
      </c>
      <c r="B153" s="97">
        <v>17.518991483993748</v>
      </c>
      <c r="C153" s="97">
        <v>17.518991483993748</v>
      </c>
      <c r="D153" s="97">
        <v>17.518991483993748</v>
      </c>
      <c r="E153" s="97">
        <v>17.310432061565255</v>
      </c>
      <c r="F153" s="97">
        <v>0</v>
      </c>
      <c r="G153" s="97">
        <v>0</v>
      </c>
      <c r="H153" s="97">
        <v>16.476194371851268</v>
      </c>
      <c r="I153" s="97">
        <v>16.267634949422767</v>
      </c>
      <c r="J153" s="97">
        <v>15.224837837280282</v>
      </c>
      <c r="K153" s="97">
        <v>14.182040725137796</v>
      </c>
      <c r="L153" s="97">
        <v>0</v>
      </c>
      <c r="M153" s="97">
        <v>12.894036076309659</v>
      </c>
      <c r="N153" s="97">
        <v>0</v>
      </c>
      <c r="O153" s="97">
        <v>11.42412621176639</v>
      </c>
      <c r="P153" s="97">
        <v>10.96724527084849</v>
      </c>
      <c r="Q153" s="97">
        <v>0</v>
      </c>
      <c r="R153" s="97">
        <v>10.899794231875129</v>
      </c>
      <c r="S153" s="97">
        <v>10.871165061378859</v>
      </c>
      <c r="T153" s="97">
        <v>10.845463106810222</v>
      </c>
      <c r="U153" s="97">
        <v>10.822383306194844</v>
      </c>
      <c r="V153" s="97">
        <v>10.801653482125996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49.200037523691783</v>
      </c>
      <c r="C154" s="97">
        <v>49.200037523691783</v>
      </c>
      <c r="D154" s="97">
        <v>49.200037523691783</v>
      </c>
      <c r="E154" s="97">
        <v>49.052289663260275</v>
      </c>
      <c r="F154" s="97">
        <v>49.052289663260275</v>
      </c>
      <c r="G154" s="97">
        <v>48.751355370847634</v>
      </c>
      <c r="H154" s="97">
        <v>48.444743072917774</v>
      </c>
      <c r="I154" s="97">
        <v>48.289967535943596</v>
      </c>
      <c r="J154" s="97">
        <v>47.477005119513571</v>
      </c>
      <c r="K154" s="97">
        <v>46.620019467536792</v>
      </c>
      <c r="L154" s="97">
        <v>46.269493005374862</v>
      </c>
      <c r="M154" s="97">
        <v>45.501185542942451</v>
      </c>
      <c r="N154" s="97">
        <v>44.746025744037844</v>
      </c>
      <c r="O154" s="97">
        <v>44.114165381622023</v>
      </c>
      <c r="P154" s="97">
        <v>43.659466466205359</v>
      </c>
      <c r="Q154" s="97">
        <v>43.199999999908329</v>
      </c>
      <c r="R154" s="97">
        <v>42.790615871364849</v>
      </c>
      <c r="S154" s="97">
        <v>42.425488197790926</v>
      </c>
      <c r="T154" s="97">
        <v>42.099537884540382</v>
      </c>
      <c r="U154" s="97">
        <v>41.808324277354615</v>
      </c>
      <c r="V154" s="97">
        <v>41.547954741903382</v>
      </c>
      <c r="W154" s="97">
        <v>41.315008832778112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40.59003095704572</v>
      </c>
      <c r="D156" s="97">
        <v>40.59003095704572</v>
      </c>
      <c r="E156" s="97">
        <v>0</v>
      </c>
      <c r="F156" s="97">
        <v>40.46813897218972</v>
      </c>
      <c r="G156" s="97">
        <v>40.219868180949298</v>
      </c>
      <c r="H156" s="97">
        <v>39.96691303515717</v>
      </c>
      <c r="I156" s="97">
        <v>39.839223217153467</v>
      </c>
      <c r="J156" s="97">
        <v>39.168529223598689</v>
      </c>
      <c r="K156" s="97">
        <v>38.461516060717848</v>
      </c>
      <c r="L156" s="97">
        <v>37.999997066822687</v>
      </c>
      <c r="M156" s="97">
        <v>37.538478072927518</v>
      </c>
      <c r="N156" s="97">
        <v>37.030519117828632</v>
      </c>
      <c r="O156" s="97">
        <v>36.394186439838172</v>
      </c>
      <c r="P156" s="97">
        <v>36.019059834619419</v>
      </c>
      <c r="Q156" s="97">
        <v>35.63999999992437</v>
      </c>
      <c r="R156" s="97">
        <v>35.377034181667987</v>
      </c>
      <c r="S156" s="97">
        <v>35.194113420032238</v>
      </c>
      <c r="T156" s="97">
        <v>35.066631936187612</v>
      </c>
      <c r="U156" s="97">
        <v>34.977669749321358</v>
      </c>
      <c r="V156" s="97">
        <v>34.915530539561338</v>
      </c>
      <c r="W156" s="97">
        <v>34.872098788095322</v>
      </c>
      <c r="DA156" s="175" t="s">
        <v>897</v>
      </c>
    </row>
    <row r="157" spans="1:105" ht="11.45" customHeight="1" x14ac:dyDescent="0.25">
      <c r="A157" s="111" t="s">
        <v>115</v>
      </c>
      <c r="B157" s="97">
        <v>31.915784958086849</v>
      </c>
      <c r="C157" s="97">
        <v>0</v>
      </c>
      <c r="D157" s="97">
        <v>0</v>
      </c>
      <c r="E157" s="97">
        <v>32.589305575678999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25.755886563611373</v>
      </c>
      <c r="O157" s="97">
        <v>26.547734745950798</v>
      </c>
      <c r="P157" s="97">
        <v>26.282257398491289</v>
      </c>
      <c r="Q157" s="97">
        <v>26.019434824506376</v>
      </c>
      <c r="R157" s="97">
        <v>25.785142392040427</v>
      </c>
      <c r="S157" s="97">
        <v>25.576083530604599</v>
      </c>
      <c r="T157" s="97">
        <v>25.389380165926841</v>
      </c>
      <c r="U157" s="97">
        <v>25.222512718126474</v>
      </c>
      <c r="V157" s="97">
        <v>25.073269906540606</v>
      </c>
      <c r="W157" s="97">
        <v>24.939706555972261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8.4399576639086096</v>
      </c>
      <c r="C159" s="141">
        <v>8.4261244696772764</v>
      </c>
      <c r="D159" s="141">
        <v>8.5651727209028685</v>
      </c>
      <c r="E159" s="141">
        <v>8.6391818422145636</v>
      </c>
      <c r="F159" s="141">
        <v>8.6735471663782757</v>
      </c>
      <c r="G159" s="141">
        <v>8.7553013120957282</v>
      </c>
      <c r="H159" s="141">
        <v>8.7675584956878847</v>
      </c>
      <c r="I159" s="141">
        <v>8.7495954423531046</v>
      </c>
      <c r="J159" s="141">
        <v>8.5972071185756374</v>
      </c>
      <c r="K159" s="141">
        <v>8.405750548870742</v>
      </c>
      <c r="L159" s="141">
        <v>8.8986533669105849</v>
      </c>
      <c r="M159" s="141">
        <v>8.8131173599827548</v>
      </c>
      <c r="N159" s="141">
        <v>7.1401577519823389</v>
      </c>
      <c r="O159" s="141">
        <v>7.3025680123026095</v>
      </c>
      <c r="P159" s="141">
        <v>7.0748252780695537</v>
      </c>
      <c r="Q159" s="141">
        <v>6.6921913149397962</v>
      </c>
      <c r="R159" s="141">
        <v>6.3307554554129135</v>
      </c>
      <c r="S159" s="141">
        <v>6.1192588752471124</v>
      </c>
      <c r="T159" s="141">
        <v>6.2218400235217368</v>
      </c>
      <c r="U159" s="141">
        <v>6.2717917685209601</v>
      </c>
      <c r="V159" s="141">
        <v>6.2764855582976748</v>
      </c>
      <c r="W159" s="141">
        <v>5.9994656162054385</v>
      </c>
      <c r="DA159" s="174" t="s">
        <v>899</v>
      </c>
    </row>
    <row r="160" spans="1:105" ht="11.45" customHeight="1" x14ac:dyDescent="0.25">
      <c r="A160" s="111" t="s">
        <v>110</v>
      </c>
      <c r="B160" s="96">
        <v>9.7391279027152482</v>
      </c>
      <c r="C160" s="96">
        <v>9.7391279027152482</v>
      </c>
      <c r="D160" s="96">
        <v>9.7391279027152482</v>
      </c>
      <c r="E160" s="96">
        <v>9.6231859038733969</v>
      </c>
      <c r="F160" s="96">
        <v>9.6231859038733969</v>
      </c>
      <c r="G160" s="96">
        <v>9.3913019061897014</v>
      </c>
      <c r="H160" s="96">
        <v>9.1594179085060041</v>
      </c>
      <c r="I160" s="96">
        <v>9.0434759096641564</v>
      </c>
      <c r="J160" s="96">
        <v>8.4637659154549141</v>
      </c>
      <c r="K160" s="96">
        <v>7.8840559212456727</v>
      </c>
      <c r="L160" s="96">
        <v>7.6521719235619763</v>
      </c>
      <c r="M160" s="96">
        <v>7.1680305709456889</v>
      </c>
      <c r="N160" s="96">
        <v>6.6120004970661057</v>
      </c>
      <c r="O160" s="96">
        <v>6.6441175659523282</v>
      </c>
      <c r="P160" s="96">
        <v>6.7097609110992096</v>
      </c>
      <c r="Q160" s="96">
        <v>6.4503107516533165</v>
      </c>
      <c r="R160" s="96">
        <v>5.5747631252833552</v>
      </c>
      <c r="S160" s="96">
        <v>5.6533147097509211</v>
      </c>
      <c r="T160" s="96">
        <v>5.7611571484431305</v>
      </c>
      <c r="U160" s="96">
        <v>5.7336621177787714</v>
      </c>
      <c r="V160" s="96">
        <v>5.6850805027618998</v>
      </c>
      <c r="W160" s="96">
        <v>5.5464614658961775</v>
      </c>
      <c r="DA160" s="171" t="s">
        <v>900</v>
      </c>
    </row>
    <row r="161" spans="1:105" ht="11.45" customHeight="1" x14ac:dyDescent="0.25">
      <c r="A161" s="111" t="s">
        <v>111</v>
      </c>
      <c r="B161" s="96">
        <v>8.3693541497321871</v>
      </c>
      <c r="C161" s="96">
        <v>8.593870492317798</v>
      </c>
      <c r="D161" s="96">
        <v>8.8504039398496737</v>
      </c>
      <c r="E161" s="96">
        <v>8.9786706636156097</v>
      </c>
      <c r="F161" s="96">
        <v>8.9786706636156097</v>
      </c>
      <c r="G161" s="96">
        <v>8.9786706636156097</v>
      </c>
      <c r="H161" s="96">
        <v>8.8504039398496754</v>
      </c>
      <c r="I161" s="96">
        <v>8.4656037685518601</v>
      </c>
      <c r="J161" s="96">
        <v>8.0808035972540484</v>
      </c>
      <c r="K161" s="96">
        <v>7.6960034259562384</v>
      </c>
      <c r="L161" s="96">
        <v>7.182936530892488</v>
      </c>
      <c r="M161" s="96">
        <v>6.848495514034898</v>
      </c>
      <c r="N161" s="96">
        <v>6.6530621318584231</v>
      </c>
      <c r="O161" s="96">
        <v>6.6828823034350551</v>
      </c>
      <c r="P161" s="96">
        <v>6.8498777967529305</v>
      </c>
      <c r="Q161" s="96">
        <v>6.5356592870703833</v>
      </c>
      <c r="R161" s="96">
        <v>6.1146639566032874</v>
      </c>
      <c r="S161" s="96">
        <v>6.1396238328823411</v>
      </c>
      <c r="T161" s="96">
        <v>6.293883522701158</v>
      </c>
      <c r="U161" s="96">
        <v>6.3659683924840191</v>
      </c>
      <c r="V161" s="96">
        <v>6.5582549966924795</v>
      </c>
      <c r="W161" s="96">
        <v>6.3487216664285775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7.8237320728369211</v>
      </c>
      <c r="D163" s="96">
        <v>7.8237320728369211</v>
      </c>
      <c r="E163" s="96">
        <v>7.7305924053031525</v>
      </c>
      <c r="F163" s="96">
        <v>7.7305924053031525</v>
      </c>
      <c r="G163" s="96">
        <v>7.5443130702356056</v>
      </c>
      <c r="H163" s="96">
        <v>7.3580337351680614</v>
      </c>
      <c r="I163" s="96">
        <v>7.2648940676342866</v>
      </c>
      <c r="J163" s="96">
        <v>6.7991957299654215</v>
      </c>
      <c r="K163" s="96">
        <v>6.3334973922965574</v>
      </c>
      <c r="L163" s="96">
        <v>6.1472180572290123</v>
      </c>
      <c r="M163" s="96">
        <v>5.9978571707302555</v>
      </c>
      <c r="N163" s="96">
        <v>7.1977611205504317</v>
      </c>
      <c r="O163" s="96">
        <v>6.9736628825321887</v>
      </c>
      <c r="P163" s="96">
        <v>7.0636226829907063</v>
      </c>
      <c r="Q163" s="96">
        <v>6.3620174005658363</v>
      </c>
      <c r="R163" s="96">
        <v>5.2845478145402405</v>
      </c>
      <c r="S163" s="96">
        <v>5.6875685515356222</v>
      </c>
      <c r="T163" s="96">
        <v>5.7865211315366238</v>
      </c>
      <c r="U163" s="96">
        <v>5.841426632926809</v>
      </c>
      <c r="V163" s="96">
        <v>6.6344943418166409</v>
      </c>
      <c r="W163" s="96">
        <v>7.3727411499575686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1.4442386537151279</v>
      </c>
      <c r="H164" s="96">
        <v>1.4297962671779769</v>
      </c>
      <c r="I164" s="96">
        <v>0</v>
      </c>
      <c r="J164" s="96">
        <v>0</v>
      </c>
      <c r="K164" s="96">
        <v>1.365404856547459</v>
      </c>
      <c r="L164" s="96">
        <v>0</v>
      </c>
      <c r="M164" s="96">
        <v>1.3530464949209575</v>
      </c>
      <c r="N164" s="96">
        <v>1.3395160299717481</v>
      </c>
      <c r="O164" s="96">
        <v>1.3337252355800446</v>
      </c>
      <c r="P164" s="96">
        <v>1.3583526663313807</v>
      </c>
      <c r="Q164" s="96">
        <v>1.3919174548581255</v>
      </c>
      <c r="R164" s="96">
        <v>1.3864083036482004</v>
      </c>
      <c r="S164" s="96">
        <v>1.3706838032312081</v>
      </c>
      <c r="T164" s="96">
        <v>1.5574934044680351</v>
      </c>
      <c r="U164" s="96">
        <v>1.7277419013826976</v>
      </c>
      <c r="V164" s="96">
        <v>2.1637332982056932</v>
      </c>
      <c r="W164" s="96">
        <v>2.1056024843174841</v>
      </c>
      <c r="DA164" s="171" t="s">
        <v>904</v>
      </c>
    </row>
    <row r="165" spans="1:105" ht="11.45" customHeight="1" x14ac:dyDescent="0.25">
      <c r="A165" s="109" t="s">
        <v>158</v>
      </c>
      <c r="B165" s="130">
        <v>31.697048289424462</v>
      </c>
      <c r="C165" s="130">
        <v>31.675218104042042</v>
      </c>
      <c r="D165" s="130">
        <v>31.51041339761295</v>
      </c>
      <c r="E165" s="130">
        <v>31.243241782109997</v>
      </c>
      <c r="F165" s="130">
        <v>31.29812783271074</v>
      </c>
      <c r="G165" s="130">
        <v>30.597687516104738</v>
      </c>
      <c r="H165" s="130">
        <v>30.1953659266694</v>
      </c>
      <c r="I165" s="130">
        <v>29.674974728911835</v>
      </c>
      <c r="J165" s="130">
        <v>29.137295308052238</v>
      </c>
      <c r="K165" s="130">
        <v>28.344219823548158</v>
      </c>
      <c r="L165" s="130">
        <v>28.24614359522409</v>
      </c>
      <c r="M165" s="130">
        <v>27.371155431445086</v>
      </c>
      <c r="N165" s="130">
        <v>26.804023760756223</v>
      </c>
      <c r="O165" s="130">
        <v>26.825093489476185</v>
      </c>
      <c r="P165" s="130">
        <v>25.471479631451516</v>
      </c>
      <c r="Q165" s="130">
        <v>25.440660687454855</v>
      </c>
      <c r="R165" s="130">
        <v>23.647698806527931</v>
      </c>
      <c r="S165" s="130">
        <v>22.344571026847493</v>
      </c>
      <c r="T165" s="130">
        <v>21.560415369564268</v>
      </c>
      <c r="U165" s="130">
        <v>19.868828966723129</v>
      </c>
      <c r="V165" s="130">
        <v>20.094374713707303</v>
      </c>
      <c r="W165" s="130">
        <v>20.079205522610458</v>
      </c>
      <c r="DA165" s="176" t="s">
        <v>905</v>
      </c>
    </row>
    <row r="166" spans="1:105" ht="11.45" customHeight="1" x14ac:dyDescent="0.25">
      <c r="A166" s="128" t="s">
        <v>27</v>
      </c>
      <c r="B166" s="97">
        <v>31.470337431588529</v>
      </c>
      <c r="C166" s="97">
        <v>31.288337628803681</v>
      </c>
      <c r="D166" s="97">
        <v>31.087349826638189</v>
      </c>
      <c r="E166" s="97">
        <v>30.837082601926173</v>
      </c>
      <c r="F166" s="97">
        <v>30.538171888399312</v>
      </c>
      <c r="G166" s="97">
        <v>30.191371862712252</v>
      </c>
      <c r="H166" s="97">
        <v>29.797550241417984</v>
      </c>
      <c r="I166" s="97">
        <v>29.357682936219323</v>
      </c>
      <c r="J166" s="97">
        <v>28.872848127838999</v>
      </c>
      <c r="K166" s="97">
        <v>28.344219823548155</v>
      </c>
      <c r="L166" s="97">
        <v>27.773060969312517</v>
      </c>
      <c r="M166" s="97">
        <v>27.160716188620057</v>
      </c>
      <c r="N166" s="97">
        <v>26.508604222846664</v>
      </c>
      <c r="O166" s="97">
        <v>25.818210148890739</v>
      </c>
      <c r="P166" s="97">
        <v>25.091077448027974</v>
      </c>
      <c r="Q166" s="97">
        <v>24.32879999994837</v>
      </c>
      <c r="R166" s="97">
        <v>22.863565957537155</v>
      </c>
      <c r="S166" s="97">
        <v>21.837902127849304</v>
      </c>
      <c r="T166" s="97">
        <v>20.760955106677059</v>
      </c>
      <c r="U166" s="97">
        <v>19.444686525244315</v>
      </c>
      <c r="V166" s="97">
        <v>18.987298884655548</v>
      </c>
      <c r="W166" s="97">
        <v>18.762655610620218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134.30185214748548</v>
      </c>
      <c r="C171" s="152">
        <v>131.92192807602956</v>
      </c>
      <c r="D171" s="152">
        <v>129.3020351633381</v>
      </c>
      <c r="E171" s="152">
        <v>127.56749711427688</v>
      </c>
      <c r="F171" s="152">
        <v>125.90166395809096</v>
      </c>
      <c r="G171" s="152">
        <v>122.95030124368307</v>
      </c>
      <c r="H171" s="152">
        <v>120.32744112699214</v>
      </c>
      <c r="I171" s="152">
        <v>118.47055377148457</v>
      </c>
      <c r="J171" s="152">
        <v>116.37475084889779</v>
      </c>
      <c r="K171" s="152">
        <v>114.36874858745412</v>
      </c>
      <c r="L171" s="152">
        <v>112.75376874365911</v>
      </c>
      <c r="M171" s="152">
        <v>111.65507070713412</v>
      </c>
      <c r="N171" s="152">
        <v>107.50787259579901</v>
      </c>
      <c r="O171" s="152">
        <v>105.44113673911629</v>
      </c>
      <c r="P171" s="152">
        <v>102.91687763214821</v>
      </c>
      <c r="Q171" s="152">
        <v>100.40649859211146</v>
      </c>
      <c r="R171" s="152">
        <v>97.622515659741126</v>
      </c>
      <c r="S171" s="152">
        <v>94.775143923234552</v>
      </c>
      <c r="T171" s="152">
        <v>92.54364663600326</v>
      </c>
      <c r="U171" s="152">
        <v>90.329306233720459</v>
      </c>
      <c r="V171" s="152">
        <v>89.04964322059854</v>
      </c>
      <c r="W171" s="152">
        <v>83.300194960044053</v>
      </c>
      <c r="DA171" s="174" t="s">
        <v>908</v>
      </c>
    </row>
    <row r="172" spans="1:105" ht="11.45" customHeight="1" x14ac:dyDescent="0.25">
      <c r="A172" s="109" t="s">
        <v>20</v>
      </c>
      <c r="B172" s="116">
        <v>281.29211626060447</v>
      </c>
      <c r="C172" s="116">
        <v>275.47673919062373</v>
      </c>
      <c r="D172" s="116">
        <v>272.86197036187019</v>
      </c>
      <c r="E172" s="116">
        <v>270.1721774385561</v>
      </c>
      <c r="F172" s="116">
        <v>267.58523317620649</v>
      </c>
      <c r="G172" s="116">
        <v>264.76987246279657</v>
      </c>
      <c r="H172" s="116">
        <v>263.40503672786429</v>
      </c>
      <c r="I172" s="116">
        <v>261.39341676471696</v>
      </c>
      <c r="J172" s="116">
        <v>257.92661083418915</v>
      </c>
      <c r="K172" s="116">
        <v>257.31799459879898</v>
      </c>
      <c r="L172" s="116">
        <v>250.3982991501378</v>
      </c>
      <c r="M172" s="116">
        <v>245.70772511129829</v>
      </c>
      <c r="N172" s="116">
        <v>240.24820690283758</v>
      </c>
      <c r="O172" s="116">
        <v>234.29034912633966</v>
      </c>
      <c r="P172" s="116">
        <v>227.19087695973408</v>
      </c>
      <c r="Q172" s="116">
        <v>219.46640332139651</v>
      </c>
      <c r="R172" s="116">
        <v>210.19697665216731</v>
      </c>
      <c r="S172" s="116">
        <v>202.44617071884858</v>
      </c>
      <c r="T172" s="116">
        <v>193.25243093377267</v>
      </c>
      <c r="U172" s="116">
        <v>184.45869361610372</v>
      </c>
      <c r="V172" s="116">
        <v>167.40968796185805</v>
      </c>
      <c r="W172" s="116">
        <v>152.6375576694671</v>
      </c>
      <c r="DA172" s="176" t="s">
        <v>909</v>
      </c>
    </row>
    <row r="173" spans="1:105" ht="11.45" customHeight="1" x14ac:dyDescent="0.25">
      <c r="A173" s="111" t="s">
        <v>110</v>
      </c>
      <c r="B173" s="87">
        <v>282.50393927737923</v>
      </c>
      <c r="C173" s="87">
        <v>275.03812341216394</v>
      </c>
      <c r="D173" s="87">
        <v>271.93707531752773</v>
      </c>
      <c r="E173" s="87">
        <v>268.68959165695202</v>
      </c>
      <c r="F173" s="87">
        <v>265.57236298587571</v>
      </c>
      <c r="G173" s="87">
        <v>262.24934182093352</v>
      </c>
      <c r="H173" s="87">
        <v>259.03718535644862</v>
      </c>
      <c r="I173" s="87">
        <v>255.82778034698165</v>
      </c>
      <c r="J173" s="87">
        <v>252.78133836005651</v>
      </c>
      <c r="K173" s="87">
        <v>250.48632200995527</v>
      </c>
      <c r="L173" s="87">
        <v>246.38535898903757</v>
      </c>
      <c r="M173" s="87">
        <v>242.22160280625877</v>
      </c>
      <c r="N173" s="87">
        <v>238.32710319883122</v>
      </c>
      <c r="O173" s="87">
        <v>233.62714808566554</v>
      </c>
      <c r="P173" s="87">
        <v>228.17692336452569</v>
      </c>
      <c r="Q173" s="87">
        <v>221.69498109092939</v>
      </c>
      <c r="R173" s="87">
        <v>213.92934927868757</v>
      </c>
      <c r="S173" s="87">
        <v>206.26103506173774</v>
      </c>
      <c r="T173" s="87">
        <v>198.6722093396607</v>
      </c>
      <c r="U173" s="87">
        <v>191.44447680762977</v>
      </c>
      <c r="V173" s="87">
        <v>185.92921841345554</v>
      </c>
      <c r="W173" s="87">
        <v>180.0468439007324</v>
      </c>
      <c r="DA173" s="171" t="s">
        <v>910</v>
      </c>
    </row>
    <row r="174" spans="1:105" ht="11.45" customHeight="1" x14ac:dyDescent="0.25">
      <c r="A174" s="111" t="s">
        <v>111</v>
      </c>
      <c r="B174" s="87">
        <v>255.82374075813158</v>
      </c>
      <c r="C174" s="87">
        <v>244.00555482429223</v>
      </c>
      <c r="D174" s="87">
        <v>241.06713461552013</v>
      </c>
      <c r="E174" s="87">
        <v>238.64140732762451</v>
      </c>
      <c r="F174" s="87">
        <v>236.48063568215343</v>
      </c>
      <c r="G174" s="87">
        <v>234.59120393063398</v>
      </c>
      <c r="H174" s="87">
        <v>231.71948565368447</v>
      </c>
      <c r="I174" s="87">
        <v>226.51715519663318</v>
      </c>
      <c r="J174" s="87">
        <v>221.66031988096373</v>
      </c>
      <c r="K174" s="87">
        <v>217.59388183191945</v>
      </c>
      <c r="L174" s="87">
        <v>209.38617234468319</v>
      </c>
      <c r="M174" s="87">
        <v>201.72025697596047</v>
      </c>
      <c r="N174" s="87">
        <v>195.68984653056108</v>
      </c>
      <c r="O174" s="87">
        <v>192.29581515833792</v>
      </c>
      <c r="P174" s="87">
        <v>189.18080866056479</v>
      </c>
      <c r="Q174" s="87">
        <v>185.3093797110381</v>
      </c>
      <c r="R174" s="87">
        <v>181.77154295222149</v>
      </c>
      <c r="S174" s="87">
        <v>178.84245738067946</v>
      </c>
      <c r="T174" s="87">
        <v>177.04855777244202</v>
      </c>
      <c r="U174" s="87">
        <v>175.42690965780722</v>
      </c>
      <c r="V174" s="87">
        <v>174.92275916276904</v>
      </c>
      <c r="W174" s="87">
        <v>173.4373592820929</v>
      </c>
      <c r="DA174" s="171" t="s">
        <v>911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0</v>
      </c>
      <c r="E175" s="87">
        <v>0</v>
      </c>
      <c r="F175" s="87">
        <v>0</v>
      </c>
      <c r="G175" s="87">
        <v>247.01371082897083</v>
      </c>
      <c r="H175" s="87">
        <v>247.01371082897083</v>
      </c>
      <c r="I175" s="87">
        <v>247.0137108289708</v>
      </c>
      <c r="J175" s="87">
        <v>246.0767897052518</v>
      </c>
      <c r="K175" s="87">
        <v>238.282950514737</v>
      </c>
      <c r="L175" s="87">
        <v>237.09743120515529</v>
      </c>
      <c r="M175" s="87">
        <v>223.7143770623791</v>
      </c>
      <c r="N175" s="87">
        <v>223.48375379105076</v>
      </c>
      <c r="O175" s="87">
        <v>221.58442444990422</v>
      </c>
      <c r="P175" s="87">
        <v>220.75632887755921</v>
      </c>
      <c r="Q175" s="87">
        <v>219.54754962623326</v>
      </c>
      <c r="R175" s="87">
        <v>218.86480755003117</v>
      </c>
      <c r="S175" s="87">
        <v>0</v>
      </c>
      <c r="T175" s="87">
        <v>0</v>
      </c>
      <c r="U175" s="87">
        <v>0</v>
      </c>
      <c r="V175" s="87">
        <v>0</v>
      </c>
      <c r="W175" s="87">
        <v>0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211.08557314035451</v>
      </c>
      <c r="E176" s="87">
        <v>209.77444873316253</v>
      </c>
      <c r="F176" s="87">
        <v>209.32915407084221</v>
      </c>
      <c r="G176" s="87">
        <v>207.43760275950788</v>
      </c>
      <c r="H176" s="87">
        <v>206.50070380595108</v>
      </c>
      <c r="I176" s="87">
        <v>204.87055147603868</v>
      </c>
      <c r="J176" s="87">
        <v>201.45039576853262</v>
      </c>
      <c r="K176" s="87">
        <v>197.19336496178835</v>
      </c>
      <c r="L176" s="87">
        <v>178.282550919557</v>
      </c>
      <c r="M176" s="87">
        <v>171.64552597653463</v>
      </c>
      <c r="N176" s="87">
        <v>176.41466140806182</v>
      </c>
      <c r="O176" s="87">
        <v>172.60569120821111</v>
      </c>
      <c r="P176" s="87">
        <v>166.73014004060659</v>
      </c>
      <c r="Q176" s="87">
        <v>160.06642322865233</v>
      </c>
      <c r="R176" s="87">
        <v>153.00722804361357</v>
      </c>
      <c r="S176" s="87">
        <v>148.03846761265436</v>
      </c>
      <c r="T176" s="87">
        <v>144.68348424054176</v>
      </c>
      <c r="U176" s="87">
        <v>139.38182767203196</v>
      </c>
      <c r="V176" s="87">
        <v>136.63801887082971</v>
      </c>
      <c r="W176" s="87">
        <v>134.52649453509122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89.153981588406253</v>
      </c>
      <c r="K177" s="87">
        <v>87.295363773894451</v>
      </c>
      <c r="L177" s="87">
        <v>85.011110276129727</v>
      </c>
      <c r="M177" s="87">
        <v>74.307381388287695</v>
      </c>
      <c r="N177" s="87">
        <v>66.347464072946735</v>
      </c>
      <c r="O177" s="87">
        <v>65.379801210824354</v>
      </c>
      <c r="P177" s="87">
        <v>61.80197561162452</v>
      </c>
      <c r="Q177" s="87">
        <v>59.282525172574474</v>
      </c>
      <c r="R177" s="87">
        <v>58.165316460122298</v>
      </c>
      <c r="S177" s="87">
        <v>57.581016726032324</v>
      </c>
      <c r="T177" s="87">
        <v>57.530476708854209</v>
      </c>
      <c r="U177" s="87">
        <v>52.9547398638028</v>
      </c>
      <c r="V177" s="87">
        <v>48.016599677509554</v>
      </c>
      <c r="W177" s="87">
        <v>44.127282233588659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1628.6708826512297</v>
      </c>
      <c r="C179" s="116">
        <v>1600.5695811290148</v>
      </c>
      <c r="D179" s="116">
        <v>1602.6466819758139</v>
      </c>
      <c r="E179" s="116">
        <v>1588.9533557013099</v>
      </c>
      <c r="F179" s="116">
        <v>1571.2859158781825</v>
      </c>
      <c r="G179" s="116">
        <v>1456.9320128015102</v>
      </c>
      <c r="H179" s="116">
        <v>1525.3523318084347</v>
      </c>
      <c r="I179" s="116">
        <v>1516.3849218114003</v>
      </c>
      <c r="J179" s="116">
        <v>1474.7068560304699</v>
      </c>
      <c r="K179" s="116">
        <v>1432.6518714031192</v>
      </c>
      <c r="L179" s="116">
        <v>1425.0791055477769</v>
      </c>
      <c r="M179" s="116">
        <v>1393.2827318826908</v>
      </c>
      <c r="N179" s="116">
        <v>1382.8676040587272</v>
      </c>
      <c r="O179" s="116">
        <v>1319.8960069497207</v>
      </c>
      <c r="P179" s="116">
        <v>1256.2281940424416</v>
      </c>
      <c r="Q179" s="116">
        <v>1261.2977931610176</v>
      </c>
      <c r="R179" s="116">
        <v>1347.0398865208456</v>
      </c>
      <c r="S179" s="116">
        <v>1280.2484254011524</v>
      </c>
      <c r="T179" s="116">
        <v>1279.5111564237232</v>
      </c>
      <c r="U179" s="116">
        <v>1165.6286649268634</v>
      </c>
      <c r="V179" s="116">
        <v>1096.0400338089069</v>
      </c>
      <c r="W179" s="116">
        <v>1094.2359620940683</v>
      </c>
      <c r="DA179" s="176" t="s">
        <v>916</v>
      </c>
    </row>
    <row r="180" spans="1:105" ht="11.45" customHeight="1" x14ac:dyDescent="0.25">
      <c r="A180" s="111" t="s">
        <v>110</v>
      </c>
      <c r="B180" s="101">
        <v>564.50873644155445</v>
      </c>
      <c r="C180" s="101">
        <v>562.39449617902562</v>
      </c>
      <c r="D180" s="101">
        <v>561.5619411509</v>
      </c>
      <c r="E180" s="101">
        <v>559.87868124205602</v>
      </c>
      <c r="F180" s="101">
        <v>558.38398353654304</v>
      </c>
      <c r="G180" s="101">
        <v>556.2695001510757</v>
      </c>
      <c r="H180" s="101">
        <v>548.54964584371464</v>
      </c>
      <c r="I180" s="101">
        <v>544.60755370137338</v>
      </c>
      <c r="J180" s="101">
        <v>536.01510306895216</v>
      </c>
      <c r="K180" s="101">
        <v>519.81958816501174</v>
      </c>
      <c r="L180" s="101">
        <v>473.14845917823675</v>
      </c>
      <c r="M180" s="101">
        <v>423.37966570396441</v>
      </c>
      <c r="N180" s="101">
        <v>411.25925875314334</v>
      </c>
      <c r="O180" s="101">
        <v>398.73957525914119</v>
      </c>
      <c r="P180" s="101">
        <v>392.14692491580752</v>
      </c>
      <c r="Q180" s="101">
        <v>389.93916425907196</v>
      </c>
      <c r="R180" s="101">
        <v>370.96558580377001</v>
      </c>
      <c r="S180" s="101">
        <v>365.36420669573135</v>
      </c>
      <c r="T180" s="101">
        <v>358.2728545868373</v>
      </c>
      <c r="U180" s="101">
        <v>354.02089067620767</v>
      </c>
      <c r="V180" s="101">
        <v>349.09340591742051</v>
      </c>
      <c r="W180" s="101">
        <v>345.74040829047414</v>
      </c>
      <c r="DA180" s="175" t="s">
        <v>917</v>
      </c>
    </row>
    <row r="181" spans="1:105" ht="11.45" customHeight="1" x14ac:dyDescent="0.25">
      <c r="A181" s="111" t="s">
        <v>111</v>
      </c>
      <c r="B181" s="101">
        <v>1679.0303351162754</v>
      </c>
      <c r="C181" s="101">
        <v>1642.5811945021787</v>
      </c>
      <c r="D181" s="101">
        <v>1626.3286127418323</v>
      </c>
      <c r="E181" s="101">
        <v>1610.930892249899</v>
      </c>
      <c r="F181" s="101">
        <v>1596.8402288090322</v>
      </c>
      <c r="G181" s="101">
        <v>1582.3354211986264</v>
      </c>
      <c r="H181" s="101">
        <v>1570.6551637159978</v>
      </c>
      <c r="I181" s="101">
        <v>1559.2812904741731</v>
      </c>
      <c r="J181" s="101">
        <v>1545.9896687449441</v>
      </c>
      <c r="K181" s="101">
        <v>1531.7471644880741</v>
      </c>
      <c r="L181" s="101">
        <v>1515.5587713560774</v>
      </c>
      <c r="M181" s="101">
        <v>1496.2283313458938</v>
      </c>
      <c r="N181" s="101">
        <v>1478.3809007415707</v>
      </c>
      <c r="O181" s="101">
        <v>1461.6365756733423</v>
      </c>
      <c r="P181" s="101">
        <v>1447.2935457868689</v>
      </c>
      <c r="Q181" s="101">
        <v>1433.5330367692034</v>
      </c>
      <c r="R181" s="101">
        <v>1411.7592362538514</v>
      </c>
      <c r="S181" s="101">
        <v>1397.8151957826585</v>
      </c>
      <c r="T181" s="101">
        <v>1384.7400962662412</v>
      </c>
      <c r="U181" s="101">
        <v>1372.228937761975</v>
      </c>
      <c r="V181" s="101">
        <v>1343.590177180203</v>
      </c>
      <c r="W181" s="101">
        <v>1335.8039600874438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1048.7141900812283</v>
      </c>
      <c r="C183" s="101">
        <v>1037.1601929302276</v>
      </c>
      <c r="D183" s="101">
        <v>1036.860293398621</v>
      </c>
      <c r="E183" s="101">
        <v>1036.8602933986208</v>
      </c>
      <c r="F183" s="101">
        <v>1023.8613122456574</v>
      </c>
      <c r="G183" s="101">
        <v>973.95956924211021</v>
      </c>
      <c r="H183" s="101">
        <v>943.08877026596201</v>
      </c>
      <c r="I183" s="101">
        <v>941.90668792676274</v>
      </c>
      <c r="J183" s="101">
        <v>935.67589418319017</v>
      </c>
      <c r="K183" s="101">
        <v>926.58986997188731</v>
      </c>
      <c r="L183" s="101">
        <v>914.18979484939769</v>
      </c>
      <c r="M183" s="101">
        <v>905.97939755622394</v>
      </c>
      <c r="N183" s="101">
        <v>897.18701677902754</v>
      </c>
      <c r="O183" s="101">
        <v>885.00894085004904</v>
      </c>
      <c r="P183" s="101">
        <v>863.75697038883084</v>
      </c>
      <c r="Q183" s="101">
        <v>851.23453643984567</v>
      </c>
      <c r="R183" s="101">
        <v>850.22642342234053</v>
      </c>
      <c r="S183" s="101">
        <v>846.14822073699315</v>
      </c>
      <c r="T183" s="101">
        <v>844.64502075412634</v>
      </c>
      <c r="U183" s="101">
        <v>840.29046759840537</v>
      </c>
      <c r="V183" s="101">
        <v>834.6967945079258</v>
      </c>
      <c r="W183" s="101">
        <v>832.40644198187374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335.92694930303065</v>
      </c>
      <c r="C186" s="152">
        <v>328.29565471086698</v>
      </c>
      <c r="D186" s="152">
        <v>323.7999154775577</v>
      </c>
      <c r="E186" s="152">
        <v>318.04948611383571</v>
      </c>
      <c r="F186" s="152">
        <v>311.1680097122412</v>
      </c>
      <c r="G186" s="152">
        <v>302.35091769868808</v>
      </c>
      <c r="H186" s="152">
        <v>291.0174461114554</v>
      </c>
      <c r="I186" s="152">
        <v>277.29519651406844</v>
      </c>
      <c r="J186" s="152">
        <v>264.03322923251972</v>
      </c>
      <c r="K186" s="152">
        <v>252.5435724966195</v>
      </c>
      <c r="L186" s="152">
        <v>222.13385769262638</v>
      </c>
      <c r="M186" s="152">
        <v>214.46756714698486</v>
      </c>
      <c r="N186" s="152">
        <v>249.94314136215834</v>
      </c>
      <c r="O186" s="152">
        <v>242.16548732126637</v>
      </c>
      <c r="P186" s="152">
        <v>250.86900777862749</v>
      </c>
      <c r="Q186" s="152">
        <v>246.52727417888042</v>
      </c>
      <c r="R186" s="152">
        <v>237.45062712797926</v>
      </c>
      <c r="S186" s="152">
        <v>238.40512090855938</v>
      </c>
      <c r="T186" s="152">
        <v>227.69165884002322</v>
      </c>
      <c r="U186" s="152">
        <v>221.32150288136634</v>
      </c>
      <c r="V186" s="152">
        <v>215.96538682031417</v>
      </c>
      <c r="W186" s="152">
        <v>214.51836535364453</v>
      </c>
      <c r="DA186" s="174" t="s">
        <v>922</v>
      </c>
    </row>
    <row r="187" spans="1:105" ht="11.45" customHeight="1" x14ac:dyDescent="0.25">
      <c r="A187" s="111" t="s">
        <v>110</v>
      </c>
      <c r="B187" s="87">
        <v>326.79881381578281</v>
      </c>
      <c r="C187" s="87">
        <v>321.3315501284232</v>
      </c>
      <c r="D187" s="87">
        <v>319.00534040940113</v>
      </c>
      <c r="E187" s="87">
        <v>316.78239336582038</v>
      </c>
      <c r="F187" s="87">
        <v>314.60000348970743</v>
      </c>
      <c r="G187" s="87">
        <v>312.19757103260901</v>
      </c>
      <c r="H187" s="87">
        <v>309.47844586962793</v>
      </c>
      <c r="I187" s="87">
        <v>306.99636021874431</v>
      </c>
      <c r="J187" s="87">
        <v>303.91806418291901</v>
      </c>
      <c r="K187" s="87">
        <v>301.18831974420328</v>
      </c>
      <c r="L187" s="87">
        <v>298.27100961626866</v>
      </c>
      <c r="M187" s="87">
        <v>296.88551662291644</v>
      </c>
      <c r="N187" s="87">
        <v>292.42078643049166</v>
      </c>
      <c r="O187" s="87">
        <v>287.98676926791865</v>
      </c>
      <c r="P187" s="87">
        <v>285.26589055336552</v>
      </c>
      <c r="Q187" s="87">
        <v>280.26477844245744</v>
      </c>
      <c r="R187" s="87">
        <v>275.62866300290824</v>
      </c>
      <c r="S187" s="87">
        <v>269.8667193426906</v>
      </c>
      <c r="T187" s="87">
        <v>258.71671273139197</v>
      </c>
      <c r="U187" s="87">
        <v>245.29469741358326</v>
      </c>
      <c r="V187" s="87">
        <v>236.29365001780658</v>
      </c>
      <c r="W187" s="87">
        <v>228.45274987150333</v>
      </c>
      <c r="DA187" s="171" t="s">
        <v>923</v>
      </c>
    </row>
    <row r="188" spans="1:105" ht="11.45" customHeight="1" x14ac:dyDescent="0.25">
      <c r="A188" s="111" t="s">
        <v>111</v>
      </c>
      <c r="B188" s="87">
        <v>308.34306149672403</v>
      </c>
      <c r="C188" s="87">
        <v>281.60351454395612</v>
      </c>
      <c r="D188" s="87">
        <v>276.17622678710205</v>
      </c>
      <c r="E188" s="87">
        <v>272.92233319256809</v>
      </c>
      <c r="F188" s="87">
        <v>270.76721339501455</v>
      </c>
      <c r="G188" s="87">
        <v>269.68851934341785</v>
      </c>
      <c r="H188" s="87">
        <v>269.18541124622965</v>
      </c>
      <c r="I188" s="87">
        <v>268.70572835600296</v>
      </c>
      <c r="J188" s="87">
        <v>267.6694896557571</v>
      </c>
      <c r="K188" s="87">
        <v>266.73605286195152</v>
      </c>
      <c r="L188" s="87">
        <v>267.47512626384145</v>
      </c>
      <c r="M188" s="87">
        <v>268.45545803582439</v>
      </c>
      <c r="N188" s="87">
        <v>263.85631706536685</v>
      </c>
      <c r="O188" s="87">
        <v>259.31707795710639</v>
      </c>
      <c r="P188" s="87">
        <v>254.4113246216956</v>
      </c>
      <c r="Q188" s="87">
        <v>248.48840001115369</v>
      </c>
      <c r="R188" s="87">
        <v>240.86009353414389</v>
      </c>
      <c r="S188" s="87">
        <v>233.18287121991466</v>
      </c>
      <c r="T188" s="87">
        <v>226.71821060501944</v>
      </c>
      <c r="U188" s="87">
        <v>221.27957318631252</v>
      </c>
      <c r="V188" s="87">
        <v>219.57373167328066</v>
      </c>
      <c r="W188" s="87">
        <v>217.15323769342999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183.76341209272579</v>
      </c>
      <c r="D190" s="87">
        <v>183.76341209272584</v>
      </c>
      <c r="E190" s="87">
        <v>182.38011951413071</v>
      </c>
      <c r="F190" s="87">
        <v>182.08300900938229</v>
      </c>
      <c r="G190" s="87">
        <v>179.36380221946013</v>
      </c>
      <c r="H190" s="87">
        <v>175.15869027374376</v>
      </c>
      <c r="I190" s="87">
        <v>172.46891257065909</v>
      </c>
      <c r="J190" s="87">
        <v>163.87511082937368</v>
      </c>
      <c r="K190" s="87">
        <v>156.55621430271682</v>
      </c>
      <c r="L190" s="87">
        <v>148.82346845340138</v>
      </c>
      <c r="M190" s="87">
        <v>144.74563507934201</v>
      </c>
      <c r="N190" s="87">
        <v>149.76734577331948</v>
      </c>
      <c r="O190" s="87">
        <v>152.44053756459277</v>
      </c>
      <c r="P190" s="87">
        <v>155.68048255586288</v>
      </c>
      <c r="Q190" s="87">
        <v>155.52244536160723</v>
      </c>
      <c r="R190" s="87">
        <v>151.85030841416796</v>
      </c>
      <c r="S190" s="87">
        <v>148.2973240046756</v>
      </c>
      <c r="T190" s="87">
        <v>142.41827295777776</v>
      </c>
      <c r="U190" s="87">
        <v>141.15893693893946</v>
      </c>
      <c r="V190" s="87">
        <v>141.48360802110608</v>
      </c>
      <c r="W190" s="87">
        <v>142.55755870299043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1030.0395990616623</v>
      </c>
      <c r="C192" s="116">
        <v>1026.139288140309</v>
      </c>
      <c r="D192" s="116">
        <v>1022.0018277594295</v>
      </c>
      <c r="E192" s="116">
        <v>1017.266371777854</v>
      </c>
      <c r="F192" s="116">
        <v>1012.0176016182793</v>
      </c>
      <c r="G192" s="116">
        <v>1004.6318811915044</v>
      </c>
      <c r="H192" s="116">
        <v>993.62641435558885</v>
      </c>
      <c r="I192" s="116">
        <v>982.11770900323165</v>
      </c>
      <c r="J192" s="116">
        <v>971.44427616578332</v>
      </c>
      <c r="K192" s="116">
        <v>960.0877798833418</v>
      </c>
      <c r="L192" s="116">
        <v>946.03022620537695</v>
      </c>
      <c r="M192" s="116">
        <v>929.15967323364021</v>
      </c>
      <c r="N192" s="116">
        <v>915.20344652171127</v>
      </c>
      <c r="O192" s="116">
        <v>896.12092206349303</v>
      </c>
      <c r="P192" s="116">
        <v>884.77828565721347</v>
      </c>
      <c r="Q192" s="116">
        <v>871.72577887005832</v>
      </c>
      <c r="R192" s="116">
        <v>850.87659023926369</v>
      </c>
      <c r="S192" s="116">
        <v>828.42487044488269</v>
      </c>
      <c r="T192" s="116">
        <v>810.17004055230791</v>
      </c>
      <c r="U192" s="116">
        <v>786.38832402337187</v>
      </c>
      <c r="V192" s="116">
        <v>762.65306876085617</v>
      </c>
      <c r="W192" s="116">
        <v>734.96972996422392</v>
      </c>
      <c r="DA192" s="176" t="s">
        <v>928</v>
      </c>
    </row>
    <row r="193" spans="1:105" ht="11.45" customHeight="1" x14ac:dyDescent="0.25">
      <c r="A193" s="128" t="s">
        <v>27</v>
      </c>
      <c r="B193" s="101">
        <v>954.68093914464293</v>
      </c>
      <c r="C193" s="101">
        <v>951.47168269057045</v>
      </c>
      <c r="D193" s="101">
        <v>948.01727859545758</v>
      </c>
      <c r="E193" s="101">
        <v>944.101491095558</v>
      </c>
      <c r="F193" s="101">
        <v>939.92811836891826</v>
      </c>
      <c r="G193" s="101">
        <v>933.57142275489241</v>
      </c>
      <c r="H193" s="101">
        <v>923.56589489087855</v>
      </c>
      <c r="I193" s="101">
        <v>913.01711275890523</v>
      </c>
      <c r="J193" s="101">
        <v>903.22462763221961</v>
      </c>
      <c r="K193" s="101">
        <v>893.33893345033289</v>
      </c>
      <c r="L193" s="101">
        <v>879.66985431809155</v>
      </c>
      <c r="M193" s="101">
        <v>863.37548450988447</v>
      </c>
      <c r="N193" s="101">
        <v>850.11480525927732</v>
      </c>
      <c r="O193" s="101">
        <v>831.11205713285767</v>
      </c>
      <c r="P193" s="101">
        <v>820.61233657642515</v>
      </c>
      <c r="Q193" s="101">
        <v>808.74834361532112</v>
      </c>
      <c r="R193" s="101">
        <v>788.7027105616371</v>
      </c>
      <c r="S193" s="101">
        <v>766.80385976118498</v>
      </c>
      <c r="T193" s="101">
        <v>749.54933788508924</v>
      </c>
      <c r="U193" s="101">
        <v>726.30044855261451</v>
      </c>
      <c r="V193" s="101">
        <v>703.30135103957639</v>
      </c>
      <c r="W193" s="101">
        <v>675.76494589166384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1050.1800166552266</v>
      </c>
      <c r="D194" s="88">
        <v>1035.8044397322451</v>
      </c>
      <c r="E194" s="88">
        <v>1023.0807469989295</v>
      </c>
      <c r="F194" s="88">
        <v>1001.4302351511418</v>
      </c>
      <c r="G194" s="88">
        <v>988.81655962945661</v>
      </c>
      <c r="H194" s="88">
        <v>973.82779589814834</v>
      </c>
      <c r="I194" s="88">
        <v>961.61034529040512</v>
      </c>
      <c r="J194" s="88">
        <v>951.17595388521113</v>
      </c>
      <c r="K194" s="88">
        <v>943.79416009237809</v>
      </c>
      <c r="L194" s="88">
        <v>931.84755960389839</v>
      </c>
      <c r="M194" s="88">
        <v>924.28160559839421</v>
      </c>
      <c r="N194" s="88">
        <v>915.54343671202707</v>
      </c>
      <c r="O194" s="88">
        <v>896.1195365885095</v>
      </c>
      <c r="P194" s="88">
        <v>887.62312672237908</v>
      </c>
      <c r="Q194" s="88">
        <v>865.45246633515023</v>
      </c>
      <c r="R194" s="88">
        <v>847.87847152081338</v>
      </c>
      <c r="S194" s="88">
        <v>835.66566133263814</v>
      </c>
      <c r="T194" s="88">
        <v>820.01711822415018</v>
      </c>
      <c r="U194" s="88">
        <v>810.19709281571886</v>
      </c>
      <c r="V194" s="88">
        <v>792.01651349048893</v>
      </c>
      <c r="W194" s="88">
        <v>771.5655431526219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1.1275000000068982</v>
      </c>
      <c r="C198" s="150">
        <f>IF(TrRoad_act!C59=0,0,TrRoad_emi!C56/TrRoad_tech!C171)</f>
        <v>1.124681348695127</v>
      </c>
      <c r="D198" s="150">
        <f>IF(TrRoad_act!D59=0,0,TrRoad_emi!D56/TrRoad_tech!D171)</f>
        <v>1.1215537692513964</v>
      </c>
      <c r="E198" s="150">
        <f>IF(TrRoad_act!E59=0,0,TrRoad_emi!E56/TrRoad_tech!E171)</f>
        <v>1.114212838329957</v>
      </c>
      <c r="F198" s="150">
        <f>IF(TrRoad_act!F59=0,0,TrRoad_emi!F56/TrRoad_tech!F171)</f>
        <v>1.1010656299040007</v>
      </c>
      <c r="G198" s="150">
        <f>IF(TrRoad_act!G59=0,0,TrRoad_emi!G56/TrRoad_tech!G171)</f>
        <v>1.098277858150402</v>
      </c>
      <c r="H198" s="150">
        <f>IF(TrRoad_act!H59=0,0,TrRoad_emi!H56/TrRoad_tech!H171)</f>
        <v>1.0889683676015247</v>
      </c>
      <c r="I198" s="150">
        <f>IF(TrRoad_act!I59=0,0,TrRoad_emi!I56/TrRoad_tech!I171)</f>
        <v>1.0835160209316377</v>
      </c>
      <c r="J198" s="150">
        <f>IF(TrRoad_act!J59=0,0,TrRoad_emi!J56/TrRoad_tech!J171)</f>
        <v>1.0855287613556501</v>
      </c>
      <c r="K198" s="150">
        <f>IF(TrRoad_act!K59=0,0,TrRoad_emi!K56/TrRoad_tech!K171)</f>
        <v>1.0828210369283808</v>
      </c>
      <c r="L198" s="150">
        <f>IF(TrRoad_act!L59=0,0,TrRoad_emi!L56/TrRoad_tech!L171)</f>
        <v>1.0696002831286908</v>
      </c>
      <c r="M198" s="150">
        <f>IF(TrRoad_act!M59=0,0,TrRoad_emi!M56/TrRoad_tech!M171)</f>
        <v>1.0870047814376302</v>
      </c>
      <c r="N198" s="150">
        <f>IF(TrRoad_act!N59=0,0,TrRoad_emi!N56/TrRoad_tech!N171)</f>
        <v>1.0972203028565632</v>
      </c>
      <c r="O198" s="150">
        <f>IF(TrRoad_act!O59=0,0,TrRoad_emi!O56/TrRoad_tech!O171)</f>
        <v>1.1086529428316039</v>
      </c>
      <c r="P198" s="150">
        <f>IF(TrRoad_act!P59=0,0,TrRoad_emi!P56/TrRoad_tech!P171)</f>
        <v>1.1055535500789284</v>
      </c>
      <c r="Q198" s="150">
        <f>IF(TrRoad_act!Q59=0,0,TrRoad_emi!Q56/TrRoad_tech!Q171)</f>
        <v>1.1367115055744026</v>
      </c>
      <c r="R198" s="150">
        <f>IF(TrRoad_act!R59=0,0,TrRoad_emi!R56/TrRoad_tech!R171)</f>
        <v>1.157441856897808</v>
      </c>
      <c r="S198" s="150">
        <f>IF(TrRoad_act!S59=0,0,TrRoad_emi!S56/TrRoad_tech!S171)</f>
        <v>1.1690694176178202</v>
      </c>
      <c r="T198" s="150">
        <f>IF(TrRoad_act!T59=0,0,TrRoad_emi!T56/TrRoad_tech!T171)</f>
        <v>1.1620710112926425</v>
      </c>
      <c r="U198" s="150">
        <f>IF(TrRoad_act!U59=0,0,TrRoad_emi!U56/TrRoad_tech!U171)</f>
        <v>1.1851043681772111</v>
      </c>
      <c r="V198" s="150">
        <f>IF(TrRoad_act!V59=0,0,TrRoad_emi!V56/TrRoad_tech!V171)</f>
        <v>1.1845087137292658</v>
      </c>
      <c r="W198" s="150">
        <f>IF(TrRoad_act!W59=0,0,TrRoad_emi!W56/TrRoad_tech!W171)</f>
        <v>1.1792866857183864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1.0276575329274422</v>
      </c>
      <c r="C199" s="151">
        <f>IF(TrRoad_act!C60=0,0,TrRoad_emi!C57/TrRoad_tech!C172)</f>
        <v>1.0195258113962733</v>
      </c>
      <c r="D199" s="151">
        <f>IF(TrRoad_act!D60=0,0,TrRoad_emi!D57/TrRoad_tech!D172)</f>
        <v>1.0125158588899541</v>
      </c>
      <c r="E199" s="151">
        <f>IF(TrRoad_act!E60=0,0,TrRoad_emi!E57/TrRoad_tech!E172)</f>
        <v>1.0047251705126419</v>
      </c>
      <c r="F199" s="151">
        <f>IF(TrRoad_act!F60=0,0,TrRoad_emi!F57/TrRoad_tech!F172)</f>
        <v>0.99296525287926951</v>
      </c>
      <c r="G199" s="151">
        <f>IF(TrRoad_act!G60=0,0,TrRoad_emi!G57/TrRoad_tech!G172)</f>
        <v>0.98246657502393298</v>
      </c>
      <c r="H199" s="151">
        <f>IF(TrRoad_act!H60=0,0,TrRoad_emi!H57/TrRoad_tech!H172)</f>
        <v>0.97094799581709001</v>
      </c>
      <c r="I199" s="151">
        <f>IF(TrRoad_act!I60=0,0,TrRoad_emi!I57/TrRoad_tech!I172)</f>
        <v>0.95604457903313078</v>
      </c>
      <c r="J199" s="151">
        <f>IF(TrRoad_act!J60=0,0,TrRoad_emi!J57/TrRoad_tech!J172)</f>
        <v>0.94424517467563596</v>
      </c>
      <c r="K199" s="151">
        <f>IF(TrRoad_act!K60=0,0,TrRoad_emi!K57/TrRoad_tech!K172)</f>
        <v>0.93157837424541967</v>
      </c>
      <c r="L199" s="151">
        <f>IF(TrRoad_act!L60=0,0,TrRoad_emi!L57/TrRoad_tech!L172)</f>
        <v>0.93069513644023139</v>
      </c>
      <c r="M199" s="151">
        <f>IF(TrRoad_act!M60=0,0,TrRoad_emi!M57/TrRoad_tech!M172)</f>
        <v>0.9074556335114502</v>
      </c>
      <c r="N199" s="151">
        <f>IF(TrRoad_act!N60=0,0,TrRoad_emi!N57/TrRoad_tech!N172)</f>
        <v>0.88544716307846039</v>
      </c>
      <c r="O199" s="151">
        <f>IF(TrRoad_act!O60=0,0,TrRoad_emi!O57/TrRoad_tech!O172)</f>
        <v>0.87228867490087514</v>
      </c>
      <c r="P199" s="151">
        <f>IF(TrRoad_act!P60=0,0,TrRoad_emi!P57/TrRoad_tech!P172)</f>
        <v>0.84711593690854847</v>
      </c>
      <c r="Q199" s="151">
        <f>IF(TrRoad_act!Q60=0,0,TrRoad_emi!Q57/TrRoad_tech!Q172)</f>
        <v>0.83792723325463059</v>
      </c>
      <c r="R199" s="151">
        <f>IF(TrRoad_act!R60=0,0,TrRoad_emi!R57/TrRoad_tech!R172)</f>
        <v>0.81587049689026314</v>
      </c>
      <c r="S199" s="151">
        <f>IF(TrRoad_act!S60=0,0,TrRoad_emi!S57/TrRoad_tech!S172)</f>
        <v>0.79809468275926732</v>
      </c>
      <c r="T199" s="151">
        <f>IF(TrRoad_act!T60=0,0,TrRoad_emi!T57/TrRoad_tech!T172)</f>
        <v>0.78710645965830917</v>
      </c>
      <c r="U199" s="151">
        <f>IF(TrRoad_act!U60=0,0,TrRoad_emi!U57/TrRoad_tech!U172)</f>
        <v>0.81791684562907108</v>
      </c>
      <c r="V199" s="151">
        <f>IF(TrRoad_act!V60=0,0,TrRoad_emi!V57/TrRoad_tech!V172)</f>
        <v>0.87460606742347113</v>
      </c>
      <c r="W199" s="151">
        <f>IF(TrRoad_act!W60=0,0,TrRoad_emi!W57/TrRoad_tech!W172)</f>
        <v>0.94251717433534554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1.0277777777815897</v>
      </c>
      <c r="C200" s="91">
        <f>IF(TrRoad_act!C61=0,0,TrRoad_emi!C58/TrRoad_tech!C173)</f>
        <v>1.0248460708692</v>
      </c>
      <c r="D200" s="91">
        <f>IF(TrRoad_act!D61=0,0,TrRoad_emi!D58/TrRoad_tech!D173)</f>
        <v>1.0209556745160153</v>
      </c>
      <c r="E200" s="91">
        <f>IF(TrRoad_act!E61=0,0,TrRoad_emi!E58/TrRoad_tech!E173)</f>
        <v>1.0132456847739131</v>
      </c>
      <c r="F200" s="91">
        <f>IF(TrRoad_act!F61=0,0,TrRoad_emi!F58/TrRoad_tech!F173)</f>
        <v>0.99995304083627679</v>
      </c>
      <c r="G200" s="91">
        <f>IF(TrRoad_act!G61=0,0,TrRoad_emi!G58/TrRoad_tech!G173)</f>
        <v>0.99454142343136076</v>
      </c>
      <c r="H200" s="91">
        <f>IF(TrRoad_act!H61=0,0,TrRoad_emi!H58/TrRoad_tech!H173)</f>
        <v>0.99025886794842088</v>
      </c>
      <c r="I200" s="91">
        <f>IF(TrRoad_act!I61=0,0,TrRoad_emi!I58/TrRoad_tech!I173)</f>
        <v>0.98553525774069461</v>
      </c>
      <c r="J200" s="91">
        <f>IF(TrRoad_act!J61=0,0,TrRoad_emi!J58/TrRoad_tech!J173)</f>
        <v>0.97544575246400977</v>
      </c>
      <c r="K200" s="91">
        <f>IF(TrRoad_act!K61=0,0,TrRoad_emi!K58/TrRoad_tech!K173)</f>
        <v>0.97922721506213994</v>
      </c>
      <c r="L200" s="91">
        <f>IF(TrRoad_act!L61=0,0,TrRoad_emi!L58/TrRoad_tech!L173)</f>
        <v>0.97569323646870676</v>
      </c>
      <c r="M200" s="91">
        <f>IF(TrRoad_act!M61=0,0,TrRoad_emi!M58/TrRoad_tech!M173)</f>
        <v>0.96953222118645865</v>
      </c>
      <c r="N200" s="91">
        <f>IF(TrRoad_act!N61=0,0,TrRoad_emi!N58/TrRoad_tech!N173)</f>
        <v>0.96700219900031148</v>
      </c>
      <c r="O200" s="91">
        <f>IF(TrRoad_act!O61=0,0,TrRoad_emi!O58/TrRoad_tech!O173)</f>
        <v>0.97316266154143682</v>
      </c>
      <c r="P200" s="91">
        <f>IF(TrRoad_act!P61=0,0,TrRoad_emi!P58/TrRoad_tech!P173)</f>
        <v>0.97713876553086576</v>
      </c>
      <c r="Q200" s="91">
        <f>IF(TrRoad_act!Q61=0,0,TrRoad_emi!Q58/TrRoad_tech!Q173)</f>
        <v>0.98724047796448522</v>
      </c>
      <c r="R200" s="91">
        <f>IF(TrRoad_act!R61=0,0,TrRoad_emi!R58/TrRoad_tech!R173)</f>
        <v>0.99885673293538091</v>
      </c>
      <c r="S200" s="91">
        <f>IF(TrRoad_act!S61=0,0,TrRoad_emi!S58/TrRoad_tech!S173)</f>
        <v>1.0016456679321029</v>
      </c>
      <c r="T200" s="91">
        <f>IF(TrRoad_act!T61=0,0,TrRoad_emi!T58/TrRoad_tech!T173)</f>
        <v>0.98997533211559863</v>
      </c>
      <c r="U200" s="91">
        <f>IF(TrRoad_act!U61=0,0,TrRoad_emi!U58/TrRoad_tech!U173)</f>
        <v>1.0040406349574127</v>
      </c>
      <c r="V200" s="91">
        <f>IF(TrRoad_act!V61=0,0,TrRoad_emi!V58/TrRoad_tech!V173)</f>
        <v>0.99571828666457973</v>
      </c>
      <c r="W200" s="91">
        <f>IF(TrRoad_act!W61=0,0,TrRoad_emi!W58/TrRoad_tech!W173)</f>
        <v>1.0402990220725938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1.0877824549671038</v>
      </c>
      <c r="C201" s="91">
        <f>IF(TrRoad_act!C62=0,0,TrRoad_emi!C59/TrRoad_tech!C174)</f>
        <v>1.1139225992220581</v>
      </c>
      <c r="D201" s="91">
        <f>IF(TrRoad_act!D62=0,0,TrRoad_emi!D59/TrRoad_tech!D174)</f>
        <v>1.0967056880449049</v>
      </c>
      <c r="E201" s="91">
        <f>IF(TrRoad_act!E62=0,0,TrRoad_emi!E59/TrRoad_tech!E174)</f>
        <v>1.1098149791793517</v>
      </c>
      <c r="F201" s="91">
        <f>IF(TrRoad_act!F62=0,0,TrRoad_emi!F59/TrRoad_tech!F174)</f>
        <v>1.1306693455164267</v>
      </c>
      <c r="G201" s="91">
        <f>IF(TrRoad_act!G62=0,0,TrRoad_emi!G59/TrRoad_tech!G174)</f>
        <v>1.0883991343280892</v>
      </c>
      <c r="H201" s="91">
        <f>IF(TrRoad_act!H62=0,0,TrRoad_emi!H59/TrRoad_tech!H174)</f>
        <v>1.0844335314309381</v>
      </c>
      <c r="I201" s="91">
        <f>IF(TrRoad_act!I62=0,0,TrRoad_emi!I59/TrRoad_tech!I174)</f>
        <v>1.056401665814362</v>
      </c>
      <c r="J201" s="91">
        <f>IF(TrRoad_act!J62=0,0,TrRoad_emi!J59/TrRoad_tech!J174)</f>
        <v>1.0498945417481604</v>
      </c>
      <c r="K201" s="91">
        <f>IF(TrRoad_act!K62=0,0,TrRoad_emi!K59/TrRoad_tech!K174)</f>
        <v>1.0236388982502804</v>
      </c>
      <c r="L201" s="91">
        <f>IF(TrRoad_act!L62=0,0,TrRoad_emi!L59/TrRoad_tech!L174)</f>
        <v>1.0335182583293137</v>
      </c>
      <c r="M201" s="91">
        <f>IF(TrRoad_act!M62=0,0,TrRoad_emi!M59/TrRoad_tech!M174)</f>
        <v>1.007445749658761</v>
      </c>
      <c r="N201" s="91">
        <f>IF(TrRoad_act!N62=0,0,TrRoad_emi!N59/TrRoad_tech!N174)</f>
        <v>0.96543362836573576</v>
      </c>
      <c r="O201" s="91">
        <f>IF(TrRoad_act!O62=0,0,TrRoad_emi!O59/TrRoad_tech!O174)</f>
        <v>0.92578371292906092</v>
      </c>
      <c r="P201" s="91">
        <f>IF(TrRoad_act!P62=0,0,TrRoad_emi!P59/TrRoad_tech!P174)</f>
        <v>0.8582109802123431</v>
      </c>
      <c r="Q201" s="91">
        <f>IF(TrRoad_act!Q62=0,0,TrRoad_emi!Q59/TrRoad_tech!Q174)</f>
        <v>0.83372068369176944</v>
      </c>
      <c r="R201" s="91">
        <f>IF(TrRoad_act!R62=0,0,TrRoad_emi!R59/TrRoad_tech!R174)</f>
        <v>0.77158287869123721</v>
      </c>
      <c r="S201" s="91">
        <f>IF(TrRoad_act!S62=0,0,TrRoad_emi!S59/TrRoad_tech!S174)</f>
        <v>0.73559369748704517</v>
      </c>
      <c r="T201" s="91">
        <f>IF(TrRoad_act!T62=0,0,TrRoad_emi!T59/TrRoad_tech!T174)</f>
        <v>0.70418505675168885</v>
      </c>
      <c r="U201" s="91">
        <f>IF(TrRoad_act!U62=0,0,TrRoad_emi!U59/TrRoad_tech!U174)</f>
        <v>0.72294902875397915</v>
      </c>
      <c r="V201" s="91">
        <f>IF(TrRoad_act!V62=0,0,TrRoad_emi!V59/TrRoad_tech!V174)</f>
        <v>0.72658880334990028</v>
      </c>
      <c r="W201" s="91">
        <f>IF(TrRoad_act!W62=0,0,TrRoad_emi!W59/TrRoad_tech!W174)</f>
        <v>0.72436515151044889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0</v>
      </c>
      <c r="E202" s="91">
        <f>IF(TrRoad_act!E63=0,0,TrRoad_emi!E60/TrRoad_tech!E175)</f>
        <v>0</v>
      </c>
      <c r="F202" s="91">
        <f>IF(TrRoad_act!F63=0,0,TrRoad_emi!F60/TrRoad_tech!F175)</f>
        <v>0</v>
      </c>
      <c r="G202" s="91">
        <f>IF(TrRoad_act!G63=0,0,TrRoad_emi!G60/TrRoad_tech!G175)</f>
        <v>1.3712702017969669</v>
      </c>
      <c r="H202" s="91">
        <f>IF(TrRoad_act!H63=0,0,TrRoad_emi!H60/TrRoad_tech!H175)</f>
        <v>1.1053077790629466</v>
      </c>
      <c r="I202" s="91">
        <f>IF(TrRoad_act!I63=0,0,TrRoad_emi!I60/TrRoad_tech!I175)</f>
        <v>2.3951421294147788</v>
      </c>
      <c r="J202" s="91">
        <f>IF(TrRoad_act!J63=0,0,TrRoad_emi!J60/TrRoad_tech!J175)</f>
        <v>1.4863775234860501</v>
      </c>
      <c r="K202" s="91">
        <f>IF(TrRoad_act!K63=0,0,TrRoad_emi!K60/TrRoad_tech!K175)</f>
        <v>1.4412908300621021</v>
      </c>
      <c r="L202" s="91">
        <f>IF(TrRoad_act!L63=0,0,TrRoad_emi!L60/TrRoad_tech!L175)</f>
        <v>1.7854644803136983</v>
      </c>
      <c r="M202" s="91">
        <f>IF(TrRoad_act!M63=0,0,TrRoad_emi!M60/TrRoad_tech!M175)</f>
        <v>1.2818483970074774</v>
      </c>
      <c r="N202" s="91">
        <f>IF(TrRoad_act!N63=0,0,TrRoad_emi!N60/TrRoad_tech!N175)</f>
        <v>0.82210366007259028</v>
      </c>
      <c r="O202" s="91">
        <f>IF(TrRoad_act!O63=0,0,TrRoad_emi!O60/TrRoad_tech!O175)</f>
        <v>0.43552194526802085</v>
      </c>
      <c r="P202" s="91">
        <f>IF(TrRoad_act!P63=0,0,TrRoad_emi!P60/TrRoad_tech!P175)</f>
        <v>0.50990756337342069</v>
      </c>
      <c r="Q202" s="91">
        <f>IF(TrRoad_act!Q63=0,0,TrRoad_emi!Q60/TrRoad_tech!Q175)</f>
        <v>2.821128006268621</v>
      </c>
      <c r="R202" s="91">
        <f>IF(TrRoad_act!R63=0,0,TrRoad_emi!R60/TrRoad_tech!R175)</f>
        <v>1.0480717737801681</v>
      </c>
      <c r="S202" s="91">
        <f>IF(TrRoad_act!S63=0,0,TrRoad_emi!S60/TrRoad_tech!S175)</f>
        <v>0</v>
      </c>
      <c r="T202" s="91">
        <f>IF(TrRoad_act!T63=0,0,TrRoad_emi!T60/TrRoad_tech!T175)</f>
        <v>0</v>
      </c>
      <c r="U202" s="91">
        <f>IF(TrRoad_act!U63=0,0,TrRoad_emi!U60/TrRoad_tech!U175)</f>
        <v>0</v>
      </c>
      <c r="V202" s="91">
        <f>IF(TrRoad_act!V63=0,0,TrRoad_emi!V60/TrRoad_tech!V175)</f>
        <v>0</v>
      </c>
      <c r="W202" s="91">
        <f>IF(TrRoad_act!W63=0,0,TrRoad_emi!W60/TrRoad_tech!W175)</f>
        <v>0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1.0303703703742999</v>
      </c>
      <c r="E203" s="91">
        <f>IF(TrRoad_act!E64=0,0,TrRoad_emi!E61/TrRoad_tech!E176)</f>
        <v>1.0313310435096503</v>
      </c>
      <c r="F203" s="91">
        <f>IF(TrRoad_act!F64=0,0,TrRoad_emi!F61/TrRoad_tech!F176)</f>
        <v>1.0324804623544965</v>
      </c>
      <c r="G203" s="91">
        <f>IF(TrRoad_act!G64=0,0,TrRoad_emi!G61/TrRoad_tech!G176)</f>
        <v>1.0339430737041118</v>
      </c>
      <c r="H203" s="91">
        <f>IF(TrRoad_act!H64=0,0,TrRoad_emi!H61/TrRoad_tech!H176)</f>
        <v>1.0346101400822656</v>
      </c>
      <c r="I203" s="91">
        <f>IF(TrRoad_act!I64=0,0,TrRoad_emi!I61/TrRoad_tech!I176)</f>
        <v>1.0359129932903577</v>
      </c>
      <c r="J203" s="91">
        <f>IF(TrRoad_act!J64=0,0,TrRoad_emi!J61/TrRoad_tech!J176)</f>
        <v>0.58340236018421687</v>
      </c>
      <c r="K203" s="91">
        <f>IF(TrRoad_act!K64=0,0,TrRoad_emi!K61/TrRoad_tech!K176)</f>
        <v>0.515275865474351</v>
      </c>
      <c r="L203" s="91">
        <f>IF(TrRoad_act!L64=0,0,TrRoad_emi!L61/TrRoad_tech!L176)</f>
        <v>0.62922670408258008</v>
      </c>
      <c r="M203" s="91">
        <f>IF(TrRoad_act!M64=0,0,TrRoad_emi!M61/TrRoad_tech!M176)</f>
        <v>0.42735678555759443</v>
      </c>
      <c r="N203" s="91">
        <f>IF(TrRoad_act!N64=0,0,TrRoad_emi!N61/TrRoad_tech!N176)</f>
        <v>0.45700317799071055</v>
      </c>
      <c r="O203" s="91">
        <f>IF(TrRoad_act!O64=0,0,TrRoad_emi!O61/TrRoad_tech!O176)</f>
        <v>0.4371913504971191</v>
      </c>
      <c r="P203" s="91">
        <f>IF(TrRoad_act!P64=0,0,TrRoad_emi!P61/TrRoad_tech!P176)</f>
        <v>0.40074504969343638</v>
      </c>
      <c r="Q203" s="91">
        <f>IF(TrRoad_act!Q64=0,0,TrRoad_emi!Q61/TrRoad_tech!Q176)</f>
        <v>0.27907037603645074</v>
      </c>
      <c r="R203" s="91">
        <f>IF(TrRoad_act!R64=0,0,TrRoad_emi!R61/TrRoad_tech!R176)</f>
        <v>0.28800330620617759</v>
      </c>
      <c r="S203" s="91">
        <f>IF(TrRoad_act!S64=0,0,TrRoad_emi!S61/TrRoad_tech!S176)</f>
        <v>0.11482204176816868</v>
      </c>
      <c r="T203" s="91">
        <f>IF(TrRoad_act!T64=0,0,TrRoad_emi!T61/TrRoad_tech!T176)</f>
        <v>9.4576035646727286E-2</v>
      </c>
      <c r="U203" s="91">
        <f>IF(TrRoad_act!U64=0,0,TrRoad_emi!U61/TrRoad_tech!U176)</f>
        <v>8.8310596246605769E-2</v>
      </c>
      <c r="V203" s="91">
        <f>IF(TrRoad_act!V64=0,0,TrRoad_emi!V61/TrRoad_tech!V176)</f>
        <v>9.6271345281904466E-2</v>
      </c>
      <c r="W203" s="91">
        <f>IF(TrRoad_act!W64=0,0,TrRoad_emi!W61/TrRoad_tech!W176)</f>
        <v>0.11743486172597332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0.98974207633500488</v>
      </c>
      <c r="K204" s="91">
        <f>IF(TrRoad_act!K65=0,0,TrRoad_emi!K62/TrRoad_tech!K177)</f>
        <v>0.99369926092622429</v>
      </c>
      <c r="L204" s="91">
        <f>IF(TrRoad_act!L65=0,0,TrRoad_emi!L62/TrRoad_tech!L177)</f>
        <v>0.99009470505268249</v>
      </c>
      <c r="M204" s="91">
        <f>IF(TrRoad_act!M65=0,0,TrRoad_emi!M62/TrRoad_tech!M177)</f>
        <v>0.98788711523415984</v>
      </c>
      <c r="N204" s="91">
        <f>IF(TrRoad_act!N65=0,0,TrRoad_emi!N62/TrRoad_tech!N177)</f>
        <v>0.99112600098617787</v>
      </c>
      <c r="O204" s="91">
        <f>IF(TrRoad_act!O65=0,0,TrRoad_emi!O62/TrRoad_tech!O177)</f>
        <v>0.99972036882847415</v>
      </c>
      <c r="P204" s="91">
        <f>IF(TrRoad_act!P65=0,0,TrRoad_emi!P62/TrRoad_tech!P177)</f>
        <v>1.0097342265059224</v>
      </c>
      <c r="Q204" s="91">
        <f>IF(TrRoad_act!Q65=0,0,TrRoad_emi!Q62/TrRoad_tech!Q177)</f>
        <v>1.0235517641771239</v>
      </c>
      <c r="R204" s="91">
        <f>IF(TrRoad_act!R65=0,0,TrRoad_emi!R62/TrRoad_tech!R177)</f>
        <v>1.0372881046295934</v>
      </c>
      <c r="S204" s="91">
        <f>IF(TrRoad_act!S65=0,0,TrRoad_emi!S62/TrRoad_tech!S177)</f>
        <v>1.0401644948836768</v>
      </c>
      <c r="T204" s="91">
        <f>IF(TrRoad_act!T65=0,0,TrRoad_emi!T62/TrRoad_tech!T177)</f>
        <v>1.0265082026197478</v>
      </c>
      <c r="U204" s="91">
        <f>IF(TrRoad_act!U65=0,0,TrRoad_emi!U62/TrRoad_tech!U177)</f>
        <v>1.0383347819399651</v>
      </c>
      <c r="V204" s="91">
        <f>IF(TrRoad_act!V65=0,0,TrRoad_emi!V62/TrRoad_tech!V177)</f>
        <v>1.0280367255045517</v>
      </c>
      <c r="W204" s="91">
        <f>IF(TrRoad_act!W65=0,0,TrRoad_emi!W62/TrRoad_tech!W177)</f>
        <v>1.0713509099530392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1.2386855499456988</v>
      </c>
      <c r="C206" s="151">
        <f>IF(TrRoad_act!C67=0,0,TrRoad_emi!C64/TrRoad_tech!C179)</f>
        <v>1.2449677664413843</v>
      </c>
      <c r="D206" s="151">
        <f>IF(TrRoad_act!D67=0,0,TrRoad_emi!D64/TrRoad_tech!D179)</f>
        <v>1.2113269820625512</v>
      </c>
      <c r="E206" s="151">
        <f>IF(TrRoad_act!E67=0,0,TrRoad_emi!E64/TrRoad_tech!E179)</f>
        <v>1.2526486145155273</v>
      </c>
      <c r="F206" s="151">
        <f>IF(TrRoad_act!F67=0,0,TrRoad_emi!F64/TrRoad_tech!F179)</f>
        <v>1.2875869612267929</v>
      </c>
      <c r="G206" s="151">
        <f>IF(TrRoad_act!G67=0,0,TrRoad_emi!G64/TrRoad_tech!G179)</f>
        <v>1.2492963759867324</v>
      </c>
      <c r="H206" s="151">
        <f>IF(TrRoad_act!H67=0,0,TrRoad_emi!H64/TrRoad_tech!H179)</f>
        <v>1.2366113081234287</v>
      </c>
      <c r="I206" s="151">
        <f>IF(TrRoad_act!I67=0,0,TrRoad_emi!I64/TrRoad_tech!I179)</f>
        <v>1.1910895505538146</v>
      </c>
      <c r="J206" s="151">
        <f>IF(TrRoad_act!J67=0,0,TrRoad_emi!J64/TrRoad_tech!J179)</f>
        <v>1.1863274299101747</v>
      </c>
      <c r="K206" s="151">
        <f>IF(TrRoad_act!K67=0,0,TrRoad_emi!K64/TrRoad_tech!K179)</f>
        <v>1.1558856591396522</v>
      </c>
      <c r="L206" s="151">
        <f>IF(TrRoad_act!L67=0,0,TrRoad_emi!L64/TrRoad_tech!L179)</f>
        <v>1.1546113953274753</v>
      </c>
      <c r="M206" s="151">
        <f>IF(TrRoad_act!M67=0,0,TrRoad_emi!M64/TrRoad_tech!M179)</f>
        <v>1.1161538015507317</v>
      </c>
      <c r="N206" s="151">
        <f>IF(TrRoad_act!N67=0,0,TrRoad_emi!N64/TrRoad_tech!N179)</f>
        <v>1.0632867227940468</v>
      </c>
      <c r="O206" s="151">
        <f>IF(TrRoad_act!O67=0,0,TrRoad_emi!O64/TrRoad_tech!O179)</f>
        <v>1.0282137367555086</v>
      </c>
      <c r="P206" s="151">
        <f>IF(TrRoad_act!P67=0,0,TrRoad_emi!P64/TrRoad_tech!P179)</f>
        <v>0.97040176955199386</v>
      </c>
      <c r="Q206" s="151">
        <f>IF(TrRoad_act!Q67=0,0,TrRoad_emi!Q64/TrRoad_tech!Q179)</f>
        <v>0.91021618749728672</v>
      </c>
      <c r="R206" s="151">
        <f>IF(TrRoad_act!R67=0,0,TrRoad_emi!R64/TrRoad_tech!R179)</f>
        <v>0.78430568799255629</v>
      </c>
      <c r="S206" s="151">
        <f>IF(TrRoad_act!S67=0,0,TrRoad_emi!S64/TrRoad_tech!S179)</f>
        <v>0.75980322001147016</v>
      </c>
      <c r="T206" s="151">
        <f>IF(TrRoad_act!T67=0,0,TrRoad_emi!T64/TrRoad_tech!T179)</f>
        <v>0.72067273058546844</v>
      </c>
      <c r="U206" s="151">
        <f>IF(TrRoad_act!U67=0,0,TrRoad_emi!U64/TrRoad_tech!U179)</f>
        <v>0.80754414082124437</v>
      </c>
      <c r="V206" s="151">
        <f>IF(TrRoad_act!V67=0,0,TrRoad_emi!V64/TrRoad_tech!V179)</f>
        <v>0.83032674477447499</v>
      </c>
      <c r="W206" s="151">
        <f>IF(TrRoad_act!W67=0,0,TrRoad_emi!W64/TrRoad_tech!W179)</f>
        <v>0.83107071207516026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1.0968208654227958</v>
      </c>
      <c r="D207" s="93">
        <f>IF(TrRoad_act!D68=0,0,TrRoad_emi!D65/TrRoad_tech!D180)</f>
        <v>1.0925357460454557</v>
      </c>
      <c r="E207" s="93">
        <f>IF(TrRoad_act!E68=0,0,TrRoad_emi!E65/TrRoad_tech!E180)</f>
        <v>1.0841914955117506</v>
      </c>
      <c r="F207" s="93">
        <f>IF(TrRoad_act!F68=0,0,TrRoad_emi!F65/TrRoad_tech!F180)</f>
        <v>1.0695834893758513</v>
      </c>
      <c r="G207" s="93">
        <f>IF(TrRoad_act!G68=0,0,TrRoad_emi!G65/TrRoad_tech!G180)</f>
        <v>1.0633125405654191</v>
      </c>
      <c r="H207" s="93">
        <f>IF(TrRoad_act!H68=0,0,TrRoad_emi!H65/TrRoad_tech!H180)</f>
        <v>1.0608681111791429</v>
      </c>
      <c r="I207" s="93">
        <f>IF(TrRoad_act!I68=0,0,TrRoad_emi!I65/TrRoad_tech!I180)</f>
        <v>1.0561554935294686</v>
      </c>
      <c r="J207" s="93">
        <f>IF(TrRoad_act!J68=0,0,TrRoad_emi!J65/TrRoad_tech!J180)</f>
        <v>1.0477923058009884</v>
      </c>
      <c r="K207" s="93">
        <f>IF(TrRoad_act!K68=0,0,TrRoad_emi!K65/TrRoad_tech!K180)</f>
        <v>1.0580798412848904</v>
      </c>
      <c r="L207" s="93">
        <f>IF(TrRoad_act!L68=0,0,TrRoad_emi!L65/TrRoad_tech!L180)</f>
        <v>1.0719802636475206</v>
      </c>
      <c r="M207" s="93">
        <f>IF(TrRoad_act!M68=0,0,TrRoad_emi!M65/TrRoad_tech!M180)</f>
        <v>1.0980589665962825</v>
      </c>
      <c r="N207" s="93">
        <f>IF(TrRoad_act!N68=0,0,TrRoad_emi!N65/TrRoad_tech!N180)</f>
        <v>1.1049933412747797</v>
      </c>
      <c r="O207" s="93">
        <f>IF(TrRoad_act!O68=0,0,TrRoad_emi!O65/TrRoad_tech!O180)</f>
        <v>1.1211181987783356</v>
      </c>
      <c r="P207" s="93">
        <f>IF(TrRoad_act!P68=0,0,TrRoad_emi!P65/TrRoad_tech!P180)</f>
        <v>1.1293985951523942</v>
      </c>
      <c r="Q207" s="93">
        <f>IF(TrRoad_act!Q68=0,0,TrRoad_emi!Q65/TrRoad_tech!Q180)</f>
        <v>1.1405141449856409</v>
      </c>
      <c r="R207" s="93">
        <f>IF(TrRoad_act!R68=0,0,TrRoad_emi!R65/TrRoad_tech!R180)</f>
        <v>1.1737354450759192</v>
      </c>
      <c r="S207" s="93">
        <f>IF(TrRoad_act!S68=0,0,TrRoad_emi!S65/TrRoad_tech!S180)</f>
        <v>1.1818582525196304</v>
      </c>
      <c r="T207" s="93">
        <f>IF(TrRoad_act!T68=0,0,TrRoad_emi!T65/TrRoad_tech!T180)</f>
        <v>1.174809714194925</v>
      </c>
      <c r="U207" s="93">
        <f>IF(TrRoad_act!U68=0,0,TrRoad_emi!U65/TrRoad_tech!U180)</f>
        <v>1.1943785826976223</v>
      </c>
      <c r="V207" s="93">
        <f>IF(TrRoad_act!V68=0,0,TrRoad_emi!V65/TrRoad_tech!V180)</f>
        <v>1.1948765934698549</v>
      </c>
      <c r="W207" s="93">
        <f>IF(TrRoad_act!W68=0,0,TrRoad_emi!W65/TrRoad_tech!W180)</f>
        <v>1.1905239520376165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1.2456435539586455</v>
      </c>
      <c r="C208" s="93">
        <f>IF(TrRoad_act!C69=0,0,TrRoad_emi!C66/TrRoad_tech!C181)</f>
        <v>1.2573053600337283</v>
      </c>
      <c r="D208" s="93">
        <f>IF(TrRoad_act!D69=0,0,TrRoad_emi!D66/TrRoad_tech!D181)</f>
        <v>1.2336805543810041</v>
      </c>
      <c r="E208" s="93">
        <f>IF(TrRoad_act!E69=0,0,TrRoad_emi!E66/TrRoad_tech!E181)</f>
        <v>1.2691576488795842</v>
      </c>
      <c r="F208" s="93">
        <f>IF(TrRoad_act!F69=0,0,TrRoad_emi!F66/TrRoad_tech!F181)</f>
        <v>1.3090361658635656</v>
      </c>
      <c r="G208" s="93">
        <f>IF(TrRoad_act!G69=0,0,TrRoad_emi!G66/TrRoad_tech!G181)</f>
        <v>1.2433928606228726</v>
      </c>
      <c r="H208" s="93">
        <f>IF(TrRoad_act!H69=0,0,TrRoad_emi!H66/TrRoad_tech!H181)</f>
        <v>1.2411564699584343</v>
      </c>
      <c r="I208" s="93">
        <f>IF(TrRoad_act!I69=0,0,TrRoad_emi!I66/TrRoad_tech!I181)</f>
        <v>1.2081429057949065</v>
      </c>
      <c r="J208" s="93">
        <f>IF(TrRoad_act!J69=0,0,TrRoad_emi!J66/TrRoad_tech!J181)</f>
        <v>1.1987419844575602</v>
      </c>
      <c r="K208" s="93">
        <f>IF(TrRoad_act!K69=0,0,TrRoad_emi!K66/TrRoad_tech!K181)</f>
        <v>1.1793901986106601</v>
      </c>
      <c r="L208" s="93">
        <f>IF(TrRoad_act!L69=0,0,TrRoad_emi!L66/TrRoad_tech!L181)</f>
        <v>1.198696172303072</v>
      </c>
      <c r="M208" s="93">
        <f>IF(TrRoad_act!M69=0,0,TrRoad_emi!M66/TrRoad_tech!M181)</f>
        <v>1.176071347580625</v>
      </c>
      <c r="N208" s="93">
        <f>IF(TrRoad_act!N69=0,0,TrRoad_emi!N66/TrRoad_tech!N181)</f>
        <v>1.1225085505739503</v>
      </c>
      <c r="O208" s="93">
        <f>IF(TrRoad_act!O69=0,0,TrRoad_emi!O66/TrRoad_tech!O181)</f>
        <v>1.0734075226875397</v>
      </c>
      <c r="P208" s="93">
        <f>IF(TrRoad_act!P69=0,0,TrRoad_emi!P66/TrRoad_tech!P181)</f>
        <v>0.97656299166480176</v>
      </c>
      <c r="Q208" s="93">
        <f>IF(TrRoad_act!Q69=0,0,TrRoad_emi!Q66/TrRoad_tech!Q181)</f>
        <v>0.9477643857906084</v>
      </c>
      <c r="R208" s="93">
        <f>IF(TrRoad_act!R69=0,0,TrRoad_emi!R66/TrRoad_tech!R181)</f>
        <v>0.87725977658033438</v>
      </c>
      <c r="S208" s="93">
        <f>IF(TrRoad_act!S69=0,0,TrRoad_emi!S66/TrRoad_tech!S181)</f>
        <v>0.84580626136671488</v>
      </c>
      <c r="T208" s="93">
        <f>IF(TrRoad_act!T69=0,0,TrRoad_emi!T66/TrRoad_tech!T181)</f>
        <v>0.80713916883433012</v>
      </c>
      <c r="U208" s="93">
        <f>IF(TrRoad_act!U69=0,0,TrRoad_emi!U66/TrRoad_tech!U181)</f>
        <v>0.83822109094037078</v>
      </c>
      <c r="V208" s="93">
        <f>IF(TrRoad_act!V69=0,0,TrRoad_emi!V66/TrRoad_tech!V181)</f>
        <v>0.86816293731997407</v>
      </c>
      <c r="W208" s="93">
        <f>IF(TrRoad_act!W69=0,0,TrRoad_emi!W66/TrRoad_tech!W181)</f>
        <v>0.870550998163652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0.98456581742002114</v>
      </c>
      <c r="C210" s="93">
        <f>IF(TrRoad_act!C71=0,0,TrRoad_emi!C68/TrRoad_tech!C183)</f>
        <v>0.89281144618792674</v>
      </c>
      <c r="D210" s="93">
        <f>IF(TrRoad_act!D71=0,0,TrRoad_emi!D68/TrRoad_tech!D183)</f>
        <v>0.86171300676478124</v>
      </c>
      <c r="E210" s="93">
        <f>IF(TrRoad_act!E71=0,0,TrRoad_emi!E68/TrRoad_tech!E183)</f>
        <v>1.1381648987492314</v>
      </c>
      <c r="F210" s="93">
        <f>IF(TrRoad_act!F71=0,0,TrRoad_emi!F68/TrRoad_tech!F183)</f>
        <v>0.79092588981651879</v>
      </c>
      <c r="G210" s="93">
        <f>IF(TrRoad_act!G71=0,0,TrRoad_emi!G68/TrRoad_tech!G183)</f>
        <v>0.30077729157384187</v>
      </c>
      <c r="H210" s="93">
        <f>IF(TrRoad_act!H71=0,0,TrRoad_emi!H68/TrRoad_tech!H183)</f>
        <v>0.93826095956816247</v>
      </c>
      <c r="I210" s="93">
        <f>IF(TrRoad_act!I71=0,0,TrRoad_emi!I68/TrRoad_tech!I183)</f>
        <v>0.76007199366140576</v>
      </c>
      <c r="J210" s="93">
        <f>IF(TrRoad_act!J71=0,0,TrRoad_emi!J68/TrRoad_tech!J183)</f>
        <v>0.69576842485526325</v>
      </c>
      <c r="K210" s="93">
        <f>IF(TrRoad_act!K71=0,0,TrRoad_emi!K68/TrRoad_tech!K183)</f>
        <v>0.44890426376312909</v>
      </c>
      <c r="L210" s="93">
        <f>IF(TrRoad_act!L71=0,0,TrRoad_emi!L68/TrRoad_tech!L183)</f>
        <v>0.46878395682997409</v>
      </c>
      <c r="M210" s="93">
        <f>IF(TrRoad_act!M71=0,0,TrRoad_emi!M68/TrRoad_tech!M183)</f>
        <v>0.56065944956477809</v>
      </c>
      <c r="N210" s="93">
        <f>IF(TrRoad_act!N71=0,0,TrRoad_emi!N68/TrRoad_tech!N183)</f>
        <v>0.62033698056481912</v>
      </c>
      <c r="O210" s="93">
        <f>IF(TrRoad_act!O71=0,0,TrRoad_emi!O68/TrRoad_tech!O183)</f>
        <v>0.54044020304890827</v>
      </c>
      <c r="P210" s="93">
        <f>IF(TrRoad_act!P71=0,0,TrRoad_emi!P68/TrRoad_tech!P183)</f>
        <v>0.50806507409590451</v>
      </c>
      <c r="Q210" s="93">
        <f>IF(TrRoad_act!Q71=0,0,TrRoad_emi!Q68/TrRoad_tech!Q183)</f>
        <v>0.33239027165785973</v>
      </c>
      <c r="R210" s="93">
        <f>IF(TrRoad_act!R71=0,0,TrRoad_emi!R68/TrRoad_tech!R183)</f>
        <v>0.3369344159473403</v>
      </c>
      <c r="S210" s="93">
        <f>IF(TrRoad_act!S71=0,0,TrRoad_emi!S68/TrRoad_tech!S183)</f>
        <v>0.11591211368111787</v>
      </c>
      <c r="T210" s="93">
        <f>IF(TrRoad_act!T71=0,0,TrRoad_emi!T68/TrRoad_tech!T183)</f>
        <v>0.10488617993531342</v>
      </c>
      <c r="U210" s="93">
        <f>IF(TrRoad_act!U71=0,0,TrRoad_emi!U68/TrRoad_tech!U183)</f>
        <v>7.4130745078041377E-2</v>
      </c>
      <c r="V210" s="93">
        <f>IF(TrRoad_act!V71=0,0,TrRoad_emi!V68/TrRoad_tech!V183)</f>
        <v>6.7799633592568048E-2</v>
      </c>
      <c r="W210" s="93">
        <f>IF(TrRoad_act!W71=0,0,TrRoad_emi!W68/TrRoad_tech!W183)</f>
        <v>7.665806003927142E-2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1.1131517310414547</v>
      </c>
      <c r="C213" s="150">
        <f>IF(TrRoad_act!C74=0,0,TrRoad_emi!C71/TrRoad_tech!C186)</f>
        <v>1.0768040069053351</v>
      </c>
      <c r="D213" s="150">
        <f>IF(TrRoad_act!D74=0,0,TrRoad_emi!D71/TrRoad_tech!D186)</f>
        <v>1.0592358027921223</v>
      </c>
      <c r="E213" s="150">
        <f>IF(TrRoad_act!E74=0,0,TrRoad_emi!E71/TrRoad_tech!E186)</f>
        <v>1.0862308699259646</v>
      </c>
      <c r="F213" s="150">
        <f>IF(TrRoad_act!F74=0,0,TrRoad_emi!F71/TrRoad_tech!F186)</f>
        <v>1.1263783218713759</v>
      </c>
      <c r="G213" s="150">
        <f>IF(TrRoad_act!G74=0,0,TrRoad_emi!G71/TrRoad_tech!G186)</f>
        <v>1.1047399526953177</v>
      </c>
      <c r="H213" s="150">
        <f>IF(TrRoad_act!H74=0,0,TrRoad_emi!H71/TrRoad_tech!H186)</f>
        <v>1.1402161141038156</v>
      </c>
      <c r="I213" s="150">
        <f>IF(TrRoad_act!I74=0,0,TrRoad_emi!I71/TrRoad_tech!I186)</f>
        <v>1.1646901775604206</v>
      </c>
      <c r="J213" s="150">
        <f>IF(TrRoad_act!J74=0,0,TrRoad_emi!J71/TrRoad_tech!J186)</f>
        <v>1.204299626914525</v>
      </c>
      <c r="K213" s="150">
        <f>IF(TrRoad_act!K74=0,0,TrRoad_emi!K71/TrRoad_tech!K186)</f>
        <v>1.2318258585157831</v>
      </c>
      <c r="L213" s="150">
        <f>IF(TrRoad_act!L74=0,0,TrRoad_emi!L71/TrRoad_tech!L186)</f>
        <v>1.4131914040971632</v>
      </c>
      <c r="M213" s="150">
        <f>IF(TrRoad_act!M74=0,0,TrRoad_emi!M71/TrRoad_tech!M186)</f>
        <v>1.4322206325864195</v>
      </c>
      <c r="N213" s="150">
        <f>IF(TrRoad_act!N74=0,0,TrRoad_emi!N71/TrRoad_tech!N186)</f>
        <v>1.1522174416490867</v>
      </c>
      <c r="O213" s="150">
        <f>IF(TrRoad_act!O74=0,0,TrRoad_emi!O71/TrRoad_tech!O186)</f>
        <v>1.1182868389319887</v>
      </c>
      <c r="P213" s="150">
        <f>IF(TrRoad_act!P74=0,0,TrRoad_emi!P71/TrRoad_tech!P186)</f>
        <v>0.96974017278292646</v>
      </c>
      <c r="Q213" s="150">
        <f>IF(TrRoad_act!Q74=0,0,TrRoad_emi!Q71/TrRoad_tech!Q186)</f>
        <v>0.93647389236885126</v>
      </c>
      <c r="R213" s="150">
        <f>IF(TrRoad_act!R74=0,0,TrRoad_emi!R71/TrRoad_tech!R186)</f>
        <v>0.87088066566545708</v>
      </c>
      <c r="S213" s="150">
        <f>IF(TrRoad_act!S74=0,0,TrRoad_emi!S71/TrRoad_tech!S186)</f>
        <v>0.81130639411518413</v>
      </c>
      <c r="T213" s="150">
        <f>IF(TrRoad_act!T74=0,0,TrRoad_emi!T71/TrRoad_tech!T186)</f>
        <v>0.79006659856455275</v>
      </c>
      <c r="U213" s="150">
        <f>IF(TrRoad_act!U74=0,0,TrRoad_emi!U71/TrRoad_tech!U186)</f>
        <v>0.82516124758383658</v>
      </c>
      <c r="V213" s="150">
        <f>IF(TrRoad_act!V74=0,0,TrRoad_emi!V71/TrRoad_tech!V186)</f>
        <v>0.85117594809073305</v>
      </c>
      <c r="W213" s="150">
        <f>IF(TrRoad_act!W74=0,0,TrRoad_emi!W71/TrRoad_tech!W186)</f>
        <v>0.84879412144965083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1.0968102491312741</v>
      </c>
      <c r="D214" s="91">
        <f>IF(TrRoad_act!D75=0,0,TrRoad_emi!D72/TrRoad_tech!D187)</f>
        <v>1.0925226080112356</v>
      </c>
      <c r="E214" s="91">
        <f>IF(TrRoad_act!E75=0,0,TrRoad_emi!E72/TrRoad_tech!E187)</f>
        <v>1.08404834376571</v>
      </c>
      <c r="F214" s="91">
        <f>IF(TrRoad_act!F75=0,0,TrRoad_emi!F72/TrRoad_tech!F187)</f>
        <v>1.069481890090358</v>
      </c>
      <c r="G214" s="91">
        <f>IF(TrRoad_act!G75=0,0,TrRoad_emi!G72/TrRoad_tech!G187)</f>
        <v>1.0632720817185408</v>
      </c>
      <c r="H214" s="91">
        <f>IF(TrRoad_act!H75=0,0,TrRoad_emi!H72/TrRoad_tech!H187)</f>
        <v>1.0583625786445567</v>
      </c>
      <c r="I214" s="91">
        <f>IF(TrRoad_act!I75=0,0,TrRoad_emi!I72/TrRoad_tech!I187)</f>
        <v>1.0531657603740896</v>
      </c>
      <c r="J214" s="91">
        <f>IF(TrRoad_act!J75=0,0,TrRoad_emi!J72/TrRoad_tech!J187)</f>
        <v>1.0424321712912465</v>
      </c>
      <c r="K214" s="91">
        <f>IF(TrRoad_act!K75=0,0,TrRoad_emi!K72/TrRoad_tech!K187)</f>
        <v>1.0469493535672654</v>
      </c>
      <c r="L214" s="91">
        <f>IF(TrRoad_act!L75=0,0,TrRoad_emi!L72/TrRoad_tech!L187)</f>
        <v>1.0432295258136317</v>
      </c>
      <c r="M214" s="91">
        <f>IF(TrRoad_act!M75=0,0,TrRoad_emi!M72/TrRoad_tech!M187)</f>
        <v>1.0370649284424778</v>
      </c>
      <c r="N214" s="91">
        <f>IF(TrRoad_act!N75=0,0,TrRoad_emi!N72/TrRoad_tech!N187)</f>
        <v>1.0357025188990137</v>
      </c>
      <c r="O214" s="91">
        <f>IF(TrRoad_act!O75=0,0,TrRoad_emi!O72/TrRoad_tech!O187)</f>
        <v>1.0434080229533926</v>
      </c>
      <c r="P214" s="91">
        <f>IF(TrRoad_act!P75=0,0,TrRoad_emi!P72/TrRoad_tech!P187)</f>
        <v>1.0494313689970904</v>
      </c>
      <c r="Q214" s="91">
        <f>IF(TrRoad_act!Q75=0,0,TrRoad_emi!Q72/TrRoad_tech!Q187)</f>
        <v>1.0623375506399082</v>
      </c>
      <c r="R214" s="91">
        <f>IF(TrRoad_act!R75=0,0,TrRoad_emi!R72/TrRoad_tech!R187)</f>
        <v>1.0771421795168328</v>
      </c>
      <c r="S214" s="91">
        <f>IF(TrRoad_act!S75=0,0,TrRoad_emi!S72/TrRoad_tech!S187)</f>
        <v>1.0835806241610406</v>
      </c>
      <c r="T214" s="91">
        <f>IF(TrRoad_act!T75=0,0,TrRoad_emi!T72/TrRoad_tech!T187)</f>
        <v>1.0813957551047317</v>
      </c>
      <c r="U214" s="91">
        <f>IF(TrRoad_act!U75=0,0,TrRoad_emi!U72/TrRoad_tech!U187)</f>
        <v>1.1127286799926739</v>
      </c>
      <c r="V214" s="91">
        <f>IF(TrRoad_act!V75=0,0,TrRoad_emi!V72/TrRoad_tech!V187)</f>
        <v>1.1200880127435289</v>
      </c>
      <c r="W214" s="91">
        <f>IF(TrRoad_act!W75=0,0,TrRoad_emi!W72/TrRoad_tech!W187)</f>
        <v>1.1229283522445574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1.245643553958645</v>
      </c>
      <c r="C215" s="91">
        <f>IF(TrRoad_act!C76=0,0,TrRoad_emi!C73/TrRoad_tech!C188)</f>
        <v>1.2573571342382364</v>
      </c>
      <c r="D215" s="91">
        <f>IF(TrRoad_act!D76=0,0,TrRoad_emi!D73/TrRoad_tech!D188)</f>
        <v>1.23345744213219</v>
      </c>
      <c r="E215" s="91">
        <f>IF(TrRoad_act!E76=0,0,TrRoad_emi!E73/TrRoad_tech!E188)</f>
        <v>1.2683614836811572</v>
      </c>
      <c r="F215" s="91">
        <f>IF(TrRoad_act!F76=0,0,TrRoad_emi!F73/TrRoad_tech!F188)</f>
        <v>1.3074775951340007</v>
      </c>
      <c r="G215" s="91">
        <f>IF(TrRoad_act!G76=0,0,TrRoad_emi!G73/TrRoad_tech!G188)</f>
        <v>1.2405843809223893</v>
      </c>
      <c r="H215" s="91">
        <f>IF(TrRoad_act!H76=0,0,TrRoad_emi!H73/TrRoad_tech!H188)</f>
        <v>1.2366124488452725</v>
      </c>
      <c r="I215" s="91">
        <f>IF(TrRoad_act!I76=0,0,TrRoad_emi!I73/TrRoad_tech!I188)</f>
        <v>1.2028111927258818</v>
      </c>
      <c r="J215" s="91">
        <f>IF(TrRoad_act!J76=0,0,TrRoad_emi!J73/TrRoad_tech!J188)</f>
        <v>1.1910895187769952</v>
      </c>
      <c r="K215" s="91">
        <f>IF(TrRoad_act!K76=0,0,TrRoad_emi!K73/TrRoad_tech!K188)</f>
        <v>1.1680838129234348</v>
      </c>
      <c r="L215" s="91">
        <f>IF(TrRoad_act!L76=0,0,TrRoad_emi!L73/TrRoad_tech!L188)</f>
        <v>1.1785761099872165</v>
      </c>
      <c r="M215" s="91">
        <f>IF(TrRoad_act!M76=0,0,TrRoad_emi!M73/TrRoad_tech!M188)</f>
        <v>1.1485216695275049</v>
      </c>
      <c r="N215" s="91">
        <f>IF(TrRoad_act!N76=0,0,TrRoad_emi!N73/TrRoad_tech!N188)</f>
        <v>1.091906680722071</v>
      </c>
      <c r="O215" s="91">
        <f>IF(TrRoad_act!O76=0,0,TrRoad_emi!O73/TrRoad_tech!O188)</f>
        <v>1.0414913057023929</v>
      </c>
      <c r="P215" s="91">
        <f>IF(TrRoad_act!P76=0,0,TrRoad_emi!P73/TrRoad_tech!P188)</f>
        <v>0.94770980020855544</v>
      </c>
      <c r="Q215" s="91">
        <f>IF(TrRoad_act!Q76=0,0,TrRoad_emi!Q73/TrRoad_tech!Q188)</f>
        <v>0.92019610878936642</v>
      </c>
      <c r="R215" s="91">
        <f>IF(TrRoad_act!R76=0,0,TrRoad_emi!R73/TrRoad_tech!R188)</f>
        <v>0.84777391395663881</v>
      </c>
      <c r="S215" s="91">
        <f>IF(TrRoad_act!S76=0,0,TrRoad_emi!S73/TrRoad_tech!S188)</f>
        <v>0.82099819521154249</v>
      </c>
      <c r="T215" s="91">
        <f>IF(TrRoad_act!T76=0,0,TrRoad_emi!T73/TrRoad_tech!T188)</f>
        <v>0.78821699617123409</v>
      </c>
      <c r="U215" s="91">
        <f>IF(TrRoad_act!U76=0,0,TrRoad_emi!U73/TrRoad_tech!U188)</f>
        <v>0.82306028765016437</v>
      </c>
      <c r="V215" s="91">
        <f>IF(TrRoad_act!V76=0,0,TrRoad_emi!V73/TrRoad_tech!V188)</f>
        <v>0.83791618529797518</v>
      </c>
      <c r="W215" s="91">
        <f>IF(TrRoad_act!W76=0,0,TrRoad_emi!W73/TrRoad_tech!W188)</f>
        <v>0.84140626183385014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0</v>
      </c>
      <c r="T216" s="91">
        <f>IF(TrRoad_act!T77=0,0,TrRoad_emi!T74/TrRoad_tech!T189)</f>
        <v>0</v>
      </c>
      <c r="U216" s="91">
        <f>IF(TrRoad_act!U77=0,0,TrRoad_emi!U74/TrRoad_tech!U189)</f>
        <v>0</v>
      </c>
      <c r="V216" s="91">
        <f>IF(TrRoad_act!V77=0,0,TrRoad_emi!V74/TrRoad_tech!V189)</f>
        <v>0</v>
      </c>
      <c r="W216" s="91">
        <f>IF(TrRoad_act!W77=0,0,TrRoad_emi!W74/TrRoad_tech!W189)</f>
        <v>0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1.1040000000061811</v>
      </c>
      <c r="D217" s="91">
        <f>IF(TrRoad_act!D78=0,0,TrRoad_emi!D75/TrRoad_tech!D190)</f>
        <v>1.1084203273951356</v>
      </c>
      <c r="E217" s="91">
        <f>IF(TrRoad_act!E78=0,0,TrRoad_emi!E75/TrRoad_tech!E190)</f>
        <v>1.1131919390520539</v>
      </c>
      <c r="F217" s="91">
        <f>IF(TrRoad_act!F78=0,0,TrRoad_emi!F75/TrRoad_tech!F190)</f>
        <v>1.1171730101179238</v>
      </c>
      <c r="G217" s="91">
        <f>IF(TrRoad_act!G78=0,0,TrRoad_emi!G75/TrRoad_tech!G190)</f>
        <v>1.1260644736429146</v>
      </c>
      <c r="H217" s="91">
        <f>IF(TrRoad_act!H78=0,0,TrRoad_emi!H75/TrRoad_tech!H190)</f>
        <v>1.1375476069437462</v>
      </c>
      <c r="I217" s="91">
        <f>IF(TrRoad_act!I78=0,0,TrRoad_emi!I75/TrRoad_tech!I190)</f>
        <v>1.1483370281399889</v>
      </c>
      <c r="J217" s="91">
        <f>IF(TrRoad_act!J78=0,0,TrRoad_emi!J75/TrRoad_tech!J190)</f>
        <v>0.65409211110332388</v>
      </c>
      <c r="K217" s="91">
        <f>IF(TrRoad_act!K78=0,0,TrRoad_emi!K75/TrRoad_tech!K190)</f>
        <v>0.58170782205074745</v>
      </c>
      <c r="L217" s="91">
        <f>IF(TrRoad_act!L78=0,0,TrRoad_emi!L75/TrRoad_tech!L190)</f>
        <v>0.71292181506779817</v>
      </c>
      <c r="M217" s="91">
        <f>IF(TrRoad_act!M78=0,0,TrRoad_emi!M75/TrRoad_tech!M190)</f>
        <v>0.48703529624945308</v>
      </c>
      <c r="N217" s="91">
        <f>IF(TrRoad_act!N78=0,0,TrRoad_emi!N75/TrRoad_tech!N190)</f>
        <v>0.52321464139203777</v>
      </c>
      <c r="O217" s="91">
        <f>IF(TrRoad_act!O78=0,0,TrRoad_emi!O75/TrRoad_tech!O190)</f>
        <v>0.50400442924282363</v>
      </c>
      <c r="P217" s="91">
        <f>IF(TrRoad_act!P78=0,0,TrRoad_emi!P75/TrRoad_tech!P190)</f>
        <v>0.46663143322845463</v>
      </c>
      <c r="Q217" s="91">
        <f>IF(TrRoad_act!Q78=0,0,TrRoad_emi!Q75/TrRoad_tech!Q190)</f>
        <v>0.32772954584285269</v>
      </c>
      <c r="R217" s="91">
        <f>IF(TrRoad_act!R78=0,0,TrRoad_emi!R75/TrRoad_tech!R190)</f>
        <v>0.3400756525899119</v>
      </c>
      <c r="S217" s="91">
        <f>IF(TrRoad_act!S78=0,0,TrRoad_emi!S75/TrRoad_tech!S190)</f>
        <v>0.1371841770442673</v>
      </c>
      <c r="T217" s="91">
        <f>IF(TrRoad_act!T78=0,0,TrRoad_emi!T75/TrRoad_tech!T190)</f>
        <v>0.11502249035863769</v>
      </c>
      <c r="U217" s="91">
        <f>IF(TrRoad_act!U78=0,0,TrRoad_emi!U75/TrRoad_tech!U190)</f>
        <v>0.10782910563772297</v>
      </c>
      <c r="V217" s="91">
        <f>IF(TrRoad_act!V78=0,0,TrRoad_emi!V75/TrRoad_tech!V190)</f>
        <v>0.11790755674883154</v>
      </c>
      <c r="W217" s="91">
        <f>IF(TrRoad_act!W78=0,0,TrRoad_emi!W75/TrRoad_tech!W190)</f>
        <v>0.14413091436891501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1.3712372149371097</v>
      </c>
      <c r="C219" s="151">
        <f>IF(TrRoad_act!C80=0,0,TrRoad_emi!C77/TrRoad_tech!C192)</f>
        <v>1.3800419190196627</v>
      </c>
      <c r="D219" s="151">
        <f>IF(TrRoad_act!D80=0,0,TrRoad_emi!D77/TrRoad_tech!D192)</f>
        <v>1.3401732159261188</v>
      </c>
      <c r="E219" s="151">
        <f>IF(TrRoad_act!E80=0,0,TrRoad_emi!E77/TrRoad_tech!E192)</f>
        <v>1.4047309713869585</v>
      </c>
      <c r="F219" s="151">
        <f>IF(TrRoad_act!F80=0,0,TrRoad_emi!F77/TrRoad_tech!F192)</f>
        <v>1.4696458243096402</v>
      </c>
      <c r="G219" s="151">
        <f>IF(TrRoad_act!G80=0,0,TrRoad_emi!G77/TrRoad_tech!G192)</f>
        <v>1.3508314525190568</v>
      </c>
      <c r="H219" s="151">
        <f>IF(TrRoad_act!H80=0,0,TrRoad_emi!H77/TrRoad_tech!H192)</f>
        <v>1.3609571561791245</v>
      </c>
      <c r="I219" s="151">
        <f>IF(TrRoad_act!I80=0,0,TrRoad_emi!I77/TrRoad_tech!I192)</f>
        <v>1.3249478593387856</v>
      </c>
      <c r="J219" s="151">
        <f>IF(TrRoad_act!J80=0,0,TrRoad_emi!J77/TrRoad_tech!J192)</f>
        <v>1.3125288922692757</v>
      </c>
      <c r="K219" s="151">
        <f>IF(TrRoad_act!K80=0,0,TrRoad_emi!K77/TrRoad_tech!K192)</f>
        <v>1.3051001980870445</v>
      </c>
      <c r="L219" s="151">
        <f>IF(TrRoad_act!L80=0,0,TrRoad_emi!L77/TrRoad_tech!L192)</f>
        <v>1.3488226075972121</v>
      </c>
      <c r="M219" s="151">
        <f>IF(TrRoad_act!M80=0,0,TrRoad_emi!M77/TrRoad_tech!M192)</f>
        <v>1.3330242846737852</v>
      </c>
      <c r="N219" s="151">
        <f>IF(TrRoad_act!N80=0,0,TrRoad_emi!N77/TrRoad_tech!N192)</f>
        <v>1.2456606440718367</v>
      </c>
      <c r="O219" s="151">
        <f>IF(TrRoad_act!O80=0,0,TrRoad_emi!O77/TrRoad_tech!O192)</f>
        <v>1.1616007932540966</v>
      </c>
      <c r="P219" s="151">
        <f>IF(TrRoad_act!P80=0,0,TrRoad_emi!P77/TrRoad_tech!P192)</f>
        <v>0.96346842637369678</v>
      </c>
      <c r="Q219" s="151">
        <f>IF(TrRoad_act!Q80=0,0,TrRoad_emi!Q77/TrRoad_tech!Q192)</f>
        <v>0.91839443466463688</v>
      </c>
      <c r="R219" s="151">
        <f>IF(TrRoad_act!R80=0,0,TrRoad_emi!R77/TrRoad_tech!R192)</f>
        <v>0.79927350553656362</v>
      </c>
      <c r="S219" s="151">
        <f>IF(TrRoad_act!S80=0,0,TrRoad_emi!S77/TrRoad_tech!S192)</f>
        <v>0.78685279303771916</v>
      </c>
      <c r="T219" s="151">
        <f>IF(TrRoad_act!T80=0,0,TrRoad_emi!T77/TrRoad_tech!T192)</f>
        <v>0.7092846770827721</v>
      </c>
      <c r="U219" s="151">
        <f>IF(TrRoad_act!U80=0,0,TrRoad_emi!U77/TrRoad_tech!U192)</f>
        <v>0.75604944593623669</v>
      </c>
      <c r="V219" s="151">
        <f>IF(TrRoad_act!V80=0,0,TrRoad_emi!V77/TrRoad_tech!V192)</f>
        <v>0.81649287275773863</v>
      </c>
      <c r="W219" s="151">
        <f>IF(TrRoad_act!W80=0,0,TrRoad_emi!W77/TrRoad_tech!W192)</f>
        <v>0.83922685706235001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1.447636124318799</v>
      </c>
      <c r="C220" s="93">
        <f>IF(TrRoad_act!C81=0,0,TrRoad_emi!C78/TrRoad_tech!C193)</f>
        <v>1.4576659178934877</v>
      </c>
      <c r="D220" s="93">
        <f>IF(TrRoad_act!D81=0,0,TrRoad_emi!D78/TrRoad_tech!D193)</f>
        <v>1.4170988727613547</v>
      </c>
      <c r="E220" s="93">
        <f>IF(TrRoad_act!E81=0,0,TrRoad_emi!E78/TrRoad_tech!E193)</f>
        <v>1.4859679907419587</v>
      </c>
      <c r="F220" s="93">
        <f>IF(TrRoad_act!F81=0,0,TrRoad_emi!F78/TrRoad_tech!F193)</f>
        <v>1.5553953295977774</v>
      </c>
      <c r="G220" s="93">
        <f>IF(TrRoad_act!G81=0,0,TrRoad_emi!G78/TrRoad_tech!G193)</f>
        <v>1.4313069202928626</v>
      </c>
      <c r="H220" s="93">
        <f>IF(TrRoad_act!H81=0,0,TrRoad_emi!H78/TrRoad_tech!H193)</f>
        <v>1.4415026038806584</v>
      </c>
      <c r="I220" s="93">
        <f>IF(TrRoad_act!I81=0,0,TrRoad_emi!I78/TrRoad_tech!I193)</f>
        <v>1.4040643790554224</v>
      </c>
      <c r="J220" s="93">
        <f>IF(TrRoad_act!J81=0,0,TrRoad_emi!J78/TrRoad_tech!J193)</f>
        <v>1.3920625594878024</v>
      </c>
      <c r="K220" s="93">
        <f>IF(TrRoad_act!K81=0,0,TrRoad_emi!K78/TrRoad_tech!K193)</f>
        <v>1.3849802868472629</v>
      </c>
      <c r="L220" s="93">
        <f>IF(TrRoad_act!L81=0,0,TrRoad_emi!L78/TrRoad_tech!L193)</f>
        <v>1.4293258957350694</v>
      </c>
      <c r="M220" s="93">
        <f>IF(TrRoad_act!M81=0,0,TrRoad_emi!M78/TrRoad_tech!M193)</f>
        <v>1.4109768414556001</v>
      </c>
      <c r="N220" s="93">
        <f>IF(TrRoad_act!N81=0,0,TrRoad_emi!N78/TrRoad_tech!N193)</f>
        <v>1.3162433717035371</v>
      </c>
      <c r="O220" s="93">
        <f>IF(TrRoad_act!O81=0,0,TrRoad_emi!O78/TrRoad_tech!O193)</f>
        <v>1.2242258753567932</v>
      </c>
      <c r="P220" s="93">
        <f>IF(TrRoad_act!P81=0,0,TrRoad_emi!P78/TrRoad_tech!P193)</f>
        <v>1.0191413360159862</v>
      </c>
      <c r="Q220" s="93">
        <f>IF(TrRoad_act!Q81=0,0,TrRoad_emi!Q78/TrRoad_tech!Q193)</f>
        <v>0.96857216240932398</v>
      </c>
      <c r="R220" s="93">
        <f>IF(TrRoad_act!R81=0,0,TrRoad_emi!R78/TrRoad_tech!R193)</f>
        <v>0.84099977201218967</v>
      </c>
      <c r="S220" s="93">
        <f>IF(TrRoad_act!S81=0,0,TrRoad_emi!S78/TrRoad_tech!S193)</f>
        <v>0.82694247740182425</v>
      </c>
      <c r="T220" s="93">
        <f>IF(TrRoad_act!T81=0,0,TrRoad_emi!T78/TrRoad_tech!T193)</f>
        <v>0.74411071824696362</v>
      </c>
      <c r="U220" s="93">
        <f>IF(TrRoad_act!U81=0,0,TrRoad_emi!U78/TrRoad_tech!U193)</f>
        <v>0.79249073193494701</v>
      </c>
      <c r="V220" s="93">
        <f>IF(TrRoad_act!V81=0,0,TrRoad_emi!V78/TrRoad_tech!V193)</f>
        <v>0.8532681115378089</v>
      </c>
      <c r="W220" s="93">
        <f>IF(TrRoad_act!W81=0,0,TrRoad_emi!W78/TrRoad_tech!W193)</f>
        <v>0.87450915894989623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1.4476361243187978</v>
      </c>
      <c r="C221" s="94">
        <f>IF(TrRoad_act!C82=0,0,TrRoad_emi!C79/TrRoad_tech!C194)</f>
        <v>1.4581173849164928</v>
      </c>
      <c r="D221" s="94">
        <f>IF(TrRoad_act!D82=0,0,TrRoad_emi!D79/TrRoad_tech!D194)</f>
        <v>1.4184696520728624</v>
      </c>
      <c r="E221" s="94">
        <f>IF(TrRoad_act!E82=0,0,TrRoad_emi!E79/TrRoad_tech!E194)</f>
        <v>1.488701689129623</v>
      </c>
      <c r="F221" s="94">
        <f>IF(TrRoad_act!F82=0,0,TrRoad_emi!F79/TrRoad_tech!F194)</f>
        <v>1.5636750568454032</v>
      </c>
      <c r="G221" s="94">
        <f>IF(TrRoad_act!G82=0,0,TrRoad_emi!G79/TrRoad_tech!G194)</f>
        <v>1.4406417776271403</v>
      </c>
      <c r="H221" s="94">
        <f>IF(TrRoad_act!H82=0,0,TrRoad_emi!H79/TrRoad_tech!H194)</f>
        <v>1.4528425086064947</v>
      </c>
      <c r="I221" s="94">
        <f>IF(TrRoad_act!I82=0,0,TrRoad_emi!I79/TrRoad_tech!I194)</f>
        <v>1.4151808383870264</v>
      </c>
      <c r="J221" s="94">
        <f>IF(TrRoad_act!J82=0,0,TrRoad_emi!J79/TrRoad_tech!J194)</f>
        <v>1.4021414986350782</v>
      </c>
      <c r="K221" s="94">
        <f>IF(TrRoad_act!K82=0,0,TrRoad_emi!K79/TrRoad_tech!K194)</f>
        <v>1.3918128288819827</v>
      </c>
      <c r="L221" s="94">
        <f>IF(TrRoad_act!L82=0,0,TrRoad_emi!L79/TrRoad_tech!L194)</f>
        <v>1.4420864243293514</v>
      </c>
      <c r="M221" s="94">
        <f>IF(TrRoad_act!M82=0,0,TrRoad_emi!M79/TrRoad_tech!M194)</f>
        <v>1.4194344205773215</v>
      </c>
      <c r="N221" s="94">
        <f>IF(TrRoad_act!N82=0,0,TrRoad_emi!N79/TrRoad_tech!N194)</f>
        <v>1.3239891661072494</v>
      </c>
      <c r="O221" s="94">
        <f>IF(TrRoad_act!O82=0,0,TrRoad_emi!O79/TrRoad_tech!O194)</f>
        <v>1.2401095324263516</v>
      </c>
      <c r="P221" s="94">
        <f>IF(TrRoad_act!P82=0,0,TrRoad_emi!P79/TrRoad_tech!P194)</f>
        <v>1.0327364391902583</v>
      </c>
      <c r="Q221" s="94">
        <f>IF(TrRoad_act!Q82=0,0,TrRoad_emi!Q79/TrRoad_tech!Q194)</f>
        <v>0.99424330321468268</v>
      </c>
      <c r="R221" s="94">
        <f>IF(TrRoad_act!R82=0,0,TrRoad_emi!R79/TrRoad_tech!R194)</f>
        <v>0.86672567100196152</v>
      </c>
      <c r="S221" s="94">
        <f>IF(TrRoad_act!S82=0,0,TrRoad_emi!S79/TrRoad_tech!S194)</f>
        <v>0.85136273437711074</v>
      </c>
      <c r="T221" s="94">
        <f>IF(TrRoad_act!T82=0,0,TrRoad_emi!T79/TrRoad_tech!T194)</f>
        <v>0.77159242804357453</v>
      </c>
      <c r="U221" s="94">
        <f>IF(TrRoad_act!U82=0,0,TrRoad_emi!U79/TrRoad_tech!U194)</f>
        <v>0.81915414659082864</v>
      </c>
      <c r="V221" s="94">
        <f>IF(TrRoad_act!V82=0,0,TrRoad_emi!V79/TrRoad_tech!V194)</f>
        <v>0.88688210350822905</v>
      </c>
      <c r="W221" s="94">
        <f>IF(TrRoad_act!W82=0,0,TrRoad_emi!W79/TrRoad_tech!W194)</f>
        <v>0.91429289965484328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117.11930351581749</v>
      </c>
      <c r="C225" s="152">
        <v>117.11930351581749</v>
      </c>
      <c r="D225" s="152">
        <v>117.11930351581749</v>
      </c>
      <c r="E225" s="152">
        <v>115.81223300444229</v>
      </c>
      <c r="F225" s="152">
        <v>115.81223300444229</v>
      </c>
      <c r="G225" s="152">
        <v>113.19809198169187</v>
      </c>
      <c r="H225" s="152">
        <v>110.58395095894151</v>
      </c>
      <c r="I225" s="152">
        <v>109.27688044756628</v>
      </c>
      <c r="J225" s="152">
        <v>102.74152789069029</v>
      </c>
      <c r="K225" s="152">
        <v>96.206175333814315</v>
      </c>
      <c r="L225" s="152">
        <v>93.592034311063927</v>
      </c>
      <c r="M225" s="152">
        <v>88.134073505978634</v>
      </c>
      <c r="N225" s="152">
        <v>83.023942715671737</v>
      </c>
      <c r="O225" s="152">
        <v>78.921946736771091</v>
      </c>
      <c r="P225" s="152">
        <v>76.058611203283604</v>
      </c>
      <c r="Q225" s="152">
        <v>73.253805603008999</v>
      </c>
      <c r="R225" s="152">
        <v>70.794446865481959</v>
      </c>
      <c r="S225" s="152">
        <v>68.826959875460332</v>
      </c>
      <c r="T225" s="152">
        <v>67.252970283443034</v>
      </c>
      <c r="U225" s="152">
        <v>65.993778609829192</v>
      </c>
      <c r="V225" s="152">
        <v>64.986425270938113</v>
      </c>
      <c r="W225" s="152">
        <v>64.180542599825259</v>
      </c>
      <c r="DA225" s="174" t="s">
        <v>931</v>
      </c>
    </row>
    <row r="226" spans="1:105" ht="11.45" customHeight="1" x14ac:dyDescent="0.25">
      <c r="A226" s="109" t="s">
        <v>20</v>
      </c>
      <c r="B226" s="116">
        <v>242.69333162581162</v>
      </c>
      <c r="C226" s="116">
        <v>243.01023328738049</v>
      </c>
      <c r="D226" s="116">
        <v>243.10425220244377</v>
      </c>
      <c r="E226" s="116">
        <v>240.52385796720108</v>
      </c>
      <c r="F226" s="116">
        <v>240.450227455083</v>
      </c>
      <c r="G226" s="116">
        <v>234.98791691759672</v>
      </c>
      <c r="H226" s="116">
        <v>229.32607481588747</v>
      </c>
      <c r="I226" s="116">
        <v>223.78696526334068</v>
      </c>
      <c r="J226" s="116">
        <v>210.57422876796306</v>
      </c>
      <c r="K226" s="116">
        <v>197.77601892970631</v>
      </c>
      <c r="L226" s="116">
        <v>187.56309683785483</v>
      </c>
      <c r="M226" s="116">
        <v>175.97651309705816</v>
      </c>
      <c r="N226" s="116">
        <v>170.02687220493598</v>
      </c>
      <c r="O226" s="116">
        <v>166.84526812254413</v>
      </c>
      <c r="P226" s="116">
        <v>163.82811585844809</v>
      </c>
      <c r="Q226" s="116">
        <v>158.04075140896802</v>
      </c>
      <c r="R226" s="116">
        <v>153.29702244629124</v>
      </c>
      <c r="S226" s="116">
        <v>152.6633245264118</v>
      </c>
      <c r="T226" s="116">
        <v>152.11792583095485</v>
      </c>
      <c r="U226" s="116">
        <v>145.96580282576389</v>
      </c>
      <c r="V226" s="116">
        <v>118.8182947113892</v>
      </c>
      <c r="W226" s="116">
        <v>100.57574222999223</v>
      </c>
      <c r="DA226" s="176" t="s">
        <v>932</v>
      </c>
    </row>
    <row r="227" spans="1:105" ht="11.45" customHeight="1" x14ac:dyDescent="0.25">
      <c r="A227" s="111" t="s">
        <v>110</v>
      </c>
      <c r="B227" s="87">
        <v>244.27530042330255</v>
      </c>
      <c r="C227" s="87">
        <v>244.27530042330255</v>
      </c>
      <c r="D227" s="87">
        <v>244.27530042330255</v>
      </c>
      <c r="E227" s="87">
        <v>241.36726113254895</v>
      </c>
      <c r="F227" s="87">
        <v>241.36726113254898</v>
      </c>
      <c r="G227" s="87">
        <v>235.55118255104179</v>
      </c>
      <c r="H227" s="87">
        <v>229.73510396953458</v>
      </c>
      <c r="I227" s="87">
        <v>226.82706467878091</v>
      </c>
      <c r="J227" s="87">
        <v>212.28686822501294</v>
      </c>
      <c r="K227" s="87">
        <v>197.74667177124493</v>
      </c>
      <c r="L227" s="87">
        <v>191.51082754554213</v>
      </c>
      <c r="M227" s="87">
        <v>176.64512428993197</v>
      </c>
      <c r="N227" s="87">
        <v>167.49506502127724</v>
      </c>
      <c r="O227" s="87">
        <v>159.30031231921978</v>
      </c>
      <c r="P227" s="87">
        <v>155.06975936042664</v>
      </c>
      <c r="Q227" s="87">
        <v>150.53428867664238</v>
      </c>
      <c r="R227" s="87">
        <v>148.15155710954397</v>
      </c>
      <c r="S227" s="87">
        <v>149.81632208799454</v>
      </c>
      <c r="T227" s="87">
        <v>155.21402081840779</v>
      </c>
      <c r="U227" s="87">
        <v>155.07906243202089</v>
      </c>
      <c r="V227" s="87">
        <v>147.40894513576879</v>
      </c>
      <c r="W227" s="87">
        <v>140.0248381834447</v>
      </c>
      <c r="DA227" s="171" t="s">
        <v>933</v>
      </c>
    </row>
    <row r="228" spans="1:105" ht="11.45" customHeight="1" x14ac:dyDescent="0.25">
      <c r="A228" s="111" t="s">
        <v>111</v>
      </c>
      <c r="B228" s="87">
        <v>215.42645449493099</v>
      </c>
      <c r="C228" s="87">
        <v>221.20548580297228</v>
      </c>
      <c r="D228" s="87">
        <v>227.80863463291172</v>
      </c>
      <c r="E228" s="87">
        <v>231.11020904788145</v>
      </c>
      <c r="F228" s="87">
        <v>231.11020904788145</v>
      </c>
      <c r="G228" s="87">
        <v>231.11020904788145</v>
      </c>
      <c r="H228" s="87">
        <v>227.80863463291178</v>
      </c>
      <c r="I228" s="87">
        <v>217.90391138800248</v>
      </c>
      <c r="J228" s="87">
        <v>207.99918814309331</v>
      </c>
      <c r="K228" s="87">
        <v>198.0944648981841</v>
      </c>
      <c r="L228" s="87">
        <v>184.88816723830516</v>
      </c>
      <c r="M228" s="87">
        <v>176.27968428844514</v>
      </c>
      <c r="N228" s="87">
        <v>171.25938887650858</v>
      </c>
      <c r="O228" s="87">
        <v>172.57070458479615</v>
      </c>
      <c r="P228" s="87">
        <v>173.33918300030862</v>
      </c>
      <c r="Q228" s="87">
        <v>168.92972881816519</v>
      </c>
      <c r="R228" s="87">
        <v>166.04287230106877</v>
      </c>
      <c r="S228" s="87">
        <v>167.23141123172928</v>
      </c>
      <c r="T228" s="87">
        <v>170.47660192326001</v>
      </c>
      <c r="U228" s="87">
        <v>169.0963124610314</v>
      </c>
      <c r="V228" s="87">
        <v>165.14897554307049</v>
      </c>
      <c r="W228" s="87">
        <v>160.07893288067169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247.01371082897083</v>
      </c>
      <c r="H229" s="87">
        <v>0</v>
      </c>
      <c r="I229" s="87">
        <v>0</v>
      </c>
      <c r="J229" s="87">
        <v>233.66788070127976</v>
      </c>
      <c r="K229" s="87">
        <v>218.22717735618411</v>
      </c>
      <c r="L229" s="87">
        <v>0</v>
      </c>
      <c r="M229" s="87">
        <v>195.34700637014274</v>
      </c>
      <c r="N229" s="87">
        <v>191.28754976496367</v>
      </c>
      <c r="O229" s="87">
        <v>135.6237072556263</v>
      </c>
      <c r="P229" s="87">
        <v>135.38523790345451</v>
      </c>
      <c r="Q229" s="87">
        <v>134.99737001960784</v>
      </c>
      <c r="R229" s="87">
        <v>0</v>
      </c>
      <c r="S229" s="87">
        <v>0</v>
      </c>
      <c r="T229" s="87">
        <v>0</v>
      </c>
      <c r="U229" s="87">
        <v>0</v>
      </c>
      <c r="V229" s="87">
        <v>0</v>
      </c>
      <c r="W229" s="87">
        <v>0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211.08557314035451</v>
      </c>
      <c r="E230" s="87">
        <v>208.57264965058843</v>
      </c>
      <c r="F230" s="87">
        <v>208.57264965058843</v>
      </c>
      <c r="G230" s="87">
        <v>203.54680267105613</v>
      </c>
      <c r="H230" s="87">
        <v>198.52095569152397</v>
      </c>
      <c r="I230" s="87">
        <v>196.00803220175777</v>
      </c>
      <c r="J230" s="87">
        <v>183.44341475292711</v>
      </c>
      <c r="K230" s="87">
        <v>170.87879730409651</v>
      </c>
      <c r="L230" s="87">
        <v>165.85295032456548</v>
      </c>
      <c r="M230" s="87">
        <v>161.8231691360196</v>
      </c>
      <c r="N230" s="87">
        <v>194.1967742905895</v>
      </c>
      <c r="O230" s="87">
        <v>154.66273793587226</v>
      </c>
      <c r="P230" s="87">
        <v>140.92028118244741</v>
      </c>
      <c r="Q230" s="87">
        <v>127.89847287206939</v>
      </c>
      <c r="R230" s="87">
        <v>125.3499148161047</v>
      </c>
      <c r="S230" s="87">
        <v>125.2278803026293</v>
      </c>
      <c r="T230" s="87">
        <v>129.99742326107292</v>
      </c>
      <c r="U230" s="87">
        <v>124.33740679370339</v>
      </c>
      <c r="V230" s="87">
        <v>116.68569693288801</v>
      </c>
      <c r="W230" s="87">
        <v>109.7552258934592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89.153981588406239</v>
      </c>
      <c r="K231" s="87">
        <v>79.58723013942199</v>
      </c>
      <c r="L231" s="87">
        <v>73.726290864923854</v>
      </c>
      <c r="M231" s="87">
        <v>64.91234834267712</v>
      </c>
      <c r="N231" s="87">
        <v>62.749122653829062</v>
      </c>
      <c r="O231" s="87">
        <v>64.881654201198444</v>
      </c>
      <c r="P231" s="87">
        <v>60.327313495047378</v>
      </c>
      <c r="Q231" s="87">
        <v>57.878116325466785</v>
      </c>
      <c r="R231" s="87">
        <v>57.554783604893828</v>
      </c>
      <c r="S231" s="87">
        <v>57.238612869829346</v>
      </c>
      <c r="T231" s="87">
        <v>57.647925033467203</v>
      </c>
      <c r="U231" s="87">
        <v>45.682945669899581</v>
      </c>
      <c r="V231" s="87">
        <v>43.403391294956258</v>
      </c>
      <c r="W231" s="87">
        <v>38.094731846226857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1514.9115622023719</v>
      </c>
      <c r="C233" s="116">
        <v>1505.9265337037682</v>
      </c>
      <c r="D233" s="116">
        <v>1524.283631587745</v>
      </c>
      <c r="E233" s="116">
        <v>1511.5035634714327</v>
      </c>
      <c r="F233" s="116">
        <v>1498.3016245229048</v>
      </c>
      <c r="G233" s="116">
        <v>1332.8681273088112</v>
      </c>
      <c r="H233" s="116">
        <v>1438.8197049739799</v>
      </c>
      <c r="I233" s="116">
        <v>1443.3042468078627</v>
      </c>
      <c r="J233" s="116">
        <v>1374.0445273318505</v>
      </c>
      <c r="K233" s="116">
        <v>1309.4935074466507</v>
      </c>
      <c r="L233" s="116">
        <v>1314.8948196107781</v>
      </c>
      <c r="M233" s="116">
        <v>1271.8834633324693</v>
      </c>
      <c r="N233" s="116">
        <v>1279.8236478972251</v>
      </c>
      <c r="O233" s="116">
        <v>1193.1455812589134</v>
      </c>
      <c r="P233" s="116">
        <v>1111.5156195401689</v>
      </c>
      <c r="Q233" s="116">
        <v>1129.7755476696991</v>
      </c>
      <c r="R233" s="116">
        <v>1288.4698041675599</v>
      </c>
      <c r="S233" s="116">
        <v>1191.8453584626673</v>
      </c>
      <c r="T233" s="116">
        <v>1206.8474483130792</v>
      </c>
      <c r="U233" s="116">
        <v>1054.0350360273853</v>
      </c>
      <c r="V233" s="116">
        <v>1004.5336801220262</v>
      </c>
      <c r="W233" s="116">
        <v>1016.6534057556801</v>
      </c>
      <c r="DA233" s="176" t="s">
        <v>939</v>
      </c>
    </row>
    <row r="234" spans="1:105" ht="11.45" customHeight="1" x14ac:dyDescent="0.25">
      <c r="A234" s="111" t="s">
        <v>110</v>
      </c>
      <c r="B234" s="101">
        <v>508.30519886813221</v>
      </c>
      <c r="C234" s="101">
        <v>508.30519886813221</v>
      </c>
      <c r="D234" s="101">
        <v>508.30519886813221</v>
      </c>
      <c r="E234" s="101">
        <v>502.25394650065459</v>
      </c>
      <c r="F234" s="101">
        <v>0</v>
      </c>
      <c r="G234" s="101">
        <v>0</v>
      </c>
      <c r="H234" s="101">
        <v>478.04893703074356</v>
      </c>
      <c r="I234" s="101">
        <v>471.99768466326572</v>
      </c>
      <c r="J234" s="101">
        <v>441.74142282587678</v>
      </c>
      <c r="K234" s="101">
        <v>411.48516098848802</v>
      </c>
      <c r="L234" s="101">
        <v>0</v>
      </c>
      <c r="M234" s="101">
        <v>374.11431919295245</v>
      </c>
      <c r="N234" s="101">
        <v>0</v>
      </c>
      <c r="O234" s="101">
        <v>331.46558415032501</v>
      </c>
      <c r="P234" s="101">
        <v>318.20940112492002</v>
      </c>
      <c r="Q234" s="101">
        <v>0</v>
      </c>
      <c r="R234" s="101">
        <v>316.2523413358025</v>
      </c>
      <c r="S234" s="101">
        <v>315.42167958133837</v>
      </c>
      <c r="T234" s="101">
        <v>314.67594960365972</v>
      </c>
      <c r="U234" s="101">
        <v>314.00630017478971</v>
      </c>
      <c r="V234" s="101">
        <v>313.40483419682829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1526.3912137420684</v>
      </c>
      <c r="C235" s="101">
        <v>1526.3912137420684</v>
      </c>
      <c r="D235" s="101">
        <v>1526.3912137420684</v>
      </c>
      <c r="E235" s="101">
        <v>1521.8074563434436</v>
      </c>
      <c r="F235" s="101">
        <v>1521.8074563434436</v>
      </c>
      <c r="G235" s="101">
        <v>1512.4712142799867</v>
      </c>
      <c r="H235" s="101">
        <v>1502.9588167058989</v>
      </c>
      <c r="I235" s="101">
        <v>1498.1570313490108</v>
      </c>
      <c r="J235" s="101">
        <v>1472.9355325047516</v>
      </c>
      <c r="K235" s="101">
        <v>1446.3482485245213</v>
      </c>
      <c r="L235" s="101">
        <v>1435.4734496634346</v>
      </c>
      <c r="M235" s="101">
        <v>1411.6373345071288</v>
      </c>
      <c r="N235" s="101">
        <v>1388.20911493587</v>
      </c>
      <c r="O235" s="101">
        <v>1368.6061602625334</v>
      </c>
      <c r="P235" s="101">
        <v>1354.4994956272508</v>
      </c>
      <c r="Q235" s="101">
        <v>1340.2449215971562</v>
      </c>
      <c r="R235" s="101">
        <v>1327.544111429007</v>
      </c>
      <c r="S235" s="101">
        <v>1316.2163218400469</v>
      </c>
      <c r="T235" s="101">
        <v>1306.1039780431031</v>
      </c>
      <c r="U235" s="101">
        <v>1297.0693123456138</v>
      </c>
      <c r="V235" s="101">
        <v>1288.9915589283021</v>
      </c>
      <c r="W235" s="101">
        <v>1281.7646012497687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953.37653643748024</v>
      </c>
      <c r="D237" s="101">
        <v>953.37653643748024</v>
      </c>
      <c r="E237" s="101">
        <v>0</v>
      </c>
      <c r="F237" s="101">
        <v>950.51354383556577</v>
      </c>
      <c r="G237" s="101">
        <v>944.68217240099182</v>
      </c>
      <c r="H237" s="101">
        <v>938.74077509029382</v>
      </c>
      <c r="I237" s="101">
        <v>935.74160328489347</v>
      </c>
      <c r="J237" s="101">
        <v>919.98837764036659</v>
      </c>
      <c r="K237" s="101">
        <v>903.38208923530567</v>
      </c>
      <c r="L237" s="101">
        <v>892.54195510568388</v>
      </c>
      <c r="M237" s="101">
        <v>881.70182097606187</v>
      </c>
      <c r="N237" s="101">
        <v>869.77090745256487</v>
      </c>
      <c r="O237" s="101">
        <v>854.82475860122418</v>
      </c>
      <c r="P237" s="101">
        <v>846.01380440442961</v>
      </c>
      <c r="Q237" s="101">
        <v>837.11046671822373</v>
      </c>
      <c r="R237" s="101">
        <v>830.93393925324028</v>
      </c>
      <c r="S237" s="101">
        <v>826.63750591581936</v>
      </c>
      <c r="T237" s="101">
        <v>823.64322745231402</v>
      </c>
      <c r="U237" s="101">
        <v>821.55368823323317</v>
      </c>
      <c r="V237" s="101">
        <v>820.09416570562871</v>
      </c>
      <c r="W237" s="101">
        <v>819.07404298564597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264.11846263646657</v>
      </c>
      <c r="C240" s="152">
        <v>269.72442327454434</v>
      </c>
      <c r="D240" s="152">
        <v>276.02474971159711</v>
      </c>
      <c r="E240" s="152">
        <v>278.57890959223619</v>
      </c>
      <c r="F240" s="152">
        <v>278.57069239334481</v>
      </c>
      <c r="G240" s="152">
        <v>277.67576298235457</v>
      </c>
      <c r="H240" s="152">
        <v>271.63561597994686</v>
      </c>
      <c r="I240" s="152">
        <v>261.72626910575548</v>
      </c>
      <c r="J240" s="152">
        <v>248.18955658113467</v>
      </c>
      <c r="K240" s="152">
        <v>234.46103623946351</v>
      </c>
      <c r="L240" s="152">
        <v>219.60366642838272</v>
      </c>
      <c r="M240" s="152">
        <v>211.03214551888968</v>
      </c>
      <c r="N240" s="152">
        <v>203.13648264124495</v>
      </c>
      <c r="O240" s="152">
        <v>205.25774683655678</v>
      </c>
      <c r="P240" s="152">
        <v>209.70687663471011</v>
      </c>
      <c r="Q240" s="152">
        <v>199.5092378269475</v>
      </c>
      <c r="R240" s="152">
        <v>187.13529579461368</v>
      </c>
      <c r="S240" s="152">
        <v>187.20385900997456</v>
      </c>
      <c r="T240" s="152">
        <v>187.5015523568579</v>
      </c>
      <c r="U240" s="152">
        <v>189.12360016960417</v>
      </c>
      <c r="V240" s="152">
        <v>186.99548613224582</v>
      </c>
      <c r="W240" s="152">
        <v>180.35715103825078</v>
      </c>
      <c r="DA240" s="174" t="s">
        <v>945</v>
      </c>
    </row>
    <row r="241" spans="1:105" ht="11.45" customHeight="1" x14ac:dyDescent="0.25">
      <c r="A241" s="111" t="s">
        <v>110</v>
      </c>
      <c r="B241" s="87">
        <v>282.57616027240124</v>
      </c>
      <c r="C241" s="87">
        <v>282.57616027240124</v>
      </c>
      <c r="D241" s="87">
        <v>282.57616027240124</v>
      </c>
      <c r="E241" s="87">
        <v>279.21215836439637</v>
      </c>
      <c r="F241" s="87">
        <v>279.21215836439637</v>
      </c>
      <c r="G241" s="87">
        <v>272.48415454838687</v>
      </c>
      <c r="H241" s="87">
        <v>265.75615073237731</v>
      </c>
      <c r="I241" s="87">
        <v>262.3921488243725</v>
      </c>
      <c r="J241" s="87">
        <v>245.57213928434859</v>
      </c>
      <c r="K241" s="87">
        <v>228.75212974432469</v>
      </c>
      <c r="L241" s="87">
        <v>222.02412592831516</v>
      </c>
      <c r="M241" s="87">
        <v>207.97699503343739</v>
      </c>
      <c r="N241" s="87">
        <v>191.84404711013644</v>
      </c>
      <c r="O241" s="87">
        <v>192.77590857614541</v>
      </c>
      <c r="P241" s="87">
        <v>194.68051898934988</v>
      </c>
      <c r="Q241" s="87">
        <v>187.15269611130321</v>
      </c>
      <c r="R241" s="87">
        <v>161.74909849284893</v>
      </c>
      <c r="S241" s="87">
        <v>164.02823532562113</v>
      </c>
      <c r="T241" s="87">
        <v>167.15723235127479</v>
      </c>
      <c r="U241" s="87">
        <v>166.359477124183</v>
      </c>
      <c r="V241" s="87">
        <v>164.94990468931721</v>
      </c>
      <c r="W241" s="87">
        <v>160.92793931731981</v>
      </c>
      <c r="DA241" s="171" t="s">
        <v>946</v>
      </c>
    </row>
    <row r="242" spans="1:105" ht="11.45" customHeight="1" x14ac:dyDescent="0.25">
      <c r="A242" s="111" t="s">
        <v>111</v>
      </c>
      <c r="B242" s="87">
        <v>259.65241657987156</v>
      </c>
      <c r="C242" s="87">
        <v>266.61785380131994</v>
      </c>
      <c r="D242" s="87">
        <v>274.57659570583695</v>
      </c>
      <c r="E242" s="87">
        <v>278.55596665809543</v>
      </c>
      <c r="F242" s="87">
        <v>278.55596665809543</v>
      </c>
      <c r="G242" s="87">
        <v>278.55596665809543</v>
      </c>
      <c r="H242" s="87">
        <v>274.57659570583706</v>
      </c>
      <c r="I242" s="87">
        <v>262.63848284906146</v>
      </c>
      <c r="J242" s="87">
        <v>250.70036999228594</v>
      </c>
      <c r="K242" s="87">
        <v>238.76225713551042</v>
      </c>
      <c r="L242" s="87">
        <v>222.84477332647634</v>
      </c>
      <c r="M242" s="87">
        <v>212.46901234457536</v>
      </c>
      <c r="N242" s="87">
        <v>206.40585035445653</v>
      </c>
      <c r="O242" s="87">
        <v>207.33099696364218</v>
      </c>
      <c r="P242" s="87">
        <v>212.51189654348872</v>
      </c>
      <c r="Q242" s="87">
        <v>202.76352242601754</v>
      </c>
      <c r="R242" s="87">
        <v>189.70248414648424</v>
      </c>
      <c r="S242" s="87">
        <v>190.47684404062232</v>
      </c>
      <c r="T242" s="87">
        <v>195.262625658383</v>
      </c>
      <c r="U242" s="87">
        <v>197.499000210482</v>
      </c>
      <c r="V242" s="87">
        <v>203.4645359693269</v>
      </c>
      <c r="W242" s="87">
        <v>196.96393453895351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183.76341209272584</v>
      </c>
      <c r="D244" s="87">
        <v>183.76341209272584</v>
      </c>
      <c r="E244" s="87">
        <v>181.57575242495537</v>
      </c>
      <c r="F244" s="87">
        <v>181.57575242495537</v>
      </c>
      <c r="G244" s="87">
        <v>177.20043308941428</v>
      </c>
      <c r="H244" s="87">
        <v>172.82511375387321</v>
      </c>
      <c r="I244" s="87">
        <v>170.63745408610262</v>
      </c>
      <c r="J244" s="87">
        <v>159.69915574724988</v>
      </c>
      <c r="K244" s="87">
        <v>148.76085740839716</v>
      </c>
      <c r="L244" s="87">
        <v>144.38553807285609</v>
      </c>
      <c r="M244" s="87">
        <v>140.87735733753937</v>
      </c>
      <c r="N244" s="87">
        <v>169.06063891591029</v>
      </c>
      <c r="O244" s="87">
        <v>163.79703115444619</v>
      </c>
      <c r="P244" s="87">
        <v>165.91000226970621</v>
      </c>
      <c r="Q244" s="87">
        <v>149.43073387958555</v>
      </c>
      <c r="R244" s="87">
        <v>124.12318427143482</v>
      </c>
      <c r="S244" s="87">
        <v>133.58931438490404</v>
      </c>
      <c r="T244" s="87">
        <v>135.91350743843341</v>
      </c>
      <c r="U244" s="87">
        <v>137.203125</v>
      </c>
      <c r="V244" s="87">
        <v>155.8306581068835</v>
      </c>
      <c r="W244" s="87">
        <v>173.17056074766359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983.37518517618298</v>
      </c>
      <c r="C246" s="116">
        <v>982.69792140080403</v>
      </c>
      <c r="D246" s="116">
        <v>977.5849892052629</v>
      </c>
      <c r="E246" s="116">
        <v>969.29620677763558</v>
      </c>
      <c r="F246" s="116">
        <v>970.99900193005055</v>
      </c>
      <c r="G246" s="116">
        <v>949.26840986488651</v>
      </c>
      <c r="H246" s="116">
        <v>936.78670923778577</v>
      </c>
      <c r="I246" s="116">
        <v>920.64199488500981</v>
      </c>
      <c r="J246" s="116">
        <v>903.96092744853058</v>
      </c>
      <c r="K246" s="116">
        <v>879.35640451908489</v>
      </c>
      <c r="L246" s="116">
        <v>876.31366917322805</v>
      </c>
      <c r="M246" s="116">
        <v>849.16787188237356</v>
      </c>
      <c r="N246" s="116">
        <v>831.57307231016819</v>
      </c>
      <c r="O246" s="116">
        <v>832.22674353508523</v>
      </c>
      <c r="P246" s="116">
        <v>790.23197272432253</v>
      </c>
      <c r="Q246" s="116">
        <v>789.27584001180878</v>
      </c>
      <c r="R246" s="116">
        <v>733.65065354109811</v>
      </c>
      <c r="S246" s="116">
        <v>693.22217231626973</v>
      </c>
      <c r="T246" s="116">
        <v>668.89437978345143</v>
      </c>
      <c r="U246" s="116">
        <v>616.41428520346403</v>
      </c>
      <c r="V246" s="116">
        <v>623.41165886050157</v>
      </c>
      <c r="W246" s="116">
        <v>622.94104702410516</v>
      </c>
      <c r="DA246" s="176" t="s">
        <v>951</v>
      </c>
    </row>
    <row r="247" spans="1:105" ht="11.45" customHeight="1" x14ac:dyDescent="0.25">
      <c r="A247" s="128" t="s">
        <v>27</v>
      </c>
      <c r="B247" s="101">
        <v>913.09686069692373</v>
      </c>
      <c r="C247" s="101">
        <v>907.81622305102758</v>
      </c>
      <c r="D247" s="101">
        <v>901.98465764138962</v>
      </c>
      <c r="E247" s="101">
        <v>894.72327324356934</v>
      </c>
      <c r="F247" s="101">
        <v>886.0505211720872</v>
      </c>
      <c r="G247" s="101">
        <v>875.98828350358951</v>
      </c>
      <c r="H247" s="101">
        <v>864.5617366208279</v>
      </c>
      <c r="I247" s="101">
        <v>851.79919613732613</v>
      </c>
      <c r="J247" s="101">
        <v>837.73194495353971</v>
      </c>
      <c r="K247" s="101">
        <v>822.39404633161371</v>
      </c>
      <c r="L247" s="101">
        <v>805.82214404758133</v>
      </c>
      <c r="M247" s="101">
        <v>788.05525171190527</v>
      </c>
      <c r="N247" s="101">
        <v>769.13453343028596</v>
      </c>
      <c r="O247" s="101">
        <v>749.10307800203407</v>
      </c>
      <c r="P247" s="101">
        <v>728.00566880166639</v>
      </c>
      <c r="Q247" s="101">
        <v>705.88855148970197</v>
      </c>
      <c r="R247" s="101">
        <v>663.37548320054486</v>
      </c>
      <c r="S247" s="101">
        <v>633.61633539813477</v>
      </c>
      <c r="T247" s="101">
        <v>602.36923020560403</v>
      </c>
      <c r="U247" s="101">
        <v>564.17832385917791</v>
      </c>
      <c r="V247" s="101">
        <v>550.90743918401165</v>
      </c>
      <c r="W247" s="101">
        <v>544.38952151807496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10225</v>
      </c>
      <c r="C4" s="28">
        <f t="shared" ref="C4:V4" si="1">SUM(C5,C6,C9)</f>
        <v>10723</v>
      </c>
      <c r="D4" s="28">
        <f t="shared" si="1"/>
        <v>10867</v>
      </c>
      <c r="E4" s="28">
        <f t="shared" si="1"/>
        <v>10828</v>
      </c>
      <c r="F4" s="28">
        <f t="shared" si="1"/>
        <v>10652</v>
      </c>
      <c r="G4" s="28">
        <f t="shared" si="1"/>
        <v>10924</v>
      </c>
      <c r="H4" s="28">
        <f t="shared" si="1"/>
        <v>11756</v>
      </c>
      <c r="I4" s="28">
        <f t="shared" si="1"/>
        <v>12465</v>
      </c>
      <c r="J4" s="28">
        <f t="shared" si="1"/>
        <v>13385</v>
      </c>
      <c r="K4" s="28">
        <f t="shared" si="1"/>
        <v>13560</v>
      </c>
      <c r="L4" s="28">
        <f t="shared" si="1"/>
        <v>13435</v>
      </c>
      <c r="M4" s="28">
        <f t="shared" si="1"/>
        <v>13719</v>
      </c>
      <c r="N4" s="28">
        <f t="shared" si="1"/>
        <v>14165</v>
      </c>
      <c r="O4" s="28">
        <f t="shared" si="1"/>
        <v>14291</v>
      </c>
      <c r="P4" s="28">
        <f t="shared" si="1"/>
        <v>14564</v>
      </c>
      <c r="Q4" s="28">
        <f t="shared" si="1"/>
        <v>15240.8</v>
      </c>
      <c r="R4" s="28">
        <f t="shared" si="1"/>
        <v>15408</v>
      </c>
      <c r="S4" s="28">
        <f t="shared" si="1"/>
        <v>15978</v>
      </c>
      <c r="T4" s="28">
        <f t="shared" si="1"/>
        <v>16284</v>
      </c>
      <c r="U4" s="28">
        <f t="shared" si="1"/>
        <v>17321</v>
      </c>
      <c r="V4" s="28">
        <f t="shared" si="1"/>
        <v>9817</v>
      </c>
      <c r="W4" s="28">
        <f t="shared" ref="W4" si="2">SUM(W5,W6,W9)</f>
        <v>9619</v>
      </c>
      <c r="DA4" s="173" t="s">
        <v>375</v>
      </c>
    </row>
    <row r="5" spans="1:105" ht="11.45" customHeight="1" x14ac:dyDescent="0.25">
      <c r="A5" s="107" t="s">
        <v>23</v>
      </c>
      <c r="B5" s="108">
        <v>1982.0000000000002</v>
      </c>
      <c r="C5" s="108">
        <v>1990.9999999999998</v>
      </c>
      <c r="D5" s="108">
        <v>1993</v>
      </c>
      <c r="E5" s="108">
        <v>1994</v>
      </c>
      <c r="F5" s="108">
        <v>2018.0000000000002</v>
      </c>
      <c r="G5" s="108">
        <v>2013.9999999999998</v>
      </c>
      <c r="H5" s="108">
        <v>2139.0000000000005</v>
      </c>
      <c r="I5" s="108">
        <v>2203.9999999999995</v>
      </c>
      <c r="J5" s="108">
        <v>2239</v>
      </c>
      <c r="K5" s="108">
        <v>2239</v>
      </c>
      <c r="L5" s="108">
        <v>2280.0000000000005</v>
      </c>
      <c r="M5" s="108">
        <v>2340</v>
      </c>
      <c r="N5" s="108">
        <v>2373</v>
      </c>
      <c r="O5" s="108">
        <v>2449</v>
      </c>
      <c r="P5" s="108">
        <v>2443</v>
      </c>
      <c r="Q5" s="108">
        <v>2499.8000000000002</v>
      </c>
      <c r="R5" s="108">
        <v>2608</v>
      </c>
      <c r="S5" s="108">
        <v>2647.0000000000005</v>
      </c>
      <c r="T5" s="108">
        <v>2737</v>
      </c>
      <c r="U5" s="108">
        <v>2704</v>
      </c>
      <c r="V5" s="108">
        <v>1688</v>
      </c>
      <c r="W5" s="108">
        <v>1592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6196</v>
      </c>
      <c r="C6" s="110">
        <f t="shared" ref="C6:V6" si="4">SUM(C7:C8)</f>
        <v>6505</v>
      </c>
      <c r="D6" s="110">
        <f t="shared" si="4"/>
        <v>6484</v>
      </c>
      <c r="E6" s="110">
        <f t="shared" si="4"/>
        <v>6434</v>
      </c>
      <c r="F6" s="110">
        <f t="shared" si="4"/>
        <v>6212</v>
      </c>
      <c r="G6" s="110">
        <f t="shared" si="4"/>
        <v>6580</v>
      </c>
      <c r="H6" s="110">
        <f t="shared" si="4"/>
        <v>7127</v>
      </c>
      <c r="I6" s="110">
        <f t="shared" si="4"/>
        <v>7486</v>
      </c>
      <c r="J6" s="110">
        <f t="shared" si="4"/>
        <v>8154</v>
      </c>
      <c r="K6" s="110">
        <f t="shared" si="4"/>
        <v>8271</v>
      </c>
      <c r="L6" s="110">
        <f t="shared" si="4"/>
        <v>8216.5</v>
      </c>
      <c r="M6" s="110">
        <f t="shared" si="4"/>
        <v>8552</v>
      </c>
      <c r="N6" s="110">
        <f t="shared" si="4"/>
        <v>8844</v>
      </c>
      <c r="O6" s="110">
        <f t="shared" si="4"/>
        <v>8787</v>
      </c>
      <c r="P6" s="110">
        <f t="shared" si="4"/>
        <v>8893</v>
      </c>
      <c r="Q6" s="110">
        <f t="shared" si="4"/>
        <v>9376</v>
      </c>
      <c r="R6" s="110">
        <f t="shared" si="4"/>
        <v>9319</v>
      </c>
      <c r="S6" s="110">
        <f t="shared" si="4"/>
        <v>9727</v>
      </c>
      <c r="T6" s="110">
        <f t="shared" si="4"/>
        <v>10024</v>
      </c>
      <c r="U6" s="110">
        <f t="shared" si="4"/>
        <v>10717</v>
      </c>
      <c r="V6" s="110">
        <f t="shared" si="4"/>
        <v>6331</v>
      </c>
      <c r="W6" s="110">
        <f t="shared" ref="W6" si="5">SUM(W7:W8)</f>
        <v>6087.9999999999991</v>
      </c>
      <c r="DA6" s="176" t="s">
        <v>377</v>
      </c>
    </row>
    <row r="7" spans="1:105" ht="11.45" customHeight="1" x14ac:dyDescent="0.25">
      <c r="A7" s="111" t="s">
        <v>90</v>
      </c>
      <c r="B7" s="84">
        <v>384.79662593769456</v>
      </c>
      <c r="C7" s="84">
        <v>446.56742183419237</v>
      </c>
      <c r="D7" s="84">
        <v>613.72292298134323</v>
      </c>
      <c r="E7" s="84">
        <v>467.64344208557719</v>
      </c>
      <c r="F7" s="84">
        <v>262.17039795205955</v>
      </c>
      <c r="G7" s="84">
        <v>223.74059675872164</v>
      </c>
      <c r="H7" s="84">
        <v>336.0771311039656</v>
      </c>
      <c r="I7" s="84">
        <v>324.21817787104703</v>
      </c>
      <c r="J7" s="84">
        <v>416.83274820003254</v>
      </c>
      <c r="K7" s="84">
        <v>422.03949591808527</v>
      </c>
      <c r="L7" s="84">
        <v>387.0883130666283</v>
      </c>
      <c r="M7" s="84">
        <v>283.45824954214464</v>
      </c>
      <c r="N7" s="84">
        <v>394.23774818785733</v>
      </c>
      <c r="O7" s="84">
        <v>303.23303089658265</v>
      </c>
      <c r="P7" s="84">
        <v>331.78721087774511</v>
      </c>
      <c r="Q7" s="84">
        <v>313.34312991308889</v>
      </c>
      <c r="R7" s="84">
        <v>304.70262476054319</v>
      </c>
      <c r="S7" s="84">
        <v>343.91890324080782</v>
      </c>
      <c r="T7" s="84">
        <v>358.51754413295038</v>
      </c>
      <c r="U7" s="84">
        <v>412.24074931969983</v>
      </c>
      <c r="V7" s="84">
        <v>260.30393156959599</v>
      </c>
      <c r="W7" s="84">
        <v>227.52958925896286</v>
      </c>
      <c r="DA7" s="171" t="s">
        <v>1029</v>
      </c>
    </row>
    <row r="8" spans="1:105" ht="11.45" customHeight="1" x14ac:dyDescent="0.25">
      <c r="A8" s="111" t="s">
        <v>93</v>
      </c>
      <c r="B8" s="84">
        <v>5811.2033740623056</v>
      </c>
      <c r="C8" s="84">
        <v>6058.4325781658081</v>
      </c>
      <c r="D8" s="84">
        <v>5870.2770770186571</v>
      </c>
      <c r="E8" s="84">
        <v>5966.3565579144224</v>
      </c>
      <c r="F8" s="84">
        <v>5949.8296020479402</v>
      </c>
      <c r="G8" s="84">
        <v>6356.2594032412781</v>
      </c>
      <c r="H8" s="84">
        <v>6790.9228688960347</v>
      </c>
      <c r="I8" s="84">
        <v>7161.7818221289526</v>
      </c>
      <c r="J8" s="84">
        <v>7737.1672517999677</v>
      </c>
      <c r="K8" s="84">
        <v>7848.9605040819151</v>
      </c>
      <c r="L8" s="84">
        <v>7829.411686933372</v>
      </c>
      <c r="M8" s="84">
        <v>8268.5417504578545</v>
      </c>
      <c r="N8" s="84">
        <v>8449.7622518121425</v>
      </c>
      <c r="O8" s="84">
        <v>8483.7669691034171</v>
      </c>
      <c r="P8" s="84">
        <v>8561.2127891222553</v>
      </c>
      <c r="Q8" s="84">
        <v>9062.6568700869102</v>
      </c>
      <c r="R8" s="84">
        <v>9014.2973752394573</v>
      </c>
      <c r="S8" s="84">
        <v>9383.0810967591915</v>
      </c>
      <c r="T8" s="84">
        <v>9665.4824558670498</v>
      </c>
      <c r="U8" s="84">
        <v>10304.759250680299</v>
      </c>
      <c r="V8" s="84">
        <v>6070.696068430404</v>
      </c>
      <c r="W8" s="84">
        <v>5860.4704107410362</v>
      </c>
      <c r="DA8" s="171" t="s">
        <v>1030</v>
      </c>
    </row>
    <row r="9" spans="1:105" ht="11.45" customHeight="1" x14ac:dyDescent="0.25">
      <c r="A9" s="112" t="s">
        <v>25</v>
      </c>
      <c r="B9" s="113">
        <v>2047.0000000000002</v>
      </c>
      <c r="C9" s="113">
        <v>2227</v>
      </c>
      <c r="D9" s="113">
        <v>2390</v>
      </c>
      <c r="E9" s="113">
        <v>2400</v>
      </c>
      <c r="F9" s="113">
        <v>2422</v>
      </c>
      <c r="G9" s="113">
        <v>2330</v>
      </c>
      <c r="H9" s="113">
        <v>2490</v>
      </c>
      <c r="I9" s="113">
        <v>2775</v>
      </c>
      <c r="J9" s="113">
        <v>2992</v>
      </c>
      <c r="K9" s="113">
        <v>3050</v>
      </c>
      <c r="L9" s="113">
        <v>2938.5</v>
      </c>
      <c r="M9" s="113">
        <v>2827</v>
      </c>
      <c r="N9" s="113">
        <v>2948</v>
      </c>
      <c r="O9" s="113">
        <v>3055</v>
      </c>
      <c r="P9" s="113">
        <v>3228</v>
      </c>
      <c r="Q9" s="113">
        <v>3365</v>
      </c>
      <c r="R9" s="113">
        <v>3481</v>
      </c>
      <c r="S9" s="113">
        <v>3604</v>
      </c>
      <c r="T9" s="113">
        <v>3523</v>
      </c>
      <c r="U9" s="113">
        <v>3900</v>
      </c>
      <c r="V9" s="113">
        <v>1798</v>
      </c>
      <c r="W9" s="113">
        <v>1939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19475</v>
      </c>
      <c r="C10" s="28">
        <f t="shared" ref="C10:V10" si="7">SUM(C11:C12)</f>
        <v>18954</v>
      </c>
      <c r="D10" s="28">
        <f t="shared" si="7"/>
        <v>19197</v>
      </c>
      <c r="E10" s="28">
        <f t="shared" si="7"/>
        <v>20170</v>
      </c>
      <c r="F10" s="28">
        <f t="shared" si="7"/>
        <v>20856</v>
      </c>
      <c r="G10" s="28">
        <f t="shared" si="7"/>
        <v>21675</v>
      </c>
      <c r="H10" s="28">
        <f t="shared" si="7"/>
        <v>22271</v>
      </c>
      <c r="I10" s="28">
        <f t="shared" si="7"/>
        <v>23250</v>
      </c>
      <c r="J10" s="28">
        <f t="shared" si="7"/>
        <v>22924</v>
      </c>
      <c r="K10" s="28">
        <f t="shared" si="7"/>
        <v>20389</v>
      </c>
      <c r="L10" s="28">
        <f t="shared" si="7"/>
        <v>23464</v>
      </c>
      <c r="M10" s="28">
        <f t="shared" si="7"/>
        <v>22864</v>
      </c>
      <c r="N10" s="28">
        <f t="shared" si="7"/>
        <v>22043</v>
      </c>
      <c r="O10" s="28">
        <f t="shared" si="7"/>
        <v>20970</v>
      </c>
      <c r="P10" s="28">
        <f t="shared" si="7"/>
        <v>21296</v>
      </c>
      <c r="Q10" s="28">
        <f t="shared" si="7"/>
        <v>20699</v>
      </c>
      <c r="R10" s="28">
        <f t="shared" si="7"/>
        <v>21406</v>
      </c>
      <c r="S10" s="28">
        <f t="shared" si="7"/>
        <v>21838</v>
      </c>
      <c r="T10" s="28">
        <f t="shared" si="7"/>
        <v>22794</v>
      </c>
      <c r="U10" s="28">
        <f t="shared" si="7"/>
        <v>22222</v>
      </c>
      <c r="V10" s="28">
        <f t="shared" si="7"/>
        <v>22094</v>
      </c>
      <c r="W10" s="28">
        <f t="shared" ref="W10" si="8">SUM(W11:W12)</f>
        <v>23449</v>
      </c>
      <c r="DA10" s="173" t="s">
        <v>383</v>
      </c>
    </row>
    <row r="11" spans="1:105" ht="11.45" customHeight="1" x14ac:dyDescent="0.25">
      <c r="A11" s="83" t="s">
        <v>90</v>
      </c>
      <c r="B11" s="84">
        <v>1803.4198728970059</v>
      </c>
      <c r="C11" s="84">
        <v>1649.0394958302224</v>
      </c>
      <c r="D11" s="84">
        <v>1599.0350142381028</v>
      </c>
      <c r="E11" s="84">
        <v>1755.1575355908153</v>
      </c>
      <c r="F11" s="84">
        <v>1844.1058351386866</v>
      </c>
      <c r="G11" s="84">
        <v>2012.9917944776607</v>
      </c>
      <c r="H11" s="84">
        <v>1941.3869128813092</v>
      </c>
      <c r="I11" s="84">
        <v>1973.2547226435897</v>
      </c>
      <c r="J11" s="84">
        <v>2081.0085937711283</v>
      </c>
      <c r="K11" s="84">
        <v>1761.7281162550937</v>
      </c>
      <c r="L11" s="84">
        <v>1979.1493161893629</v>
      </c>
      <c r="M11" s="84">
        <v>1993.666106173433</v>
      </c>
      <c r="N11" s="84">
        <v>1694.343625385952</v>
      </c>
      <c r="O11" s="84">
        <v>1672.952817889179</v>
      </c>
      <c r="P11" s="84">
        <v>1421.5972242688924</v>
      </c>
      <c r="Q11" s="84">
        <v>1424.9187585654113</v>
      </c>
      <c r="R11" s="84">
        <v>1379.5595491995875</v>
      </c>
      <c r="S11" s="84">
        <v>1280.2227010397007</v>
      </c>
      <c r="T11" s="84">
        <v>1413.9225958144607</v>
      </c>
      <c r="U11" s="84">
        <v>1358.0907712032717</v>
      </c>
      <c r="V11" s="84">
        <v>1173.730616022782</v>
      </c>
      <c r="W11" s="84">
        <v>848.09698702924049</v>
      </c>
      <c r="DA11" s="171" t="s">
        <v>1031</v>
      </c>
    </row>
    <row r="12" spans="1:105" ht="11.45" customHeight="1" x14ac:dyDescent="0.25">
      <c r="A12" s="85" t="s">
        <v>93</v>
      </c>
      <c r="B12" s="86">
        <v>17671.580127102992</v>
      </c>
      <c r="C12" s="86">
        <v>17304.960504169776</v>
      </c>
      <c r="D12" s="86">
        <v>17597.964985761897</v>
      </c>
      <c r="E12" s="86">
        <v>18414.842464409187</v>
      </c>
      <c r="F12" s="86">
        <v>19011.894164861314</v>
      </c>
      <c r="G12" s="86">
        <v>19662.008205522339</v>
      </c>
      <c r="H12" s="86">
        <v>20329.613087118691</v>
      </c>
      <c r="I12" s="86">
        <v>21276.745277356411</v>
      </c>
      <c r="J12" s="86">
        <v>20842.991406228874</v>
      </c>
      <c r="K12" s="86">
        <v>18627.271883744907</v>
      </c>
      <c r="L12" s="86">
        <v>21484.850683810637</v>
      </c>
      <c r="M12" s="86">
        <v>20870.333893826566</v>
      </c>
      <c r="N12" s="86">
        <v>20348.656374614049</v>
      </c>
      <c r="O12" s="86">
        <v>19297.047182110822</v>
      </c>
      <c r="P12" s="86">
        <v>19874.402775731109</v>
      </c>
      <c r="Q12" s="86">
        <v>19274.081241434589</v>
      </c>
      <c r="R12" s="86">
        <v>20026.440450800412</v>
      </c>
      <c r="S12" s="86">
        <v>20557.7772989603</v>
      </c>
      <c r="T12" s="86">
        <v>21380.07740418554</v>
      </c>
      <c r="U12" s="86">
        <v>20863.909228796729</v>
      </c>
      <c r="V12" s="86">
        <v>20920.269383977218</v>
      </c>
      <c r="W12" s="86">
        <v>22600.903012970761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149.54684610535458</v>
      </c>
      <c r="C14" s="62">
        <f t="shared" ref="C14:V14" si="10">C15+C21</f>
        <v>149.26816197687833</v>
      </c>
      <c r="D14" s="62">
        <f t="shared" si="10"/>
        <v>151.6206391162273</v>
      </c>
      <c r="E14" s="62">
        <f t="shared" si="10"/>
        <v>153.53786191197753</v>
      </c>
      <c r="F14" s="62">
        <f t="shared" si="10"/>
        <v>161.76150018611153</v>
      </c>
      <c r="G14" s="62">
        <f t="shared" si="10"/>
        <v>158.04368195755498</v>
      </c>
      <c r="H14" s="62">
        <f t="shared" si="10"/>
        <v>165.64637080654697</v>
      </c>
      <c r="I14" s="62">
        <f t="shared" si="10"/>
        <v>175.53400872187279</v>
      </c>
      <c r="J14" s="62">
        <f t="shared" si="10"/>
        <v>156.5947885303278</v>
      </c>
      <c r="K14" s="62">
        <f t="shared" si="10"/>
        <v>162.89074165010993</v>
      </c>
      <c r="L14" s="62">
        <f t="shared" si="10"/>
        <v>163.34372934233153</v>
      </c>
      <c r="M14" s="62">
        <f t="shared" si="10"/>
        <v>178.71467876338349</v>
      </c>
      <c r="N14" s="62">
        <f t="shared" si="10"/>
        <v>185.06954764155626</v>
      </c>
      <c r="O14" s="62">
        <f t="shared" si="10"/>
        <v>192.23807055915253</v>
      </c>
      <c r="P14" s="62">
        <f t="shared" si="10"/>
        <v>186.55218741811748</v>
      </c>
      <c r="Q14" s="62">
        <f t="shared" si="10"/>
        <v>188.5862620849658</v>
      </c>
      <c r="R14" s="62">
        <f t="shared" si="10"/>
        <v>196.31774357192745</v>
      </c>
      <c r="S14" s="62">
        <f t="shared" si="10"/>
        <v>184.23476903666364</v>
      </c>
      <c r="T14" s="62">
        <f t="shared" si="10"/>
        <v>194.01652852880395</v>
      </c>
      <c r="U14" s="62">
        <f t="shared" si="10"/>
        <v>188.31970920707664</v>
      </c>
      <c r="V14" s="62">
        <f t="shared" si="10"/>
        <v>175.63995931515365</v>
      </c>
      <c r="W14" s="62">
        <f t="shared" ref="W14" si="11">W15+W21</f>
        <v>195.87142294467952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107.8390420882092</v>
      </c>
      <c r="C15" s="29">
        <f t="shared" ref="C15:V15" si="13">SUM(C16,C17,C20)</f>
        <v>110.30675281737872</v>
      </c>
      <c r="D15" s="29">
        <f t="shared" si="13"/>
        <v>112.01970682304704</v>
      </c>
      <c r="E15" s="29">
        <f t="shared" si="13"/>
        <v>113.77299294798016</v>
      </c>
      <c r="F15" s="29">
        <f t="shared" si="13"/>
        <v>118.09909128211329</v>
      </c>
      <c r="G15" s="29">
        <f t="shared" si="13"/>
        <v>113.72764905367821</v>
      </c>
      <c r="H15" s="29">
        <f t="shared" si="13"/>
        <v>119.17508240705573</v>
      </c>
      <c r="I15" s="29">
        <f t="shared" si="13"/>
        <v>124.51638035979035</v>
      </c>
      <c r="J15" s="29">
        <f t="shared" si="13"/>
        <v>114.40623787887135</v>
      </c>
      <c r="K15" s="29">
        <f t="shared" si="13"/>
        <v>124.3475724089063</v>
      </c>
      <c r="L15" s="29">
        <f t="shared" si="13"/>
        <v>122.88944713995723</v>
      </c>
      <c r="M15" s="29">
        <f t="shared" si="13"/>
        <v>135.35070259692756</v>
      </c>
      <c r="N15" s="29">
        <f t="shared" si="13"/>
        <v>143.2600676372555</v>
      </c>
      <c r="O15" s="29">
        <f t="shared" si="13"/>
        <v>152.08113946343602</v>
      </c>
      <c r="P15" s="29">
        <f t="shared" si="13"/>
        <v>149.45422541192858</v>
      </c>
      <c r="Q15" s="29">
        <f t="shared" si="13"/>
        <v>153.12818873604417</v>
      </c>
      <c r="R15" s="29">
        <f t="shared" si="13"/>
        <v>160.80039637118495</v>
      </c>
      <c r="S15" s="29">
        <f t="shared" si="13"/>
        <v>147.45339454156249</v>
      </c>
      <c r="T15" s="29">
        <f t="shared" si="13"/>
        <v>159.40232820290282</v>
      </c>
      <c r="U15" s="29">
        <f t="shared" si="13"/>
        <v>155.06356093433521</v>
      </c>
      <c r="V15" s="29">
        <f t="shared" si="13"/>
        <v>143.77184402402753</v>
      </c>
      <c r="W15" s="29">
        <f t="shared" ref="W15" si="14">SUM(W16,W17,W20)</f>
        <v>160.11678234779498</v>
      </c>
      <c r="DA15" s="173" t="s">
        <v>1034</v>
      </c>
    </row>
    <row r="16" spans="1:105" ht="11.45" customHeight="1" x14ac:dyDescent="0.25">
      <c r="A16" s="107" t="s">
        <v>23</v>
      </c>
      <c r="B16" s="115">
        <v>26.954292008128775</v>
      </c>
      <c r="C16" s="115">
        <v>27.496316465678976</v>
      </c>
      <c r="D16" s="115">
        <v>25.967935596894229</v>
      </c>
      <c r="E16" s="115">
        <v>26.422057671433816</v>
      </c>
      <c r="F16" s="115">
        <v>26.733427815382363</v>
      </c>
      <c r="G16" s="115">
        <v>26.316701050553853</v>
      </c>
      <c r="H16" s="115">
        <v>28.161219068361834</v>
      </c>
      <c r="I16" s="115">
        <v>29.514984400686345</v>
      </c>
      <c r="J16" s="115">
        <v>29.410746018334514</v>
      </c>
      <c r="K16" s="115">
        <v>29.64824639606665</v>
      </c>
      <c r="L16" s="115">
        <v>30.203605152780948</v>
      </c>
      <c r="M16" s="115">
        <v>30.963309325586046</v>
      </c>
      <c r="N16" s="115">
        <v>31.606321432424181</v>
      </c>
      <c r="O16" s="115">
        <v>32.773115143742139</v>
      </c>
      <c r="P16" s="115">
        <v>32.706013000239253</v>
      </c>
      <c r="Q16" s="115">
        <v>33.492357884456744</v>
      </c>
      <c r="R16" s="115">
        <v>34.885925455879388</v>
      </c>
      <c r="S16" s="115">
        <v>35.188387107119283</v>
      </c>
      <c r="T16" s="115">
        <v>34.486246980194856</v>
      </c>
      <c r="U16" s="115">
        <v>33.98429412221838</v>
      </c>
      <c r="V16" s="115">
        <v>33.823947391725788</v>
      </c>
      <c r="W16" s="115">
        <v>33.962220710676391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68.5148960028272</v>
      </c>
      <c r="C17" s="116">
        <f t="shared" ref="C17:V17" si="16">SUM(C18:C19)</f>
        <v>69.352856952558113</v>
      </c>
      <c r="D17" s="116">
        <f t="shared" si="16"/>
        <v>71.609196118856687</v>
      </c>
      <c r="E17" s="116">
        <f t="shared" si="16"/>
        <v>72.847930984700838</v>
      </c>
      <c r="F17" s="116">
        <f t="shared" si="16"/>
        <v>76.729714968876849</v>
      </c>
      <c r="G17" s="116">
        <f t="shared" si="16"/>
        <v>73.330948003124348</v>
      </c>
      <c r="H17" s="116">
        <f t="shared" si="16"/>
        <v>77.7738633386939</v>
      </c>
      <c r="I17" s="116">
        <f t="shared" si="16"/>
        <v>81.671395959104004</v>
      </c>
      <c r="J17" s="116">
        <f t="shared" si="16"/>
        <v>71.295491860536842</v>
      </c>
      <c r="K17" s="116">
        <f t="shared" si="16"/>
        <v>80.499326012839646</v>
      </c>
      <c r="L17" s="116">
        <f t="shared" si="16"/>
        <v>78.885841987176278</v>
      </c>
      <c r="M17" s="116">
        <f t="shared" si="16"/>
        <v>90.187393271341534</v>
      </c>
      <c r="N17" s="116">
        <f t="shared" si="16"/>
        <v>97.253746204831316</v>
      </c>
      <c r="O17" s="116">
        <f t="shared" si="16"/>
        <v>103.90802431969388</v>
      </c>
      <c r="P17" s="116">
        <f t="shared" si="16"/>
        <v>99.448212411689326</v>
      </c>
      <c r="Q17" s="116">
        <f t="shared" si="16"/>
        <v>103.13583085158743</v>
      </c>
      <c r="R17" s="116">
        <f t="shared" si="16"/>
        <v>108.71447091530555</v>
      </c>
      <c r="S17" s="116">
        <f t="shared" si="16"/>
        <v>93.76500743444322</v>
      </c>
      <c r="T17" s="116">
        <f t="shared" si="16"/>
        <v>107.0589383655651</v>
      </c>
      <c r="U17" s="116">
        <f t="shared" si="16"/>
        <v>101.31121198871146</v>
      </c>
      <c r="V17" s="116">
        <f t="shared" si="16"/>
        <v>93.999131375418386</v>
      </c>
      <c r="W17" s="116">
        <f t="shared" ref="W17" si="17">SUM(W18:W19)</f>
        <v>109.77410937105745</v>
      </c>
      <c r="DA17" s="176" t="s">
        <v>1036</v>
      </c>
    </row>
    <row r="18" spans="1:105" ht="11.45" customHeight="1" x14ac:dyDescent="0.25">
      <c r="A18" s="111" t="s">
        <v>92</v>
      </c>
      <c r="B18" s="87">
        <v>3.3509542692692986</v>
      </c>
      <c r="C18" s="87">
        <v>3.9106230118690815</v>
      </c>
      <c r="D18" s="87">
        <v>5.5901471324020733</v>
      </c>
      <c r="E18" s="87">
        <v>4.5448101596282768</v>
      </c>
      <c r="F18" s="87">
        <v>2.5455347980672345</v>
      </c>
      <c r="G18" s="87">
        <v>2.0920186006006998</v>
      </c>
      <c r="H18" s="87">
        <v>3.0777350828010239</v>
      </c>
      <c r="I18" s="87">
        <v>2.9483671924020403</v>
      </c>
      <c r="J18" s="87">
        <v>3.8114451277200128</v>
      </c>
      <c r="K18" s="87">
        <v>3.8737274892951059</v>
      </c>
      <c r="L18" s="87">
        <v>3.4249772998148518</v>
      </c>
      <c r="M18" s="87">
        <v>2.7552899129572475</v>
      </c>
      <c r="N18" s="87">
        <v>3.8543212675055791</v>
      </c>
      <c r="O18" s="87">
        <v>2.9317498932382793</v>
      </c>
      <c r="P18" s="87">
        <v>3.201367282983949</v>
      </c>
      <c r="Q18" s="87">
        <v>3.027500287432372</v>
      </c>
      <c r="R18" s="87">
        <v>3.0448211914826504</v>
      </c>
      <c r="S18" s="87">
        <v>3.3808799858601457</v>
      </c>
      <c r="T18" s="87">
        <v>3.4866225991255728</v>
      </c>
      <c r="U18" s="87">
        <v>4.017492449050204</v>
      </c>
      <c r="V18" s="87">
        <v>3.9421323221693489</v>
      </c>
      <c r="W18" s="87">
        <v>3.5556649588883262</v>
      </c>
      <c r="DA18" s="171" t="s">
        <v>1037</v>
      </c>
    </row>
    <row r="19" spans="1:105" ht="11.45" customHeight="1" x14ac:dyDescent="0.25">
      <c r="A19" s="111" t="s">
        <v>93</v>
      </c>
      <c r="B19" s="87">
        <v>65.163941733557905</v>
      </c>
      <c r="C19" s="87">
        <v>65.442233940689036</v>
      </c>
      <c r="D19" s="87">
        <v>66.019048986454607</v>
      </c>
      <c r="E19" s="87">
        <v>68.303120825072568</v>
      </c>
      <c r="F19" s="87">
        <v>74.184180170809611</v>
      </c>
      <c r="G19" s="87">
        <v>71.238929402523652</v>
      </c>
      <c r="H19" s="87">
        <v>74.696128255892873</v>
      </c>
      <c r="I19" s="87">
        <v>78.723028766701958</v>
      </c>
      <c r="J19" s="87">
        <v>67.484046732816836</v>
      </c>
      <c r="K19" s="87">
        <v>76.625598523544539</v>
      </c>
      <c r="L19" s="87">
        <v>75.460864687361422</v>
      </c>
      <c r="M19" s="87">
        <v>87.432103358384282</v>
      </c>
      <c r="N19" s="87">
        <v>93.399424937325733</v>
      </c>
      <c r="O19" s="87">
        <v>100.9762744264556</v>
      </c>
      <c r="P19" s="87">
        <v>96.246845128705374</v>
      </c>
      <c r="Q19" s="87">
        <v>100.10833056415505</v>
      </c>
      <c r="R19" s="87">
        <v>105.6696497238229</v>
      </c>
      <c r="S19" s="87">
        <v>90.384127448583072</v>
      </c>
      <c r="T19" s="87">
        <v>103.57231576643953</v>
      </c>
      <c r="U19" s="87">
        <v>97.293719539661254</v>
      </c>
      <c r="V19" s="87">
        <v>90.056999053249044</v>
      </c>
      <c r="W19" s="87">
        <v>106.21844441216912</v>
      </c>
      <c r="DA19" s="171" t="s">
        <v>1038</v>
      </c>
    </row>
    <row r="20" spans="1:105" ht="11.45" customHeight="1" x14ac:dyDescent="0.25">
      <c r="A20" s="112" t="s">
        <v>25</v>
      </c>
      <c r="B20" s="117">
        <v>12.369854077253219</v>
      </c>
      <c r="C20" s="117">
        <v>13.457579399141633</v>
      </c>
      <c r="D20" s="117">
        <v>14.442575107296138</v>
      </c>
      <c r="E20" s="117">
        <v>14.503004291845492</v>
      </c>
      <c r="F20" s="117">
        <v>14.635948497854075</v>
      </c>
      <c r="G20" s="117">
        <v>14.080000000000002</v>
      </c>
      <c r="H20" s="117">
        <v>13.24</v>
      </c>
      <c r="I20" s="117">
        <v>13.33</v>
      </c>
      <c r="J20" s="117">
        <v>13.7</v>
      </c>
      <c r="K20" s="117">
        <v>14.2</v>
      </c>
      <c r="L20" s="117">
        <v>13.800000000000002</v>
      </c>
      <c r="M20" s="117">
        <v>14.2</v>
      </c>
      <c r="N20" s="117">
        <v>14.4</v>
      </c>
      <c r="O20" s="117">
        <v>15.4</v>
      </c>
      <c r="P20" s="117">
        <v>17.3</v>
      </c>
      <c r="Q20" s="117">
        <v>16.5</v>
      </c>
      <c r="R20" s="117">
        <v>17.2</v>
      </c>
      <c r="S20" s="117">
        <v>18.5</v>
      </c>
      <c r="T20" s="117">
        <v>17.857142857142858</v>
      </c>
      <c r="U20" s="117">
        <v>19.768054823405375</v>
      </c>
      <c r="V20" s="117">
        <v>15.948765256883339</v>
      </c>
      <c r="W20" s="117">
        <v>16.380452266061123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41.707804017145385</v>
      </c>
      <c r="C21" s="29">
        <f t="shared" ref="C21:V21" si="19">SUM(C22:C23)</f>
        <v>38.961409159499624</v>
      </c>
      <c r="D21" s="29">
        <f t="shared" si="19"/>
        <v>39.600932293180257</v>
      </c>
      <c r="E21" s="29">
        <f t="shared" si="19"/>
        <v>39.764868963997365</v>
      </c>
      <c r="F21" s="29">
        <f t="shared" si="19"/>
        <v>43.662408903998234</v>
      </c>
      <c r="G21" s="29">
        <f t="shared" si="19"/>
        <v>44.316032903876781</v>
      </c>
      <c r="H21" s="29">
        <f t="shared" si="19"/>
        <v>46.471288399491236</v>
      </c>
      <c r="I21" s="29">
        <f t="shared" si="19"/>
        <v>51.017628362082462</v>
      </c>
      <c r="J21" s="29">
        <f t="shared" si="19"/>
        <v>42.188550651456453</v>
      </c>
      <c r="K21" s="29">
        <f t="shared" si="19"/>
        <v>38.543169241203628</v>
      </c>
      <c r="L21" s="29">
        <f t="shared" si="19"/>
        <v>40.454282202374287</v>
      </c>
      <c r="M21" s="29">
        <f t="shared" si="19"/>
        <v>43.363976166455927</v>
      </c>
      <c r="N21" s="29">
        <f t="shared" si="19"/>
        <v>41.809480004300752</v>
      </c>
      <c r="O21" s="29">
        <f t="shared" si="19"/>
        <v>40.156931095716516</v>
      </c>
      <c r="P21" s="29">
        <f t="shared" si="19"/>
        <v>37.097962006188901</v>
      </c>
      <c r="Q21" s="29">
        <f t="shared" si="19"/>
        <v>35.458073348921637</v>
      </c>
      <c r="R21" s="29">
        <f t="shared" si="19"/>
        <v>35.51734720074252</v>
      </c>
      <c r="S21" s="29">
        <f t="shared" si="19"/>
        <v>36.781374495101147</v>
      </c>
      <c r="T21" s="29">
        <f t="shared" si="19"/>
        <v>34.614200325901116</v>
      </c>
      <c r="U21" s="29">
        <f t="shared" si="19"/>
        <v>33.256148272741434</v>
      </c>
      <c r="V21" s="29">
        <f t="shared" si="19"/>
        <v>31.868115291126106</v>
      </c>
      <c r="W21" s="29">
        <f t="shared" ref="W21" si="20">SUM(W22:W23)</f>
        <v>35.754640596884549</v>
      </c>
      <c r="DA21" s="173" t="s">
        <v>1040</v>
      </c>
    </row>
    <row r="22" spans="1:105" ht="11.45" customHeight="1" x14ac:dyDescent="0.25">
      <c r="A22" s="83" t="s">
        <v>92</v>
      </c>
      <c r="B22" s="87">
        <v>2.9640452605979073</v>
      </c>
      <c r="C22" s="87">
        <v>2.7525990973386114</v>
      </c>
      <c r="D22" s="87">
        <v>2.5961365539906871</v>
      </c>
      <c r="E22" s="87">
        <v>2.8326731601485333</v>
      </c>
      <c r="F22" s="87">
        <v>3.1292425904209784</v>
      </c>
      <c r="G22" s="87">
        <v>3.3383317559456489</v>
      </c>
      <c r="H22" s="87">
        <v>3.1589500422317736</v>
      </c>
      <c r="I22" s="87">
        <v>3.083429440244315</v>
      </c>
      <c r="J22" s="87">
        <v>3.0095004470843834</v>
      </c>
      <c r="K22" s="87">
        <v>2.5329738341563415</v>
      </c>
      <c r="L22" s="87">
        <v>2.7038054754083887</v>
      </c>
      <c r="M22" s="87">
        <v>3.0594238114241321</v>
      </c>
      <c r="N22" s="87">
        <v>2.5477308333661548</v>
      </c>
      <c r="O22" s="87">
        <v>2.5640267088182056</v>
      </c>
      <c r="P22" s="87">
        <v>2.0657096768062382</v>
      </c>
      <c r="Q22" s="87">
        <v>2.1275895177726962</v>
      </c>
      <c r="R22" s="87">
        <v>2.0548543440899749</v>
      </c>
      <c r="S22" s="87">
        <v>1.7012314886311279</v>
      </c>
      <c r="T22" s="87">
        <v>1.9251551346027811</v>
      </c>
      <c r="U22" s="87">
        <v>1.7277676633582335</v>
      </c>
      <c r="V22" s="87">
        <v>1.7117982335705773</v>
      </c>
      <c r="W22" s="87">
        <v>1.278141372745581</v>
      </c>
      <c r="DA22" s="171" t="s">
        <v>1041</v>
      </c>
    </row>
    <row r="23" spans="1:105" ht="11.45" customHeight="1" x14ac:dyDescent="0.25">
      <c r="A23" s="85" t="s">
        <v>93</v>
      </c>
      <c r="B23" s="88">
        <v>38.743758756547479</v>
      </c>
      <c r="C23" s="88">
        <v>36.208810062161014</v>
      </c>
      <c r="D23" s="88">
        <v>37.004795739189568</v>
      </c>
      <c r="E23" s="88">
        <v>36.932195803848835</v>
      </c>
      <c r="F23" s="88">
        <v>40.533166313577254</v>
      </c>
      <c r="G23" s="88">
        <v>40.977701147931135</v>
      </c>
      <c r="H23" s="88">
        <v>43.312338357259463</v>
      </c>
      <c r="I23" s="88">
        <v>47.934198921838146</v>
      </c>
      <c r="J23" s="88">
        <v>39.179050204372068</v>
      </c>
      <c r="K23" s="88">
        <v>36.010195407047284</v>
      </c>
      <c r="L23" s="88">
        <v>37.7504767269659</v>
      </c>
      <c r="M23" s="88">
        <v>40.304552355031795</v>
      </c>
      <c r="N23" s="88">
        <v>39.2617491709346</v>
      </c>
      <c r="O23" s="88">
        <v>37.592904386898311</v>
      </c>
      <c r="P23" s="88">
        <v>35.032252329382665</v>
      </c>
      <c r="Q23" s="88">
        <v>33.330483831148939</v>
      </c>
      <c r="R23" s="88">
        <v>33.462492856652545</v>
      </c>
      <c r="S23" s="88">
        <v>35.080143006470017</v>
      </c>
      <c r="T23" s="88">
        <v>32.689045191298334</v>
      </c>
      <c r="U23" s="88">
        <v>31.528380609383202</v>
      </c>
      <c r="V23" s="88">
        <v>30.15631705755553</v>
      </c>
      <c r="W23" s="88">
        <v>34.476499224138969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937.83258000000001</v>
      </c>
      <c r="C25" s="62">
        <f t="shared" ref="C25:V25" si="22">C26+C32</f>
        <v>937.03167400000007</v>
      </c>
      <c r="D25" s="62">
        <f t="shared" si="22"/>
        <v>943.56605799999988</v>
      </c>
      <c r="E25" s="62">
        <f t="shared" si="22"/>
        <v>961.64158799999996</v>
      </c>
      <c r="F25" s="62">
        <f t="shared" si="22"/>
        <v>1021.228449</v>
      </c>
      <c r="G25" s="62">
        <f t="shared" si="22"/>
        <v>997.60372900000016</v>
      </c>
      <c r="H25" s="62">
        <f t="shared" si="22"/>
        <v>1044.0957100000001</v>
      </c>
      <c r="I25" s="62">
        <f t="shared" si="22"/>
        <v>1103.946402</v>
      </c>
      <c r="J25" s="62">
        <f t="shared" si="22"/>
        <v>1039.9486829999998</v>
      </c>
      <c r="K25" s="62">
        <f t="shared" si="22"/>
        <v>1052.239961</v>
      </c>
      <c r="L25" s="62">
        <f t="shared" si="22"/>
        <v>1034.179621</v>
      </c>
      <c r="M25" s="62">
        <f t="shared" si="22"/>
        <v>1134.097671</v>
      </c>
      <c r="N25" s="62">
        <f t="shared" si="22"/>
        <v>1177.8123479999999</v>
      </c>
      <c r="O25" s="62">
        <f t="shared" si="22"/>
        <v>1229.58096</v>
      </c>
      <c r="P25" s="62">
        <f t="shared" si="22"/>
        <v>1185.259294</v>
      </c>
      <c r="Q25" s="62">
        <f t="shared" si="22"/>
        <v>1206.0052229999999</v>
      </c>
      <c r="R25" s="62">
        <f t="shared" si="22"/>
        <v>1257.7168770000001</v>
      </c>
      <c r="S25" s="62">
        <f t="shared" si="22"/>
        <v>1228.7594120000001</v>
      </c>
      <c r="T25" s="62">
        <f t="shared" si="22"/>
        <v>1239.9911360000001</v>
      </c>
      <c r="U25" s="62">
        <f t="shared" si="22"/>
        <v>1194.565963</v>
      </c>
      <c r="V25" s="62">
        <f t="shared" si="22"/>
        <v>1139.4742170000002</v>
      </c>
      <c r="W25" s="62">
        <f t="shared" ref="W25" si="23">W26+W32</f>
        <v>1258.8081050000001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729.29355900000007</v>
      </c>
      <c r="C26" s="29">
        <f t="shared" ref="C26:V26" si="25">SUM(C27,C28,C31)</f>
        <v>742.22462700000005</v>
      </c>
      <c r="D26" s="29">
        <f t="shared" si="25"/>
        <v>745.56139599999995</v>
      </c>
      <c r="E26" s="29">
        <f t="shared" si="25"/>
        <v>762.81724199999996</v>
      </c>
      <c r="F26" s="29">
        <f t="shared" si="25"/>
        <v>802.91640399999994</v>
      </c>
      <c r="G26" s="29">
        <f t="shared" si="25"/>
        <v>776.02356400000008</v>
      </c>
      <c r="H26" s="29">
        <f t="shared" si="25"/>
        <v>811.73926700000004</v>
      </c>
      <c r="I26" s="29">
        <f t="shared" si="25"/>
        <v>848.85825899999998</v>
      </c>
      <c r="J26" s="29">
        <f t="shared" si="25"/>
        <v>804.60206399999993</v>
      </c>
      <c r="K26" s="29">
        <f t="shared" si="25"/>
        <v>837.74724300000003</v>
      </c>
      <c r="L26" s="29">
        <f t="shared" si="25"/>
        <v>831.90820899999994</v>
      </c>
      <c r="M26" s="29">
        <f t="shared" si="25"/>
        <v>917.27778899999998</v>
      </c>
      <c r="N26" s="29">
        <f t="shared" si="25"/>
        <v>967.68850399999997</v>
      </c>
      <c r="O26" s="29">
        <f t="shared" si="25"/>
        <v>1028.796304</v>
      </c>
      <c r="P26" s="29">
        <f t="shared" si="25"/>
        <v>998.75991999999985</v>
      </c>
      <c r="Q26" s="29">
        <f t="shared" si="25"/>
        <v>1028.7148549999999</v>
      </c>
      <c r="R26" s="29">
        <f t="shared" si="25"/>
        <v>1080.13014</v>
      </c>
      <c r="S26" s="29">
        <f t="shared" si="25"/>
        <v>1044.566446</v>
      </c>
      <c r="T26" s="29">
        <f t="shared" si="25"/>
        <v>1066.9201340000002</v>
      </c>
      <c r="U26" s="29">
        <f t="shared" si="25"/>
        <v>1028.28522</v>
      </c>
      <c r="V26" s="29">
        <f t="shared" si="25"/>
        <v>980.13363900000013</v>
      </c>
      <c r="W26" s="29">
        <f t="shared" ref="W26" si="26">SUM(W27,W28,W31)</f>
        <v>1079.3486380000002</v>
      </c>
      <c r="DA26" s="173" t="s">
        <v>1044</v>
      </c>
    </row>
    <row r="27" spans="1:105" ht="11.45" customHeight="1" x14ac:dyDescent="0.25">
      <c r="A27" s="107" t="s">
        <v>23</v>
      </c>
      <c r="B27" s="115">
        <v>245.039019</v>
      </c>
      <c r="C27" s="115">
        <v>249.96651399999999</v>
      </c>
      <c r="D27" s="115">
        <v>236.07214199999999</v>
      </c>
      <c r="E27" s="115">
        <v>240.200525</v>
      </c>
      <c r="F27" s="115">
        <v>243.03116199999999</v>
      </c>
      <c r="G27" s="115">
        <v>239.24273700000001</v>
      </c>
      <c r="H27" s="115">
        <v>256.01108299999999</v>
      </c>
      <c r="I27" s="115">
        <v>268.31804099999999</v>
      </c>
      <c r="J27" s="115">
        <v>267.37041899999997</v>
      </c>
      <c r="K27" s="115">
        <v>269.52951300000001</v>
      </c>
      <c r="L27" s="115">
        <v>274.57822900000002</v>
      </c>
      <c r="M27" s="115">
        <v>281.48463099999998</v>
      </c>
      <c r="N27" s="115">
        <v>287.330195</v>
      </c>
      <c r="O27" s="115">
        <v>297.937411</v>
      </c>
      <c r="P27" s="115">
        <v>297.32739099999998</v>
      </c>
      <c r="Q27" s="115">
        <v>304.47598099999999</v>
      </c>
      <c r="R27" s="115">
        <v>317.14477699999998</v>
      </c>
      <c r="S27" s="115">
        <v>319.894429</v>
      </c>
      <c r="T27" s="115">
        <v>313.51133700000003</v>
      </c>
      <c r="U27" s="115">
        <v>308.94812899999999</v>
      </c>
      <c r="V27" s="115">
        <v>307.490431</v>
      </c>
      <c r="W27" s="115">
        <v>308.74746199999998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456.76597500000003</v>
      </c>
      <c r="C28" s="116">
        <f t="shared" ref="C28:V28" si="28">SUM(C29:C30)</f>
        <v>462.35238100000004</v>
      </c>
      <c r="D28" s="116">
        <f t="shared" si="28"/>
        <v>477.39464200000003</v>
      </c>
      <c r="E28" s="116">
        <f t="shared" si="28"/>
        <v>490.38781799999998</v>
      </c>
      <c r="F28" s="116">
        <f t="shared" si="28"/>
        <v>527.36091199999998</v>
      </c>
      <c r="G28" s="116">
        <f t="shared" si="28"/>
        <v>505.491938</v>
      </c>
      <c r="H28" s="116">
        <f t="shared" si="28"/>
        <v>526.30596100000002</v>
      </c>
      <c r="I28" s="116">
        <f t="shared" si="28"/>
        <v>550.91799500000002</v>
      </c>
      <c r="J28" s="116">
        <f t="shared" si="28"/>
        <v>506.78719999999998</v>
      </c>
      <c r="K28" s="116">
        <f t="shared" si="28"/>
        <v>536.66217400000005</v>
      </c>
      <c r="L28" s="116">
        <f t="shared" si="28"/>
        <v>526.66331300000002</v>
      </c>
      <c r="M28" s="116">
        <f t="shared" si="28"/>
        <v>604.23760199999992</v>
      </c>
      <c r="N28" s="116">
        <f t="shared" si="28"/>
        <v>648.35830899999996</v>
      </c>
      <c r="O28" s="116">
        <f t="shared" si="28"/>
        <v>696.63666999999998</v>
      </c>
      <c r="P28" s="116">
        <f t="shared" si="28"/>
        <v>662.98808399999996</v>
      </c>
      <c r="Q28" s="116">
        <f t="shared" si="28"/>
        <v>687.57220700000005</v>
      </c>
      <c r="R28" s="116">
        <f t="shared" si="28"/>
        <v>724.76314000000002</v>
      </c>
      <c r="S28" s="116">
        <f t="shared" si="28"/>
        <v>683.56090500000005</v>
      </c>
      <c r="T28" s="116">
        <f t="shared" si="28"/>
        <v>713.72625700000003</v>
      </c>
      <c r="U28" s="116">
        <f t="shared" si="28"/>
        <v>675.40807999999993</v>
      </c>
      <c r="V28" s="116">
        <f t="shared" si="28"/>
        <v>631.46305300000006</v>
      </c>
      <c r="W28" s="116">
        <f t="shared" ref="W28" si="29">SUM(W29:W30)</f>
        <v>732.16987700000004</v>
      </c>
      <c r="DA28" s="176" t="s">
        <v>1046</v>
      </c>
    </row>
    <row r="29" spans="1:105" ht="11.45" customHeight="1" x14ac:dyDescent="0.25">
      <c r="A29" s="111" t="s">
        <v>92</v>
      </c>
      <c r="B29" s="87">
        <v>22.339696</v>
      </c>
      <c r="C29" s="87">
        <v>26.070821000000002</v>
      </c>
      <c r="D29" s="87">
        <v>37.267647999999994</v>
      </c>
      <c r="E29" s="87">
        <v>35.033678999999999</v>
      </c>
      <c r="F29" s="87">
        <v>32.799709999999997</v>
      </c>
      <c r="G29" s="87">
        <v>30.565741000000003</v>
      </c>
      <c r="H29" s="87">
        <v>28.331772000000001</v>
      </c>
      <c r="I29" s="87">
        <v>26.097803000000003</v>
      </c>
      <c r="J29" s="87">
        <v>25.409635000000002</v>
      </c>
      <c r="K29" s="87">
        <v>25.824850000000001</v>
      </c>
      <c r="L29" s="87">
        <v>23.590881</v>
      </c>
      <c r="M29" s="87">
        <v>21.356912000000001</v>
      </c>
      <c r="N29" s="87">
        <v>25.695475999999999</v>
      </c>
      <c r="O29" s="87">
        <v>23.461507000000001</v>
      </c>
      <c r="P29" s="87">
        <v>21.342449000000002</v>
      </c>
      <c r="Q29" s="87">
        <v>20.183336000000001</v>
      </c>
      <c r="R29" s="87">
        <v>20.298808000000001</v>
      </c>
      <c r="S29" s="87">
        <v>22.539200000000001</v>
      </c>
      <c r="T29" s="87">
        <v>23.244151000000002</v>
      </c>
      <c r="U29" s="87">
        <v>26.783283000000001</v>
      </c>
      <c r="V29" s="87">
        <v>26.280882999999999</v>
      </c>
      <c r="W29" s="87">
        <v>24.046914000000001</v>
      </c>
      <c r="DA29" s="171" t="s">
        <v>1047</v>
      </c>
    </row>
    <row r="30" spans="1:105" ht="11.45" customHeight="1" x14ac:dyDescent="0.25">
      <c r="A30" s="111" t="s">
        <v>93</v>
      </c>
      <c r="B30" s="87">
        <v>434.42627900000002</v>
      </c>
      <c r="C30" s="87">
        <v>436.28156000000001</v>
      </c>
      <c r="D30" s="87">
        <v>440.12699400000002</v>
      </c>
      <c r="E30" s="87">
        <v>455.35413899999998</v>
      </c>
      <c r="F30" s="87">
        <v>494.56120199999998</v>
      </c>
      <c r="G30" s="87">
        <v>474.926197</v>
      </c>
      <c r="H30" s="87">
        <v>497.97418900000002</v>
      </c>
      <c r="I30" s="87">
        <v>524.82019200000002</v>
      </c>
      <c r="J30" s="87">
        <v>481.377565</v>
      </c>
      <c r="K30" s="87">
        <v>510.83732400000002</v>
      </c>
      <c r="L30" s="87">
        <v>503.07243199999999</v>
      </c>
      <c r="M30" s="87">
        <v>582.88068999999996</v>
      </c>
      <c r="N30" s="87">
        <v>622.66283299999998</v>
      </c>
      <c r="O30" s="87">
        <v>673.175163</v>
      </c>
      <c r="P30" s="87">
        <v>641.64563499999997</v>
      </c>
      <c r="Q30" s="87">
        <v>667.38887099999999</v>
      </c>
      <c r="R30" s="87">
        <v>704.46433200000001</v>
      </c>
      <c r="S30" s="87">
        <v>661.021705</v>
      </c>
      <c r="T30" s="87">
        <v>690.48210600000004</v>
      </c>
      <c r="U30" s="87">
        <v>648.62479699999994</v>
      </c>
      <c r="V30" s="87">
        <v>605.18217000000004</v>
      </c>
      <c r="W30" s="87">
        <v>708.12296300000003</v>
      </c>
      <c r="DA30" s="171" t="s">
        <v>1048</v>
      </c>
    </row>
    <row r="31" spans="1:105" ht="11.45" customHeight="1" x14ac:dyDescent="0.25">
      <c r="A31" s="112" t="s">
        <v>25</v>
      </c>
      <c r="B31" s="117">
        <v>27.488565000000001</v>
      </c>
      <c r="C31" s="117">
        <v>29.905732</v>
      </c>
      <c r="D31" s="117">
        <v>32.094611999999998</v>
      </c>
      <c r="E31" s="117">
        <v>32.228898999999998</v>
      </c>
      <c r="F31" s="117">
        <v>32.524329999999999</v>
      </c>
      <c r="G31" s="117">
        <v>31.288889000000001</v>
      </c>
      <c r="H31" s="117">
        <v>29.422223000000002</v>
      </c>
      <c r="I31" s="117">
        <v>29.622223000000002</v>
      </c>
      <c r="J31" s="117">
        <v>30.444445000000002</v>
      </c>
      <c r="K31" s="117">
        <v>31.555555999999999</v>
      </c>
      <c r="L31" s="117">
        <v>30.666667</v>
      </c>
      <c r="M31" s="117">
        <v>31.555555999999999</v>
      </c>
      <c r="N31" s="117">
        <v>32</v>
      </c>
      <c r="O31" s="117">
        <v>34.222223</v>
      </c>
      <c r="P31" s="117">
        <v>38.444444999999995</v>
      </c>
      <c r="Q31" s="117">
        <v>36.666666999999997</v>
      </c>
      <c r="R31" s="117">
        <v>38.222223</v>
      </c>
      <c r="S31" s="117">
        <v>41.111111999999999</v>
      </c>
      <c r="T31" s="117">
        <v>39.682539999999996</v>
      </c>
      <c r="U31" s="117">
        <v>43.929010999999996</v>
      </c>
      <c r="V31" s="117">
        <v>41.180154999999999</v>
      </c>
      <c r="W31" s="117">
        <v>38.431298999999996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208.53902099999999</v>
      </c>
      <c r="C32" s="29">
        <f t="shared" ref="C32:V32" si="31">SUM(C33:C34)</f>
        <v>194.80704699999998</v>
      </c>
      <c r="D32" s="29">
        <f t="shared" si="31"/>
        <v>198.004662</v>
      </c>
      <c r="E32" s="29">
        <f t="shared" si="31"/>
        <v>198.82434599999999</v>
      </c>
      <c r="F32" s="29">
        <f t="shared" si="31"/>
        <v>218.31204499999998</v>
      </c>
      <c r="G32" s="29">
        <f t="shared" si="31"/>
        <v>221.58016500000002</v>
      </c>
      <c r="H32" s="29">
        <f t="shared" si="31"/>
        <v>232.35644299999998</v>
      </c>
      <c r="I32" s="29">
        <f t="shared" si="31"/>
        <v>255.088143</v>
      </c>
      <c r="J32" s="29">
        <f t="shared" si="31"/>
        <v>235.346619</v>
      </c>
      <c r="K32" s="29">
        <f t="shared" si="31"/>
        <v>214.492718</v>
      </c>
      <c r="L32" s="29">
        <f t="shared" si="31"/>
        <v>202.271412</v>
      </c>
      <c r="M32" s="29">
        <f t="shared" si="31"/>
        <v>216.81988200000001</v>
      </c>
      <c r="N32" s="29">
        <f t="shared" si="31"/>
        <v>210.12384399999999</v>
      </c>
      <c r="O32" s="29">
        <f t="shared" si="31"/>
        <v>200.78465599999998</v>
      </c>
      <c r="P32" s="29">
        <f t="shared" si="31"/>
        <v>186.49937399999999</v>
      </c>
      <c r="Q32" s="29">
        <f t="shared" si="31"/>
        <v>177.290368</v>
      </c>
      <c r="R32" s="29">
        <f t="shared" si="31"/>
        <v>177.586737</v>
      </c>
      <c r="S32" s="29">
        <f t="shared" si="31"/>
        <v>184.19296599999998</v>
      </c>
      <c r="T32" s="29">
        <f t="shared" si="31"/>
        <v>173.07100199999999</v>
      </c>
      <c r="U32" s="29">
        <f t="shared" si="31"/>
        <v>166.280743</v>
      </c>
      <c r="V32" s="29">
        <f t="shared" si="31"/>
        <v>159.34057799999999</v>
      </c>
      <c r="W32" s="29">
        <f t="shared" ref="W32" si="32">SUM(W33:W34)</f>
        <v>179.45946699999999</v>
      </c>
      <c r="DA32" s="173" t="s">
        <v>1050</v>
      </c>
    </row>
    <row r="33" spans="1:105" ht="11.45" customHeight="1" x14ac:dyDescent="0.25">
      <c r="A33" s="83" t="s">
        <v>92</v>
      </c>
      <c r="B33" s="87">
        <v>14.820226999999999</v>
      </c>
      <c r="C33" s="87">
        <v>13.762995999999999</v>
      </c>
      <c r="D33" s="87">
        <v>12.980682999999999</v>
      </c>
      <c r="E33" s="87">
        <v>14.163366</v>
      </c>
      <c r="F33" s="87">
        <v>15.646212999999999</v>
      </c>
      <c r="G33" s="87">
        <v>16.691659000000001</v>
      </c>
      <c r="H33" s="87">
        <v>15.794751</v>
      </c>
      <c r="I33" s="87">
        <v>15.417147999999999</v>
      </c>
      <c r="J33" s="87">
        <v>15.047502999999999</v>
      </c>
      <c r="K33" s="87">
        <v>13.565481</v>
      </c>
      <c r="L33" s="87">
        <v>13.519027999999999</v>
      </c>
      <c r="M33" s="87">
        <v>15.29712</v>
      </c>
      <c r="N33" s="87">
        <v>13.815097999999999</v>
      </c>
      <c r="O33" s="87">
        <v>12.820133999999999</v>
      </c>
      <c r="P33" s="87">
        <v>11.338111999999999</v>
      </c>
      <c r="Q33" s="87">
        <v>10.637948</v>
      </c>
      <c r="R33" s="87">
        <v>10.274272</v>
      </c>
      <c r="S33" s="87">
        <v>8.7922499999999992</v>
      </c>
      <c r="T33" s="87">
        <v>9.6257760000000001</v>
      </c>
      <c r="U33" s="87">
        <v>8.638838999999999</v>
      </c>
      <c r="V33" s="87">
        <v>8.5589919999999999</v>
      </c>
      <c r="W33" s="87">
        <v>7.0769700000000002</v>
      </c>
      <c r="DA33" s="171" t="s">
        <v>1051</v>
      </c>
    </row>
    <row r="34" spans="1:105" ht="11.45" customHeight="1" x14ac:dyDescent="0.25">
      <c r="A34" s="85" t="s">
        <v>93</v>
      </c>
      <c r="B34" s="88">
        <v>193.718794</v>
      </c>
      <c r="C34" s="88">
        <v>181.044051</v>
      </c>
      <c r="D34" s="88">
        <v>185.023979</v>
      </c>
      <c r="E34" s="88">
        <v>184.66098</v>
      </c>
      <c r="F34" s="88">
        <v>202.66583199999999</v>
      </c>
      <c r="G34" s="88">
        <v>204.88850600000001</v>
      </c>
      <c r="H34" s="88">
        <v>216.56169199999999</v>
      </c>
      <c r="I34" s="88">
        <v>239.670995</v>
      </c>
      <c r="J34" s="88">
        <v>220.299116</v>
      </c>
      <c r="K34" s="88">
        <v>200.92723699999999</v>
      </c>
      <c r="L34" s="88">
        <v>188.75238400000001</v>
      </c>
      <c r="M34" s="88">
        <v>201.522762</v>
      </c>
      <c r="N34" s="88">
        <v>196.30874599999999</v>
      </c>
      <c r="O34" s="88">
        <v>187.96452199999999</v>
      </c>
      <c r="P34" s="88">
        <v>175.16126199999999</v>
      </c>
      <c r="Q34" s="88">
        <v>166.65242000000001</v>
      </c>
      <c r="R34" s="88">
        <v>167.312465</v>
      </c>
      <c r="S34" s="88">
        <v>175.40071599999999</v>
      </c>
      <c r="T34" s="88">
        <v>163.44522599999999</v>
      </c>
      <c r="U34" s="88">
        <v>157.64190400000001</v>
      </c>
      <c r="V34" s="88">
        <v>150.781586</v>
      </c>
      <c r="W34" s="88">
        <v>172.382497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35.451951999999984</v>
      </c>
      <c r="D36" s="54">
        <f t="shared" ref="D36:V36" si="34">D37+D43</f>
        <v>41.434537000000027</v>
      </c>
      <c r="E36" s="54">
        <f t="shared" si="34"/>
        <v>48.546677000000003</v>
      </c>
      <c r="F36" s="54">
        <f t="shared" si="34"/>
        <v>90.058008000000029</v>
      </c>
      <c r="G36" s="54">
        <f t="shared" si="34"/>
        <v>14.397235000000048</v>
      </c>
      <c r="H36" s="54">
        <f t="shared" si="34"/>
        <v>78.321732000000026</v>
      </c>
      <c r="I36" s="54">
        <f t="shared" si="34"/>
        <v>90.321839000000054</v>
      </c>
      <c r="J36" s="54">
        <f t="shared" si="34"/>
        <v>9.4230029999999871</v>
      </c>
      <c r="K36" s="54">
        <f t="shared" si="34"/>
        <v>55.66606300000003</v>
      </c>
      <c r="L36" s="54">
        <f t="shared" si="34"/>
        <v>18.585296999999947</v>
      </c>
      <c r="M36" s="54">
        <f t="shared" si="34"/>
        <v>130.38919699999997</v>
      </c>
      <c r="N36" s="54">
        <f t="shared" si="34"/>
        <v>73.752385000000075</v>
      </c>
      <c r="O36" s="54">
        <f t="shared" si="34"/>
        <v>84.993625000000037</v>
      </c>
      <c r="P36" s="54">
        <f t="shared" si="34"/>
        <v>12.798869999999987</v>
      </c>
      <c r="Q36" s="54">
        <f t="shared" si="34"/>
        <v>53.689232000000061</v>
      </c>
      <c r="R36" s="54">
        <f t="shared" si="34"/>
        <v>80.817860000000053</v>
      </c>
      <c r="S36" s="54">
        <f t="shared" si="34"/>
        <v>32.057682000000035</v>
      </c>
      <c r="T36" s="54">
        <f t="shared" si="34"/>
        <v>46.832740000000101</v>
      </c>
      <c r="U36" s="54">
        <f t="shared" si="34"/>
        <v>13.509571000000012</v>
      </c>
      <c r="V36" s="54">
        <f t="shared" si="34"/>
        <v>7.7118210000000182</v>
      </c>
      <c r="W36" s="54">
        <f t="shared" ref="W36" si="35">W37+W43</f>
        <v>152.630943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35.451951999999984</v>
      </c>
      <c r="D37" s="28">
        <f t="shared" ref="D37:V37" si="37">SUM(D38,D39,D42)</f>
        <v>31.419807000000013</v>
      </c>
      <c r="E37" s="28">
        <f t="shared" si="37"/>
        <v>41.141670999999988</v>
      </c>
      <c r="F37" s="28">
        <f t="shared" si="37"/>
        <v>63.984987000000025</v>
      </c>
      <c r="G37" s="28">
        <f t="shared" si="37"/>
        <v>4.5437930000000222</v>
      </c>
      <c r="H37" s="28">
        <f t="shared" si="37"/>
        <v>60.613744000000025</v>
      </c>
      <c r="I37" s="28">
        <f t="shared" si="37"/>
        <v>61.004817000000031</v>
      </c>
      <c r="J37" s="28">
        <f t="shared" si="37"/>
        <v>9.2421279999999868</v>
      </c>
      <c r="K37" s="28">
        <f t="shared" si="37"/>
        <v>55.66606300000003</v>
      </c>
      <c r="L37" s="28">
        <f t="shared" si="37"/>
        <v>18.081229999999948</v>
      </c>
      <c r="M37" s="28">
        <f t="shared" si="37"/>
        <v>109.25540499999995</v>
      </c>
      <c r="N37" s="28">
        <f t="shared" si="37"/>
        <v>72.931599000000077</v>
      </c>
      <c r="O37" s="28">
        <f t="shared" si="37"/>
        <v>84.993625000000037</v>
      </c>
      <c r="P37" s="28">
        <f t="shared" si="37"/>
        <v>12.798869999999987</v>
      </c>
      <c r="Q37" s="28">
        <f t="shared" si="37"/>
        <v>53.689232000000061</v>
      </c>
      <c r="R37" s="28">
        <f t="shared" si="37"/>
        <v>73.936169000000035</v>
      </c>
      <c r="S37" s="28">
        <f t="shared" si="37"/>
        <v>17.934629000000037</v>
      </c>
      <c r="T37" s="28">
        <f t="shared" si="37"/>
        <v>45.448694000000096</v>
      </c>
      <c r="U37" s="28">
        <f t="shared" si="37"/>
        <v>13.278090999999979</v>
      </c>
      <c r="V37" s="28">
        <f t="shared" si="37"/>
        <v>7.2411480000000168</v>
      </c>
      <c r="W37" s="28">
        <f t="shared" ref="W37" si="38">SUM(W38,W39,W42)</f>
        <v>124.99522999999999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13.259712999999977</v>
      </c>
      <c r="D38" s="108">
        <v>0</v>
      </c>
      <c r="E38" s="108">
        <v>12.460601000000025</v>
      </c>
      <c r="F38" s="108">
        <v>11.162855000000008</v>
      </c>
      <c r="G38" s="108">
        <v>4.5437930000000222</v>
      </c>
      <c r="H38" s="108">
        <v>25.100563999999991</v>
      </c>
      <c r="I38" s="108">
        <v>20.63917600000002</v>
      </c>
      <c r="J38" s="108">
        <v>7.3845959999999877</v>
      </c>
      <c r="K38" s="108">
        <v>10.49131200000005</v>
      </c>
      <c r="L38" s="108">
        <v>13.380934000000025</v>
      </c>
      <c r="M38" s="108">
        <v>15.238619999999969</v>
      </c>
      <c r="N38" s="108">
        <v>14.177782000000036</v>
      </c>
      <c r="O38" s="108">
        <v>18.939434000000006</v>
      </c>
      <c r="P38" s="108">
        <v>7.7221979999999917</v>
      </c>
      <c r="Q38" s="108">
        <v>15.480808000000025</v>
      </c>
      <c r="R38" s="108">
        <v>21.001013999999998</v>
      </c>
      <c r="S38" s="108">
        <v>11.081870000000038</v>
      </c>
      <c r="T38" s="108">
        <v>1.9491260000000352</v>
      </c>
      <c r="U38" s="108">
        <v>3.7690099999999802</v>
      </c>
      <c r="V38" s="108">
        <v>6.8745200000000182</v>
      </c>
      <c r="W38" s="108">
        <v>9.5892489999999952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18.920622000000005</v>
      </c>
      <c r="D39" s="110">
        <f t="shared" ref="D39:V39" si="40">SUM(D40:D41)</f>
        <v>28.376477000000015</v>
      </c>
      <c r="E39" s="110">
        <f t="shared" si="40"/>
        <v>27.692332999999962</v>
      </c>
      <c r="F39" s="110">
        <f t="shared" si="40"/>
        <v>51.672251000000017</v>
      </c>
      <c r="G39" s="110">
        <f t="shared" si="40"/>
        <v>0</v>
      </c>
      <c r="H39" s="110">
        <f t="shared" si="40"/>
        <v>35.513180000000034</v>
      </c>
      <c r="I39" s="110">
        <f t="shared" si="40"/>
        <v>39.311191000000008</v>
      </c>
      <c r="J39" s="110">
        <f t="shared" si="40"/>
        <v>0.18085999999999913</v>
      </c>
      <c r="K39" s="110">
        <f t="shared" si="40"/>
        <v>43.209189999999978</v>
      </c>
      <c r="L39" s="110">
        <f t="shared" si="40"/>
        <v>4.7002959999999234</v>
      </c>
      <c r="M39" s="110">
        <f t="shared" si="40"/>
        <v>92.273445999999979</v>
      </c>
      <c r="N39" s="110">
        <f t="shared" si="40"/>
        <v>57.454923000000029</v>
      </c>
      <c r="O39" s="110">
        <f t="shared" si="40"/>
        <v>62.977518000000032</v>
      </c>
      <c r="P39" s="110">
        <f t="shared" si="40"/>
        <v>0</v>
      </c>
      <c r="Q39" s="110">
        <f t="shared" si="40"/>
        <v>38.208424000000036</v>
      </c>
      <c r="R39" s="110">
        <f t="shared" si="40"/>
        <v>50.525149000000027</v>
      </c>
      <c r="S39" s="110">
        <f t="shared" si="40"/>
        <v>3.1094200000000001</v>
      </c>
      <c r="T39" s="110">
        <f t="shared" si="40"/>
        <v>43.49956800000006</v>
      </c>
      <c r="U39" s="110">
        <f t="shared" si="40"/>
        <v>4.4081599999999987</v>
      </c>
      <c r="V39" s="110">
        <f t="shared" si="40"/>
        <v>0.36662799999999862</v>
      </c>
      <c r="W39" s="110">
        <f t="shared" ref="W39" si="41">SUM(W40:W41)</f>
        <v>115.405981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4.6001530000000024</v>
      </c>
      <c r="D40" s="84">
        <v>12.065854999999992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0.18085999999999913</v>
      </c>
      <c r="K40" s="84">
        <v>1.284243</v>
      </c>
      <c r="L40" s="84">
        <v>0</v>
      </c>
      <c r="M40" s="84">
        <v>0</v>
      </c>
      <c r="N40" s="84">
        <v>5.2075919999999982</v>
      </c>
      <c r="O40" s="84">
        <v>0</v>
      </c>
      <c r="P40" s="84">
        <v>0</v>
      </c>
      <c r="Q40" s="84">
        <v>0</v>
      </c>
      <c r="R40" s="84">
        <v>0.9845000000000006</v>
      </c>
      <c r="S40" s="84">
        <v>3.1094200000000001</v>
      </c>
      <c r="T40" s="84">
        <v>1.5739790000000013</v>
      </c>
      <c r="U40" s="84">
        <v>4.4081599999999987</v>
      </c>
      <c r="V40" s="84">
        <v>0.36662799999999862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14.320469000000003</v>
      </c>
      <c r="D41" s="84">
        <v>16.310622000000023</v>
      </c>
      <c r="E41" s="84">
        <v>27.692332999999962</v>
      </c>
      <c r="F41" s="84">
        <v>51.672251000000017</v>
      </c>
      <c r="G41" s="84">
        <v>0</v>
      </c>
      <c r="H41" s="84">
        <v>35.513180000000034</v>
      </c>
      <c r="I41" s="84">
        <v>39.311191000000008</v>
      </c>
      <c r="J41" s="84">
        <v>0</v>
      </c>
      <c r="K41" s="84">
        <v>41.924946999999975</v>
      </c>
      <c r="L41" s="84">
        <v>4.7002959999999234</v>
      </c>
      <c r="M41" s="84">
        <v>92.273445999999979</v>
      </c>
      <c r="N41" s="84">
        <v>52.247331000000031</v>
      </c>
      <c r="O41" s="84">
        <v>62.977518000000032</v>
      </c>
      <c r="P41" s="84">
        <v>0</v>
      </c>
      <c r="Q41" s="84">
        <v>38.208424000000036</v>
      </c>
      <c r="R41" s="84">
        <v>49.54064900000003</v>
      </c>
      <c r="S41" s="84">
        <v>0</v>
      </c>
      <c r="T41" s="84">
        <v>41.925589000000059</v>
      </c>
      <c r="U41" s="84">
        <v>0</v>
      </c>
      <c r="V41" s="84">
        <v>0</v>
      </c>
      <c r="W41" s="84">
        <v>115.405981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3.2716169999999991</v>
      </c>
      <c r="D42" s="113">
        <v>3.0433299999999974</v>
      </c>
      <c r="E42" s="113">
        <v>0.98873700000000042</v>
      </c>
      <c r="F42" s="113">
        <v>1.1498810000000006</v>
      </c>
      <c r="G42" s="113">
        <v>0</v>
      </c>
      <c r="H42" s="113">
        <v>0</v>
      </c>
      <c r="I42" s="113">
        <v>1.0544499999999992</v>
      </c>
      <c r="J42" s="113">
        <v>1.6766719999999999</v>
      </c>
      <c r="K42" s="113">
        <v>1.965561000000001</v>
      </c>
      <c r="L42" s="113">
        <v>0</v>
      </c>
      <c r="M42" s="113">
        <v>1.7433390000000024</v>
      </c>
      <c r="N42" s="113">
        <v>1.2988940000000007</v>
      </c>
      <c r="O42" s="113">
        <v>3.0766729999999995</v>
      </c>
      <c r="P42" s="113">
        <v>5.076671999999995</v>
      </c>
      <c r="Q42" s="113">
        <v>0</v>
      </c>
      <c r="R42" s="113">
        <v>2.4100060000000028</v>
      </c>
      <c r="S42" s="113">
        <v>3.7433389999999989</v>
      </c>
      <c r="T42" s="113">
        <v>0</v>
      </c>
      <c r="U42" s="113">
        <v>5.1009209999999996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10.014730000000014</v>
      </c>
      <c r="E43" s="28">
        <f t="shared" si="43"/>
        <v>7.4050060000000126</v>
      </c>
      <c r="F43" s="28">
        <f t="shared" si="43"/>
        <v>26.073021000000011</v>
      </c>
      <c r="G43" s="28">
        <f t="shared" si="43"/>
        <v>9.853442000000026</v>
      </c>
      <c r="H43" s="28">
        <f t="shared" si="43"/>
        <v>17.707988</v>
      </c>
      <c r="I43" s="28">
        <f t="shared" si="43"/>
        <v>29.317022000000023</v>
      </c>
      <c r="J43" s="28">
        <f t="shared" si="43"/>
        <v>0.18087500000000034</v>
      </c>
      <c r="K43" s="28">
        <f t="shared" si="43"/>
        <v>0</v>
      </c>
      <c r="L43" s="28">
        <f t="shared" si="43"/>
        <v>0.50406699999999915</v>
      </c>
      <c r="M43" s="28">
        <f t="shared" si="43"/>
        <v>21.133792000000007</v>
      </c>
      <c r="N43" s="28">
        <f t="shared" si="43"/>
        <v>0.82078599999999824</v>
      </c>
      <c r="O43" s="28">
        <f t="shared" si="43"/>
        <v>0</v>
      </c>
      <c r="P43" s="28">
        <f t="shared" si="43"/>
        <v>0</v>
      </c>
      <c r="Q43" s="28">
        <f t="shared" si="43"/>
        <v>0</v>
      </c>
      <c r="R43" s="28">
        <f t="shared" si="43"/>
        <v>6.8816910000000107</v>
      </c>
      <c r="S43" s="28">
        <f t="shared" si="43"/>
        <v>14.123052999999999</v>
      </c>
      <c r="T43" s="28">
        <f t="shared" si="43"/>
        <v>1.3840460000000014</v>
      </c>
      <c r="U43" s="28">
        <f t="shared" si="43"/>
        <v>0.23148000000003321</v>
      </c>
      <c r="V43" s="28">
        <f t="shared" si="43"/>
        <v>0.47067300000000145</v>
      </c>
      <c r="W43" s="28">
        <f t="shared" ref="W43" si="44">SUM(W44:W45)</f>
        <v>27.63571300000001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1.7332030000000014</v>
      </c>
      <c r="F44" s="84">
        <v>2.0333669999999984</v>
      </c>
      <c r="G44" s="84">
        <v>1.5959660000000007</v>
      </c>
      <c r="H44" s="84">
        <v>0</v>
      </c>
      <c r="I44" s="84">
        <v>0.17291699999999999</v>
      </c>
      <c r="J44" s="84">
        <v>0.18087500000000034</v>
      </c>
      <c r="K44" s="84">
        <v>0</v>
      </c>
      <c r="L44" s="84">
        <v>0.50406699999999915</v>
      </c>
      <c r="M44" s="84">
        <v>2.3286120000000015</v>
      </c>
      <c r="N44" s="84">
        <v>0</v>
      </c>
      <c r="O44" s="84">
        <v>0</v>
      </c>
      <c r="P44" s="84">
        <v>0</v>
      </c>
      <c r="Q44" s="84">
        <v>0</v>
      </c>
      <c r="R44" s="84">
        <v>0.18684400000000068</v>
      </c>
      <c r="S44" s="84">
        <v>0</v>
      </c>
      <c r="T44" s="84">
        <v>1.3840460000000014</v>
      </c>
      <c r="U44" s="84">
        <v>0</v>
      </c>
      <c r="V44" s="84">
        <v>0.47067300000000145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10.014730000000014</v>
      </c>
      <c r="E45" s="86">
        <v>5.6718030000000113</v>
      </c>
      <c r="F45" s="86">
        <v>24.039654000000013</v>
      </c>
      <c r="G45" s="86">
        <v>8.2574760000000254</v>
      </c>
      <c r="H45" s="86">
        <v>17.707988</v>
      </c>
      <c r="I45" s="86">
        <v>29.144105000000025</v>
      </c>
      <c r="J45" s="86">
        <v>0</v>
      </c>
      <c r="K45" s="86">
        <v>0</v>
      </c>
      <c r="L45" s="86">
        <v>0</v>
      </c>
      <c r="M45" s="86">
        <v>18.805180000000007</v>
      </c>
      <c r="N45" s="86">
        <v>0.82078599999999824</v>
      </c>
      <c r="O45" s="86">
        <v>0</v>
      </c>
      <c r="P45" s="86">
        <v>0</v>
      </c>
      <c r="Q45" s="86">
        <v>0</v>
      </c>
      <c r="R45" s="86">
        <v>6.69484700000001</v>
      </c>
      <c r="S45" s="86">
        <v>14.123052999999999</v>
      </c>
      <c r="T45" s="86">
        <v>0</v>
      </c>
      <c r="U45" s="86">
        <v>0.23148000000003321</v>
      </c>
      <c r="V45" s="86">
        <v>0</v>
      </c>
      <c r="W45" s="86">
        <v>27.63571300000001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94.817236893074849</v>
      </c>
      <c r="C50" s="29">
        <f t="shared" si="45"/>
        <v>97.210730314514365</v>
      </c>
      <c r="D50" s="29">
        <f t="shared" si="45"/>
        <v>97.009716488243953</v>
      </c>
      <c r="E50" s="29">
        <f t="shared" si="45"/>
        <v>95.171971128076336</v>
      </c>
      <c r="F50" s="29">
        <f t="shared" si="45"/>
        <v>90.195444218572916</v>
      </c>
      <c r="G50" s="29">
        <f t="shared" si="45"/>
        <v>96.054038669558636</v>
      </c>
      <c r="H50" s="29">
        <f t="shared" si="45"/>
        <v>98.644781799655703</v>
      </c>
      <c r="I50" s="29">
        <f t="shared" si="45"/>
        <v>100.10731089341303</v>
      </c>
      <c r="J50" s="29">
        <f t="shared" si="45"/>
        <v>116.99536885542457</v>
      </c>
      <c r="K50" s="29">
        <f t="shared" ref="K50:V50" si="46">IF(K4=0,0,K4/K15)</f>
        <v>109.04917351670611</v>
      </c>
      <c r="L50" s="29">
        <f t="shared" si="46"/>
        <v>109.32590480856382</v>
      </c>
      <c r="M50" s="29">
        <f t="shared" si="46"/>
        <v>101.35891234236873</v>
      </c>
      <c r="N50" s="29">
        <f t="shared" si="46"/>
        <v>98.876122520525186</v>
      </c>
      <c r="O50" s="29">
        <f t="shared" si="46"/>
        <v>93.969574731098731</v>
      </c>
      <c r="P50" s="29">
        <f t="shared" si="46"/>
        <v>97.44789723982997</v>
      </c>
      <c r="Q50" s="29">
        <f t="shared" si="46"/>
        <v>99.529682456255259</v>
      </c>
      <c r="R50" s="29">
        <f t="shared" si="46"/>
        <v>95.820659324948508</v>
      </c>
      <c r="S50" s="29">
        <f t="shared" si="46"/>
        <v>108.35966204559843</v>
      </c>
      <c r="T50" s="29">
        <f t="shared" si="46"/>
        <v>102.15660074470266</v>
      </c>
      <c r="U50" s="29">
        <f t="shared" si="46"/>
        <v>111.70258115854134</v>
      </c>
      <c r="V50" s="29">
        <f t="shared" si="46"/>
        <v>68.281797918369591</v>
      </c>
      <c r="W50" s="29">
        <f t="shared" ref="W50" si="47">IF(W4=0,0,W4/W15)</f>
        <v>60.074901949417459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73.531888702633182</v>
      </c>
      <c r="C51" s="115">
        <f t="shared" si="48"/>
        <v>72.409699040421458</v>
      </c>
      <c r="D51" s="115">
        <f t="shared" si="48"/>
        <v>76.748495950458349</v>
      </c>
      <c r="E51" s="115">
        <f t="shared" si="48"/>
        <v>75.467248796289297</v>
      </c>
      <c r="F51" s="115">
        <f t="shared" si="48"/>
        <v>75.486017503481051</v>
      </c>
      <c r="G51" s="115">
        <f t="shared" si="48"/>
        <v>76.529349029391881</v>
      </c>
      <c r="H51" s="115">
        <f t="shared" si="48"/>
        <v>75.955518644542408</v>
      </c>
      <c r="I51" s="115">
        <f t="shared" si="48"/>
        <v>74.673934096632877</v>
      </c>
      <c r="J51" s="115">
        <f t="shared" si="48"/>
        <v>76.128636744005689</v>
      </c>
      <c r="K51" s="115">
        <f t="shared" ref="K51:V51" si="49">IF(K5=0,0,K5/K16)</f>
        <v>75.518800339471071</v>
      </c>
      <c r="L51" s="115">
        <f t="shared" si="49"/>
        <v>75.487677330799471</v>
      </c>
      <c r="M51" s="115">
        <f t="shared" si="49"/>
        <v>75.573317289646994</v>
      </c>
      <c r="N51" s="115">
        <f t="shared" si="49"/>
        <v>75.07991732203277</v>
      </c>
      <c r="O51" s="115">
        <f t="shared" si="49"/>
        <v>74.725883983220442</v>
      </c>
      <c r="P51" s="115">
        <f t="shared" si="49"/>
        <v>74.695744784976654</v>
      </c>
      <c r="Q51" s="115">
        <f t="shared" si="49"/>
        <v>74.637922138056354</v>
      </c>
      <c r="R51" s="115">
        <f t="shared" si="49"/>
        <v>74.757942233705862</v>
      </c>
      <c r="S51" s="115">
        <f t="shared" si="49"/>
        <v>75.223680811004314</v>
      </c>
      <c r="T51" s="115">
        <f t="shared" si="49"/>
        <v>79.364971246996944</v>
      </c>
      <c r="U51" s="115">
        <f t="shared" si="49"/>
        <v>79.566166367191627</v>
      </c>
      <c r="V51" s="115">
        <f t="shared" si="49"/>
        <v>49.905470241268425</v>
      </c>
      <c r="W51" s="115">
        <f t="shared" ref="W51" si="50">IF(W5=0,0,W5/W16)</f>
        <v>46.875615512961367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90.432889217905668</v>
      </c>
      <c r="C52" s="116">
        <f t="shared" si="51"/>
        <v>93.795703390414687</v>
      </c>
      <c r="D52" s="116">
        <f t="shared" si="51"/>
        <v>90.547029591532905</v>
      </c>
      <c r="E52" s="116">
        <f t="shared" si="51"/>
        <v>88.320971001238689</v>
      </c>
      <c r="F52" s="116">
        <f t="shared" si="51"/>
        <v>80.959508353702546</v>
      </c>
      <c r="G52" s="116">
        <f t="shared" si="51"/>
        <v>89.730191401857397</v>
      </c>
      <c r="H52" s="116">
        <f t="shared" si="51"/>
        <v>91.637469119451453</v>
      </c>
      <c r="I52" s="116">
        <f t="shared" si="51"/>
        <v>91.659998119152107</v>
      </c>
      <c r="J52" s="116">
        <f t="shared" si="51"/>
        <v>114.36908263358745</v>
      </c>
      <c r="K52" s="116">
        <f t="shared" ref="K52:V52" si="52">IF(K6=0,0,K6/K17)</f>
        <v>102.74620185864383</v>
      </c>
      <c r="L52" s="116">
        <f t="shared" si="52"/>
        <v>104.15683971954915</v>
      </c>
      <c r="M52" s="116">
        <f t="shared" si="52"/>
        <v>94.824783041129677</v>
      </c>
      <c r="N52" s="116">
        <f t="shared" si="52"/>
        <v>90.937371002379479</v>
      </c>
      <c r="O52" s="116">
        <f t="shared" si="52"/>
        <v>84.565172492983137</v>
      </c>
      <c r="P52" s="116">
        <f t="shared" si="52"/>
        <v>89.423427373287808</v>
      </c>
      <c r="Q52" s="116">
        <f t="shared" si="52"/>
        <v>90.909240004980177</v>
      </c>
      <c r="R52" s="116">
        <f t="shared" si="52"/>
        <v>85.719959095969884</v>
      </c>
      <c r="S52" s="116">
        <f t="shared" si="52"/>
        <v>103.73806035050691</v>
      </c>
      <c r="T52" s="116">
        <f t="shared" si="52"/>
        <v>93.630668798264139</v>
      </c>
      <c r="U52" s="116">
        <f t="shared" si="52"/>
        <v>105.7829611316281</v>
      </c>
      <c r="V52" s="116">
        <f t="shared" si="52"/>
        <v>67.351686205640974</v>
      </c>
      <c r="W52" s="116">
        <f t="shared" ref="W52" si="53">IF(W6=0,0,W6/W17)</f>
        <v>55.45934314457881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114.83195383075234</v>
      </c>
      <c r="C53" s="87">
        <f t="shared" si="54"/>
        <v>114.19342147755521</v>
      </c>
      <c r="D53" s="87">
        <f t="shared" si="54"/>
        <v>109.78654200781794</v>
      </c>
      <c r="E53" s="87">
        <f t="shared" si="54"/>
        <v>102.89614431856182</v>
      </c>
      <c r="F53" s="87">
        <f t="shared" si="54"/>
        <v>102.99226636034182</v>
      </c>
      <c r="G53" s="87">
        <f t="shared" si="54"/>
        <v>106.94962114317579</v>
      </c>
      <c r="H53" s="87">
        <f t="shared" si="54"/>
        <v>109.19625050967814</v>
      </c>
      <c r="I53" s="87">
        <f t="shared" si="54"/>
        <v>109.9653322376396</v>
      </c>
      <c r="J53" s="87">
        <f t="shared" si="54"/>
        <v>109.36343938640927</v>
      </c>
      <c r="K53" s="87">
        <f t="shared" ref="K53:V53" si="55">IF(K7=0,0,K7/K18)</f>
        <v>108.94919611262662</v>
      </c>
      <c r="L53" s="87">
        <f t="shared" si="55"/>
        <v>113.01923463479703</v>
      </c>
      <c r="M53" s="87">
        <f t="shared" si="55"/>
        <v>102.87783082612509</v>
      </c>
      <c r="N53" s="87">
        <f t="shared" si="55"/>
        <v>102.28461013655932</v>
      </c>
      <c r="O53" s="87">
        <f t="shared" si="55"/>
        <v>103.4307297481113</v>
      </c>
      <c r="P53" s="87">
        <f t="shared" si="55"/>
        <v>103.63922085456279</v>
      </c>
      <c r="Q53" s="87">
        <f t="shared" si="55"/>
        <v>103.49895959178775</v>
      </c>
      <c r="R53" s="87">
        <f t="shared" si="55"/>
        <v>100.07241988885751</v>
      </c>
      <c r="S53" s="87">
        <f t="shared" si="55"/>
        <v>101.72467070087664</v>
      </c>
      <c r="T53" s="87">
        <f t="shared" si="55"/>
        <v>102.8265990769591</v>
      </c>
      <c r="U53" s="87">
        <f t="shared" si="55"/>
        <v>102.61145591379015</v>
      </c>
      <c r="V53" s="87">
        <f t="shared" si="55"/>
        <v>66.031251692320453</v>
      </c>
      <c r="W53" s="87">
        <f t="shared" ref="W53" si="56">IF(W7=0,0,W7/W18)</f>
        <v>63.990728004389837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89.178205299844095</v>
      </c>
      <c r="C54" s="87">
        <f t="shared" si="57"/>
        <v>92.576799619289091</v>
      </c>
      <c r="D54" s="87">
        <f t="shared" si="57"/>
        <v>88.91792849398793</v>
      </c>
      <c r="E54" s="87">
        <f t="shared" si="57"/>
        <v>87.351155933189872</v>
      </c>
      <c r="F54" s="87">
        <f t="shared" si="57"/>
        <v>80.203482580092071</v>
      </c>
      <c r="G54" s="87">
        <f t="shared" si="57"/>
        <v>89.224521712367377</v>
      </c>
      <c r="H54" s="87">
        <f t="shared" si="57"/>
        <v>90.913987477795274</v>
      </c>
      <c r="I54" s="87">
        <f t="shared" si="57"/>
        <v>90.97441923065621</v>
      </c>
      <c r="J54" s="87">
        <f t="shared" si="57"/>
        <v>114.65179737120683</v>
      </c>
      <c r="K54" s="87">
        <f t="shared" ref="K54:V54" si="58">IF(K8=0,0,K8/K19)</f>
        <v>102.43261593147865</v>
      </c>
      <c r="L54" s="87">
        <f t="shared" si="58"/>
        <v>103.75459808698272</v>
      </c>
      <c r="M54" s="87">
        <f t="shared" si="58"/>
        <v>94.571003474148313</v>
      </c>
      <c r="N54" s="87">
        <f t="shared" si="58"/>
        <v>90.469103610458276</v>
      </c>
      <c r="O54" s="87">
        <f t="shared" si="58"/>
        <v>84.017429017768208</v>
      </c>
      <c r="P54" s="87">
        <f t="shared" si="58"/>
        <v>88.95058095331683</v>
      </c>
      <c r="Q54" s="87">
        <f t="shared" si="58"/>
        <v>90.528498667541456</v>
      </c>
      <c r="R54" s="87">
        <f t="shared" si="58"/>
        <v>85.306399697539746</v>
      </c>
      <c r="S54" s="87">
        <f t="shared" si="58"/>
        <v>103.81337256474546</v>
      </c>
      <c r="T54" s="87">
        <f t="shared" si="58"/>
        <v>93.321100183403928</v>
      </c>
      <c r="U54" s="87">
        <f t="shared" si="58"/>
        <v>105.91392023489882</v>
      </c>
      <c r="V54" s="87">
        <f t="shared" si="58"/>
        <v>67.409486572397483</v>
      </c>
      <c r="W54" s="87">
        <f t="shared" ref="W54" si="59">IF(W8=0,0,W8/W19)</f>
        <v>55.173754833012978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165.48295454545456</v>
      </c>
      <c r="C55" s="117">
        <f t="shared" si="60"/>
        <v>165.48295454545453</v>
      </c>
      <c r="D55" s="117">
        <f t="shared" si="60"/>
        <v>165.48295454545453</v>
      </c>
      <c r="E55" s="117">
        <f t="shared" si="60"/>
        <v>165.48295454545456</v>
      </c>
      <c r="F55" s="117">
        <f t="shared" si="60"/>
        <v>165.48295454545456</v>
      </c>
      <c r="G55" s="117">
        <f t="shared" si="60"/>
        <v>165.48295454545453</v>
      </c>
      <c r="H55" s="117">
        <f t="shared" si="60"/>
        <v>188.06646525679758</v>
      </c>
      <c r="I55" s="117">
        <f t="shared" si="60"/>
        <v>208.17704426106528</v>
      </c>
      <c r="J55" s="117">
        <f t="shared" si="60"/>
        <v>218.39416058394161</v>
      </c>
      <c r="K55" s="117">
        <f t="shared" ref="K55:V55" si="61">IF(K9=0,0,K9/K20)</f>
        <v>214.78873239436621</v>
      </c>
      <c r="L55" s="117">
        <f t="shared" si="61"/>
        <v>212.93478260869563</v>
      </c>
      <c r="M55" s="117">
        <f t="shared" si="61"/>
        <v>199.08450704225353</v>
      </c>
      <c r="N55" s="117">
        <f t="shared" si="61"/>
        <v>204.72222222222223</v>
      </c>
      <c r="O55" s="117">
        <f t="shared" si="61"/>
        <v>198.37662337662337</v>
      </c>
      <c r="P55" s="117">
        <f t="shared" si="61"/>
        <v>186.58959537572252</v>
      </c>
      <c r="Q55" s="117">
        <f t="shared" si="61"/>
        <v>203.93939393939394</v>
      </c>
      <c r="R55" s="117">
        <f t="shared" si="61"/>
        <v>202.38372093023256</v>
      </c>
      <c r="S55" s="117">
        <f t="shared" si="61"/>
        <v>194.81081081081081</v>
      </c>
      <c r="T55" s="117">
        <f t="shared" si="61"/>
        <v>197.28799999999998</v>
      </c>
      <c r="U55" s="117">
        <f t="shared" si="61"/>
        <v>197.28800000000001</v>
      </c>
      <c r="V55" s="117">
        <f t="shared" si="61"/>
        <v>112.73599999999999</v>
      </c>
      <c r="W55" s="117">
        <f t="shared" ref="W55" si="62">IF(W9=0,0,W9/W20)</f>
        <v>118.3728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466.93899280801622</v>
      </c>
      <c r="C56" s="29">
        <f t="shared" si="63"/>
        <v>486.48137757046732</v>
      </c>
      <c r="D56" s="29">
        <f t="shared" si="63"/>
        <v>484.76131465485594</v>
      </c>
      <c r="E56" s="29">
        <f t="shared" si="63"/>
        <v>507.23164756965946</v>
      </c>
      <c r="F56" s="29">
        <f t="shared" si="63"/>
        <v>477.66489581132993</v>
      </c>
      <c r="G56" s="29">
        <f t="shared" si="63"/>
        <v>489.10063874656669</v>
      </c>
      <c r="H56" s="29">
        <f t="shared" si="63"/>
        <v>479.2421464312967</v>
      </c>
      <c r="I56" s="29">
        <f t="shared" si="63"/>
        <v>455.72482975864796</v>
      </c>
      <c r="J56" s="29">
        <f t="shared" si="63"/>
        <v>543.37017143319679</v>
      </c>
      <c r="K56" s="29">
        <f t="shared" ref="K56:V56" si="64">IF(K10=0,0,K10/K21)</f>
        <v>528.99126878761285</v>
      </c>
      <c r="L56" s="29">
        <f t="shared" si="64"/>
        <v>580.01276311418235</v>
      </c>
      <c r="M56" s="29">
        <f t="shared" si="64"/>
        <v>527.25792284902093</v>
      </c>
      <c r="N56" s="29">
        <f t="shared" si="64"/>
        <v>527.22492596732934</v>
      </c>
      <c r="O56" s="29">
        <f t="shared" si="64"/>
        <v>522.20125960364635</v>
      </c>
      <c r="P56" s="29">
        <f t="shared" si="64"/>
        <v>574.04770635236719</v>
      </c>
      <c r="Q56" s="29">
        <f t="shared" si="64"/>
        <v>583.75986186033163</v>
      </c>
      <c r="R56" s="29">
        <f t="shared" si="64"/>
        <v>602.69140820158123</v>
      </c>
      <c r="S56" s="29">
        <f t="shared" si="64"/>
        <v>593.72441350468205</v>
      </c>
      <c r="T56" s="29">
        <f t="shared" si="64"/>
        <v>658.51586300965914</v>
      </c>
      <c r="U56" s="29">
        <f t="shared" si="64"/>
        <v>668.20726855534178</v>
      </c>
      <c r="V56" s="29">
        <f t="shared" si="64"/>
        <v>693.29484339327166</v>
      </c>
      <c r="W56" s="29">
        <f t="shared" ref="W56" si="65">IF(W10=0,0,W10/W21)</f>
        <v>655.83095252936789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608.43196184299154</v>
      </c>
      <c r="C57" s="87">
        <f t="shared" si="66"/>
        <v>599.08451522222003</v>
      </c>
      <c r="D57" s="87">
        <f t="shared" si="66"/>
        <v>615.92870058399819</v>
      </c>
      <c r="E57" s="87">
        <f t="shared" si="66"/>
        <v>619.61173646266423</v>
      </c>
      <c r="F57" s="87">
        <f t="shared" si="66"/>
        <v>589.31379778088672</v>
      </c>
      <c r="G57" s="87">
        <f t="shared" si="66"/>
        <v>602.99333368904217</v>
      </c>
      <c r="H57" s="87">
        <f t="shared" si="66"/>
        <v>614.56714633883053</v>
      </c>
      <c r="I57" s="87">
        <f t="shared" si="66"/>
        <v>639.9545573798631</v>
      </c>
      <c r="J57" s="87">
        <f t="shared" si="66"/>
        <v>691.47974235631636</v>
      </c>
      <c r="K57" s="87">
        <f t="shared" ref="K57:V57" si="67">IF(K11=0,0,K11/K22)</f>
        <v>695.51769248412825</v>
      </c>
      <c r="L57" s="87">
        <f t="shared" si="67"/>
        <v>731.98657750718098</v>
      </c>
      <c r="M57" s="87">
        <f t="shared" si="67"/>
        <v>651.64757452985918</v>
      </c>
      <c r="N57" s="87">
        <f t="shared" si="67"/>
        <v>665.04027945029168</v>
      </c>
      <c r="O57" s="87">
        <f t="shared" si="67"/>
        <v>652.47090138942644</v>
      </c>
      <c r="P57" s="87">
        <f t="shared" si="67"/>
        <v>688.18829685050514</v>
      </c>
      <c r="Q57" s="87">
        <f t="shared" si="67"/>
        <v>669.73386861630718</v>
      </c>
      <c r="R57" s="87">
        <f t="shared" si="67"/>
        <v>671.36610104135991</v>
      </c>
      <c r="S57" s="87">
        <f t="shared" si="67"/>
        <v>752.52704267178478</v>
      </c>
      <c r="T57" s="87">
        <f t="shared" si="67"/>
        <v>734.44605600898581</v>
      </c>
      <c r="U57" s="87">
        <f t="shared" si="67"/>
        <v>786.03784525262677</v>
      </c>
      <c r="V57" s="87">
        <f t="shared" si="67"/>
        <v>685.67112233463422</v>
      </c>
      <c r="W57" s="87">
        <f t="shared" ref="W57" si="68">IF(W11=0,0,W11/W22)</f>
        <v>663.53926499338615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456.11424121611827</v>
      </c>
      <c r="C58" s="88">
        <f t="shared" si="69"/>
        <v>477.92127038866244</v>
      </c>
      <c r="D58" s="88">
        <f t="shared" si="69"/>
        <v>475.55903590963328</v>
      </c>
      <c r="E58" s="88">
        <f t="shared" si="69"/>
        <v>498.61217465142192</v>
      </c>
      <c r="F58" s="88">
        <f t="shared" si="69"/>
        <v>469.04537429371675</v>
      </c>
      <c r="G58" s="88">
        <f t="shared" si="69"/>
        <v>479.82213874179291</v>
      </c>
      <c r="H58" s="88">
        <f t="shared" si="69"/>
        <v>469.37232802881675</v>
      </c>
      <c r="I58" s="88">
        <f t="shared" si="69"/>
        <v>443.87401387578058</v>
      </c>
      <c r="J58" s="88">
        <f t="shared" si="69"/>
        <v>531.99327950790814</v>
      </c>
      <c r="K58" s="88">
        <f t="shared" ref="K58:V58" si="70">IF(K12=0,0,K12/K23)</f>
        <v>517.27772296674357</v>
      </c>
      <c r="L58" s="88">
        <f t="shared" si="70"/>
        <v>569.12793020342417</v>
      </c>
      <c r="M58" s="88">
        <f t="shared" si="70"/>
        <v>517.81579683568975</v>
      </c>
      <c r="N58" s="88">
        <f t="shared" si="70"/>
        <v>518.28196156064598</v>
      </c>
      <c r="O58" s="88">
        <f t="shared" si="70"/>
        <v>513.31620945031671</v>
      </c>
      <c r="P58" s="88">
        <f t="shared" si="70"/>
        <v>567.3172991809555</v>
      </c>
      <c r="Q58" s="88">
        <f t="shared" si="70"/>
        <v>578.27187085181265</v>
      </c>
      <c r="R58" s="88">
        <f t="shared" si="70"/>
        <v>598.47425404288231</v>
      </c>
      <c r="S58" s="88">
        <f t="shared" si="70"/>
        <v>586.02318967652786</v>
      </c>
      <c r="T58" s="88">
        <f t="shared" si="70"/>
        <v>654.04410802053076</v>
      </c>
      <c r="U58" s="88">
        <f t="shared" si="70"/>
        <v>661.75010658769429</v>
      </c>
      <c r="V58" s="88">
        <f t="shared" si="70"/>
        <v>693.72759757265317</v>
      </c>
      <c r="W58" s="88">
        <f t="shared" ref="W58" si="71">IF(W12=0,0,W12/W23)</f>
        <v>655.54518357671816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355.92569383983823</v>
      </c>
      <c r="C61" s="29">
        <f t="shared" ref="C61" si="73">IF(C26=0,0,(C62*C27+C64*C29+C65*C30+C66*C31)/(C27+C29+C30+C31))</f>
        <v>356.61249682570826</v>
      </c>
      <c r="D61" s="29">
        <f t="shared" ref="D61" si="74">IF(D26=0,0,(D62*D27+D64*D29+D65*D30+D66*D31)/(D27+D29+D30+D31))</f>
        <v>355.66235910637204</v>
      </c>
      <c r="E61" s="29">
        <f t="shared" ref="E61" si="75">IF(E26=0,0,(E62*E27+E64*E29+E65*E30+E66*E31)/(E27+E29+E30+E31))</f>
        <v>355.33084502565566</v>
      </c>
      <c r="F61" s="29">
        <f t="shared" ref="F61" si="76">IF(F26=0,0,(F62*F27+F64*F29+F65*F30+F66*F31)/(F27+F29+F30+F31))</f>
        <v>353.93669879485986</v>
      </c>
      <c r="G61" s="29">
        <f t="shared" ref="G61" si="77">IF(G26=0,0,(G62*G27+G64*G29+G65*G30+G66*G31)/(G27+G29+G30+G31))</f>
        <v>354.34013289833553</v>
      </c>
      <c r="H61" s="29">
        <f t="shared" ref="H61" si="78">IF(H26=0,0,(H62*H27+H64*H29+H65*H30+H66*H31)/(H27+H29+H30+H31))</f>
        <v>353.92988522261544</v>
      </c>
      <c r="I61" s="29">
        <f t="shared" ref="I61" si="79">IF(I26=0,0,(I62*I27+I64*I29+I65*I30+I66*I31)/(I27+I29+I30+I31))</f>
        <v>353.6626009077919</v>
      </c>
      <c r="J61" s="29">
        <f t="shared" ref="J61" si="80">IF(J26=0,0,(J62*J27+J64*J29+J65*J30+J66*J31)/(J27+J29+J30+J31))</f>
        <v>355.66520843525944</v>
      </c>
      <c r="K61" s="29">
        <f t="shared" ref="K61" si="81">IF(K26=0,0,(K62*K27+K64*K29+K65*K30+K66*K31)/(K27+K29+K30+K31))</f>
        <v>354.77862174235764</v>
      </c>
      <c r="L61" s="29">
        <f t="shared" ref="L61" si="82">IF(L26=0,0,(L62*L27+L64*L29+L65*L30+L66*L31)/(L27+L29+L30+L31))</f>
        <v>355.25179591057503</v>
      </c>
      <c r="M61" s="29">
        <f t="shared" ref="M61" si="83">IF(M26=0,0,(M62*M27+M64*M29+M65*M30+M66*M31)/(M27+M29+M30+M31))</f>
        <v>352.80587874345656</v>
      </c>
      <c r="N61" s="29">
        <f t="shared" ref="N61" si="84">IF(N26=0,0,(N62*N27+N64*N29+N65*N30+N66*N31)/(N27+N29+N30+N31))</f>
        <v>351.69037915944904</v>
      </c>
      <c r="O61" s="29">
        <f t="shared" ref="O61" si="85">IF(O26=0,0,(O62*O27+O64*O29+O65*O30+O66*O31)/(O27+O29+O30+O31))</f>
        <v>351.15128454038461</v>
      </c>
      <c r="P61" s="29">
        <f t="shared" ref="P61" si="86">IF(P26=0,0,(P62*P27+P64*P29+P65*P30+P66*P31)/(P27+P29+P30+P31))</f>
        <v>353.05384749520186</v>
      </c>
      <c r="Q61" s="29">
        <f t="shared" ref="Q61" si="87">IF(Q26=0,0,(Q62*Q27+Q64*Q29+Q65*Q30+Q66*Q31)/(Q27+Q29+Q30+Q31))</f>
        <v>352.23252624265837</v>
      </c>
      <c r="R61" s="29">
        <f t="shared" ref="R61" si="88">IF(R26=0,0,(R62*R27+R64*R29+R65*R30+R66*R31)/(R27+R29+R30+R31))</f>
        <v>351.98217918444539</v>
      </c>
      <c r="S61" s="29">
        <f t="shared" ref="S61" si="89">IF(S26=0,0,(S62*S27+S64*S29+S65*S30+S66*S31)/(S27+S29+S30+S31))</f>
        <v>353.94539556174868</v>
      </c>
      <c r="T61" s="29">
        <f t="shared" ref="T61" si="90">IF(T26=0,0,(T62*T27+T64*T29+T65*T30+T66*T31)/(T27+T29+T30+T31))</f>
        <v>352.43421457449023</v>
      </c>
      <c r="U61" s="29">
        <f t="shared" ref="U61" si="91">IF(U26=0,0,(U62*U27+U64*U29+U65*U30+U66*U31)/(U27+U29+U30+U31))</f>
        <v>354.28894267292878</v>
      </c>
      <c r="V61" s="29">
        <f t="shared" ref="V61" si="92">IF(V26=0,0,(V62*V27+V64*V29+V65*V30+V66*V31)/(V27+V29+V30+V31))</f>
        <v>355.18139803382456</v>
      </c>
      <c r="W61" s="29">
        <f t="shared" ref="W61" si="93">IF(W26=0,0,(W62*W27+W64*W29+W65*W30+W66*W31)/(W27+W29+W30+W31))</f>
        <v>351.42942653159662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320.00000000000006</v>
      </c>
      <c r="C63" s="116">
        <f t="shared" ref="C63" si="95">IF(C28=0,0,(C64*C29+C65*C30)/(C29+C30))</f>
        <v>319.99999999999994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319.99999999999994</v>
      </c>
      <c r="G63" s="116">
        <f t="shared" ref="G63" si="99">IF(G28=0,0,(G64*G29+G65*G30)/(G29+G30))</f>
        <v>319.99999999999994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319.99999999999994</v>
      </c>
      <c r="K63" s="116">
        <f t="shared" ref="K63" si="103">IF(K28=0,0,(K64*K29+K65*K30)/(K29+K30))</f>
        <v>319.99999999999994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319.99999999999994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2099.9999999999995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2099.9999999999995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0.26639615665325173</v>
      </c>
      <c r="C72" s="30">
        <f t="shared" ref="C72:J72" si="138">IF(C50=0,0,C50/C61)</f>
        <v>0.27259485065669303</v>
      </c>
      <c r="D72" s="30">
        <f t="shared" si="138"/>
        <v>0.27275789524645799</v>
      </c>
      <c r="E72" s="30">
        <f t="shared" si="138"/>
        <v>0.26784044352019232</v>
      </c>
      <c r="F72" s="30">
        <f t="shared" si="138"/>
        <v>0.25483495926159888</v>
      </c>
      <c r="G72" s="30">
        <f t="shared" si="138"/>
        <v>0.27107863251018677</v>
      </c>
      <c r="H72" s="30">
        <f t="shared" si="138"/>
        <v>0.27871277876862516</v>
      </c>
      <c r="I72" s="30">
        <f t="shared" si="138"/>
        <v>0.28305879851715887</v>
      </c>
      <c r="J72" s="30">
        <f t="shared" si="138"/>
        <v>0.32894802775380505</v>
      </c>
      <c r="K72" s="30">
        <f t="shared" ref="K72:V72" si="139">IF(K50=0,0,K50/K61)</f>
        <v>0.30737244815133835</v>
      </c>
      <c r="L72" s="30">
        <f t="shared" si="139"/>
        <v>0.30774201866690531</v>
      </c>
      <c r="M72" s="30">
        <f t="shared" si="139"/>
        <v>0.28729371716640822</v>
      </c>
      <c r="N72" s="30">
        <f t="shared" si="139"/>
        <v>0.28114537212204155</v>
      </c>
      <c r="O72" s="30">
        <f t="shared" si="139"/>
        <v>0.26760424599925287</v>
      </c>
      <c r="P72" s="30">
        <f t="shared" si="139"/>
        <v>0.27601426221861053</v>
      </c>
      <c r="Q72" s="30">
        <f t="shared" si="139"/>
        <v>0.28256811918524455</v>
      </c>
      <c r="R72" s="30">
        <f t="shared" si="139"/>
        <v>0.27223156452684116</v>
      </c>
      <c r="S72" s="30">
        <f t="shared" si="139"/>
        <v>0.30614796351177337</v>
      </c>
      <c r="T72" s="30">
        <f t="shared" si="139"/>
        <v>0.28986005478509214</v>
      </c>
      <c r="U72" s="30">
        <f t="shared" si="139"/>
        <v>0.3152866705796758</v>
      </c>
      <c r="V72" s="30">
        <f t="shared" si="139"/>
        <v>0.19224485937708649</v>
      </c>
      <c r="W72" s="30">
        <f t="shared" ref="W72" si="140">IF(W50=0,0,W50/W61)</f>
        <v>0.17094442700009982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0.18382972175658296</v>
      </c>
      <c r="C73" s="118">
        <f t="shared" si="141"/>
        <v>0.18102424760105365</v>
      </c>
      <c r="D73" s="118">
        <f t="shared" si="141"/>
        <v>0.19187123987614588</v>
      </c>
      <c r="E73" s="118">
        <f t="shared" si="141"/>
        <v>0.18866812199072325</v>
      </c>
      <c r="F73" s="118">
        <f t="shared" si="141"/>
        <v>0.18871504375870263</v>
      </c>
      <c r="G73" s="118">
        <f t="shared" si="141"/>
        <v>0.1913233725734797</v>
      </c>
      <c r="H73" s="118">
        <f t="shared" si="141"/>
        <v>0.18988879661135602</v>
      </c>
      <c r="I73" s="118">
        <f t="shared" si="141"/>
        <v>0.18668483524158219</v>
      </c>
      <c r="J73" s="118">
        <f t="shared" si="141"/>
        <v>0.19032159186001421</v>
      </c>
      <c r="K73" s="118">
        <f t="shared" ref="K73:V73" si="142">IF(K51=0,0,K51/K62)</f>
        <v>0.18879700084867768</v>
      </c>
      <c r="L73" s="118">
        <f t="shared" si="142"/>
        <v>0.18871919332699869</v>
      </c>
      <c r="M73" s="118">
        <f t="shared" si="142"/>
        <v>0.18893329322411748</v>
      </c>
      <c r="N73" s="118">
        <f t="shared" si="142"/>
        <v>0.18769979330508194</v>
      </c>
      <c r="O73" s="118">
        <f t="shared" si="142"/>
        <v>0.18681470995805111</v>
      </c>
      <c r="P73" s="118">
        <f t="shared" si="142"/>
        <v>0.18673936196244165</v>
      </c>
      <c r="Q73" s="118">
        <f t="shared" si="142"/>
        <v>0.18659480534514089</v>
      </c>
      <c r="R73" s="118">
        <f t="shared" si="142"/>
        <v>0.18689485558426466</v>
      </c>
      <c r="S73" s="118">
        <f t="shared" si="142"/>
        <v>0.18805920202751078</v>
      </c>
      <c r="T73" s="118">
        <f t="shared" si="142"/>
        <v>0.19841242811749235</v>
      </c>
      <c r="U73" s="118">
        <f t="shared" si="142"/>
        <v>0.19891541591797907</v>
      </c>
      <c r="V73" s="118">
        <f t="shared" si="142"/>
        <v>0.12476367560317106</v>
      </c>
      <c r="W73" s="118">
        <f t="shared" ref="W73" si="143">IF(W51=0,0,W51/W62)</f>
        <v>0.11718903878240342</v>
      </c>
      <c r="DA73" s="203"/>
    </row>
    <row r="74" spans="1:105" ht="11.45" customHeight="1" x14ac:dyDescent="0.25">
      <c r="A74" s="109" t="s">
        <v>24</v>
      </c>
      <c r="B74" s="119">
        <f t="shared" si="141"/>
        <v>0.28260277880595513</v>
      </c>
      <c r="C74" s="119">
        <f t="shared" si="141"/>
        <v>0.29311157309504593</v>
      </c>
      <c r="D74" s="119">
        <f t="shared" si="141"/>
        <v>0.28295946747354034</v>
      </c>
      <c r="E74" s="119">
        <f t="shared" si="141"/>
        <v>0.27600303437887092</v>
      </c>
      <c r="F74" s="119">
        <f t="shared" si="141"/>
        <v>0.25299846360532052</v>
      </c>
      <c r="G74" s="119">
        <f t="shared" si="141"/>
        <v>0.28040684813080441</v>
      </c>
      <c r="H74" s="119">
        <f t="shared" si="141"/>
        <v>0.28636709099828578</v>
      </c>
      <c r="I74" s="119">
        <f t="shared" si="141"/>
        <v>0.28643749412235031</v>
      </c>
      <c r="J74" s="119">
        <f t="shared" si="141"/>
        <v>0.35740338322996085</v>
      </c>
      <c r="K74" s="119">
        <f t="shared" ref="K74:V74" si="144">IF(K52=0,0,K52/K63)</f>
        <v>0.321081880808262</v>
      </c>
      <c r="L74" s="119">
        <f t="shared" si="144"/>
        <v>0.32549012412359113</v>
      </c>
      <c r="M74" s="119">
        <f t="shared" si="144"/>
        <v>0.29632744700353025</v>
      </c>
      <c r="N74" s="119">
        <f t="shared" si="144"/>
        <v>0.28417928438243589</v>
      </c>
      <c r="O74" s="119">
        <f t="shared" si="144"/>
        <v>0.26426616404057229</v>
      </c>
      <c r="P74" s="119">
        <f t="shared" si="144"/>
        <v>0.27944821054152441</v>
      </c>
      <c r="Q74" s="119">
        <f t="shared" si="144"/>
        <v>0.28409137501556309</v>
      </c>
      <c r="R74" s="119">
        <f t="shared" si="144"/>
        <v>0.26787487217490591</v>
      </c>
      <c r="S74" s="119">
        <f t="shared" si="144"/>
        <v>0.3241814385953341</v>
      </c>
      <c r="T74" s="119">
        <f t="shared" si="144"/>
        <v>0.29259583999457545</v>
      </c>
      <c r="U74" s="119">
        <f t="shared" si="144"/>
        <v>0.33057175353633783</v>
      </c>
      <c r="V74" s="119">
        <f t="shared" si="144"/>
        <v>0.21047401939262805</v>
      </c>
      <c r="W74" s="119">
        <f t="shared" ref="W74" si="145">IF(W52=0,0,W52/W63)</f>
        <v>0.17331044732680878</v>
      </c>
      <c r="DA74" s="176"/>
    </row>
    <row r="75" spans="1:105" ht="11.45" customHeight="1" x14ac:dyDescent="0.25">
      <c r="A75" s="111" t="s">
        <v>92</v>
      </c>
      <c r="B75" s="120">
        <f t="shared" si="141"/>
        <v>0.35884985572110106</v>
      </c>
      <c r="C75" s="120">
        <f t="shared" si="141"/>
        <v>0.35685444211736</v>
      </c>
      <c r="D75" s="120">
        <f t="shared" si="141"/>
        <v>0.34308294377443105</v>
      </c>
      <c r="E75" s="120">
        <f t="shared" si="141"/>
        <v>0.32155045099550572</v>
      </c>
      <c r="F75" s="120">
        <f t="shared" si="141"/>
        <v>0.32185083237606815</v>
      </c>
      <c r="G75" s="120">
        <f t="shared" si="141"/>
        <v>0.33421756607242437</v>
      </c>
      <c r="H75" s="120">
        <f t="shared" si="141"/>
        <v>0.34123828284274416</v>
      </c>
      <c r="I75" s="120">
        <f t="shared" si="141"/>
        <v>0.34364166324262374</v>
      </c>
      <c r="J75" s="120">
        <f t="shared" si="141"/>
        <v>0.34176074808252899</v>
      </c>
      <c r="K75" s="120">
        <f t="shared" ref="K75:V75" si="146">IF(K53=0,0,K53/K64)</f>
        <v>0.34046623785195818</v>
      </c>
      <c r="L75" s="120">
        <f t="shared" si="146"/>
        <v>0.35318510823374072</v>
      </c>
      <c r="M75" s="120">
        <f t="shared" si="146"/>
        <v>0.32149322133164093</v>
      </c>
      <c r="N75" s="120">
        <f t="shared" si="146"/>
        <v>0.31963940667674789</v>
      </c>
      <c r="O75" s="120">
        <f t="shared" si="146"/>
        <v>0.32322103046284784</v>
      </c>
      <c r="P75" s="120">
        <f t="shared" si="146"/>
        <v>0.32387256517050872</v>
      </c>
      <c r="Q75" s="120">
        <f t="shared" si="146"/>
        <v>0.32343424872433674</v>
      </c>
      <c r="R75" s="120">
        <f t="shared" si="146"/>
        <v>0.31272631215267971</v>
      </c>
      <c r="S75" s="120">
        <f t="shared" si="146"/>
        <v>0.31788959594023952</v>
      </c>
      <c r="T75" s="120">
        <f t="shared" si="146"/>
        <v>0.32133312211549719</v>
      </c>
      <c r="U75" s="120">
        <f t="shared" si="146"/>
        <v>0.32066079973059425</v>
      </c>
      <c r="V75" s="120">
        <f t="shared" si="146"/>
        <v>0.20634766153850143</v>
      </c>
      <c r="W75" s="120">
        <f t="shared" ref="W75" si="147">IF(W53=0,0,W53/W64)</f>
        <v>0.19997102501371825</v>
      </c>
      <c r="DA75" s="171"/>
    </row>
    <row r="76" spans="1:105" ht="11.45" customHeight="1" x14ac:dyDescent="0.25">
      <c r="A76" s="111" t="s">
        <v>93</v>
      </c>
      <c r="B76" s="120">
        <f t="shared" si="141"/>
        <v>0.27868189156201278</v>
      </c>
      <c r="C76" s="120">
        <f t="shared" si="141"/>
        <v>0.28930249881027842</v>
      </c>
      <c r="D76" s="120">
        <f t="shared" si="141"/>
        <v>0.2778685265437123</v>
      </c>
      <c r="E76" s="120">
        <f t="shared" si="141"/>
        <v>0.27297236229121835</v>
      </c>
      <c r="F76" s="120">
        <f t="shared" si="141"/>
        <v>0.25063588306278772</v>
      </c>
      <c r="G76" s="120">
        <f t="shared" si="141"/>
        <v>0.27882663035114807</v>
      </c>
      <c r="H76" s="120">
        <f t="shared" si="141"/>
        <v>0.28410621086811022</v>
      </c>
      <c r="I76" s="120">
        <f t="shared" si="141"/>
        <v>0.28429506009580063</v>
      </c>
      <c r="J76" s="120">
        <f t="shared" si="141"/>
        <v>0.35828686678502131</v>
      </c>
      <c r="K76" s="120">
        <f t="shared" ref="K76:V76" si="148">IF(K54=0,0,K54/K65)</f>
        <v>0.3201019247858708</v>
      </c>
      <c r="L76" s="120">
        <f t="shared" si="148"/>
        <v>0.324233119021821</v>
      </c>
      <c r="M76" s="120">
        <f t="shared" si="148"/>
        <v>0.29553438585671349</v>
      </c>
      <c r="N76" s="120">
        <f t="shared" si="148"/>
        <v>0.28271594878268214</v>
      </c>
      <c r="O76" s="120">
        <f t="shared" si="148"/>
        <v>0.26255446568052565</v>
      </c>
      <c r="P76" s="120">
        <f t="shared" si="148"/>
        <v>0.27797056547911508</v>
      </c>
      <c r="Q76" s="120">
        <f t="shared" si="148"/>
        <v>0.28290155833606706</v>
      </c>
      <c r="R76" s="120">
        <f t="shared" si="148"/>
        <v>0.26658249905481168</v>
      </c>
      <c r="S76" s="120">
        <f t="shared" si="148"/>
        <v>0.32441678926482959</v>
      </c>
      <c r="T76" s="120">
        <f t="shared" si="148"/>
        <v>0.29162843807313726</v>
      </c>
      <c r="U76" s="120">
        <f t="shared" si="148"/>
        <v>0.33098100073405884</v>
      </c>
      <c r="V76" s="120">
        <f t="shared" si="148"/>
        <v>0.21065464553874214</v>
      </c>
      <c r="W76" s="120">
        <f t="shared" ref="W76" si="149">IF(W54=0,0,W54/W65)</f>
        <v>0.17241798385316556</v>
      </c>
      <c r="DA76" s="171"/>
    </row>
    <row r="77" spans="1:105" ht="11.45" customHeight="1" x14ac:dyDescent="0.25">
      <c r="A77" s="112" t="s">
        <v>25</v>
      </c>
      <c r="B77" s="121">
        <f t="shared" si="141"/>
        <v>0.29550527597402598</v>
      </c>
      <c r="C77" s="121">
        <f t="shared" si="141"/>
        <v>0.29550527597402593</v>
      </c>
      <c r="D77" s="121">
        <f t="shared" si="141"/>
        <v>0.29550527597402593</v>
      </c>
      <c r="E77" s="121">
        <f t="shared" si="141"/>
        <v>0.29550527597402598</v>
      </c>
      <c r="F77" s="121">
        <f t="shared" si="141"/>
        <v>0.29550527597402598</v>
      </c>
      <c r="G77" s="121">
        <f t="shared" si="141"/>
        <v>0.29550527597402593</v>
      </c>
      <c r="H77" s="121">
        <f t="shared" si="141"/>
        <v>0.33583297367285281</v>
      </c>
      <c r="I77" s="121">
        <f t="shared" si="141"/>
        <v>0.37174472189475943</v>
      </c>
      <c r="J77" s="121">
        <f t="shared" si="141"/>
        <v>0.38998957247132432</v>
      </c>
      <c r="K77" s="121">
        <f t="shared" ref="K77:V77" si="150">IF(K55=0,0,K55/K66)</f>
        <v>0.38355130784708252</v>
      </c>
      <c r="L77" s="121">
        <f t="shared" si="150"/>
        <v>0.38024068322981364</v>
      </c>
      <c r="M77" s="121">
        <f t="shared" si="150"/>
        <v>0.35550804828973848</v>
      </c>
      <c r="N77" s="121">
        <f t="shared" si="150"/>
        <v>0.36557539682539686</v>
      </c>
      <c r="O77" s="121">
        <f t="shared" si="150"/>
        <v>0.35424397031539889</v>
      </c>
      <c r="P77" s="121">
        <f t="shared" si="150"/>
        <v>0.33319570602807591</v>
      </c>
      <c r="Q77" s="121">
        <f t="shared" si="150"/>
        <v>0.36417748917748916</v>
      </c>
      <c r="R77" s="121">
        <f t="shared" si="150"/>
        <v>0.36139950166112955</v>
      </c>
      <c r="S77" s="121">
        <f t="shared" si="150"/>
        <v>0.34787644787644789</v>
      </c>
      <c r="T77" s="121">
        <f t="shared" si="150"/>
        <v>0.35229999999999995</v>
      </c>
      <c r="U77" s="121">
        <f t="shared" si="150"/>
        <v>0.3523</v>
      </c>
      <c r="V77" s="121">
        <f t="shared" si="150"/>
        <v>0.2013142857142857</v>
      </c>
      <c r="W77" s="121">
        <f t="shared" ref="W77" si="151">IF(W55=0,0,W55/W66)</f>
        <v>0.21137999999999998</v>
      </c>
      <c r="DA77" s="204"/>
    </row>
    <row r="78" spans="1:105" ht="11.45" customHeight="1" x14ac:dyDescent="0.25">
      <c r="A78" s="27" t="s">
        <v>34</v>
      </c>
      <c r="B78" s="30">
        <f t="shared" si="141"/>
        <v>0.22235190133715058</v>
      </c>
      <c r="C78" s="30">
        <f t="shared" si="141"/>
        <v>0.23165779884307969</v>
      </c>
      <c r="D78" s="30">
        <f t="shared" si="141"/>
        <v>0.23083872126421712</v>
      </c>
      <c r="E78" s="30">
        <f t="shared" si="141"/>
        <v>0.24153887979507593</v>
      </c>
      <c r="F78" s="30">
        <f t="shared" si="141"/>
        <v>0.2274594741958714</v>
      </c>
      <c r="G78" s="30">
        <f t="shared" si="141"/>
        <v>0.23290506606979372</v>
      </c>
      <c r="H78" s="30">
        <f t="shared" si="141"/>
        <v>0.22821054591966511</v>
      </c>
      <c r="I78" s="30">
        <f t="shared" si="141"/>
        <v>0.21701182369459426</v>
      </c>
      <c r="J78" s="30">
        <f t="shared" si="141"/>
        <v>0.25874770068247466</v>
      </c>
      <c r="K78" s="30">
        <f t="shared" ref="K78:V78" si="152">IF(K56=0,0,K56/K67)</f>
        <v>0.25190060418457755</v>
      </c>
      <c r="L78" s="30">
        <f t="shared" si="152"/>
        <v>0.27619655386389635</v>
      </c>
      <c r="M78" s="30">
        <f t="shared" si="152"/>
        <v>0.25107520135667666</v>
      </c>
      <c r="N78" s="30">
        <f t="shared" si="152"/>
        <v>0.25105948855587112</v>
      </c>
      <c r="O78" s="30">
        <f t="shared" si="152"/>
        <v>0.24866726647792683</v>
      </c>
      <c r="P78" s="30">
        <f t="shared" si="152"/>
        <v>0.27335605064398438</v>
      </c>
      <c r="Q78" s="30">
        <f t="shared" si="152"/>
        <v>0.27798088660015791</v>
      </c>
      <c r="R78" s="30">
        <f t="shared" si="152"/>
        <v>0.28699590866741964</v>
      </c>
      <c r="S78" s="30">
        <f t="shared" si="152"/>
        <v>0.28272591119270574</v>
      </c>
      <c r="T78" s="30">
        <f t="shared" si="152"/>
        <v>0.31357898238555204</v>
      </c>
      <c r="U78" s="30">
        <f t="shared" si="152"/>
        <v>0.31819393740730562</v>
      </c>
      <c r="V78" s="30">
        <f t="shared" si="152"/>
        <v>0.33014040161584363</v>
      </c>
      <c r="W78" s="30">
        <f t="shared" ref="W78" si="153">IF(W56=0,0,W56/W67)</f>
        <v>0.31230045358541331</v>
      </c>
      <c r="DA78" s="173"/>
    </row>
    <row r="79" spans="1:105" ht="11.45" customHeight="1" x14ac:dyDescent="0.25">
      <c r="A79" s="83" t="s">
        <v>92</v>
      </c>
      <c r="B79" s="120">
        <f t="shared" si="141"/>
        <v>0.28972950563951977</v>
      </c>
      <c r="C79" s="120">
        <f t="shared" si="141"/>
        <v>0.28527834058200952</v>
      </c>
      <c r="D79" s="120">
        <f t="shared" si="141"/>
        <v>0.29329938123047533</v>
      </c>
      <c r="E79" s="120">
        <f t="shared" si="141"/>
        <v>0.2950532078393639</v>
      </c>
      <c r="F79" s="120">
        <f t="shared" si="141"/>
        <v>0.28062561799089841</v>
      </c>
      <c r="G79" s="120">
        <f t="shared" si="141"/>
        <v>0.2871396827090677</v>
      </c>
      <c r="H79" s="120">
        <f t="shared" si="141"/>
        <v>0.29265102206610977</v>
      </c>
      <c r="I79" s="120">
        <f t="shared" si="141"/>
        <v>0.30474026541898241</v>
      </c>
      <c r="J79" s="120">
        <f t="shared" si="141"/>
        <v>0.32927606778872209</v>
      </c>
      <c r="K79" s="120">
        <f t="shared" ref="K79:V79" si="154">IF(K57=0,0,K57/K68)</f>
        <v>0.33119890118291823</v>
      </c>
      <c r="L79" s="120">
        <f t="shared" si="154"/>
        <v>0.34856503690818141</v>
      </c>
      <c r="M79" s="120">
        <f t="shared" si="154"/>
        <v>0.31030836882374246</v>
      </c>
      <c r="N79" s="120">
        <f t="shared" si="154"/>
        <v>0.31668584735728172</v>
      </c>
      <c r="O79" s="120">
        <f t="shared" si="154"/>
        <v>0.31070042923306024</v>
      </c>
      <c r="P79" s="120">
        <f t="shared" si="154"/>
        <v>0.32770871278595481</v>
      </c>
      <c r="Q79" s="120">
        <f t="shared" si="154"/>
        <v>0.31892088981728911</v>
      </c>
      <c r="R79" s="120">
        <f t="shared" si="154"/>
        <v>0.31969814335302854</v>
      </c>
      <c r="S79" s="120">
        <f t="shared" si="154"/>
        <v>0.35834621079608797</v>
      </c>
      <c r="T79" s="120">
        <f t="shared" si="154"/>
        <v>0.3497362171471361</v>
      </c>
      <c r="U79" s="120">
        <f t="shared" si="154"/>
        <v>0.37430373583458415</v>
      </c>
      <c r="V79" s="120">
        <f t="shared" si="154"/>
        <v>0.32651005825458773</v>
      </c>
      <c r="W79" s="120">
        <f t="shared" ref="W79" si="155">IF(W57=0,0,W57/W68)</f>
        <v>0.31597107856827911</v>
      </c>
      <c r="DA79" s="171"/>
    </row>
    <row r="80" spans="1:105" ht="11.45" customHeight="1" x14ac:dyDescent="0.25">
      <c r="A80" s="85" t="s">
        <v>93</v>
      </c>
      <c r="B80" s="122">
        <f t="shared" si="141"/>
        <v>0.21719725772196108</v>
      </c>
      <c r="C80" s="122">
        <f t="shared" si="141"/>
        <v>0.2275815573279345</v>
      </c>
      <c r="D80" s="122">
        <f t="shared" si="141"/>
        <v>0.22645668376649203</v>
      </c>
      <c r="E80" s="122">
        <f t="shared" si="141"/>
        <v>0.2374343688816295</v>
      </c>
      <c r="F80" s="122">
        <f t="shared" si="141"/>
        <v>0.22335494013986512</v>
      </c>
      <c r="G80" s="122">
        <f t="shared" si="141"/>
        <v>0.2284867327341871</v>
      </c>
      <c r="H80" s="122">
        <f t="shared" si="141"/>
        <v>0.22351063239467464</v>
      </c>
      <c r="I80" s="122">
        <f t="shared" si="141"/>
        <v>0.211368578036086</v>
      </c>
      <c r="J80" s="122">
        <f t="shared" si="141"/>
        <v>0.25333013309900387</v>
      </c>
      <c r="K80" s="122">
        <f t="shared" ref="K80:V80" si="156">IF(K58=0,0,K58/K69)</f>
        <v>0.24632272522225884</v>
      </c>
      <c r="L80" s="122">
        <f t="shared" si="156"/>
        <v>0.27101330009686864</v>
      </c>
      <c r="M80" s="122">
        <f t="shared" si="156"/>
        <v>0.24657895087413798</v>
      </c>
      <c r="N80" s="122">
        <f t="shared" si="156"/>
        <v>0.24680093407649809</v>
      </c>
      <c r="O80" s="122">
        <f t="shared" si="156"/>
        <v>0.24443629021443652</v>
      </c>
      <c r="P80" s="122">
        <f t="shared" si="156"/>
        <v>0.27015109484807404</v>
      </c>
      <c r="Q80" s="122">
        <f t="shared" si="156"/>
        <v>0.27536755754848219</v>
      </c>
      <c r="R80" s="122">
        <f t="shared" si="156"/>
        <v>0.28498774002042015</v>
      </c>
      <c r="S80" s="122">
        <f t="shared" si="156"/>
        <v>0.27905866175072758</v>
      </c>
      <c r="T80" s="122">
        <f t="shared" si="156"/>
        <v>0.31144957524787181</v>
      </c>
      <c r="U80" s="122">
        <f t="shared" si="156"/>
        <v>0.3151190983750925</v>
      </c>
      <c r="V80" s="122">
        <f t="shared" si="156"/>
        <v>0.33034647503459674</v>
      </c>
      <c r="W80" s="122">
        <f t="shared" ref="W80" si="157">IF(W58=0,0,W58/W69)</f>
        <v>0.31216437313177053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159460.06706799904</v>
      </c>
      <c r="C82" s="54">
        <f t="shared" si="158"/>
        <v>159298.95020483408</v>
      </c>
      <c r="D82" s="54">
        <f t="shared" si="158"/>
        <v>160688.9500006022</v>
      </c>
      <c r="E82" s="54">
        <f t="shared" si="158"/>
        <v>159662.25236920343</v>
      </c>
      <c r="F82" s="54">
        <f t="shared" si="158"/>
        <v>158398.93644219419</v>
      </c>
      <c r="G82" s="54">
        <f t="shared" si="158"/>
        <v>158423.30713416464</v>
      </c>
      <c r="H82" s="54">
        <f t="shared" si="158"/>
        <v>158650.56164874669</v>
      </c>
      <c r="I82" s="54">
        <f t="shared" si="158"/>
        <v>159005.91587042718</v>
      </c>
      <c r="J82" s="54">
        <f t="shared" si="158"/>
        <v>150579.3421254112</v>
      </c>
      <c r="K82" s="54">
        <f t="shared" ref="K82:V82" si="159">IF(K14=0,0,K14/K25*1000000)</f>
        <v>154803.79731568656</v>
      </c>
      <c r="L82" s="54">
        <f t="shared" si="159"/>
        <v>157945.22153161973</v>
      </c>
      <c r="M82" s="54">
        <f t="shared" si="159"/>
        <v>157583.14590823589</v>
      </c>
      <c r="N82" s="54">
        <f t="shared" si="159"/>
        <v>157129.90949349111</v>
      </c>
      <c r="O82" s="54">
        <f t="shared" si="159"/>
        <v>156344.37813607047</v>
      </c>
      <c r="P82" s="54">
        <f t="shared" si="159"/>
        <v>157393.5664225363</v>
      </c>
      <c r="Q82" s="54">
        <f t="shared" si="159"/>
        <v>156372.6744199729</v>
      </c>
      <c r="R82" s="54">
        <f t="shared" si="159"/>
        <v>156090.56947712999</v>
      </c>
      <c r="S82" s="54">
        <f t="shared" si="159"/>
        <v>149935.59132685905</v>
      </c>
      <c r="T82" s="54">
        <f t="shared" si="159"/>
        <v>156466.06084190906</v>
      </c>
      <c r="U82" s="54">
        <f t="shared" si="159"/>
        <v>157646.97391355076</v>
      </c>
      <c r="V82" s="54">
        <f t="shared" si="159"/>
        <v>154141.23171437552</v>
      </c>
      <c r="W82" s="54">
        <f t="shared" ref="W82" si="160">IF(W14=0,0,W14/W25*1000000)</f>
        <v>155600.70050921661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147867.81092112893</v>
      </c>
      <c r="C83" s="28">
        <f t="shared" si="161"/>
        <v>148616.40102569477</v>
      </c>
      <c r="D83" s="28">
        <f t="shared" si="161"/>
        <v>150248.80234416947</v>
      </c>
      <c r="E83" s="28">
        <f t="shared" si="161"/>
        <v>149148.42859304452</v>
      </c>
      <c r="F83" s="28">
        <f t="shared" si="161"/>
        <v>147087.65531973526</v>
      </c>
      <c r="G83" s="28">
        <f t="shared" si="161"/>
        <v>146551.7985916188</v>
      </c>
      <c r="H83" s="28">
        <f t="shared" si="161"/>
        <v>146814.48496079189</v>
      </c>
      <c r="I83" s="28">
        <f t="shared" si="161"/>
        <v>146686.89270512279</v>
      </c>
      <c r="J83" s="28">
        <f t="shared" si="161"/>
        <v>142189.83892498611</v>
      </c>
      <c r="K83" s="28">
        <f t="shared" ref="K83:V83" si="162">IF(K15=0,0,K15/K26*1000000)</f>
        <v>148430.89422009152</v>
      </c>
      <c r="L83" s="28">
        <f t="shared" si="162"/>
        <v>147719.95973892024</v>
      </c>
      <c r="M83" s="28">
        <f t="shared" si="162"/>
        <v>147556.93882491637</v>
      </c>
      <c r="N83" s="28">
        <f t="shared" si="162"/>
        <v>148043.57708609867</v>
      </c>
      <c r="O83" s="28">
        <f t="shared" si="162"/>
        <v>147824.34469499809</v>
      </c>
      <c r="P83" s="28">
        <f t="shared" si="162"/>
        <v>149639.79072360913</v>
      </c>
      <c r="Q83" s="28">
        <f t="shared" si="162"/>
        <v>148853.87140253183</v>
      </c>
      <c r="R83" s="28">
        <f t="shared" si="162"/>
        <v>148871.31690555823</v>
      </c>
      <c r="S83" s="28">
        <f t="shared" si="162"/>
        <v>141162.29284045228</v>
      </c>
      <c r="T83" s="28">
        <f t="shared" si="162"/>
        <v>149404.18042846947</v>
      </c>
      <c r="U83" s="28">
        <f t="shared" si="162"/>
        <v>150798.20065325376</v>
      </c>
      <c r="V83" s="28">
        <f t="shared" si="162"/>
        <v>146685.96026426915</v>
      </c>
      <c r="W83" s="28">
        <f t="shared" ref="W83" si="163">IF(W15=0,0,W15/W26*1000000)</f>
        <v>148345.74919600255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109999.99966588494</v>
      </c>
      <c r="C84" s="108">
        <f t="shared" si="161"/>
        <v>109999.99970267608</v>
      </c>
      <c r="D84" s="108">
        <f t="shared" si="161"/>
        <v>109999.99990212411</v>
      </c>
      <c r="E84" s="108">
        <f t="shared" si="161"/>
        <v>109999.99967291419</v>
      </c>
      <c r="F84" s="108">
        <f t="shared" si="161"/>
        <v>109999.99998099983</v>
      </c>
      <c r="G84" s="108">
        <f t="shared" si="161"/>
        <v>109999.99991871792</v>
      </c>
      <c r="H84" s="108">
        <f t="shared" si="161"/>
        <v>109999.99975923634</v>
      </c>
      <c r="I84" s="108">
        <f t="shared" si="161"/>
        <v>109999.99959259671</v>
      </c>
      <c r="J84" s="108">
        <f t="shared" si="161"/>
        <v>109999.99973196181</v>
      </c>
      <c r="K84" s="108">
        <f t="shared" ref="K84:V84" si="164">IF(K16=0,0,K16/K27*1000000)</f>
        <v>109999.99987410154</v>
      </c>
      <c r="L84" s="108">
        <f t="shared" si="164"/>
        <v>109999.9998644501</v>
      </c>
      <c r="M84" s="108">
        <f t="shared" si="164"/>
        <v>109999.99970011167</v>
      </c>
      <c r="N84" s="108">
        <f t="shared" si="164"/>
        <v>109999.99993883059</v>
      </c>
      <c r="O84" s="108">
        <f t="shared" si="164"/>
        <v>109999.99977761148</v>
      </c>
      <c r="P84" s="108">
        <f t="shared" si="164"/>
        <v>109999.99996717174</v>
      </c>
      <c r="Q84" s="108">
        <f t="shared" si="164"/>
        <v>109999.99991610748</v>
      </c>
      <c r="R84" s="108">
        <f t="shared" si="164"/>
        <v>109999.99995547583</v>
      </c>
      <c r="S84" s="108">
        <f t="shared" si="164"/>
        <v>109999.99974091227</v>
      </c>
      <c r="T84" s="108">
        <f t="shared" si="164"/>
        <v>109999.99971355057</v>
      </c>
      <c r="U84" s="108">
        <f t="shared" si="164"/>
        <v>109999.99978060518</v>
      </c>
      <c r="V84" s="108">
        <f t="shared" si="164"/>
        <v>109999.99994056982</v>
      </c>
      <c r="W84" s="108">
        <f t="shared" ref="W84" si="165">IF(W16=0,0,W16/W27*1000000)</f>
        <v>109999.99964591254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149999.99945886337</v>
      </c>
      <c r="C85" s="110">
        <f t="shared" si="161"/>
        <v>149999.99957296232</v>
      </c>
      <c r="D85" s="110">
        <f t="shared" si="161"/>
        <v>149999.99962055855</v>
      </c>
      <c r="E85" s="110">
        <f t="shared" si="161"/>
        <v>148551.67341188079</v>
      </c>
      <c r="F85" s="110">
        <f t="shared" si="161"/>
        <v>145497.53920494745</v>
      </c>
      <c r="G85" s="110">
        <f t="shared" si="161"/>
        <v>145068.48179075081</v>
      </c>
      <c r="H85" s="110">
        <f t="shared" si="161"/>
        <v>147773.09987316275</v>
      </c>
      <c r="I85" s="110">
        <f t="shared" si="161"/>
        <v>148246.01247433206</v>
      </c>
      <c r="J85" s="110">
        <f t="shared" si="161"/>
        <v>140681.31922143427</v>
      </c>
      <c r="K85" s="110">
        <f t="shared" ref="K85:V85" si="166">IF(K17=0,0,K17/K28*1000000)</f>
        <v>149999.99983758802</v>
      </c>
      <c r="L85" s="110">
        <f t="shared" si="166"/>
        <v>149784.19806350983</v>
      </c>
      <c r="M85" s="110">
        <f t="shared" si="166"/>
        <v>149258.16098307227</v>
      </c>
      <c r="N85" s="110">
        <f t="shared" si="166"/>
        <v>149999.99977609806</v>
      </c>
      <c r="O85" s="110">
        <f t="shared" si="166"/>
        <v>149156.69644506928</v>
      </c>
      <c r="P85" s="110">
        <f t="shared" si="166"/>
        <v>149999.99971596673</v>
      </c>
      <c r="Q85" s="110">
        <f t="shared" si="166"/>
        <v>149999.9997114302</v>
      </c>
      <c r="R85" s="110">
        <f t="shared" si="166"/>
        <v>149999.99988314189</v>
      </c>
      <c r="S85" s="110">
        <f t="shared" si="166"/>
        <v>137171.40162432668</v>
      </c>
      <c r="T85" s="110">
        <f t="shared" si="166"/>
        <v>149999.99974158872</v>
      </c>
      <c r="U85" s="110">
        <f t="shared" si="166"/>
        <v>149999.99998328637</v>
      </c>
      <c r="V85" s="110">
        <f t="shared" si="166"/>
        <v>148859.27360095031</v>
      </c>
      <c r="W85" s="110">
        <f t="shared" ref="W85" si="167">IF(W17=0,0,W17/W28*1000000)</f>
        <v>149929.83571086937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149999.99414805369</v>
      </c>
      <c r="C86" s="84">
        <f t="shared" si="161"/>
        <v>149999.9947017043</v>
      </c>
      <c r="D86" s="84">
        <f t="shared" si="161"/>
        <v>149999.99818614993</v>
      </c>
      <c r="E86" s="84">
        <f t="shared" si="161"/>
        <v>129726.88822171022</v>
      </c>
      <c r="F86" s="84">
        <f t="shared" si="161"/>
        <v>77608.454406067453</v>
      </c>
      <c r="G86" s="84">
        <f t="shared" si="161"/>
        <v>68443.248295557423</v>
      </c>
      <c r="H86" s="84">
        <f t="shared" si="161"/>
        <v>108631.93035723371</v>
      </c>
      <c r="I86" s="84">
        <f t="shared" si="161"/>
        <v>112973.76995305084</v>
      </c>
      <c r="J86" s="84">
        <f t="shared" si="161"/>
        <v>149999.99518765273</v>
      </c>
      <c r="K86" s="84">
        <f t="shared" ref="K86:V86" si="168">IF(K18=0,0,K18/K29*1000000)</f>
        <v>149999.99958548089</v>
      </c>
      <c r="L86" s="84">
        <f t="shared" si="168"/>
        <v>145182.25494905646</v>
      </c>
      <c r="M86" s="84">
        <f t="shared" si="168"/>
        <v>129011.62457181298</v>
      </c>
      <c r="N86" s="84">
        <f t="shared" si="168"/>
        <v>149999.99484366737</v>
      </c>
      <c r="O86" s="84">
        <f t="shared" si="168"/>
        <v>124959.99908438444</v>
      </c>
      <c r="P86" s="84">
        <f t="shared" si="168"/>
        <v>149999.99685996433</v>
      </c>
      <c r="Q86" s="84">
        <f t="shared" si="168"/>
        <v>149999.99442274417</v>
      </c>
      <c r="R86" s="84">
        <f t="shared" si="168"/>
        <v>149999.99958040146</v>
      </c>
      <c r="S86" s="84">
        <f t="shared" si="168"/>
        <v>149999.999372655</v>
      </c>
      <c r="T86" s="84">
        <f t="shared" si="168"/>
        <v>149999.99781130196</v>
      </c>
      <c r="U86" s="84">
        <f t="shared" si="168"/>
        <v>149999.99996453771</v>
      </c>
      <c r="V86" s="84">
        <f t="shared" si="168"/>
        <v>149999.99513598342</v>
      </c>
      <c r="W86" s="84">
        <f t="shared" ref="W86" si="169">IF(W18=0,0,W18/W29*1000000)</f>
        <v>147863.67011119705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149999.9997319635</v>
      </c>
      <c r="C87" s="84">
        <f t="shared" si="161"/>
        <v>149999.99986405348</v>
      </c>
      <c r="D87" s="84">
        <f t="shared" si="161"/>
        <v>149999.99974201675</v>
      </c>
      <c r="E87" s="84">
        <f t="shared" si="161"/>
        <v>149999.99994525706</v>
      </c>
      <c r="F87" s="84">
        <f t="shared" si="161"/>
        <v>149999.99973877775</v>
      </c>
      <c r="G87" s="84">
        <f t="shared" si="161"/>
        <v>149999.99968947523</v>
      </c>
      <c r="H87" s="84">
        <f t="shared" si="161"/>
        <v>149999.99981102004</v>
      </c>
      <c r="I87" s="84">
        <f t="shared" si="161"/>
        <v>149999.99993655342</v>
      </c>
      <c r="J87" s="84">
        <f t="shared" si="161"/>
        <v>140189.43058307428</v>
      </c>
      <c r="K87" s="84">
        <f t="shared" ref="K87:V87" si="170">IF(K19=0,0,K19/K30*1000000)</f>
        <v>149999.99985033306</v>
      </c>
      <c r="L87" s="84">
        <f t="shared" si="170"/>
        <v>149999.99977609867</v>
      </c>
      <c r="M87" s="84">
        <f t="shared" si="170"/>
        <v>149999.99975704166</v>
      </c>
      <c r="N87" s="84">
        <f t="shared" si="170"/>
        <v>149999.99997964504</v>
      </c>
      <c r="O87" s="84">
        <f t="shared" si="170"/>
        <v>149999.99996502485</v>
      </c>
      <c r="P87" s="84">
        <f t="shared" si="170"/>
        <v>149999.99981096323</v>
      </c>
      <c r="Q87" s="84">
        <f t="shared" si="170"/>
        <v>149999.99987137193</v>
      </c>
      <c r="R87" s="84">
        <f t="shared" si="170"/>
        <v>149999.99989186521</v>
      </c>
      <c r="S87" s="84">
        <f t="shared" si="170"/>
        <v>136733.97827168638</v>
      </c>
      <c r="T87" s="84">
        <f t="shared" si="170"/>
        <v>149999.99980656925</v>
      </c>
      <c r="U87" s="84">
        <f t="shared" si="170"/>
        <v>149999.99998406053</v>
      </c>
      <c r="V87" s="84">
        <f t="shared" si="170"/>
        <v>148809.73617125739</v>
      </c>
      <c r="W87" s="84">
        <f t="shared" ref="W87" si="171">IF(W19=0,0,W19/W30*1000000)</f>
        <v>149999.99994657582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449999.99371568573</v>
      </c>
      <c r="C88" s="113">
        <f t="shared" si="161"/>
        <v>449999.99997129757</v>
      </c>
      <c r="D88" s="113">
        <f t="shared" si="161"/>
        <v>449999.99087996886</v>
      </c>
      <c r="E88" s="113">
        <f t="shared" si="161"/>
        <v>449999.99198996817</v>
      </c>
      <c r="F88" s="113">
        <f t="shared" si="161"/>
        <v>449999.99993402098</v>
      </c>
      <c r="G88" s="113">
        <f t="shared" si="161"/>
        <v>449999.99840198871</v>
      </c>
      <c r="H88" s="113">
        <f t="shared" si="161"/>
        <v>449999.98810422985</v>
      </c>
      <c r="I88" s="113">
        <f t="shared" si="161"/>
        <v>449999.98818454641</v>
      </c>
      <c r="J88" s="113">
        <f t="shared" si="161"/>
        <v>449999.99178832129</v>
      </c>
      <c r="K88" s="113">
        <f t="shared" ref="K88:V88" si="172">IF(K20=0,0,K20/K31*1000000)</f>
        <v>449999.99366197194</v>
      </c>
      <c r="L88" s="113">
        <f t="shared" si="172"/>
        <v>449999.99510869576</v>
      </c>
      <c r="M88" s="113">
        <f t="shared" si="172"/>
        <v>449999.99366197194</v>
      </c>
      <c r="N88" s="113">
        <f t="shared" si="172"/>
        <v>450000</v>
      </c>
      <c r="O88" s="113">
        <f t="shared" si="172"/>
        <v>449999.98977272754</v>
      </c>
      <c r="P88" s="113">
        <f t="shared" si="172"/>
        <v>449999.99349711003</v>
      </c>
      <c r="Q88" s="113">
        <f t="shared" si="172"/>
        <v>449999.99590909103</v>
      </c>
      <c r="R88" s="113">
        <f t="shared" si="172"/>
        <v>449999.99084302346</v>
      </c>
      <c r="S88" s="113">
        <f t="shared" si="172"/>
        <v>449999.9902702705</v>
      </c>
      <c r="T88" s="113">
        <f t="shared" si="172"/>
        <v>449999.99640000012</v>
      </c>
      <c r="U88" s="113">
        <f t="shared" si="172"/>
        <v>449999.99711820006</v>
      </c>
      <c r="V88" s="113">
        <f t="shared" si="172"/>
        <v>387292.50185880408</v>
      </c>
      <c r="W88" s="113">
        <f t="shared" ref="W88" si="173">IF(W20=0,0,W20/W31*1000000)</f>
        <v>426226.86956433934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199999.99912316355</v>
      </c>
      <c r="C89" s="28">
        <f t="shared" si="161"/>
        <v>199999.99876544316</v>
      </c>
      <c r="D89" s="28">
        <f t="shared" si="161"/>
        <v>199999.99946051906</v>
      </c>
      <c r="E89" s="28">
        <f t="shared" si="161"/>
        <v>199999.99881300938</v>
      </c>
      <c r="F89" s="28">
        <f t="shared" si="161"/>
        <v>199999.99956025439</v>
      </c>
      <c r="G89" s="28">
        <f t="shared" si="161"/>
        <v>199999.9995661921</v>
      </c>
      <c r="H89" s="28">
        <f t="shared" si="161"/>
        <v>199999.99913706389</v>
      </c>
      <c r="I89" s="28">
        <f t="shared" si="161"/>
        <v>199999.99906731246</v>
      </c>
      <c r="J89" s="28">
        <f t="shared" si="161"/>
        <v>179261.34155110363</v>
      </c>
      <c r="K89" s="28">
        <f t="shared" ref="K89:V89" si="174">IF(K21=0,0,K21/K32*1000000)</f>
        <v>179694.53509001472</v>
      </c>
      <c r="L89" s="28">
        <f t="shared" si="174"/>
        <v>199999.99902296765</v>
      </c>
      <c r="M89" s="28">
        <f t="shared" si="174"/>
        <v>199999.99892286595</v>
      </c>
      <c r="N89" s="28">
        <f t="shared" si="174"/>
        <v>198975.41948785572</v>
      </c>
      <c r="O89" s="28">
        <f t="shared" si="174"/>
        <v>199999.99948062029</v>
      </c>
      <c r="P89" s="28">
        <f t="shared" si="174"/>
        <v>198917.35403995996</v>
      </c>
      <c r="Q89" s="28">
        <f t="shared" si="174"/>
        <v>199999.99858380144</v>
      </c>
      <c r="R89" s="28">
        <f t="shared" si="174"/>
        <v>199999.99887797094</v>
      </c>
      <c r="S89" s="28">
        <f t="shared" si="174"/>
        <v>199689.3545603753</v>
      </c>
      <c r="T89" s="28">
        <f t="shared" si="174"/>
        <v>199999.9995718585</v>
      </c>
      <c r="U89" s="28">
        <f t="shared" si="174"/>
        <v>199999.99803189136</v>
      </c>
      <c r="V89" s="28">
        <f t="shared" si="174"/>
        <v>199999.99806154906</v>
      </c>
      <c r="W89" s="28">
        <f t="shared" ref="W89" si="175">IF(W21=0,0,W21/W32*1000000)</f>
        <v>199235.18772561912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199999.99059379505</v>
      </c>
      <c r="C90" s="84">
        <f t="shared" si="161"/>
        <v>199999.99254076739</v>
      </c>
      <c r="D90" s="84">
        <f t="shared" si="161"/>
        <v>199999.99645555532</v>
      </c>
      <c r="E90" s="84">
        <f t="shared" si="161"/>
        <v>199999.99718629973</v>
      </c>
      <c r="F90" s="84">
        <f t="shared" si="161"/>
        <v>199999.9993877738</v>
      </c>
      <c r="G90" s="84">
        <f t="shared" si="161"/>
        <v>199999.99736069664</v>
      </c>
      <c r="H90" s="84">
        <f t="shared" si="161"/>
        <v>199999.99001135083</v>
      </c>
      <c r="I90" s="84">
        <f t="shared" si="161"/>
        <v>199999.98963779261</v>
      </c>
      <c r="J90" s="84">
        <f t="shared" si="161"/>
        <v>199999.98983780787</v>
      </c>
      <c r="K90" s="84">
        <f t="shared" ref="K90:V90" si="176">IF(K22=0,0,K22/K33*1000000)</f>
        <v>186722.00669893986</v>
      </c>
      <c r="L90" s="84">
        <f t="shared" si="176"/>
        <v>199999.9907839816</v>
      </c>
      <c r="M90" s="84">
        <f t="shared" si="176"/>
        <v>199999.98767245942</v>
      </c>
      <c r="N90" s="84">
        <f t="shared" si="176"/>
        <v>184416.4140830673</v>
      </c>
      <c r="O90" s="84">
        <f t="shared" si="176"/>
        <v>199999.9928876099</v>
      </c>
      <c r="P90" s="84">
        <f t="shared" si="176"/>
        <v>182191.68030852391</v>
      </c>
      <c r="Q90" s="84">
        <f t="shared" si="176"/>
        <v>199999.99227037924</v>
      </c>
      <c r="R90" s="84">
        <f t="shared" si="176"/>
        <v>199999.99455824945</v>
      </c>
      <c r="S90" s="84">
        <f t="shared" si="176"/>
        <v>193492.16510348639</v>
      </c>
      <c r="T90" s="84">
        <f t="shared" si="176"/>
        <v>199999.9932060315</v>
      </c>
      <c r="U90" s="84">
        <f t="shared" si="176"/>
        <v>199999.98418285535</v>
      </c>
      <c r="V90" s="84">
        <f t="shared" si="176"/>
        <v>199999.98055502062</v>
      </c>
      <c r="W90" s="84">
        <f t="shared" ref="W90" si="177">IF(W22=0,0,W22/W33*1000000)</f>
        <v>180605.73561080251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199999.99977569279</v>
      </c>
      <c r="C91" s="86">
        <f t="shared" si="161"/>
        <v>199999.99923864394</v>
      </c>
      <c r="D91" s="86">
        <f t="shared" si="161"/>
        <v>199999.99967133754</v>
      </c>
      <c r="E91" s="86">
        <f t="shared" si="161"/>
        <v>199999.99893777687</v>
      </c>
      <c r="F91" s="86">
        <f t="shared" si="161"/>
        <v>199999.99957357024</v>
      </c>
      <c r="G91" s="86">
        <f t="shared" si="161"/>
        <v>199999.99974586733</v>
      </c>
      <c r="H91" s="86">
        <f t="shared" si="161"/>
        <v>199999.99980264038</v>
      </c>
      <c r="I91" s="86">
        <f t="shared" si="161"/>
        <v>199999.99967387854</v>
      </c>
      <c r="J91" s="86">
        <f t="shared" si="161"/>
        <v>177844.79082690494</v>
      </c>
      <c r="K91" s="86">
        <f t="shared" ref="K91:V91" si="178">IF(K23=0,0,K23/K34*1000000)</f>
        <v>179220.07959053994</v>
      </c>
      <c r="L91" s="86">
        <f t="shared" si="178"/>
        <v>199999.99961306926</v>
      </c>
      <c r="M91" s="86">
        <f t="shared" si="178"/>
        <v>199999.99977685796</v>
      </c>
      <c r="N91" s="86">
        <f t="shared" si="178"/>
        <v>199999.9998519404</v>
      </c>
      <c r="O91" s="86">
        <f t="shared" si="178"/>
        <v>199999.99993029702</v>
      </c>
      <c r="P91" s="86">
        <f t="shared" si="178"/>
        <v>199999.9995968439</v>
      </c>
      <c r="Q91" s="86">
        <f t="shared" si="178"/>
        <v>199999.99898680701</v>
      </c>
      <c r="R91" s="86">
        <f t="shared" si="178"/>
        <v>199999.99914323504</v>
      </c>
      <c r="S91" s="86">
        <f t="shared" si="178"/>
        <v>199999.99889664087</v>
      </c>
      <c r="T91" s="86">
        <f t="shared" si="178"/>
        <v>199999.99994676097</v>
      </c>
      <c r="U91" s="86">
        <f t="shared" si="178"/>
        <v>199999.99879082403</v>
      </c>
      <c r="V91" s="86">
        <f t="shared" si="178"/>
        <v>199999.99905529266</v>
      </c>
      <c r="W91" s="86">
        <f t="shared" ref="W91" si="179">IF(W23=0,0,W23/W34*1000000)</f>
        <v>199999.99897982084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14020417.256969081</v>
      </c>
      <c r="C94" s="28">
        <f t="shared" si="180"/>
        <v>14447108.880422529</v>
      </c>
      <c r="D94" s="28">
        <f t="shared" si="180"/>
        <v>14575593.718106082</v>
      </c>
      <c r="E94" s="28">
        <f t="shared" si="180"/>
        <v>14194749.939855188</v>
      </c>
      <c r="F94" s="28">
        <f t="shared" si="180"/>
        <v>13266636.410631862</v>
      </c>
      <c r="G94" s="28">
        <f t="shared" si="180"/>
        <v>14076892.129012719</v>
      </c>
      <c r="H94" s="28">
        <f t="shared" si="180"/>
        <v>14482482.833986148</v>
      </c>
      <c r="I94" s="28">
        <f t="shared" si="180"/>
        <v>14684430.372020449</v>
      </c>
      <c r="J94" s="28">
        <f t="shared" si="180"/>
        <v>16635552.652522154</v>
      </c>
      <c r="K94" s="28">
        <f t="shared" ref="K94:V94" si="181">IF(K4=0,0,K4/K26*1000000)</f>
        <v>16186266.339046607</v>
      </c>
      <c r="L94" s="28">
        <f t="shared" si="181"/>
        <v>16149618.256742073</v>
      </c>
      <c r="M94" s="28">
        <f t="shared" si="181"/>
        <v>14956210.827862965</v>
      </c>
      <c r="N94" s="28">
        <f t="shared" si="181"/>
        <v>14637974.866341908</v>
      </c>
      <c r="O94" s="28">
        <f t="shared" si="181"/>
        <v>13890990.80589232</v>
      </c>
      <c r="P94" s="28">
        <f t="shared" si="181"/>
        <v>14582082.949423924</v>
      </c>
      <c r="Q94" s="28">
        <f t="shared" si="181"/>
        <v>14815378.553078249</v>
      </c>
      <c r="R94" s="28">
        <f t="shared" si="181"/>
        <v>14264947.74046394</v>
      </c>
      <c r="S94" s="28">
        <f t="shared" si="181"/>
        <v>15296298.345773207</v>
      </c>
      <c r="T94" s="28">
        <f t="shared" si="181"/>
        <v>15262623.209620673</v>
      </c>
      <c r="U94" s="28">
        <f t="shared" si="181"/>
        <v>16844548.247032084</v>
      </c>
      <c r="V94" s="28">
        <f t="shared" si="181"/>
        <v>10015981.096226817</v>
      </c>
      <c r="W94" s="28">
        <f t="shared" ref="W94" si="182">IF(W4=0,0,W4/W26*1000000)</f>
        <v>8911856.3375627287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8088507.7327215401</v>
      </c>
      <c r="C95" s="108">
        <f t="shared" si="180"/>
        <v>7965066.8729172256</v>
      </c>
      <c r="D95" s="108">
        <f t="shared" si="180"/>
        <v>8442334.5470385905</v>
      </c>
      <c r="E95" s="108">
        <f t="shared" si="180"/>
        <v>8301397.3429075563</v>
      </c>
      <c r="F95" s="108">
        <f t="shared" si="180"/>
        <v>8303461.923948667</v>
      </c>
      <c r="G95" s="108">
        <f t="shared" si="180"/>
        <v>8418228.3870126419</v>
      </c>
      <c r="H95" s="108">
        <f t="shared" si="180"/>
        <v>8355107.0326123359</v>
      </c>
      <c r="I95" s="108">
        <f t="shared" si="180"/>
        <v>8214132.7202072088</v>
      </c>
      <c r="J95" s="108">
        <f t="shared" si="180"/>
        <v>8374150.0214352449</v>
      </c>
      <c r="K95" s="108">
        <f t="shared" ref="K95:V95" si="183">IF(K5=0,0,K5/K27*1000000)</f>
        <v>8307068.0278341165</v>
      </c>
      <c r="L95" s="108">
        <f t="shared" si="183"/>
        <v>8303644.4961555935</v>
      </c>
      <c r="M95" s="108">
        <f t="shared" si="183"/>
        <v>8313064.8791976152</v>
      </c>
      <c r="N95" s="108">
        <f t="shared" si="183"/>
        <v>8258790.9008310111</v>
      </c>
      <c r="O95" s="108">
        <f t="shared" si="183"/>
        <v>8219847.2215360692</v>
      </c>
      <c r="P95" s="108">
        <f t="shared" si="183"/>
        <v>8216531.9238952994</v>
      </c>
      <c r="Q95" s="108">
        <f t="shared" si="183"/>
        <v>8210171.4289246351</v>
      </c>
      <c r="R95" s="108">
        <f t="shared" si="183"/>
        <v>8223373.6423791088</v>
      </c>
      <c r="S95" s="108">
        <f t="shared" si="183"/>
        <v>8274604.8697209423</v>
      </c>
      <c r="T95" s="108">
        <f t="shared" si="183"/>
        <v>8730146.8144356124</v>
      </c>
      <c r="U95" s="108">
        <f t="shared" si="183"/>
        <v>8752278.2829346731</v>
      </c>
      <c r="V95" s="108">
        <f t="shared" si="183"/>
        <v>5489601.7235736353</v>
      </c>
      <c r="W95" s="108">
        <f t="shared" ref="W95" si="184">IF(W5=0,0,W5/W27*1000000)</f>
        <v>5156317.6898276825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13564933.3337493</v>
      </c>
      <c r="C96" s="110">
        <f t="shared" si="180"/>
        <v>14069355.468507903</v>
      </c>
      <c r="D96" s="110">
        <f t="shared" si="180"/>
        <v>13582054.40437264</v>
      </c>
      <c r="E96" s="110">
        <f t="shared" si="180"/>
        <v>13120228.039596204</v>
      </c>
      <c r="F96" s="110">
        <f t="shared" si="180"/>
        <v>11779409.240706107</v>
      </c>
      <c r="G96" s="110">
        <f t="shared" si="180"/>
        <v>13017022.637460936</v>
      </c>
      <c r="H96" s="110">
        <f t="shared" si="180"/>
        <v>13541552.876312567</v>
      </c>
      <c r="I96" s="110">
        <f t="shared" si="180"/>
        <v>13588229.224569075</v>
      </c>
      <c r="J96" s="110">
        <f t="shared" si="180"/>
        <v>16089593.423038309</v>
      </c>
      <c r="K96" s="110">
        <f t="shared" ref="K96:V96" si="185">IF(K6=0,0,K6/K28*1000000)</f>
        <v>15411930.26210936</v>
      </c>
      <c r="L96" s="110">
        <f t="shared" si="185"/>
        <v>15601048.710222198</v>
      </c>
      <c r="M96" s="110">
        <f t="shared" si="185"/>
        <v>14153372.732337834</v>
      </c>
      <c r="N96" s="110">
        <f t="shared" si="185"/>
        <v>13640605.629995868</v>
      </c>
      <c r="O96" s="110">
        <f t="shared" si="185"/>
        <v>12613461.763360806</v>
      </c>
      <c r="P96" s="110">
        <f t="shared" si="185"/>
        <v>13413514.080593944</v>
      </c>
      <c r="Q96" s="110">
        <f t="shared" si="185"/>
        <v>13636385.974513363</v>
      </c>
      <c r="R96" s="110">
        <f t="shared" si="185"/>
        <v>12857993.85437841</v>
      </c>
      <c r="S96" s="110">
        <f t="shared" si="185"/>
        <v>14229895.140068023</v>
      </c>
      <c r="T96" s="110">
        <f t="shared" si="185"/>
        <v>14044600.295544403</v>
      </c>
      <c r="U96" s="110">
        <f t="shared" si="185"/>
        <v>15867444.167976197</v>
      </c>
      <c r="V96" s="110">
        <f t="shared" si="185"/>
        <v>10025923.084370859</v>
      </c>
      <c r="W96" s="110">
        <f t="shared" ref="W96" si="186">IF(W6=0,0,W6/W28*1000000)</f>
        <v>8315010.2062994298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17224792.402622424</v>
      </c>
      <c r="C97" s="84">
        <f t="shared" si="180"/>
        <v>17129012.616602764</v>
      </c>
      <c r="D97" s="84">
        <f t="shared" si="180"/>
        <v>16467981.102036364</v>
      </c>
      <c r="E97" s="84">
        <f t="shared" si="180"/>
        <v>13348396.612459034</v>
      </c>
      <c r="F97" s="84">
        <f t="shared" si="180"/>
        <v>7993070.6080041425</v>
      </c>
      <c r="G97" s="84">
        <f t="shared" si="180"/>
        <v>7319979.475018179</v>
      </c>
      <c r="H97" s="84">
        <f t="shared" si="180"/>
        <v>11862199.4806384</v>
      </c>
      <c r="I97" s="84">
        <f t="shared" si="180"/>
        <v>12423198.147025902</v>
      </c>
      <c r="J97" s="84">
        <f t="shared" si="180"/>
        <v>16404515.381666541</v>
      </c>
      <c r="K97" s="84">
        <f t="shared" ref="K97:V97" si="187">IF(K7=0,0,K7/K29*1000000)</f>
        <v>16342379.37173247</v>
      </c>
      <c r="L97" s="84">
        <f t="shared" si="187"/>
        <v>16408387.336896332</v>
      </c>
      <c r="M97" s="84">
        <f t="shared" si="187"/>
        <v>13272436.087302538</v>
      </c>
      <c r="N97" s="84">
        <f t="shared" si="187"/>
        <v>15342690.993070429</v>
      </c>
      <c r="O97" s="84">
        <f t="shared" si="187"/>
        <v>12924703.894621203</v>
      </c>
      <c r="P97" s="84">
        <f t="shared" si="187"/>
        <v>15545882.802753568</v>
      </c>
      <c r="Q97" s="84">
        <f t="shared" si="187"/>
        <v>15524843.361527989</v>
      </c>
      <c r="R97" s="84">
        <f t="shared" si="187"/>
        <v>15010862.941338386</v>
      </c>
      <c r="S97" s="84">
        <f t="shared" si="187"/>
        <v>15258700.541315032</v>
      </c>
      <c r="T97" s="84">
        <f t="shared" si="187"/>
        <v>15423989.636487491</v>
      </c>
      <c r="U97" s="84">
        <f t="shared" si="187"/>
        <v>15391718.383429687</v>
      </c>
      <c r="V97" s="84">
        <f t="shared" si="187"/>
        <v>9904687.4326709639</v>
      </c>
      <c r="W97" s="84">
        <f t="shared" ref="W97" si="188">IF(W7=0,0,W7/W29*1000000)</f>
        <v>9461903.8958164379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13376730.771073602</v>
      </c>
      <c r="C98" s="84">
        <f t="shared" si="180"/>
        <v>13886519.930307867</v>
      </c>
      <c r="D98" s="84">
        <f t="shared" si="180"/>
        <v>13337689.251158852</v>
      </c>
      <c r="E98" s="84">
        <f t="shared" si="180"/>
        <v>13102673.385196621</v>
      </c>
      <c r="F98" s="84">
        <f t="shared" si="180"/>
        <v>12030522.366062878</v>
      </c>
      <c r="G98" s="84">
        <f t="shared" si="180"/>
        <v>13383678.229148682</v>
      </c>
      <c r="H98" s="84">
        <f t="shared" si="180"/>
        <v>13637098.104488371</v>
      </c>
      <c r="I98" s="84">
        <f t="shared" si="180"/>
        <v>13646162.878826417</v>
      </c>
      <c r="J98" s="84">
        <f t="shared" si="180"/>
        <v>16072970.188795498</v>
      </c>
      <c r="K98" s="84">
        <f t="shared" ref="K98:V98" si="189">IF(K8=0,0,K8/K30*1000000)</f>
        <v>15364892.374391021</v>
      </c>
      <c r="L98" s="84">
        <f t="shared" si="189"/>
        <v>15563189.68981662</v>
      </c>
      <c r="M98" s="84">
        <f t="shared" si="189"/>
        <v>14185650.498145435</v>
      </c>
      <c r="N98" s="84">
        <f t="shared" si="189"/>
        <v>13570365.539727248</v>
      </c>
      <c r="O98" s="84">
        <f t="shared" si="189"/>
        <v>12602614.34972671</v>
      </c>
      <c r="P98" s="84">
        <f t="shared" si="189"/>
        <v>13342587.126182595</v>
      </c>
      <c r="Q98" s="84">
        <f t="shared" si="189"/>
        <v>13579274.788486712</v>
      </c>
      <c r="R98" s="84">
        <f t="shared" si="189"/>
        <v>12795959.945406374</v>
      </c>
      <c r="S98" s="84">
        <f t="shared" si="189"/>
        <v>14194815.428578388</v>
      </c>
      <c r="T98" s="84">
        <f t="shared" si="189"/>
        <v>13998165.009459419</v>
      </c>
      <c r="U98" s="84">
        <f t="shared" si="189"/>
        <v>15887088.033546612</v>
      </c>
      <c r="V98" s="84">
        <f t="shared" si="189"/>
        <v>10031187.912278388</v>
      </c>
      <c r="W98" s="84">
        <f t="shared" ref="W98" si="190">IF(W8=0,0,W8/W30*1000000)</f>
        <v>8276063.2220043335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74467328.505507648</v>
      </c>
      <c r="C99" s="113">
        <f t="shared" si="180"/>
        <v>74467329.540704772</v>
      </c>
      <c r="D99" s="113">
        <f t="shared" si="180"/>
        <v>74467328.036244839</v>
      </c>
      <c r="E99" s="113">
        <f t="shared" si="180"/>
        <v>74467328.219930828</v>
      </c>
      <c r="F99" s="113">
        <f t="shared" si="180"/>
        <v>74467329.534536153</v>
      </c>
      <c r="G99" s="113">
        <f t="shared" si="180"/>
        <v>74467329.281010911</v>
      </c>
      <c r="H99" s="113">
        <f t="shared" si="180"/>
        <v>84629907.128363475</v>
      </c>
      <c r="I99" s="113">
        <f t="shared" si="180"/>
        <v>93679667.457773164</v>
      </c>
      <c r="J99" s="113">
        <f t="shared" si="180"/>
        <v>98277370.469391048</v>
      </c>
      <c r="K99" s="113">
        <f t="shared" ref="K99:V99" si="191">IF(K9=0,0,K9/K31*1000000)</f>
        <v>96654928.216127768</v>
      </c>
      <c r="L99" s="113">
        <f t="shared" si="191"/>
        <v>95820651.132384226</v>
      </c>
      <c r="M99" s="113">
        <f t="shared" si="191"/>
        <v>89588026.907210886</v>
      </c>
      <c r="N99" s="113">
        <f t="shared" si="191"/>
        <v>92125000</v>
      </c>
      <c r="O99" s="113">
        <f t="shared" si="191"/>
        <v>89269478.490628749</v>
      </c>
      <c r="P99" s="113">
        <f t="shared" si="191"/>
        <v>83965316.705703527</v>
      </c>
      <c r="Q99" s="113">
        <f t="shared" si="191"/>
        <v>91772726.438429773</v>
      </c>
      <c r="R99" s="113">
        <f t="shared" si="191"/>
        <v>91072672.565381661</v>
      </c>
      <c r="S99" s="113">
        <f t="shared" si="191"/>
        <v>87664862.969408378</v>
      </c>
      <c r="T99" s="113">
        <f t="shared" si="191"/>
        <v>88779599.289763212</v>
      </c>
      <c r="U99" s="113">
        <f t="shared" si="191"/>
        <v>88779599.431455448</v>
      </c>
      <c r="V99" s="113">
        <f t="shared" si="191"/>
        <v>43661807.489554137</v>
      </c>
      <c r="W99" s="113">
        <f t="shared" ref="W99" si="192">IF(W9=0,0,W9/W31*1000000)</f>
        <v>50453667.985565625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93387798.15217413</v>
      </c>
      <c r="C100" s="28">
        <f t="shared" si="180"/>
        <v>97296274.913504541</v>
      </c>
      <c r="D100" s="28">
        <f t="shared" si="180"/>
        <v>96952262.669451699</v>
      </c>
      <c r="E100" s="28">
        <f t="shared" si="180"/>
        <v>101446328.91185267</v>
      </c>
      <c r="F100" s="28">
        <f t="shared" si="180"/>
        <v>95532978.952214941</v>
      </c>
      <c r="G100" s="28">
        <f t="shared" si="180"/>
        <v>97820127.537137628</v>
      </c>
      <c r="H100" s="28">
        <f t="shared" si="180"/>
        <v>95848428.872703999</v>
      </c>
      <c r="I100" s="28">
        <f t="shared" si="180"/>
        <v>91144965.526680708</v>
      </c>
      <c r="J100" s="28">
        <f t="shared" si="180"/>
        <v>97405265.889968023</v>
      </c>
      <c r="K100" s="28">
        <f t="shared" ref="K100:V100" si="193">IF(K10=0,0,K10/K32*1000000)</f>
        <v>95056840.111467093</v>
      </c>
      <c r="L100" s="28">
        <f t="shared" si="193"/>
        <v>116002552.05614524</v>
      </c>
      <c r="M100" s="28">
        <f t="shared" si="193"/>
        <v>105451584.00187673</v>
      </c>
      <c r="N100" s="28">
        <f t="shared" si="193"/>
        <v>104904800.80880304</v>
      </c>
      <c r="O100" s="28">
        <f t="shared" si="193"/>
        <v>104440251.64950852</v>
      </c>
      <c r="P100" s="28">
        <f t="shared" si="193"/>
        <v>114188050.84032078</v>
      </c>
      <c r="Q100" s="28">
        <f t="shared" si="193"/>
        <v>116751971.54534645</v>
      </c>
      <c r="R100" s="28">
        <f t="shared" si="193"/>
        <v>120538280.96407898</v>
      </c>
      <c r="S100" s="28">
        <f t="shared" si="193"/>
        <v>118560444.91948733</v>
      </c>
      <c r="T100" s="28">
        <f t="shared" si="193"/>
        <v>131703172.31999385</v>
      </c>
      <c r="U100" s="28">
        <f t="shared" si="193"/>
        <v>133641452.39596385</v>
      </c>
      <c r="V100" s="28">
        <f t="shared" si="193"/>
        <v>138658967.33473632</v>
      </c>
      <c r="W100" s="28">
        <f t="shared" ref="W100" si="194">IF(W10=0,0,W10/W32*1000000)</f>
        <v>130664602.94346021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121686386.64556257</v>
      </c>
      <c r="C101" s="84">
        <f t="shared" si="180"/>
        <v>119816898.57573326</v>
      </c>
      <c r="D101" s="84">
        <f t="shared" si="180"/>
        <v>123185737.93367444</v>
      </c>
      <c r="E101" s="84">
        <f t="shared" si="180"/>
        <v>123922345.54913114</v>
      </c>
      <c r="F101" s="84">
        <f t="shared" si="180"/>
        <v>117862759.195384</v>
      </c>
      <c r="G101" s="84">
        <f t="shared" si="180"/>
        <v>120598665.14632611</v>
      </c>
      <c r="H101" s="84">
        <f t="shared" si="180"/>
        <v>122913423.12907048</v>
      </c>
      <c r="I101" s="84">
        <f t="shared" si="180"/>
        <v>127990904.84463079</v>
      </c>
      <c r="J101" s="84">
        <f t="shared" si="180"/>
        <v>138295941.44431329</v>
      </c>
      <c r="K101" s="84">
        <f t="shared" ref="K101:V101" si="195">IF(K11=0,0,K11/K33*1000000)</f>
        <v>129868459.2352526</v>
      </c>
      <c r="L101" s="84">
        <f t="shared" si="195"/>
        <v>146397308.75543442</v>
      </c>
      <c r="M101" s="84">
        <f t="shared" si="195"/>
        <v>130329506.87275991</v>
      </c>
      <c r="N101" s="84">
        <f t="shared" si="195"/>
        <v>122644343.55702379</v>
      </c>
      <c r="O101" s="84">
        <f t="shared" si="195"/>
        <v>130494175.63725768</v>
      </c>
      <c r="P101" s="84">
        <f t="shared" si="195"/>
        <v>125382182.17185476</v>
      </c>
      <c r="Q101" s="84">
        <f t="shared" si="195"/>
        <v>133946768.54647261</v>
      </c>
      <c r="R101" s="84">
        <f t="shared" si="195"/>
        <v>134273216.55486518</v>
      </c>
      <c r="S101" s="84">
        <f t="shared" si="195"/>
        <v>145608086.78548729</v>
      </c>
      <c r="T101" s="84">
        <f t="shared" si="195"/>
        <v>146889206.21199378</v>
      </c>
      <c r="U101" s="84">
        <f t="shared" si="195"/>
        <v>157207556.61765105</v>
      </c>
      <c r="V101" s="84">
        <f t="shared" si="195"/>
        <v>137134211.13406602</v>
      </c>
      <c r="W101" s="84">
        <f t="shared" ref="W101" si="196">IF(W11=0,0,W11/W33*1000000)</f>
        <v>119838997.06078172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91222848.140913948</v>
      </c>
      <c r="C102" s="86">
        <f t="shared" si="180"/>
        <v>95584253.713864237</v>
      </c>
      <c r="D102" s="86">
        <f t="shared" si="180"/>
        <v>95111807.025628269</v>
      </c>
      <c r="E102" s="86">
        <f t="shared" si="180"/>
        <v>99722434.400646999</v>
      </c>
      <c r="F102" s="86">
        <f t="shared" si="180"/>
        <v>93809074.658728436</v>
      </c>
      <c r="G102" s="86">
        <f t="shared" si="180"/>
        <v>95964427.626420096</v>
      </c>
      <c r="H102" s="86">
        <f t="shared" si="180"/>
        <v>93874465.513128206</v>
      </c>
      <c r="I102" s="86">
        <f t="shared" si="180"/>
        <v>88774802.630399272</v>
      </c>
      <c r="J102" s="86">
        <f t="shared" si="180"/>
        <v>94612233.515403092</v>
      </c>
      <c r="K102" s="86">
        <f t="shared" ref="K102:V102" si="197">IF(K12=0,0,K12/K34*1000000)</f>
        <v>92706554.680513069</v>
      </c>
      <c r="L102" s="86">
        <f t="shared" si="197"/>
        <v>113825585.82047173</v>
      </c>
      <c r="M102" s="86">
        <f t="shared" si="197"/>
        <v>103563159.25159147</v>
      </c>
      <c r="N102" s="86">
        <f t="shared" si="197"/>
        <v>103656392.23539256</v>
      </c>
      <c r="O102" s="86">
        <f t="shared" si="197"/>
        <v>102663241.85428368</v>
      </c>
      <c r="P102" s="86">
        <f t="shared" si="197"/>
        <v>113463459.60747366</v>
      </c>
      <c r="Q102" s="86">
        <f t="shared" si="197"/>
        <v>115654373.58446153</v>
      </c>
      <c r="R102" s="86">
        <f t="shared" si="197"/>
        <v>119694850.29582471</v>
      </c>
      <c r="S102" s="86">
        <f t="shared" si="197"/>
        <v>117204637.28871153</v>
      </c>
      <c r="T102" s="86">
        <f t="shared" si="197"/>
        <v>130808821.5692855</v>
      </c>
      <c r="U102" s="86">
        <f t="shared" si="197"/>
        <v>132350020.51736654</v>
      </c>
      <c r="V102" s="86">
        <f t="shared" si="197"/>
        <v>138745518.85916108</v>
      </c>
      <c r="W102" s="86">
        <f t="shared" ref="W102" si="198">IF(W12=0,0,W12/W34*1000000)</f>
        <v>131109036.04657008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0.19383863080684599</v>
      </c>
      <c r="C106" s="123">
        <f t="shared" si="199"/>
        <v>0.18567565047095028</v>
      </c>
      <c r="D106" s="123">
        <f t="shared" si="199"/>
        <v>0.18339928223060642</v>
      </c>
      <c r="E106" s="123">
        <f t="shared" si="199"/>
        <v>0.18415219800517177</v>
      </c>
      <c r="F106" s="123">
        <f t="shared" si="199"/>
        <v>0.18944799098760798</v>
      </c>
      <c r="G106" s="123">
        <f t="shared" si="199"/>
        <v>0.18436470157451482</v>
      </c>
      <c r="H106" s="123">
        <f t="shared" si="199"/>
        <v>0.18194964273562439</v>
      </c>
      <c r="I106" s="123">
        <f t="shared" si="199"/>
        <v>0.17681508223024464</v>
      </c>
      <c r="J106" s="123">
        <f t="shared" si="199"/>
        <v>0.16727680239073589</v>
      </c>
      <c r="K106" s="123">
        <f t="shared" ref="K106:V106" si="202">IF(K5=0,0,K5/K$4)</f>
        <v>0.16511799410029498</v>
      </c>
      <c r="L106" s="123">
        <f t="shared" si="202"/>
        <v>0.16970599181243026</v>
      </c>
      <c r="M106" s="123">
        <f t="shared" si="202"/>
        <v>0.17056636781106493</v>
      </c>
      <c r="N106" s="123">
        <f t="shared" si="202"/>
        <v>0.16752559124602895</v>
      </c>
      <c r="O106" s="123">
        <f t="shared" si="202"/>
        <v>0.17136659436008678</v>
      </c>
      <c r="P106" s="123">
        <f t="shared" si="202"/>
        <v>0.16774237846745399</v>
      </c>
      <c r="Q106" s="123">
        <f t="shared" si="202"/>
        <v>0.16402026140360088</v>
      </c>
      <c r="R106" s="123">
        <f t="shared" si="202"/>
        <v>0.16926272066458983</v>
      </c>
      <c r="S106" s="123">
        <f t="shared" si="202"/>
        <v>0.1656652897734385</v>
      </c>
      <c r="T106" s="123">
        <f t="shared" si="202"/>
        <v>0.16807909604519775</v>
      </c>
      <c r="U106" s="123">
        <f t="shared" si="202"/>
        <v>0.15611107903700711</v>
      </c>
      <c r="V106" s="123">
        <f t="shared" si="202"/>
        <v>0.17194662320464502</v>
      </c>
      <c r="W106" s="123">
        <f t="shared" ref="W106" si="203">IF(W5=0,0,W5/W$4)</f>
        <v>0.16550576983054371</v>
      </c>
      <c r="DA106" s="203"/>
    </row>
    <row r="107" spans="1:105" ht="11.45" customHeight="1" x14ac:dyDescent="0.25">
      <c r="A107" s="109" t="s">
        <v>24</v>
      </c>
      <c r="B107" s="124">
        <f t="shared" si="199"/>
        <v>0.60596577017114917</v>
      </c>
      <c r="C107" s="124">
        <f t="shared" si="199"/>
        <v>0.6066399328546116</v>
      </c>
      <c r="D107" s="124">
        <f t="shared" si="199"/>
        <v>0.5966688138400662</v>
      </c>
      <c r="E107" s="124">
        <f t="shared" si="199"/>
        <v>0.59420022164758035</v>
      </c>
      <c r="F107" s="124">
        <f t="shared" si="199"/>
        <v>0.58317686819376646</v>
      </c>
      <c r="G107" s="124">
        <f t="shared" si="199"/>
        <v>0.60234346393262539</v>
      </c>
      <c r="H107" s="124">
        <f t="shared" si="199"/>
        <v>0.60624362027900647</v>
      </c>
      <c r="I107" s="124">
        <f t="shared" si="199"/>
        <v>0.60056157240272767</v>
      </c>
      <c r="J107" s="124">
        <f t="shared" si="199"/>
        <v>0.60918939110945092</v>
      </c>
      <c r="K107" s="124">
        <f t="shared" ref="K107:V107" si="204">IF(K6=0,0,K6/K$4)</f>
        <v>0.6099557522123894</v>
      </c>
      <c r="L107" s="124">
        <f t="shared" si="204"/>
        <v>0.61157424637141788</v>
      </c>
      <c r="M107" s="124">
        <f t="shared" si="204"/>
        <v>0.62336905022231937</v>
      </c>
      <c r="N107" s="124">
        <f t="shared" si="204"/>
        <v>0.62435580656547829</v>
      </c>
      <c r="O107" s="124">
        <f t="shared" si="204"/>
        <v>0.61486250087467642</v>
      </c>
      <c r="P107" s="124">
        <f t="shared" si="204"/>
        <v>0.6106152156001099</v>
      </c>
      <c r="Q107" s="124">
        <f t="shared" si="204"/>
        <v>0.61519080363235523</v>
      </c>
      <c r="R107" s="124">
        <f t="shared" si="204"/>
        <v>0.60481568016614751</v>
      </c>
      <c r="S107" s="124">
        <f t="shared" si="204"/>
        <v>0.60877456502691196</v>
      </c>
      <c r="T107" s="124">
        <f t="shared" si="204"/>
        <v>0.61557356914762962</v>
      </c>
      <c r="U107" s="124">
        <f t="shared" si="204"/>
        <v>0.61872871081346348</v>
      </c>
      <c r="V107" s="124">
        <f t="shared" si="204"/>
        <v>0.64490170113069167</v>
      </c>
      <c r="W107" s="124">
        <f t="shared" ref="W107" si="205">IF(W6=0,0,W6/W$4)</f>
        <v>0.63291402432685306</v>
      </c>
      <c r="DA107" s="176"/>
    </row>
    <row r="108" spans="1:105" ht="11.45" customHeight="1" x14ac:dyDescent="0.25">
      <c r="A108" s="111" t="s">
        <v>92</v>
      </c>
      <c r="B108" s="125">
        <f t="shared" si="199"/>
        <v>3.7632921852097267E-2</v>
      </c>
      <c r="C108" s="125">
        <f t="shared" si="199"/>
        <v>4.1645754157809606E-2</v>
      </c>
      <c r="D108" s="125">
        <f t="shared" si="199"/>
        <v>5.6475837211865575E-2</v>
      </c>
      <c r="E108" s="125">
        <f t="shared" si="199"/>
        <v>4.3188348918136055E-2</v>
      </c>
      <c r="F108" s="125">
        <f t="shared" si="199"/>
        <v>2.4612316743527932E-2</v>
      </c>
      <c r="G108" s="125">
        <f t="shared" si="199"/>
        <v>2.048156323313087E-2</v>
      </c>
      <c r="H108" s="125">
        <f t="shared" si="199"/>
        <v>2.8587711050014085E-2</v>
      </c>
      <c r="I108" s="125">
        <f t="shared" si="199"/>
        <v>2.601028302214577E-2</v>
      </c>
      <c r="J108" s="125">
        <f t="shared" si="199"/>
        <v>3.1141781710872809E-2</v>
      </c>
      <c r="K108" s="125">
        <f t="shared" ref="K108:V108" si="206">IF(K7=0,0,K7/K$4)</f>
        <v>3.1123856631127232E-2</v>
      </c>
      <c r="L108" s="125">
        <f t="shared" si="206"/>
        <v>2.8811932494724846E-2</v>
      </c>
      <c r="M108" s="125">
        <f t="shared" si="206"/>
        <v>2.0661728226703452E-2</v>
      </c>
      <c r="N108" s="125">
        <f t="shared" si="206"/>
        <v>2.7831821262820848E-2</v>
      </c>
      <c r="O108" s="125">
        <f t="shared" si="206"/>
        <v>2.1218461332067919E-2</v>
      </c>
      <c r="P108" s="125">
        <f t="shared" si="206"/>
        <v>2.2781324559032212E-2</v>
      </c>
      <c r="Q108" s="125">
        <f t="shared" si="206"/>
        <v>2.0559493590434158E-2</v>
      </c>
      <c r="R108" s="125">
        <f t="shared" si="206"/>
        <v>1.9775611679682191E-2</v>
      </c>
      <c r="S108" s="125">
        <f t="shared" si="206"/>
        <v>2.1524527678107887E-2</v>
      </c>
      <c r="T108" s="125">
        <f t="shared" si="206"/>
        <v>2.2016552697921295E-2</v>
      </c>
      <c r="U108" s="125">
        <f t="shared" si="206"/>
        <v>2.3800054807441823E-2</v>
      </c>
      <c r="V108" s="125">
        <f t="shared" si="206"/>
        <v>2.6515629170784965E-2</v>
      </c>
      <c r="W108" s="125">
        <f t="shared" ref="W108" si="207">IF(W7=0,0,W7/W$4)</f>
        <v>2.3654183310007574E-2</v>
      </c>
      <c r="DA108" s="171"/>
    </row>
    <row r="109" spans="1:105" ht="11.45" customHeight="1" x14ac:dyDescent="0.25">
      <c r="A109" s="111" t="s">
        <v>93</v>
      </c>
      <c r="B109" s="125">
        <f t="shared" si="199"/>
        <v>0.56833284831905184</v>
      </c>
      <c r="C109" s="125">
        <f t="shared" si="199"/>
        <v>0.56499417869680202</v>
      </c>
      <c r="D109" s="125">
        <f t="shared" si="199"/>
        <v>0.54019297662820076</v>
      </c>
      <c r="E109" s="125">
        <f t="shared" si="199"/>
        <v>0.5510118727294443</v>
      </c>
      <c r="F109" s="125">
        <f t="shared" si="199"/>
        <v>0.55856455145023842</v>
      </c>
      <c r="G109" s="125">
        <f t="shared" si="199"/>
        <v>0.58186190069949451</v>
      </c>
      <c r="H109" s="125">
        <f t="shared" si="199"/>
        <v>0.57765590922899246</v>
      </c>
      <c r="I109" s="125">
        <f t="shared" si="199"/>
        <v>0.57455128938058186</v>
      </c>
      <c r="J109" s="125">
        <f t="shared" si="199"/>
        <v>0.57804760939857813</v>
      </c>
      <c r="K109" s="125">
        <f t="shared" ref="K109:V109" si="208">IF(K8=0,0,K8/K$4)</f>
        <v>0.57883189558126213</v>
      </c>
      <c r="L109" s="125">
        <f t="shared" si="208"/>
        <v>0.58276231387669308</v>
      </c>
      <c r="M109" s="125">
        <f t="shared" si="208"/>
        <v>0.60270732199561594</v>
      </c>
      <c r="N109" s="125">
        <f t="shared" si="208"/>
        <v>0.59652398530265738</v>
      </c>
      <c r="O109" s="125">
        <f t="shared" si="208"/>
        <v>0.59364403954260847</v>
      </c>
      <c r="P109" s="125">
        <f t="shared" si="208"/>
        <v>0.58783389104107764</v>
      </c>
      <c r="Q109" s="125">
        <f t="shared" si="208"/>
        <v>0.59463131004192105</v>
      </c>
      <c r="R109" s="125">
        <f t="shared" si="208"/>
        <v>0.58504006848646528</v>
      </c>
      <c r="S109" s="125">
        <f t="shared" si="208"/>
        <v>0.5872500373488041</v>
      </c>
      <c r="T109" s="125">
        <f t="shared" si="208"/>
        <v>0.59355701644970826</v>
      </c>
      <c r="U109" s="125">
        <f t="shared" si="208"/>
        <v>0.59492865600602152</v>
      </c>
      <c r="V109" s="125">
        <f t="shared" si="208"/>
        <v>0.61838607195990669</v>
      </c>
      <c r="W109" s="125">
        <f t="shared" ref="W109" si="209">IF(W8=0,0,W8/W$4)</f>
        <v>0.60925984101684538</v>
      </c>
      <c r="DA109" s="171"/>
    </row>
    <row r="110" spans="1:105" ht="11.45" customHeight="1" x14ac:dyDescent="0.25">
      <c r="A110" s="112" t="s">
        <v>25</v>
      </c>
      <c r="B110" s="126">
        <f t="shared" si="199"/>
        <v>0.2001955990220049</v>
      </c>
      <c r="C110" s="126">
        <f t="shared" si="199"/>
        <v>0.20768441667443813</v>
      </c>
      <c r="D110" s="126">
        <f t="shared" si="199"/>
        <v>0.21993190392932732</v>
      </c>
      <c r="E110" s="126">
        <f t="shared" si="199"/>
        <v>0.22164758034724788</v>
      </c>
      <c r="F110" s="126">
        <f t="shared" si="199"/>
        <v>0.22737514081862562</v>
      </c>
      <c r="G110" s="126">
        <f t="shared" si="199"/>
        <v>0.21329183449285977</v>
      </c>
      <c r="H110" s="126">
        <f t="shared" si="199"/>
        <v>0.21180673698536917</v>
      </c>
      <c r="I110" s="126">
        <f t="shared" si="199"/>
        <v>0.22262334536702769</v>
      </c>
      <c r="J110" s="126">
        <f t="shared" si="199"/>
        <v>0.22353380649981322</v>
      </c>
      <c r="K110" s="126">
        <f t="shared" ref="K110:V110" si="210">IF(K9=0,0,K9/K$4)</f>
        <v>0.22492625368731564</v>
      </c>
      <c r="L110" s="126">
        <f t="shared" si="210"/>
        <v>0.21871976181615185</v>
      </c>
      <c r="M110" s="126">
        <f t="shared" si="210"/>
        <v>0.20606458196661565</v>
      </c>
      <c r="N110" s="126">
        <f t="shared" si="210"/>
        <v>0.20811860218849276</v>
      </c>
      <c r="O110" s="126">
        <f t="shared" si="210"/>
        <v>0.21377090476523686</v>
      </c>
      <c r="P110" s="126">
        <f t="shared" si="210"/>
        <v>0.22164240593243614</v>
      </c>
      <c r="Q110" s="126">
        <f t="shared" si="210"/>
        <v>0.22078893496404389</v>
      </c>
      <c r="R110" s="126">
        <f t="shared" si="210"/>
        <v>0.22592159916926272</v>
      </c>
      <c r="S110" s="126">
        <f t="shared" si="210"/>
        <v>0.22556014519964951</v>
      </c>
      <c r="T110" s="126">
        <f t="shared" si="210"/>
        <v>0.21634733480717269</v>
      </c>
      <c r="U110" s="126">
        <f t="shared" si="210"/>
        <v>0.22516021014952947</v>
      </c>
      <c r="V110" s="126">
        <f t="shared" si="210"/>
        <v>0.18315167566466334</v>
      </c>
      <c r="W110" s="126">
        <f t="shared" ref="W110" si="211">IF(W9=0,0,W9/W$4)</f>
        <v>0.20158020584260319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9.260179064939697E-2</v>
      </c>
      <c r="C112" s="125">
        <f t="shared" si="212"/>
        <v>8.7002189291454174E-2</v>
      </c>
      <c r="D112" s="125">
        <f t="shared" si="212"/>
        <v>8.3296088672089541E-2</v>
      </c>
      <c r="E112" s="125">
        <f t="shared" si="212"/>
        <v>8.7018221893446476E-2</v>
      </c>
      <c r="F112" s="125">
        <f t="shared" si="212"/>
        <v>8.8420878171206682E-2</v>
      </c>
      <c r="G112" s="125">
        <f t="shared" si="212"/>
        <v>9.2871593747527598E-2</v>
      </c>
      <c r="H112" s="125">
        <f t="shared" si="212"/>
        <v>8.7171070579736387E-2</v>
      </c>
      <c r="I112" s="125">
        <f t="shared" si="212"/>
        <v>8.4871170866390955E-2</v>
      </c>
      <c r="J112" s="125">
        <f t="shared" si="212"/>
        <v>9.077859857665016E-2</v>
      </c>
      <c r="K112" s="125">
        <f t="shared" ref="K112:V112" si="215">IF(K11=0,0,K11/K$10)</f>
        <v>8.6405812754676237E-2</v>
      </c>
      <c r="L112" s="125">
        <f t="shared" si="215"/>
        <v>8.4348334307422557E-2</v>
      </c>
      <c r="M112" s="125">
        <f t="shared" si="215"/>
        <v>8.7196733125150153E-2</v>
      </c>
      <c r="N112" s="125">
        <f t="shared" si="215"/>
        <v>7.6865382451841949E-2</v>
      </c>
      <c r="O112" s="125">
        <f t="shared" si="215"/>
        <v>7.9778389026665661E-2</v>
      </c>
      <c r="P112" s="125">
        <f t="shared" si="215"/>
        <v>6.6754189719613652E-2</v>
      </c>
      <c r="Q112" s="125">
        <f t="shared" si="215"/>
        <v>6.88399806060878E-2</v>
      </c>
      <c r="R112" s="125">
        <f t="shared" si="215"/>
        <v>6.4447330150405852E-2</v>
      </c>
      <c r="S112" s="125">
        <f t="shared" si="215"/>
        <v>5.8623624005847641E-2</v>
      </c>
      <c r="T112" s="125">
        <f t="shared" si="215"/>
        <v>6.2030472747848585E-2</v>
      </c>
      <c r="U112" s="125">
        <f t="shared" si="215"/>
        <v>6.1114695851105738E-2</v>
      </c>
      <c r="V112" s="125">
        <f t="shared" si="215"/>
        <v>5.312440554099674E-2</v>
      </c>
      <c r="W112" s="125">
        <f t="shared" ref="W112" si="216">IF(W11=0,0,W11/W$10)</f>
        <v>3.6167725149440937E-2</v>
      </c>
      <c r="DA112" s="171"/>
    </row>
    <row r="113" spans="1:105" ht="11.45" customHeight="1" x14ac:dyDescent="0.25">
      <c r="A113" s="85" t="s">
        <v>93</v>
      </c>
      <c r="B113" s="127">
        <f t="shared" si="212"/>
        <v>0.90739820935060289</v>
      </c>
      <c r="C113" s="127">
        <f t="shared" si="212"/>
        <v>0.91299781070854569</v>
      </c>
      <c r="D113" s="127">
        <f t="shared" si="212"/>
        <v>0.9167039113279104</v>
      </c>
      <c r="E113" s="127">
        <f t="shared" si="212"/>
        <v>0.91298177810655357</v>
      </c>
      <c r="F113" s="127">
        <f t="shared" si="212"/>
        <v>0.91157912182879342</v>
      </c>
      <c r="G113" s="127">
        <f t="shared" si="212"/>
        <v>0.90712840625247237</v>
      </c>
      <c r="H113" s="127">
        <f t="shared" si="212"/>
        <v>0.91282892942026361</v>
      </c>
      <c r="I113" s="127">
        <f t="shared" si="212"/>
        <v>0.91512882913360905</v>
      </c>
      <c r="J113" s="127">
        <f t="shared" si="212"/>
        <v>0.90922140142334995</v>
      </c>
      <c r="K113" s="127">
        <f t="shared" ref="K113:V113" si="217">IF(K12=0,0,K12/K$10)</f>
        <v>0.91359418724532382</v>
      </c>
      <c r="L113" s="127">
        <f t="shared" si="217"/>
        <v>0.91565166569257739</v>
      </c>
      <c r="M113" s="127">
        <f t="shared" si="217"/>
        <v>0.91280326687484981</v>
      </c>
      <c r="N113" s="127">
        <f t="shared" si="217"/>
        <v>0.92313461754815807</v>
      </c>
      <c r="O113" s="127">
        <f t="shared" si="217"/>
        <v>0.92022161097333444</v>
      </c>
      <c r="P113" s="127">
        <f t="shared" si="217"/>
        <v>0.93324581028038645</v>
      </c>
      <c r="Q113" s="127">
        <f t="shared" si="217"/>
        <v>0.93116001939391224</v>
      </c>
      <c r="R113" s="127">
        <f t="shared" si="217"/>
        <v>0.93555266984959418</v>
      </c>
      <c r="S113" s="127">
        <f t="shared" si="217"/>
        <v>0.94137637599415236</v>
      </c>
      <c r="T113" s="127">
        <f t="shared" si="217"/>
        <v>0.93796952725215144</v>
      </c>
      <c r="U113" s="127">
        <f t="shared" si="217"/>
        <v>0.93888530414889426</v>
      </c>
      <c r="V113" s="127">
        <f t="shared" si="217"/>
        <v>0.94687559445900327</v>
      </c>
      <c r="W113" s="127">
        <f t="shared" ref="W113" si="218">IF(W12=0,0,W12/W$10)</f>
        <v>0.96383227485055911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0.24994929003617214</v>
      </c>
      <c r="C117" s="123">
        <f t="shared" si="219"/>
        <v>0.24927137970602067</v>
      </c>
      <c r="D117" s="123">
        <f t="shared" si="219"/>
        <v>0.23181577896748753</v>
      </c>
      <c r="E117" s="123">
        <f t="shared" si="219"/>
        <v>0.23223488269764195</v>
      </c>
      <c r="F117" s="123">
        <f t="shared" si="219"/>
        <v>0.2263643820215514</v>
      </c>
      <c r="G117" s="123">
        <f t="shared" si="219"/>
        <v>0.23140108205466076</v>
      </c>
      <c r="H117" s="123">
        <f t="shared" si="219"/>
        <v>0.23630123428129099</v>
      </c>
      <c r="I117" s="123">
        <f t="shared" si="219"/>
        <v>0.23703696104402275</v>
      </c>
      <c r="J117" s="123">
        <f t="shared" si="219"/>
        <v>0.25707292332672815</v>
      </c>
      <c r="K117" s="123">
        <f t="shared" ref="K117:V117" si="222">IF(K16=0,0,K16/K$15)</f>
        <v>0.23843043994916877</v>
      </c>
      <c r="L117" s="123">
        <f t="shared" si="222"/>
        <v>0.24577867225964853</v>
      </c>
      <c r="M117" s="123">
        <f t="shared" si="222"/>
        <v>0.22876356554863506</v>
      </c>
      <c r="N117" s="123">
        <f t="shared" si="222"/>
        <v>0.22062199155492229</v>
      </c>
      <c r="O117" s="123">
        <f t="shared" si="222"/>
        <v>0.21549756438813103</v>
      </c>
      <c r="P117" s="123">
        <f t="shared" si="222"/>
        <v>0.21883632202498335</v>
      </c>
      <c r="Q117" s="123">
        <f t="shared" si="222"/>
        <v>0.2187210477764446</v>
      </c>
      <c r="R117" s="123">
        <f t="shared" si="222"/>
        <v>0.21695173795063397</v>
      </c>
      <c r="S117" s="123">
        <f t="shared" si="222"/>
        <v>0.23864073944530848</v>
      </c>
      <c r="T117" s="123">
        <f t="shared" si="222"/>
        <v>0.21634719749072548</v>
      </c>
      <c r="U117" s="123">
        <f t="shared" si="222"/>
        <v>0.21916363791367924</v>
      </c>
      <c r="V117" s="123">
        <f t="shared" si="222"/>
        <v>0.2352612754001614</v>
      </c>
      <c r="W117" s="123">
        <f t="shared" ref="W117" si="223">IF(W16=0,0,W16/W$15)</f>
        <v>0.21210906322677608</v>
      </c>
      <c r="DA117" s="203"/>
    </row>
    <row r="118" spans="1:105" ht="11.45" customHeight="1" x14ac:dyDescent="0.25">
      <c r="A118" s="109" t="s">
        <v>24</v>
      </c>
      <c r="B118" s="124">
        <f t="shared" si="219"/>
        <v>0.63534407090508105</v>
      </c>
      <c r="C118" s="124">
        <f t="shared" si="219"/>
        <v>0.62872721008637689</v>
      </c>
      <c r="D118" s="124">
        <f t="shared" si="219"/>
        <v>0.63925534309757481</v>
      </c>
      <c r="E118" s="124">
        <f t="shared" si="219"/>
        <v>0.64029194536535328</v>
      </c>
      <c r="F118" s="124">
        <f t="shared" si="219"/>
        <v>0.649706226660001</v>
      </c>
      <c r="G118" s="124">
        <f t="shared" si="219"/>
        <v>0.64479437158252473</v>
      </c>
      <c r="H118" s="124">
        <f t="shared" si="219"/>
        <v>0.65260171646492871</v>
      </c>
      <c r="I118" s="124">
        <f t="shared" si="219"/>
        <v>0.65590885089266437</v>
      </c>
      <c r="J118" s="124">
        <f t="shared" si="219"/>
        <v>0.6231783614458295</v>
      </c>
      <c r="K118" s="124">
        <f t="shared" ref="K118:V118" si="224">IF(K17=0,0,K17/K$15)</f>
        <v>0.64737352288731886</v>
      </c>
      <c r="L118" s="124">
        <f t="shared" si="224"/>
        <v>0.6419252736757306</v>
      </c>
      <c r="M118" s="124">
        <f t="shared" si="224"/>
        <v>0.66632379101805106</v>
      </c>
      <c r="N118" s="124">
        <f t="shared" si="224"/>
        <v>0.67886151255410965</v>
      </c>
      <c r="O118" s="124">
        <f t="shared" si="224"/>
        <v>0.68324070089359035</v>
      </c>
      <c r="P118" s="124">
        <f t="shared" si="224"/>
        <v>0.6654091721902694</v>
      </c>
      <c r="Q118" s="124">
        <f t="shared" si="224"/>
        <v>0.67352609407121355</v>
      </c>
      <c r="R118" s="124">
        <f t="shared" si="224"/>
        <v>0.67608335158797495</v>
      </c>
      <c r="S118" s="124">
        <f t="shared" si="224"/>
        <v>0.63589588917882667</v>
      </c>
      <c r="T118" s="124">
        <f t="shared" si="224"/>
        <v>0.67162719373389601</v>
      </c>
      <c r="U118" s="124">
        <f t="shared" si="224"/>
        <v>0.65335280176890642</v>
      </c>
      <c r="V118" s="124">
        <f t="shared" si="224"/>
        <v>0.65380764928986379</v>
      </c>
      <c r="W118" s="124">
        <f t="shared" ref="W118" si="225">IF(W17=0,0,W17/W$15)</f>
        <v>0.68558778012796595</v>
      </c>
      <c r="DA118" s="176"/>
    </row>
    <row r="119" spans="1:105" ht="11.45" customHeight="1" x14ac:dyDescent="0.25">
      <c r="A119" s="111" t="s">
        <v>92</v>
      </c>
      <c r="B119" s="125">
        <f t="shared" si="219"/>
        <v>3.107366501390392E-2</v>
      </c>
      <c r="C119" s="125">
        <f t="shared" si="219"/>
        <v>3.5452253937194735E-2</v>
      </c>
      <c r="D119" s="125">
        <f t="shared" si="219"/>
        <v>4.9903247303017859E-2</v>
      </c>
      <c r="E119" s="125">
        <f t="shared" si="219"/>
        <v>3.9946300452043809E-2</v>
      </c>
      <c r="F119" s="125">
        <f t="shared" si="219"/>
        <v>2.155422849094156E-2</v>
      </c>
      <c r="G119" s="125">
        <f t="shared" si="219"/>
        <v>1.8394986777694577E-2</v>
      </c>
      <c r="H119" s="125">
        <f t="shared" si="219"/>
        <v>2.5825323722358993E-2</v>
      </c>
      <c r="I119" s="125">
        <f t="shared" si="219"/>
        <v>2.3678548829340583E-2</v>
      </c>
      <c r="J119" s="125">
        <f t="shared" si="219"/>
        <v>3.331501147477129E-2</v>
      </c>
      <c r="K119" s="125">
        <f t="shared" ref="K119:V119" si="226">IF(K18=0,0,K18/K$15)</f>
        <v>3.1152417487948104E-2</v>
      </c>
      <c r="L119" s="125">
        <f t="shared" si="226"/>
        <v>2.7870393915225191E-2</v>
      </c>
      <c r="M119" s="125">
        <f t="shared" si="226"/>
        <v>2.0356672407992302E-2</v>
      </c>
      <c r="N119" s="125">
        <f t="shared" si="226"/>
        <v>2.6904365822756623E-2</v>
      </c>
      <c r="O119" s="125">
        <f t="shared" si="226"/>
        <v>1.9277537659054315E-2</v>
      </c>
      <c r="P119" s="125">
        <f t="shared" si="226"/>
        <v>2.1420386570940232E-2</v>
      </c>
      <c r="Q119" s="125">
        <f t="shared" si="226"/>
        <v>1.9771018728962097E-2</v>
      </c>
      <c r="R119" s="125">
        <f t="shared" si="226"/>
        <v>1.8935408495226042E-2</v>
      </c>
      <c r="S119" s="125">
        <f t="shared" si="226"/>
        <v>2.29284649320649E-2</v>
      </c>
      <c r="T119" s="125">
        <f t="shared" si="226"/>
        <v>2.1873097077273924E-2</v>
      </c>
      <c r="U119" s="125">
        <f t="shared" si="226"/>
        <v>2.5908681735688322E-2</v>
      </c>
      <c r="V119" s="125">
        <f t="shared" si="226"/>
        <v>2.7419362594462721E-2</v>
      </c>
      <c r="W119" s="125">
        <f t="shared" ref="W119" si="227">IF(W18=0,0,W18/W$15)</f>
        <v>2.2206697553820112E-2</v>
      </c>
      <c r="DA119" s="171"/>
    </row>
    <row r="120" spans="1:105" ht="11.45" customHeight="1" x14ac:dyDescent="0.25">
      <c r="A120" s="111" t="s">
        <v>93</v>
      </c>
      <c r="B120" s="125">
        <f t="shared" si="219"/>
        <v>0.60427040589117709</v>
      </c>
      <c r="C120" s="125">
        <f t="shared" si="219"/>
        <v>0.59327495614918213</v>
      </c>
      <c r="D120" s="125">
        <f t="shared" si="219"/>
        <v>0.58935209579455694</v>
      </c>
      <c r="E120" s="125">
        <f t="shared" si="219"/>
        <v>0.60034564491330955</v>
      </c>
      <c r="F120" s="125">
        <f t="shared" si="219"/>
        <v>0.62815199816905942</v>
      </c>
      <c r="G120" s="125">
        <f t="shared" si="219"/>
        <v>0.62639938480483015</v>
      </c>
      <c r="H120" s="125">
        <f t="shared" si="219"/>
        <v>0.62677639274256969</v>
      </c>
      <c r="I120" s="125">
        <f t="shared" si="219"/>
        <v>0.63223030206332376</v>
      </c>
      <c r="J120" s="125">
        <f t="shared" si="219"/>
        <v>0.58986334997105827</v>
      </c>
      <c r="K120" s="125">
        <f t="shared" ref="K120:V120" si="228">IF(K19=0,0,K19/K$15)</f>
        <v>0.61622110539937081</v>
      </c>
      <c r="L120" s="125">
        <f t="shared" si="228"/>
        <v>0.61405487976050543</v>
      </c>
      <c r="M120" s="125">
        <f t="shared" si="228"/>
        <v>0.64596711861005862</v>
      </c>
      <c r="N120" s="125">
        <f t="shared" si="228"/>
        <v>0.65195714673135297</v>
      </c>
      <c r="O120" s="125">
        <f t="shared" si="228"/>
        <v>0.66396316323453597</v>
      </c>
      <c r="P120" s="125">
        <f t="shared" si="228"/>
        <v>0.64398878561932915</v>
      </c>
      <c r="Q120" s="125">
        <f t="shared" si="228"/>
        <v>0.65375507534225141</v>
      </c>
      <c r="R120" s="125">
        <f t="shared" si="228"/>
        <v>0.65714794309274882</v>
      </c>
      <c r="S120" s="125">
        <f t="shared" si="228"/>
        <v>0.61296742424676176</v>
      </c>
      <c r="T120" s="125">
        <f t="shared" si="228"/>
        <v>0.6497540966566222</v>
      </c>
      <c r="U120" s="125">
        <f t="shared" si="228"/>
        <v>0.62744412003321814</v>
      </c>
      <c r="V120" s="125">
        <f t="shared" si="228"/>
        <v>0.62638828669540103</v>
      </c>
      <c r="W120" s="125">
        <f t="shared" ref="W120" si="229">IF(W19=0,0,W19/W$15)</f>
        <v>0.66338108257414585</v>
      </c>
      <c r="DA120" s="171"/>
    </row>
    <row r="121" spans="1:105" ht="11.45" customHeight="1" x14ac:dyDescent="0.25">
      <c r="A121" s="112" t="s">
        <v>25</v>
      </c>
      <c r="B121" s="126">
        <f t="shared" si="219"/>
        <v>0.11470663905874681</v>
      </c>
      <c r="C121" s="126">
        <f t="shared" si="219"/>
        <v>0.12200141020760248</v>
      </c>
      <c r="D121" s="126">
        <f t="shared" si="219"/>
        <v>0.12892887793493768</v>
      </c>
      <c r="E121" s="126">
        <f t="shared" si="219"/>
        <v>0.12747317193700466</v>
      </c>
      <c r="F121" s="126">
        <f t="shared" si="219"/>
        <v>0.12392939131844755</v>
      </c>
      <c r="G121" s="126">
        <f t="shared" si="219"/>
        <v>0.12380454636281452</v>
      </c>
      <c r="H121" s="126">
        <f t="shared" si="219"/>
        <v>0.11109704925378033</v>
      </c>
      <c r="I121" s="126">
        <f t="shared" si="219"/>
        <v>0.10705418806331293</v>
      </c>
      <c r="J121" s="126">
        <f t="shared" si="219"/>
        <v>0.1197487152274424</v>
      </c>
      <c r="K121" s="126">
        <f t="shared" ref="K121:V121" si="230">IF(K20=0,0,K20/K$15)</f>
        <v>0.11419603716351229</v>
      </c>
      <c r="L121" s="126">
        <f t="shared" si="230"/>
        <v>0.11229605406462084</v>
      </c>
      <c r="M121" s="126">
        <f t="shared" si="230"/>
        <v>0.10491264343331408</v>
      </c>
      <c r="N121" s="126">
        <f t="shared" si="230"/>
        <v>0.10051649589096807</v>
      </c>
      <c r="O121" s="126">
        <f t="shared" si="230"/>
        <v>0.10126173471827868</v>
      </c>
      <c r="P121" s="126">
        <f t="shared" si="230"/>
        <v>0.11575450578474722</v>
      </c>
      <c r="Q121" s="126">
        <f t="shared" si="230"/>
        <v>0.10775285815234187</v>
      </c>
      <c r="R121" s="126">
        <f t="shared" si="230"/>
        <v>0.10696491046139112</v>
      </c>
      <c r="S121" s="126">
        <f t="shared" si="230"/>
        <v>0.125463371375865</v>
      </c>
      <c r="T121" s="126">
        <f t="shared" si="230"/>
        <v>0.1120256087753784</v>
      </c>
      <c r="U121" s="126">
        <f t="shared" si="230"/>
        <v>0.12748356031741434</v>
      </c>
      <c r="V121" s="126">
        <f t="shared" si="230"/>
        <v>0.11093107530997474</v>
      </c>
      <c r="W121" s="126">
        <f t="shared" ref="W121" si="231">IF(W20=0,0,W20/W$15)</f>
        <v>0.10230315664525783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7.1066922137148186E-2</v>
      </c>
      <c r="C123" s="125">
        <f t="shared" si="232"/>
        <v>7.0649372204944202E-2</v>
      </c>
      <c r="D123" s="125">
        <f t="shared" si="232"/>
        <v>6.5557460485286906E-2</v>
      </c>
      <c r="E123" s="125">
        <f t="shared" si="232"/>
        <v>7.123557134598385E-2</v>
      </c>
      <c r="F123" s="125">
        <f t="shared" si="232"/>
        <v>7.16690322171947E-2</v>
      </c>
      <c r="G123" s="125">
        <f t="shared" si="232"/>
        <v>7.5330112764981055E-2</v>
      </c>
      <c r="H123" s="125">
        <f t="shared" si="232"/>
        <v>6.7976381783862005E-2</v>
      </c>
      <c r="I123" s="125">
        <f t="shared" si="232"/>
        <v>6.0438509966801876E-2</v>
      </c>
      <c r="J123" s="125">
        <f t="shared" si="232"/>
        <v>7.1334530355109227E-2</v>
      </c>
      <c r="K123" s="125">
        <f t="shared" ref="K123:V123" si="235">IF(K22=0,0,K22/K$21)</f>
        <v>6.5717840126351831E-2</v>
      </c>
      <c r="L123" s="125">
        <f t="shared" si="235"/>
        <v>6.6836075891360161E-2</v>
      </c>
      <c r="M123" s="125">
        <f t="shared" si="235"/>
        <v>7.0552197512522855E-2</v>
      </c>
      <c r="N123" s="125">
        <f t="shared" si="235"/>
        <v>6.0936678310853934E-2</v>
      </c>
      <c r="O123" s="125">
        <f t="shared" si="235"/>
        <v>6.3850165808405288E-2</v>
      </c>
      <c r="P123" s="125">
        <f t="shared" si="235"/>
        <v>5.5682564892961625E-2</v>
      </c>
      <c r="Q123" s="125">
        <f t="shared" si="235"/>
        <v>6.0002964538889737E-2</v>
      </c>
      <c r="R123" s="125">
        <f t="shared" si="235"/>
        <v>5.785494993407099E-2</v>
      </c>
      <c r="S123" s="125">
        <f t="shared" si="235"/>
        <v>4.6252526230571189E-2</v>
      </c>
      <c r="T123" s="125">
        <f t="shared" si="235"/>
        <v>5.5617495608073483E-2</v>
      </c>
      <c r="U123" s="125">
        <f t="shared" si="235"/>
        <v>5.1953330529693566E-2</v>
      </c>
      <c r="V123" s="125">
        <f t="shared" si="235"/>
        <v>5.3715075960178896E-2</v>
      </c>
      <c r="W123" s="125">
        <f t="shared" ref="W123" si="236">IF(W22=0,0,W22/W$21)</f>
        <v>3.5747565949717612E-2</v>
      </c>
      <c r="DA123" s="171"/>
    </row>
    <row r="124" spans="1:105" ht="11.45" customHeight="1" x14ac:dyDescent="0.25">
      <c r="A124" s="85" t="s">
        <v>93</v>
      </c>
      <c r="B124" s="127">
        <f t="shared" si="232"/>
        <v>0.92893307786285184</v>
      </c>
      <c r="C124" s="127">
        <f t="shared" si="232"/>
        <v>0.92935062779505584</v>
      </c>
      <c r="D124" s="127">
        <f t="shared" si="232"/>
        <v>0.93444253951471301</v>
      </c>
      <c r="E124" s="127">
        <f t="shared" si="232"/>
        <v>0.92876442865401621</v>
      </c>
      <c r="F124" s="127">
        <f t="shared" si="232"/>
        <v>0.92833096778280533</v>
      </c>
      <c r="G124" s="127">
        <f t="shared" si="232"/>
        <v>0.92466988723501897</v>
      </c>
      <c r="H124" s="127">
        <f t="shared" si="232"/>
        <v>0.93202361821613799</v>
      </c>
      <c r="I124" s="127">
        <f t="shared" si="232"/>
        <v>0.93956149003319811</v>
      </c>
      <c r="J124" s="127">
        <f t="shared" si="232"/>
        <v>0.92866546964489072</v>
      </c>
      <c r="K124" s="127">
        <f t="shared" ref="K124:V124" si="237">IF(K23=0,0,K23/K$21)</f>
        <v>0.93428215987364815</v>
      </c>
      <c r="L124" s="127">
        <f t="shared" si="237"/>
        <v>0.93316392410863991</v>
      </c>
      <c r="M124" s="127">
        <f t="shared" si="237"/>
        <v>0.92944780248747716</v>
      </c>
      <c r="N124" s="127">
        <f t="shared" si="237"/>
        <v>0.93906332168914608</v>
      </c>
      <c r="O124" s="127">
        <f t="shared" si="237"/>
        <v>0.9361498341915947</v>
      </c>
      <c r="P124" s="127">
        <f t="shared" si="237"/>
        <v>0.94431743510703847</v>
      </c>
      <c r="Q124" s="127">
        <f t="shared" si="237"/>
        <v>0.93999703546111024</v>
      </c>
      <c r="R124" s="127">
        <f t="shared" si="237"/>
        <v>0.94214505006592897</v>
      </c>
      <c r="S124" s="127">
        <f t="shared" si="237"/>
        <v>0.9537474737694287</v>
      </c>
      <c r="T124" s="127">
        <f t="shared" si="237"/>
        <v>0.9443825043919265</v>
      </c>
      <c r="U124" s="127">
        <f t="shared" si="237"/>
        <v>0.94804666947030647</v>
      </c>
      <c r="V124" s="127">
        <f t="shared" si="237"/>
        <v>0.94628492403982112</v>
      </c>
      <c r="W124" s="127">
        <f t="shared" ref="W124" si="238">IF(W23=0,0,W23/W$21)</f>
        <v>0.96425243405028238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299.2834909716251</v>
      </c>
      <c r="C4" s="146">
        <f t="shared" ref="C4:V4" si="0">SUM(C5,C8)</f>
        <v>270.73662940670675</v>
      </c>
      <c r="D4" s="146">
        <f t="shared" si="0"/>
        <v>274.2476354256234</v>
      </c>
      <c r="E4" s="146">
        <f t="shared" si="0"/>
        <v>269.7</v>
      </c>
      <c r="F4" s="146">
        <f t="shared" si="0"/>
        <v>278.57549441100599</v>
      </c>
      <c r="G4" s="146">
        <f t="shared" si="0"/>
        <v>263.47059329320723</v>
      </c>
      <c r="H4" s="146">
        <f t="shared" si="0"/>
        <v>270.49484092863287</v>
      </c>
      <c r="I4" s="146">
        <f t="shared" si="0"/>
        <v>273.3804815133276</v>
      </c>
      <c r="J4" s="146">
        <f t="shared" si="0"/>
        <v>226.87669819432497</v>
      </c>
      <c r="K4" s="146">
        <f t="shared" si="0"/>
        <v>230.1022355975924</v>
      </c>
      <c r="L4" s="146">
        <f t="shared" si="0"/>
        <v>226.50808254514189</v>
      </c>
      <c r="M4" s="146">
        <f t="shared" si="0"/>
        <v>246.46973344797934</v>
      </c>
      <c r="N4" s="146">
        <f t="shared" si="0"/>
        <v>250.17678417884784</v>
      </c>
      <c r="O4" s="146">
        <f t="shared" si="0"/>
        <v>253.68701633705936</v>
      </c>
      <c r="P4" s="146">
        <f t="shared" si="0"/>
        <v>240.22321582115219</v>
      </c>
      <c r="Q4" s="146">
        <f t="shared" si="0"/>
        <v>238.13078245915733</v>
      </c>
      <c r="R4" s="146">
        <f t="shared" si="0"/>
        <v>243.52553740326741</v>
      </c>
      <c r="S4" s="146">
        <f t="shared" si="0"/>
        <v>226.2501289767842</v>
      </c>
      <c r="T4" s="146">
        <f t="shared" si="0"/>
        <v>235.50782459157347</v>
      </c>
      <c r="U4" s="146">
        <f t="shared" si="0"/>
        <v>227.73697334479795</v>
      </c>
      <c r="V4" s="146">
        <f t="shared" si="0"/>
        <v>208.41349957007739</v>
      </c>
      <c r="W4" s="146">
        <f t="shared" ref="W4" si="1">SUM(W5,W8)</f>
        <v>231.42734307824585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24.648925193465171</v>
      </c>
      <c r="C5" s="101">
        <f t="shared" ref="C5:V5" si="2">SUM(C6:C7)</f>
        <v>24.648925193465171</v>
      </c>
      <c r="D5" s="101">
        <f t="shared" si="2"/>
        <v>27.73000859845228</v>
      </c>
      <c r="E5" s="101">
        <f t="shared" si="2"/>
        <v>25.67592433361995</v>
      </c>
      <c r="F5" s="101">
        <f t="shared" si="2"/>
        <v>21.56775580395529</v>
      </c>
      <c r="G5" s="101">
        <f t="shared" si="2"/>
        <v>21.16620808254514</v>
      </c>
      <c r="H5" s="101">
        <f t="shared" si="2"/>
        <v>22.429492691315559</v>
      </c>
      <c r="I5" s="101">
        <f t="shared" si="2"/>
        <v>21.531814273430779</v>
      </c>
      <c r="J5" s="101">
        <f t="shared" si="2"/>
        <v>22.921410146173692</v>
      </c>
      <c r="K5" s="101">
        <f t="shared" si="2"/>
        <v>20.4719690455718</v>
      </c>
      <c r="L5" s="101">
        <f t="shared" si="2"/>
        <v>19.801289767841791</v>
      </c>
      <c r="M5" s="101">
        <f t="shared" si="2"/>
        <v>19.470593293207219</v>
      </c>
      <c r="N5" s="101">
        <f t="shared" si="2"/>
        <v>19.30834049871023</v>
      </c>
      <c r="O5" s="101">
        <f t="shared" si="2"/>
        <v>17.229578675838351</v>
      </c>
      <c r="P5" s="101">
        <f t="shared" si="2"/>
        <v>15.373688736027511</v>
      </c>
      <c r="Q5" s="101">
        <f t="shared" si="2"/>
        <v>15.00094582975064</v>
      </c>
      <c r="R5" s="101">
        <f t="shared" si="2"/>
        <v>14.462768701633699</v>
      </c>
      <c r="S5" s="101">
        <f t="shared" si="2"/>
        <v>13.352450558899401</v>
      </c>
      <c r="T5" s="101">
        <f t="shared" si="2"/>
        <v>14.269647463456581</v>
      </c>
      <c r="U5" s="101">
        <f t="shared" si="2"/>
        <v>14.23740326741186</v>
      </c>
      <c r="V5" s="101">
        <f t="shared" si="2"/>
        <v>13.91650902837489</v>
      </c>
      <c r="W5" s="101">
        <f t="shared" ref="W5" si="3">SUM(W6:W7)</f>
        <v>11.392949269131559</v>
      </c>
      <c r="DA5" s="175"/>
    </row>
    <row r="6" spans="1:105" ht="11.45" customHeight="1" x14ac:dyDescent="0.25">
      <c r="A6" s="164" t="s">
        <v>182</v>
      </c>
      <c r="B6" s="165">
        <v>24.648925193465171</v>
      </c>
      <c r="C6" s="165">
        <v>24.648925193465171</v>
      </c>
      <c r="D6" s="165">
        <v>27.73000859845228</v>
      </c>
      <c r="E6" s="165">
        <v>25.67592433361995</v>
      </c>
      <c r="F6" s="165">
        <v>21.56775580395529</v>
      </c>
      <c r="G6" s="165">
        <v>21.16620808254514</v>
      </c>
      <c r="H6" s="165">
        <v>22.429492691315559</v>
      </c>
      <c r="I6" s="165">
        <v>21.531814273430779</v>
      </c>
      <c r="J6" s="165">
        <v>22.921410146173692</v>
      </c>
      <c r="K6" s="165">
        <v>20.4719690455718</v>
      </c>
      <c r="L6" s="165">
        <v>19.801289767841791</v>
      </c>
      <c r="M6" s="165">
        <v>19.470593293207219</v>
      </c>
      <c r="N6" s="165">
        <v>19.30834049871023</v>
      </c>
      <c r="O6" s="165">
        <v>17.229578675838351</v>
      </c>
      <c r="P6" s="165">
        <v>15.373688736027511</v>
      </c>
      <c r="Q6" s="165">
        <v>15.00094582975064</v>
      </c>
      <c r="R6" s="165">
        <v>14.462768701633699</v>
      </c>
      <c r="S6" s="165">
        <v>13.352450558899401</v>
      </c>
      <c r="T6" s="165">
        <v>14.269647463456581</v>
      </c>
      <c r="U6" s="165">
        <v>14.23740326741186</v>
      </c>
      <c r="V6" s="165">
        <v>13.91650902837489</v>
      </c>
      <c r="W6" s="165">
        <v>11.392949269131559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274.63456577815992</v>
      </c>
      <c r="C8" s="88">
        <v>246.08770421324161</v>
      </c>
      <c r="D8" s="88">
        <v>246.51762682717111</v>
      </c>
      <c r="E8" s="88">
        <v>244.02407566638001</v>
      </c>
      <c r="F8" s="88">
        <v>257.00773860705073</v>
      </c>
      <c r="G8" s="88">
        <v>242.3043852106621</v>
      </c>
      <c r="H8" s="88">
        <v>248.06534823731729</v>
      </c>
      <c r="I8" s="88">
        <v>251.8486672398968</v>
      </c>
      <c r="J8" s="88">
        <v>203.95528804815129</v>
      </c>
      <c r="K8" s="88">
        <v>209.6302665520206</v>
      </c>
      <c r="L8" s="88">
        <v>206.70679277730011</v>
      </c>
      <c r="M8" s="88">
        <v>226.99914015477211</v>
      </c>
      <c r="N8" s="88">
        <v>230.8684436801376</v>
      </c>
      <c r="O8" s="88">
        <v>236.45743766122101</v>
      </c>
      <c r="P8" s="88">
        <v>224.84952708512469</v>
      </c>
      <c r="Q8" s="88">
        <v>223.1298366294067</v>
      </c>
      <c r="R8" s="88">
        <v>229.0627687016337</v>
      </c>
      <c r="S8" s="88">
        <v>212.8976784178848</v>
      </c>
      <c r="T8" s="88">
        <v>221.23817712811689</v>
      </c>
      <c r="U8" s="88">
        <v>213.4995700773861</v>
      </c>
      <c r="V8" s="88">
        <v>194.4969905417025</v>
      </c>
      <c r="W8" s="88">
        <v>220.03439380911431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299.28349097162516</v>
      </c>
      <c r="C10" s="62">
        <f t="shared" ref="C10:V10" si="5">SUM(C11,C17)</f>
        <v>270.73662940670675</v>
      </c>
      <c r="D10" s="62">
        <f t="shared" si="5"/>
        <v>274.2476354256234</v>
      </c>
      <c r="E10" s="62">
        <f t="shared" si="5"/>
        <v>269.7</v>
      </c>
      <c r="F10" s="62">
        <f t="shared" si="5"/>
        <v>278.57549441100599</v>
      </c>
      <c r="G10" s="62">
        <f t="shared" si="5"/>
        <v>263.47059329320723</v>
      </c>
      <c r="H10" s="62">
        <f t="shared" si="5"/>
        <v>270.49484092863287</v>
      </c>
      <c r="I10" s="62">
        <f t="shared" si="5"/>
        <v>273.3804815133276</v>
      </c>
      <c r="J10" s="62">
        <f t="shared" si="5"/>
        <v>226.87669819432497</v>
      </c>
      <c r="K10" s="62">
        <f t="shared" si="5"/>
        <v>230.10223559759243</v>
      </c>
      <c r="L10" s="62">
        <f t="shared" si="5"/>
        <v>226.50808254514192</v>
      </c>
      <c r="M10" s="62">
        <f t="shared" si="5"/>
        <v>246.46973344797934</v>
      </c>
      <c r="N10" s="62">
        <f t="shared" si="5"/>
        <v>250.17678417884787</v>
      </c>
      <c r="O10" s="62">
        <f t="shared" si="5"/>
        <v>253.68701633705933</v>
      </c>
      <c r="P10" s="62">
        <f t="shared" si="5"/>
        <v>240.22321582115222</v>
      </c>
      <c r="Q10" s="62">
        <f t="shared" si="5"/>
        <v>238.13078245915733</v>
      </c>
      <c r="R10" s="62">
        <f t="shared" si="5"/>
        <v>243.52553740326741</v>
      </c>
      <c r="S10" s="62">
        <f t="shared" si="5"/>
        <v>226.25012897678423</v>
      </c>
      <c r="T10" s="62">
        <f t="shared" si="5"/>
        <v>235.50782459157341</v>
      </c>
      <c r="U10" s="62">
        <f t="shared" si="5"/>
        <v>227.73697334479797</v>
      </c>
      <c r="V10" s="62">
        <f t="shared" si="5"/>
        <v>208.41349957007742</v>
      </c>
      <c r="W10" s="62">
        <f t="shared" ref="W10" si="6">SUM(W11,W17)</f>
        <v>231.42734307824588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179.61328115939918</v>
      </c>
      <c r="C11" s="29">
        <f t="shared" ref="C11:V11" si="8">SUM(C12,C13,C16)</f>
        <v>170.49190397181079</v>
      </c>
      <c r="D11" s="29">
        <f t="shared" si="8"/>
        <v>173.46237993055595</v>
      </c>
      <c r="E11" s="29">
        <f t="shared" si="8"/>
        <v>171.10540803084174</v>
      </c>
      <c r="F11" s="29">
        <f t="shared" si="8"/>
        <v>172.54025185948512</v>
      </c>
      <c r="G11" s="29">
        <f t="shared" si="8"/>
        <v>159.42725968409823</v>
      </c>
      <c r="H11" s="29">
        <f t="shared" si="8"/>
        <v>163.22168374972614</v>
      </c>
      <c r="I11" s="29">
        <f t="shared" si="8"/>
        <v>162.90648228914884</v>
      </c>
      <c r="J11" s="29">
        <f t="shared" si="8"/>
        <v>144.89010331474557</v>
      </c>
      <c r="K11" s="29">
        <f t="shared" si="8"/>
        <v>156.45676389808909</v>
      </c>
      <c r="L11" s="29">
        <f t="shared" si="8"/>
        <v>149.89605708713441</v>
      </c>
      <c r="M11" s="29">
        <f t="shared" si="8"/>
        <v>164.57416475219867</v>
      </c>
      <c r="N11" s="29">
        <f t="shared" si="8"/>
        <v>173.29095353031741</v>
      </c>
      <c r="O11" s="29">
        <f t="shared" si="8"/>
        <v>180.34599050560175</v>
      </c>
      <c r="P11" s="29">
        <f t="shared" si="8"/>
        <v>175.08396021453967</v>
      </c>
      <c r="Q11" s="29">
        <f t="shared" si="8"/>
        <v>175.81684023596983</v>
      </c>
      <c r="R11" s="29">
        <f t="shared" si="8"/>
        <v>181.89672012438925</v>
      </c>
      <c r="S11" s="29">
        <f t="shared" si="8"/>
        <v>164.32678345695481</v>
      </c>
      <c r="T11" s="29">
        <f t="shared" si="8"/>
        <v>177.1971860201823</v>
      </c>
      <c r="U11" s="29">
        <f t="shared" si="8"/>
        <v>172.61704517051123</v>
      </c>
      <c r="V11" s="29">
        <f t="shared" si="8"/>
        <v>155.86580746491094</v>
      </c>
      <c r="W11" s="29">
        <f t="shared" ref="W11" si="9">SUM(W12,W13,W16)</f>
        <v>174.45905251312524</v>
      </c>
      <c r="DA11" s="173" t="s">
        <v>394</v>
      </c>
    </row>
    <row r="12" spans="1:105" ht="11.45" customHeight="1" x14ac:dyDescent="0.25">
      <c r="A12" s="107" t="s">
        <v>23</v>
      </c>
      <c r="B12" s="115">
        <v>13.159133621069508</v>
      </c>
      <c r="C12" s="115">
        <v>13.060838119795735</v>
      </c>
      <c r="D12" s="115">
        <v>12.061395205247324</v>
      </c>
      <c r="E12" s="115">
        <v>11.956159866324967</v>
      </c>
      <c r="F12" s="115">
        <v>11.880759165510957</v>
      </c>
      <c r="G12" s="115">
        <v>11.500950285146017</v>
      </c>
      <c r="H12" s="115">
        <v>12.073210807926676</v>
      </c>
      <c r="I12" s="115">
        <v>12.487855243274488</v>
      </c>
      <c r="J12" s="115">
        <v>12.326539414169222</v>
      </c>
      <c r="K12" s="115">
        <v>12.254763308428476</v>
      </c>
      <c r="L12" s="115">
        <v>12.377476769679815</v>
      </c>
      <c r="M12" s="115">
        <v>12.646943657447071</v>
      </c>
      <c r="N12" s="115">
        <v>12.761261139306418</v>
      </c>
      <c r="O12" s="115">
        <v>13.074526339320876</v>
      </c>
      <c r="P12" s="115">
        <v>12.859609085255608</v>
      </c>
      <c r="Q12" s="115">
        <v>13.075352244082447</v>
      </c>
      <c r="R12" s="115">
        <v>13.546857326081748</v>
      </c>
      <c r="S12" s="115">
        <v>13.609687246394479</v>
      </c>
      <c r="T12" s="115">
        <v>13.298114716520246</v>
      </c>
      <c r="U12" s="115">
        <v>13.075066677093064</v>
      </c>
      <c r="V12" s="115">
        <v>12.991403951958192</v>
      </c>
      <c r="W12" s="115">
        <v>13.02799191411091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136.40813675975343</v>
      </c>
      <c r="C13" s="116">
        <f t="shared" ref="C13:V13" si="11">SUM(C14:C15)</f>
        <v>125.62672829263209</v>
      </c>
      <c r="D13" s="116">
        <f t="shared" si="11"/>
        <v>128.02549618147046</v>
      </c>
      <c r="E13" s="116">
        <f t="shared" si="11"/>
        <v>126.1178673878287</v>
      </c>
      <c r="F13" s="116">
        <f t="shared" si="11"/>
        <v>127.90298973408284</v>
      </c>
      <c r="G13" s="116">
        <f t="shared" si="11"/>
        <v>116.95578138827294</v>
      </c>
      <c r="H13" s="116">
        <f t="shared" si="11"/>
        <v>122.41187642760896</v>
      </c>
      <c r="I13" s="116">
        <f t="shared" si="11"/>
        <v>122.03165154522459</v>
      </c>
      <c r="J13" s="116">
        <f t="shared" si="11"/>
        <v>103.66454637438703</v>
      </c>
      <c r="K13" s="116">
        <f t="shared" si="11"/>
        <v>114.70767237077079</v>
      </c>
      <c r="L13" s="116">
        <f t="shared" si="11"/>
        <v>109.20365583889358</v>
      </c>
      <c r="M13" s="116">
        <f t="shared" si="11"/>
        <v>123.07033726662617</v>
      </c>
      <c r="N13" s="116">
        <f t="shared" si="11"/>
        <v>131.60258486972634</v>
      </c>
      <c r="O13" s="116">
        <f t="shared" si="11"/>
        <v>136.70453323160919</v>
      </c>
      <c r="P13" s="116">
        <f t="shared" si="11"/>
        <v>128.27979982845633</v>
      </c>
      <c r="Q13" s="116">
        <f t="shared" si="11"/>
        <v>130.6924872828705</v>
      </c>
      <c r="R13" s="116">
        <f t="shared" si="11"/>
        <v>135.35950614377327</v>
      </c>
      <c r="S13" s="116">
        <f t="shared" si="11"/>
        <v>115.74276775247688</v>
      </c>
      <c r="T13" s="116">
        <f t="shared" si="11"/>
        <v>130.67123755686626</v>
      </c>
      <c r="U13" s="116">
        <f t="shared" si="11"/>
        <v>123.19332791325306</v>
      </c>
      <c r="V13" s="116">
        <f t="shared" si="11"/>
        <v>113.80894713033038</v>
      </c>
      <c r="W13" s="116">
        <f t="shared" ref="W13" si="12">SUM(W14:W15)</f>
        <v>131.77794962423368</v>
      </c>
      <c r="DA13" s="176" t="s">
        <v>396</v>
      </c>
    </row>
    <row r="14" spans="1:105" ht="11.45" customHeight="1" x14ac:dyDescent="0.25">
      <c r="A14" s="111" t="s">
        <v>95</v>
      </c>
      <c r="B14" s="87">
        <v>9.3834067972037456</v>
      </c>
      <c r="C14" s="87">
        <v>10.614999351554172</v>
      </c>
      <c r="D14" s="87">
        <v>14.731957378248129</v>
      </c>
      <c r="E14" s="87">
        <v>11.724693604154954</v>
      </c>
      <c r="F14" s="87">
        <v>6.3887342487498424</v>
      </c>
      <c r="G14" s="87">
        <v>5.1393579416405419</v>
      </c>
      <c r="H14" s="87">
        <v>7.3713605853152915</v>
      </c>
      <c r="I14" s="87">
        <v>6.9493689279829578</v>
      </c>
      <c r="J14" s="87">
        <v>8.7799964819241136</v>
      </c>
      <c r="K14" s="87">
        <v>8.7288894867361098</v>
      </c>
      <c r="L14" s="87">
        <v>7.5665425323123117</v>
      </c>
      <c r="M14" s="87">
        <v>5.9398542956855218</v>
      </c>
      <c r="N14" s="87">
        <v>8.1359970554460013</v>
      </c>
      <c r="O14" s="87">
        <v>6.054601417898601</v>
      </c>
      <c r="P14" s="87">
        <v>6.4020158303992902</v>
      </c>
      <c r="Q14" s="87">
        <v>5.8226942587612847</v>
      </c>
      <c r="R14" s="87">
        <v>5.6871607128019681</v>
      </c>
      <c r="S14" s="87">
        <v>6.1778007568219424</v>
      </c>
      <c r="T14" s="87">
        <v>6.2670319745778595</v>
      </c>
      <c r="U14" s="87">
        <v>7.1326622388622205</v>
      </c>
      <c r="V14" s="87">
        <v>6.9343778508463991</v>
      </c>
      <c r="W14" s="87">
        <v>6.2112916609428224</v>
      </c>
      <c r="DA14" s="171" t="s">
        <v>1106</v>
      </c>
    </row>
    <row r="15" spans="1:105" ht="11.45" customHeight="1" x14ac:dyDescent="0.25">
      <c r="A15" s="111" t="s">
        <v>93</v>
      </c>
      <c r="B15" s="87">
        <v>127.02472996254969</v>
      </c>
      <c r="C15" s="87">
        <v>115.01172894107792</v>
      </c>
      <c r="D15" s="87">
        <v>113.29353880322232</v>
      </c>
      <c r="E15" s="87">
        <v>114.39317378367375</v>
      </c>
      <c r="F15" s="87">
        <v>121.514255485333</v>
      </c>
      <c r="G15" s="87">
        <v>111.8164234466324</v>
      </c>
      <c r="H15" s="87">
        <v>115.04051584229367</v>
      </c>
      <c r="I15" s="87">
        <v>115.08228261724163</v>
      </c>
      <c r="J15" s="87">
        <v>94.884549892462914</v>
      </c>
      <c r="K15" s="87">
        <v>105.97878288403469</v>
      </c>
      <c r="L15" s="87">
        <v>101.63711330658127</v>
      </c>
      <c r="M15" s="87">
        <v>117.13048297094065</v>
      </c>
      <c r="N15" s="87">
        <v>123.46658781428033</v>
      </c>
      <c r="O15" s="87">
        <v>130.64993181371059</v>
      </c>
      <c r="P15" s="87">
        <v>121.87778399805705</v>
      </c>
      <c r="Q15" s="87">
        <v>124.86979302410921</v>
      </c>
      <c r="R15" s="87">
        <v>129.67234543097132</v>
      </c>
      <c r="S15" s="87">
        <v>109.56496699565494</v>
      </c>
      <c r="T15" s="87">
        <v>124.40420558228841</v>
      </c>
      <c r="U15" s="87">
        <v>116.06066567439083</v>
      </c>
      <c r="V15" s="87">
        <v>106.87456927948398</v>
      </c>
      <c r="W15" s="87">
        <v>125.56665796329085</v>
      </c>
      <c r="DA15" s="171" t="s">
        <v>1107</v>
      </c>
    </row>
    <row r="16" spans="1:105" ht="11.45" customHeight="1" x14ac:dyDescent="0.25">
      <c r="A16" s="112" t="s">
        <v>25</v>
      </c>
      <c r="B16" s="117">
        <v>30.046010778576221</v>
      </c>
      <c r="C16" s="117">
        <v>31.804337559382969</v>
      </c>
      <c r="D16" s="117">
        <v>33.375488543838173</v>
      </c>
      <c r="E16" s="117">
        <v>33.031380776688081</v>
      </c>
      <c r="F16" s="117">
        <v>32.756502959891314</v>
      </c>
      <c r="G16" s="117">
        <v>30.970528010679278</v>
      </c>
      <c r="H16" s="117">
        <v>28.736596514190499</v>
      </c>
      <c r="I16" s="117">
        <v>28.386975500649765</v>
      </c>
      <c r="J16" s="117">
        <v>28.899017526189329</v>
      </c>
      <c r="K16" s="117">
        <v>29.494328218889827</v>
      </c>
      <c r="L16" s="117">
        <v>28.314924478561011</v>
      </c>
      <c r="M16" s="117">
        <v>28.856883828125444</v>
      </c>
      <c r="N16" s="117">
        <v>28.927107521284654</v>
      </c>
      <c r="O16" s="117">
        <v>30.566930934671696</v>
      </c>
      <c r="P16" s="117">
        <v>33.944551300827733</v>
      </c>
      <c r="Q16" s="117">
        <v>32.049000709016894</v>
      </c>
      <c r="R16" s="117">
        <v>32.990356654534224</v>
      </c>
      <c r="S16" s="117">
        <v>34.974328458083448</v>
      </c>
      <c r="T16" s="117">
        <v>33.22783374679581</v>
      </c>
      <c r="U16" s="117">
        <v>36.348650580165113</v>
      </c>
      <c r="V16" s="117">
        <v>29.065456382622376</v>
      </c>
      <c r="W16" s="117">
        <v>29.653110974780638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119.67020981222595</v>
      </c>
      <c r="C17" s="29">
        <f t="shared" si="13"/>
        <v>100.24472543489598</v>
      </c>
      <c r="D17" s="29">
        <f t="shared" si="13"/>
        <v>100.78525549506746</v>
      </c>
      <c r="E17" s="29">
        <f t="shared" si="13"/>
        <v>98.59459196915823</v>
      </c>
      <c r="F17" s="29">
        <f t="shared" si="13"/>
        <v>106.03524255152088</v>
      </c>
      <c r="G17" s="29">
        <f t="shared" si="13"/>
        <v>104.043333609109</v>
      </c>
      <c r="H17" s="29">
        <f t="shared" si="13"/>
        <v>107.27315717890673</v>
      </c>
      <c r="I17" s="29">
        <f t="shared" si="13"/>
        <v>110.47399922417875</v>
      </c>
      <c r="J17" s="29">
        <f t="shared" si="13"/>
        <v>81.9865948795794</v>
      </c>
      <c r="K17" s="29">
        <f t="shared" si="13"/>
        <v>73.645471699503318</v>
      </c>
      <c r="L17" s="29">
        <f t="shared" si="13"/>
        <v>76.612025458007494</v>
      </c>
      <c r="M17" s="29">
        <f t="shared" si="13"/>
        <v>81.895568695780668</v>
      </c>
      <c r="N17" s="29">
        <f t="shared" si="13"/>
        <v>76.885830648530444</v>
      </c>
      <c r="O17" s="29">
        <f t="shared" si="13"/>
        <v>73.341025831457571</v>
      </c>
      <c r="P17" s="29">
        <f t="shared" si="13"/>
        <v>65.139255606612537</v>
      </c>
      <c r="Q17" s="29">
        <f t="shared" si="13"/>
        <v>62.313942223187503</v>
      </c>
      <c r="R17" s="29">
        <f t="shared" si="13"/>
        <v>61.628817278878167</v>
      </c>
      <c r="S17" s="29">
        <f t="shared" si="13"/>
        <v>61.923345519829411</v>
      </c>
      <c r="T17" s="29">
        <f t="shared" si="13"/>
        <v>58.310638571391124</v>
      </c>
      <c r="U17" s="29">
        <f t="shared" si="13"/>
        <v>55.119928174286734</v>
      </c>
      <c r="V17" s="29">
        <f t="shared" si="13"/>
        <v>52.547692105166462</v>
      </c>
      <c r="W17" s="29">
        <f t="shared" si="13"/>
        <v>56.968290565120633</v>
      </c>
      <c r="DA17" s="173" t="s">
        <v>401</v>
      </c>
    </row>
    <row r="18" spans="1:105" ht="11.45" customHeight="1" x14ac:dyDescent="0.25">
      <c r="A18" s="83" t="s">
        <v>95</v>
      </c>
      <c r="B18" s="87">
        <v>15.265518396261426</v>
      </c>
      <c r="C18" s="87">
        <v>14.033925841911</v>
      </c>
      <c r="D18" s="87">
        <v>12.998051220204152</v>
      </c>
      <c r="E18" s="87">
        <v>13.951230729464992</v>
      </c>
      <c r="F18" s="87">
        <v>15.179021555205448</v>
      </c>
      <c r="G18" s="87">
        <v>16.026850140904596</v>
      </c>
      <c r="H18" s="87">
        <v>15.058132106000267</v>
      </c>
      <c r="I18" s="87">
        <v>14.58244534544782</v>
      </c>
      <c r="J18" s="87">
        <v>14.141413664249576</v>
      </c>
      <c r="K18" s="87">
        <v>11.74307955883569</v>
      </c>
      <c r="L18" s="87">
        <v>12.234747235529479</v>
      </c>
      <c r="M18" s="87">
        <v>13.530738997521695</v>
      </c>
      <c r="N18" s="87">
        <v>11.172343443264227</v>
      </c>
      <c r="O18" s="87">
        <v>11.17497725793975</v>
      </c>
      <c r="P18" s="87">
        <v>8.9716729056282194</v>
      </c>
      <c r="Q18" s="87">
        <v>9.1782515709893548</v>
      </c>
      <c r="R18" s="87">
        <v>8.775607988831732</v>
      </c>
      <c r="S18" s="87">
        <v>7.1746498020774592</v>
      </c>
      <c r="T18" s="87">
        <v>8.0026154888787211</v>
      </c>
      <c r="U18" s="87">
        <v>7.1047410285496406</v>
      </c>
      <c r="V18" s="87">
        <v>6.9821311775284913</v>
      </c>
      <c r="W18" s="87">
        <v>5.1816576081887371</v>
      </c>
      <c r="DA18" s="171" t="s">
        <v>1108</v>
      </c>
    </row>
    <row r="19" spans="1:105" ht="11.45" customHeight="1" x14ac:dyDescent="0.25">
      <c r="A19" s="85" t="s">
        <v>93</v>
      </c>
      <c r="B19" s="88">
        <v>104.40469141596452</v>
      </c>
      <c r="C19" s="88">
        <v>86.210799592984984</v>
      </c>
      <c r="D19" s="88">
        <v>87.787204274863313</v>
      </c>
      <c r="E19" s="88">
        <v>84.643361239693235</v>
      </c>
      <c r="F19" s="88">
        <v>90.856220996315429</v>
      </c>
      <c r="G19" s="88">
        <v>88.016483468204399</v>
      </c>
      <c r="H19" s="88">
        <v>92.215025072906457</v>
      </c>
      <c r="I19" s="88">
        <v>95.891553878730932</v>
      </c>
      <c r="J19" s="88">
        <v>67.845181215329831</v>
      </c>
      <c r="K19" s="88">
        <v>61.902392140667629</v>
      </c>
      <c r="L19" s="88">
        <v>64.377278222478012</v>
      </c>
      <c r="M19" s="88">
        <v>68.364829698258973</v>
      </c>
      <c r="N19" s="88">
        <v>65.713487205266219</v>
      </c>
      <c r="O19" s="88">
        <v>62.166048573517827</v>
      </c>
      <c r="P19" s="88">
        <v>56.167582700984312</v>
      </c>
      <c r="Q19" s="88">
        <v>53.13569065219815</v>
      </c>
      <c r="R19" s="88">
        <v>52.853209290046436</v>
      </c>
      <c r="S19" s="88">
        <v>54.74869571775195</v>
      </c>
      <c r="T19" s="88">
        <v>50.308023082512399</v>
      </c>
      <c r="U19" s="88">
        <v>48.015187145737094</v>
      </c>
      <c r="V19" s="88">
        <v>45.565560927637968</v>
      </c>
      <c r="W19" s="88">
        <v>51.786632956931896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200.12691592357777</v>
      </c>
      <c r="C23" s="62">
        <f>IF(C10=0,0,C10/TrRail_act!C14*100)</f>
        <v>181.37600531896675</v>
      </c>
      <c r="D23" s="62">
        <f>IF(D10=0,0,D10/TrRail_act!D14*100)</f>
        <v>180.87750917300539</v>
      </c>
      <c r="E23" s="62">
        <f>IF(E10=0,0,E10/TrRail_act!E14*100)</f>
        <v>175.65699863309129</v>
      </c>
      <c r="F23" s="62">
        <f>IF(F10=0,0,F10/TrRail_act!F14*100)</f>
        <v>172.21371840054425</v>
      </c>
      <c r="G23" s="62">
        <f>IF(G10=0,0,G10/TrRail_act!G14*100)</f>
        <v>166.70745076919067</v>
      </c>
      <c r="H23" s="62">
        <f>IF(H10=0,0,H10/TrRail_act!H14*100)</f>
        <v>163.2965694398068</v>
      </c>
      <c r="I23" s="62">
        <f>IF(I10=0,0,I10/TrRail_act!I14*100)</f>
        <v>155.74217412563564</v>
      </c>
      <c r="J23" s="62">
        <f>IF(J10=0,0,J10/TrRail_act!J14*100)</f>
        <v>144.88138482998468</v>
      </c>
      <c r="K23" s="62">
        <f>IF(K10=0,0,K10/TrRail_act!K14*100)</f>
        <v>141.26170294678448</v>
      </c>
      <c r="L23" s="62">
        <f>IF(L10=0,0,L10/TrRail_act!L14*100)</f>
        <v>138.66959169912926</v>
      </c>
      <c r="M23" s="62">
        <f>IF(M10=0,0,M10/TrRail_act!M14*100)</f>
        <v>137.91241724150868</v>
      </c>
      <c r="N23" s="62">
        <f>IF(N10=0,0,N10/TrRail_act!N14*100)</f>
        <v>135.17987554786251</v>
      </c>
      <c r="O23" s="62">
        <f>IF(O10=0,0,O10/TrRail_act!O14*100)</f>
        <v>131.96502420107191</v>
      </c>
      <c r="P23" s="62">
        <f>IF(P10=0,0,P10/TrRail_act!P14*100)</f>
        <v>128.76998074685795</v>
      </c>
      <c r="Q23" s="62">
        <f>IF(Q10=0,0,Q10/TrRail_act!Q14*100)</f>
        <v>126.27154270223019</v>
      </c>
      <c r="R23" s="62">
        <f>IF(R10=0,0,R10/TrRail_act!R14*100)</f>
        <v>124.04662613394588</v>
      </c>
      <c r="S23" s="62">
        <f>IF(S10=0,0,S10/TrRail_act!S14*100)</f>
        <v>122.80533699464694</v>
      </c>
      <c r="T23" s="62">
        <f>IF(T10=0,0,T10/TrRail_act!T14*100)</f>
        <v>121.38544400180298</v>
      </c>
      <c r="U23" s="62">
        <f>IF(U10=0,0,U10/TrRail_act!U14*100)</f>
        <v>120.93103494248605</v>
      </c>
      <c r="V23" s="62">
        <f>IF(V10=0,0,V10/TrRail_act!V14*100)</f>
        <v>118.65950116517487</v>
      </c>
      <c r="W23" s="62">
        <f>IF(W10=0,0,W10/TrRail_act!W14*100)</f>
        <v>118.15268383668634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166.55682179787979</v>
      </c>
      <c r="C24" s="29">
        <f>IF(C11=0,0,C11/TrRail_act!C15*100)</f>
        <v>154.56161986208878</v>
      </c>
      <c r="D24" s="29">
        <f>IF(D11=0,0,D11/TrRail_act!D15*100)</f>
        <v>154.84987851697147</v>
      </c>
      <c r="E24" s="29">
        <f>IF(E11=0,0,E11/TrRail_act!E15*100)</f>
        <v>150.39193713491866</v>
      </c>
      <c r="F24" s="29">
        <f>IF(F11=0,0,F11/TrRail_act!F15*100)</f>
        <v>146.09786577216215</v>
      </c>
      <c r="G24" s="29">
        <f>IF(G11=0,0,G11/TrRail_act!G15*100)</f>
        <v>140.18337757852561</v>
      </c>
      <c r="H24" s="29">
        <f>IF(H11=0,0,H11/TrRail_act!H15*100)</f>
        <v>136.95957280081782</v>
      </c>
      <c r="I24" s="29">
        <f>IF(I11=0,0,I11/TrRail_act!I15*100)</f>
        <v>130.83136677955963</v>
      </c>
      <c r="J24" s="29">
        <f>IF(J11=0,0,J11/TrRail_act!J15*100)</f>
        <v>126.64528263585531</v>
      </c>
      <c r="K24" s="29">
        <f>IF(K11=0,0,K11/TrRail_act!K15*100)</f>
        <v>125.82212975062713</v>
      </c>
      <c r="L24" s="29">
        <f>IF(L11=0,0,L11/TrRail_act!L15*100)</f>
        <v>121.9763458748575</v>
      </c>
      <c r="M24" s="29">
        <f>IF(M11=0,0,M11/TrRail_act!M15*100)</f>
        <v>121.59092017593596</v>
      </c>
      <c r="N24" s="29">
        <f>IF(N11=0,0,N11/TrRail_act!N15*100)</f>
        <v>120.96249596161172</v>
      </c>
      <c r="O24" s="29">
        <f>IF(O11=0,0,O11/TrRail_act!O15*100)</f>
        <v>118.58537563690552</v>
      </c>
      <c r="P24" s="29">
        <f>IF(P11=0,0,P11/TrRail_act!P15*100)</f>
        <v>117.14888604318141</v>
      </c>
      <c r="Q24" s="29">
        <f>IF(Q11=0,0,Q11/TrRail_act!Q15*100)</f>
        <v>114.81676998023885</v>
      </c>
      <c r="R24" s="29">
        <f>IF(R11=0,0,R11/TrRail_act!R15*100)</f>
        <v>113.11957198445359</v>
      </c>
      <c r="S24" s="29">
        <f>IF(S11=0,0,S11/TrRail_act!S15*100)</f>
        <v>111.44320140465551</v>
      </c>
      <c r="T24" s="29">
        <f>IF(T11=0,0,T11/TrRail_act!T15*100)</f>
        <v>111.16348676829139</v>
      </c>
      <c r="U24" s="29">
        <f>IF(U11=0,0,U11/TrRail_act!U15*100)</f>
        <v>111.32018646444564</v>
      </c>
      <c r="V24" s="29">
        <f>IF(V11=0,0,V11/TrRail_act!V15*100)</f>
        <v>108.41191369769329</v>
      </c>
      <c r="W24" s="29">
        <f>IF(W11=0,0,W11/TrRail_act!W15*100)</f>
        <v>108.95738095346992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48.82017905386283</v>
      </c>
      <c r="C25" s="115">
        <f>IF(C12=0,0,C12/TrRail_act!C16*100)</f>
        <v>47.500319310400471</v>
      </c>
      <c r="D25" s="115">
        <f>IF(D12=0,0,D12/TrRail_act!D16*100)</f>
        <v>46.447262471992076</v>
      </c>
      <c r="E25" s="115">
        <f>IF(E12=0,0,E12/TrRail_act!E16*100)</f>
        <v>45.25067659378913</v>
      </c>
      <c r="F25" s="115">
        <f>IF(F12=0,0,F12/TrRail_act!F16*100)</f>
        <v>44.44158544709628</v>
      </c>
      <c r="G25" s="115">
        <f>IF(G12=0,0,G12/TrRail_act!G16*100)</f>
        <v>43.702097246356686</v>
      </c>
      <c r="H25" s="115">
        <f>IF(H12=0,0,H12/TrRail_act!H16*100)</f>
        <v>42.871761973864672</v>
      </c>
      <c r="I25" s="115">
        <f>IF(I12=0,0,I12/TrRail_act!I16*100)</f>
        <v>42.310221390407015</v>
      </c>
      <c r="J25" s="115">
        <f>IF(J12=0,0,J12/TrRail_act!J16*100)</f>
        <v>41.911685635192377</v>
      </c>
      <c r="K25" s="115">
        <f>IF(K12=0,0,K12/TrRail_act!K16*100)</f>
        <v>41.333855448713088</v>
      </c>
      <c r="L25" s="115">
        <f>IF(L12=0,0,L12/TrRail_act!L16*100)</f>
        <v>40.980130375397181</v>
      </c>
      <c r="M25" s="115">
        <f>IF(M12=0,0,M12/TrRail_act!M16*100)</f>
        <v>40.844935289253684</v>
      </c>
      <c r="N25" s="115">
        <f>IF(N12=0,0,N12/TrRail_act!N16*100)</f>
        <v>40.375660820227374</v>
      </c>
      <c r="O25" s="115">
        <f>IF(O12=0,0,O12/TrRail_act!O16*100)</f>
        <v>39.894060366176056</v>
      </c>
      <c r="P25" s="115">
        <f>IF(P12=0,0,P12/TrRail_act!P16*100)</f>
        <v>39.318791578666392</v>
      </c>
      <c r="Q25" s="115">
        <f>IF(Q12=0,0,Q12/TrRail_act!Q16*100)</f>
        <v>39.03980809350692</v>
      </c>
      <c r="R25" s="115">
        <f>IF(R12=0,0,R12/TrRail_act!R16*100)</f>
        <v>38.831870300286589</v>
      </c>
      <c r="S25" s="115">
        <f>IF(S12=0,0,S12/TrRail_act!S16*100)</f>
        <v>38.676644101260834</v>
      </c>
      <c r="T25" s="115">
        <f>IF(T12=0,0,T12/TrRail_act!T16*100)</f>
        <v>38.560631790862118</v>
      </c>
      <c r="U25" s="115">
        <f>IF(U12=0,0,U12/TrRail_act!U16*100)</f>
        <v>38.473850979723004</v>
      </c>
      <c r="V25" s="115">
        <f>IF(V12=0,0,V12/TrRail_act!V16*100)</f>
        <v>38.408893561418637</v>
      </c>
      <c r="W25" s="115">
        <f>IF(W12=0,0,W12/TrRail_act!W16*100)</f>
        <v>38.360247479386466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199.0926714011573</v>
      </c>
      <c r="C26" s="116">
        <f>IF(C13=0,0,C13/TrRail_act!C17*100)</f>
        <v>181.14138885232802</v>
      </c>
      <c r="D26" s="116">
        <f>IF(D13=0,0,D13/TrRail_act!D17*100)</f>
        <v>178.78359640984408</v>
      </c>
      <c r="E26" s="116">
        <f>IF(E13=0,0,E13/TrRail_act!E17*100)</f>
        <v>173.12484470467027</v>
      </c>
      <c r="F26" s="116">
        <f>IF(F13=0,0,F13/TrRail_act!F17*100)</f>
        <v>166.69290350676127</v>
      </c>
      <c r="G26" s="116">
        <f>IF(G13=0,0,G13/TrRail_act!G17*100)</f>
        <v>159.49034421768269</v>
      </c>
      <c r="H26" s="116">
        <f>IF(H13=0,0,H13/TrRail_act!H17*100)</f>
        <v>157.3946196995808</v>
      </c>
      <c r="I26" s="116">
        <f>IF(I13=0,0,I13/TrRail_act!I17*100)</f>
        <v>149.41785935228842</v>
      </c>
      <c r="J26" s="116">
        <f>IF(J13=0,0,J13/TrRail_act!J17*100)</f>
        <v>145.40126404789834</v>
      </c>
      <c r="K26" s="116">
        <f>IF(K13=0,0,K13/TrRail_act!K17*100)</f>
        <v>142.49519598769672</v>
      </c>
      <c r="L26" s="116">
        <f>IF(L13=0,0,L13/TrRail_act!L17*100)</f>
        <v>138.43251601047217</v>
      </c>
      <c r="M26" s="116">
        <f>IF(M13=0,0,M13/TrRail_act!M17*100)</f>
        <v>136.46068791050612</v>
      </c>
      <c r="N26" s="116">
        <f>IF(N13=0,0,N13/TrRail_act!N17*100)</f>
        <v>135.31878205755808</v>
      </c>
      <c r="O26" s="116">
        <f>IF(O13=0,0,O13/TrRail_act!O17*100)</f>
        <v>131.56301847392487</v>
      </c>
      <c r="P26" s="116">
        <f>IF(P13=0,0,P13/TrRail_act!P17*100)</f>
        <v>128.99155924232389</v>
      </c>
      <c r="Q26" s="116">
        <f>IF(Q13=0,0,Q13/TrRail_act!Q17*100)</f>
        <v>126.71880005595449</v>
      </c>
      <c r="R26" s="116">
        <f>IF(R13=0,0,R13/TrRail_act!R17*100)</f>
        <v>124.50918907495362</v>
      </c>
      <c r="S26" s="116">
        <f>IF(S13=0,0,S13/TrRail_act!S17*100)</f>
        <v>123.43919220973736</v>
      </c>
      <c r="T26" s="116">
        <f>IF(T13=0,0,T13/TrRail_act!T17*100)</f>
        <v>122.05542064192178</v>
      </c>
      <c r="U26" s="116">
        <f>IF(U13=0,0,U13/TrRail_act!U17*100)</f>
        <v>121.59890844754655</v>
      </c>
      <c r="V26" s="116">
        <f>IF(V13=0,0,V13/TrRail_act!V17*100)</f>
        <v>121.07446682224601</v>
      </c>
      <c r="W26" s="116">
        <f>IF(W13=0,0,W13/TrRail_act!W17*100)</f>
        <v>120.04465386168523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280.02192937267</v>
      </c>
      <c r="C27" s="87">
        <f>IF(C14=0,0,C14/TrRail_act!C18*100)</f>
        <v>271.44010863068939</v>
      </c>
      <c r="D27" s="87">
        <f>IF(D14=0,0,D14/TrRail_act!D18*100)</f>
        <v>263.53434049807987</v>
      </c>
      <c r="E27" s="87">
        <f>IF(E14=0,0,E14/TrRail_act!E18*100)</f>
        <v>257.9798317717615</v>
      </c>
      <c r="F27" s="87">
        <f>IF(F14=0,0,F14/TrRail_act!F18*100)</f>
        <v>250.97807555412953</v>
      </c>
      <c r="G27" s="87">
        <f>IF(G14=0,0,G14/TrRail_act!G18*100)</f>
        <v>245.66502134181945</v>
      </c>
      <c r="H27" s="87">
        <f>IF(H14=0,0,H14/TrRail_act!H18*100)</f>
        <v>239.50601292839897</v>
      </c>
      <c r="I27" s="87">
        <f>IF(I14=0,0,I14/TrRail_act!I18*100)</f>
        <v>235.70228789316076</v>
      </c>
      <c r="J27" s="87">
        <f>IF(J14=0,0,J14/TrRail_act!J18*100)</f>
        <v>230.35872714180363</v>
      </c>
      <c r="K27" s="87">
        <f>IF(K14=0,0,K14/TrRail_act!K18*100)</f>
        <v>225.33566212022023</v>
      </c>
      <c r="L27" s="87">
        <f>IF(L14=0,0,L14/TrRail_act!L18*100)</f>
        <v>220.92241407618513</v>
      </c>
      <c r="M27" s="87">
        <f>IF(M14=0,0,M14/TrRail_act!M18*100)</f>
        <v>215.58001093650026</v>
      </c>
      <c r="N27" s="87">
        <f>IF(N14=0,0,N14/TrRail_act!N18*100)</f>
        <v>211.08767253102945</v>
      </c>
      <c r="O27" s="87">
        <f>IF(O14=0,0,O14/TrRail_act!O18*100)</f>
        <v>206.51834700711663</v>
      </c>
      <c r="P27" s="87">
        <f>IF(P14=0,0,P14/TrRail_act!P18*100)</f>
        <v>199.97754910620759</v>
      </c>
      <c r="Q27" s="87">
        <f>IF(Q14=0,0,Q14/TrRail_act!Q18*100)</f>
        <v>192.32679458139776</v>
      </c>
      <c r="R27" s="87">
        <f>IF(R14=0,0,R14/TrRail_act!R18*100)</f>
        <v>186.7814349397855</v>
      </c>
      <c r="S27" s="87">
        <f>IF(S14=0,0,S14/TrRail_act!S18*100)</f>
        <v>182.72759703566405</v>
      </c>
      <c r="T27" s="87">
        <f>IF(T14=0,0,T14/TrRail_act!T18*100)</f>
        <v>179.74506263309365</v>
      </c>
      <c r="U27" s="87">
        <f>IF(U14=0,0,U14/TrRail_act!U18*100)</f>
        <v>177.54015295158774</v>
      </c>
      <c r="V27" s="87">
        <f>IF(V14=0,0,V14/TrRail_act!V18*100)</f>
        <v>175.90423872505684</v>
      </c>
      <c r="W27" s="87">
        <f>IF(W14=0,0,W14/TrRail_act!W18*100)</f>
        <v>174.68720289340126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194.93101028468774</v>
      </c>
      <c r="C28" s="87">
        <f>IF(C15=0,0,C15/TrRail_act!C19*100)</f>
        <v>175.74542006819973</v>
      </c>
      <c r="D28" s="87">
        <f>IF(D15=0,0,D15/TrRail_act!D19*100)</f>
        <v>171.60734748915758</v>
      </c>
      <c r="E28" s="87">
        <f>IF(E15=0,0,E15/TrRail_act!E19*100)</f>
        <v>167.47869263051675</v>
      </c>
      <c r="F28" s="87">
        <f>IF(F15=0,0,F15/TrRail_act!F19*100)</f>
        <v>163.80076615465123</v>
      </c>
      <c r="G28" s="87">
        <f>IF(G15=0,0,G15/TrRail_act!G19*100)</f>
        <v>156.95971905309301</v>
      </c>
      <c r="H28" s="87">
        <f>IF(H15=0,0,H15/TrRail_act!H19*100)</f>
        <v>154.01135042527184</v>
      </c>
      <c r="I28" s="87">
        <f>IF(I15=0,0,I15/TrRail_act!I19*100)</f>
        <v>146.18629951127949</v>
      </c>
      <c r="J28" s="87">
        <f>IF(J15=0,0,J15/TrRail_act!J19*100)</f>
        <v>140.60293430257715</v>
      </c>
      <c r="K28" s="87">
        <f>IF(K15=0,0,K15/TrRail_act!K19*100)</f>
        <v>138.30728232611568</v>
      </c>
      <c r="L28" s="87">
        <f>IF(L15=0,0,L15/TrRail_act!L19*100)</f>
        <v>134.68850870934159</v>
      </c>
      <c r="M28" s="87">
        <f>IF(M15=0,0,M15/TrRail_act!M19*100)</f>
        <v>133.96736264118306</v>
      </c>
      <c r="N28" s="87">
        <f>IF(N15=0,0,N15/TrRail_act!N19*100)</f>
        <v>132.19202141461867</v>
      </c>
      <c r="O28" s="87">
        <f>IF(O15=0,0,O15/TrRail_act!O19*100)</f>
        <v>129.38676194561657</v>
      </c>
      <c r="P28" s="87">
        <f>IF(P15=0,0,P15/TrRail_act!P19*100)</f>
        <v>126.6304197660473</v>
      </c>
      <c r="Q28" s="87">
        <f>IF(Q15=0,0,Q15/TrRail_act!Q19*100)</f>
        <v>124.73466725537455</v>
      </c>
      <c r="R28" s="87">
        <f>IF(R15=0,0,R15/TrRail_act!R19*100)</f>
        <v>122.71484363758336</v>
      </c>
      <c r="S28" s="87">
        <f>IF(S15=0,0,S15/TrRail_act!S19*100)</f>
        <v>121.22146895535757</v>
      </c>
      <c r="T28" s="87">
        <f>IF(T15=0,0,T15/TrRail_act!T19*100)</f>
        <v>120.11337649611482</v>
      </c>
      <c r="U28" s="87">
        <f>IF(U15=0,0,U15/TrRail_act!U19*100)</f>
        <v>119.28895947603209</v>
      </c>
      <c r="V28" s="87">
        <f>IF(V15=0,0,V15/TrRail_act!V19*100)</f>
        <v>118.67436224061943</v>
      </c>
      <c r="W28" s="87">
        <f>IF(W15=0,0,W15/TrRail_act!W19*100)</f>
        <v>118.21549323019936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242.89705109640286</v>
      </c>
      <c r="C29" s="117">
        <f>IF(C16=0,0,C16/TrRail_act!C20*100)</f>
        <v>236.33029845925745</v>
      </c>
      <c r="D29" s="117">
        <f>IF(D16=0,0,D16/TrRail_act!D20*100)</f>
        <v>231.09098132352764</v>
      </c>
      <c r="E29" s="117">
        <f>IF(E16=0,0,E16/TrRail_act!E20*100)</f>
        <v>227.75543681842811</v>
      </c>
      <c r="F29" s="117">
        <f>IF(F16=0,0,F16/TrRail_act!F20*100)</f>
        <v>223.8085421296343</v>
      </c>
      <c r="G29" s="117">
        <f>IF(G16=0,0,G16/TrRail_act!G20*100)</f>
        <v>219.96113643948348</v>
      </c>
      <c r="H29" s="117">
        <f>IF(H16=0,0,H16/TrRail_act!H20*100)</f>
        <v>217.04378031865934</v>
      </c>
      <c r="I29" s="117">
        <f>IF(I16=0,0,I16/TrRail_act!I20*100)</f>
        <v>212.95555514365913</v>
      </c>
      <c r="J29" s="117">
        <f>IF(J16=0,0,J16/TrRail_act!J20*100)</f>
        <v>210.94173376780532</v>
      </c>
      <c r="K29" s="117">
        <f>IF(K16=0,0,K16/TrRail_act!K20*100)</f>
        <v>207.70653675274525</v>
      </c>
      <c r="L29" s="117">
        <f>IF(L16=0,0,L16/TrRail_act!L20*100)</f>
        <v>205.18061216348556</v>
      </c>
      <c r="M29" s="117">
        <f>IF(M16=0,0,M16/TrRail_act!M20*100)</f>
        <v>203.21749174736229</v>
      </c>
      <c r="N29" s="117">
        <f>IF(N16=0,0,N16/TrRail_act!N20*100)</f>
        <v>200.88269112003232</v>
      </c>
      <c r="O29" s="117">
        <f>IF(O16=0,0,O16/TrRail_act!O20*100)</f>
        <v>198.48656451085515</v>
      </c>
      <c r="P29" s="117">
        <f>IF(P16=0,0,P16/TrRail_act!P20*100)</f>
        <v>196.21127919553604</v>
      </c>
      <c r="Q29" s="117">
        <f>IF(Q16=0,0,Q16/TrRail_act!Q20*100)</f>
        <v>194.23636793343573</v>
      </c>
      <c r="R29" s="117">
        <f>IF(R16=0,0,R16/TrRail_act!R20*100)</f>
        <v>191.80439915426874</v>
      </c>
      <c r="S29" s="117">
        <f>IF(S16=0,0,S16/TrRail_act!S20*100)</f>
        <v>189.05042409774836</v>
      </c>
      <c r="T29" s="117">
        <f>IF(T16=0,0,T16/TrRail_act!T20*100)</f>
        <v>186.07586898205653</v>
      </c>
      <c r="U29" s="117">
        <f>IF(U16=0,0,U16/TrRail_act!U20*100)</f>
        <v>183.87570706819528</v>
      </c>
      <c r="V29" s="117">
        <f>IF(V16=0,0,V16/TrRail_act!V20*100)</f>
        <v>182.24267468027341</v>
      </c>
      <c r="W29" s="117">
        <f>IF(W16=0,0,W16/TrRail_act!W20*100)</f>
        <v>181.02742520863916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286.9252233060065</v>
      </c>
      <c r="C30" s="29">
        <f>IF(C17=0,0,C17/TrRail_act!C21*100)</f>
        <v>257.29235055260875</v>
      </c>
      <c r="D30" s="29">
        <f>IF(D17=0,0,D17/TrRail_act!D21*100)</f>
        <v>254.5022292629809</v>
      </c>
      <c r="E30" s="29">
        <f>IF(E17=0,0,E17/TrRail_act!E21*100)</f>
        <v>247.94396294484105</v>
      </c>
      <c r="F30" s="29">
        <f>IF(F17=0,0,F17/TrRail_act!F21*100)</f>
        <v>242.85247931387283</v>
      </c>
      <c r="G30" s="29">
        <f>IF(G17=0,0,G17/TrRail_act!G21*100)</f>
        <v>234.77582895288279</v>
      </c>
      <c r="H30" s="29">
        <f>IF(H17=0,0,H17/TrRail_act!H21*100)</f>
        <v>230.83749315648657</v>
      </c>
      <c r="I30" s="29">
        <f>IF(I17=0,0,I17/TrRail_act!I21*100)</f>
        <v>216.54083651267041</v>
      </c>
      <c r="J30" s="29">
        <f>IF(J17=0,0,J17/TrRail_act!J21*100)</f>
        <v>194.33375551797729</v>
      </c>
      <c r="K30" s="29">
        <f>IF(K17=0,0,K17/TrRail_act!K21*100)</f>
        <v>191.07269368180144</v>
      </c>
      <c r="L30" s="29">
        <f>IF(L17=0,0,L17/TrRail_act!L21*100)</f>
        <v>189.37927281654027</v>
      </c>
      <c r="M30" s="29">
        <f>IF(M17=0,0,M17/TrRail_act!M21*100)</f>
        <v>188.8562256870041</v>
      </c>
      <c r="N30" s="29">
        <f>IF(N17=0,0,N17/TrRail_act!N21*100)</f>
        <v>183.89568739104516</v>
      </c>
      <c r="O30" s="29">
        <f>IF(O17=0,0,O17/TrRail_act!O21*100)</f>
        <v>182.63603276018461</v>
      </c>
      <c r="P30" s="29">
        <f>IF(P17=0,0,P17/TrRail_act!P21*100)</f>
        <v>175.58715380576868</v>
      </c>
      <c r="Q30" s="29">
        <f>IF(Q17=0,0,Q17/TrRail_act!Q21*100)</f>
        <v>175.73978600019623</v>
      </c>
      <c r="R30" s="29">
        <f>IF(R17=0,0,R17/TrRail_act!R21*100)</f>
        <v>173.51751224705703</v>
      </c>
      <c r="S30" s="29">
        <f>IF(S17=0,0,S17/TrRail_act!S21*100)</f>
        <v>168.35516989197041</v>
      </c>
      <c r="T30" s="29">
        <f>IF(T17=0,0,T17/TrRail_act!T21*100)</f>
        <v>168.45871931860992</v>
      </c>
      <c r="U30" s="29">
        <f>IF(U17=0,0,U17/TrRail_act!U21*100)</f>
        <v>165.74357235310399</v>
      </c>
      <c r="V30" s="29">
        <f>IF(V17=0,0,V17/TrRail_act!V21*100)</f>
        <v>164.89111961948601</v>
      </c>
      <c r="W30" s="29">
        <f>IF(W17=0,0,W17/TrRail_act!W21*100)</f>
        <v>159.33117943320767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515.02312057077245</v>
      </c>
      <c r="C31" s="87">
        <f>IF(C18=0,0,C18/TrRail_act!C22*100)</f>
        <v>509.84271031258766</v>
      </c>
      <c r="D31" s="87">
        <f>IF(D18=0,0,D18/TrRail_act!D22*100)</f>
        <v>500.6690114286946</v>
      </c>
      <c r="E31" s="87">
        <f>IF(E18=0,0,E18/TrRail_act!E22*100)</f>
        <v>492.5111349144654</v>
      </c>
      <c r="F31" s="87">
        <f>IF(F18=0,0,F18/TrRail_act!F22*100)</f>
        <v>485.07014450303154</v>
      </c>
      <c r="G31" s="87">
        <f>IF(G18=0,0,G18/TrRail_act!G22*100)</f>
        <v>480.08560300696274</v>
      </c>
      <c r="H31" s="87">
        <f>IF(H18=0,0,H18/TrRail_act!H22*100)</f>
        <v>476.68155256300963</v>
      </c>
      <c r="I31" s="87">
        <f>IF(I18=0,0,I18/TrRail_act!I22*100)</f>
        <v>472.92943224581722</v>
      </c>
      <c r="J31" s="87">
        <f>IF(J18=0,0,J18/TrRail_act!J22*100)</f>
        <v>469.89239287037947</v>
      </c>
      <c r="K31" s="87">
        <f>IF(K18=0,0,K18/TrRail_act!K22*100)</f>
        <v>463.60840370650578</v>
      </c>
      <c r="L31" s="87">
        <f>IF(L18=0,0,L18/TrRail_act!L22*100)</f>
        <v>452.50101557995828</v>
      </c>
      <c r="M31" s="87">
        <f>IF(M18=0,0,M18/TrRail_act!M22*100)</f>
        <v>442.2642899946336</v>
      </c>
      <c r="N31" s="87">
        <f>IF(N18=0,0,N18/TrRail_act!N22*100)</f>
        <v>438.5213420878892</v>
      </c>
      <c r="O31" s="87">
        <f>IF(O18=0,0,O18/TrRail_act!O22*100)</f>
        <v>435.83700667027944</v>
      </c>
      <c r="P31" s="87">
        <f>IF(P18=0,0,P18/TrRail_act!P22*100)</f>
        <v>434.31431852994871</v>
      </c>
      <c r="Q31" s="87">
        <f>IF(Q18=0,0,Q18/TrRail_act!Q22*100)</f>
        <v>431.39202812945643</v>
      </c>
      <c r="R31" s="87">
        <f>IF(R18=0,0,R18/TrRail_act!R22*100)</f>
        <v>427.06715510379161</v>
      </c>
      <c r="S31" s="87">
        <f>IF(S18=0,0,S18/TrRail_act!S22*100)</f>
        <v>421.732718329264</v>
      </c>
      <c r="T31" s="87">
        <f>IF(T18=0,0,T18/TrRail_act!T22*100)</f>
        <v>415.68678518627058</v>
      </c>
      <c r="U31" s="87">
        <f>IF(U18=0,0,U18/TrRail_act!U22*100)</f>
        <v>411.20928347161401</v>
      </c>
      <c r="V31" s="87">
        <f>IF(V18=0,0,V18/TrRail_act!V22*100)</f>
        <v>407.8828357571511</v>
      </c>
      <c r="W31" s="87">
        <f>IF(W18=0,0,W18/TrRail_act!W22*100)</f>
        <v>405.4056709750343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269.47486451174723</v>
      </c>
      <c r="C32" s="88">
        <f>IF(C19=0,0,C19/TrRail_act!C23*100)</f>
        <v>238.0934348435745</v>
      </c>
      <c r="D32" s="88">
        <f>IF(D19=0,0,D19/TrRail_act!D23*100)</f>
        <v>237.23196553654566</v>
      </c>
      <c r="E32" s="88">
        <f>IF(E19=0,0,E19/TrRail_act!E23*100)</f>
        <v>229.18583473683483</v>
      </c>
      <c r="F32" s="88">
        <f>IF(F19=0,0,F19/TrRail_act!F23*100)</f>
        <v>224.15278464411904</v>
      </c>
      <c r="G32" s="88">
        <f>IF(G19=0,0,G19/TrRail_act!G23*100)</f>
        <v>214.79116934954789</v>
      </c>
      <c r="H32" s="88">
        <f>IF(H19=0,0,H19/TrRail_act!H23*100)</f>
        <v>212.90705736613859</v>
      </c>
      <c r="I32" s="88">
        <f>IF(I19=0,0,I19/TrRail_act!I23*100)</f>
        <v>200.04830796294812</v>
      </c>
      <c r="J32" s="88">
        <f>IF(J19=0,0,J19/TrRail_act!J23*100)</f>
        <v>173.16698812611554</v>
      </c>
      <c r="K32" s="88">
        <f>IF(K19=0,0,K19/TrRail_act!K23*100)</f>
        <v>171.90240552972168</v>
      </c>
      <c r="L32" s="88">
        <f>IF(L19=0,0,L19/TrRail_act!L23*100)</f>
        <v>170.53368276139429</v>
      </c>
      <c r="M32" s="88">
        <f>IF(M19=0,0,M19/TrRail_act!M23*100)</f>
        <v>169.62061529936335</v>
      </c>
      <c r="N32" s="88">
        <f>IF(N19=0,0,N19/TrRail_act!N23*100)</f>
        <v>167.37279564180446</v>
      </c>
      <c r="O32" s="88">
        <f>IF(O19=0,0,O19/TrRail_act!O23*100)</f>
        <v>165.36644238422721</v>
      </c>
      <c r="P32" s="88">
        <f>IF(P19=0,0,P19/TrRail_act!P23*100)</f>
        <v>160.33106342373188</v>
      </c>
      <c r="Q32" s="88">
        <f>IF(Q19=0,0,Q19/TrRail_act!Q23*100)</f>
        <v>159.42070004558497</v>
      </c>
      <c r="R32" s="88">
        <f>IF(R19=0,0,R19/TrRail_act!R23*100)</f>
        <v>157.94761471137349</v>
      </c>
      <c r="S32" s="88">
        <f>IF(S19=0,0,S19/TrRail_act!S23*100)</f>
        <v>156.06748155973696</v>
      </c>
      <c r="T32" s="88">
        <f>IF(T19=0,0,T19/TrRail_act!T23*100)</f>
        <v>153.89872291499097</v>
      </c>
      <c r="U32" s="88">
        <f>IF(U19=0,0,U19/TrRail_act!U23*100)</f>
        <v>152.29195479658486</v>
      </c>
      <c r="V32" s="88">
        <f>IF(V19=0,0,V19/TrRail_act!V23*100)</f>
        <v>151.0978971360222</v>
      </c>
      <c r="W32" s="88">
        <f>IF(W19=0,0,W19/TrRail_act!W23*100)</f>
        <v>150.20850179786558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17.566091066933904</v>
      </c>
      <c r="C35" s="29">
        <f>IF(C11=0,0,C11/TrRail_act!C4*1000)</f>
        <v>15.899645991962212</v>
      </c>
      <c r="D35" s="29">
        <f>IF(D11=0,0,D11/TrRail_act!D4*1000)</f>
        <v>15.962306057840797</v>
      </c>
      <c r="E35" s="29">
        <f>IF(E11=0,0,E11/TrRail_act!E4*1000)</f>
        <v>15.802124864318593</v>
      </c>
      <c r="F35" s="29">
        <f>IF(F11=0,0,F11/TrRail_act!F4*1000)</f>
        <v>16.197920752861915</v>
      </c>
      <c r="G35" s="29">
        <f>IF(G11=0,0,G11/TrRail_act!G4*1000)</f>
        <v>14.594220036991782</v>
      </c>
      <c r="H35" s="29">
        <f>IF(H11=0,0,H11/TrRail_act!H4*1000)</f>
        <v>13.884117365577248</v>
      </c>
      <c r="I35" s="29">
        <f>IF(I11=0,0,I11/TrRail_act!I4*1000)</f>
        <v>13.069112097003517</v>
      </c>
      <c r="J35" s="29">
        <f>IF(J11=0,0,J11/TrRail_act!J4*1000)</f>
        <v>10.824811603641807</v>
      </c>
      <c r="K35" s="29">
        <f>IF(K11=0,0,K11/TrRail_act!K4*1000)</f>
        <v>11.538109432012471</v>
      </c>
      <c r="L35" s="29">
        <f>IF(L11=0,0,L11/TrRail_act!L4*1000)</f>
        <v>11.157131156467019</v>
      </c>
      <c r="M35" s="29">
        <f>IF(M11=0,0,M11/TrRail_act!M4*1000)</f>
        <v>11.996075862103556</v>
      </c>
      <c r="N35" s="29">
        <f>IF(N11=0,0,N11/TrRail_act!N4*1000)</f>
        <v>12.233741865888982</v>
      </c>
      <c r="O35" s="29">
        <f>IF(O11=0,0,O11/TrRail_act!O4*1000)</f>
        <v>12.619550101854436</v>
      </c>
      <c r="P35" s="29">
        <f>IF(P11=0,0,P11/TrRail_act!P4*1000)</f>
        <v>12.021694604129339</v>
      </c>
      <c r="Q35" s="29">
        <f>IF(Q11=0,0,Q11/TrRail_act!Q4*1000)</f>
        <v>11.535932512464559</v>
      </c>
      <c r="R35" s="29">
        <f>IF(R11=0,0,R11/TrRail_act!R4*1000)</f>
        <v>11.805342687200756</v>
      </c>
      <c r="S35" s="29">
        <f>IF(S11=0,0,S11/TrRail_act!S4*1000)</f>
        <v>10.284565243269171</v>
      </c>
      <c r="T35" s="29">
        <f>IF(T11=0,0,T11/TrRail_act!T4*1000)</f>
        <v>10.881674405562658</v>
      </c>
      <c r="U35" s="29">
        <f>IF(U11=0,0,U11/TrRail_act!U4*1000)</f>
        <v>9.9657667092264433</v>
      </c>
      <c r="V35" s="29">
        <f>IF(V11=0,0,V11/TrRail_act!V4*1000)</f>
        <v>15.877132266976769</v>
      </c>
      <c r="W35" s="29">
        <f>IF(W11=0,0,W11/TrRail_act!W4*1000)</f>
        <v>18.136921978701032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6.6393206968060063</v>
      </c>
      <c r="C36" s="115">
        <f>IF(C12=0,0,C12/TrRail_act!C5*1000)</f>
        <v>6.5599387844277928</v>
      </c>
      <c r="D36" s="115">
        <f>IF(D12=0,0,D12/TrRail_act!D5*1000)</f>
        <v>6.0518791797527962</v>
      </c>
      <c r="E36" s="115">
        <f>IF(E12=0,0,E12/TrRail_act!E5*1000)</f>
        <v>5.9960681375752092</v>
      </c>
      <c r="F36" s="115">
        <f>IF(F12=0,0,F12/TrRail_act!F5*1000)</f>
        <v>5.887393045347352</v>
      </c>
      <c r="G36" s="115">
        <f>IF(G12=0,0,G12/TrRail_act!G5*1000)</f>
        <v>5.7105016311549237</v>
      </c>
      <c r="H36" s="115">
        <f>IF(H12=0,0,H12/TrRail_act!H5*1000)</f>
        <v>5.644324828390217</v>
      </c>
      <c r="I36" s="115">
        <f>IF(I12=0,0,I12/TrRail_act!I5*1000)</f>
        <v>5.6659960268940521</v>
      </c>
      <c r="J36" s="115">
        <f>IF(J12=0,0,J12/TrRail_act!J5*1000)</f>
        <v>5.5053771389768746</v>
      </c>
      <c r="K36" s="115">
        <f>IF(K12=0,0,K12/TrRail_act!K5*1000)</f>
        <v>5.4733199233713599</v>
      </c>
      <c r="L36" s="115">
        <f>IF(L12=0,0,L12/TrRail_act!L5*1000)</f>
        <v>5.428717881438514</v>
      </c>
      <c r="M36" s="115">
        <f>IF(M12=0,0,M12/TrRail_act!M5*1000)</f>
        <v>5.4046767766867827</v>
      </c>
      <c r="N36" s="115">
        <f>IF(N12=0,0,N12/TrRail_act!N5*1000)</f>
        <v>5.377691167006498</v>
      </c>
      <c r="O36" s="115">
        <f>IF(O12=0,0,O12/TrRail_act!O5*1000)</f>
        <v>5.33872043255242</v>
      </c>
      <c r="P36" s="115">
        <f>IF(P12=0,0,P12/TrRail_act!P5*1000)</f>
        <v>5.2638596337517836</v>
      </c>
      <c r="Q36" s="115">
        <f>IF(Q12=0,0,Q12/TrRail_act!Q5*1000)</f>
        <v>5.2305593423803689</v>
      </c>
      <c r="R36" s="115">
        <f>IF(R12=0,0,R12/TrRail_act!R5*1000)</f>
        <v>5.1943471342337988</v>
      </c>
      <c r="S36" s="115">
        <f>IF(S12=0,0,S12/TrRail_act!S5*1000)</f>
        <v>5.1415516608970444</v>
      </c>
      <c r="T36" s="115">
        <f>IF(T12=0,0,T12/TrRail_act!T5*1000)</f>
        <v>4.85864622452329</v>
      </c>
      <c r="U36" s="115">
        <f>IF(U12=0,0,U12/TrRail_act!U5*1000)</f>
        <v>4.8354536527711041</v>
      </c>
      <c r="V36" s="115">
        <f>IF(V12=0,0,V12/TrRail_act!V5*1000)</f>
        <v>7.696329355425469</v>
      </c>
      <c r="W36" s="115">
        <f>IF(W12=0,0,W12/TrRail_act!W5*1000)</f>
        <v>8.1834120063510731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22.015515939275893</v>
      </c>
      <c r="C37" s="116">
        <f>IF(C13=0,0,C13/TrRail_act!C6*1000)</f>
        <v>19.31233332707642</v>
      </c>
      <c r="D37" s="116">
        <f>IF(D13=0,0,D13/TrRail_act!D6*1000)</f>
        <v>19.744832847234804</v>
      </c>
      <c r="E37" s="116">
        <f>IF(E13=0,0,E13/TrRail_act!E6*1000)</f>
        <v>19.601782310821992</v>
      </c>
      <c r="F37" s="116">
        <f>IF(F13=0,0,F13/TrRail_act!F6*1000)</f>
        <v>20.589663511603806</v>
      </c>
      <c r="G37" s="116">
        <f>IF(G13=0,0,G13/TrRail_act!G6*1000)</f>
        <v>17.774434861439659</v>
      </c>
      <c r="H37" s="116">
        <f>IF(H13=0,0,H13/TrRail_act!H6*1000)</f>
        <v>17.175792960236979</v>
      </c>
      <c r="I37" s="116">
        <f>IF(I13=0,0,I13/TrRail_act!I6*1000)</f>
        <v>16.301315995888938</v>
      </c>
      <c r="J37" s="116">
        <f>IF(J13=0,0,J13/TrRail_act!J6*1000)</f>
        <v>12.713336567866939</v>
      </c>
      <c r="K37" s="116">
        <f>IF(K13=0,0,K13/TrRail_act!K6*1000)</f>
        <v>13.868658248188948</v>
      </c>
      <c r="L37" s="116">
        <f>IF(L13=0,0,L13/TrRail_act!L6*1000)</f>
        <v>13.290775371373892</v>
      </c>
      <c r="M37" s="116">
        <f>IF(M13=0,0,M13/TrRail_act!M6*1000)</f>
        <v>14.390825218267794</v>
      </c>
      <c r="N37" s="116">
        <f>IF(N13=0,0,N13/TrRail_act!N6*1000)</f>
        <v>14.88043700471804</v>
      </c>
      <c r="O37" s="116">
        <f>IF(O13=0,0,O13/TrRail_act!O6*1000)</f>
        <v>15.557588850757845</v>
      </c>
      <c r="P37" s="116">
        <f>IF(P13=0,0,P13/TrRail_act!P6*1000)</f>
        <v>14.424806007922673</v>
      </c>
      <c r="Q37" s="116">
        <f>IF(Q13=0,0,Q13/TrRail_act!Q6*1000)</f>
        <v>13.939045145357348</v>
      </c>
      <c r="R37" s="116">
        <f>IF(R13=0,0,R13/TrRail_act!R6*1000)</f>
        <v>14.52511064961619</v>
      </c>
      <c r="S37" s="116">
        <f>IF(S13=0,0,S13/TrRail_act!S6*1000)</f>
        <v>11.899122828464776</v>
      </c>
      <c r="T37" s="116">
        <f>IF(T13=0,0,T13/TrRail_act!T6*1000)</f>
        <v>13.035837745098389</v>
      </c>
      <c r="U37" s="116">
        <f>IF(U13=0,0,U13/TrRail_act!U6*1000)</f>
        <v>11.49513183850453</v>
      </c>
      <c r="V37" s="116">
        <f>IF(V13=0,0,V13/TrRail_act!V6*1000)</f>
        <v>17.976456662506774</v>
      </c>
      <c r="W37" s="116">
        <f>IF(W13=0,0,W13/TrRail_act!W6*1000)</f>
        <v>21.645523919880699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24.385366618893084</v>
      </c>
      <c r="C38" s="87">
        <f>IF(C14=0,0,C14/TrRail_act!C7*1000)</f>
        <v>23.77020542151293</v>
      </c>
      <c r="D38" s="87">
        <f>IF(D14=0,0,D14/TrRail_act!D7*1000)</f>
        <v>24.004248214623018</v>
      </c>
      <c r="E38" s="87">
        <f>IF(E14=0,0,E14/TrRail_act!E7*1000)</f>
        <v>25.071865761370763</v>
      </c>
      <c r="F38" s="87">
        <f>IF(F14=0,0,F14/TrRail_act!F7*1000)</f>
        <v>24.368633143388241</v>
      </c>
      <c r="G38" s="87">
        <f>IF(G14=0,0,G14/TrRail_act!G7*1000)</f>
        <v>22.970162840777373</v>
      </c>
      <c r="H38" s="87">
        <f>IF(H14=0,0,H14/TrRail_act!H7*1000)</f>
        <v>21.933538176493652</v>
      </c>
      <c r="I38" s="87">
        <f>IF(I14=0,0,I14/TrRail_act!I7*1000)</f>
        <v>21.434235963003179</v>
      </c>
      <c r="J38" s="87">
        <f>IF(J14=0,0,J14/TrRail_act!J7*1000)</f>
        <v>21.063595698365592</v>
      </c>
      <c r="K38" s="87">
        <f>IF(K14=0,0,K14/TrRail_act!K7*1000)</f>
        <v>20.682636509523089</v>
      </c>
      <c r="L38" s="87">
        <f>IF(L14=0,0,L14/TrRail_act!L7*1000)</f>
        <v>19.547328805584232</v>
      </c>
      <c r="M38" s="87">
        <f>IF(M14=0,0,M14/TrRail_act!M7*1000)</f>
        <v>20.954952996710659</v>
      </c>
      <c r="N38" s="87">
        <f>IF(N14=0,0,N14/TrRail_act!N7*1000)</f>
        <v>20.637285731373282</v>
      </c>
      <c r="O38" s="87">
        <f>IF(O14=0,0,O14/TrRail_act!O7*1000)</f>
        <v>19.96682683280476</v>
      </c>
      <c r="P38" s="87">
        <f>IF(P14=0,0,P14/TrRail_act!P7*1000)</f>
        <v>19.295547328249082</v>
      </c>
      <c r="Q38" s="87">
        <f>IF(Q14=0,0,Q14/TrRail_act!Q7*1000)</f>
        <v>18.582485789225089</v>
      </c>
      <c r="R38" s="87">
        <f>IF(R14=0,0,R14/TrRail_act!R7*1000)</f>
        <v>18.664626592144849</v>
      </c>
      <c r="S38" s="87">
        <f>IF(S14=0,0,S14/TrRail_act!S7*1000)</f>
        <v>17.96295783281305</v>
      </c>
      <c r="T38" s="87">
        <f>IF(T14=0,0,T14/TrRail_act!T7*1000)</f>
        <v>17.480405288768335</v>
      </c>
      <c r="U38" s="87">
        <f>IF(U14=0,0,U14/TrRail_act!U7*1000)</f>
        <v>17.302176581604058</v>
      </c>
      <c r="V38" s="87">
        <f>IF(V14=0,0,V14/TrRail_act!V7*1000)</f>
        <v>26.639543279400655</v>
      </c>
      <c r="W38" s="87">
        <f>IF(W14=0,0,W14/TrRail_act!W7*1000)</f>
        <v>27.298830368271087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21.858593097861828</v>
      </c>
      <c r="C39" s="87">
        <f>IF(C15=0,0,C15/TrRail_act!C8*1000)</f>
        <v>18.983743312680019</v>
      </c>
      <c r="D39" s="87">
        <f>IF(D15=0,0,D15/TrRail_act!D8*1000)</f>
        <v>19.29952152458889</v>
      </c>
      <c r="E39" s="87">
        <f>IF(E15=0,0,E15/TrRail_act!E8*1000)</f>
        <v>19.173036789417193</v>
      </c>
      <c r="F39" s="87">
        <f>IF(F15=0,0,F15/TrRail_act!F8*1000)</f>
        <v>20.423148831608152</v>
      </c>
      <c r="G39" s="87">
        <f>IF(G15=0,0,G15/TrRail_act!G8*1000)</f>
        <v>17.591545019325881</v>
      </c>
      <c r="H39" s="87">
        <f>IF(H15=0,0,H15/TrRail_act!H8*1000)</f>
        <v>16.940336102064315</v>
      </c>
      <c r="I39" s="87">
        <f>IF(I15=0,0,I15/TrRail_act!I8*1000)</f>
        <v>16.068945616529774</v>
      </c>
      <c r="J39" s="87">
        <f>IF(J15=0,0,J15/TrRail_act!J8*1000)</f>
        <v>12.263474060275621</v>
      </c>
      <c r="K39" s="87">
        <f>IF(K15=0,0,K15/TrRail_act!K8*1000)</f>
        <v>13.502269864769936</v>
      </c>
      <c r="L39" s="87">
        <f>IF(L15=0,0,L15/TrRail_act!L8*1000)</f>
        <v>12.981449612134337</v>
      </c>
      <c r="M39" s="87">
        <f>IF(M15=0,0,M15/TrRail_act!M8*1000)</f>
        <v>14.165796884856361</v>
      </c>
      <c r="N39" s="87">
        <f>IF(N15=0,0,N15/TrRail_act!N8*1000)</f>
        <v>14.611841627591545</v>
      </c>
      <c r="O39" s="87">
        <f>IF(O15=0,0,O15/TrRail_act!O8*1000)</f>
        <v>15.399990627927155</v>
      </c>
      <c r="P39" s="87">
        <f>IF(P15=0,0,P15/TrRail_act!P8*1000)</f>
        <v>14.236041902020364</v>
      </c>
      <c r="Q39" s="87">
        <f>IF(Q15=0,0,Q15/TrRail_act!Q8*1000)</f>
        <v>13.77849727890136</v>
      </c>
      <c r="R39" s="87">
        <f>IF(R15=0,0,R15/TrRail_act!R8*1000)</f>
        <v>14.385186114134234</v>
      </c>
      <c r="S39" s="87">
        <f>IF(S15=0,0,S15/TrRail_act!S8*1000)</f>
        <v>11.676864546497145</v>
      </c>
      <c r="T39" s="87">
        <f>IF(T15=0,0,T15/TrRail_act!T8*1000)</f>
        <v>12.870977330963314</v>
      </c>
      <c r="U39" s="87">
        <f>IF(U15=0,0,U15/TrRail_act!U8*1000)</f>
        <v>11.26282165851946</v>
      </c>
      <c r="V39" s="87">
        <f>IF(V15=0,0,V15/TrRail_act!V8*1000)</f>
        <v>17.60499423373648</v>
      </c>
      <c r="W39" s="87">
        <f>IF(W15=0,0,W15/TrRail_act!W8*1000)</f>
        <v>21.426037359245601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14.678070727198934</v>
      </c>
      <c r="C40" s="117">
        <f>IF(C16=0,0,C16/TrRail_act!C9*1000)</f>
        <v>14.281247220198908</v>
      </c>
      <c r="D40" s="117">
        <f>IF(D16=0,0,D16/TrRail_act!D9*1000)</f>
        <v>13.964639558091285</v>
      </c>
      <c r="E40" s="117">
        <f>IF(E16=0,0,E16/TrRail_act!E9*1000)</f>
        <v>13.763075323620033</v>
      </c>
      <c r="F40" s="117">
        <f>IF(F16=0,0,F16/TrRail_act!F9*1000)</f>
        <v>13.524567696074037</v>
      </c>
      <c r="G40" s="117">
        <f>IF(G16=0,0,G16/TrRail_act!G9*1000)</f>
        <v>13.292072107587673</v>
      </c>
      <c r="H40" s="117">
        <f>IF(H16=0,0,H16/TrRail_act!H9*1000)</f>
        <v>11.54080181292791</v>
      </c>
      <c r="I40" s="117">
        <f>IF(I16=0,0,I16/TrRail_act!I9*1000)</f>
        <v>10.229540720954871</v>
      </c>
      <c r="J40" s="117">
        <f>IF(J16=0,0,J16/TrRail_act!J9*1000)</f>
        <v>9.6587625421755785</v>
      </c>
      <c r="K40" s="117">
        <f>IF(K16=0,0,K16/TrRail_act!K9*1000)</f>
        <v>9.6702715471769931</v>
      </c>
      <c r="L40" s="117">
        <f>IF(L16=0,0,L16/TrRail_act!L9*1000)</f>
        <v>9.6358429397859489</v>
      </c>
      <c r="M40" s="117">
        <f>IF(M16=0,0,M16/TrRail_act!M9*1000)</f>
        <v>10.207599514724246</v>
      </c>
      <c r="N40" s="117">
        <f>IF(N16=0,0,N16/TrRail_act!N9*1000)</f>
        <v>9.8124516693638579</v>
      </c>
      <c r="O40" s="117">
        <f>IF(O16=0,0,O16/TrRail_act!O9*1000)</f>
        <v>10.005542040809065</v>
      </c>
      <c r="P40" s="117">
        <f>IF(P16=0,0,P16/TrRail_act!P9*1000)</f>
        <v>10.515660254283684</v>
      </c>
      <c r="Q40" s="117">
        <f>IF(Q16=0,0,Q16/TrRail_act!Q9*1000)</f>
        <v>9.524220121550341</v>
      </c>
      <c r="R40" s="117">
        <f>IF(R16=0,0,R16/TrRail_act!R9*1000)</f>
        <v>9.4772641926268957</v>
      </c>
      <c r="S40" s="117">
        <f>IF(S16=0,0,S16/TrRail_act!S9*1000)</f>
        <v>9.7043086731641104</v>
      </c>
      <c r="T40" s="117">
        <f>IF(T16=0,0,T16/TrRail_act!T9*1000)</f>
        <v>9.4316871265386926</v>
      </c>
      <c r="U40" s="117">
        <f>IF(U16=0,0,U16/TrRail_act!U9*1000)</f>
        <v>9.320166815426953</v>
      </c>
      <c r="V40" s="117">
        <f>IF(V16=0,0,V16/TrRail_act!V9*1000)</f>
        <v>16.165437365195981</v>
      </c>
      <c r="W40" s="117">
        <f>IF(W16=0,0,W16/TrRail_act!W9*1000)</f>
        <v>15.292991735317504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6.1448118003710368</v>
      </c>
      <c r="C41" s="29">
        <f>IF(C17=0,0,C17/TrRail_act!C10*1000)</f>
        <v>5.2888427474356856</v>
      </c>
      <c r="D41" s="29">
        <f>IF(D17=0,0,D17/TrRail_act!D10*1000)</f>
        <v>5.2500523777187826</v>
      </c>
      <c r="E41" s="29">
        <f>IF(E17=0,0,E17/TrRail_act!E10*1000)</f>
        <v>4.8881800678809242</v>
      </c>
      <c r="F41" s="29">
        <f>IF(F17=0,0,F17/TrRail_act!F10*1000)</f>
        <v>5.0841600763099777</v>
      </c>
      <c r="G41" s="29">
        <f>IF(G17=0,0,G17/TrRail_act!G10*1000)</f>
        <v>4.8001537997282124</v>
      </c>
      <c r="H41" s="29">
        <f>IF(H17=0,0,H17/TrRail_act!H10*1000)</f>
        <v>4.8167193740248182</v>
      </c>
      <c r="I41" s="29">
        <f>IF(I17=0,0,I17/TrRail_act!I10*1000)</f>
        <v>4.7515698591044631</v>
      </c>
      <c r="J41" s="29">
        <f>IF(J17=0,0,J17/TrRail_act!J10*1000)</f>
        <v>3.5764524027036906</v>
      </c>
      <c r="K41" s="29">
        <f>IF(K17=0,0,K17/TrRail_act!K10*1000)</f>
        <v>3.6120197998677384</v>
      </c>
      <c r="L41" s="29">
        <f>IF(L17=0,0,L17/TrRail_act!L10*1000)</f>
        <v>3.2650880266794875</v>
      </c>
      <c r="M41" s="29">
        <f>IF(M17=0,0,M17/TrRail_act!M10*1000)</f>
        <v>3.5818565734683636</v>
      </c>
      <c r="N41" s="29">
        <f>IF(N17=0,0,N17/TrRail_act!N10*1000)</f>
        <v>3.4879930430762802</v>
      </c>
      <c r="O41" s="29">
        <f>IF(O17=0,0,O17/TrRail_act!O10*1000)</f>
        <v>3.4974261245330269</v>
      </c>
      <c r="P41" s="29">
        <f>IF(P17=0,0,P17/TrRail_act!P10*1000)</f>
        <v>3.0587554285599428</v>
      </c>
      <c r="Q41" s="29">
        <f>IF(Q17=0,0,Q17/TrRail_act!Q10*1000)</f>
        <v>3.0104808069562541</v>
      </c>
      <c r="R41" s="29">
        <f>IF(R17=0,0,R17/TrRail_act!R10*1000)</f>
        <v>2.8790440660972703</v>
      </c>
      <c r="S41" s="29">
        <f>IF(S17=0,0,S17/TrRail_act!S10*1000)</f>
        <v>2.8355776865935258</v>
      </c>
      <c r="T41" s="29">
        <f>IF(T17=0,0,T17/TrRail_act!T10*1000)</f>
        <v>2.5581573471699186</v>
      </c>
      <c r="U41" s="29">
        <f>IF(U17=0,0,U17/TrRail_act!U10*1000)</f>
        <v>2.4804215720586238</v>
      </c>
      <c r="V41" s="29">
        <f>IF(V17=0,0,V17/TrRail_act!V10*1000)</f>
        <v>2.3783693358000568</v>
      </c>
      <c r="W41" s="29">
        <f>IF(W17=0,0,W17/TrRail_act!W10*1000)</f>
        <v>2.4294550115194946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8.4647611050991483</v>
      </c>
      <c r="C42" s="87">
        <f>IF(C18=0,0,C18/TrRail_act!C11*1000)</f>
        <v>8.510363685889466</v>
      </c>
      <c r="D42" s="87">
        <f>IF(D18=0,0,D18/TrRail_act!D11*1000)</f>
        <v>8.1286845531630689</v>
      </c>
      <c r="E42" s="87">
        <f>IF(E18=0,0,E18/TrRail_act!E11*1000)</f>
        <v>7.9487057124868148</v>
      </c>
      <c r="F42" s="87">
        <f>IF(F18=0,0,F18/TrRail_act!F11*1000)</f>
        <v>8.2311010929933452</v>
      </c>
      <c r="G42" s="87">
        <f>IF(G18=0,0,G18/TrRail_act!G11*1000)</f>
        <v>7.9617066422584744</v>
      </c>
      <c r="H42" s="87">
        <f>IF(H18=0,0,H18/TrRail_act!H11*1000)</f>
        <v>7.756378703332115</v>
      </c>
      <c r="I42" s="87">
        <f>IF(I18=0,0,I18/TrRail_act!I11*1000)</f>
        <v>7.3900471024397527</v>
      </c>
      <c r="J42" s="87">
        <f>IF(J18=0,0,J18/TrRail_act!J11*1000)</f>
        <v>6.7954614443100496</v>
      </c>
      <c r="K42" s="87">
        <f>IF(K18=0,0,K18/TrRail_act!K11*1000)</f>
        <v>6.6656593889174909</v>
      </c>
      <c r="L42" s="87">
        <f>IF(L18=0,0,L18/TrRail_act!L11*1000)</f>
        <v>6.1818212175553056</v>
      </c>
      <c r="M42" s="87">
        <f>IF(M18=0,0,M18/TrRail_act!M11*1000)</f>
        <v>6.7868631340139904</v>
      </c>
      <c r="N42" s="87">
        <f>IF(N18=0,0,N18/TrRail_act!N11*1000)</f>
        <v>6.5939064991726779</v>
      </c>
      <c r="O42" s="87">
        <f>IF(O18=0,0,O18/TrRail_act!O11*1000)</f>
        <v>6.6797922442544406</v>
      </c>
      <c r="P42" s="87">
        <f>IF(P18=0,0,P18/TrRail_act!P11*1000)</f>
        <v>6.3109808829587619</v>
      </c>
      <c r="Q42" s="87">
        <f>IF(Q18=0,0,Q18/TrRail_act!Q11*1000)</f>
        <v>6.4412455207129797</v>
      </c>
      <c r="R42" s="87">
        <f>IF(R18=0,0,R18/TrRail_act!R11*1000)</f>
        <v>6.3611664997884931</v>
      </c>
      <c r="S42" s="87">
        <f>IF(S18=0,0,S18/TrRail_act!S11*1000)</f>
        <v>5.6042201065882891</v>
      </c>
      <c r="T42" s="87">
        <f>IF(T18=0,0,T18/TrRail_act!T11*1000)</f>
        <v>5.6598681657456513</v>
      </c>
      <c r="U42" s="87">
        <f>IF(U18=0,0,U18/TrRail_act!U11*1000)</f>
        <v>5.2314183846892819</v>
      </c>
      <c r="V42" s="87">
        <f>IF(V18=0,0,V18/TrRail_act!V11*1000)</f>
        <v>5.9486658030508153</v>
      </c>
      <c r="W42" s="87">
        <f>IF(W18=0,0,W18/TrRail_act!W11*1000)</f>
        <v>6.1097465118221033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5.9080563631001235</v>
      </c>
      <c r="C43" s="88">
        <f>IF(C19=0,0,C19/TrRail_act!C12*1000)</f>
        <v>4.9818547446098922</v>
      </c>
      <c r="D43" s="88">
        <f>IF(D19=0,0,D19/TrRail_act!D12*1000)</f>
        <v>4.9884861315436133</v>
      </c>
      <c r="E43" s="88">
        <f>IF(E19=0,0,E19/TrRail_act!E12*1000)</f>
        <v>4.5964749035070769</v>
      </c>
      <c r="F43" s="88">
        <f>IF(F19=0,0,F19/TrRail_act!F12*1000)</f>
        <v>4.7789147261423439</v>
      </c>
      <c r="G43" s="88">
        <f>IF(G19=0,0,G19/TrRail_act!G12*1000)</f>
        <v>4.4764747602680686</v>
      </c>
      <c r="H43" s="88">
        <f>IF(H19=0,0,H19/TrRail_act!H12*1000)</f>
        <v>4.5359950864650749</v>
      </c>
      <c r="I43" s="88">
        <f>IF(I19=0,0,I19/TrRail_act!I12*1000)</f>
        <v>4.5068713578473245</v>
      </c>
      <c r="J43" s="88">
        <f>IF(J19=0,0,J19/TrRail_act!J12*1000)</f>
        <v>3.2550596933535401</v>
      </c>
      <c r="K43" s="88">
        <f>IF(K19=0,0,K19/TrRail_act!K12*1000)</f>
        <v>3.3232130033323219</v>
      </c>
      <c r="L43" s="88">
        <f>IF(L19=0,0,L19/TrRail_act!L12*1000)</f>
        <v>2.9964033341403611</v>
      </c>
      <c r="M43" s="88">
        <f>IF(M19=0,0,M19/TrRail_act!M12*1000)</f>
        <v>3.2756941046583474</v>
      </c>
      <c r="N43" s="88">
        <f>IF(N19=0,0,N19/TrRail_act!N12*1000)</f>
        <v>3.2293772127012295</v>
      </c>
      <c r="O43" s="88">
        <f>IF(O19=0,0,O19/TrRail_act!O12*1000)</f>
        <v>3.2215316668318237</v>
      </c>
      <c r="P43" s="88">
        <f>IF(P19=0,0,P19/TrRail_act!P12*1000)</f>
        <v>2.8261268192456721</v>
      </c>
      <c r="Q43" s="88">
        <f>IF(Q19=0,0,Q19/TrRail_act!Q12*1000)</f>
        <v>2.7568468756876117</v>
      </c>
      <c r="R43" s="88">
        <f>IF(R19=0,0,R19/TrRail_act!R12*1000)</f>
        <v>2.6391714203975778</v>
      </c>
      <c r="S43" s="88">
        <f>IF(S19=0,0,S19/TrRail_act!S12*1000)</f>
        <v>2.6631622145513192</v>
      </c>
      <c r="T43" s="88">
        <f>IF(T19=0,0,T19/TrRail_act!T12*1000)</f>
        <v>2.3530327852163757</v>
      </c>
      <c r="U43" s="88">
        <f>IF(U19=0,0,U19/TrRail_act!U12*1000)</f>
        <v>2.3013514207330665</v>
      </c>
      <c r="V43" s="88">
        <f>IF(V19=0,0,V19/TrRail_act!V12*1000)</f>
        <v>2.1780580398518441</v>
      </c>
      <c r="W43" s="88">
        <f>IF(W19=0,0,W19/TrRail_act!W12*1000)</f>
        <v>2.2913523821243476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319122.5143528551</v>
      </c>
      <c r="C45" s="54">
        <f>IF(C10=0,0,1000000*C10/TrRail_act!C25)</f>
        <v>288930.07239657803</v>
      </c>
      <c r="D45" s="54">
        <f>IF(D10=0,0,1000000*D10/TrRail_act!D25)</f>
        <v>290650.17027734529</v>
      </c>
      <c r="E45" s="54">
        <f>IF(E10=0,0,1000000*E10/TrRail_act!E25)</f>
        <v>280457.92046173447</v>
      </c>
      <c r="F45" s="54">
        <f>IF(F10=0,0,1000000*F10/TrRail_act!F25)</f>
        <v>272784.69835401734</v>
      </c>
      <c r="G45" s="54">
        <f>IF(G10=0,0,1000000*G10/TrRail_act!G25)</f>
        <v>264103.45674761123</v>
      </c>
      <c r="H45" s="54">
        <f>IF(H10=0,0,1000000*H10/TrRail_act!H25)</f>
        <v>259070.92456938917</v>
      </c>
      <c r="I45" s="54">
        <f>IF(I10=0,0,1000000*I10/TrRail_act!I25)</f>
        <v>247639.27036498243</v>
      </c>
      <c r="J45" s="54">
        <f>IF(J10=0,0,1000000*J10/TrRail_act!J25)</f>
        <v>218161.43613917631</v>
      </c>
      <c r="K45" s="54">
        <f>IF(K10=0,0,1000000*K10/TrRail_act!K25)</f>
        <v>218678.48031442746</v>
      </c>
      <c r="L45" s="54">
        <f>IF(L10=0,0,1000000*L10/TrRail_act!L25)</f>
        <v>219021.99380618226</v>
      </c>
      <c r="M45" s="54">
        <f>IF(M10=0,0,1000000*M10/TrRail_act!M25)</f>
        <v>217326.72568726167</v>
      </c>
      <c r="N45" s="54">
        <f>IF(N10=0,0,1000000*N10/TrRail_act!N25)</f>
        <v>212408.01610177031</v>
      </c>
      <c r="O45" s="54">
        <f>IF(O10=0,0,1000000*O10/TrRail_act!O25)</f>
        <v>206319.89644428075</v>
      </c>
      <c r="P45" s="54">
        <f>IF(P10=0,0,1000000*P10/TrRail_act!P25)</f>
        <v>202675.66517909305</v>
      </c>
      <c r="Q45" s="54">
        <f>IF(Q10=0,0,1000000*Q10/TrRail_act!Q25)</f>
        <v>197454.18835483547</v>
      </c>
      <c r="R45" s="54">
        <f>IF(R10=0,0,1000000*R10/TrRail_act!R25)</f>
        <v>193625.08514964246</v>
      </c>
      <c r="S45" s="54">
        <f>IF(S10=0,0,1000000*S10/TrRail_act!S25)</f>
        <v>184128.90820386587</v>
      </c>
      <c r="T45" s="54">
        <f>IF(T10=0,0,1000000*T10/TrRail_act!T25)</f>
        <v>189927.02266508251</v>
      </c>
      <c r="U45" s="54">
        <f>IF(U10=0,0,1000000*U10/TrRail_act!U25)</f>
        <v>190644.11710916794</v>
      </c>
      <c r="V45" s="54">
        <f>IF(V10=0,0,1000000*V10/TrRail_act!V25)</f>
        <v>182903.21664213433</v>
      </c>
      <c r="W45" s="54">
        <f>IF(W10=0,0,1000000*W10/TrRail_act!W25)</f>
        <v>183846.4037203239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246283.92633233056</v>
      </c>
      <c r="C46" s="28">
        <f>IF(C11=0,0,1000000*C11/TrRail_act!C26)</f>
        <v>229703.91680605174</v>
      </c>
      <c r="D46" s="28">
        <f>IF(D11=0,0,1000000*D11/TrRail_act!D26)</f>
        <v>232660.08790315097</v>
      </c>
      <c r="E46" s="28">
        <f>IF(E11=0,0,1000000*E11/TrRail_act!E26)</f>
        <v>224307.21096737054</v>
      </c>
      <c r="F46" s="28">
        <f>IF(F11=0,0,1000000*F11/TrRail_act!F26)</f>
        <v>214891.92523644731</v>
      </c>
      <c r="G46" s="28">
        <f>IF(G11=0,0,1000000*G11/TrRail_act!G26)</f>
        <v>205441.26116780937</v>
      </c>
      <c r="H46" s="28">
        <f>IF(H11=0,0,1000000*H11/TrRail_act!H26)</f>
        <v>201076.49141202151</v>
      </c>
      <c r="I46" s="28">
        <f>IF(I11=0,0,1000000*I11/TrRail_act!I26)</f>
        <v>191912.46661257831</v>
      </c>
      <c r="J46" s="28">
        <f>IF(J11=0,0,1000000*J11/TrRail_act!J26)</f>
        <v>180076.72338601606</v>
      </c>
      <c r="K46" s="28">
        <f>IF(K11=0,0,1000000*K11/TrRail_act!K26)</f>
        <v>186758.91231561961</v>
      </c>
      <c r="L46" s="28">
        <f>IF(L11=0,0,1000000*L11/TrRail_act!L26)</f>
        <v>180183.40901734561</v>
      </c>
      <c r="M46" s="28">
        <f>IF(M11=0,0,1000000*M11/TrRail_act!M26)</f>
        <v>179415.83970065875</v>
      </c>
      <c r="N46" s="28">
        <f>IF(N11=0,0,1000000*N11/TrRail_act!N26)</f>
        <v>179077.20595419765</v>
      </c>
      <c r="O46" s="28">
        <f>IF(O11=0,0,1000000*O11/TrRail_act!O26)</f>
        <v>175298.05443935745</v>
      </c>
      <c r="P46" s="28">
        <f>IF(P11=0,0,1000000*P11/TrRail_act!P26)</f>
        <v>175301.34791005601</v>
      </c>
      <c r="Q46" s="28">
        <f>IF(Q11=0,0,1000000*Q11/TrRail_act!Q26)</f>
        <v>170909.2071349255</v>
      </c>
      <c r="R46" s="28">
        <f>IF(R11=0,0,1000000*R11/TrRail_act!R26)</f>
        <v>168402.59649118694</v>
      </c>
      <c r="S46" s="28">
        <f>IF(S11=0,0,1000000*S11/TrRail_act!S26)</f>
        <v>157315.77831761484</v>
      </c>
      <c r="T46" s="28">
        <f>IF(T11=0,0,1000000*T11/TrRail_act!T26)</f>
        <v>166082.89634187584</v>
      </c>
      <c r="U46" s="28">
        <f>IF(U11=0,0,1000000*U11/TrRail_act!U26)</f>
        <v>167868.83815223101</v>
      </c>
      <c r="V46" s="28">
        <f>IF(V11=0,0,1000000*V11/TrRail_act!V26)</f>
        <v>159025.05664833216</v>
      </c>
      <c r="W46" s="28">
        <f>IF(W11=0,0,1000000*W11/TrRail_act!W26)</f>
        <v>161633.64307976753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53702.196796133547</v>
      </c>
      <c r="C47" s="108">
        <f>IF(C12=0,0,1000000*C12/TrRail_act!C27)</f>
        <v>52250.351100210704</v>
      </c>
      <c r="D47" s="108">
        <f>IF(D12=0,0,1000000*D12/TrRail_act!D27)</f>
        <v>51091.988673730615</v>
      </c>
      <c r="E47" s="108">
        <f>IF(E12=0,0,1000000*E12/TrRail_act!E27)</f>
        <v>49775.744105159501</v>
      </c>
      <c r="F47" s="108">
        <f>IF(F12=0,0,1000000*F12/TrRail_act!F27)</f>
        <v>48885.743983361928</v>
      </c>
      <c r="G47" s="108">
        <f>IF(G12=0,0,1000000*G12/TrRail_act!G27)</f>
        <v>48072.306935470384</v>
      </c>
      <c r="H47" s="108">
        <f>IF(H12=0,0,1000000*H12/TrRail_act!H27)</f>
        <v>47158.938068031515</v>
      </c>
      <c r="I47" s="108">
        <f>IF(I12=0,0,1000000*I12/TrRail_act!I27)</f>
        <v>46541.243357074476</v>
      </c>
      <c r="J47" s="108">
        <f>IF(J12=0,0,1000000*J12/TrRail_act!J27)</f>
        <v>46102.854086372296</v>
      </c>
      <c r="K47" s="108">
        <f>IF(K12=0,0,1000000*K12/TrRail_act!K27)</f>
        <v>45467.240941545708</v>
      </c>
      <c r="L47" s="108">
        <f>IF(L12=0,0,1000000*L12/TrRail_act!L27)</f>
        <v>45078.143357388377</v>
      </c>
      <c r="M47" s="108">
        <f>IF(M12=0,0,1000000*M12/TrRail_act!M27)</f>
        <v>44929.428695689865</v>
      </c>
      <c r="N47" s="108">
        <f>IF(N12=0,0,1000000*N12/TrRail_act!N27)</f>
        <v>44413.226877552559</v>
      </c>
      <c r="O47" s="108">
        <f>IF(O12=0,0,1000000*O12/TrRail_act!O27)</f>
        <v>43883.466314073848</v>
      </c>
      <c r="P47" s="108">
        <f>IF(P12=0,0,1000000*P12/TrRail_act!P27)</f>
        <v>43250.670723625357</v>
      </c>
      <c r="Q47" s="108">
        <f>IF(Q12=0,0,1000000*Q12/TrRail_act!Q27)</f>
        <v>42943.788870106138</v>
      </c>
      <c r="R47" s="108">
        <f>IF(R12=0,0,1000000*R12/TrRail_act!R27)</f>
        <v>42715.057313025682</v>
      </c>
      <c r="S47" s="108">
        <f>IF(S12=0,0,1000000*S12/TrRail_act!S27)</f>
        <v>42544.308411180486</v>
      </c>
      <c r="T47" s="108">
        <f>IF(T12=0,0,1000000*T12/TrRail_act!T27)</f>
        <v>42416.694859491618</v>
      </c>
      <c r="U47" s="108">
        <f>IF(U12=0,0,1000000*U12/TrRail_act!U27)</f>
        <v>42321.235993285671</v>
      </c>
      <c r="V47" s="108">
        <f>IF(V12=0,0,1000000*V12/TrRail_act!V27)</f>
        <v>42249.782894734024</v>
      </c>
      <c r="W47" s="108">
        <f>IF(W12=0,0,1000000*W12/TrRail_act!W27)</f>
        <v>42196.272091496285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298639.00602437259</v>
      </c>
      <c r="C48" s="110">
        <f>IF(C13=0,0,1000000*C13/TrRail_act!C28)</f>
        <v>271712.08250495</v>
      </c>
      <c r="D48" s="110">
        <f>IF(D13=0,0,1000000*D13/TrRail_act!D28)</f>
        <v>268175.39393638703</v>
      </c>
      <c r="E48" s="110">
        <f>IF(E13=0,0,1000000*E13/TrRail_act!E28)</f>
        <v>257179.85390050756</v>
      </c>
      <c r="F48" s="110">
        <f>IF(F13=0,0,1000000*F13/TrRail_act!F28)</f>
        <v>242534.07263161521</v>
      </c>
      <c r="G48" s="110">
        <f>IF(G13=0,0,1000000*G13/TrRail_act!G28)</f>
        <v>231370.22095943484</v>
      </c>
      <c r="H48" s="110">
        <f>IF(H13=0,0,1000000*H13/TrRail_act!H28)</f>
        <v>232586.9085636462</v>
      </c>
      <c r="I48" s="110">
        <f>IF(I13=0,0,1000000*I13/TrRail_act!I28)</f>
        <v>221506.01841427342</v>
      </c>
      <c r="J48" s="110">
        <f>IF(J13=0,0,1000000*J13/TrRail_act!J28)</f>
        <v>204552.41642722435</v>
      </c>
      <c r="K48" s="110">
        <f>IF(K13=0,0,1000000*K13/TrRail_act!K28)</f>
        <v>213742.79375011584</v>
      </c>
      <c r="L48" s="110">
        <f>IF(L13=0,0,1000000*L13/TrRail_act!L28)</f>
        <v>207350.03396542559</v>
      </c>
      <c r="M48" s="110">
        <f>IF(M13=0,0,1000000*M13/TrRail_act!M28)</f>
        <v>203678.71324007105</v>
      </c>
      <c r="N48" s="110">
        <f>IF(N13=0,0,1000000*N13/TrRail_act!N28)</f>
        <v>202978.17278335575</v>
      </c>
      <c r="O48" s="110">
        <f>IF(O13=0,0,1000000*O13/TrRail_act!O28)</f>
        <v>196235.05209912249</v>
      </c>
      <c r="P48" s="110">
        <f>IF(P13=0,0,1000000*P13/TrRail_act!P28)</f>
        <v>193487.33849710689</v>
      </c>
      <c r="Q48" s="110">
        <f>IF(Q13=0,0,1000000*Q13/TrRail_act!Q28)</f>
        <v>190078.19971825954</v>
      </c>
      <c r="R48" s="110">
        <f>IF(R13=0,0,1000000*R13/TrRail_act!R28)</f>
        <v>186763.7834669314</v>
      </c>
      <c r="S48" s="110">
        <f>IF(S13=0,0,1000000*S13/TrRail_act!S28)</f>
        <v>169323.27010784339</v>
      </c>
      <c r="T48" s="110">
        <f>IF(T13=0,0,1000000*T13/TrRail_act!T28)</f>
        <v>183083.13064747772</v>
      </c>
      <c r="U48" s="110">
        <f>IF(U13=0,0,1000000*U13/TrRail_act!U28)</f>
        <v>182398.36265099622</v>
      </c>
      <c r="V48" s="110">
        <f>IF(V13=0,0,1000000*V13/TrRail_act!V28)</f>
        <v>180230.57182781899</v>
      </c>
      <c r="W48" s="110">
        <f>IF(W13=0,0,1000000*W13/TrRail_act!W28)</f>
        <v>179982.75231450648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420032.87767227209</v>
      </c>
      <c r="C49" s="84">
        <f>IF(C14=0,0,1000000*C14/TrRail_act!C29)</f>
        <v>407160.14856433449</v>
      </c>
      <c r="D49" s="84">
        <f>IF(D14=0,0,1000000*D14/TrRail_act!D29)</f>
        <v>395301.50596700201</v>
      </c>
      <c r="E49" s="84">
        <f>IF(E14=0,0,1000000*E14/TrRail_act!E29)</f>
        <v>334669.2079971091</v>
      </c>
      <c r="F49" s="84">
        <f>IF(F14=0,0,1000000*F14/TrRail_act!F29)</f>
        <v>194780.20533565216</v>
      </c>
      <c r="G49" s="84">
        <f>IF(G14=0,0,1000000*G14/TrRail_act!G29)</f>
        <v>168141.12053231563</v>
      </c>
      <c r="H49" s="84">
        <f>IF(H14=0,0,1000000*H14/TrRail_act!H29)</f>
        <v>260180.00516576556</v>
      </c>
      <c r="I49" s="84">
        <f>IF(I14=0,0,1000000*I14/TrRail_act!I29)</f>
        <v>266281.76049849705</v>
      </c>
      <c r="J49" s="84">
        <f>IF(J14=0,0,1000000*J14/TrRail_act!J29)</f>
        <v>345538.07962704351</v>
      </c>
      <c r="K49" s="84">
        <f>IF(K14=0,0,1000000*K14/TrRail_act!K29)</f>
        <v>338003.49224627088</v>
      </c>
      <c r="L49" s="84">
        <f>IF(L14=0,0,1000000*L14/TrRail_act!L29)</f>
        <v>320740.14244369726</v>
      </c>
      <c r="M49" s="84">
        <f>IF(M14=0,0,1000000*M14/TrRail_act!M29)</f>
        <v>278123.27436127106</v>
      </c>
      <c r="N49" s="84">
        <f>IF(N14=0,0,1000000*N14/TrRail_act!N29)</f>
        <v>316631.49791216175</v>
      </c>
      <c r="O49" s="84">
        <f>IF(O14=0,0,1000000*O14/TrRail_act!O29)</f>
        <v>258065.32452917882</v>
      </c>
      <c r="P49" s="84">
        <f>IF(P14=0,0,1000000*P14/TrRail_act!P29)</f>
        <v>299966.31737994502</v>
      </c>
      <c r="Q49" s="84">
        <f>IF(Q14=0,0,1000000*Q14/TrRail_act!Q29)</f>
        <v>288490.18114553933</v>
      </c>
      <c r="R49" s="84">
        <f>IF(R14=0,0,1000000*R14/TrRail_act!R29)</f>
        <v>280172.15162594611</v>
      </c>
      <c r="S49" s="84">
        <f>IF(S14=0,0,1000000*S14/TrRail_act!S29)</f>
        <v>274091.39440716361</v>
      </c>
      <c r="T49" s="84">
        <f>IF(T14=0,0,1000000*T14/TrRail_act!T29)</f>
        <v>269617.59001556388</v>
      </c>
      <c r="U49" s="84">
        <f>IF(U14=0,0,1000000*U14/TrRail_act!U29)</f>
        <v>266310.2293644218</v>
      </c>
      <c r="V49" s="84">
        <f>IF(V14=0,0,1000000*V14/TrRail_act!V29)</f>
        <v>263856.34953157394</v>
      </c>
      <c r="W49" s="84">
        <f>IF(W14=0,0,1000000*W14/TrRail_act!W29)</f>
        <v>258298.90941277632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292396.51490454533</v>
      </c>
      <c r="C50" s="84">
        <f>IF(C15=0,0,1000000*C15/TrRail_act!C30)</f>
        <v>263618.12986337976</v>
      </c>
      <c r="D50" s="84">
        <f>IF(D15=0,0,1000000*D15/TrRail_act!D30)</f>
        <v>257411.02079101812</v>
      </c>
      <c r="E50" s="84">
        <f>IF(E15=0,0,1000000*E15/TrRail_act!E30)</f>
        <v>251218.03885409233</v>
      </c>
      <c r="F50" s="84">
        <f>IF(F15=0,0,1000000*F15/TrRail_act!F30)</f>
        <v>245701.14880409281</v>
      </c>
      <c r="G50" s="84">
        <f>IF(G15=0,0,1000000*G15/TrRail_act!G30)</f>
        <v>235439.57809224073</v>
      </c>
      <c r="H50" s="84">
        <f>IF(H15=0,0,1000000*H15/TrRail_act!H30)</f>
        <v>231017.0253468572</v>
      </c>
      <c r="I50" s="84">
        <f>IF(I15=0,0,1000000*I15/TrRail_act!I30)</f>
        <v>219279.44917416904</v>
      </c>
      <c r="J50" s="84">
        <f>IF(J15=0,0,1000000*J15/TrRail_act!J30)</f>
        <v>197110.45298187694</v>
      </c>
      <c r="K50" s="84">
        <f>IF(K15=0,0,1000000*K15/TrRail_act!K30)</f>
        <v>207460.92328217326</v>
      </c>
      <c r="L50" s="84">
        <f>IF(L15=0,0,1000000*L15/TrRail_act!L30)</f>
        <v>202032.76276244308</v>
      </c>
      <c r="M50" s="84">
        <f>IF(M15=0,0,1000000*M15/TrRail_act!M30)</f>
        <v>200951.04363628972</v>
      </c>
      <c r="N50" s="84">
        <f>IF(N15=0,0,1000000*N15/TrRail_act!N30)</f>
        <v>198288.0320950204</v>
      </c>
      <c r="O50" s="84">
        <f>IF(O15=0,0,1000000*O15/TrRail_act!O30)</f>
        <v>194080.14287317163</v>
      </c>
      <c r="P50" s="84">
        <f>IF(P15=0,0,1000000*P15/TrRail_act!P30)</f>
        <v>189945.62940969286</v>
      </c>
      <c r="Q50" s="84">
        <f>IF(Q15=0,0,1000000*Q15/TrRail_act!Q30)</f>
        <v>187102.00072261802</v>
      </c>
      <c r="R50" s="84">
        <f>IF(R15=0,0,1000000*R15/TrRail_act!R30)</f>
        <v>184072.26532367762</v>
      </c>
      <c r="S50" s="84">
        <f>IF(S15=0,0,1000000*S15/TrRail_act!S30)</f>
        <v>165750.93702203763</v>
      </c>
      <c r="T50" s="84">
        <f>IF(T15=0,0,1000000*T15/TrRail_act!T30)</f>
        <v>180170.06451183604</v>
      </c>
      <c r="U50" s="84">
        <f>IF(U15=0,0,1000000*U15/TrRail_act!U30)</f>
        <v>178933.43919503412</v>
      </c>
      <c r="V50" s="84">
        <f>IF(V15=0,0,1000000*V15/TrRail_act!V30)</f>
        <v>176599.00535318805</v>
      </c>
      <c r="W50" s="84">
        <f>IF(W15=0,0,1000000*W15/TrRail_act!W30)</f>
        <v>177323.23978214338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1093036.7146693987</v>
      </c>
      <c r="C51" s="113">
        <f>IF(C16=0,0,1000000*C16/TrRail_act!C31)</f>
        <v>1063486.3429988259</v>
      </c>
      <c r="D51" s="113">
        <f>IF(D16=0,0,1000000*D16/TrRail_act!D31)</f>
        <v>1039909.394880305</v>
      </c>
      <c r="E51" s="113">
        <f>IF(E16=0,0,1000000*E16/TrRail_act!E31)</f>
        <v>1024899.4474396436</v>
      </c>
      <c r="F51" s="113">
        <f>IF(F16=0,0,1000000*F16/TrRail_act!F31)</f>
        <v>1007138.4394356876</v>
      </c>
      <c r="G51" s="113">
        <f>IF(G16=0,0,1000000*G16/TrRail_act!G31)</f>
        <v>989825.11046267184</v>
      </c>
      <c r="H51" s="113">
        <f>IF(H16=0,0,1000000*H16/TrRail_act!H31)</f>
        <v>976696.98561493796</v>
      </c>
      <c r="I51" s="113">
        <f>IF(I16=0,0,1000000*I16/TrRail_act!I31)</f>
        <v>958299.9729848014</v>
      </c>
      <c r="J51" s="113">
        <f>IF(J16=0,0,1000000*J16/TrRail_act!J31)</f>
        <v>949237.78463326662</v>
      </c>
      <c r="K51" s="113">
        <f>IF(K16=0,0,1000000*K16/TrRail_act!K31)</f>
        <v>934679.40222285502</v>
      </c>
      <c r="L51" s="113">
        <f>IF(L16=0,0,1000000*L16/TrRail_act!L31)</f>
        <v>923312.74469967699</v>
      </c>
      <c r="M51" s="113">
        <f>IF(M16=0,0,1000000*M16/TrRail_act!M31)</f>
        <v>914478.6999831486</v>
      </c>
      <c r="N51" s="113">
        <f>IF(N16=0,0,1000000*N16/TrRail_act!N31)</f>
        <v>903972.11004014546</v>
      </c>
      <c r="O51" s="113">
        <f>IF(O16=0,0,1000000*O16/TrRail_act!O31)</f>
        <v>893189.51999908651</v>
      </c>
      <c r="P51" s="113">
        <f>IF(P16=0,0,1000000*P16/TrRail_act!P31)</f>
        <v>882950.74362050847</v>
      </c>
      <c r="Q51" s="113">
        <f>IF(Q16=0,0,1000000*Q16/TrRail_act!Q31)</f>
        <v>874063.64775442763</v>
      </c>
      <c r="R51" s="113">
        <f>IF(R16=0,0,1000000*R16/TrRail_act!R31)</f>
        <v>863119.77863072546</v>
      </c>
      <c r="S51" s="113">
        <f>IF(S16=0,0,1000000*S16/TrRail_act!S31)</f>
        <v>850726.89004577289</v>
      </c>
      <c r="T51" s="113">
        <f>IF(T16=0,0,1000000*T16/TrRail_act!T31)</f>
        <v>837341.40372052323</v>
      </c>
      <c r="U51" s="113">
        <f>IF(U16=0,0,1000000*U16/TrRail_act!U31)</f>
        <v>827440.67650794855</v>
      </c>
      <c r="V51" s="113">
        <f>IF(V16=0,0,1000000*V16/TrRail_act!V31)</f>
        <v>705812.21422363212</v>
      </c>
      <c r="W51" s="113">
        <f>IF(W16=0,0,1000000*W16/TrRail_act!W31)</f>
        <v>771587.52751970838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573850.44409614813</v>
      </c>
      <c r="C52" s="28">
        <f>IF(C17=0,0,1000000*C17/TrRail_act!C32)</f>
        <v>514584.69792879716</v>
      </c>
      <c r="D52" s="28">
        <f>IF(D17=0,0,1000000*D17/TrRail_act!D32)</f>
        <v>509004.45715297078</v>
      </c>
      <c r="E52" s="28">
        <f>IF(E17=0,0,1000000*E17/TrRail_act!E32)</f>
        <v>495887.92294661055</v>
      </c>
      <c r="F52" s="28">
        <f>IF(F17=0,0,1000000*F17/TrRail_act!F32)</f>
        <v>485704.95755981258</v>
      </c>
      <c r="G52" s="28">
        <f>IF(G17=0,0,1000000*G17/TrRail_act!G32)</f>
        <v>469551.65688728949</v>
      </c>
      <c r="H52" s="28">
        <f>IF(H17=0,0,1000000*H17/TrRail_act!H32)</f>
        <v>461674.98432099313</v>
      </c>
      <c r="I52" s="28">
        <f>IF(I17=0,0,1000000*I17/TrRail_act!I32)</f>
        <v>433081.6710056914</v>
      </c>
      <c r="J52" s="28">
        <f>IF(J17=0,0,1000000*J17/TrRail_act!J32)</f>
        <v>348365.29722816794</v>
      </c>
      <c r="K52" s="28">
        <f>IF(K17=0,0,1000000*K17/TrRail_act!K32)</f>
        <v>343347.18859548098</v>
      </c>
      <c r="L52" s="28">
        <f>IF(L17=0,0,1000000*L17/TrRail_act!L32)</f>
        <v>378758.54378278379</v>
      </c>
      <c r="M52" s="28">
        <f>IF(M17=0,0,1000000*M17/TrRail_act!M32)</f>
        <v>377712.44933977345</v>
      </c>
      <c r="N52" s="28">
        <f>IF(N17=0,0,1000000*N17/TrRail_act!N32)</f>
        <v>365907.21540640783</v>
      </c>
      <c r="O52" s="28">
        <f>IF(O17=0,0,1000000*O17/TrRail_act!O32)</f>
        <v>365272.06457179465</v>
      </c>
      <c r="P52" s="28">
        <f>IF(P17=0,0,1000000*P17/TrRail_act!P32)</f>
        <v>349273.32038450992</v>
      </c>
      <c r="Q52" s="28">
        <f>IF(Q17=0,0,1000000*Q17/TrRail_act!Q32)</f>
        <v>351479.56951156817</v>
      </c>
      <c r="R52" s="28">
        <f>IF(R17=0,0,1000000*R17/TrRail_act!R32)</f>
        <v>347035.02254719712</v>
      </c>
      <c r="S52" s="28">
        <f>IF(S17=0,0,1000000*S17/TrRail_act!S32)</f>
        <v>336187.35212629894</v>
      </c>
      <c r="T52" s="28">
        <f>IF(T17=0,0,1000000*T17/TrRail_act!T32)</f>
        <v>336917.43791597808</v>
      </c>
      <c r="U52" s="28">
        <f>IF(U17=0,0,1000000*U17/TrRail_act!U32)</f>
        <v>331487.14144419436</v>
      </c>
      <c r="V52" s="28">
        <f>IF(V17=0,0,1000000*V17/TrRail_act!V32)</f>
        <v>329782.2360426386</v>
      </c>
      <c r="W52" s="28">
        <f>IF(W17=0,0,1000000*W17/TrRail_act!W32)</f>
        <v>317443.77444919432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1030046.1926974145</v>
      </c>
      <c r="C53" s="84">
        <f>IF(C18=0,0,1000000*C18/TrRail_act!C33)</f>
        <v>1019685.3825948216</v>
      </c>
      <c r="D53" s="84">
        <f>IF(D18=0,0,1000000*D18/TrRail_act!D33)</f>
        <v>1001338.0051114531</v>
      </c>
      <c r="E53" s="84">
        <f>IF(E18=0,0,1000000*E18/TrRail_act!E33)</f>
        <v>985022.2559711436</v>
      </c>
      <c r="F53" s="84">
        <f>IF(F18=0,0,1000000*F18/TrRail_act!F33)</f>
        <v>970140.28603633656</v>
      </c>
      <c r="G53" s="84">
        <f>IF(G18=0,0,1000000*G18/TrRail_act!G33)</f>
        <v>960171.19334301015</v>
      </c>
      <c r="H53" s="84">
        <f>IF(H18=0,0,1000000*H18/TrRail_act!H33)</f>
        <v>953363.05751197133</v>
      </c>
      <c r="I53" s="84">
        <f>IF(I18=0,0,1000000*I18/TrRail_act!I33)</f>
        <v>945858.81548570597</v>
      </c>
      <c r="J53" s="84">
        <f>IF(J18=0,0,1000000*J18/TrRail_act!J33)</f>
        <v>939784.7379893912</v>
      </c>
      <c r="K53" s="84">
        <f>IF(K18=0,0,1000000*K18/TrRail_act!K33)</f>
        <v>865658.91462570999</v>
      </c>
      <c r="L53" s="84">
        <f>IF(L18=0,0,1000000*L18/TrRail_act!L33)</f>
        <v>905001.98945733963</v>
      </c>
      <c r="M53" s="84">
        <f>IF(M18=0,0,1000000*M18/TrRail_act!M33)</f>
        <v>884528.52546895726</v>
      </c>
      <c r="N53" s="84">
        <f>IF(N18=0,0,1000000*N18/TrRail_act!N33)</f>
        <v>808705.33406742592</v>
      </c>
      <c r="O53" s="84">
        <f>IF(O18=0,0,1000000*O18/TrRail_act!O33)</f>
        <v>871673.98234213085</v>
      </c>
      <c r="P53" s="84">
        <f>IF(P18=0,0,1000000*P18/TrRail_act!P33)</f>
        <v>791284.5547502283</v>
      </c>
      <c r="Q53" s="84">
        <f>IF(Q18=0,0,1000000*Q18/TrRail_act!Q33)</f>
        <v>862784.02291394502</v>
      </c>
      <c r="R53" s="84">
        <f>IF(R18=0,0,1000000*R18/TrRail_act!R33)</f>
        <v>854134.28696765401</v>
      </c>
      <c r="S53" s="84">
        <f>IF(S18=0,0,1000000*S18/TrRail_act!S33)</f>
        <v>816019.76764508057</v>
      </c>
      <c r="T53" s="84">
        <f>IF(T18=0,0,1000000*T18/TrRail_act!T33)</f>
        <v>831373.54213091196</v>
      </c>
      <c r="U53" s="84">
        <f>IF(U18=0,0,1000000*U18/TrRail_act!U33)</f>
        <v>822418.50190166081</v>
      </c>
      <c r="V53" s="84">
        <f>IF(V18=0,0,1000000*V18/TrRail_act!V33)</f>
        <v>815765.592201569</v>
      </c>
      <c r="W53" s="84">
        <f>IF(W18=0,0,1000000*W18/TrRail_act!W33)</f>
        <v>732185.89427237038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538949.72841904289</v>
      </c>
      <c r="C54" s="86">
        <f>IF(C19=0,0,1000000*C19/TrRail_act!C34)</f>
        <v>476186.86787441024</v>
      </c>
      <c r="D54" s="86">
        <f>IF(D19=0,0,1000000*D19/TrRail_act!D34)</f>
        <v>474463.93029339897</v>
      </c>
      <c r="E54" s="86">
        <f>IF(E19=0,0,1000000*E19/TrRail_act!E34)</f>
        <v>458371.66703920474</v>
      </c>
      <c r="F54" s="86">
        <f>IF(F19=0,0,1000000*F19/TrRail_act!F34)</f>
        <v>448305.56833238393</v>
      </c>
      <c r="G54" s="86">
        <f>IF(G19=0,0,1000000*G19/TrRail_act!G34)</f>
        <v>429582.3381532412</v>
      </c>
      <c r="H54" s="86">
        <f>IF(H19=0,0,1000000*H19/TrRail_act!H34)</f>
        <v>425814.11431208457</v>
      </c>
      <c r="I54" s="86">
        <f>IF(I19=0,0,1000000*I19/TrRail_act!I34)</f>
        <v>400096.61527349579</v>
      </c>
      <c r="J54" s="86">
        <f>IF(J19=0,0,1000000*J19/TrRail_act!J34)</f>
        <v>307968.46781414154</v>
      </c>
      <c r="K54" s="86">
        <f>IF(K19=0,0,1000000*K19/TrRail_act!K34)</f>
        <v>308083.62800841994</v>
      </c>
      <c r="L54" s="86">
        <f>IF(L19=0,0,1000000*L19/TrRail_act!L34)</f>
        <v>341067.36486294132</v>
      </c>
      <c r="M54" s="86">
        <f>IF(M19=0,0,1000000*M19/TrRail_act!M34)</f>
        <v>339241.23022023175</v>
      </c>
      <c r="N54" s="86">
        <f>IF(N19=0,0,1000000*N19/TrRail_act!N34)</f>
        <v>334745.59103579738</v>
      </c>
      <c r="O54" s="86">
        <f>IF(O19=0,0,1000000*O19/TrRail_act!O34)</f>
        <v>330732.88465318916</v>
      </c>
      <c r="P54" s="86">
        <f>IF(P19=0,0,1000000*P19/TrRail_act!P34)</f>
        <v>320662.12620107929</v>
      </c>
      <c r="Q54" s="86">
        <f>IF(Q19=0,0,1000000*Q19/TrRail_act!Q34)</f>
        <v>318841.39847593062</v>
      </c>
      <c r="R54" s="86">
        <f>IF(R19=0,0,1000000*R19/TrRail_act!R34)</f>
        <v>315895.22806950717</v>
      </c>
      <c r="S54" s="86">
        <f>IF(S19=0,0,1000000*S19/TrRail_act!S34)</f>
        <v>312134.96139748913</v>
      </c>
      <c r="T54" s="86">
        <f>IF(T19=0,0,1000000*T19/TrRail_act!T34)</f>
        <v>307797.44574804773</v>
      </c>
      <c r="U54" s="86">
        <f>IF(U19=0,0,1000000*U19/TrRail_act!U34)</f>
        <v>304583.90775169205</v>
      </c>
      <c r="V54" s="86">
        <f>IF(V19=0,0,1000000*V19/TrRail_act!V34)</f>
        <v>302195.79284461145</v>
      </c>
      <c r="W54" s="86">
        <f>IF(W19=0,0,1000000*W19/TrRail_act!W34)</f>
        <v>300417.00206333533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0.60014429989533968</v>
      </c>
      <c r="C57" s="31">
        <f t="shared" ref="C57:V57" si="17">IF(C11=0,0,C11/C$10)</f>
        <v>0.62973342153748224</v>
      </c>
      <c r="D57" s="31">
        <f t="shared" si="17"/>
        <v>0.63250273666479562</v>
      </c>
      <c r="E57" s="31">
        <f t="shared" si="17"/>
        <v>0.63442865417442251</v>
      </c>
      <c r="F57" s="31">
        <f t="shared" si="17"/>
        <v>0.61936622323613966</v>
      </c>
      <c r="G57" s="31">
        <f t="shared" si="17"/>
        <v>0.60510456856442119</v>
      </c>
      <c r="H57" s="31">
        <f t="shared" si="17"/>
        <v>0.60341884225729248</v>
      </c>
      <c r="I57" s="31">
        <f t="shared" si="17"/>
        <v>0.59589653726323899</v>
      </c>
      <c r="J57" s="31">
        <f t="shared" si="17"/>
        <v>0.6386292839586547</v>
      </c>
      <c r="K57" s="31">
        <f t="shared" si="17"/>
        <v>0.67994456243225698</v>
      </c>
      <c r="L57" s="31">
        <f t="shared" si="17"/>
        <v>0.66176913160377349</v>
      </c>
      <c r="M57" s="31">
        <f t="shared" si="17"/>
        <v>0.66772565722328014</v>
      </c>
      <c r="N57" s="31">
        <f t="shared" si="17"/>
        <v>0.69267399890484704</v>
      </c>
      <c r="O57" s="31">
        <f t="shared" si="17"/>
        <v>0.7108995687267905</v>
      </c>
      <c r="P57" s="31">
        <f t="shared" si="17"/>
        <v>0.72883863291918816</v>
      </c>
      <c r="Q57" s="31">
        <f t="shared" si="17"/>
        <v>0.73832050783323155</v>
      </c>
      <c r="R57" s="31">
        <f t="shared" si="17"/>
        <v>0.74693078214288633</v>
      </c>
      <c r="S57" s="31">
        <f t="shared" si="17"/>
        <v>0.72630581118394222</v>
      </c>
      <c r="T57" s="31">
        <f t="shared" si="17"/>
        <v>0.75240466565170128</v>
      </c>
      <c r="U57" s="31">
        <f t="shared" si="17"/>
        <v>0.75796671324495846</v>
      </c>
      <c r="V57" s="31">
        <f t="shared" si="17"/>
        <v>0.74786809773088747</v>
      </c>
      <c r="W57" s="31">
        <f t="shared" ref="W57" si="18">IF(W11=0,0,W11/W$10)</f>
        <v>0.75383941323709713</v>
      </c>
      <c r="DA57" s="173"/>
    </row>
    <row r="58" spans="1:105" ht="11.45" customHeight="1" x14ac:dyDescent="0.25">
      <c r="A58" s="107" t="s">
        <v>23</v>
      </c>
      <c r="B58" s="123">
        <f t="shared" si="14"/>
        <v>4.3968792192139713E-2</v>
      </c>
      <c r="C58" s="123">
        <f t="shared" ref="C58:V58" si="19">IF(C12=0,0,C12/C$10)</f>
        <v>4.8241858327102996E-2</v>
      </c>
      <c r="D58" s="123">
        <f t="shared" si="19"/>
        <v>4.3979942385021592E-2</v>
      </c>
      <c r="E58" s="123">
        <f t="shared" si="19"/>
        <v>4.4331330612995802E-2</v>
      </c>
      <c r="F58" s="123">
        <f t="shared" si="19"/>
        <v>4.2648256590661446E-2</v>
      </c>
      <c r="G58" s="123">
        <f t="shared" si="19"/>
        <v>4.3651741704422438E-2</v>
      </c>
      <c r="H58" s="123">
        <f t="shared" si="19"/>
        <v>4.4633793260079449E-2</v>
      </c>
      <c r="I58" s="123">
        <f t="shared" si="19"/>
        <v>4.5679395888640617E-2</v>
      </c>
      <c r="J58" s="123">
        <f t="shared" si="19"/>
        <v>5.4331447487882892E-2</v>
      </c>
      <c r="K58" s="123">
        <f t="shared" si="19"/>
        <v>5.3257906324125685E-2</v>
      </c>
      <c r="L58" s="123">
        <f t="shared" si="19"/>
        <v>5.464474658299686E-2</v>
      </c>
      <c r="M58" s="123">
        <f t="shared" si="19"/>
        <v>5.1312359860673826E-2</v>
      </c>
      <c r="N58" s="123">
        <f t="shared" si="19"/>
        <v>5.1008974238727009E-2</v>
      </c>
      <c r="O58" s="123">
        <f t="shared" si="19"/>
        <v>5.1538019281008478E-2</v>
      </c>
      <c r="P58" s="123">
        <f t="shared" si="19"/>
        <v>5.3531916310826808E-2</v>
      </c>
      <c r="Q58" s="123">
        <f t="shared" si="19"/>
        <v>5.4908282369269285E-2</v>
      </c>
      <c r="R58" s="123">
        <f t="shared" si="19"/>
        <v>5.5628076917653022E-2</v>
      </c>
      <c r="S58" s="123">
        <f t="shared" si="19"/>
        <v>6.0153279505051616E-2</v>
      </c>
      <c r="T58" s="123">
        <f t="shared" si="19"/>
        <v>5.6465702316185633E-2</v>
      </c>
      <c r="U58" s="123">
        <f t="shared" si="19"/>
        <v>5.7413016802050722E-2</v>
      </c>
      <c r="V58" s="123">
        <f t="shared" si="19"/>
        <v>6.2334752685201819E-2</v>
      </c>
      <c r="W58" s="123">
        <f t="shared" ref="W58" si="20">IF(W12=0,0,W12/W$10)</f>
        <v>5.6294091012858961E-2</v>
      </c>
      <c r="DA58" s="203"/>
    </row>
    <row r="59" spans="1:105" ht="11.45" customHeight="1" x14ac:dyDescent="0.25">
      <c r="A59" s="109" t="s">
        <v>24</v>
      </c>
      <c r="B59" s="124">
        <f t="shared" si="14"/>
        <v>0.45578236312635828</v>
      </c>
      <c r="C59" s="124">
        <f t="shared" ref="C59:V59" si="21">IF(C13=0,0,C13/C$10)</f>
        <v>0.46401821788182473</v>
      </c>
      <c r="D59" s="124">
        <f t="shared" si="21"/>
        <v>0.46682443034660648</v>
      </c>
      <c r="E59" s="124">
        <f t="shared" si="21"/>
        <v>0.46762279342910162</v>
      </c>
      <c r="F59" s="124">
        <f t="shared" si="21"/>
        <v>0.45913223632433631</v>
      </c>
      <c r="G59" s="124">
        <f t="shared" si="21"/>
        <v>0.4439044977521151</v>
      </c>
      <c r="H59" s="124">
        <f t="shared" si="21"/>
        <v>0.45254791554381624</v>
      </c>
      <c r="I59" s="124">
        <f t="shared" si="21"/>
        <v>0.44638026412750836</v>
      </c>
      <c r="J59" s="124">
        <f t="shared" si="21"/>
        <v>0.45692020026488583</v>
      </c>
      <c r="K59" s="124">
        <f t="shared" si="21"/>
        <v>0.49850742246317831</v>
      </c>
      <c r="L59" s="124">
        <f t="shared" si="21"/>
        <v>0.48211814170971073</v>
      </c>
      <c r="M59" s="124">
        <f t="shared" si="21"/>
        <v>0.49933245573376567</v>
      </c>
      <c r="N59" s="124">
        <f t="shared" si="21"/>
        <v>0.5260383584419468</v>
      </c>
      <c r="O59" s="124">
        <f t="shared" si="21"/>
        <v>0.5388708307009995</v>
      </c>
      <c r="P59" s="124">
        <f t="shared" si="21"/>
        <v>0.53400250841684471</v>
      </c>
      <c r="Q59" s="124">
        <f t="shared" si="21"/>
        <v>0.5488265142927754</v>
      </c>
      <c r="R59" s="124">
        <f t="shared" si="21"/>
        <v>0.55583290190886214</v>
      </c>
      <c r="S59" s="124">
        <f t="shared" si="21"/>
        <v>0.51156995258267179</v>
      </c>
      <c r="T59" s="124">
        <f t="shared" si="21"/>
        <v>0.55484881567515332</v>
      </c>
      <c r="U59" s="124">
        <f t="shared" si="21"/>
        <v>0.5409456624627047</v>
      </c>
      <c r="V59" s="124">
        <f t="shared" si="21"/>
        <v>0.54607281853190615</v>
      </c>
      <c r="W59" s="124">
        <f t="shared" ref="W59" si="22">IF(W13=0,0,W13/W$10)</f>
        <v>0.56941391570865241</v>
      </c>
      <c r="DA59" s="176"/>
    </row>
    <row r="60" spans="1:105" ht="11.45" customHeight="1" x14ac:dyDescent="0.25">
      <c r="A60" s="111" t="s">
        <v>92</v>
      </c>
      <c r="B60" s="125">
        <f t="shared" si="14"/>
        <v>3.1352904788501612E-2</v>
      </c>
      <c r="C60" s="125">
        <f t="shared" ref="C60:V60" si="23">IF(C14=0,0,C14/C$10)</f>
        <v>3.9207843337696564E-2</v>
      </c>
      <c r="D60" s="125">
        <f t="shared" si="23"/>
        <v>5.371771886158512E-2</v>
      </c>
      <c r="E60" s="125">
        <f t="shared" si="23"/>
        <v>4.3473094564905279E-2</v>
      </c>
      <c r="F60" s="125">
        <f t="shared" si="23"/>
        <v>2.2933583093005312E-2</v>
      </c>
      <c r="G60" s="125">
        <f t="shared" si="23"/>
        <v>1.9506381632204129E-2</v>
      </c>
      <c r="H60" s="125">
        <f t="shared" si="23"/>
        <v>2.7251390673510647E-2</v>
      </c>
      <c r="I60" s="125">
        <f t="shared" si="23"/>
        <v>2.5420135664089714E-2</v>
      </c>
      <c r="J60" s="125">
        <f t="shared" si="23"/>
        <v>3.8699419340120375E-2</v>
      </c>
      <c r="K60" s="125">
        <f t="shared" si="23"/>
        <v>3.793483128952025E-2</v>
      </c>
      <c r="L60" s="125">
        <f t="shared" si="23"/>
        <v>3.3405176748182212E-2</v>
      </c>
      <c r="M60" s="125">
        <f t="shared" si="23"/>
        <v>2.409973108093293E-2</v>
      </c>
      <c r="N60" s="125">
        <f t="shared" si="23"/>
        <v>3.2520991434719586E-2</v>
      </c>
      <c r="O60" s="125">
        <f t="shared" si="23"/>
        <v>2.3866422118561246E-2</v>
      </c>
      <c r="P60" s="125">
        <f t="shared" si="23"/>
        <v>2.6650279443289251E-2</v>
      </c>
      <c r="Q60" s="125">
        <f t="shared" si="23"/>
        <v>2.4451665587417099E-2</v>
      </c>
      <c r="R60" s="125">
        <f t="shared" si="23"/>
        <v>2.3353446925709002E-2</v>
      </c>
      <c r="S60" s="125">
        <f t="shared" si="23"/>
        <v>2.7305181149557944E-2</v>
      </c>
      <c r="T60" s="125">
        <f t="shared" si="23"/>
        <v>2.6610716588488657E-2</v>
      </c>
      <c r="U60" s="125">
        <f t="shared" si="23"/>
        <v>3.1319737564366582E-2</v>
      </c>
      <c r="V60" s="125">
        <f t="shared" si="23"/>
        <v>3.3272210606082972E-2</v>
      </c>
      <c r="W60" s="125">
        <f t="shared" ref="W60" si="24">IF(W14=0,0,W14/W$10)</f>
        <v>2.6839057037624015E-2</v>
      </c>
      <c r="DA60" s="171"/>
    </row>
    <row r="61" spans="1:105" ht="11.45" customHeight="1" x14ac:dyDescent="0.25">
      <c r="A61" s="111" t="s">
        <v>93</v>
      </c>
      <c r="B61" s="125">
        <f t="shared" si="14"/>
        <v>0.42442945833785667</v>
      </c>
      <c r="C61" s="125">
        <f t="shared" ref="C61:V61" si="25">IF(C15=0,0,C15/C$10)</f>
        <v>0.42481037454412818</v>
      </c>
      <c r="D61" s="125">
        <f t="shared" si="25"/>
        <v>0.41310671148502132</v>
      </c>
      <c r="E61" s="125">
        <f t="shared" si="25"/>
        <v>0.42414969886419635</v>
      </c>
      <c r="F61" s="125">
        <f t="shared" si="25"/>
        <v>0.436198653231331</v>
      </c>
      <c r="G61" s="125">
        <f t="shared" si="25"/>
        <v>0.42439811611991096</v>
      </c>
      <c r="H61" s="125">
        <f t="shared" si="25"/>
        <v>0.42529652487030561</v>
      </c>
      <c r="I61" s="125">
        <f t="shared" si="25"/>
        <v>0.42096012846341863</v>
      </c>
      <c r="J61" s="125">
        <f t="shared" si="25"/>
        <v>0.41822078092476545</v>
      </c>
      <c r="K61" s="125">
        <f t="shared" si="25"/>
        <v>0.46057259117365806</v>
      </c>
      <c r="L61" s="125">
        <f t="shared" si="25"/>
        <v>0.44871296496152852</v>
      </c>
      <c r="M61" s="125">
        <f t="shared" si="25"/>
        <v>0.47523272465283273</v>
      </c>
      <c r="N61" s="125">
        <f t="shared" si="25"/>
        <v>0.4935173670072272</v>
      </c>
      <c r="O61" s="125">
        <f t="shared" si="25"/>
        <v>0.51500440858243823</v>
      </c>
      <c r="P61" s="125">
        <f t="shared" si="25"/>
        <v>0.50735222897355547</v>
      </c>
      <c r="Q61" s="125">
        <f t="shared" si="25"/>
        <v>0.52437484870535833</v>
      </c>
      <c r="R61" s="125">
        <f t="shared" si="25"/>
        <v>0.53247945498315319</v>
      </c>
      <c r="S61" s="125">
        <f t="shared" si="25"/>
        <v>0.48426477143311386</v>
      </c>
      <c r="T61" s="125">
        <f t="shared" si="25"/>
        <v>0.52823809908666475</v>
      </c>
      <c r="U61" s="125">
        <f t="shared" si="25"/>
        <v>0.50962592489833802</v>
      </c>
      <c r="V61" s="125">
        <f t="shared" si="25"/>
        <v>0.51280060792582316</v>
      </c>
      <c r="W61" s="125">
        <f t="shared" ref="W61" si="26">IF(W15=0,0,W15/W$10)</f>
        <v>0.54257485867102839</v>
      </c>
      <c r="DA61" s="171"/>
    </row>
    <row r="62" spans="1:105" ht="11.45" customHeight="1" x14ac:dyDescent="0.25">
      <c r="A62" s="112" t="s">
        <v>25</v>
      </c>
      <c r="B62" s="126">
        <f t="shared" si="14"/>
        <v>0.10039314457684156</v>
      </c>
      <c r="C62" s="126">
        <f t="shared" ref="C62:V62" si="27">IF(C16=0,0,C16/C$10)</f>
        <v>0.11747334532855458</v>
      </c>
      <c r="D62" s="126">
        <f t="shared" si="27"/>
        <v>0.12169836393316756</v>
      </c>
      <c r="E62" s="126">
        <f t="shared" si="27"/>
        <v>0.12247453013232511</v>
      </c>
      <c r="F62" s="126">
        <f t="shared" si="27"/>
        <v>0.11758573032114186</v>
      </c>
      <c r="G62" s="126">
        <f t="shared" si="27"/>
        <v>0.11754832910788361</v>
      </c>
      <c r="H62" s="126">
        <f t="shared" si="27"/>
        <v>0.10623713345339676</v>
      </c>
      <c r="I62" s="126">
        <f t="shared" si="27"/>
        <v>0.10383687724709004</v>
      </c>
      <c r="J62" s="126">
        <f t="shared" si="27"/>
        <v>0.12737763620588605</v>
      </c>
      <c r="K62" s="126">
        <f t="shared" si="27"/>
        <v>0.12817923364495301</v>
      </c>
      <c r="L62" s="126">
        <f t="shared" si="27"/>
        <v>0.12500624331106591</v>
      </c>
      <c r="M62" s="126">
        <f t="shared" si="27"/>
        <v>0.11708084162884068</v>
      </c>
      <c r="N62" s="126">
        <f t="shared" si="27"/>
        <v>0.11562666622417318</v>
      </c>
      <c r="O62" s="126">
        <f t="shared" si="27"/>
        <v>0.12049071874478265</v>
      </c>
      <c r="P62" s="126">
        <f t="shared" si="27"/>
        <v>0.14130420819151665</v>
      </c>
      <c r="Q62" s="126">
        <f t="shared" si="27"/>
        <v>0.13458571117118692</v>
      </c>
      <c r="R62" s="126">
        <f t="shared" si="27"/>
        <v>0.13546980331637115</v>
      </c>
      <c r="S62" s="126">
        <f t="shared" si="27"/>
        <v>0.15458257909621878</v>
      </c>
      <c r="T62" s="126">
        <f t="shared" si="27"/>
        <v>0.14109014766036235</v>
      </c>
      <c r="U62" s="126">
        <f t="shared" si="27"/>
        <v>0.15960803398020307</v>
      </c>
      <c r="V62" s="126">
        <f t="shared" si="27"/>
        <v>0.1394605265137796</v>
      </c>
      <c r="W62" s="126">
        <f t="shared" ref="W62" si="28">IF(W16=0,0,W16/W$10)</f>
        <v>0.12813140651558569</v>
      </c>
      <c r="DA62" s="204"/>
    </row>
    <row r="63" spans="1:105" ht="11.45" customHeight="1" x14ac:dyDescent="0.25">
      <c r="A63" s="27" t="s">
        <v>34</v>
      </c>
      <c r="B63" s="31">
        <f t="shared" si="14"/>
        <v>0.39985570010466026</v>
      </c>
      <c r="C63" s="31">
        <f t="shared" ref="C63:V63" si="29">IF(C17=0,0,C17/C$10)</f>
        <v>0.37026657846251776</v>
      </c>
      <c r="D63" s="31">
        <f t="shared" si="29"/>
        <v>0.36749726333520444</v>
      </c>
      <c r="E63" s="31">
        <f t="shared" si="29"/>
        <v>0.36557134582557743</v>
      </c>
      <c r="F63" s="31">
        <f t="shared" si="29"/>
        <v>0.38063377676386034</v>
      </c>
      <c r="G63" s="31">
        <f t="shared" si="29"/>
        <v>0.39489543143557887</v>
      </c>
      <c r="H63" s="31">
        <f t="shared" si="29"/>
        <v>0.39658115774270752</v>
      </c>
      <c r="I63" s="31">
        <f t="shared" si="29"/>
        <v>0.40410346273676101</v>
      </c>
      <c r="J63" s="31">
        <f t="shared" si="29"/>
        <v>0.36137071604134524</v>
      </c>
      <c r="K63" s="31">
        <f t="shared" si="29"/>
        <v>0.32005543756774291</v>
      </c>
      <c r="L63" s="31">
        <f t="shared" si="29"/>
        <v>0.33823086839622646</v>
      </c>
      <c r="M63" s="31">
        <f t="shared" si="29"/>
        <v>0.33227434277671986</v>
      </c>
      <c r="N63" s="31">
        <f t="shared" si="29"/>
        <v>0.30732600109515296</v>
      </c>
      <c r="O63" s="31">
        <f t="shared" si="29"/>
        <v>0.28910043127320939</v>
      </c>
      <c r="P63" s="31">
        <f t="shared" si="29"/>
        <v>0.27116136708081179</v>
      </c>
      <c r="Q63" s="31">
        <f t="shared" si="29"/>
        <v>0.26167949216676845</v>
      </c>
      <c r="R63" s="31">
        <f t="shared" si="29"/>
        <v>0.25306921785711367</v>
      </c>
      <c r="S63" s="31">
        <f t="shared" si="29"/>
        <v>0.27369418881605778</v>
      </c>
      <c r="T63" s="31">
        <f t="shared" si="29"/>
        <v>0.24759533434829881</v>
      </c>
      <c r="U63" s="31">
        <f t="shared" si="29"/>
        <v>0.24203328675504152</v>
      </c>
      <c r="V63" s="31">
        <f t="shared" si="29"/>
        <v>0.25213190226911242</v>
      </c>
      <c r="W63" s="31">
        <f t="shared" ref="W63" si="30">IF(W17=0,0,W17/W$10)</f>
        <v>0.24616058676290287</v>
      </c>
      <c r="DA63" s="173"/>
    </row>
    <row r="64" spans="1:105" ht="11.45" customHeight="1" x14ac:dyDescent="0.25">
      <c r="A64" s="83" t="s">
        <v>92</v>
      </c>
      <c r="B64" s="125">
        <f t="shared" si="14"/>
        <v>5.1006884297900477E-2</v>
      </c>
      <c r="C64" s="125">
        <f t="shared" ref="C64:V64" si="31">IF(C18=0,0,C18/C$10)</f>
        <v>5.1836080964238182E-2</v>
      </c>
      <c r="D64" s="125">
        <f t="shared" si="31"/>
        <v>4.7395308258653165E-2</v>
      </c>
      <c r="E64" s="125">
        <f t="shared" si="31"/>
        <v>5.1728701258676284E-2</v>
      </c>
      <c r="F64" s="125">
        <f t="shared" si="31"/>
        <v>5.4488000056496545E-2</v>
      </c>
      <c r="G64" s="125">
        <f t="shared" si="31"/>
        <v>6.0829749311221516E-2</v>
      </c>
      <c r="H64" s="125">
        <f t="shared" si="31"/>
        <v>5.5668832922300328E-2</v>
      </c>
      <c r="I64" s="125">
        <f t="shared" si="31"/>
        <v>5.3341208797076864E-2</v>
      </c>
      <c r="J64" s="125">
        <f t="shared" si="31"/>
        <v>6.2330833341629199E-2</v>
      </c>
      <c r="K64" s="125">
        <f t="shared" si="31"/>
        <v>5.1034182820249657E-2</v>
      </c>
      <c r="L64" s="125">
        <f t="shared" si="31"/>
        <v>5.401461660023172E-2</v>
      </c>
      <c r="M64" s="125">
        <f t="shared" si="31"/>
        <v>5.4898176779087295E-2</v>
      </c>
      <c r="N64" s="125">
        <f t="shared" si="31"/>
        <v>4.4657794606861985E-2</v>
      </c>
      <c r="O64" s="125">
        <f t="shared" si="31"/>
        <v>4.4050253021590199E-2</v>
      </c>
      <c r="P64" s="125">
        <f t="shared" si="31"/>
        <v>3.7347235049536964E-2</v>
      </c>
      <c r="Q64" s="125">
        <f t="shared" si="31"/>
        <v>3.8542902669727507E-2</v>
      </c>
      <c r="R64" s="125">
        <f t="shared" si="31"/>
        <v>3.6035678567458485E-2</v>
      </c>
      <c r="S64" s="125">
        <f t="shared" si="31"/>
        <v>3.1711141268846117E-2</v>
      </c>
      <c r="T64" s="125">
        <f t="shared" si="31"/>
        <v>3.3980253109454683E-2</v>
      </c>
      <c r="U64" s="125">
        <f t="shared" si="31"/>
        <v>3.1197134677788712E-2</v>
      </c>
      <c r="V64" s="125">
        <f t="shared" si="31"/>
        <v>3.3501338406252343E-2</v>
      </c>
      <c r="W64" s="125">
        <f t="shared" ref="W64" si="32">IF(W18=0,0,W18/W$10)</f>
        <v>2.2389997392990905E-2</v>
      </c>
      <c r="DA64" s="171"/>
    </row>
    <row r="65" spans="1:105" ht="11.45" customHeight="1" x14ac:dyDescent="0.25">
      <c r="A65" s="85" t="s">
        <v>93</v>
      </c>
      <c r="B65" s="127">
        <f t="shared" si="14"/>
        <v>0.3488488158067598</v>
      </c>
      <c r="C65" s="127">
        <f t="shared" ref="C65:V65" si="33">IF(C19=0,0,C19/C$10)</f>
        <v>0.31843049749827956</v>
      </c>
      <c r="D65" s="127">
        <f t="shared" si="33"/>
        <v>0.32010195507655126</v>
      </c>
      <c r="E65" s="127">
        <f t="shared" si="33"/>
        <v>0.31384264456690114</v>
      </c>
      <c r="F65" s="127">
        <f t="shared" si="33"/>
        <v>0.32614577670736378</v>
      </c>
      <c r="G65" s="127">
        <f t="shared" si="33"/>
        <v>0.33406568212435733</v>
      </c>
      <c r="H65" s="127">
        <f t="shared" si="33"/>
        <v>0.34091232482040718</v>
      </c>
      <c r="I65" s="127">
        <f t="shared" si="33"/>
        <v>0.35076225393968413</v>
      </c>
      <c r="J65" s="127">
        <f t="shared" si="33"/>
        <v>0.2990398826997161</v>
      </c>
      <c r="K65" s="127">
        <f t="shared" si="33"/>
        <v>0.26902125474749328</v>
      </c>
      <c r="L65" s="127">
        <f t="shared" si="33"/>
        <v>0.28421625179599475</v>
      </c>
      <c r="M65" s="127">
        <f t="shared" si="33"/>
        <v>0.2773761659976326</v>
      </c>
      <c r="N65" s="127">
        <f t="shared" si="33"/>
        <v>0.26266820648829098</v>
      </c>
      <c r="O65" s="127">
        <f t="shared" si="33"/>
        <v>0.24505017825161923</v>
      </c>
      <c r="P65" s="127">
        <f t="shared" si="33"/>
        <v>0.23381413203127482</v>
      </c>
      <c r="Q65" s="127">
        <f t="shared" si="33"/>
        <v>0.22313658949704096</v>
      </c>
      <c r="R65" s="127">
        <f t="shared" si="33"/>
        <v>0.21703353928965521</v>
      </c>
      <c r="S65" s="127">
        <f t="shared" si="33"/>
        <v>0.24198304754721167</v>
      </c>
      <c r="T65" s="127">
        <f t="shared" si="33"/>
        <v>0.2136150812388441</v>
      </c>
      <c r="U65" s="127">
        <f t="shared" si="33"/>
        <v>0.21083615207725281</v>
      </c>
      <c r="V65" s="127">
        <f t="shared" si="33"/>
        <v>0.21863056386286006</v>
      </c>
      <c r="W65" s="127">
        <f t="shared" ref="W65" si="34">IF(W19=0,0,W19/W$10)</f>
        <v>0.22377058936991195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76.471288919999992</v>
      </c>
      <c r="C4" s="26">
        <f t="shared" ref="C4:W4" si="0">SUM(C5:C6)</f>
        <v>76.471288919999992</v>
      </c>
      <c r="D4" s="26">
        <f t="shared" si="0"/>
        <v>86.030100000000004</v>
      </c>
      <c r="E4" s="26">
        <f t="shared" si="0"/>
        <v>79.657470360000005</v>
      </c>
      <c r="F4" s="26">
        <f t="shared" si="0"/>
        <v>66.912211080000006</v>
      </c>
      <c r="G4" s="26">
        <f t="shared" si="0"/>
        <v>65.666441879999994</v>
      </c>
      <c r="H4" s="26">
        <f t="shared" si="0"/>
        <v>69.585679799999994</v>
      </c>
      <c r="I4" s="26">
        <f t="shared" si="0"/>
        <v>66.800705399999998</v>
      </c>
      <c r="J4" s="26">
        <f t="shared" si="0"/>
        <v>71.111813760000018</v>
      </c>
      <c r="K4" s="26">
        <f t="shared" si="0"/>
        <v>63.512621640000013</v>
      </c>
      <c r="L4" s="26">
        <f t="shared" si="0"/>
        <v>61.431893640000013</v>
      </c>
      <c r="M4" s="26">
        <f t="shared" si="0"/>
        <v>60.405934679999994</v>
      </c>
      <c r="N4" s="26">
        <f t="shared" si="0"/>
        <v>59.902558559999996</v>
      </c>
      <c r="O4" s="26">
        <f t="shared" si="0"/>
        <v>53.453368800000007</v>
      </c>
      <c r="P4" s="26">
        <f t="shared" si="0"/>
        <v>47.695620959999985</v>
      </c>
      <c r="Q4" s="26">
        <f t="shared" si="0"/>
        <v>46.539216359999983</v>
      </c>
      <c r="R4" s="26">
        <f t="shared" si="0"/>
        <v>44.869565519999981</v>
      </c>
      <c r="S4" s="26">
        <f t="shared" si="0"/>
        <v>41.424893640000008</v>
      </c>
      <c r="T4" s="26">
        <f t="shared" si="0"/>
        <v>44.270422560000014</v>
      </c>
      <c r="U4" s="26">
        <f t="shared" si="0"/>
        <v>44.170387559999988</v>
      </c>
      <c r="V4" s="26">
        <f t="shared" si="0"/>
        <v>43.17483923999999</v>
      </c>
      <c r="W4" s="26">
        <f t="shared" si="0"/>
        <v>35.345700000000008</v>
      </c>
      <c r="DA4" s="202" t="s">
        <v>1135</v>
      </c>
    </row>
    <row r="5" spans="1:105" ht="11.45" customHeight="1" x14ac:dyDescent="0.25">
      <c r="A5" s="107" t="s">
        <v>92</v>
      </c>
      <c r="B5" s="129">
        <v>76.471288919999992</v>
      </c>
      <c r="C5" s="129">
        <v>76.471288919999992</v>
      </c>
      <c r="D5" s="129">
        <v>86.030100000000004</v>
      </c>
      <c r="E5" s="129">
        <v>79.657470360000005</v>
      </c>
      <c r="F5" s="129">
        <v>66.912211080000006</v>
      </c>
      <c r="G5" s="129">
        <v>65.666441879999994</v>
      </c>
      <c r="H5" s="129">
        <v>69.585679799999994</v>
      </c>
      <c r="I5" s="129">
        <v>66.800705399999998</v>
      </c>
      <c r="J5" s="129">
        <v>71.111813760000018</v>
      </c>
      <c r="K5" s="129">
        <v>63.512621640000013</v>
      </c>
      <c r="L5" s="129">
        <v>61.431893640000013</v>
      </c>
      <c r="M5" s="129">
        <v>60.405934679999994</v>
      </c>
      <c r="N5" s="129">
        <v>59.902558559999996</v>
      </c>
      <c r="O5" s="129">
        <v>53.453368800000007</v>
      </c>
      <c r="P5" s="129">
        <v>47.695620959999985</v>
      </c>
      <c r="Q5" s="129">
        <v>46.539216359999983</v>
      </c>
      <c r="R5" s="129">
        <v>44.869565519999981</v>
      </c>
      <c r="S5" s="129">
        <v>41.424893640000008</v>
      </c>
      <c r="T5" s="129">
        <v>44.270422560000014</v>
      </c>
      <c r="U5" s="129">
        <v>44.170387559999988</v>
      </c>
      <c r="V5" s="129">
        <v>43.17483923999999</v>
      </c>
      <c r="W5" s="129">
        <v>35.345700000000008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76.471288919999978</v>
      </c>
      <c r="C8" s="79">
        <f t="shared" si="1"/>
        <v>76.471288919999978</v>
      </c>
      <c r="D8" s="79">
        <f t="shared" si="1"/>
        <v>86.030100000000004</v>
      </c>
      <c r="E8" s="79">
        <f t="shared" si="1"/>
        <v>79.657470359999991</v>
      </c>
      <c r="F8" s="79">
        <f t="shared" si="1"/>
        <v>66.912211080000006</v>
      </c>
      <c r="G8" s="79">
        <f t="shared" si="1"/>
        <v>65.666441879999994</v>
      </c>
      <c r="H8" s="79">
        <f t="shared" si="1"/>
        <v>69.58567979999998</v>
      </c>
      <c r="I8" s="79">
        <f t="shared" si="1"/>
        <v>66.800705399999998</v>
      </c>
      <c r="J8" s="79">
        <f t="shared" si="1"/>
        <v>71.111813760000018</v>
      </c>
      <c r="K8" s="79">
        <f t="shared" si="1"/>
        <v>63.51262164000002</v>
      </c>
      <c r="L8" s="79">
        <f t="shared" si="1"/>
        <v>61.431893640000013</v>
      </c>
      <c r="M8" s="79">
        <f t="shared" si="1"/>
        <v>60.40593467999998</v>
      </c>
      <c r="N8" s="79">
        <f t="shared" si="1"/>
        <v>59.902558559999989</v>
      </c>
      <c r="O8" s="79">
        <f t="shared" si="1"/>
        <v>53.453368800000007</v>
      </c>
      <c r="P8" s="79">
        <f t="shared" si="1"/>
        <v>47.695620959999985</v>
      </c>
      <c r="Q8" s="79">
        <f t="shared" si="1"/>
        <v>46.539216359999983</v>
      </c>
      <c r="R8" s="79">
        <f t="shared" si="1"/>
        <v>44.869565519999981</v>
      </c>
      <c r="S8" s="79">
        <f t="shared" si="1"/>
        <v>41.424893640000015</v>
      </c>
      <c r="T8" s="79">
        <f t="shared" si="1"/>
        <v>44.270422560000014</v>
      </c>
      <c r="U8" s="79">
        <f t="shared" si="1"/>
        <v>44.170387559999988</v>
      </c>
      <c r="V8" s="79">
        <f t="shared" si="1"/>
        <v>43.174839239999997</v>
      </c>
      <c r="W8" s="79">
        <f t="shared" si="1"/>
        <v>35.345700000000008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29.11125765569269</v>
      </c>
      <c r="C9" s="32">
        <f t="shared" si="2"/>
        <v>32.932173550249473</v>
      </c>
      <c r="D9" s="32">
        <f t="shared" si="2"/>
        <v>45.704701531075706</v>
      </c>
      <c r="E9" s="32">
        <f t="shared" si="2"/>
        <v>36.374909861770085</v>
      </c>
      <c r="F9" s="32">
        <f t="shared" si="2"/>
        <v>19.820529241525389</v>
      </c>
      <c r="G9" s="32">
        <f t="shared" si="2"/>
        <v>15.944440698074921</v>
      </c>
      <c r="H9" s="32">
        <f t="shared" si="2"/>
        <v>22.869047661461167</v>
      </c>
      <c r="I9" s="32">
        <f t="shared" si="2"/>
        <v>21.559852810310179</v>
      </c>
      <c r="J9" s="32">
        <f t="shared" si="2"/>
        <v>27.239226149455234</v>
      </c>
      <c r="K9" s="32">
        <f t="shared" si="2"/>
        <v>27.08067084677246</v>
      </c>
      <c r="L9" s="32">
        <f t="shared" si="2"/>
        <v>23.474583803245324</v>
      </c>
      <c r="M9" s="32">
        <f t="shared" si="2"/>
        <v>18.427915636195522</v>
      </c>
      <c r="N9" s="32">
        <f t="shared" si="2"/>
        <v>25.241270221560317</v>
      </c>
      <c r="O9" s="32">
        <f t="shared" si="2"/>
        <v>18.783909265395277</v>
      </c>
      <c r="P9" s="32">
        <f t="shared" si="2"/>
        <v>19.86173427012837</v>
      </c>
      <c r="Q9" s="32">
        <f t="shared" si="2"/>
        <v>18.064436135033073</v>
      </c>
      <c r="R9" s="32">
        <f t="shared" si="2"/>
        <v>17.643954314018227</v>
      </c>
      <c r="S9" s="32">
        <f t="shared" si="2"/>
        <v>19.166125210618624</v>
      </c>
      <c r="T9" s="32">
        <f t="shared" si="2"/>
        <v>19.442957818131479</v>
      </c>
      <c r="U9" s="32">
        <f t="shared" si="2"/>
        <v>22.128505423896243</v>
      </c>
      <c r="V9" s="32">
        <f t="shared" si="2"/>
        <v>21.513344210769464</v>
      </c>
      <c r="W9" s="32">
        <f t="shared" si="2"/>
        <v>19.270028021192235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29.11125765569269</v>
      </c>
      <c r="C11" s="130">
        <f t="shared" si="3"/>
        <v>32.932173550249473</v>
      </c>
      <c r="D11" s="130">
        <f t="shared" si="3"/>
        <v>45.704701531075706</v>
      </c>
      <c r="E11" s="130">
        <f t="shared" si="3"/>
        <v>36.374909861770085</v>
      </c>
      <c r="F11" s="130">
        <f t="shared" si="3"/>
        <v>19.820529241525389</v>
      </c>
      <c r="G11" s="130">
        <f t="shared" si="3"/>
        <v>15.944440698074921</v>
      </c>
      <c r="H11" s="130">
        <f t="shared" si="3"/>
        <v>22.869047661461167</v>
      </c>
      <c r="I11" s="130">
        <f t="shared" si="3"/>
        <v>21.559852810310179</v>
      </c>
      <c r="J11" s="130">
        <f t="shared" si="3"/>
        <v>27.239226149455234</v>
      </c>
      <c r="K11" s="130">
        <f t="shared" si="3"/>
        <v>27.08067084677246</v>
      </c>
      <c r="L11" s="130">
        <f t="shared" si="3"/>
        <v>23.474583803245324</v>
      </c>
      <c r="M11" s="130">
        <f t="shared" si="3"/>
        <v>18.427915636195522</v>
      </c>
      <c r="N11" s="130">
        <f t="shared" si="3"/>
        <v>25.241270221560317</v>
      </c>
      <c r="O11" s="130">
        <f t="shared" si="3"/>
        <v>18.783909265395277</v>
      </c>
      <c r="P11" s="130">
        <f t="shared" si="3"/>
        <v>19.86173427012837</v>
      </c>
      <c r="Q11" s="130">
        <f t="shared" si="3"/>
        <v>18.064436135033073</v>
      </c>
      <c r="R11" s="130">
        <f t="shared" si="3"/>
        <v>17.643954314018227</v>
      </c>
      <c r="S11" s="130">
        <f t="shared" si="3"/>
        <v>19.166125210618624</v>
      </c>
      <c r="T11" s="130">
        <f t="shared" si="3"/>
        <v>19.442957818131479</v>
      </c>
      <c r="U11" s="130">
        <f t="shared" si="3"/>
        <v>22.128505423896243</v>
      </c>
      <c r="V11" s="130">
        <f t="shared" si="3"/>
        <v>21.513344210769464</v>
      </c>
      <c r="W11" s="130">
        <f t="shared" si="3"/>
        <v>19.270028021192235</v>
      </c>
      <c r="DA11" s="176" t="s">
        <v>408</v>
      </c>
    </row>
    <row r="12" spans="1:105" ht="11.45" customHeight="1" x14ac:dyDescent="0.25">
      <c r="A12" s="111" t="s">
        <v>92</v>
      </c>
      <c r="B12" s="96">
        <v>29.11125765569269</v>
      </c>
      <c r="C12" s="96">
        <v>32.932173550249473</v>
      </c>
      <c r="D12" s="96">
        <v>45.704701531075706</v>
      </c>
      <c r="E12" s="96">
        <v>36.374909861770085</v>
      </c>
      <c r="F12" s="96">
        <v>19.820529241525389</v>
      </c>
      <c r="G12" s="96">
        <v>15.944440698074921</v>
      </c>
      <c r="H12" s="96">
        <v>22.869047661461167</v>
      </c>
      <c r="I12" s="96">
        <v>21.559852810310179</v>
      </c>
      <c r="J12" s="96">
        <v>27.239226149455234</v>
      </c>
      <c r="K12" s="96">
        <v>27.08067084677246</v>
      </c>
      <c r="L12" s="96">
        <v>23.474583803245324</v>
      </c>
      <c r="M12" s="96">
        <v>18.427915636195522</v>
      </c>
      <c r="N12" s="96">
        <v>25.241270221560317</v>
      </c>
      <c r="O12" s="96">
        <v>18.783909265395277</v>
      </c>
      <c r="P12" s="96">
        <v>19.86173427012837</v>
      </c>
      <c r="Q12" s="96">
        <v>18.064436135033073</v>
      </c>
      <c r="R12" s="96">
        <v>17.643954314018227</v>
      </c>
      <c r="S12" s="96">
        <v>19.166125210618624</v>
      </c>
      <c r="T12" s="96">
        <v>19.442957818131479</v>
      </c>
      <c r="U12" s="96">
        <v>22.128505423896243</v>
      </c>
      <c r="V12" s="96">
        <v>21.513344210769464</v>
      </c>
      <c r="W12" s="96">
        <v>19.270028021192235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47.360031264307295</v>
      </c>
      <c r="C15" s="32">
        <f t="shared" si="4"/>
        <v>43.539115369750512</v>
      </c>
      <c r="D15" s="32">
        <f t="shared" si="4"/>
        <v>40.325398468924305</v>
      </c>
      <c r="E15" s="32">
        <f t="shared" si="4"/>
        <v>43.282560498229905</v>
      </c>
      <c r="F15" s="32">
        <f t="shared" si="4"/>
        <v>47.091681838474621</v>
      </c>
      <c r="G15" s="32">
        <f t="shared" si="4"/>
        <v>49.722001181925073</v>
      </c>
      <c r="H15" s="32">
        <f t="shared" si="4"/>
        <v>46.71663213853882</v>
      </c>
      <c r="I15" s="32">
        <f t="shared" si="4"/>
        <v>45.240852589689823</v>
      </c>
      <c r="J15" s="32">
        <f t="shared" si="4"/>
        <v>43.872587610544784</v>
      </c>
      <c r="K15" s="32">
        <f t="shared" si="4"/>
        <v>36.431950793227557</v>
      </c>
      <c r="L15" s="32">
        <f t="shared" si="4"/>
        <v>37.957309836754689</v>
      </c>
      <c r="M15" s="32">
        <f t="shared" si="4"/>
        <v>41.978019043804458</v>
      </c>
      <c r="N15" s="32">
        <f t="shared" si="4"/>
        <v>34.661288338439675</v>
      </c>
      <c r="O15" s="32">
        <f t="shared" si="4"/>
        <v>34.669459534604734</v>
      </c>
      <c r="P15" s="32">
        <f t="shared" si="4"/>
        <v>27.833886689871616</v>
      </c>
      <c r="Q15" s="32">
        <f t="shared" si="4"/>
        <v>28.47478022496691</v>
      </c>
      <c r="R15" s="32">
        <f t="shared" si="4"/>
        <v>27.225611205981757</v>
      </c>
      <c r="S15" s="32">
        <f t="shared" si="4"/>
        <v>22.258768429381391</v>
      </c>
      <c r="T15" s="32">
        <f t="shared" si="4"/>
        <v>24.827464741868539</v>
      </c>
      <c r="U15" s="32">
        <f t="shared" si="4"/>
        <v>22.041882136103744</v>
      </c>
      <c r="V15" s="32">
        <f t="shared" si="4"/>
        <v>21.661495029230529</v>
      </c>
      <c r="W15" s="32">
        <f t="shared" si="4"/>
        <v>16.075671978807769</v>
      </c>
      <c r="DA15" s="173" t="s">
        <v>413</v>
      </c>
    </row>
    <row r="16" spans="1:105" ht="11.45" customHeight="1" x14ac:dyDescent="0.25">
      <c r="A16" s="83" t="s">
        <v>92</v>
      </c>
      <c r="B16" s="96">
        <v>47.360031264307295</v>
      </c>
      <c r="C16" s="96">
        <v>43.539115369750512</v>
      </c>
      <c r="D16" s="96">
        <v>40.325398468924305</v>
      </c>
      <c r="E16" s="96">
        <v>43.282560498229905</v>
      </c>
      <c r="F16" s="96">
        <v>47.091681838474621</v>
      </c>
      <c r="G16" s="96">
        <v>49.722001181925073</v>
      </c>
      <c r="H16" s="96">
        <v>46.71663213853882</v>
      </c>
      <c r="I16" s="96">
        <v>45.240852589689823</v>
      </c>
      <c r="J16" s="96">
        <v>43.872587610544784</v>
      </c>
      <c r="K16" s="96">
        <v>36.431950793227557</v>
      </c>
      <c r="L16" s="96">
        <v>37.957309836754689</v>
      </c>
      <c r="M16" s="96">
        <v>41.978019043804458</v>
      </c>
      <c r="N16" s="96">
        <v>34.661288338439675</v>
      </c>
      <c r="O16" s="96">
        <v>34.669459534604734</v>
      </c>
      <c r="P16" s="96">
        <v>27.833886689871616</v>
      </c>
      <c r="Q16" s="96">
        <v>28.47478022496691</v>
      </c>
      <c r="R16" s="96">
        <v>27.225611205981757</v>
      </c>
      <c r="S16" s="96">
        <v>22.258768429381391</v>
      </c>
      <c r="T16" s="96">
        <v>24.827464741868539</v>
      </c>
      <c r="U16" s="96">
        <v>22.041882136103744</v>
      </c>
      <c r="V16" s="96">
        <v>21.661495029230529</v>
      </c>
      <c r="W16" s="96">
        <v>16.075671978807769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0.25551455802568873</v>
      </c>
      <c r="C22" s="134">
        <f>IF(C4=0,0,C4/TrRail_ene!C4)</f>
        <v>0.28245638238009929</v>
      </c>
      <c r="D22" s="134">
        <f>IF(D4=0,0,D4/TrRail_ene!D4)</f>
        <v>0.31369495626273713</v>
      </c>
      <c r="E22" s="134">
        <f>IF(E4=0,0,E4/TrRail_ene!E4)</f>
        <v>0.29535584115684099</v>
      </c>
      <c r="F22" s="134">
        <f>IF(F4=0,0,F4/TrRail_ene!F4)</f>
        <v>0.24019417508877777</v>
      </c>
      <c r="G22" s="134">
        <f>IF(G4=0,0,G4/TrRail_ene!G4)</f>
        <v>0.24923632295814546</v>
      </c>
      <c r="H22" s="134">
        <f>IF(H4=0,0,H4/TrRail_ene!H4)</f>
        <v>0.25725326058384757</v>
      </c>
      <c r="I22" s="134">
        <f>IF(I4=0,0,I4/TrRail_ene!I4)</f>
        <v>0.24435067576959912</v>
      </c>
      <c r="J22" s="134">
        <f>IF(J4=0,0,J4/TrRail_ene!J4)</f>
        <v>0.31343815528861035</v>
      </c>
      <c r="K22" s="134">
        <f>IF(K4=0,0,K4/TrRail_ene!K4)</f>
        <v>0.27601914199161548</v>
      </c>
      <c r="L22" s="134">
        <f>IF(L4=0,0,L4/TrRail_ene!L4)</f>
        <v>0.2712128103762344</v>
      </c>
      <c r="M22" s="134">
        <f>IF(M4=0,0,M4/TrRail_ene!M4)</f>
        <v>0.24508459450559456</v>
      </c>
      <c r="N22" s="134">
        <f>IF(N4=0,0,N4/TrRail_ene!N4)</f>
        <v>0.2394409167765803</v>
      </c>
      <c r="O22" s="134">
        <f>IF(O4=0,0,O4/TrRail_ene!O4)</f>
        <v>0.21070596978829845</v>
      </c>
      <c r="P22" s="134">
        <f>IF(P4=0,0,P4/TrRail_ene!P4)</f>
        <v>0.19854709211581656</v>
      </c>
      <c r="Q22" s="134">
        <f>IF(Q4=0,0,Q4/TrRail_ene!Q4)</f>
        <v>0.19543553285884865</v>
      </c>
      <c r="R22" s="134">
        <f>IF(R4=0,0,R4/TrRail_ene!R4)</f>
        <v>0.18424993944556206</v>
      </c>
      <c r="S22" s="134">
        <f>IF(S4=0,0,S4/TrRail_ene!S4)</f>
        <v>0.18309334817771825</v>
      </c>
      <c r="T22" s="134">
        <f>IF(T4=0,0,T4/TrRail_ene!T4)</f>
        <v>0.18797856350112974</v>
      </c>
      <c r="U22" s="134">
        <f>IF(U4=0,0,U4/TrRail_ene!U4)</f>
        <v>0.19395351976126077</v>
      </c>
      <c r="V22" s="134">
        <f>IF(V4=0,0,V4/TrRail_ene!V4)</f>
        <v>0.20715951379859054</v>
      </c>
      <c r="W22" s="134">
        <f>IF(W4=0,0,W4/TrRail_ene!W4)</f>
        <v>0.15272914397176304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1.5512094000000003</v>
      </c>
      <c r="J23" s="129">
        <f>IF(J5=0,0,J5/SUM(TrRail_ene!J5:J7))</f>
        <v>1.5512094000000003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1.5512094000000003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1.5512093999999998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511.3534047125712</v>
      </c>
      <c r="C26" s="54">
        <f>IF(C8=0,0,C8/TrRail_act!C14*1000)</f>
        <v>512.30810312948984</v>
      </c>
      <c r="D26" s="54">
        <f>IF(D8=0,0,D8/TrRail_act!D14*1000)</f>
        <v>567.4036232893875</v>
      </c>
      <c r="E26" s="54">
        <f>IF(E8=0,0,E8/TrRail_act!E14*1000)</f>
        <v>518.81320586362733</v>
      </c>
      <c r="F26" s="54">
        <f>IF(F8=0,0,F8/TrRail_act!F14*1000)</f>
        <v>413.64732030189799</v>
      </c>
      <c r="G26" s="54">
        <f>IF(G8=0,0,G8/TrRail_act!G14*1000)</f>
        <v>415.49552039439141</v>
      </c>
      <c r="H26" s="54">
        <f>IF(H8=0,0,H8/TrRail_act!H14*1000)</f>
        <v>420.08574930546979</v>
      </c>
      <c r="I26" s="54">
        <f>IF(I8=0,0,I8/TrRail_act!I14*1000)</f>
        <v>380.55705493425643</v>
      </c>
      <c r="J26" s="54">
        <f>IF(J8=0,0,J8/TrRail_act!J14*1000)</f>
        <v>454.11353996769668</v>
      </c>
      <c r="K26" s="54">
        <f>IF(K8=0,0,K8/TrRail_act!K14*1000)</f>
        <v>389.9093404364591</v>
      </c>
      <c r="L26" s="54">
        <f>IF(L8=0,0,L8/TrRail_act!L14*1000)</f>
        <v>376.08969678445789</v>
      </c>
      <c r="M26" s="54">
        <f>IF(M8=0,0,M8/TrRail_act!M14*1000)</f>
        <v>338.00208856921518</v>
      </c>
      <c r="N26" s="54">
        <f>IF(N8=0,0,N8/TrRail_act!N14*1000)</f>
        <v>323.67593330924223</v>
      </c>
      <c r="O26" s="54">
        <f>IF(O8=0,0,O8/TrRail_act!O14*1000)</f>
        <v>278.05818402423137</v>
      </c>
      <c r="P26" s="54">
        <f>IF(P8=0,0,P8/TrRail_act!P14*1000)</f>
        <v>255.66905229098325</v>
      </c>
      <c r="Q26" s="54">
        <f>IF(Q8=0,0,Q8/TrRail_act!Q14*1000)</f>
        <v>246.7794623291922</v>
      </c>
      <c r="R26" s="54">
        <f>IF(R8=0,0,R8/TrRail_act!R14*1000)</f>
        <v>228.55583353605803</v>
      </c>
      <c r="S26" s="54">
        <f>IF(S8=0,0,S8/TrRail_act!S14*1000)</f>
        <v>224.84840324442914</v>
      </c>
      <c r="T26" s="54">
        <f>IF(T8=0,0,T8/TrRail_act!T14*1000)</f>
        <v>228.17861393405752</v>
      </c>
      <c r="U26" s="54">
        <f>IF(U8=0,0,U8/TrRail_act!U14*1000)</f>
        <v>234.54999875467183</v>
      </c>
      <c r="V26" s="54">
        <f>IF(V8=0,0,V8/TrRail_act!V14*1000)</f>
        <v>245.81444568960913</v>
      </c>
      <c r="W26" s="54">
        <f>IF(W8=0,0,W8/TrRail_act!W14*1000)</f>
        <v>180.45358260343463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269.9510037550271</v>
      </c>
      <c r="C27" s="28">
        <f>IF(C9=0,0,C9/TrRail_act!C15*1000)</f>
        <v>298.55083853996871</v>
      </c>
      <c r="D27" s="28">
        <f>IF(D9=0,0,D9/TrRail_act!D15*1000)</f>
        <v>408.0059020621573</v>
      </c>
      <c r="E27" s="28">
        <f>IF(E9=0,0,E9/TrRail_act!E15*1000)</f>
        <v>319.71480154698571</v>
      </c>
      <c r="F27" s="28">
        <f>IF(F9=0,0,F9/TrRail_act!F15*1000)</f>
        <v>167.82965073099854</v>
      </c>
      <c r="G27" s="28">
        <f>IF(G9=0,0,G9/TrRail_act!G15*1000)</f>
        <v>140.19845508763942</v>
      </c>
      <c r="H27" s="28">
        <f>IF(H9=0,0,H9/TrRail_act!H15*1000)</f>
        <v>191.89454036498498</v>
      </c>
      <c r="I27" s="28">
        <f>IF(I9=0,0,I9/TrRail_act!I15*1000)</f>
        <v>173.14872748479306</v>
      </c>
      <c r="J27" s="28">
        <f>IF(J9=0,0,J9/TrRail_act!J15*1000)</f>
        <v>238.09214125452684</v>
      </c>
      <c r="K27" s="28">
        <f>IF(K9=0,0,K9/TrRail_act!K15*1000)</f>
        <v>217.78206298808956</v>
      </c>
      <c r="L27" s="28">
        <f>IF(L9=0,0,L9/TrRail_act!L15*1000)</f>
        <v>191.02196608070358</v>
      </c>
      <c r="M27" s="28">
        <f>IF(M9=0,0,M9/TrRail_act!M15*1000)</f>
        <v>136.14939030699816</v>
      </c>
      <c r="N27" s="28">
        <f>IF(N9=0,0,N9/TrRail_act!N15*1000)</f>
        <v>176.19194684085292</v>
      </c>
      <c r="O27" s="28">
        <f>IF(O9=0,0,O9/TrRail_act!O15*1000)</f>
        <v>123.51241798731645</v>
      </c>
      <c r="P27" s="28">
        <f>IF(P9=0,0,P9/TrRail_act!P15*1000)</f>
        <v>132.89510025818996</v>
      </c>
      <c r="Q27" s="28">
        <f>IF(Q9=0,0,Q9/TrRail_act!Q15*1000)</f>
        <v>117.96937117940955</v>
      </c>
      <c r="R27" s="28">
        <f>IF(R9=0,0,R9/TrRail_act!R15*1000)</f>
        <v>109.72581356882765</v>
      </c>
      <c r="S27" s="28">
        <f>IF(S9=0,0,S9/TrRail_act!S15*1000)</f>
        <v>129.98090189925259</v>
      </c>
      <c r="T27" s="28">
        <f>IF(T9=0,0,T9/TrRail_act!T15*1000)</f>
        <v>121.97411441433017</v>
      </c>
      <c r="U27" s="28">
        <f>IF(U9=0,0,U9/TrRail_act!U15*1000)</f>
        <v>142.70603158189436</v>
      </c>
      <c r="V27" s="28">
        <f>IF(V9=0,0,V9/TrRail_act!V15*1000)</f>
        <v>149.63530833738278</v>
      </c>
      <c r="W27" s="28">
        <f>IF(W9=0,0,W9/TrRail_act!W15*1000)</f>
        <v>120.34983303208759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424.88946716771551</v>
      </c>
      <c r="C29" s="110">
        <f>IF(C11=0,0,C11/TrRail_act!C17*1000)</f>
        <v>474.8495591577032</v>
      </c>
      <c r="D29" s="110">
        <f>IF(D11=0,0,D11/TrRail_act!D17*1000)</f>
        <v>638.25184484985982</v>
      </c>
      <c r="E29" s="110">
        <f>IF(E11=0,0,E11/TrRail_act!E17*1000)</f>
        <v>499.32660228070671</v>
      </c>
      <c r="F29" s="110">
        <f>IF(F11=0,0,F11/TrRail_act!F17*1000)</f>
        <v>258.31621099550551</v>
      </c>
      <c r="G29" s="110">
        <f>IF(G11=0,0,G11/TrRail_act!G17*1000)</f>
        <v>217.4312637741379</v>
      </c>
      <c r="H29" s="110">
        <f>IF(H11=0,0,H11/TrRail_act!H17*1000)</f>
        <v>294.04541165545265</v>
      </c>
      <c r="I29" s="110">
        <f>IF(I11=0,0,I11/TrRail_act!I17*1000)</f>
        <v>263.98291050524011</v>
      </c>
      <c r="J29" s="110">
        <f>IF(J11=0,0,J11/TrRail_act!J17*1000)</f>
        <v>382.06098925214889</v>
      </c>
      <c r="K29" s="110">
        <f>IF(K11=0,0,K11/TrRail_act!K17*1000)</f>
        <v>336.40866561358649</v>
      </c>
      <c r="L29" s="110">
        <f>IF(L11=0,0,L11/TrRail_act!L17*1000)</f>
        <v>297.57664001433068</v>
      </c>
      <c r="M29" s="110">
        <f>IF(M11=0,0,M11/TrRail_act!M17*1000)</f>
        <v>204.32917470796087</v>
      </c>
      <c r="N29" s="110">
        <f>IF(N11=0,0,N11/TrRail_act!N17*1000)</f>
        <v>259.54033861480593</v>
      </c>
      <c r="O29" s="110">
        <f>IF(O11=0,0,O11/TrRail_act!O17*1000)</f>
        <v>180.77438569713163</v>
      </c>
      <c r="P29" s="110">
        <f>IF(P11=0,0,P11/TrRail_act!P17*1000)</f>
        <v>199.71936939304689</v>
      </c>
      <c r="Q29" s="110">
        <f>IF(Q11=0,0,Q11/TrRail_act!Q17*1000)</f>
        <v>175.15189421441531</v>
      </c>
      <c r="R29" s="110">
        <f>IF(R11=0,0,R11/TrRail_act!R17*1000)</f>
        <v>162.29628094095975</v>
      </c>
      <c r="S29" s="110">
        <f>IF(S11=0,0,S11/TrRail_act!S17*1000)</f>
        <v>204.40594775208459</v>
      </c>
      <c r="T29" s="110">
        <f>IF(T11=0,0,T11/TrRail_act!T17*1000)</f>
        <v>181.60985075100646</v>
      </c>
      <c r="U29" s="110">
        <f>IF(U11=0,0,U11/TrRail_act!U17*1000)</f>
        <v>218.42109071167658</v>
      </c>
      <c r="V29" s="110">
        <f>IF(V11=0,0,V11/TrRail_act!V17*1000)</f>
        <v>228.8674788371012</v>
      </c>
      <c r="W29" s="110">
        <f>IF(W11=0,0,W11/TrRail_act!W17*1000)</f>
        <v>175.54255854680505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8687.4529809804371</v>
      </c>
      <c r="C30" s="84">
        <f>IF(C12=0,0,C12/TrRail_act!C18*1000)</f>
        <v>8421.2089608989299</v>
      </c>
      <c r="D30" s="84">
        <f>IF(D12=0,0,D12/TrRail_act!D18*1000)</f>
        <v>8175.9389240684432</v>
      </c>
      <c r="E30" s="84">
        <f>IF(E12=0,0,E12/TrRail_act!E18*1000)</f>
        <v>8003.6148010955021</v>
      </c>
      <c r="F30" s="84">
        <f>IF(F12=0,0,F12/TrRail_act!F18*1000)</f>
        <v>7786.3909998695199</v>
      </c>
      <c r="G30" s="84">
        <f>IF(G12=0,0,G12/TrRail_act!G18*1000)</f>
        <v>7621.5578071326199</v>
      </c>
      <c r="H30" s="84">
        <f>IF(H12=0,0,H12/TrRail_act!H18*1000)</f>
        <v>7430.4795722210811</v>
      </c>
      <c r="I30" s="84">
        <f>IF(I12=0,0,I12/TrRail_act!I18*1000)</f>
        <v>7312.4720916275455</v>
      </c>
      <c r="J30" s="84">
        <f>IF(J12=0,0,J12/TrRail_act!J18*1000)</f>
        <v>7146.6924582880201</v>
      </c>
      <c r="K30" s="84">
        <f>IF(K12=0,0,K12/TrRail_act!K18*1000)</f>
        <v>6990.8559447221905</v>
      </c>
      <c r="L30" s="84">
        <f>IF(L12=0,0,L12/TrRail_act!L18*1000)</f>
        <v>6853.9385077134139</v>
      </c>
      <c r="M30" s="84">
        <f>IF(M12=0,0,M12/TrRail_act!M18*1000)</f>
        <v>6688.194788336039</v>
      </c>
      <c r="N30" s="84">
        <f>IF(N12=0,0,N12/TrRail_act!N18*1000)</f>
        <v>6548.8236370850946</v>
      </c>
      <c r="O30" s="84">
        <f>IF(O12=0,0,O12/TrRail_act!O18*1000)</f>
        <v>6407.0640229980236</v>
      </c>
      <c r="P30" s="84">
        <f>IF(P12=0,0,P12/TrRail_act!P18*1000)</f>
        <v>6204.1410792502156</v>
      </c>
      <c r="Q30" s="84">
        <f>IF(Q12=0,0,Q12/TrRail_act!Q18*1000)</f>
        <v>5966.7826325306642</v>
      </c>
      <c r="R30" s="84">
        <f>IF(R12=0,0,R12/TrRail_act!R18*1000)</f>
        <v>5794.7423524816741</v>
      </c>
      <c r="S30" s="84">
        <f>IF(S12=0,0,S12/TrRail_act!S18*1000)</f>
        <v>5668.9753232226849</v>
      </c>
      <c r="T30" s="84">
        <f>IF(T12=0,0,T12/TrRail_act!T18*1000)</f>
        <v>5576.444615200875</v>
      </c>
      <c r="U30" s="84">
        <f>IF(U12=0,0,U12/TrRail_act!U18*1000)</f>
        <v>5508.039082718813</v>
      </c>
      <c r="V30" s="84">
        <f>IF(V12=0,0,V12/TrRail_act!V18*1000)</f>
        <v>5457.2861722030448</v>
      </c>
      <c r="W30" s="84">
        <f>IF(W12=0,0,W12/TrRail_act!W18*1000)</f>
        <v>5419.5286237590235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1135.5196558619671</v>
      </c>
      <c r="C33" s="28">
        <f>IF(C15=0,0,C15/TrRail_act!C21*1000)</f>
        <v>1117.493343002835</v>
      </c>
      <c r="D33" s="28">
        <f>IF(D15=0,0,D15/TrRail_act!D21*1000)</f>
        <v>1018.2941697023838</v>
      </c>
      <c r="E33" s="28">
        <f>IF(E15=0,0,E15/TrRail_act!E21*1000)</f>
        <v>1088.4622941274474</v>
      </c>
      <c r="F33" s="28">
        <f>IF(F15=0,0,F15/TrRail_act!F21*1000)</f>
        <v>1078.5406261486037</v>
      </c>
      <c r="G33" s="28">
        <f>IF(G15=0,0,G15/TrRail_act!G21*1000)</f>
        <v>1121.986737616475</v>
      </c>
      <c r="H33" s="28">
        <f>IF(H15=0,0,H15/TrRail_act!H21*1000)</f>
        <v>1005.279469270111</v>
      </c>
      <c r="I33" s="28">
        <f>IF(I15=0,0,I15/TrRail_act!I21*1000)</f>
        <v>886.76902557300991</v>
      </c>
      <c r="J33" s="28">
        <f>IF(J15=0,0,J15/TrRail_act!J21*1000)</f>
        <v>1039.9169190001599</v>
      </c>
      <c r="K33" s="28">
        <f>IF(K15=0,0,K15/TrRail_act!K21*1000)</f>
        <v>945.22457572795736</v>
      </c>
      <c r="L33" s="28">
        <f>IF(L15=0,0,L15/TrRail_act!L21*1000)</f>
        <v>938.27668593578335</v>
      </c>
      <c r="M33" s="28">
        <f>IF(M15=0,0,M15/TrRail_act!M21*1000)</f>
        <v>968.03897508541729</v>
      </c>
      <c r="N33" s="28">
        <f>IF(N15=0,0,N15/TrRail_act!N21*1000)</f>
        <v>829.02940517017259</v>
      </c>
      <c r="O33" s="28">
        <f>IF(O15=0,0,O15/TrRail_act!O21*1000)</f>
        <v>863.3493294586666</v>
      </c>
      <c r="P33" s="28">
        <f>IF(P15=0,0,P15/TrRail_act!P21*1000)</f>
        <v>750.28074817770857</v>
      </c>
      <c r="Q33" s="28">
        <f>IF(Q15=0,0,Q15/TrRail_act!Q21*1000)</f>
        <v>803.05491910865192</v>
      </c>
      <c r="R33" s="28">
        <f>IF(R15=0,0,R15/TrRail_act!R21*1000)</f>
        <v>766.54405105493311</v>
      </c>
      <c r="S33" s="28">
        <f>IF(S15=0,0,S15/TrRail_act!S21*1000)</f>
        <v>605.16412817432911</v>
      </c>
      <c r="T33" s="28">
        <f>IF(T15=0,0,T15/TrRail_act!T21*1000)</f>
        <v>717.26240988126017</v>
      </c>
      <c r="U33" s="28">
        <f>IF(U15=0,0,U15/TrRail_act!U21*1000)</f>
        <v>662.79119143122421</v>
      </c>
      <c r="V33" s="28">
        <f>IF(V15=0,0,V15/TrRail_act!V21*1000)</f>
        <v>679.72312863014906</v>
      </c>
      <c r="W33" s="28">
        <f>IF(W15=0,0,W15/TrRail_act!W21*1000)</f>
        <v>449.61078367568626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15978.174116934309</v>
      </c>
      <c r="C34" s="84">
        <f>IF(C16=0,0,C16/TrRail_act!C22*1000)</f>
        <v>15817.456095167259</v>
      </c>
      <c r="D34" s="84">
        <f>IF(D16=0,0,D16/TrRail_act!D22*1000)</f>
        <v>15532.849536337972</v>
      </c>
      <c r="E34" s="84">
        <f>IF(E16=0,0,E16/TrRail_act!E22*1000)</f>
        <v>15279.758041679735</v>
      </c>
      <c r="F34" s="84">
        <f>IF(F16=0,0,F16/TrRail_act!F22*1000)</f>
        <v>15048.907356249218</v>
      </c>
      <c r="G34" s="84">
        <f>IF(G16=0,0,G16/TrRail_act!G22*1000)</f>
        <v>14894.266003781378</v>
      </c>
      <c r="H34" s="84">
        <f>IF(H16=0,0,H16/TrRail_act!H22*1000)</f>
        <v>14788.658102846694</v>
      </c>
      <c r="I34" s="84">
        <f>IF(I16=0,0,I16/TrRail_act!I22*1000)</f>
        <v>14672.251616727501</v>
      </c>
      <c r="J34" s="84">
        <f>IF(J16=0,0,J16/TrRail_act!J22*1000)</f>
        <v>14578.029936180516</v>
      </c>
      <c r="K34" s="84">
        <f>IF(K16=0,0,K16/TrRail_act!K22*1000)</f>
        <v>14383.074274970533</v>
      </c>
      <c r="L34" s="84">
        <f>IF(L16=0,0,L16/TrRail_act!L22*1000)</f>
        <v>14038.476577543557</v>
      </c>
      <c r="M34" s="84">
        <f>IF(M16=0,0,M16/TrRail_act!M22*1000)</f>
        <v>13720.890478480029</v>
      </c>
      <c r="N34" s="84">
        <f>IF(N16=0,0,N16/TrRail_act!N22*1000)</f>
        <v>13604.768558946989</v>
      </c>
      <c r="O34" s="84">
        <f>IF(O16=0,0,O16/TrRail_act!O22*1000)</f>
        <v>13521.489232296006</v>
      </c>
      <c r="P34" s="84">
        <f>IF(P16=0,0,P16/TrRail_act!P22*1000)</f>
        <v>13474.249069165013</v>
      </c>
      <c r="Q34" s="84">
        <f>IF(Q16=0,0,Q16/TrRail_act!Q22*1000)</f>
        <v>13383.587382389542</v>
      </c>
      <c r="R34" s="84">
        <f>IF(R16=0,0,R16/TrRail_act!R22*1000)</f>
        <v>13249.411708565189</v>
      </c>
      <c r="S34" s="84">
        <f>IF(S16=0,0,S16/TrRail_act!S22*1000)</f>
        <v>13083.915139198134</v>
      </c>
      <c r="T34" s="84">
        <f>IF(T16=0,0,T16/TrRail_act!T22*1000)</f>
        <v>12896.344972734476</v>
      </c>
      <c r="U34" s="84">
        <f>IF(U16=0,0,U16/TrRail_act!U22*1000)</f>
        <v>12757.434117768647</v>
      </c>
      <c r="V34" s="84">
        <f>IF(V16=0,0,V16/TrRail_act!V22*1000)</f>
        <v>12654.233778502979</v>
      </c>
      <c r="W34" s="84">
        <f>IF(W16=0,0,W16/TrRail_act!W22*1000)</f>
        <v>12577.381752595604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2.8470667633929279</v>
      </c>
      <c r="C38" s="29">
        <f>IF(C9=0,0,C9/TrRail_act!C4*1000)</f>
        <v>3.0711716450852813</v>
      </c>
      <c r="D38" s="29">
        <f>IF(D9=0,0,D9/TrRail_act!D4*1000)</f>
        <v>4.2058251155862436</v>
      </c>
      <c r="E38" s="29">
        <f>IF(E9=0,0,E9/TrRail_act!E4*1000)</f>
        <v>3.3593378150877435</v>
      </c>
      <c r="F38" s="29">
        <f>IF(F9=0,0,F9/TrRail_act!F4*1000)</f>
        <v>1.860733124439109</v>
      </c>
      <c r="G38" s="29">
        <f>IF(G9=0,0,G9/TrRail_act!G4*1000)</f>
        <v>1.4595789727274735</v>
      </c>
      <c r="H38" s="29">
        <f>IF(H9=0,0,H9/TrRail_act!H4*1000)</f>
        <v>1.9453085795730833</v>
      </c>
      <c r="I38" s="29">
        <f>IF(I9=0,0,I9/TrRail_act!I4*1000)</f>
        <v>1.7296311921628704</v>
      </c>
      <c r="J38" s="29">
        <f>IF(J9=0,0,J9/TrRail_act!J4*1000)</f>
        <v>2.0350561187489902</v>
      </c>
      <c r="K38" s="29">
        <f>IF(K9=0,0,K9/TrRail_act!K4*1000)</f>
        <v>1.9970996199684707</v>
      </c>
      <c r="L38" s="29">
        <f>IF(L9=0,0,L9/TrRail_act!L4*1000)</f>
        <v>1.7472708450498937</v>
      </c>
      <c r="M38" s="29">
        <f>IF(M9=0,0,M9/TrRail_act!M4*1000)</f>
        <v>1.3432404429036753</v>
      </c>
      <c r="N38" s="29">
        <f>IF(N9=0,0,N9/TrRail_act!N4*1000)</f>
        <v>1.7819463622704073</v>
      </c>
      <c r="O38" s="29">
        <f>IF(O9=0,0,O9/TrRail_act!O4*1000)</f>
        <v>1.3143873252673204</v>
      </c>
      <c r="P38" s="29">
        <f>IF(P9=0,0,P9/TrRail_act!P4*1000)</f>
        <v>1.3637554428816514</v>
      </c>
      <c r="Q38" s="29">
        <f>IF(Q9=0,0,Q9/TrRail_act!Q4*1000)</f>
        <v>1.1852682362496112</v>
      </c>
      <c r="R38" s="29">
        <f>IF(R9=0,0,R9/TrRail_act!R4*1000)</f>
        <v>1.1451164534020137</v>
      </c>
      <c r="S38" s="29">
        <f>IF(S9=0,0,S9/TrRail_act!S4*1000)</f>
        <v>1.1995321824144838</v>
      </c>
      <c r="T38" s="29">
        <f>IF(T9=0,0,T9/TrRail_act!T4*1000)</f>
        <v>1.1939915142551878</v>
      </c>
      <c r="U38" s="29">
        <f>IF(U9=0,0,U9/TrRail_act!U4*1000)</f>
        <v>1.2775535721896105</v>
      </c>
      <c r="V38" s="29">
        <f>IF(V9=0,0,V9/TrRail_act!V4*1000)</f>
        <v>2.1914377315645779</v>
      </c>
      <c r="W38" s="29">
        <f>IF(W9=0,0,W9/TrRail_act!W4*1000)</f>
        <v>2.003329662250986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4.6983953608283873</v>
      </c>
      <c r="C40" s="116">
        <f>IF(C11=0,0,C11/TrRail_act!C6*1000)</f>
        <v>5.0625939354726324</v>
      </c>
      <c r="D40" s="116">
        <f>IF(D11=0,0,D11/TrRail_act!D6*1000)</f>
        <v>7.0488435427322189</v>
      </c>
      <c r="E40" s="116">
        <f>IF(E11=0,0,E11/TrRail_act!E6*1000)</f>
        <v>5.6535452069894445</v>
      </c>
      <c r="F40" s="116">
        <f>IF(F11=0,0,F11/TrRail_act!F6*1000)</f>
        <v>3.1906840375926251</v>
      </c>
      <c r="G40" s="116">
        <f>IF(G11=0,0,G11/TrRail_act!G6*1000)</f>
        <v>2.4231672793426928</v>
      </c>
      <c r="H40" s="116">
        <f>IF(H11=0,0,H11/TrRail_act!H6*1000)</f>
        <v>3.2087901868193023</v>
      </c>
      <c r="I40" s="116">
        <f>IF(I11=0,0,I11/TrRail_act!I6*1000)</f>
        <v>2.8800230844656936</v>
      </c>
      <c r="J40" s="116">
        <f>IF(J11=0,0,J11/TrRail_act!J6*1000)</f>
        <v>3.3405967806543089</v>
      </c>
      <c r="K40" s="116">
        <f>IF(K11=0,0,K11/TrRail_act!K6*1000)</f>
        <v>3.2741713029588269</v>
      </c>
      <c r="L40" s="116">
        <f>IF(L11=0,0,L11/TrRail_act!L6*1000)</f>
        <v>2.857005270278747</v>
      </c>
      <c r="M40" s="116">
        <f>IF(M11=0,0,M11/TrRail_act!M6*1000)</f>
        <v>2.1548077217253887</v>
      </c>
      <c r="N40" s="116">
        <f>IF(N11=0,0,N11/TrRail_act!N6*1000)</f>
        <v>2.8540558821302935</v>
      </c>
      <c r="O40" s="116">
        <f>IF(O11=0,0,O11/TrRail_act!O6*1000)</f>
        <v>2.1376930995101033</v>
      </c>
      <c r="P40" s="116">
        <f>IF(P11=0,0,P11/TrRail_act!P6*1000)</f>
        <v>2.2334121522690169</v>
      </c>
      <c r="Q40" s="116">
        <f>IF(Q11=0,0,Q11/TrRail_act!Q6*1000)</f>
        <v>1.9266676765180326</v>
      </c>
      <c r="R40" s="116">
        <f>IF(R11=0,0,R11/TrRail_act!R6*1000)</f>
        <v>1.893331292415305</v>
      </c>
      <c r="S40" s="116">
        <f>IF(S11=0,0,S11/TrRail_act!S6*1000)</f>
        <v>1.9704045657056257</v>
      </c>
      <c r="T40" s="116">
        <f>IF(T11=0,0,T11/TrRail_act!T6*1000)</f>
        <v>1.9396406442669072</v>
      </c>
      <c r="U40" s="116">
        <f>IF(U11=0,0,U11/TrRail_act!U6*1000)</f>
        <v>2.0648040891943866</v>
      </c>
      <c r="V40" s="116">
        <f>IF(V11=0,0,V11/TrRail_act!V6*1000)</f>
        <v>3.3980957527672508</v>
      </c>
      <c r="W40" s="116">
        <f>IF(W11=0,0,W11/TrRail_act!W6*1000)</f>
        <v>3.1652477038752034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75.653619843346348</v>
      </c>
      <c r="C41" s="87">
        <f>IF(C12=0,0,C12/TrRail_act!C7*1000)</f>
        <v>73.74513217956364</v>
      </c>
      <c r="D41" s="87">
        <f>IF(D12=0,0,D12/TrRail_act!D7*1000)</f>
        <v>74.471230940912889</v>
      </c>
      <c r="E41" s="87">
        <f>IF(E12=0,0,E12/TrRail_act!E7*1000)</f>
        <v>77.783427689152958</v>
      </c>
      <c r="F41" s="87">
        <f>IF(F12=0,0,F12/TrRail_act!F7*1000)</f>
        <v>75.601705594350761</v>
      </c>
      <c r="G41" s="87">
        <f>IF(G12=0,0,G12/TrRail_act!G7*1000)</f>
        <v>71.26306503628912</v>
      </c>
      <c r="H41" s="87">
        <f>IF(H12=0,0,H12/TrRail_act!H7*1000)</f>
        <v>68.047021189271632</v>
      </c>
      <c r="I41" s="87">
        <f>IF(I12=0,0,I12/TrRail_act!I7*1000)</f>
        <v>66.497976615257173</v>
      </c>
      <c r="J41" s="87">
        <f>IF(J12=0,0,J12/TrRail_act!J7*1000)</f>
        <v>65.348095290208548</v>
      </c>
      <c r="K41" s="87">
        <f>IF(K12=0,0,K12/TrRail_act!K7*1000)</f>
        <v>64.166200340710802</v>
      </c>
      <c r="L41" s="87">
        <f>IF(L12=0,0,L12/TrRail_act!L7*1000)</f>
        <v>60.644000376226074</v>
      </c>
      <c r="M41" s="87">
        <f>IF(M12=0,0,M12/TrRail_act!M7*1000)</f>
        <v>65.011040130111482</v>
      </c>
      <c r="N41" s="87">
        <f>IF(N12=0,0,N12/TrRail_act!N7*1000)</f>
        <v>64.025503233984224</v>
      </c>
      <c r="O41" s="87">
        <f>IF(O12=0,0,O12/TrRail_act!O7*1000)</f>
        <v>61.945458942437945</v>
      </c>
      <c r="P41" s="87">
        <f>IF(P12=0,0,P12/TrRail_act!P7*1000)</f>
        <v>59.862868787449727</v>
      </c>
      <c r="Q41" s="87">
        <f>IF(Q12=0,0,Q12/TrRail_act!Q7*1000)</f>
        <v>57.650653263224747</v>
      </c>
      <c r="R41" s="87">
        <f>IF(R12=0,0,R12/TrRail_act!R7*1000)</f>
        <v>57.90548843445012</v>
      </c>
      <c r="S41" s="87">
        <f>IF(S12=0,0,S12/TrRail_act!S7*1000)</f>
        <v>55.728618084126474</v>
      </c>
      <c r="T41" s="87">
        <f>IF(T12=0,0,T12/TrRail_act!T7*1000)</f>
        <v>54.231537999494314</v>
      </c>
      <c r="U41" s="87">
        <f>IF(U12=0,0,U12/TrRail_act!U7*1000)</f>
        <v>53.678597907688172</v>
      </c>
      <c r="V41" s="87">
        <f>IF(V12=0,0,V12/TrRail_act!V7*1000)</f>
        <v>82.647019893426247</v>
      </c>
      <c r="W41" s="87">
        <f>IF(W12=0,0,W12/TrRail_act!W7*1000)</f>
        <v>84.692404552535137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2.4318372921338791</v>
      </c>
      <c r="C44" s="29">
        <f>IF(C15=0,0,C15/TrRail_act!C10*1000)</f>
        <v>2.2970937728052396</v>
      </c>
      <c r="D44" s="29">
        <f>IF(D15=0,0,D15/TrRail_act!D10*1000)</f>
        <v>2.1006093904737355</v>
      </c>
      <c r="E44" s="29">
        <f>IF(E15=0,0,E15/TrRail_act!E10*1000)</f>
        <v>2.1458879771060935</v>
      </c>
      <c r="F44" s="29">
        <f>IF(F15=0,0,F15/TrRail_act!F10*1000)</f>
        <v>2.2579440850822126</v>
      </c>
      <c r="G44" s="29">
        <f>IF(G15=0,0,G15/TrRail_act!G10*1000)</f>
        <v>2.2939792932837406</v>
      </c>
      <c r="H44" s="29">
        <f>IF(H15=0,0,H15/TrRail_act!H10*1000)</f>
        <v>2.0976441173965612</v>
      </c>
      <c r="I44" s="29">
        <f>IF(I15=0,0,I15/TrRail_act!I10*1000)</f>
        <v>1.9458431221371966</v>
      </c>
      <c r="J44" s="29">
        <f>IF(J15=0,0,J15/TrRail_act!J10*1000)</f>
        <v>1.9138277617581916</v>
      </c>
      <c r="K44" s="29">
        <f>IF(K15=0,0,K15/TrRail_act!K10*1000)</f>
        <v>1.7868434348534776</v>
      </c>
      <c r="L44" s="29">
        <f>IF(L15=0,0,L15/TrRail_act!L10*1000)</f>
        <v>1.6176828263192418</v>
      </c>
      <c r="M44" s="29">
        <f>IF(M15=0,0,M15/TrRail_act!M10*1000)</f>
        <v>1.8359875369053735</v>
      </c>
      <c r="N44" s="29">
        <f>IF(N15=0,0,N15/TrRail_act!N10*1000)</f>
        <v>1.5724397014217517</v>
      </c>
      <c r="O44" s="29">
        <f>IF(O15=0,0,O15/TrRail_act!O10*1000)</f>
        <v>1.6532884851981275</v>
      </c>
      <c r="P44" s="29">
        <f>IF(P15=0,0,P15/TrRail_act!P10*1000)</f>
        <v>1.3070006897948729</v>
      </c>
      <c r="Q44" s="29">
        <f>IF(Q15=0,0,Q15/TrRail_act!Q10*1000)</f>
        <v>1.3756597045735015</v>
      </c>
      <c r="R44" s="29">
        <f>IF(R15=0,0,R15/TrRail_act!R10*1000)</f>
        <v>1.2718682241419115</v>
      </c>
      <c r="S44" s="29">
        <f>IF(S15=0,0,S15/TrRail_act!S10*1000)</f>
        <v>1.0192677181693099</v>
      </c>
      <c r="T44" s="29">
        <f>IF(T15=0,0,T15/TrRail_act!T10*1000)</f>
        <v>1.0892105265363052</v>
      </c>
      <c r="U44" s="29">
        <f>IF(U15=0,0,U15/TrRail_act!U10*1000)</f>
        <v>0.99189461507081922</v>
      </c>
      <c r="V44" s="29">
        <f>IF(V15=0,0,V15/TrRail_act!V10*1000)</f>
        <v>0.98042432466871221</v>
      </c>
      <c r="W44" s="29">
        <f>IF(W15=0,0,W15/TrRail_act!W10*1000)</f>
        <v>0.68555895683431134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26.261233989968375</v>
      </c>
      <c r="C45" s="87">
        <f>IF(C16=0,0,C16/TrRail_act!C11*1000)</f>
        <v>26.402712293940777</v>
      </c>
      <c r="D45" s="87">
        <f>IF(D16=0,0,D16/TrRail_act!D11*1000)</f>
        <v>25.218583777002703</v>
      </c>
      <c r="E45" s="87">
        <f>IF(E16=0,0,E16/TrRail_act!E11*1000)</f>
        <v>24.660214038086487</v>
      </c>
      <c r="F45" s="87">
        <f>IF(F16=0,0,F16/TrRail_act!F11*1000)</f>
        <v>25.5363227756031</v>
      </c>
      <c r="G45" s="87">
        <f>IF(G16=0,0,G16/TrRail_act!G11*1000)</f>
        <v>24.700548367027569</v>
      </c>
      <c r="H45" s="87">
        <f>IF(H16=0,0,H16/TrRail_act!H11*1000)</f>
        <v>24.063535109137174</v>
      </c>
      <c r="I45" s="87">
        <f>IF(I16=0,0,I16/TrRail_act!I11*1000)</f>
        <v>22.927021063494625</v>
      </c>
      <c r="J45" s="87">
        <f>IF(J16=0,0,J16/TrRail_act!J11*1000)</f>
        <v>21.082367339502657</v>
      </c>
      <c r="K45" s="87">
        <f>IF(K16=0,0,K16/TrRail_act!K11*1000)</f>
        <v>20.679667002574138</v>
      </c>
      <c r="L45" s="87">
        <f>IF(L16=0,0,L16/TrRail_act!L11*1000)</f>
        <v>19.178598363582473</v>
      </c>
      <c r="M45" s="87">
        <f>IF(M16=0,0,M16/TrRail_act!M11*1000)</f>
        <v>21.055691779991925</v>
      </c>
      <c r="N45" s="87">
        <f>IF(N16=0,0,N16/TrRail_act!N11*1000)</f>
        <v>20.457059488475505</v>
      </c>
      <c r="O45" s="87">
        <f>IF(O16=0,0,O16/TrRail_act!O11*1000)</f>
        <v>20.723513038669171</v>
      </c>
      <c r="P45" s="87">
        <f>IF(P16=0,0,P16/TrRail_act!P11*1000)</f>
        <v>19.579305737731865</v>
      </c>
      <c r="Q45" s="87">
        <f>IF(Q16=0,0,Q16/TrRail_act!Q11*1000)</f>
        <v>19.983441198875738</v>
      </c>
      <c r="R45" s="87">
        <f>IF(R16=0,0,R16/TrRail_act!R11*1000)</f>
        <v>19.735002538874021</v>
      </c>
      <c r="S45" s="87">
        <f>IF(S16=0,0,S16/TrRail_act!S11*1000)</f>
        <v>17.386637818017515</v>
      </c>
      <c r="T45" s="87">
        <f>IF(T16=0,0,T16/TrRail_act!T11*1000)</f>
        <v>17.559281402930829</v>
      </c>
      <c r="U45" s="87">
        <f>IF(U16=0,0,U16/TrRail_act!U11*1000)</f>
        <v>16.230050747325663</v>
      </c>
      <c r="V45" s="87">
        <f>IF(V16=0,0,V16/TrRail_act!V11*1000)</f>
        <v>18.455252622301948</v>
      </c>
      <c r="W45" s="87">
        <f>IF(W16=0,0,W16/TrRail_act!W11*1000)</f>
        <v>18.954992441511312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81.540448210916253</v>
      </c>
      <c r="C48" s="62">
        <f>IF(C8=0,0,1000000*C8/TrRail_act!C25/1000)</f>
        <v>81.610143009957596</v>
      </c>
      <c r="D48" s="62">
        <f>IF(D8=0,0,1000000*D8/TrRail_act!D25/1000)</f>
        <v>91.175492452908898</v>
      </c>
      <c r="E48" s="62">
        <f>IF(E8=0,0,1000000*E8/TrRail_act!E25/1000)</f>
        <v>82.83488500707395</v>
      </c>
      <c r="F48" s="62">
        <f>IF(F8=0,0,1000000*F8/TrRail_act!F25/1000)</f>
        <v>65.521295597984277</v>
      </c>
      <c r="G48" s="62">
        <f>IF(G8=0,0,1000000*G8/TrRail_act!G25/1000)</f>
        <v>65.82417444031023</v>
      </c>
      <c r="H48" s="62">
        <f>IF(H8=0,0,1000000*H8/TrRail_act!H25/1000)</f>
        <v>66.64684006794738</v>
      </c>
      <c r="I48" s="62">
        <f>IF(I8=0,0,1000000*I8/TrRail_act!I25/1000)</f>
        <v>60.510823060773916</v>
      </c>
      <c r="J48" s="62">
        <f>IF(J8=0,0,1000000*J8/TrRail_act!J25/1000)</f>
        <v>68.380118098577398</v>
      </c>
      <c r="K48" s="62">
        <f>IF(K8=0,0,1000000*K8/TrRail_act!K25/1000)</f>
        <v>60.359446508418642</v>
      </c>
      <c r="L48" s="62">
        <f>IF(L8=0,0,1000000*L8/TrRail_act!L25/1000)</f>
        <v>59.40157047438089</v>
      </c>
      <c r="M48" s="62">
        <f>IF(M8=0,0,1000000*M8/TrRail_act!M25/1000)</f>
        <v>53.263432440291091</v>
      </c>
      <c r="N48" s="62">
        <f>IF(N8=0,0,1000000*N8/TrRail_act!N25/1000)</f>
        <v>50.859170106102496</v>
      </c>
      <c r="O48" s="62">
        <f>IF(O8=0,0,1000000*O8/TrRail_act!O25/1000)</f>
        <v>43.47283386691349</v>
      </c>
      <c r="P48" s="62">
        <f>IF(P8=0,0,1000000*P8/TrRail_act!P25/1000)</f>
        <v>40.240663963947782</v>
      </c>
      <c r="Q48" s="62">
        <f>IF(Q8=0,0,1000000*Q8/TrRail_act!Q25/1000)</f>
        <v>38.58956451633874</v>
      </c>
      <c r="R48" s="62">
        <f>IF(R8=0,0,1000000*R8/TrRail_act!R25/1000)</f>
        <v>35.675410213963417</v>
      </c>
      <c r="S48" s="62">
        <f>IF(S8=0,0,1000000*S8/TrRail_act!S25/1000)</f>
        <v>33.712778299353538</v>
      </c>
      <c r="T48" s="62">
        <f>IF(T8=0,0,1000000*T8/TrRail_act!T25/1000)</f>
        <v>35.702208890628725</v>
      </c>
      <c r="U48" s="62">
        <f>IF(U8=0,0,1000000*U8/TrRail_act!U25/1000)</f>
        <v>36.976097535101118</v>
      </c>
      <c r="V48" s="62">
        <f>IF(V8=0,0,1000000*V8/TrRail_act!V25/1000)</f>
        <v>37.890141431782816</v>
      </c>
      <c r="W48" s="62">
        <f>IF(W8=0,0,1000000*W8/TrRail_act!W25/1000)</f>
        <v>28.078703862492212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39.917063981217318</v>
      </c>
      <c r="C49" s="29">
        <f>IF(C9=0,0,1000000*C9/TrRail_act!C26/1000)</f>
        <v>44.369551147013439</v>
      </c>
      <c r="D49" s="29">
        <f>IF(D9=0,0,1000000*D9/TrRail_act!D26/1000)</f>
        <v>61.302398134191634</v>
      </c>
      <c r="E49" s="29">
        <f>IF(E9=0,0,1000000*E9/TrRail_act!E26/1000)</f>
        <v>47.684960248670002</v>
      </c>
      <c r="F49" s="29">
        <f>IF(F9=0,0,1000000*F9/TrRail_act!F26/1000)</f>
        <v>24.685669819152668</v>
      </c>
      <c r="G49" s="29">
        <f>IF(G9=0,0,1000000*G9/TrRail_act!G26/1000)</f>
        <v>20.546335752859843</v>
      </c>
      <c r="H49" s="29">
        <f>IF(H9=0,0,1000000*H9/TrRail_act!H26/1000)</f>
        <v>28.172898110473156</v>
      </c>
      <c r="I49" s="29">
        <f>IF(I9=0,0,1000000*I9/TrRail_act!I26/1000)</f>
        <v>25.398648810590387</v>
      </c>
      <c r="J49" s="29">
        <f>IF(J9=0,0,1000000*J9/TrRail_act!J26/1000)</f>
        <v>33.854283214286212</v>
      </c>
      <c r="K49" s="29">
        <f>IF(K9=0,0,1000000*K9/TrRail_act!K26/1000)</f>
        <v>32.325586354418427</v>
      </c>
      <c r="L49" s="29">
        <f>IF(L9=0,0,1000000*L9/TrRail_act!L26/1000)</f>
        <v>28.217757138690917</v>
      </c>
      <c r="M49" s="29">
        <f>IF(M9=0,0,1000000*M9/TrRail_act!M26/1000)</f>
        <v>20.089787256579395</v>
      </c>
      <c r="N49" s="29">
        <f>IF(N9=0,0,1000000*N9/TrRail_act!N26/1000)</f>
        <v>26.084086064083611</v>
      </c>
      <c r="O49" s="29">
        <f>IF(O9=0,0,1000000*O9/TrRail_act!O26/1000)</f>
        <v>18.258142250669746</v>
      </c>
      <c r="P49" s="29">
        <f>IF(P9=0,0,1000000*P9/TrRail_act!P26/1000)</f>
        <v>19.886394990828599</v>
      </c>
      <c r="Q49" s="29">
        <f>IF(Q9=0,0,1000000*Q9/TrRail_act!Q26/1000)</f>
        <v>17.560197606977372</v>
      </c>
      <c r="R49" s="29">
        <f>IF(R9=0,0,1000000*R9/TrRail_act!R26/1000)</f>
        <v>16.335026364525138</v>
      </c>
      <c r="S49" s="29">
        <f>IF(S9=0,0,1000000*S9/TrRail_act!S26/1000)</f>
        <v>18.348402137568396</v>
      </c>
      <c r="T49" s="29">
        <f>IF(T9=0,0,1000000*T9/TrRail_act!T26/1000)</f>
        <v>18.223442597561363</v>
      </c>
      <c r="U49" s="29">
        <f>IF(U9=0,0,1000000*U9/TrRail_act!U26/1000)</f>
        <v>21.519812784916077</v>
      </c>
      <c r="V49" s="29">
        <f>IF(V9=0,0,1000000*V9/TrRail_act!V26/1000)</f>
        <v>21.949398892908992</v>
      </c>
      <c r="W49" s="29">
        <f>IF(W9=0,0,1000000*W9/TrRail_act!W26/1000)</f>
        <v>17.853386146758847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63.733419845234067</v>
      </c>
      <c r="C51" s="116">
        <f>IF(C11=0,0,1000000*C11/TrRail_act!C28/1000)</f>
        <v>71.22743367087682</v>
      </c>
      <c r="D51" s="116">
        <f>IF(D11=0,0,1000000*D11/TrRail_act!D28/1000)</f>
        <v>95.737776485299776</v>
      </c>
      <c r="E51" s="116">
        <f>IF(E11=0,0,1000000*E11/TrRail_act!E28/1000)</f>
        <v>74.175802347867631</v>
      </c>
      <c r="F51" s="116">
        <f>IF(F11=0,0,1000000*F11/TrRail_act!F28/1000)</f>
        <v>37.584373036592041</v>
      </c>
      <c r="G51" s="116">
        <f>IF(G11=0,0,1000000*G11/TrRail_act!G28/1000)</f>
        <v>31.542423329558464</v>
      </c>
      <c r="H51" s="116">
        <f>IF(H11=0,0,1000000*H11/TrRail_act!H28/1000)</f>
        <v>43.452001983806461</v>
      </c>
      <c r="I51" s="116">
        <f>IF(I11=0,0,1000000*I11/TrRail_act!I28/1000)</f>
        <v>39.134413843770304</v>
      </c>
      <c r="J51" s="116">
        <f>IF(J11=0,0,1000000*J11/TrRail_act!J28/1000)</f>
        <v>53.74884399103852</v>
      </c>
      <c r="K51" s="116">
        <f>IF(K11=0,0,1000000*K11/TrRail_act!K28/1000)</f>
        <v>50.461299787401181</v>
      </c>
      <c r="L51" s="116">
        <f>IF(L11=0,0,1000000*L11/TrRail_act!L28/1000)</f>
        <v>44.572278386980265</v>
      </c>
      <c r="M51" s="116">
        <f>IF(M11=0,0,1000000*M11/TrRail_act!M28/1000)</f>
        <v>30.497796852099125</v>
      </c>
      <c r="N51" s="116">
        <f>IF(N11=0,0,1000000*N11/TrRail_act!N28/1000)</f>
        <v>38.931050734109313</v>
      </c>
      <c r="O51" s="116">
        <f>IF(O11=0,0,1000000*O11/TrRail_act!O28/1000)</f>
        <v>26.963710172470932</v>
      </c>
      <c r="P51" s="116">
        <f>IF(P11=0,0,1000000*P11/TrRail_act!P28/1000)</f>
        <v>29.957905352230085</v>
      </c>
      <c r="Q51" s="116">
        <f>IF(Q11=0,0,1000000*Q11/TrRail_act!Q28/1000)</f>
        <v>26.272784081618752</v>
      </c>
      <c r="R51" s="116">
        <f>IF(R11=0,0,1000000*R11/TrRail_act!R28/1000)</f>
        <v>24.344442122178325</v>
      </c>
      <c r="S51" s="116">
        <f>IF(S11=0,0,1000000*S11/TrRail_act!S28/1000)</f>
        <v>28.03865035350233</v>
      </c>
      <c r="T51" s="116">
        <f>IF(T11=0,0,1000000*T11/TrRail_act!T28/1000)</f>
        <v>27.241477565720942</v>
      </c>
      <c r="U51" s="116">
        <f>IF(U11=0,0,1000000*U11/TrRail_act!U28/1000)</f>
        <v>32.763163603100878</v>
      </c>
      <c r="V51" s="116">
        <f>IF(V11=0,0,1000000*V11/TrRail_act!V28/1000)</f>
        <v>34.06904665057175</v>
      </c>
      <c r="W51" s="116">
        <f>IF(W11=0,0,1000000*W11/TrRail_act!W28/1000)</f>
        <v>26.319066963188153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1303.1178963085572</v>
      </c>
      <c r="C52" s="87">
        <f>IF(C12=0,0,1000000*C12/TrRail_act!C29/1000)</f>
        <v>1263.1812995167843</v>
      </c>
      <c r="D52" s="87">
        <f>IF(D12=0,0,1000000*D12/TrRail_act!D29/1000)</f>
        <v>1226.3908237803394</v>
      </c>
      <c r="E52" s="87">
        <f>IF(E12=0,0,1000000*E12/TrRail_act!E29/1000)</f>
        <v>1038.2840426713417</v>
      </c>
      <c r="F52" s="87">
        <f>IF(F12=0,0,1000000*F12/TrRail_act!F29/1000)</f>
        <v>604.28977090118758</v>
      </c>
      <c r="G52" s="87">
        <f>IF(G12=0,0,1000000*G12/TrRail_act!G29/1000)</f>
        <v>521.64417339252202</v>
      </c>
      <c r="H52" s="87">
        <f>IF(H12=0,0,1000000*H12/TrRail_act!H29/1000)</f>
        <v>807.18733941036828</v>
      </c>
      <c r="I52" s="87">
        <f>IF(I12=0,0,1000000*I12/TrRail_act!I29/1000)</f>
        <v>826.1175398676346</v>
      </c>
      <c r="J52" s="87">
        <f>IF(J12=0,0,1000000*J12/TrRail_act!J29/1000)</f>
        <v>1072.0038343508372</v>
      </c>
      <c r="K52" s="87">
        <f>IF(K12=0,0,1000000*K12/TrRail_act!K29/1000)</f>
        <v>1048.6283888104851</v>
      </c>
      <c r="L52" s="87">
        <f>IF(L12=0,0,1000000*L12/TrRail_act!L29/1000)</f>
        <v>995.0702478320045</v>
      </c>
      <c r="M52" s="87">
        <f>IF(M12=0,0,1000000*M12/TrRail_act!M29/1000)</f>
        <v>862.85487509596521</v>
      </c>
      <c r="N52" s="87">
        <f>IF(N12=0,0,1000000*N12/TrRail_act!N29/1000)</f>
        <v>982.32351179485124</v>
      </c>
      <c r="O52" s="87">
        <f>IF(O12=0,0,1000000*O12/TrRail_act!O29/1000)</f>
        <v>800.62671444742557</v>
      </c>
      <c r="P52" s="87">
        <f>IF(P12=0,0,1000000*P12/TrRail_act!P29/1000)</f>
        <v>930.62114240630808</v>
      </c>
      <c r="Q52" s="87">
        <f>IF(Q12=0,0,1000000*Q12/TrRail_act!Q29/1000)</f>
        <v>895.01736160132657</v>
      </c>
      <c r="R52" s="87">
        <f>IF(R12=0,0,1000000*R12/TrRail_act!R29/1000)</f>
        <v>869.21135044078574</v>
      </c>
      <c r="S52" s="87">
        <f>IF(S12=0,0,1000000*S12/TrRail_act!S29/1000)</f>
        <v>850.34629492699924</v>
      </c>
      <c r="T52" s="87">
        <f>IF(T12=0,0,1000000*T12/TrRail_act!T29/1000)</f>
        <v>836.46668007497794</v>
      </c>
      <c r="U52" s="87">
        <f>IF(U12=0,0,1000000*U12/TrRail_act!U29/1000)</f>
        <v>826.20586221249437</v>
      </c>
      <c r="V52" s="87">
        <f>IF(V12=0,0,1000000*V12/TrRail_act!V29/1000)</f>
        <v>818.59289928612611</v>
      </c>
      <c r="W52" s="87">
        <f>IF(W12=0,0,1000000*W12/TrRail_act!W29/1000)</f>
        <v>801.35139258169397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227.1039301767284</v>
      </c>
      <c r="C55" s="29">
        <f>IF(C15=0,0,1000000*C15/TrRail_act!C32/1000)</f>
        <v>223.49866722095797</v>
      </c>
      <c r="D55" s="29">
        <f>IF(D15=0,0,1000000*D15/TrRail_act!D32/1000)</f>
        <v>203.65883339112645</v>
      </c>
      <c r="E55" s="29">
        <f>IF(E15=0,0,1000000*E15/TrRail_act!E32/1000)</f>
        <v>217.69245753349495</v>
      </c>
      <c r="F55" s="29">
        <f>IF(F15=0,0,1000000*F15/TrRail_act!F32/1000)</f>
        <v>215.70812475543721</v>
      </c>
      <c r="G55" s="29">
        <f>IF(G15=0,0,1000000*G15/TrRail_act!G32/1000)</f>
        <v>224.39734703656831</v>
      </c>
      <c r="H55" s="29">
        <f>IF(H15=0,0,1000000*H15/TrRail_act!H32/1000)</f>
        <v>201.0558929865303</v>
      </c>
      <c r="I55" s="29">
        <f>IF(I15=0,0,1000000*I15/TrRail_act!I32/1000)</f>
        <v>177.35380428752356</v>
      </c>
      <c r="J55" s="29">
        <f>IF(J15=0,0,1000000*J15/TrRail_act!J32/1000)</f>
        <v>186.41690200165903</v>
      </c>
      <c r="K55" s="29">
        <f>IF(K15=0,0,1000000*K15/TrRail_act!K32/1000)</f>
        <v>169.85169069109168</v>
      </c>
      <c r="L55" s="29">
        <f>IF(L15=0,0,1000000*L15/TrRail_act!L32/1000)</f>
        <v>187.65533627042998</v>
      </c>
      <c r="M55" s="29">
        <f>IF(M15=0,0,1000000*M15/TrRail_act!M32/1000)</f>
        <v>193.60779397437574</v>
      </c>
      <c r="N55" s="29">
        <f>IF(N15=0,0,1000000*N15/TrRail_act!N32/1000)</f>
        <v>164.95647366150257</v>
      </c>
      <c r="O55" s="29">
        <f>IF(O15=0,0,1000000*O15/TrRail_act!O32/1000)</f>
        <v>172.66986544332721</v>
      </c>
      <c r="P55" s="29">
        <f>IF(P15=0,0,1000000*P15/TrRail_act!P32/1000)</f>
        <v>149.24386121463129</v>
      </c>
      <c r="Q55" s="29">
        <f>IF(Q15=0,0,1000000*Q15/TrRail_act!Q32/1000)</f>
        <v>160.61098268444516</v>
      </c>
      <c r="R55" s="29">
        <f>IF(R15=0,0,1000000*R15/TrRail_act!R32/1000)</f>
        <v>153.3088093509019</v>
      </c>
      <c r="S55" s="29">
        <f>IF(S15=0,0,1000000*S15/TrRail_act!S32/1000)</f>
        <v>120.84483415822399</v>
      </c>
      <c r="T55" s="29">
        <f>IF(T15=0,0,1000000*T15/TrRail_act!T32/1000)</f>
        <v>143.45248166916227</v>
      </c>
      <c r="U55" s="29">
        <f>IF(U15=0,0,1000000*U15/TrRail_act!U32/1000)</f>
        <v>132.55823698179981</v>
      </c>
      <c r="V55" s="29">
        <f>IF(V15=0,0,1000000*V15/TrRail_act!V32/1000)</f>
        <v>135.94462440841988</v>
      </c>
      <c r="W55" s="29">
        <f>IF(W15=0,0,1000000*W15/TrRail_act!W32/1000)</f>
        <v>89.578288889088086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3195.6346730928817</v>
      </c>
      <c r="C56" s="87">
        <f>IF(C16=0,0,1000000*C16/TrRail_act!C33/1000)</f>
        <v>3163.4911010473679</v>
      </c>
      <c r="D56" s="87">
        <f>IF(D16=0,0,1000000*D16/TrRail_act!D33/1000)</f>
        <v>3106.5698522122689</v>
      </c>
      <c r="E56" s="87">
        <f>IF(E16=0,0,1000000*E16/TrRail_act!E33/1000)</f>
        <v>3055.9515653432882</v>
      </c>
      <c r="F56" s="87">
        <f>IF(F16=0,0,1000000*F16/TrRail_act!F33/1000)</f>
        <v>3009.7814620365084</v>
      </c>
      <c r="G56" s="87">
        <f>IF(G16=0,0,1000000*G16/TrRail_act!G33/1000)</f>
        <v>2978.8531614457893</v>
      </c>
      <c r="H56" s="87">
        <f>IF(H16=0,0,1000000*H16/TrRail_act!H33/1000)</f>
        <v>2957.7314728506212</v>
      </c>
      <c r="I56" s="87">
        <f>IF(I16=0,0,1000000*I16/TrRail_act!I33/1000)</f>
        <v>2934.4501713085861</v>
      </c>
      <c r="J56" s="87">
        <f>IF(J16=0,0,1000000*J16/TrRail_act!J33/1000)</f>
        <v>2915.6058390913618</v>
      </c>
      <c r="K56" s="87">
        <f>IF(K16=0,0,1000000*K16/TrRail_act!K33/1000)</f>
        <v>2685.6364911223977</v>
      </c>
      <c r="L56" s="87">
        <f>IF(L16=0,0,1000000*L16/TrRail_act!L33/1000)</f>
        <v>2807.6951861298526</v>
      </c>
      <c r="M56" s="87">
        <f>IF(M16=0,0,1000000*M16/TrRail_act!M33/1000)</f>
        <v>2744.1779265511714</v>
      </c>
      <c r="N56" s="87">
        <f>IF(N16=0,0,1000000*N16/TrRail_act!N33/1000)</f>
        <v>2508.9426320710631</v>
      </c>
      <c r="O56" s="87">
        <f>IF(O16=0,0,1000000*O16/TrRail_act!O33/1000)</f>
        <v>2704.2977502890949</v>
      </c>
      <c r="P56" s="87">
        <f>IF(P16=0,0,1000000*P16/TrRail_act!P33/1000)</f>
        <v>2454.8960788067379</v>
      </c>
      <c r="Q56" s="87">
        <f>IF(Q16=0,0,1000000*Q16/TrRail_act!Q33/1000)</f>
        <v>2676.7173730278537</v>
      </c>
      <c r="R56" s="87">
        <f>IF(R16=0,0,1000000*R16/TrRail_act!R33/1000)</f>
        <v>2649.8822696130446</v>
      </c>
      <c r="S56" s="87">
        <f>IF(S16=0,0,1000000*S16/TrRail_act!S33/1000)</f>
        <v>2531.6350683137298</v>
      </c>
      <c r="T56" s="87">
        <f>IF(T16=0,0,1000000*T16/TrRail_act!T33/1000)</f>
        <v>2579.2689069295338</v>
      </c>
      <c r="U56" s="87">
        <f>IF(U16=0,0,1000000*U16/TrRail_act!U33/1000)</f>
        <v>2551.486621767549</v>
      </c>
      <c r="V56" s="87">
        <f>IF(V16=0,0,1000000*V16/TrRail_act!V33/1000)</f>
        <v>2530.8465096392815</v>
      </c>
      <c r="W56" s="87">
        <f>IF(W16=0,0,1000000*W16/TrRail_act!W33/1000)</f>
        <v>2271.547283485414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0.3806821889212208</v>
      </c>
      <c r="C60" s="31">
        <f t="shared" ref="C60:V60" si="8">IF(C9=0,0,C9/C$8)</f>
        <v>0.43064755433508239</v>
      </c>
      <c r="D60" s="31">
        <f t="shared" si="8"/>
        <v>0.53126407537682396</v>
      </c>
      <c r="E60" s="31">
        <f t="shared" si="8"/>
        <v>0.45664153904686072</v>
      </c>
      <c r="F60" s="31">
        <f t="shared" si="8"/>
        <v>0.29621692246618531</v>
      </c>
      <c r="G60" s="31">
        <f t="shared" si="8"/>
        <v>0.2428095727679607</v>
      </c>
      <c r="H60" s="31">
        <f t="shared" si="8"/>
        <v>0.32864588988985022</v>
      </c>
      <c r="I60" s="31">
        <f t="shared" si="8"/>
        <v>0.32274887938997993</v>
      </c>
      <c r="J60" s="31">
        <f t="shared" si="8"/>
        <v>0.38304783283107791</v>
      </c>
      <c r="K60" s="31">
        <f t="shared" si="8"/>
        <v>0.42638250709079767</v>
      </c>
      <c r="L60" s="31">
        <f t="shared" si="8"/>
        <v>0.38212372128409161</v>
      </c>
      <c r="M60" s="31">
        <f t="shared" si="8"/>
        <v>0.30506796614963871</v>
      </c>
      <c r="N60" s="31">
        <f t="shared" si="8"/>
        <v>0.42137215551950075</v>
      </c>
      <c r="O60" s="31">
        <f t="shared" si="8"/>
        <v>0.35140739839385526</v>
      </c>
      <c r="P60" s="31">
        <f t="shared" si="8"/>
        <v>0.41642678867281019</v>
      </c>
      <c r="Q60" s="31">
        <f t="shared" si="8"/>
        <v>0.38815514200534079</v>
      </c>
      <c r="R60" s="31">
        <f t="shared" si="8"/>
        <v>0.39322766132321207</v>
      </c>
      <c r="S60" s="31">
        <f t="shared" si="8"/>
        <v>0.46267168184378271</v>
      </c>
      <c r="T60" s="31">
        <f t="shared" si="8"/>
        <v>0.43918618106209178</v>
      </c>
      <c r="U60" s="31">
        <f t="shared" si="8"/>
        <v>0.50098055838512656</v>
      </c>
      <c r="V60" s="31">
        <f t="shared" si="8"/>
        <v>0.49828429218187092</v>
      </c>
      <c r="W60" s="31">
        <f t="shared" ref="W60" si="9">IF(W9=0,0,W9/W$8)</f>
        <v>0.54518733597558489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0.3806821889212208</v>
      </c>
      <c r="C62" s="124">
        <f t="shared" ref="C62:V62" si="12">IF(C11=0,0,C11/C$8)</f>
        <v>0.43064755433508239</v>
      </c>
      <c r="D62" s="124">
        <f t="shared" si="12"/>
        <v>0.53126407537682396</v>
      </c>
      <c r="E62" s="124">
        <f t="shared" si="12"/>
        <v>0.45664153904686072</v>
      </c>
      <c r="F62" s="124">
        <f t="shared" si="12"/>
        <v>0.29621692246618531</v>
      </c>
      <c r="G62" s="124">
        <f t="shared" si="12"/>
        <v>0.2428095727679607</v>
      </c>
      <c r="H62" s="124">
        <f t="shared" si="12"/>
        <v>0.32864588988985022</v>
      </c>
      <c r="I62" s="124">
        <f t="shared" si="12"/>
        <v>0.32274887938997993</v>
      </c>
      <c r="J62" s="124">
        <f t="shared" si="12"/>
        <v>0.38304783283107791</v>
      </c>
      <c r="K62" s="124">
        <f t="shared" si="12"/>
        <v>0.42638250709079767</v>
      </c>
      <c r="L62" s="124">
        <f t="shared" si="12"/>
        <v>0.38212372128409161</v>
      </c>
      <c r="M62" s="124">
        <f t="shared" si="12"/>
        <v>0.30506796614963871</v>
      </c>
      <c r="N62" s="124">
        <f t="shared" si="12"/>
        <v>0.42137215551950075</v>
      </c>
      <c r="O62" s="124">
        <f t="shared" si="12"/>
        <v>0.35140739839385526</v>
      </c>
      <c r="P62" s="124">
        <f t="shared" si="12"/>
        <v>0.41642678867281019</v>
      </c>
      <c r="Q62" s="124">
        <f t="shared" si="12"/>
        <v>0.38815514200534079</v>
      </c>
      <c r="R62" s="124">
        <f t="shared" si="12"/>
        <v>0.39322766132321207</v>
      </c>
      <c r="S62" s="124">
        <f t="shared" si="12"/>
        <v>0.46267168184378271</v>
      </c>
      <c r="T62" s="124">
        <f t="shared" si="12"/>
        <v>0.43918618106209178</v>
      </c>
      <c r="U62" s="124">
        <f t="shared" si="12"/>
        <v>0.50098055838512656</v>
      </c>
      <c r="V62" s="124">
        <f t="shared" si="12"/>
        <v>0.49828429218187092</v>
      </c>
      <c r="W62" s="124">
        <f t="shared" ref="W62" si="13">IF(W11=0,0,W11/W$8)</f>
        <v>0.54518733597558489</v>
      </c>
      <c r="DA62" s="176"/>
    </row>
    <row r="63" spans="1:105" ht="11.45" customHeight="1" x14ac:dyDescent="0.25">
      <c r="A63" s="111" t="s">
        <v>92</v>
      </c>
      <c r="B63" s="125">
        <f t="shared" si="5"/>
        <v>0.3806821889212208</v>
      </c>
      <c r="C63" s="125">
        <f t="shared" ref="C63:V63" si="14">IF(C12=0,0,C12/C$8)</f>
        <v>0.43064755433508239</v>
      </c>
      <c r="D63" s="125">
        <f t="shared" si="14"/>
        <v>0.53126407537682396</v>
      </c>
      <c r="E63" s="125">
        <f t="shared" si="14"/>
        <v>0.45664153904686072</v>
      </c>
      <c r="F63" s="125">
        <f t="shared" si="14"/>
        <v>0.29621692246618531</v>
      </c>
      <c r="G63" s="125">
        <f t="shared" si="14"/>
        <v>0.2428095727679607</v>
      </c>
      <c r="H63" s="125">
        <f t="shared" si="14"/>
        <v>0.32864588988985022</v>
      </c>
      <c r="I63" s="125">
        <f t="shared" si="14"/>
        <v>0.32274887938997993</v>
      </c>
      <c r="J63" s="125">
        <f t="shared" si="14"/>
        <v>0.38304783283107791</v>
      </c>
      <c r="K63" s="125">
        <f t="shared" si="14"/>
        <v>0.42638250709079767</v>
      </c>
      <c r="L63" s="125">
        <f t="shared" si="14"/>
        <v>0.38212372128409161</v>
      </c>
      <c r="M63" s="125">
        <f t="shared" si="14"/>
        <v>0.30506796614963871</v>
      </c>
      <c r="N63" s="125">
        <f t="shared" si="14"/>
        <v>0.42137215551950075</v>
      </c>
      <c r="O63" s="125">
        <f t="shared" si="14"/>
        <v>0.35140739839385526</v>
      </c>
      <c r="P63" s="125">
        <f t="shared" si="14"/>
        <v>0.41642678867281019</v>
      </c>
      <c r="Q63" s="125">
        <f t="shared" si="14"/>
        <v>0.38815514200534079</v>
      </c>
      <c r="R63" s="125">
        <f t="shared" si="14"/>
        <v>0.39322766132321207</v>
      </c>
      <c r="S63" s="125">
        <f t="shared" si="14"/>
        <v>0.46267168184378271</v>
      </c>
      <c r="T63" s="125">
        <f t="shared" si="14"/>
        <v>0.43918618106209178</v>
      </c>
      <c r="U63" s="125">
        <f t="shared" si="14"/>
        <v>0.50098055838512656</v>
      </c>
      <c r="V63" s="125">
        <f t="shared" si="14"/>
        <v>0.49828429218187092</v>
      </c>
      <c r="W63" s="125">
        <f t="shared" ref="W63" si="15">IF(W12=0,0,W12/W$8)</f>
        <v>0.54518733597558489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0.61931781107877926</v>
      </c>
      <c r="C66" s="31">
        <f t="shared" ref="C66:V66" si="20">IF(C15=0,0,C15/C$8)</f>
        <v>0.56935244566491772</v>
      </c>
      <c r="D66" s="31">
        <f t="shared" si="20"/>
        <v>0.46873592462317609</v>
      </c>
      <c r="E66" s="31">
        <f t="shared" si="20"/>
        <v>0.54335846095313933</v>
      </c>
      <c r="F66" s="31">
        <f t="shared" si="20"/>
        <v>0.70378307753381475</v>
      </c>
      <c r="G66" s="31">
        <f t="shared" si="20"/>
        <v>0.75719042723203933</v>
      </c>
      <c r="H66" s="31">
        <f t="shared" si="20"/>
        <v>0.67135411011014989</v>
      </c>
      <c r="I66" s="31">
        <f t="shared" si="20"/>
        <v>0.67725112061002013</v>
      </c>
      <c r="J66" s="31">
        <f t="shared" si="20"/>
        <v>0.61695216716892209</v>
      </c>
      <c r="K66" s="31">
        <f t="shared" si="20"/>
        <v>0.57361749290920228</v>
      </c>
      <c r="L66" s="31">
        <f t="shared" si="20"/>
        <v>0.61787627871590844</v>
      </c>
      <c r="M66" s="31">
        <f t="shared" si="20"/>
        <v>0.69493203385036129</v>
      </c>
      <c r="N66" s="31">
        <f t="shared" si="20"/>
        <v>0.57862784448049931</v>
      </c>
      <c r="O66" s="31">
        <f t="shared" si="20"/>
        <v>0.64859260160614474</v>
      </c>
      <c r="P66" s="31">
        <f t="shared" si="20"/>
        <v>0.58357321132718987</v>
      </c>
      <c r="Q66" s="31">
        <f t="shared" si="20"/>
        <v>0.61184485799465915</v>
      </c>
      <c r="R66" s="31">
        <f t="shared" si="20"/>
        <v>0.60677233867678804</v>
      </c>
      <c r="S66" s="31">
        <f t="shared" si="20"/>
        <v>0.53732831815621729</v>
      </c>
      <c r="T66" s="31">
        <f t="shared" si="20"/>
        <v>0.56081381893790827</v>
      </c>
      <c r="U66" s="31">
        <f t="shared" si="20"/>
        <v>0.49901944161487338</v>
      </c>
      <c r="V66" s="31">
        <f t="shared" si="20"/>
        <v>0.50171570781812902</v>
      </c>
      <c r="W66" s="31">
        <f t="shared" ref="W66" si="21">IF(W15=0,0,W15/W$8)</f>
        <v>0.454812664024415</v>
      </c>
      <c r="DA66" s="173"/>
    </row>
    <row r="67" spans="1:105" ht="11.45" customHeight="1" x14ac:dyDescent="0.25">
      <c r="A67" s="83" t="s">
        <v>92</v>
      </c>
      <c r="B67" s="125">
        <f t="shared" si="5"/>
        <v>0.61931781107877926</v>
      </c>
      <c r="C67" s="125">
        <f t="shared" ref="C67:V67" si="22">IF(C16=0,0,C16/C$8)</f>
        <v>0.56935244566491772</v>
      </c>
      <c r="D67" s="125">
        <f t="shared" si="22"/>
        <v>0.46873592462317609</v>
      </c>
      <c r="E67" s="125">
        <f t="shared" si="22"/>
        <v>0.54335846095313933</v>
      </c>
      <c r="F67" s="125">
        <f t="shared" si="22"/>
        <v>0.70378307753381475</v>
      </c>
      <c r="G67" s="125">
        <f t="shared" si="22"/>
        <v>0.75719042723203933</v>
      </c>
      <c r="H67" s="125">
        <f t="shared" si="22"/>
        <v>0.67135411011014989</v>
      </c>
      <c r="I67" s="125">
        <f t="shared" si="22"/>
        <v>0.67725112061002013</v>
      </c>
      <c r="J67" s="125">
        <f t="shared" si="22"/>
        <v>0.61695216716892209</v>
      </c>
      <c r="K67" s="125">
        <f t="shared" si="22"/>
        <v>0.57361749290920228</v>
      </c>
      <c r="L67" s="125">
        <f t="shared" si="22"/>
        <v>0.61787627871590844</v>
      </c>
      <c r="M67" s="125">
        <f t="shared" si="22"/>
        <v>0.69493203385036129</v>
      </c>
      <c r="N67" s="125">
        <f t="shared" si="22"/>
        <v>0.57862784448049931</v>
      </c>
      <c r="O67" s="125">
        <f t="shared" si="22"/>
        <v>0.64859260160614474</v>
      </c>
      <c r="P67" s="125">
        <f t="shared" si="22"/>
        <v>0.58357321132718987</v>
      </c>
      <c r="Q67" s="125">
        <f t="shared" si="22"/>
        <v>0.61184485799465915</v>
      </c>
      <c r="R67" s="125">
        <f t="shared" si="22"/>
        <v>0.60677233867678804</v>
      </c>
      <c r="S67" s="125">
        <f t="shared" si="22"/>
        <v>0.53732831815621729</v>
      </c>
      <c r="T67" s="125">
        <f t="shared" si="22"/>
        <v>0.56081381893790827</v>
      </c>
      <c r="U67" s="125">
        <f t="shared" si="22"/>
        <v>0.49901944161487338</v>
      </c>
      <c r="V67" s="125">
        <f t="shared" si="22"/>
        <v>0.50171570781812902</v>
      </c>
      <c r="W67" s="125">
        <f t="shared" ref="W67" si="23">IF(W16=0,0,W16/W$8)</f>
        <v>0.454812664024415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18881.978013330307</v>
      </c>
      <c r="C4" s="11">
        <f t="shared" si="0"/>
        <v>18656.640088193009</v>
      </c>
      <c r="D4" s="11">
        <f t="shared" ref="D4:V4" si="1">SUM(D5:D7)</f>
        <v>16721.226734537038</v>
      </c>
      <c r="E4" s="11">
        <f t="shared" si="1"/>
        <v>15443.857424672693</v>
      </c>
      <c r="F4" s="11">
        <f t="shared" si="1"/>
        <v>16563.313035395848</v>
      </c>
      <c r="G4" s="11">
        <f t="shared" si="1"/>
        <v>18198.394972989699</v>
      </c>
      <c r="H4" s="11">
        <f t="shared" si="1"/>
        <v>20962.151651952656</v>
      </c>
      <c r="I4" s="11">
        <f t="shared" si="1"/>
        <v>22246.014242286019</v>
      </c>
      <c r="J4" s="11">
        <f t="shared" si="1"/>
        <v>23252.764319460497</v>
      </c>
      <c r="K4" s="11">
        <f t="shared" si="1"/>
        <v>21192.512896973003</v>
      </c>
      <c r="L4" s="11">
        <f t="shared" si="1"/>
        <v>22394.166769689124</v>
      </c>
      <c r="M4" s="11">
        <f t="shared" si="1"/>
        <v>24387.344511486197</v>
      </c>
      <c r="N4" s="11">
        <f t="shared" si="1"/>
        <v>24997.757644202873</v>
      </c>
      <c r="O4" s="11">
        <f t="shared" si="1"/>
        <v>26631.675487884058</v>
      </c>
      <c r="P4" s="11">
        <f t="shared" si="1"/>
        <v>28423.319135818536</v>
      </c>
      <c r="Q4" s="11">
        <f t="shared" si="1"/>
        <v>29190.448933194992</v>
      </c>
      <c r="R4" s="11">
        <f t="shared" si="1"/>
        <v>31065.518652617811</v>
      </c>
      <c r="S4" s="11">
        <f t="shared" si="1"/>
        <v>34199.932888319207</v>
      </c>
      <c r="T4" s="11">
        <f t="shared" si="1"/>
        <v>34834.729531169294</v>
      </c>
      <c r="U4" s="11">
        <f t="shared" si="1"/>
        <v>33002.471952813903</v>
      </c>
      <c r="V4" s="11">
        <f t="shared" si="1"/>
        <v>8063.1215136953624</v>
      </c>
      <c r="W4" s="11">
        <f t="shared" ref="W4" si="2">SUM(W5:W7)</f>
        <v>9175.2570234501509</v>
      </c>
      <c r="DA4" s="189" t="s">
        <v>189</v>
      </c>
    </row>
    <row r="5" spans="1:105" ht="11.45" customHeight="1" x14ac:dyDescent="0.25">
      <c r="A5" s="83" t="s">
        <v>27</v>
      </c>
      <c r="B5" s="84">
        <v>3801.1395656481045</v>
      </c>
      <c r="C5" s="84">
        <v>3807.0084480390524</v>
      </c>
      <c r="D5" s="84">
        <v>3542.0252043307314</v>
      </c>
      <c r="E5" s="84">
        <v>3246.0611296523157</v>
      </c>
      <c r="F5" s="84">
        <v>3330.0776551527547</v>
      </c>
      <c r="G5" s="84">
        <v>3484.4698847569002</v>
      </c>
      <c r="H5" s="84">
        <v>3457.456032398532</v>
      </c>
      <c r="I5" s="84">
        <v>3401.9302261107632</v>
      </c>
      <c r="J5" s="84">
        <v>3384.3830434114052</v>
      </c>
      <c r="K5" s="84">
        <v>3040.1297578433364</v>
      </c>
      <c r="L5" s="84">
        <v>3108.8674286069936</v>
      </c>
      <c r="M5" s="84">
        <v>3444.8090104102594</v>
      </c>
      <c r="N5" s="84">
        <v>3624.4654815520753</v>
      </c>
      <c r="O5" s="84">
        <v>3634.3524236877192</v>
      </c>
      <c r="P5" s="84">
        <v>3793.6997628960789</v>
      </c>
      <c r="Q5" s="84">
        <v>3797.5357989533459</v>
      </c>
      <c r="R5" s="84">
        <v>3992.3740108359907</v>
      </c>
      <c r="S5" s="84">
        <v>4107.5734443686033</v>
      </c>
      <c r="T5" s="84">
        <v>3976.5545698936685</v>
      </c>
      <c r="U5" s="84">
        <v>3584.2012254829801</v>
      </c>
      <c r="V5" s="84">
        <v>1093.5281767439519</v>
      </c>
      <c r="W5" s="84">
        <v>1199.6667969953382</v>
      </c>
      <c r="DA5" s="171" t="s">
        <v>190</v>
      </c>
    </row>
    <row r="6" spans="1:105" ht="11.45" customHeight="1" x14ac:dyDescent="0.25">
      <c r="A6" s="83" t="s">
        <v>173</v>
      </c>
      <c r="B6" s="84">
        <v>10506.131764784195</v>
      </c>
      <c r="C6" s="84">
        <v>10641.678828539338</v>
      </c>
      <c r="D6" s="84">
        <v>9741.7604406373775</v>
      </c>
      <c r="E6" s="84">
        <v>8803.3294424110336</v>
      </c>
      <c r="F6" s="84">
        <v>9113.1395334726712</v>
      </c>
      <c r="G6" s="84">
        <v>9451.4319557715007</v>
      </c>
      <c r="H6" s="84">
        <v>11704.055773468921</v>
      </c>
      <c r="I6" s="84">
        <v>11927.556785028786</v>
      </c>
      <c r="J6" s="84">
        <v>11802.796800067317</v>
      </c>
      <c r="K6" s="84">
        <v>10531.897855482193</v>
      </c>
      <c r="L6" s="84">
        <v>11259.410573504512</v>
      </c>
      <c r="M6" s="84">
        <v>12784.783541355437</v>
      </c>
      <c r="N6" s="84">
        <v>13187.45477416273</v>
      </c>
      <c r="O6" s="84">
        <v>14394.010140187951</v>
      </c>
      <c r="P6" s="84">
        <v>15079.293874122806</v>
      </c>
      <c r="Q6" s="84">
        <v>15466.299024961369</v>
      </c>
      <c r="R6" s="84">
        <v>16972.065220204775</v>
      </c>
      <c r="S6" s="84">
        <v>19119.028701974086</v>
      </c>
      <c r="T6" s="84">
        <v>18832.927142829092</v>
      </c>
      <c r="U6" s="84">
        <v>17953.676583268862</v>
      </c>
      <c r="V6" s="84">
        <v>4032.3145723331763</v>
      </c>
      <c r="W6" s="84">
        <v>5392.5128549166284</v>
      </c>
      <c r="DA6" s="171" t="s">
        <v>191</v>
      </c>
    </row>
    <row r="7" spans="1:105" ht="11.45" customHeight="1" x14ac:dyDescent="0.25">
      <c r="A7" s="83" t="s">
        <v>174</v>
      </c>
      <c r="B7" s="84">
        <v>4574.7066828980069</v>
      </c>
      <c r="C7" s="84">
        <v>4207.9528116146175</v>
      </c>
      <c r="D7" s="84">
        <v>3437.4410895689289</v>
      </c>
      <c r="E7" s="84">
        <v>3394.4668526093446</v>
      </c>
      <c r="F7" s="84">
        <v>4120.0958467704231</v>
      </c>
      <c r="G7" s="84">
        <v>5262.493132461299</v>
      </c>
      <c r="H7" s="84">
        <v>5800.6398460852042</v>
      </c>
      <c r="I7" s="84">
        <v>6916.5272311464687</v>
      </c>
      <c r="J7" s="84">
        <v>8065.5844759817755</v>
      </c>
      <c r="K7" s="84">
        <v>7620.4852836474729</v>
      </c>
      <c r="L7" s="84">
        <v>8025.8887675776159</v>
      </c>
      <c r="M7" s="84">
        <v>8157.7519597205001</v>
      </c>
      <c r="N7" s="84">
        <v>8185.8373884880675</v>
      </c>
      <c r="O7" s="84">
        <v>8603.312924008389</v>
      </c>
      <c r="P7" s="84">
        <v>9550.3254987996534</v>
      </c>
      <c r="Q7" s="84">
        <v>9926.6141092802754</v>
      </c>
      <c r="R7" s="84">
        <v>10101.079421577047</v>
      </c>
      <c r="S7" s="84">
        <v>10973.330741976515</v>
      </c>
      <c r="T7" s="84">
        <v>12025.247818446534</v>
      </c>
      <c r="U7" s="84">
        <v>11464.594144062063</v>
      </c>
      <c r="V7" s="84">
        <v>2937.2787646182342</v>
      </c>
      <c r="W7" s="84">
        <v>2583.0773715381843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124.31174344306478</v>
      </c>
      <c r="C8" s="13">
        <f t="shared" si="3"/>
        <v>159.76021264516322</v>
      </c>
      <c r="D8" s="13">
        <f t="shared" ref="D8:V8" si="4">SUM(D9:D11)</f>
        <v>200.32859995096277</v>
      </c>
      <c r="E8" s="13">
        <f t="shared" si="4"/>
        <v>244.85678111324629</v>
      </c>
      <c r="F8" s="13">
        <f t="shared" si="4"/>
        <v>272.02435548643535</v>
      </c>
      <c r="G8" s="13">
        <f t="shared" si="4"/>
        <v>343.25507424758814</v>
      </c>
      <c r="H8" s="13">
        <f t="shared" si="4"/>
        <v>372.00375506072464</v>
      </c>
      <c r="I8" s="13">
        <f t="shared" si="4"/>
        <v>412.97617478809468</v>
      </c>
      <c r="J8" s="13">
        <f t="shared" si="4"/>
        <v>434.88279026239672</v>
      </c>
      <c r="K8" s="13">
        <f t="shared" si="4"/>
        <v>351.36554729391253</v>
      </c>
      <c r="L8" s="13">
        <f t="shared" si="4"/>
        <v>416.16419238583774</v>
      </c>
      <c r="M8" s="13">
        <f t="shared" si="4"/>
        <v>374.89208185652961</v>
      </c>
      <c r="N8" s="13">
        <f t="shared" si="4"/>
        <v>322.78442196567732</v>
      </c>
      <c r="O8" s="13">
        <f t="shared" si="4"/>
        <v>238.00505115721788</v>
      </c>
      <c r="P8" s="13">
        <f t="shared" si="4"/>
        <v>242.46184111700322</v>
      </c>
      <c r="Q8" s="13">
        <f t="shared" si="4"/>
        <v>224.73989204517639</v>
      </c>
      <c r="R8" s="13">
        <f t="shared" si="4"/>
        <v>201.24284667374832</v>
      </c>
      <c r="S8" s="13">
        <f t="shared" si="4"/>
        <v>182.54557437035737</v>
      </c>
      <c r="T8" s="13">
        <f t="shared" si="4"/>
        <v>161.04574656423239</v>
      </c>
      <c r="U8" s="13">
        <f t="shared" si="4"/>
        <v>141.00240776682875</v>
      </c>
      <c r="V8" s="13">
        <f t="shared" si="4"/>
        <v>98.108146981881404</v>
      </c>
      <c r="W8" s="13">
        <f t="shared" ref="W8" si="5">SUM(W9:W11)</f>
        <v>94.721675798176875</v>
      </c>
      <c r="DA8" s="193" t="s">
        <v>193</v>
      </c>
    </row>
    <row r="9" spans="1:105" ht="11.45" customHeight="1" x14ac:dyDescent="0.25">
      <c r="A9" s="92" t="s">
        <v>27</v>
      </c>
      <c r="B9" s="102">
        <v>2.973075840622637</v>
      </c>
      <c r="C9" s="102">
        <v>2.4351928251593598</v>
      </c>
      <c r="D9" s="102">
        <v>3.1416070287933002</v>
      </c>
      <c r="E9" s="102">
        <v>3.6895052501774561</v>
      </c>
      <c r="F9" s="102">
        <v>5.397943877936128</v>
      </c>
      <c r="G9" s="102">
        <v>5.697498867209382</v>
      </c>
      <c r="H9" s="102">
        <v>6.7308455599436021</v>
      </c>
      <c r="I9" s="102">
        <v>7.9912213432665604</v>
      </c>
      <c r="J9" s="102">
        <v>8.4200391996009429</v>
      </c>
      <c r="K9" s="102">
        <v>6.9948279733431207</v>
      </c>
      <c r="L9" s="102">
        <v>6.3891537567847818</v>
      </c>
      <c r="M9" s="102">
        <v>5.9992877182148616</v>
      </c>
      <c r="N9" s="102">
        <v>6.1546172223842497</v>
      </c>
      <c r="O9" s="102">
        <v>5.9825584567055357</v>
      </c>
      <c r="P9" s="102">
        <v>6.1866942577669555</v>
      </c>
      <c r="Q9" s="102">
        <v>5.9938626751592858</v>
      </c>
      <c r="R9" s="102">
        <v>5.9307335432903097</v>
      </c>
      <c r="S9" s="102">
        <v>5.943066496504219</v>
      </c>
      <c r="T9" s="102">
        <v>4.5222554208574088</v>
      </c>
      <c r="U9" s="102">
        <v>3.1147036369635877</v>
      </c>
      <c r="V9" s="102">
        <v>2.170834409141523</v>
      </c>
      <c r="W9" s="102">
        <v>2.8333343888505693</v>
      </c>
      <c r="DA9" s="175" t="s">
        <v>194</v>
      </c>
    </row>
    <row r="10" spans="1:105" ht="11.45" customHeight="1" x14ac:dyDescent="0.25">
      <c r="A10" s="92" t="s">
        <v>173</v>
      </c>
      <c r="B10" s="102">
        <v>24.854296605725914</v>
      </c>
      <c r="C10" s="102">
        <v>21.673046862039634</v>
      </c>
      <c r="D10" s="102">
        <v>26.370071394487752</v>
      </c>
      <c r="E10" s="102">
        <v>30.166543142849989</v>
      </c>
      <c r="F10" s="102">
        <v>36.803725387743732</v>
      </c>
      <c r="G10" s="102">
        <v>39.099638352805378</v>
      </c>
      <c r="H10" s="102">
        <v>44.225854588794739</v>
      </c>
      <c r="I10" s="102">
        <v>52.249281032758908</v>
      </c>
      <c r="J10" s="102">
        <v>52.688755944518419</v>
      </c>
      <c r="K10" s="102">
        <v>42.486914938445501</v>
      </c>
      <c r="L10" s="102">
        <v>47.130322686969429</v>
      </c>
      <c r="M10" s="102">
        <v>37.115328219480801</v>
      </c>
      <c r="N10" s="102">
        <v>33.760274515822687</v>
      </c>
      <c r="O10" s="102">
        <v>32.655851977048286</v>
      </c>
      <c r="P10" s="102">
        <v>36.145249807991412</v>
      </c>
      <c r="Q10" s="102">
        <v>35.90787152376685</v>
      </c>
      <c r="R10" s="102">
        <v>34.429763275750254</v>
      </c>
      <c r="S10" s="102">
        <v>36.102250731619456</v>
      </c>
      <c r="T10" s="102">
        <v>36.964380348489492</v>
      </c>
      <c r="U10" s="102">
        <v>60.752651012876136</v>
      </c>
      <c r="V10" s="102">
        <v>46.074330774966953</v>
      </c>
      <c r="W10" s="102">
        <v>52.574050517993015</v>
      </c>
      <c r="DA10" s="175" t="s">
        <v>195</v>
      </c>
    </row>
    <row r="11" spans="1:105" ht="11.45" customHeight="1" x14ac:dyDescent="0.25">
      <c r="A11" s="85" t="s">
        <v>174</v>
      </c>
      <c r="B11" s="86">
        <v>96.484370996716237</v>
      </c>
      <c r="C11" s="86">
        <v>135.65197295796423</v>
      </c>
      <c r="D11" s="86">
        <v>170.81692152768173</v>
      </c>
      <c r="E11" s="86">
        <v>211.00073272021885</v>
      </c>
      <c r="F11" s="86">
        <v>229.82268622075549</v>
      </c>
      <c r="G11" s="86">
        <v>298.45793702757339</v>
      </c>
      <c r="H11" s="86">
        <v>321.04705491198632</v>
      </c>
      <c r="I11" s="86">
        <v>352.73567241206922</v>
      </c>
      <c r="J11" s="86">
        <v>373.77399511827736</v>
      </c>
      <c r="K11" s="86">
        <v>301.88380438212391</v>
      </c>
      <c r="L11" s="86">
        <v>362.64471594208351</v>
      </c>
      <c r="M11" s="86">
        <v>331.77746591883397</v>
      </c>
      <c r="N11" s="86">
        <v>282.86953022747042</v>
      </c>
      <c r="O11" s="86">
        <v>199.36664072346406</v>
      </c>
      <c r="P11" s="86">
        <v>200.12989705124485</v>
      </c>
      <c r="Q11" s="86">
        <v>182.83815784625025</v>
      </c>
      <c r="R11" s="86">
        <v>160.88234985470777</v>
      </c>
      <c r="S11" s="86">
        <v>140.50025714223369</v>
      </c>
      <c r="T11" s="86">
        <v>119.55911079488547</v>
      </c>
      <c r="U11" s="86">
        <v>77.135053116989013</v>
      </c>
      <c r="V11" s="86">
        <v>49.862981797772932</v>
      </c>
      <c r="W11" s="86">
        <v>39.314290891333286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200.25088887965811</v>
      </c>
      <c r="C13" s="54">
        <f t="shared" si="6"/>
        <v>196.68468184859293</v>
      </c>
      <c r="D13" s="54">
        <f t="shared" ref="D13:V13" si="7">SUM(D14,D18)</f>
        <v>176.82609605142164</v>
      </c>
      <c r="E13" s="54">
        <f t="shared" si="7"/>
        <v>168.31773320924458</v>
      </c>
      <c r="F13" s="54">
        <f t="shared" si="7"/>
        <v>178.49708648304673</v>
      </c>
      <c r="G13" s="54">
        <f t="shared" si="7"/>
        <v>179.68735386051719</v>
      </c>
      <c r="H13" s="54">
        <f t="shared" si="7"/>
        <v>192.398516894404</v>
      </c>
      <c r="I13" s="54">
        <f t="shared" si="7"/>
        <v>197.79368002449974</v>
      </c>
      <c r="J13" s="54">
        <f t="shared" si="7"/>
        <v>211.30142072918548</v>
      </c>
      <c r="K13" s="54">
        <f t="shared" si="7"/>
        <v>188.63368544889994</v>
      </c>
      <c r="L13" s="54">
        <f t="shared" si="7"/>
        <v>194.81986031204545</v>
      </c>
      <c r="M13" s="54">
        <f t="shared" si="7"/>
        <v>211.82545888768649</v>
      </c>
      <c r="N13" s="54">
        <f t="shared" si="7"/>
        <v>205.47250238099892</v>
      </c>
      <c r="O13" s="54">
        <f t="shared" si="7"/>
        <v>213.58353371289758</v>
      </c>
      <c r="P13" s="54">
        <f t="shared" si="7"/>
        <v>219.81465356824094</v>
      </c>
      <c r="Q13" s="54">
        <f t="shared" si="7"/>
        <v>220.23248803000334</v>
      </c>
      <c r="R13" s="54">
        <f t="shared" si="7"/>
        <v>231.51519439934441</v>
      </c>
      <c r="S13" s="54">
        <f t="shared" si="7"/>
        <v>249.64565352432771</v>
      </c>
      <c r="T13" s="54">
        <f t="shared" si="7"/>
        <v>253.92321246242662</v>
      </c>
      <c r="U13" s="54">
        <f t="shared" si="7"/>
        <v>240.5973855938139</v>
      </c>
      <c r="V13" s="54">
        <f t="shared" si="7"/>
        <v>77.492769705945832</v>
      </c>
      <c r="W13" s="54">
        <f t="shared" ref="W13" si="8">SUM(W14,W18)</f>
        <v>87.498155726286186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197.87336072914638</v>
      </c>
      <c r="C14" s="11">
        <f t="shared" si="9"/>
        <v>194.13770475136045</v>
      </c>
      <c r="D14" s="11">
        <f t="shared" ref="D14:V14" si="10">SUM(D15:D17)</f>
        <v>173.48406854273424</v>
      </c>
      <c r="E14" s="11">
        <f t="shared" si="10"/>
        <v>164.10429080380089</v>
      </c>
      <c r="F14" s="11">
        <f t="shared" si="10"/>
        <v>173.42613184637591</v>
      </c>
      <c r="G14" s="11">
        <f t="shared" si="10"/>
        <v>173.25474729681315</v>
      </c>
      <c r="H14" s="11">
        <f t="shared" si="10"/>
        <v>184.8347900182689</v>
      </c>
      <c r="I14" s="11">
        <f t="shared" si="10"/>
        <v>189.06969693026736</v>
      </c>
      <c r="J14" s="11">
        <f t="shared" si="10"/>
        <v>201.98301163936725</v>
      </c>
      <c r="K14" s="11">
        <f t="shared" si="10"/>
        <v>181.69987807997339</v>
      </c>
      <c r="L14" s="11">
        <f t="shared" si="10"/>
        <v>187.05890297909383</v>
      </c>
      <c r="M14" s="11">
        <f t="shared" si="10"/>
        <v>205.23376262922537</v>
      </c>
      <c r="N14" s="11">
        <f t="shared" si="10"/>
        <v>200.08192223812017</v>
      </c>
      <c r="O14" s="11">
        <f t="shared" si="10"/>
        <v>209.22517767981748</v>
      </c>
      <c r="P14" s="11">
        <f t="shared" si="10"/>
        <v>215.86916177030963</v>
      </c>
      <c r="Q14" s="11">
        <f t="shared" si="10"/>
        <v>216.48458943769265</v>
      </c>
      <c r="R14" s="11">
        <f t="shared" si="10"/>
        <v>228.37164713537396</v>
      </c>
      <c r="S14" s="11">
        <f t="shared" si="10"/>
        <v>246.49780406339673</v>
      </c>
      <c r="T14" s="11">
        <f t="shared" si="10"/>
        <v>251.06748359437987</v>
      </c>
      <c r="U14" s="11">
        <f t="shared" si="10"/>
        <v>237.56951465361769</v>
      </c>
      <c r="V14" s="11">
        <f t="shared" si="10"/>
        <v>74.662756358989839</v>
      </c>
      <c r="W14" s="11">
        <f t="shared" ref="W14" si="11">SUM(W15:W17)</f>
        <v>84.22931435327628</v>
      </c>
      <c r="DA14" s="189" t="s">
        <v>198</v>
      </c>
    </row>
    <row r="15" spans="1:105" ht="11.45" customHeight="1" x14ac:dyDescent="0.25">
      <c r="A15" s="83" t="s">
        <v>27</v>
      </c>
      <c r="B15" s="84">
        <v>59.506729834741037</v>
      </c>
      <c r="C15" s="84">
        <v>58.295952625500618</v>
      </c>
      <c r="D15" s="84">
        <v>54.212538378327963</v>
      </c>
      <c r="E15" s="84">
        <v>50.784757086952041</v>
      </c>
      <c r="F15" s="84">
        <v>53.099570172711189</v>
      </c>
      <c r="G15" s="84">
        <v>51.065454915530523</v>
      </c>
      <c r="H15" s="84">
        <v>49.108557264181066</v>
      </c>
      <c r="I15" s="84">
        <v>46.842623814156944</v>
      </c>
      <c r="J15" s="84">
        <v>47.352536182168784</v>
      </c>
      <c r="K15" s="84">
        <v>44.867120293466876</v>
      </c>
      <c r="L15" s="84">
        <v>43.802102921192244</v>
      </c>
      <c r="M15" s="84">
        <v>47.782864948080217</v>
      </c>
      <c r="N15" s="84">
        <v>46.655313830896169</v>
      </c>
      <c r="O15" s="84">
        <v>46.8305596598683</v>
      </c>
      <c r="P15" s="84">
        <v>47.936984078699993</v>
      </c>
      <c r="Q15" s="84">
        <v>47.15128557042825</v>
      </c>
      <c r="R15" s="84">
        <v>48.58000261589622</v>
      </c>
      <c r="S15" s="84">
        <v>49.412342261878415</v>
      </c>
      <c r="T15" s="84">
        <v>48.360589598531206</v>
      </c>
      <c r="U15" s="84">
        <v>44.052265751761034</v>
      </c>
      <c r="V15" s="84">
        <v>16.627142547246699</v>
      </c>
      <c r="W15" s="84">
        <v>17.598077033584129</v>
      </c>
      <c r="DA15" s="171" t="s">
        <v>199</v>
      </c>
    </row>
    <row r="16" spans="1:105" ht="11.45" customHeight="1" x14ac:dyDescent="0.25">
      <c r="A16" s="83" t="s">
        <v>173</v>
      </c>
      <c r="B16" s="84">
        <v>107.06231966819831</v>
      </c>
      <c r="C16" s="84">
        <v>105.9583854994121</v>
      </c>
      <c r="D16" s="84">
        <v>94.011674741114064</v>
      </c>
      <c r="E16" s="84">
        <v>90.497360057695161</v>
      </c>
      <c r="F16" s="84">
        <v>95.934197592457522</v>
      </c>
      <c r="G16" s="84">
        <v>92.164428358994058</v>
      </c>
      <c r="H16" s="84">
        <v>104.56090511080895</v>
      </c>
      <c r="I16" s="84">
        <v>107.65226620780162</v>
      </c>
      <c r="J16" s="84">
        <v>114.00471949442496</v>
      </c>
      <c r="K16" s="84">
        <v>97.724117949899338</v>
      </c>
      <c r="L16" s="84">
        <v>102.55800547194814</v>
      </c>
      <c r="M16" s="84">
        <v>113.72880537595447</v>
      </c>
      <c r="N16" s="84">
        <v>110.3729758885673</v>
      </c>
      <c r="O16" s="84">
        <v>115.86283227456336</v>
      </c>
      <c r="P16" s="84">
        <v>116.78158876177442</v>
      </c>
      <c r="Q16" s="84">
        <v>117.83580118402558</v>
      </c>
      <c r="R16" s="84">
        <v>126.89305376985948</v>
      </c>
      <c r="S16" s="84">
        <v>139.42333286487505</v>
      </c>
      <c r="T16" s="84">
        <v>140.59114815651481</v>
      </c>
      <c r="U16" s="84">
        <v>133.30760241323014</v>
      </c>
      <c r="V16" s="84">
        <v>37.802368832594404</v>
      </c>
      <c r="W16" s="84">
        <v>46.577204095861752</v>
      </c>
      <c r="DA16" s="171" t="s">
        <v>200</v>
      </c>
    </row>
    <row r="17" spans="1:105" ht="11.45" customHeight="1" x14ac:dyDescent="0.25">
      <c r="A17" s="83" t="s">
        <v>174</v>
      </c>
      <c r="B17" s="84">
        <v>31.30431122620702</v>
      </c>
      <c r="C17" s="84">
        <v>29.883366626447717</v>
      </c>
      <c r="D17" s="84">
        <v>25.259855423292194</v>
      </c>
      <c r="E17" s="84">
        <v>22.822173659153705</v>
      </c>
      <c r="F17" s="84">
        <v>24.392364081207198</v>
      </c>
      <c r="G17" s="84">
        <v>30.024864022288579</v>
      </c>
      <c r="H17" s="84">
        <v>31.165327643278893</v>
      </c>
      <c r="I17" s="84">
        <v>34.574806908308787</v>
      </c>
      <c r="J17" s="84">
        <v>40.625755962773482</v>
      </c>
      <c r="K17" s="84">
        <v>39.108639836607175</v>
      </c>
      <c r="L17" s="84">
        <v>40.698794585953451</v>
      </c>
      <c r="M17" s="84">
        <v>43.722092305190678</v>
      </c>
      <c r="N17" s="84">
        <v>43.053632518656713</v>
      </c>
      <c r="O17" s="84">
        <v>46.531785745385839</v>
      </c>
      <c r="P17" s="84">
        <v>51.15058892983523</v>
      </c>
      <c r="Q17" s="84">
        <v>51.497502683238821</v>
      </c>
      <c r="R17" s="84">
        <v>52.898590749618272</v>
      </c>
      <c r="S17" s="84">
        <v>57.662128936643256</v>
      </c>
      <c r="T17" s="84">
        <v>62.115745839333876</v>
      </c>
      <c r="U17" s="84">
        <v>60.209646488626504</v>
      </c>
      <c r="V17" s="84">
        <v>20.233244979148736</v>
      </c>
      <c r="W17" s="84">
        <v>20.054033223830402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2.3775281505117212</v>
      </c>
      <c r="C18" s="13">
        <f t="shared" si="12"/>
        <v>2.5469770972324937</v>
      </c>
      <c r="D18" s="13">
        <f t="shared" ref="D18:V18" si="13">SUM(D19:D21)</f>
        <v>3.3420275086873943</v>
      </c>
      <c r="E18" s="13">
        <f t="shared" si="13"/>
        <v>4.2134424054436845</v>
      </c>
      <c r="F18" s="13">
        <f t="shared" si="13"/>
        <v>5.070954636670816</v>
      </c>
      <c r="G18" s="13">
        <f t="shared" si="13"/>
        <v>6.4326065637040362</v>
      </c>
      <c r="H18" s="13">
        <f t="shared" si="13"/>
        <v>7.5637268761351031</v>
      </c>
      <c r="I18" s="13">
        <f t="shared" si="13"/>
        <v>8.7239830942323806</v>
      </c>
      <c r="J18" s="13">
        <f t="shared" si="13"/>
        <v>9.3184090898182301</v>
      </c>
      <c r="K18" s="13">
        <f t="shared" si="13"/>
        <v>6.9338073689265398</v>
      </c>
      <c r="L18" s="13">
        <f t="shared" si="13"/>
        <v>7.7609573329516213</v>
      </c>
      <c r="M18" s="13">
        <f t="shared" si="13"/>
        <v>6.5916962584611163</v>
      </c>
      <c r="N18" s="13">
        <f t="shared" si="13"/>
        <v>5.3905801428787363</v>
      </c>
      <c r="O18" s="13">
        <f t="shared" si="13"/>
        <v>4.3583560330801099</v>
      </c>
      <c r="P18" s="13">
        <f t="shared" si="13"/>
        <v>3.9454917979312993</v>
      </c>
      <c r="Q18" s="13">
        <f t="shared" si="13"/>
        <v>3.7478985923107029</v>
      </c>
      <c r="R18" s="13">
        <f t="shared" si="13"/>
        <v>3.1435472639704543</v>
      </c>
      <c r="S18" s="13">
        <f t="shared" si="13"/>
        <v>3.1478494609309875</v>
      </c>
      <c r="T18" s="13">
        <f t="shared" si="13"/>
        <v>2.8557288680467581</v>
      </c>
      <c r="U18" s="13">
        <f t="shared" si="13"/>
        <v>3.0278709401962098</v>
      </c>
      <c r="V18" s="13">
        <f t="shared" si="13"/>
        <v>2.8300133469559983</v>
      </c>
      <c r="W18" s="13">
        <f t="shared" ref="W18" si="14">SUM(W19:W21)</f>
        <v>3.2688413730099062</v>
      </c>
      <c r="DA18" s="193" t="s">
        <v>202</v>
      </c>
    </row>
    <row r="19" spans="1:105" ht="11.45" customHeight="1" x14ac:dyDescent="0.25">
      <c r="A19" s="92" t="s">
        <v>27</v>
      </c>
      <c r="B19" s="102">
        <v>0.26463792577152978</v>
      </c>
      <c r="C19" s="102">
        <v>0.21842557311292704</v>
      </c>
      <c r="D19" s="102">
        <v>0.27402480990530848</v>
      </c>
      <c r="E19" s="102">
        <v>0.30254649631178987</v>
      </c>
      <c r="F19" s="102">
        <v>0.4700662746992248</v>
      </c>
      <c r="G19" s="102">
        <v>0.50698581201881943</v>
      </c>
      <c r="H19" s="102">
        <v>0.62266453643584507</v>
      </c>
      <c r="I19" s="102">
        <v>0.74201582522568144</v>
      </c>
      <c r="J19" s="102">
        <v>0.81263852293347882</v>
      </c>
      <c r="K19" s="102">
        <v>0.66930594752441919</v>
      </c>
      <c r="L19" s="102">
        <v>0.5715920506699147</v>
      </c>
      <c r="M19" s="102">
        <v>0.49917762259064247</v>
      </c>
      <c r="N19" s="102">
        <v>0.4881061887122139</v>
      </c>
      <c r="O19" s="102">
        <v>0.46361283334878944</v>
      </c>
      <c r="P19" s="102">
        <v>0.42963584888944678</v>
      </c>
      <c r="Q19" s="102">
        <v>0.40894087283614755</v>
      </c>
      <c r="R19" s="102">
        <v>0.34955825554676651</v>
      </c>
      <c r="S19" s="102">
        <v>0.38252232329901109</v>
      </c>
      <c r="T19" s="102">
        <v>0.28627442499716971</v>
      </c>
      <c r="U19" s="102">
        <v>0.17862927345763227</v>
      </c>
      <c r="V19" s="102">
        <v>0.12931592710144479</v>
      </c>
      <c r="W19" s="102">
        <v>0.16509848743627328</v>
      </c>
      <c r="DA19" s="175" t="s">
        <v>203</v>
      </c>
    </row>
    <row r="20" spans="1:105" ht="11.45" customHeight="1" x14ac:dyDescent="0.25">
      <c r="A20" s="92" t="s">
        <v>173</v>
      </c>
      <c r="B20" s="102">
        <v>1.001931533587249</v>
      </c>
      <c r="C20" s="102">
        <v>0.83752801757219597</v>
      </c>
      <c r="D20" s="102">
        <v>1.0799713567189253</v>
      </c>
      <c r="E20" s="102">
        <v>1.2086768370418419</v>
      </c>
      <c r="F20" s="102">
        <v>1.5687229116819803</v>
      </c>
      <c r="G20" s="102">
        <v>1.7385451230380018</v>
      </c>
      <c r="H20" s="102">
        <v>2.2818711925528903</v>
      </c>
      <c r="I20" s="102">
        <v>2.7761865455960408</v>
      </c>
      <c r="J20" s="102">
        <v>2.8759212607698146</v>
      </c>
      <c r="K20" s="102">
        <v>2.2326352132261231</v>
      </c>
      <c r="L20" s="102">
        <v>2.4253343520491484</v>
      </c>
      <c r="M20" s="102">
        <v>1.8184175598455876</v>
      </c>
      <c r="N20" s="102">
        <v>1.5146772783674363</v>
      </c>
      <c r="O20" s="102">
        <v>1.418093110260032</v>
      </c>
      <c r="P20" s="102">
        <v>1.3421017045814621</v>
      </c>
      <c r="Q20" s="102">
        <v>1.3545842158709358</v>
      </c>
      <c r="R20" s="102">
        <v>1.1949901399266243</v>
      </c>
      <c r="S20" s="102">
        <v>1.3370889668398402</v>
      </c>
      <c r="T20" s="102">
        <v>1.3652164430495886</v>
      </c>
      <c r="U20" s="102">
        <v>2.0913148137974011</v>
      </c>
      <c r="V20" s="102">
        <v>1.9225672744387654</v>
      </c>
      <c r="W20" s="102">
        <v>2.4447875654128288</v>
      </c>
      <c r="DA20" s="175" t="s">
        <v>204</v>
      </c>
    </row>
    <row r="21" spans="1:105" ht="11.45" customHeight="1" x14ac:dyDescent="0.25">
      <c r="A21" s="85" t="s">
        <v>174</v>
      </c>
      <c r="B21" s="86">
        <v>1.1109586911529428</v>
      </c>
      <c r="C21" s="86">
        <v>1.4910235065473707</v>
      </c>
      <c r="D21" s="86">
        <v>1.9880313420631608</v>
      </c>
      <c r="E21" s="86">
        <v>2.7022190720900525</v>
      </c>
      <c r="F21" s="86">
        <v>3.0321654502896109</v>
      </c>
      <c r="G21" s="86">
        <v>4.1870756286472144</v>
      </c>
      <c r="H21" s="86">
        <v>4.6591911471463678</v>
      </c>
      <c r="I21" s="86">
        <v>5.2057807234106575</v>
      </c>
      <c r="J21" s="86">
        <v>5.6298493061149362</v>
      </c>
      <c r="K21" s="86">
        <v>4.0318662081759973</v>
      </c>
      <c r="L21" s="86">
        <v>4.7640309302325585</v>
      </c>
      <c r="M21" s="86">
        <v>4.2741010760248859</v>
      </c>
      <c r="N21" s="86">
        <v>3.3877966757990867</v>
      </c>
      <c r="O21" s="86">
        <v>2.4766500894712884</v>
      </c>
      <c r="P21" s="86">
        <v>2.1737542444603903</v>
      </c>
      <c r="Q21" s="86">
        <v>1.9843735036036192</v>
      </c>
      <c r="R21" s="86">
        <v>1.5989988684970637</v>
      </c>
      <c r="S21" s="86">
        <v>1.4282381707921361</v>
      </c>
      <c r="T21" s="86">
        <v>1.2042379999999999</v>
      </c>
      <c r="U21" s="86">
        <v>0.75792685294117645</v>
      </c>
      <c r="V21" s="86">
        <v>0.77813014541578795</v>
      </c>
      <c r="W21" s="86">
        <v>0.65895532016080438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245199</v>
      </c>
      <c r="C23" s="54">
        <f t="shared" si="15"/>
        <v>239371</v>
      </c>
      <c r="D23" s="54">
        <f t="shared" ref="D23:V23" si="16">SUM(D24,D28)</f>
        <v>217770</v>
      </c>
      <c r="E23" s="54">
        <f t="shared" si="16"/>
        <v>206723</v>
      </c>
      <c r="F23" s="54">
        <f t="shared" si="16"/>
        <v>219074</v>
      </c>
      <c r="G23" s="54">
        <f t="shared" si="16"/>
        <v>211648</v>
      </c>
      <c r="H23" s="54">
        <f t="shared" si="16"/>
        <v>215222</v>
      </c>
      <c r="I23" s="54">
        <f t="shared" si="16"/>
        <v>211125</v>
      </c>
      <c r="J23" s="54">
        <f t="shared" si="16"/>
        <v>217630</v>
      </c>
      <c r="K23" s="54">
        <f t="shared" si="16"/>
        <v>197566</v>
      </c>
      <c r="L23" s="54">
        <f t="shared" si="16"/>
        <v>199849</v>
      </c>
      <c r="M23" s="54">
        <f t="shared" si="16"/>
        <v>218390</v>
      </c>
      <c r="N23" s="54">
        <f t="shared" si="16"/>
        <v>211487</v>
      </c>
      <c r="O23" s="54">
        <f t="shared" si="16"/>
        <v>214191</v>
      </c>
      <c r="P23" s="54">
        <f t="shared" si="16"/>
        <v>217240</v>
      </c>
      <c r="Q23" s="54">
        <f t="shared" si="16"/>
        <v>217398</v>
      </c>
      <c r="R23" s="54">
        <f t="shared" si="16"/>
        <v>223023</v>
      </c>
      <c r="S23" s="54">
        <f t="shared" si="16"/>
        <v>231875</v>
      </c>
      <c r="T23" s="54">
        <f t="shared" si="16"/>
        <v>231891</v>
      </c>
      <c r="U23" s="54">
        <f t="shared" si="16"/>
        <v>219698</v>
      </c>
      <c r="V23" s="54">
        <f t="shared" si="16"/>
        <v>76996</v>
      </c>
      <c r="W23" s="54">
        <f t="shared" ref="W23" si="17">SUM(W24,W28)</f>
        <v>83409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242977</v>
      </c>
      <c r="C24" s="11">
        <f t="shared" si="18"/>
        <v>237374</v>
      </c>
      <c r="D24" s="11">
        <f t="shared" ref="D24:V24" si="19">SUM(D25:D27)</f>
        <v>215200</v>
      </c>
      <c r="E24" s="11">
        <f t="shared" si="19"/>
        <v>203741</v>
      </c>
      <c r="F24" s="11">
        <f t="shared" si="19"/>
        <v>214984</v>
      </c>
      <c r="G24" s="11">
        <f t="shared" si="19"/>
        <v>207192</v>
      </c>
      <c r="H24" s="11">
        <f t="shared" si="19"/>
        <v>209924</v>
      </c>
      <c r="I24" s="11">
        <f t="shared" si="19"/>
        <v>205033</v>
      </c>
      <c r="J24" s="11">
        <f t="shared" si="19"/>
        <v>211282</v>
      </c>
      <c r="K24" s="11">
        <f t="shared" si="19"/>
        <v>192542</v>
      </c>
      <c r="L24" s="11">
        <f t="shared" si="19"/>
        <v>194738</v>
      </c>
      <c r="M24" s="11">
        <f t="shared" si="19"/>
        <v>214200</v>
      </c>
      <c r="N24" s="11">
        <f t="shared" si="19"/>
        <v>207811</v>
      </c>
      <c r="O24" s="11">
        <f t="shared" si="19"/>
        <v>210812</v>
      </c>
      <c r="P24" s="11">
        <f t="shared" si="19"/>
        <v>214029</v>
      </c>
      <c r="Q24" s="11">
        <f t="shared" si="19"/>
        <v>214119</v>
      </c>
      <c r="R24" s="11">
        <f t="shared" si="19"/>
        <v>220171</v>
      </c>
      <c r="S24" s="11">
        <f t="shared" si="19"/>
        <v>228733</v>
      </c>
      <c r="T24" s="11">
        <f t="shared" si="19"/>
        <v>228782</v>
      </c>
      <c r="U24" s="11">
        <f t="shared" si="19"/>
        <v>216191</v>
      </c>
      <c r="V24" s="11">
        <f t="shared" si="19"/>
        <v>73697</v>
      </c>
      <c r="W24" s="11">
        <f t="shared" ref="W24" si="20">SUM(W25:W27)</f>
        <v>79740</v>
      </c>
      <c r="DA24" s="189" t="s">
        <v>207</v>
      </c>
    </row>
    <row r="25" spans="1:105" ht="11.45" customHeight="1" x14ac:dyDescent="0.25">
      <c r="A25" s="83" t="s">
        <v>27</v>
      </c>
      <c r="B25" s="84">
        <v>133239</v>
      </c>
      <c r="C25" s="84">
        <v>130528</v>
      </c>
      <c r="D25" s="84">
        <v>121385</v>
      </c>
      <c r="E25" s="84">
        <v>113710</v>
      </c>
      <c r="F25" s="84">
        <v>118893</v>
      </c>
      <c r="G25" s="84">
        <v>113992</v>
      </c>
      <c r="H25" s="84">
        <v>109113</v>
      </c>
      <c r="I25" s="84">
        <v>103387</v>
      </c>
      <c r="J25" s="84">
        <v>102664</v>
      </c>
      <c r="K25" s="84">
        <v>96585</v>
      </c>
      <c r="L25" s="84">
        <v>94761</v>
      </c>
      <c r="M25" s="84">
        <v>104076</v>
      </c>
      <c r="N25" s="84">
        <v>100316</v>
      </c>
      <c r="O25" s="84">
        <v>100671</v>
      </c>
      <c r="P25" s="84">
        <v>102278</v>
      </c>
      <c r="Q25" s="84">
        <v>100440</v>
      </c>
      <c r="R25" s="84">
        <v>101735</v>
      </c>
      <c r="S25" s="84">
        <v>103075</v>
      </c>
      <c r="T25" s="84">
        <v>100711</v>
      </c>
      <c r="U25" s="84">
        <v>92119</v>
      </c>
      <c r="V25" s="84">
        <v>35074</v>
      </c>
      <c r="W25" s="84">
        <v>37019</v>
      </c>
      <c r="DA25" s="171" t="s">
        <v>208</v>
      </c>
    </row>
    <row r="26" spans="1:105" ht="11.45" customHeight="1" x14ac:dyDescent="0.25">
      <c r="A26" s="83" t="s">
        <v>173</v>
      </c>
      <c r="B26" s="84">
        <v>99670</v>
      </c>
      <c r="C26" s="84">
        <v>97235</v>
      </c>
      <c r="D26" s="84">
        <v>85691</v>
      </c>
      <c r="E26" s="84">
        <v>82691</v>
      </c>
      <c r="F26" s="84">
        <v>88246</v>
      </c>
      <c r="G26" s="84">
        <v>83947</v>
      </c>
      <c r="H26" s="84">
        <v>91921</v>
      </c>
      <c r="I26" s="84">
        <v>92349</v>
      </c>
      <c r="J26" s="84">
        <v>97811</v>
      </c>
      <c r="K26" s="84">
        <v>85203</v>
      </c>
      <c r="L26" s="84">
        <v>88022</v>
      </c>
      <c r="M26" s="84">
        <v>96587</v>
      </c>
      <c r="N26" s="84">
        <v>93874</v>
      </c>
      <c r="O26" s="84">
        <v>95611</v>
      </c>
      <c r="P26" s="84">
        <v>96250</v>
      </c>
      <c r="Q26" s="84">
        <v>98306</v>
      </c>
      <c r="R26" s="84">
        <v>103627</v>
      </c>
      <c r="S26" s="84">
        <v>109597</v>
      </c>
      <c r="T26" s="84">
        <v>110692</v>
      </c>
      <c r="U26" s="84">
        <v>106783</v>
      </c>
      <c r="V26" s="84">
        <v>32567</v>
      </c>
      <c r="W26" s="84">
        <v>35685</v>
      </c>
      <c r="DA26" s="171" t="s">
        <v>209</v>
      </c>
    </row>
    <row r="27" spans="1:105" ht="11.45" customHeight="1" x14ac:dyDescent="0.25">
      <c r="A27" s="83" t="s">
        <v>174</v>
      </c>
      <c r="B27" s="84">
        <v>10068</v>
      </c>
      <c r="C27" s="84">
        <v>9611</v>
      </c>
      <c r="D27" s="84">
        <v>8124</v>
      </c>
      <c r="E27" s="84">
        <v>7340</v>
      </c>
      <c r="F27" s="84">
        <v>7845</v>
      </c>
      <c r="G27" s="84">
        <v>9253</v>
      </c>
      <c r="H27" s="84">
        <v>8890</v>
      </c>
      <c r="I27" s="84">
        <v>9297</v>
      </c>
      <c r="J27" s="84">
        <v>10807</v>
      </c>
      <c r="K27" s="84">
        <v>10754</v>
      </c>
      <c r="L27" s="84">
        <v>11955</v>
      </c>
      <c r="M27" s="84">
        <v>13537</v>
      </c>
      <c r="N27" s="84">
        <v>13621</v>
      </c>
      <c r="O27" s="84">
        <v>14530</v>
      </c>
      <c r="P27" s="84">
        <v>15501</v>
      </c>
      <c r="Q27" s="84">
        <v>15373</v>
      </c>
      <c r="R27" s="84">
        <v>14809</v>
      </c>
      <c r="S27" s="84">
        <v>16061</v>
      </c>
      <c r="T27" s="84">
        <v>17379</v>
      </c>
      <c r="U27" s="84">
        <v>17289</v>
      </c>
      <c r="V27" s="84">
        <v>6056</v>
      </c>
      <c r="W27" s="84">
        <v>7036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2222</v>
      </c>
      <c r="C28" s="13">
        <f t="shared" si="21"/>
        <v>1997</v>
      </c>
      <c r="D28" s="13">
        <f t="shared" ref="D28:V28" si="22">SUM(D29:D31)</f>
        <v>2570</v>
      </c>
      <c r="E28" s="13">
        <f t="shared" si="22"/>
        <v>2982</v>
      </c>
      <c r="F28" s="13">
        <f t="shared" si="22"/>
        <v>4090</v>
      </c>
      <c r="G28" s="13">
        <f t="shared" si="22"/>
        <v>4456</v>
      </c>
      <c r="H28" s="13">
        <f t="shared" si="22"/>
        <v>5298</v>
      </c>
      <c r="I28" s="13">
        <f t="shared" si="22"/>
        <v>6092</v>
      </c>
      <c r="J28" s="13">
        <f t="shared" si="22"/>
        <v>6348</v>
      </c>
      <c r="K28" s="13">
        <f t="shared" si="22"/>
        <v>5024</v>
      </c>
      <c r="L28" s="13">
        <f t="shared" si="22"/>
        <v>5111</v>
      </c>
      <c r="M28" s="13">
        <f t="shared" si="22"/>
        <v>4190</v>
      </c>
      <c r="N28" s="13">
        <f t="shared" si="22"/>
        <v>3676</v>
      </c>
      <c r="O28" s="13">
        <f t="shared" si="22"/>
        <v>3379</v>
      </c>
      <c r="P28" s="13">
        <f t="shared" si="22"/>
        <v>3211</v>
      </c>
      <c r="Q28" s="13">
        <f t="shared" si="22"/>
        <v>3279</v>
      </c>
      <c r="R28" s="13">
        <f t="shared" si="22"/>
        <v>2852</v>
      </c>
      <c r="S28" s="13">
        <f t="shared" si="22"/>
        <v>3142</v>
      </c>
      <c r="T28" s="13">
        <f t="shared" si="22"/>
        <v>3109</v>
      </c>
      <c r="U28" s="13">
        <f t="shared" si="22"/>
        <v>3507</v>
      </c>
      <c r="V28" s="13">
        <f t="shared" si="22"/>
        <v>3299</v>
      </c>
      <c r="W28" s="13">
        <f t="shared" ref="W28" si="23">SUM(W29:W31)</f>
        <v>3669</v>
      </c>
      <c r="DA28" s="193" t="s">
        <v>211</v>
      </c>
    </row>
    <row r="29" spans="1:105" ht="11.45" customHeight="1" x14ac:dyDescent="0.25">
      <c r="A29" s="92" t="s">
        <v>27</v>
      </c>
      <c r="B29" s="102">
        <v>733</v>
      </c>
      <c r="C29" s="102">
        <v>605</v>
      </c>
      <c r="D29" s="102">
        <v>759</v>
      </c>
      <c r="E29" s="102">
        <v>838</v>
      </c>
      <c r="F29" s="102">
        <v>1302</v>
      </c>
      <c r="G29" s="102">
        <v>1399</v>
      </c>
      <c r="H29" s="102">
        <v>1688</v>
      </c>
      <c r="I29" s="102">
        <v>1972</v>
      </c>
      <c r="J29" s="102">
        <v>2090</v>
      </c>
      <c r="K29" s="102">
        <v>1688</v>
      </c>
      <c r="L29" s="102">
        <v>1434</v>
      </c>
      <c r="M29" s="102">
        <v>1282</v>
      </c>
      <c r="N29" s="102">
        <v>1254</v>
      </c>
      <c r="O29" s="102">
        <v>1204</v>
      </c>
      <c r="P29" s="102">
        <v>1118</v>
      </c>
      <c r="Q29" s="102">
        <v>1074</v>
      </c>
      <c r="R29" s="102">
        <v>909</v>
      </c>
      <c r="S29" s="102">
        <v>1001</v>
      </c>
      <c r="T29" s="102">
        <v>756</v>
      </c>
      <c r="U29" s="102">
        <v>497</v>
      </c>
      <c r="V29" s="102">
        <v>364</v>
      </c>
      <c r="W29" s="102">
        <v>463</v>
      </c>
      <c r="DA29" s="175" t="s">
        <v>212</v>
      </c>
    </row>
    <row r="30" spans="1:105" ht="11.45" customHeight="1" x14ac:dyDescent="0.25">
      <c r="A30" s="92" t="s">
        <v>173</v>
      </c>
      <c r="B30" s="102">
        <v>1223</v>
      </c>
      <c r="C30" s="102">
        <v>1035</v>
      </c>
      <c r="D30" s="102">
        <v>1335</v>
      </c>
      <c r="E30" s="102">
        <v>1497</v>
      </c>
      <c r="F30" s="102">
        <v>2062</v>
      </c>
      <c r="G30" s="102">
        <v>2086</v>
      </c>
      <c r="H30" s="102">
        <v>2615</v>
      </c>
      <c r="I30" s="102">
        <v>3080</v>
      </c>
      <c r="J30" s="102">
        <v>3166</v>
      </c>
      <c r="K30" s="102">
        <v>2552</v>
      </c>
      <c r="L30" s="102">
        <v>2728</v>
      </c>
      <c r="M30" s="102">
        <v>2020</v>
      </c>
      <c r="N30" s="102">
        <v>1703</v>
      </c>
      <c r="O30" s="102">
        <v>1582</v>
      </c>
      <c r="P30" s="102">
        <v>1505</v>
      </c>
      <c r="Q30" s="102">
        <v>1579</v>
      </c>
      <c r="R30" s="102">
        <v>1375</v>
      </c>
      <c r="S30" s="102">
        <v>1508</v>
      </c>
      <c r="T30" s="102">
        <v>1629</v>
      </c>
      <c r="U30" s="102">
        <v>2580</v>
      </c>
      <c r="V30" s="102">
        <v>2455</v>
      </c>
      <c r="W30" s="102">
        <v>2623</v>
      </c>
      <c r="DA30" s="175" t="s">
        <v>213</v>
      </c>
    </row>
    <row r="31" spans="1:105" ht="11.45" customHeight="1" x14ac:dyDescent="0.25">
      <c r="A31" s="85" t="s">
        <v>174</v>
      </c>
      <c r="B31" s="86">
        <v>266</v>
      </c>
      <c r="C31" s="86">
        <v>357</v>
      </c>
      <c r="D31" s="86">
        <v>476</v>
      </c>
      <c r="E31" s="86">
        <v>647</v>
      </c>
      <c r="F31" s="86">
        <v>726</v>
      </c>
      <c r="G31" s="86">
        <v>971</v>
      </c>
      <c r="H31" s="86">
        <v>995</v>
      </c>
      <c r="I31" s="86">
        <v>1040</v>
      </c>
      <c r="J31" s="86">
        <v>1092</v>
      </c>
      <c r="K31" s="86">
        <v>784</v>
      </c>
      <c r="L31" s="86">
        <v>949</v>
      </c>
      <c r="M31" s="86">
        <v>888</v>
      </c>
      <c r="N31" s="86">
        <v>719</v>
      </c>
      <c r="O31" s="86">
        <v>593</v>
      </c>
      <c r="P31" s="86">
        <v>588</v>
      </c>
      <c r="Q31" s="86">
        <v>626</v>
      </c>
      <c r="R31" s="86">
        <v>568</v>
      </c>
      <c r="S31" s="86">
        <v>633</v>
      </c>
      <c r="T31" s="86">
        <v>724</v>
      </c>
      <c r="U31" s="86">
        <v>430</v>
      </c>
      <c r="V31" s="86">
        <v>480</v>
      </c>
      <c r="W31" s="86">
        <v>583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15695781</v>
      </c>
      <c r="C34" s="11">
        <f t="shared" si="24"/>
        <v>15643882</v>
      </c>
      <c r="D34" s="11">
        <f t="shared" ref="D34:V34" si="25">SUM(D35:D37)</f>
        <v>14381356</v>
      </c>
      <c r="E34" s="11">
        <f t="shared" si="25"/>
        <v>13274619</v>
      </c>
      <c r="F34" s="11">
        <f t="shared" si="25"/>
        <v>14000864</v>
      </c>
      <c r="G34" s="11">
        <f t="shared" si="25"/>
        <v>14753462</v>
      </c>
      <c r="H34" s="11">
        <f t="shared" si="25"/>
        <v>16391775</v>
      </c>
      <c r="I34" s="11">
        <f t="shared" si="25"/>
        <v>16838204</v>
      </c>
      <c r="J34" s="11">
        <f t="shared" si="25"/>
        <v>17144980</v>
      </c>
      <c r="K34" s="11">
        <f t="shared" si="25"/>
        <v>15517888</v>
      </c>
      <c r="L34" s="11">
        <f t="shared" si="25"/>
        <v>16329963</v>
      </c>
      <c r="M34" s="11">
        <f t="shared" si="25"/>
        <v>18256652</v>
      </c>
      <c r="N34" s="11">
        <f t="shared" si="25"/>
        <v>18624291</v>
      </c>
      <c r="O34" s="11">
        <f t="shared" si="25"/>
        <v>19176366</v>
      </c>
      <c r="P34" s="11">
        <f t="shared" si="25"/>
        <v>19962335</v>
      </c>
      <c r="Q34" s="11">
        <f t="shared" si="25"/>
        <v>20631195</v>
      </c>
      <c r="R34" s="11">
        <f t="shared" si="25"/>
        <v>21668940</v>
      </c>
      <c r="S34" s="11">
        <f t="shared" si="25"/>
        <v>23056715</v>
      </c>
      <c r="T34" s="11">
        <f t="shared" si="25"/>
        <v>23213867</v>
      </c>
      <c r="U34" s="11">
        <f t="shared" si="25"/>
        <v>22183331</v>
      </c>
      <c r="V34" s="11">
        <f t="shared" si="25"/>
        <v>5543346</v>
      </c>
      <c r="W34" s="11">
        <f t="shared" ref="W34" si="26">SUM(W35:W37)</f>
        <v>6517142</v>
      </c>
      <c r="DA34" s="189" t="s">
        <v>215</v>
      </c>
    </row>
    <row r="35" spans="1:105" ht="11.45" customHeight="1" x14ac:dyDescent="0.25">
      <c r="A35" s="83" t="s">
        <v>27</v>
      </c>
      <c r="B35" s="84">
        <v>7593364</v>
      </c>
      <c r="C35" s="84">
        <v>7605088</v>
      </c>
      <c r="D35" s="84">
        <v>7075743</v>
      </c>
      <c r="E35" s="84">
        <v>6484509</v>
      </c>
      <c r="F35" s="84">
        <v>6652345</v>
      </c>
      <c r="G35" s="84">
        <v>6939673</v>
      </c>
      <c r="H35" s="84">
        <v>6853795</v>
      </c>
      <c r="I35" s="84">
        <v>6698927</v>
      </c>
      <c r="J35" s="84">
        <v>6546506</v>
      </c>
      <c r="K35" s="84">
        <v>5838869</v>
      </c>
      <c r="L35" s="84">
        <v>6000563</v>
      </c>
      <c r="M35" s="84">
        <v>6802095</v>
      </c>
      <c r="N35" s="84">
        <v>6916832</v>
      </c>
      <c r="O35" s="84">
        <v>6945902</v>
      </c>
      <c r="P35" s="84">
        <v>7232597</v>
      </c>
      <c r="Q35" s="84">
        <v>7307430</v>
      </c>
      <c r="R35" s="84">
        <v>7520514</v>
      </c>
      <c r="S35" s="84">
        <v>7741641</v>
      </c>
      <c r="T35" s="84">
        <v>7490070</v>
      </c>
      <c r="U35" s="84">
        <v>6792937</v>
      </c>
      <c r="V35" s="84">
        <v>2001464</v>
      </c>
      <c r="W35" s="84">
        <v>2166619</v>
      </c>
      <c r="DA35" s="171" t="s">
        <v>216</v>
      </c>
    </row>
    <row r="36" spans="1:105" ht="11.45" customHeight="1" x14ac:dyDescent="0.25">
      <c r="A36" s="83" t="s">
        <v>173</v>
      </c>
      <c r="B36" s="84">
        <v>6999784</v>
      </c>
      <c r="C36" s="84">
        <v>7024559</v>
      </c>
      <c r="D36" s="84">
        <v>6477093</v>
      </c>
      <c r="E36" s="84">
        <v>5971948</v>
      </c>
      <c r="F36" s="84">
        <v>6355460</v>
      </c>
      <c r="G36" s="84">
        <v>6598382</v>
      </c>
      <c r="H36" s="84">
        <v>8297943</v>
      </c>
      <c r="I36" s="84">
        <v>8745479</v>
      </c>
      <c r="J36" s="84">
        <v>8990540</v>
      </c>
      <c r="K36" s="84">
        <v>8108625</v>
      </c>
      <c r="L36" s="84">
        <v>8562590</v>
      </c>
      <c r="M36" s="84">
        <v>9519005</v>
      </c>
      <c r="N36" s="84">
        <v>9707039</v>
      </c>
      <c r="O36" s="84">
        <v>10062197</v>
      </c>
      <c r="P36" s="84">
        <v>10377811</v>
      </c>
      <c r="Q36" s="84">
        <v>10922307</v>
      </c>
      <c r="R36" s="84">
        <v>11866366</v>
      </c>
      <c r="S36" s="84">
        <v>12805983</v>
      </c>
      <c r="T36" s="84">
        <v>12938549</v>
      </c>
      <c r="U36" s="84">
        <v>12617945</v>
      </c>
      <c r="V36" s="84">
        <v>2783820</v>
      </c>
      <c r="W36" s="84">
        <v>3507489</v>
      </c>
      <c r="DA36" s="171" t="s">
        <v>217</v>
      </c>
    </row>
    <row r="37" spans="1:105" ht="11.45" customHeight="1" x14ac:dyDescent="0.25">
      <c r="A37" s="83" t="s">
        <v>174</v>
      </c>
      <c r="B37" s="84">
        <v>1102633</v>
      </c>
      <c r="C37" s="84">
        <v>1014235</v>
      </c>
      <c r="D37" s="84">
        <v>828520</v>
      </c>
      <c r="E37" s="84">
        <v>818162</v>
      </c>
      <c r="F37" s="84">
        <v>993059</v>
      </c>
      <c r="G37" s="84">
        <v>1215407</v>
      </c>
      <c r="H37" s="84">
        <v>1240037</v>
      </c>
      <c r="I37" s="84">
        <v>1393798</v>
      </c>
      <c r="J37" s="84">
        <v>1607934</v>
      </c>
      <c r="K37" s="84">
        <v>1570394</v>
      </c>
      <c r="L37" s="84">
        <v>1766810</v>
      </c>
      <c r="M37" s="84">
        <v>1935552</v>
      </c>
      <c r="N37" s="84">
        <v>2000420</v>
      </c>
      <c r="O37" s="84">
        <v>2168267</v>
      </c>
      <c r="P37" s="84">
        <v>2351927</v>
      </c>
      <c r="Q37" s="84">
        <v>2401458</v>
      </c>
      <c r="R37" s="84">
        <v>2282060</v>
      </c>
      <c r="S37" s="84">
        <v>2509091</v>
      </c>
      <c r="T37" s="84">
        <v>2785248</v>
      </c>
      <c r="U37" s="84">
        <v>2772449</v>
      </c>
      <c r="V37" s="84">
        <v>758062</v>
      </c>
      <c r="W37" s="84">
        <v>843034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40874.437332427704</v>
      </c>
      <c r="C38" s="13">
        <f t="shared" si="27"/>
        <v>42058.327631938839</v>
      </c>
      <c r="D38" s="13">
        <f t="shared" ref="D38:V38" si="28">SUM(D39:D41)</f>
        <v>54693.192177052188</v>
      </c>
      <c r="E38" s="13">
        <f t="shared" si="28"/>
        <v>66339.729932510178</v>
      </c>
      <c r="F38" s="13">
        <f t="shared" si="28"/>
        <v>81282.486409636957</v>
      </c>
      <c r="G38" s="13">
        <f t="shared" si="28"/>
        <v>88628.191243393725</v>
      </c>
      <c r="H38" s="13">
        <f t="shared" si="28"/>
        <v>97789.076215579524</v>
      </c>
      <c r="I38" s="13">
        <f t="shared" si="28"/>
        <v>108309.79257671442</v>
      </c>
      <c r="J38" s="13">
        <f t="shared" si="28"/>
        <v>111602.25852113657</v>
      </c>
      <c r="K38" s="13">
        <f t="shared" si="28"/>
        <v>89635.238187311959</v>
      </c>
      <c r="L38" s="13">
        <f t="shared" si="28"/>
        <v>103492.55560057229</v>
      </c>
      <c r="M38" s="13">
        <f t="shared" si="28"/>
        <v>94155.265460481256</v>
      </c>
      <c r="N38" s="13">
        <f t="shared" si="28"/>
        <v>84307.464200024144</v>
      </c>
      <c r="O38" s="13">
        <f t="shared" si="28"/>
        <v>75174.705072976154</v>
      </c>
      <c r="P38" s="13">
        <f t="shared" si="28"/>
        <v>80657.335858736886</v>
      </c>
      <c r="Q38" s="13">
        <f t="shared" si="28"/>
        <v>84195.861990945443</v>
      </c>
      <c r="R38" s="13">
        <f t="shared" si="28"/>
        <v>83632.0705382616</v>
      </c>
      <c r="S38" s="13">
        <f t="shared" si="28"/>
        <v>89027.244750114318</v>
      </c>
      <c r="T38" s="13">
        <f t="shared" si="28"/>
        <v>94707.199562249007</v>
      </c>
      <c r="U38" s="13">
        <f t="shared" si="28"/>
        <v>90358.942248236533</v>
      </c>
      <c r="V38" s="13">
        <f t="shared" si="28"/>
        <v>72422.62574454592</v>
      </c>
      <c r="W38" s="13">
        <f t="shared" ref="W38" si="29">SUM(W39:W41)</f>
        <v>84169.859355359164</v>
      </c>
      <c r="DA38" s="193" t="s">
        <v>219</v>
      </c>
    </row>
    <row r="39" spans="1:105" ht="11.45" customHeight="1" x14ac:dyDescent="0.25">
      <c r="A39" s="92" t="s">
        <v>27</v>
      </c>
      <c r="B39" s="102">
        <v>7347.0501062258754</v>
      </c>
      <c r="C39" s="102">
        <v>6017.83629610358</v>
      </c>
      <c r="D39" s="102">
        <v>7763.5235331843805</v>
      </c>
      <c r="E39" s="102">
        <v>9117.4868699482358</v>
      </c>
      <c r="F39" s="102">
        <v>13339.371838387535</v>
      </c>
      <c r="G39" s="102">
        <v>14026.886386055126</v>
      </c>
      <c r="H39" s="102">
        <v>16279.574883619391</v>
      </c>
      <c r="I39" s="102">
        <v>18947.941100631411</v>
      </c>
      <c r="J39" s="102">
        <v>19320.489103482229</v>
      </c>
      <c r="K39" s="102">
        <v>15739.100893986379</v>
      </c>
      <c r="L39" s="102">
        <v>14300.836250704977</v>
      </c>
      <c r="M39" s="102">
        <v>13967.920200520219</v>
      </c>
      <c r="N39" s="102">
        <v>14033.90194816503</v>
      </c>
      <c r="O39" s="102">
        <v>13812.890430077026</v>
      </c>
      <c r="P39" s="102">
        <v>14385.326899011108</v>
      </c>
      <c r="Q39" s="102">
        <v>14220.018839249491</v>
      </c>
      <c r="R39" s="102">
        <v>13872.546237638126</v>
      </c>
      <c r="S39" s="102">
        <v>14051.337663563874</v>
      </c>
      <c r="T39" s="102">
        <v>10801.596281428479</v>
      </c>
      <c r="U39" s="102">
        <v>7854.2500850556371</v>
      </c>
      <c r="V39" s="102">
        <v>5301.8347849878246</v>
      </c>
      <c r="W39" s="102">
        <v>6821.787220087589</v>
      </c>
      <c r="DA39" s="175" t="s">
        <v>220</v>
      </c>
    </row>
    <row r="40" spans="1:105" ht="11.45" customHeight="1" x14ac:dyDescent="0.25">
      <c r="A40" s="92" t="s">
        <v>173</v>
      </c>
      <c r="B40" s="102">
        <v>19661.040284404335</v>
      </c>
      <c r="C40" s="102">
        <v>16820.033349280384</v>
      </c>
      <c r="D40" s="102">
        <v>21755.019346950066</v>
      </c>
      <c r="E40" s="102">
        <v>25699.755389938869</v>
      </c>
      <c r="F40" s="102">
        <v>33051.970116518911</v>
      </c>
      <c r="G40" s="102">
        <v>31667.611837970926</v>
      </c>
      <c r="H40" s="102">
        <v>36571.490314695773</v>
      </c>
      <c r="I40" s="102">
        <v>42367.356219006499</v>
      </c>
      <c r="J40" s="102">
        <v>43236.874589139086</v>
      </c>
      <c r="K40" s="102">
        <v>34775.492273138938</v>
      </c>
      <c r="L40" s="102">
        <v>39339.90655564348</v>
      </c>
      <c r="M40" s="102">
        <v>31289.201145170526</v>
      </c>
      <c r="N40" s="102">
        <v>28034.483063381493</v>
      </c>
      <c r="O40" s="102">
        <v>26169.512302484727</v>
      </c>
      <c r="P40" s="102">
        <v>27387.618280083687</v>
      </c>
      <c r="Q40" s="102">
        <v>28699.534139807154</v>
      </c>
      <c r="R40" s="102">
        <v>28288.578922297267</v>
      </c>
      <c r="S40" s="102">
        <v>28845.165869711047</v>
      </c>
      <c r="T40" s="102">
        <v>30968.958816117844</v>
      </c>
      <c r="U40" s="102">
        <v>50291.013408342704</v>
      </c>
      <c r="V40" s="102">
        <v>43009.548636721636</v>
      </c>
      <c r="W40" s="102">
        <v>46296.812343744059</v>
      </c>
      <c r="DA40" s="175" t="s">
        <v>221</v>
      </c>
    </row>
    <row r="41" spans="1:105" ht="11.45" customHeight="1" x14ac:dyDescent="0.25">
      <c r="A41" s="85" t="s">
        <v>174</v>
      </c>
      <c r="B41" s="86">
        <v>13866.346941797492</v>
      </c>
      <c r="C41" s="86">
        <v>19220.457986554869</v>
      </c>
      <c r="D41" s="86">
        <v>25174.649296917745</v>
      </c>
      <c r="E41" s="86">
        <v>31522.487672623065</v>
      </c>
      <c r="F41" s="86">
        <v>34891.144454730515</v>
      </c>
      <c r="G41" s="86">
        <v>42933.693019367682</v>
      </c>
      <c r="H41" s="86">
        <v>44938.011017264362</v>
      </c>
      <c r="I41" s="86">
        <v>46994.495257076516</v>
      </c>
      <c r="J41" s="86">
        <v>49044.894828515258</v>
      </c>
      <c r="K41" s="86">
        <v>39120.645020186639</v>
      </c>
      <c r="L41" s="86">
        <v>49851.812794223835</v>
      </c>
      <c r="M41" s="86">
        <v>48898.144114790521</v>
      </c>
      <c r="N41" s="86">
        <v>42239.079188477612</v>
      </c>
      <c r="O41" s="86">
        <v>35192.302340414404</v>
      </c>
      <c r="P41" s="86">
        <v>38884.390679642092</v>
      </c>
      <c r="Q41" s="86">
        <v>41276.309011888807</v>
      </c>
      <c r="R41" s="86">
        <v>41470.945378326207</v>
      </c>
      <c r="S41" s="86">
        <v>46130.741216839393</v>
      </c>
      <c r="T41" s="86">
        <v>52936.644464702673</v>
      </c>
      <c r="U41" s="86">
        <v>32213.678754838198</v>
      </c>
      <c r="V41" s="86">
        <v>24111.242322836453</v>
      </c>
      <c r="W41" s="86">
        <v>31051.259791527526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155.28591531947731</v>
      </c>
      <c r="C43" s="54">
        <f t="shared" si="30"/>
        <v>152.82373751040922</v>
      </c>
      <c r="D43" s="54">
        <f t="shared" ref="D43:V43" si="31">SUM(D44,D48)</f>
        <v>140.17529796971209</v>
      </c>
      <c r="E43" s="54">
        <f t="shared" si="31"/>
        <v>131.6838281936293</v>
      </c>
      <c r="F43" s="54">
        <f t="shared" si="31"/>
        <v>138.78605754474276</v>
      </c>
      <c r="G43" s="54">
        <f t="shared" si="31"/>
        <v>137.87277193342246</v>
      </c>
      <c r="H43" s="54">
        <f t="shared" si="31"/>
        <v>144.03671020047011</v>
      </c>
      <c r="I43" s="54">
        <f t="shared" si="31"/>
        <v>145.29120941237858</v>
      </c>
      <c r="J43" s="54">
        <f t="shared" si="31"/>
        <v>153.25303346682642</v>
      </c>
      <c r="K43" s="54">
        <f t="shared" si="31"/>
        <v>142.42570517765128</v>
      </c>
      <c r="L43" s="54">
        <f t="shared" si="31"/>
        <v>142.33312762181731</v>
      </c>
      <c r="M43" s="54">
        <f t="shared" si="31"/>
        <v>155.27616740571719</v>
      </c>
      <c r="N43" s="54">
        <f t="shared" si="31"/>
        <v>151.07692351960463</v>
      </c>
      <c r="O43" s="54">
        <f t="shared" si="31"/>
        <v>155.46054149103844</v>
      </c>
      <c r="P43" s="54">
        <f t="shared" si="31"/>
        <v>159.18498989905117</v>
      </c>
      <c r="Q43" s="54">
        <f t="shared" si="31"/>
        <v>159.38410417226379</v>
      </c>
      <c r="R43" s="54">
        <f t="shared" si="31"/>
        <v>165.41844061807603</v>
      </c>
      <c r="S43" s="54">
        <f t="shared" si="31"/>
        <v>174.97414800811487</v>
      </c>
      <c r="T43" s="54">
        <f t="shared" si="31"/>
        <v>177.05067157504567</v>
      </c>
      <c r="U43" s="54">
        <f t="shared" si="31"/>
        <v>168.54823486826723</v>
      </c>
      <c r="V43" s="54">
        <f t="shared" si="31"/>
        <v>158.20391380593674</v>
      </c>
      <c r="W43" s="54">
        <f t="shared" ref="W43" si="32">SUM(W44,W48)</f>
        <v>148.07170021044016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153.04533727336718</v>
      </c>
      <c r="C44" s="11">
        <f t="shared" si="33"/>
        <v>150.48902476810889</v>
      </c>
      <c r="D44" s="11">
        <f t="shared" ref="D44:V44" si="34">SUM(D45:D47)</f>
        <v>137.3074607400363</v>
      </c>
      <c r="E44" s="11">
        <f t="shared" si="34"/>
        <v>128.19989159941747</v>
      </c>
      <c r="F44" s="11">
        <f t="shared" si="34"/>
        <v>134.28700643301767</v>
      </c>
      <c r="G44" s="11">
        <f t="shared" si="34"/>
        <v>132.46302429221413</v>
      </c>
      <c r="H44" s="11">
        <f t="shared" si="34"/>
        <v>137.71293975771451</v>
      </c>
      <c r="I44" s="11">
        <f t="shared" si="34"/>
        <v>138.05671093515625</v>
      </c>
      <c r="J44" s="11">
        <f t="shared" si="34"/>
        <v>145.63074344123999</v>
      </c>
      <c r="K44" s="11">
        <f t="shared" si="34"/>
        <v>135.02747295667587</v>
      </c>
      <c r="L44" s="11">
        <f t="shared" si="34"/>
        <v>135.10807745909796</v>
      </c>
      <c r="M44" s="11">
        <f t="shared" si="34"/>
        <v>148.27517504760885</v>
      </c>
      <c r="N44" s="11">
        <f t="shared" si="34"/>
        <v>144.29998896610732</v>
      </c>
      <c r="O44" s="11">
        <f t="shared" si="34"/>
        <v>148.90766474215212</v>
      </c>
      <c r="P44" s="11">
        <f t="shared" si="34"/>
        <v>152.85617095477588</v>
      </c>
      <c r="Q44" s="11">
        <f t="shared" si="34"/>
        <v>153.27934303259951</v>
      </c>
      <c r="R44" s="11">
        <f t="shared" si="34"/>
        <v>159.53773728302278</v>
      </c>
      <c r="S44" s="11">
        <f t="shared" si="34"/>
        <v>169.3175024776726</v>
      </c>
      <c r="T44" s="11">
        <f t="shared" si="34"/>
        <v>171.61808384921443</v>
      </c>
      <c r="U44" s="11">
        <f t="shared" si="34"/>
        <v>162.77296462341747</v>
      </c>
      <c r="V44" s="11">
        <f t="shared" si="34"/>
        <v>152.5699421385263</v>
      </c>
      <c r="W44" s="11">
        <f t="shared" ref="W44" si="35">SUM(W45:W47)</f>
        <v>142.36691965363514</v>
      </c>
      <c r="DA44" s="189" t="s">
        <v>224</v>
      </c>
    </row>
    <row r="45" spans="1:105" ht="11.45" customHeight="1" x14ac:dyDescent="0.25">
      <c r="A45" s="83" t="s">
        <v>27</v>
      </c>
      <c r="B45" s="84">
        <v>61.090784044016509</v>
      </c>
      <c r="C45" s="84">
        <v>59.847776249426872</v>
      </c>
      <c r="D45" s="84">
        <v>55.655662540119209</v>
      </c>
      <c r="E45" s="84">
        <v>52.13663457129757</v>
      </c>
      <c r="F45" s="84">
        <v>54.513067400275105</v>
      </c>
      <c r="G45" s="84">
        <v>52.313905461220742</v>
      </c>
      <c r="H45" s="84">
        <v>50.143841911764703</v>
      </c>
      <c r="I45" s="84">
        <v>47.621833256563797</v>
      </c>
      <c r="J45" s="84">
        <v>47.573679332715479</v>
      </c>
      <c r="K45" s="84">
        <v>44.860659544821182</v>
      </c>
      <c r="L45" s="84">
        <v>43.952226345083488</v>
      </c>
      <c r="M45" s="84">
        <v>48.161036557149465</v>
      </c>
      <c r="N45" s="84">
        <v>46.615241635687731</v>
      </c>
      <c r="O45" s="84">
        <v>46.780204460966544</v>
      </c>
      <c r="P45" s="84">
        <v>47.659832246039144</v>
      </c>
      <c r="Q45" s="84">
        <v>46.825174825174827</v>
      </c>
      <c r="R45" s="84">
        <v>47.695733708391934</v>
      </c>
      <c r="S45" s="84">
        <v>48.39201877934272</v>
      </c>
      <c r="T45" s="84">
        <v>47.326597744360903</v>
      </c>
      <c r="U45" s="84">
        <v>43.228061942749882</v>
      </c>
      <c r="V45" s="84">
        <v>39.155343006482113</v>
      </c>
      <c r="W45" s="84">
        <v>35.082624070214344</v>
      </c>
      <c r="DA45" s="171" t="s">
        <v>225</v>
      </c>
    </row>
    <row r="46" spans="1:105" ht="11.45" customHeight="1" x14ac:dyDescent="0.25">
      <c r="A46" s="83" t="s">
        <v>173</v>
      </c>
      <c r="B46" s="84">
        <v>73.100620645080994</v>
      </c>
      <c r="C46" s="84">
        <v>72.643121177858049</v>
      </c>
      <c r="D46" s="84">
        <v>65.539064117520098</v>
      </c>
      <c r="E46" s="84">
        <v>61.835916204149882</v>
      </c>
      <c r="F46" s="84">
        <v>65.082927796787516</v>
      </c>
      <c r="G46" s="84">
        <v>62.216948288357727</v>
      </c>
      <c r="H46" s="84">
        <v>69.276916775990955</v>
      </c>
      <c r="I46" s="84">
        <v>70.39823974755798</v>
      </c>
      <c r="J46" s="84">
        <v>74.563585847654949</v>
      </c>
      <c r="K46" s="84">
        <v>67.382915106769914</v>
      </c>
      <c r="L46" s="84">
        <v>67.101525158280069</v>
      </c>
      <c r="M46" s="84">
        <v>73.980933857254755</v>
      </c>
      <c r="N46" s="84">
        <v>71.83844752017292</v>
      </c>
      <c r="O46" s="84">
        <v>74.292211239039986</v>
      </c>
      <c r="P46" s="84">
        <v>74.802221061677898</v>
      </c>
      <c r="Q46" s="84">
        <v>75.952184080440546</v>
      </c>
      <c r="R46" s="84">
        <v>80.925510881520196</v>
      </c>
      <c r="S46" s="84">
        <v>87.254624159545827</v>
      </c>
      <c r="T46" s="84">
        <v>88.009648944101954</v>
      </c>
      <c r="U46" s="84">
        <v>84.189074459808666</v>
      </c>
      <c r="V46" s="84">
        <v>79.315699750136588</v>
      </c>
      <c r="W46" s="84">
        <v>74.442325040464524</v>
      </c>
      <c r="DA46" s="171" t="s">
        <v>226</v>
      </c>
    </row>
    <row r="47" spans="1:105" ht="11.45" customHeight="1" x14ac:dyDescent="0.25">
      <c r="A47" s="83" t="s">
        <v>174</v>
      </c>
      <c r="B47" s="84">
        <v>18.853932584269664</v>
      </c>
      <c r="C47" s="84">
        <v>17.99812734082397</v>
      </c>
      <c r="D47" s="84">
        <v>16.112734082397004</v>
      </c>
      <c r="E47" s="84">
        <v>14.227340823970039</v>
      </c>
      <c r="F47" s="84">
        <v>14.691011235955056</v>
      </c>
      <c r="G47" s="84">
        <v>17.93217054263566</v>
      </c>
      <c r="H47" s="84">
        <v>18.292181069958847</v>
      </c>
      <c r="I47" s="84">
        <v>20.036637931034484</v>
      </c>
      <c r="J47" s="84">
        <v>23.493478260869566</v>
      </c>
      <c r="K47" s="84">
        <v>22.783898305084747</v>
      </c>
      <c r="L47" s="84">
        <v>24.054325955734406</v>
      </c>
      <c r="M47" s="84">
        <v>26.133204633204635</v>
      </c>
      <c r="N47" s="84">
        <v>25.846299810246681</v>
      </c>
      <c r="O47" s="84">
        <v>27.835249042145595</v>
      </c>
      <c r="P47" s="84">
        <v>30.394117647058824</v>
      </c>
      <c r="Q47" s="84">
        <v>30.501984126984127</v>
      </c>
      <c r="R47" s="84">
        <v>30.916492693110648</v>
      </c>
      <c r="S47" s="84">
        <v>33.670859538784065</v>
      </c>
      <c r="T47" s="84">
        <v>36.281837160751564</v>
      </c>
      <c r="U47" s="84">
        <v>35.355828220858896</v>
      </c>
      <c r="V47" s="84">
        <v>34.098899381907586</v>
      </c>
      <c r="W47" s="84">
        <v>32.841970542956275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2.240578046110139</v>
      </c>
      <c r="C48" s="13">
        <f t="shared" si="36"/>
        <v>2.3347127423003218</v>
      </c>
      <c r="D48" s="13">
        <f t="shared" ref="D48:V48" si="37">SUM(D49:D51)</f>
        <v>2.8678372296757981</v>
      </c>
      <c r="E48" s="13">
        <f t="shared" si="37"/>
        <v>3.4839365942118161</v>
      </c>
      <c r="F48" s="13">
        <f t="shared" si="37"/>
        <v>4.4990511117250902</v>
      </c>
      <c r="G48" s="13">
        <f t="shared" si="37"/>
        <v>5.4097476412083374</v>
      </c>
      <c r="H48" s="13">
        <f t="shared" si="37"/>
        <v>6.3237704427556141</v>
      </c>
      <c r="I48" s="13">
        <f t="shared" si="37"/>
        <v>7.2344984772223331</v>
      </c>
      <c r="J48" s="13">
        <f t="shared" si="37"/>
        <v>7.6222900255864303</v>
      </c>
      <c r="K48" s="13">
        <f t="shared" si="37"/>
        <v>7.3982322209754159</v>
      </c>
      <c r="L48" s="13">
        <f t="shared" si="37"/>
        <v>7.2250501627193469</v>
      </c>
      <c r="M48" s="13">
        <f t="shared" si="37"/>
        <v>7.0009923581083333</v>
      </c>
      <c r="N48" s="13">
        <f t="shared" si="37"/>
        <v>6.7769345534973189</v>
      </c>
      <c r="O48" s="13">
        <f t="shared" si="37"/>
        <v>6.5528767488863053</v>
      </c>
      <c r="P48" s="13">
        <f t="shared" si="37"/>
        <v>6.3288189442752909</v>
      </c>
      <c r="Q48" s="13">
        <f t="shared" si="37"/>
        <v>6.1047611396642774</v>
      </c>
      <c r="R48" s="13">
        <f t="shared" si="37"/>
        <v>5.8807033350532638</v>
      </c>
      <c r="S48" s="13">
        <f t="shared" si="37"/>
        <v>5.6566455304422503</v>
      </c>
      <c r="T48" s="13">
        <f t="shared" si="37"/>
        <v>5.4325877258312358</v>
      </c>
      <c r="U48" s="13">
        <f t="shared" si="37"/>
        <v>5.7752702448497537</v>
      </c>
      <c r="V48" s="13">
        <f t="shared" si="37"/>
        <v>5.6339716674104316</v>
      </c>
      <c r="W48" s="13">
        <f t="shared" ref="W48" si="38">SUM(W49:W51)</f>
        <v>5.7047805568050167</v>
      </c>
      <c r="DA48" s="193" t="s">
        <v>228</v>
      </c>
    </row>
    <row r="49" spans="1:105" ht="11.45" customHeight="1" x14ac:dyDescent="0.25">
      <c r="A49" s="92" t="s">
        <v>27</v>
      </c>
      <c r="B49" s="102">
        <v>0.52059659090909094</v>
      </c>
      <c r="C49" s="102">
        <v>0.46853693181818185</v>
      </c>
      <c r="D49" s="102">
        <v>0.5390625</v>
      </c>
      <c r="E49" s="102">
        <v>0.59517045454545459</v>
      </c>
      <c r="F49" s="102">
        <v>0.92471590909090906</v>
      </c>
      <c r="G49" s="102">
        <v>0.99431414356787495</v>
      </c>
      <c r="H49" s="102">
        <v>1.2039942938659058</v>
      </c>
      <c r="I49" s="102">
        <v>1.41159627773801</v>
      </c>
      <c r="J49" s="102">
        <v>1.5046796256299495</v>
      </c>
      <c r="K49" s="102">
        <v>1.4526199665390405</v>
      </c>
      <c r="L49" s="102">
        <v>1.4005603074481314</v>
      </c>
      <c r="M49" s="102">
        <v>1.3485006483572224</v>
      </c>
      <c r="N49" s="102">
        <v>1.2964409892663133</v>
      </c>
      <c r="O49" s="102">
        <v>1.2443813301754043</v>
      </c>
      <c r="P49" s="102">
        <v>1.1923216710844953</v>
      </c>
      <c r="Q49" s="102">
        <v>1.1402620119935862</v>
      </c>
      <c r="R49" s="102">
        <v>1.0882023529026772</v>
      </c>
      <c r="S49" s="102">
        <v>1.0361426938117682</v>
      </c>
      <c r="T49" s="102">
        <v>0.98408303472085912</v>
      </c>
      <c r="U49" s="102">
        <v>0.93202337562995008</v>
      </c>
      <c r="V49" s="102">
        <v>0.89731693623601072</v>
      </c>
      <c r="W49" s="102">
        <v>0.86261049684207136</v>
      </c>
      <c r="DA49" s="175" t="s">
        <v>229</v>
      </c>
    </row>
    <row r="50" spans="1:105" ht="11.45" customHeight="1" x14ac:dyDescent="0.25">
      <c r="A50" s="92" t="s">
        <v>173</v>
      </c>
      <c r="B50" s="102">
        <v>1.0664188016383949</v>
      </c>
      <c r="C50" s="102">
        <v>0.98902593333226285</v>
      </c>
      <c r="D50" s="102">
        <v>1.1592415601426289</v>
      </c>
      <c r="E50" s="102">
        <v>1.2990855499857719</v>
      </c>
      <c r="F50" s="102">
        <v>1.7905514188503975</v>
      </c>
      <c r="G50" s="102">
        <v>1.9695896689250971</v>
      </c>
      <c r="H50" s="102">
        <v>2.4522158271738905</v>
      </c>
      <c r="I50" s="102">
        <v>2.8850490921396905</v>
      </c>
      <c r="J50" s="102">
        <v>2.9615410357946308</v>
      </c>
      <c r="K50" s="102">
        <v>2.8548991556307914</v>
      </c>
      <c r="L50" s="102">
        <v>2.7991330218218966</v>
      </c>
      <c r="M50" s="102">
        <v>2.6924911416580573</v>
      </c>
      <c r="N50" s="102">
        <v>2.5858492614942175</v>
      </c>
      <c r="O50" s="102">
        <v>2.4792073813303781</v>
      </c>
      <c r="P50" s="102">
        <v>2.3725655011665387</v>
      </c>
      <c r="Q50" s="102">
        <v>2.2659236210026994</v>
      </c>
      <c r="R50" s="102">
        <v>2.15928174083886</v>
      </c>
      <c r="S50" s="102">
        <v>2.0526398606750207</v>
      </c>
      <c r="T50" s="102">
        <v>1.9459979805111811</v>
      </c>
      <c r="U50" s="102">
        <v>2.4060964239768734</v>
      </c>
      <c r="V50" s="102">
        <v>2.3430751295023349</v>
      </c>
      <c r="W50" s="102">
        <v>2.4921613018617026</v>
      </c>
      <c r="DA50" s="175" t="s">
        <v>230</v>
      </c>
    </row>
    <row r="51" spans="1:105" ht="11.45" customHeight="1" x14ac:dyDescent="0.25">
      <c r="A51" s="85" t="s">
        <v>174</v>
      </c>
      <c r="B51" s="86">
        <v>0.65356265356265353</v>
      </c>
      <c r="C51" s="86">
        <v>0.87714987714987713</v>
      </c>
      <c r="D51" s="86">
        <v>1.1695331695331694</v>
      </c>
      <c r="E51" s="86">
        <v>1.5896805896805897</v>
      </c>
      <c r="F51" s="86">
        <v>1.7837837837837838</v>
      </c>
      <c r="G51" s="86">
        <v>2.4458438287153652</v>
      </c>
      <c r="H51" s="86">
        <v>2.6675603217158175</v>
      </c>
      <c r="I51" s="86">
        <v>2.9378531073446328</v>
      </c>
      <c r="J51" s="86">
        <v>3.1560693641618496</v>
      </c>
      <c r="K51" s="86">
        <v>3.0907130988055842</v>
      </c>
      <c r="L51" s="86">
        <v>3.0253568334493188</v>
      </c>
      <c r="M51" s="86">
        <v>2.9600005680930535</v>
      </c>
      <c r="N51" s="86">
        <v>2.8946443027367881</v>
      </c>
      <c r="O51" s="86">
        <v>2.8292880373805227</v>
      </c>
      <c r="P51" s="86">
        <v>2.7639317720242573</v>
      </c>
      <c r="Q51" s="86">
        <v>2.698575506667992</v>
      </c>
      <c r="R51" s="86">
        <v>2.6332192413117266</v>
      </c>
      <c r="S51" s="86">
        <v>2.5678629759554612</v>
      </c>
      <c r="T51" s="86">
        <v>2.5025067105991958</v>
      </c>
      <c r="U51" s="86">
        <v>2.4371504452429305</v>
      </c>
      <c r="V51" s="86">
        <v>2.3935796016720867</v>
      </c>
      <c r="W51" s="86">
        <v>2.350008758101243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8.7897505400007532</v>
      </c>
      <c r="C53" s="54">
        <f t="shared" si="39"/>
        <v>3.4520358067982828</v>
      </c>
      <c r="D53" s="54">
        <f t="shared" ref="D53:V53" si="40">SUM(D54,D58)</f>
        <v>0.61094824545247661</v>
      </c>
      <c r="E53" s="54">
        <f t="shared" si="40"/>
        <v>0.69392312261301781</v>
      </c>
      <c r="F53" s="54">
        <f t="shared" si="40"/>
        <v>12.208870491084443</v>
      </c>
      <c r="G53" s="54">
        <f t="shared" si="40"/>
        <v>5.0694584843392683</v>
      </c>
      <c r="H53" s="54">
        <f t="shared" si="40"/>
        <v>11.436652435610631</v>
      </c>
      <c r="I53" s="54">
        <f t="shared" si="40"/>
        <v>7.1686230644088162</v>
      </c>
      <c r="J53" s="54">
        <f t="shared" si="40"/>
        <v>13.059400548535752</v>
      </c>
      <c r="K53" s="54">
        <f t="shared" si="40"/>
        <v>0</v>
      </c>
      <c r="L53" s="54">
        <f t="shared" si="40"/>
        <v>5.0969053280251115</v>
      </c>
      <c r="M53" s="54">
        <f t="shared" si="40"/>
        <v>18.183398414113896</v>
      </c>
      <c r="N53" s="54">
        <f t="shared" si="40"/>
        <v>1.6040294418180565</v>
      </c>
      <c r="O53" s="54">
        <f t="shared" si="40"/>
        <v>9.6239766016477812</v>
      </c>
      <c r="P53" s="54">
        <f t="shared" si="40"/>
        <v>9.0414413579559305</v>
      </c>
      <c r="Q53" s="54">
        <f t="shared" si="40"/>
        <v>5.6280584450906002</v>
      </c>
      <c r="R53" s="54">
        <f t="shared" si="40"/>
        <v>11.274695076026285</v>
      </c>
      <c r="S53" s="54">
        <f t="shared" si="40"/>
        <v>14.796066020252837</v>
      </c>
      <c r="T53" s="54">
        <f t="shared" si="40"/>
        <v>7.3168821971448237</v>
      </c>
      <c r="U53" s="54">
        <f t="shared" si="40"/>
        <v>0.50558253086867877</v>
      </c>
      <c r="V53" s="54">
        <f t="shared" si="40"/>
        <v>1.5170009110302973E-3</v>
      </c>
      <c r="W53" s="54">
        <f t="shared" ref="W53" si="41">SUM(W54,W58)</f>
        <v>0.1833975769886585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8.5228668542224586</v>
      </c>
      <c r="C54" s="11">
        <f t="shared" si="42"/>
        <v>3.1734131525232883</v>
      </c>
      <c r="D54" s="11">
        <f t="shared" ref="D54:V54" si="43">SUM(D55:D57)</f>
        <v>0</v>
      </c>
      <c r="E54" s="11">
        <f t="shared" si="43"/>
        <v>0</v>
      </c>
      <c r="F54" s="11">
        <f t="shared" si="43"/>
        <v>11.103415659203183</v>
      </c>
      <c r="G54" s="11">
        <f t="shared" si="43"/>
        <v>4.0774862863710846</v>
      </c>
      <c r="H54" s="11">
        <f t="shared" si="43"/>
        <v>10.441353965578418</v>
      </c>
      <c r="I54" s="11">
        <f t="shared" si="43"/>
        <v>6.1766193614571598</v>
      </c>
      <c r="J54" s="11">
        <f t="shared" si="43"/>
        <v>12.590333331686718</v>
      </c>
      <c r="K54" s="11">
        <f t="shared" si="43"/>
        <v>0</v>
      </c>
      <c r="L54" s="11">
        <f t="shared" si="43"/>
        <v>5.0969053280251115</v>
      </c>
      <c r="M54" s="11">
        <f t="shared" si="43"/>
        <v>18.183398414113896</v>
      </c>
      <c r="N54" s="11">
        <f t="shared" si="43"/>
        <v>1.6040294418180565</v>
      </c>
      <c r="O54" s="11">
        <f t="shared" si="43"/>
        <v>9.6239766016477812</v>
      </c>
      <c r="P54" s="11">
        <f t="shared" si="43"/>
        <v>9.0414413579559305</v>
      </c>
      <c r="Q54" s="11">
        <f t="shared" si="43"/>
        <v>5.6280584450906002</v>
      </c>
      <c r="R54" s="11">
        <f t="shared" si="43"/>
        <v>11.274695076026285</v>
      </c>
      <c r="S54" s="11">
        <f t="shared" si="43"/>
        <v>14.796066020252837</v>
      </c>
      <c r="T54" s="11">
        <f t="shared" si="43"/>
        <v>7.3168821971448237</v>
      </c>
      <c r="U54" s="11">
        <f t="shared" si="43"/>
        <v>0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0.26865352284895039</v>
      </c>
      <c r="C55" s="84">
        <v>0.75191808039136276</v>
      </c>
      <c r="D55" s="84">
        <v>0</v>
      </c>
      <c r="E55" s="84">
        <v>0</v>
      </c>
      <c r="F55" s="84">
        <v>4.3713587039585349</v>
      </c>
      <c r="G55" s="84">
        <v>0</v>
      </c>
      <c r="H55" s="84">
        <v>0</v>
      </c>
      <c r="I55" s="84">
        <v>0</v>
      </c>
      <c r="J55" s="84">
        <v>1.946771951132682</v>
      </c>
      <c r="K55" s="84">
        <v>0</v>
      </c>
      <c r="L55" s="84">
        <v>1.0864926752433064</v>
      </c>
      <c r="M55" s="84">
        <v>6.2037360870469769</v>
      </c>
      <c r="N55" s="84">
        <v>0.44913095351926557</v>
      </c>
      <c r="O55" s="84">
        <v>2.1598887002598133</v>
      </c>
      <c r="P55" s="84">
        <v>2.8745536600535999</v>
      </c>
      <c r="Q55" s="84">
        <v>1.1602684541166823</v>
      </c>
      <c r="R55" s="84">
        <v>2.8654847581981073</v>
      </c>
      <c r="S55" s="84">
        <v>2.6912109459317861</v>
      </c>
      <c r="T55" s="84">
        <v>0.92950483999918276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4.7348000979157963</v>
      </c>
      <c r="C56" s="84">
        <v>2.4214950721319255</v>
      </c>
      <c r="D56" s="84">
        <v>0</v>
      </c>
      <c r="E56" s="84">
        <v>0</v>
      </c>
      <c r="F56" s="84">
        <v>5.6684489652326322</v>
      </c>
      <c r="G56" s="84">
        <v>0.2363894016634811</v>
      </c>
      <c r="H56" s="84">
        <v>9.4814058602282323</v>
      </c>
      <c r="I56" s="84">
        <v>3.8322249223545235</v>
      </c>
      <c r="J56" s="84">
        <v>6.5867834726919563</v>
      </c>
      <c r="K56" s="84">
        <v>0</v>
      </c>
      <c r="L56" s="84">
        <v>2.1400474241051475</v>
      </c>
      <c r="M56" s="84">
        <v>9.3008460715696906</v>
      </c>
      <c r="N56" s="84">
        <v>0.84186573322974567</v>
      </c>
      <c r="O56" s="84">
        <v>4.8752010914620545</v>
      </c>
      <c r="P56" s="84">
        <v>3.0080815149621021</v>
      </c>
      <c r="Q56" s="84">
        <v>3.7599859330216159</v>
      </c>
      <c r="R56" s="84">
        <v>7.3947641736746572</v>
      </c>
      <c r="S56" s="84">
        <v>8.7505506506206316</v>
      </c>
      <c r="T56" s="84">
        <v>3.1764621571511382</v>
      </c>
      <c r="U56" s="84">
        <v>0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3.519413233457712</v>
      </c>
      <c r="C57" s="84">
        <v>0</v>
      </c>
      <c r="D57" s="84">
        <v>0</v>
      </c>
      <c r="E57" s="84">
        <v>0</v>
      </c>
      <c r="F57" s="84">
        <v>1.0636079900120166</v>
      </c>
      <c r="G57" s="84">
        <v>3.8410968847076035</v>
      </c>
      <c r="H57" s="84">
        <v>0.95994810535018615</v>
      </c>
      <c r="I57" s="84">
        <v>2.3443944391026363</v>
      </c>
      <c r="J57" s="84">
        <v>4.0567779078620809</v>
      </c>
      <c r="K57" s="84">
        <v>0</v>
      </c>
      <c r="L57" s="84">
        <v>1.8703652286766577</v>
      </c>
      <c r="M57" s="84">
        <v>2.6788162554972281</v>
      </c>
      <c r="N57" s="84">
        <v>0.31303275506904527</v>
      </c>
      <c r="O57" s="84">
        <v>2.5888868099259135</v>
      </c>
      <c r="P57" s="84">
        <v>3.1588061829402285</v>
      </c>
      <c r="Q57" s="84">
        <v>0.70780405795230195</v>
      </c>
      <c r="R57" s="84">
        <v>1.0144461441535206</v>
      </c>
      <c r="S57" s="84">
        <v>3.3543044237004196</v>
      </c>
      <c r="T57" s="84">
        <v>3.2109151999945027</v>
      </c>
      <c r="U57" s="84">
        <v>0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0.26688368577829541</v>
      </c>
      <c r="C58" s="13">
        <f t="shared" si="45"/>
        <v>0.27862265427499433</v>
      </c>
      <c r="D58" s="13">
        <f t="shared" ref="D58:V58" si="46">SUM(D59:D61)</f>
        <v>0.61094824545247661</v>
      </c>
      <c r="E58" s="13">
        <f t="shared" si="46"/>
        <v>0.69392312261301781</v>
      </c>
      <c r="F58" s="13">
        <f t="shared" si="46"/>
        <v>1.1054548318812609</v>
      </c>
      <c r="G58" s="13">
        <f t="shared" si="46"/>
        <v>0.99197219796818337</v>
      </c>
      <c r="H58" s="13">
        <f t="shared" si="46"/>
        <v>0.99529847003221283</v>
      </c>
      <c r="I58" s="13">
        <f t="shared" si="46"/>
        <v>0.99200370295165619</v>
      </c>
      <c r="J58" s="13">
        <f t="shared" si="46"/>
        <v>0.46906721684903319</v>
      </c>
      <c r="K58" s="13">
        <f t="shared" si="46"/>
        <v>0</v>
      </c>
      <c r="L58" s="13">
        <f t="shared" si="46"/>
        <v>0</v>
      </c>
      <c r="M58" s="13">
        <f t="shared" si="46"/>
        <v>0</v>
      </c>
      <c r="N58" s="13">
        <f t="shared" si="46"/>
        <v>0</v>
      </c>
      <c r="O58" s="13">
        <f t="shared" si="46"/>
        <v>0</v>
      </c>
      <c r="P58" s="13">
        <f t="shared" si="46"/>
        <v>0</v>
      </c>
      <c r="Q58" s="13">
        <f t="shared" si="46"/>
        <v>0</v>
      </c>
      <c r="R58" s="13">
        <f t="shared" si="46"/>
        <v>0</v>
      </c>
      <c r="S58" s="13">
        <f t="shared" si="46"/>
        <v>0</v>
      </c>
      <c r="T58" s="13">
        <f t="shared" si="46"/>
        <v>0</v>
      </c>
      <c r="U58" s="13">
        <f t="shared" si="46"/>
        <v>0.50558253086867877</v>
      </c>
      <c r="V58" s="13">
        <f t="shared" si="46"/>
        <v>1.5170009110302973E-3</v>
      </c>
      <c r="W58" s="13">
        <f t="shared" ref="W58" si="47">SUM(W59:W61)</f>
        <v>0.1833975769886585</v>
      </c>
      <c r="DA58" s="193" t="s">
        <v>237</v>
      </c>
    </row>
    <row r="59" spans="1:105" ht="11.45" customHeight="1" x14ac:dyDescent="0.25">
      <c r="A59" s="92" t="s">
        <v>27</v>
      </c>
      <c r="B59" s="102">
        <v>2.6981534090636305E-2</v>
      </c>
      <c r="C59" s="102">
        <v>0</v>
      </c>
      <c r="D59" s="102">
        <v>8.6143465908818107E-2</v>
      </c>
      <c r="E59" s="102">
        <v>7.1725852272454538E-2</v>
      </c>
      <c r="F59" s="102">
        <v>0.34516335227245443</v>
      </c>
      <c r="G59" s="102">
        <v>8.5216132203965844E-2</v>
      </c>
      <c r="H59" s="102">
        <v>0.22529804802503095</v>
      </c>
      <c r="I59" s="102">
        <v>0.22321988159910422</v>
      </c>
      <c r="J59" s="102">
        <v>0.10870124561893957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0.13203974382558054</v>
      </c>
      <c r="C60" s="102">
        <v>2.5797101449770751E-2</v>
      </c>
      <c r="D60" s="102">
        <v>0.20318315792236616</v>
      </c>
      <c r="E60" s="102">
        <v>0.17281152095514296</v>
      </c>
      <c r="F60" s="102">
        <v>0.53694995626761233</v>
      </c>
      <c r="G60" s="102">
        <v>0.21545769159463621</v>
      </c>
      <c r="H60" s="102">
        <v>0.51904559976872977</v>
      </c>
      <c r="I60" s="102">
        <v>0.4692527064857368</v>
      </c>
      <c r="J60" s="102">
        <v>0.11291138517487698</v>
      </c>
      <c r="K60" s="102">
        <v>0</v>
      </c>
      <c r="L60" s="102">
        <v>0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0</v>
      </c>
      <c r="S60" s="102">
        <v>0</v>
      </c>
      <c r="T60" s="102">
        <v>0</v>
      </c>
      <c r="U60" s="102">
        <v>0.50558253086867877</v>
      </c>
      <c r="V60" s="102">
        <v>1.5170009110302973E-3</v>
      </c>
      <c r="W60" s="102">
        <v>0.1833975769886585</v>
      </c>
      <c r="DA60" s="175" t="s">
        <v>239</v>
      </c>
    </row>
    <row r="61" spans="1:105" ht="11.45" customHeight="1" x14ac:dyDescent="0.25">
      <c r="A61" s="85" t="s">
        <v>174</v>
      </c>
      <c r="B61" s="86">
        <v>0.10786240786207857</v>
      </c>
      <c r="C61" s="86">
        <v>0.25282555282522357</v>
      </c>
      <c r="D61" s="86">
        <v>0.32162162162129238</v>
      </c>
      <c r="E61" s="86">
        <v>0.44938574938542031</v>
      </c>
      <c r="F61" s="86">
        <v>0.22334152334119417</v>
      </c>
      <c r="G61" s="86">
        <v>0.69129837416958129</v>
      </c>
      <c r="H61" s="86">
        <v>0.25095482223845211</v>
      </c>
      <c r="I61" s="86">
        <v>0.29953111486681516</v>
      </c>
      <c r="J61" s="86">
        <v>0.24745458605521664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64.597805553612076</v>
      </c>
      <c r="C66" s="14">
        <f t="shared" si="48"/>
        <v>65.903940616916771</v>
      </c>
      <c r="D66" s="14">
        <f t="shared" ref="D66:V66" si="49">IF(D34=0,0,D34/D24)</f>
        <v>66.827862453531594</v>
      </c>
      <c r="E66" s="14">
        <f t="shared" si="49"/>
        <v>65.154382279462652</v>
      </c>
      <c r="F66" s="14">
        <f t="shared" si="49"/>
        <v>65.125144196777441</v>
      </c>
      <c r="G66" s="14">
        <f t="shared" si="49"/>
        <v>71.206716475539594</v>
      </c>
      <c r="H66" s="14">
        <f t="shared" si="49"/>
        <v>78.084330519616628</v>
      </c>
      <c r="I66" s="14">
        <f t="shared" si="49"/>
        <v>82.124360468802578</v>
      </c>
      <c r="J66" s="14">
        <f t="shared" si="49"/>
        <v>81.147376492081676</v>
      </c>
      <c r="K66" s="14">
        <f t="shared" si="49"/>
        <v>80.594820870251681</v>
      </c>
      <c r="L66" s="14">
        <f t="shared" si="49"/>
        <v>83.856068153108282</v>
      </c>
      <c r="M66" s="14">
        <f t="shared" si="49"/>
        <v>85.231802054154997</v>
      </c>
      <c r="N66" s="14">
        <f t="shared" si="49"/>
        <v>89.621295311605252</v>
      </c>
      <c r="O66" s="14">
        <f t="shared" si="49"/>
        <v>90.96429994497467</v>
      </c>
      <c r="P66" s="14">
        <f t="shared" si="49"/>
        <v>93.269299954679042</v>
      </c>
      <c r="Q66" s="14">
        <f t="shared" si="49"/>
        <v>96.353873313437859</v>
      </c>
      <c r="R66" s="14">
        <f t="shared" si="49"/>
        <v>98.418683659519189</v>
      </c>
      <c r="S66" s="14">
        <f t="shared" si="49"/>
        <v>100.8018738004573</v>
      </c>
      <c r="T66" s="14">
        <f t="shared" si="49"/>
        <v>101.46719147485379</v>
      </c>
      <c r="U66" s="14">
        <f t="shared" si="49"/>
        <v>102.60987275140964</v>
      </c>
      <c r="V66" s="14">
        <f t="shared" si="49"/>
        <v>75.218068578096805</v>
      </c>
      <c r="W66" s="14">
        <f t="shared" ref="W66" si="50">IF(W34=0,0,W34/W24)</f>
        <v>81.729897165788813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56.9905508147014</v>
      </c>
      <c r="C67" s="87">
        <f t="shared" si="48"/>
        <v>58.264035302770289</v>
      </c>
      <c r="D67" s="87">
        <f t="shared" ref="D67:V67" si="51">IF(D35=0,0,D35/D25)</f>
        <v>58.291741154178851</v>
      </c>
      <c r="E67" s="87">
        <f t="shared" si="51"/>
        <v>57.026725881628707</v>
      </c>
      <c r="F67" s="87">
        <f t="shared" si="51"/>
        <v>55.95236893677508</v>
      </c>
      <c r="G67" s="87">
        <f t="shared" si="51"/>
        <v>60.878596743631135</v>
      </c>
      <c r="H67" s="87">
        <f t="shared" si="51"/>
        <v>62.813734385453614</v>
      </c>
      <c r="I67" s="87">
        <f t="shared" si="51"/>
        <v>64.794674378790376</v>
      </c>
      <c r="J67" s="87">
        <f t="shared" si="51"/>
        <v>63.766325099353232</v>
      </c>
      <c r="K67" s="87">
        <f t="shared" si="51"/>
        <v>60.453165605425276</v>
      </c>
      <c r="L67" s="87">
        <f t="shared" si="51"/>
        <v>63.323128713289222</v>
      </c>
      <c r="M67" s="87">
        <f t="shared" si="51"/>
        <v>65.356998731696066</v>
      </c>
      <c r="N67" s="87">
        <f t="shared" si="51"/>
        <v>68.950436620279916</v>
      </c>
      <c r="O67" s="87">
        <f t="shared" si="51"/>
        <v>68.996056461145713</v>
      </c>
      <c r="P67" s="87">
        <f t="shared" si="51"/>
        <v>70.71508046696259</v>
      </c>
      <c r="Q67" s="87">
        <f t="shared" si="51"/>
        <v>72.754181600955789</v>
      </c>
      <c r="R67" s="87">
        <f t="shared" si="51"/>
        <v>73.922583181795844</v>
      </c>
      <c r="S67" s="87">
        <f t="shared" si="51"/>
        <v>75.106873635702158</v>
      </c>
      <c r="T67" s="87">
        <f t="shared" si="51"/>
        <v>74.371915679518622</v>
      </c>
      <c r="U67" s="87">
        <f t="shared" si="51"/>
        <v>73.740889501622902</v>
      </c>
      <c r="V67" s="87">
        <f t="shared" si="51"/>
        <v>57.06403603809089</v>
      </c>
      <c r="W67" s="87">
        <f t="shared" ref="W67" si="52">IF(W35=0,0,W35/W25)</f>
        <v>58.52721575407223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70.229597672318647</v>
      </c>
      <c r="C68" s="87">
        <f t="shared" si="48"/>
        <v>72.243112048130811</v>
      </c>
      <c r="D68" s="87">
        <f t="shared" ref="D68:V68" si="53">IF(D36=0,0,D36/D26)</f>
        <v>75.586619364927472</v>
      </c>
      <c r="E68" s="87">
        <f t="shared" si="53"/>
        <v>72.220048130993703</v>
      </c>
      <c r="F68" s="87">
        <f t="shared" si="53"/>
        <v>72.019808263264053</v>
      </c>
      <c r="G68" s="87">
        <f t="shared" si="53"/>
        <v>78.601760634686173</v>
      </c>
      <c r="H68" s="87">
        <f t="shared" si="53"/>
        <v>90.272549254250933</v>
      </c>
      <c r="I68" s="87">
        <f t="shared" si="53"/>
        <v>94.7003107775937</v>
      </c>
      <c r="J68" s="87">
        <f t="shared" si="53"/>
        <v>91.9174734948012</v>
      </c>
      <c r="K68" s="87">
        <f t="shared" si="53"/>
        <v>95.1683039329601</v>
      </c>
      <c r="L68" s="87">
        <f t="shared" si="53"/>
        <v>97.277839631001342</v>
      </c>
      <c r="M68" s="87">
        <f t="shared" si="53"/>
        <v>98.553687349229193</v>
      </c>
      <c r="N68" s="87">
        <f t="shared" si="53"/>
        <v>103.40497901442359</v>
      </c>
      <c r="O68" s="87">
        <f t="shared" si="53"/>
        <v>105.24099737477906</v>
      </c>
      <c r="P68" s="87">
        <f t="shared" si="53"/>
        <v>107.82141298701299</v>
      </c>
      <c r="Q68" s="87">
        <f t="shared" si="53"/>
        <v>111.10519195166114</v>
      </c>
      <c r="R68" s="87">
        <f t="shared" si="53"/>
        <v>114.51036891929709</v>
      </c>
      <c r="S68" s="87">
        <f t="shared" si="53"/>
        <v>116.84610892633923</v>
      </c>
      <c r="T68" s="87">
        <f t="shared" si="53"/>
        <v>116.88784193979691</v>
      </c>
      <c r="U68" s="87">
        <f t="shared" si="53"/>
        <v>118.16436136838261</v>
      </c>
      <c r="V68" s="87">
        <f t="shared" si="53"/>
        <v>85.479780145546101</v>
      </c>
      <c r="W68" s="87">
        <f t="shared" ref="W68" si="54">IF(W36=0,0,W36/W26)</f>
        <v>98.290290037831028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109.51857369884783</v>
      </c>
      <c r="C69" s="87">
        <f t="shared" si="48"/>
        <v>105.52856102382687</v>
      </c>
      <c r="D69" s="87">
        <f t="shared" ref="D69:V69" si="55">IF(D37=0,0,D37/D27)</f>
        <v>101.98424421467257</v>
      </c>
      <c r="E69" s="87">
        <f t="shared" si="55"/>
        <v>111.46621253405995</v>
      </c>
      <c r="F69" s="87">
        <f t="shared" si="55"/>
        <v>126.58495857233908</v>
      </c>
      <c r="G69" s="87">
        <f t="shared" si="55"/>
        <v>131.3527504593105</v>
      </c>
      <c r="H69" s="87">
        <f t="shared" si="55"/>
        <v>139.4867266591676</v>
      </c>
      <c r="I69" s="87">
        <f t="shared" si="55"/>
        <v>149.91911369258901</v>
      </c>
      <c r="J69" s="87">
        <f t="shared" si="55"/>
        <v>148.78634218562044</v>
      </c>
      <c r="K69" s="87">
        <f t="shared" si="55"/>
        <v>146.02882648316904</v>
      </c>
      <c r="L69" s="87">
        <f t="shared" si="55"/>
        <v>147.78837306566291</v>
      </c>
      <c r="M69" s="87">
        <f t="shared" si="55"/>
        <v>142.98234468493757</v>
      </c>
      <c r="N69" s="87">
        <f t="shared" si="55"/>
        <v>146.86293223698701</v>
      </c>
      <c r="O69" s="87">
        <f t="shared" si="55"/>
        <v>149.2269098417068</v>
      </c>
      <c r="P69" s="87">
        <f t="shared" si="55"/>
        <v>151.72743693955229</v>
      </c>
      <c r="Q69" s="87">
        <f t="shared" si="55"/>
        <v>156.21271059650036</v>
      </c>
      <c r="R69" s="87">
        <f t="shared" si="55"/>
        <v>154.09953406712134</v>
      </c>
      <c r="S69" s="87">
        <f t="shared" si="55"/>
        <v>156.2225888798954</v>
      </c>
      <c r="T69" s="87">
        <f t="shared" si="55"/>
        <v>160.26514759192128</v>
      </c>
      <c r="U69" s="87">
        <f t="shared" si="55"/>
        <v>160.35913008271154</v>
      </c>
      <c r="V69" s="87">
        <f t="shared" si="55"/>
        <v>125.17536327608983</v>
      </c>
      <c r="W69" s="87">
        <f t="shared" ref="W69" si="56">IF(W37=0,0,W37/W27)</f>
        <v>119.81722569641842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18.395336333225789</v>
      </c>
      <c r="C70" s="15">
        <f t="shared" si="48"/>
        <v>21.060754948392006</v>
      </c>
      <c r="D70" s="15">
        <f t="shared" ref="D70:V70" si="57">IF(D38=0,0,D38/D28)</f>
        <v>21.281397734261553</v>
      </c>
      <c r="E70" s="15">
        <f t="shared" si="57"/>
        <v>22.246723652753246</v>
      </c>
      <c r="F70" s="15">
        <f t="shared" si="57"/>
        <v>19.873468559813436</v>
      </c>
      <c r="G70" s="15">
        <f t="shared" si="57"/>
        <v>19.889629991784947</v>
      </c>
      <c r="H70" s="15">
        <f t="shared" si="57"/>
        <v>18.457734280026337</v>
      </c>
      <c r="I70" s="15">
        <f t="shared" si="57"/>
        <v>17.779020449230863</v>
      </c>
      <c r="J70" s="15">
        <f t="shared" si="57"/>
        <v>17.580696049328381</v>
      </c>
      <c r="K70" s="15">
        <f t="shared" si="57"/>
        <v>17.841408874863049</v>
      </c>
      <c r="L70" s="15">
        <f t="shared" si="57"/>
        <v>20.248983682365935</v>
      </c>
      <c r="M70" s="15">
        <f t="shared" si="57"/>
        <v>22.471423737585024</v>
      </c>
      <c r="N70" s="15">
        <f t="shared" si="57"/>
        <v>22.934565886840083</v>
      </c>
      <c r="O70" s="15">
        <f t="shared" si="57"/>
        <v>22.247619139679241</v>
      </c>
      <c r="P70" s="15">
        <f t="shared" si="57"/>
        <v>25.119070650494201</v>
      </c>
      <c r="Q70" s="15">
        <f t="shared" si="57"/>
        <v>25.677298563874793</v>
      </c>
      <c r="R70" s="15">
        <f t="shared" si="57"/>
        <v>29.32400790261627</v>
      </c>
      <c r="S70" s="15">
        <f t="shared" si="57"/>
        <v>28.334578214549431</v>
      </c>
      <c r="T70" s="15">
        <f t="shared" si="57"/>
        <v>30.462270685831136</v>
      </c>
      <c r="U70" s="15">
        <f t="shared" si="57"/>
        <v>25.765310022308679</v>
      </c>
      <c r="V70" s="15">
        <f t="shared" si="57"/>
        <v>21.952902620353417</v>
      </c>
      <c r="W70" s="15">
        <f t="shared" ref="W70" si="58">IF(W38=0,0,W38/W28)</f>
        <v>22.940817485788816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14.037300363200673</v>
      </c>
      <c r="T71" s="41">
        <f t="shared" si="59"/>
        <v>14.287825769085289</v>
      </c>
      <c r="U71" s="41">
        <f t="shared" si="59"/>
        <v>15.803320090655205</v>
      </c>
      <c r="V71" s="41">
        <f t="shared" si="59"/>
        <v>14.56548017853798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16.029083470668724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13.656624949191119</v>
      </c>
      <c r="K72" s="41">
        <f t="shared" si="61"/>
        <v>13.626760295117139</v>
      </c>
      <c r="L72" s="41">
        <f t="shared" si="61"/>
        <v>14.420786860573124</v>
      </c>
      <c r="M72" s="41">
        <f t="shared" si="61"/>
        <v>15.489703537213131</v>
      </c>
      <c r="N72" s="41">
        <f t="shared" si="61"/>
        <v>16.461822115902226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19.128094078057725</v>
      </c>
      <c r="T72" s="41">
        <f t="shared" si="61"/>
        <v>19.011024442061291</v>
      </c>
      <c r="U72" s="41">
        <f t="shared" si="61"/>
        <v>19.492640855946785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53.838817889509436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48.059427623595752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55.065477606746079</v>
      </c>
      <c r="N73" s="40">
        <f t="shared" si="63"/>
        <v>58.746980790650362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816.68721683064814</v>
      </c>
      <c r="C75" s="62">
        <f t="shared" si="65"/>
        <v>821.67297562609065</v>
      </c>
      <c r="D75" s="62">
        <f t="shared" ref="D75:V75" si="66">IF(D13=0,0,D13*1000000/D23)</f>
        <v>811.98556298581821</v>
      </c>
      <c r="E75" s="62">
        <f t="shared" si="66"/>
        <v>814.21870430114006</v>
      </c>
      <c r="F75" s="62">
        <f t="shared" si="66"/>
        <v>814.77987567236062</v>
      </c>
      <c r="G75" s="62">
        <f t="shared" si="66"/>
        <v>848.99150410359277</v>
      </c>
      <c r="H75" s="62">
        <f t="shared" si="66"/>
        <v>893.95376352976928</v>
      </c>
      <c r="I75" s="62">
        <f t="shared" si="66"/>
        <v>936.85579644523261</v>
      </c>
      <c r="J75" s="62">
        <f t="shared" si="66"/>
        <v>970.92046468403021</v>
      </c>
      <c r="K75" s="62">
        <f t="shared" si="66"/>
        <v>954.78819963404601</v>
      </c>
      <c r="L75" s="62">
        <f t="shared" si="66"/>
        <v>974.83530221339834</v>
      </c>
      <c r="M75" s="62">
        <f t="shared" si="66"/>
        <v>969.94120100593659</v>
      </c>
      <c r="N75" s="62">
        <f t="shared" si="66"/>
        <v>971.56091098270304</v>
      </c>
      <c r="O75" s="62">
        <f t="shared" si="66"/>
        <v>997.16390377232267</v>
      </c>
      <c r="P75" s="62">
        <f t="shared" si="66"/>
        <v>1011.8516551659038</v>
      </c>
      <c r="Q75" s="62">
        <f t="shared" si="66"/>
        <v>1013.0382433601198</v>
      </c>
      <c r="R75" s="62">
        <f t="shared" si="66"/>
        <v>1038.0776619422411</v>
      </c>
      <c r="S75" s="62">
        <f t="shared" si="66"/>
        <v>1076.638937032141</v>
      </c>
      <c r="T75" s="62">
        <f t="shared" si="66"/>
        <v>1095.0110718502513</v>
      </c>
      <c r="U75" s="62">
        <f t="shared" si="66"/>
        <v>1095.1277917587502</v>
      </c>
      <c r="V75" s="62">
        <f t="shared" si="66"/>
        <v>1006.4518897857789</v>
      </c>
      <c r="W75" s="62">
        <f t="shared" ref="W75" si="67">IF(W13=0,0,W13*1000000/W23)</f>
        <v>1049.0253536942798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814.37074591070916</v>
      </c>
      <c r="C76" s="14">
        <f t="shared" si="65"/>
        <v>817.85580877164489</v>
      </c>
      <c r="D76" s="14">
        <f t="shared" ref="D76:V76" si="68">IF(D14=0,0,D14*1000000/D24)</f>
        <v>806.15273486400667</v>
      </c>
      <c r="E76" s="14">
        <f t="shared" si="68"/>
        <v>805.45541056439731</v>
      </c>
      <c r="F76" s="14">
        <f t="shared" si="68"/>
        <v>806.69320436114276</v>
      </c>
      <c r="G76" s="14">
        <f t="shared" si="68"/>
        <v>836.20384617559148</v>
      </c>
      <c r="H76" s="14">
        <f t="shared" si="68"/>
        <v>880.48431822120824</v>
      </c>
      <c r="I76" s="14">
        <f t="shared" si="68"/>
        <v>922.14276204448731</v>
      </c>
      <c r="J76" s="14">
        <f t="shared" si="68"/>
        <v>955.98778712510887</v>
      </c>
      <c r="K76" s="14">
        <f t="shared" si="68"/>
        <v>943.68957463812262</v>
      </c>
      <c r="L76" s="14">
        <f t="shared" si="68"/>
        <v>960.56703354812009</v>
      </c>
      <c r="M76" s="14">
        <f t="shared" si="68"/>
        <v>958.14081526249004</v>
      </c>
      <c r="N76" s="14">
        <f t="shared" si="68"/>
        <v>962.80717689689266</v>
      </c>
      <c r="O76" s="14">
        <f t="shared" si="68"/>
        <v>992.47280837816379</v>
      </c>
      <c r="P76" s="14">
        <f t="shared" si="68"/>
        <v>1008.5977216653333</v>
      </c>
      <c r="Q76" s="14">
        <f t="shared" si="68"/>
        <v>1011.0480127298027</v>
      </c>
      <c r="R76" s="14">
        <f t="shared" si="68"/>
        <v>1037.2467179391199</v>
      </c>
      <c r="S76" s="14">
        <f t="shared" si="68"/>
        <v>1077.6661175405243</v>
      </c>
      <c r="T76" s="14">
        <f t="shared" si="68"/>
        <v>1097.4092524515909</v>
      </c>
      <c r="U76" s="14">
        <f t="shared" si="68"/>
        <v>1098.8871629883654</v>
      </c>
      <c r="V76" s="14">
        <f t="shared" si="68"/>
        <v>1013.104418890726</v>
      </c>
      <c r="W76" s="14">
        <f t="shared" ref="W76" si="69">IF(W14=0,0,W14*1000000/W24)</f>
        <v>1056.299402473994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446.61645490240119</v>
      </c>
      <c r="C77" s="39">
        <f t="shared" si="65"/>
        <v>446.61645490240119</v>
      </c>
      <c r="D77" s="39">
        <f t="shared" ref="D77:V77" si="70">IF(D15=0,0,D15*1000000/D25)</f>
        <v>446.61645490240119</v>
      </c>
      <c r="E77" s="39">
        <f t="shared" si="70"/>
        <v>446.61645490240119</v>
      </c>
      <c r="F77" s="39">
        <f t="shared" si="70"/>
        <v>446.61645490240119</v>
      </c>
      <c r="G77" s="39">
        <f t="shared" si="70"/>
        <v>447.97402375193457</v>
      </c>
      <c r="H77" s="39">
        <f t="shared" si="70"/>
        <v>450.07063561794712</v>
      </c>
      <c r="I77" s="39">
        <f t="shared" si="70"/>
        <v>453.08040482997808</v>
      </c>
      <c r="J77" s="39">
        <f t="shared" si="70"/>
        <v>461.23798198169544</v>
      </c>
      <c r="K77" s="39">
        <f t="shared" si="70"/>
        <v>464.53507577229254</v>
      </c>
      <c r="L77" s="39">
        <f t="shared" si="70"/>
        <v>462.23766023144799</v>
      </c>
      <c r="M77" s="39">
        <f t="shared" si="70"/>
        <v>459.11511729966776</v>
      </c>
      <c r="N77" s="39">
        <f t="shared" si="70"/>
        <v>465.08347452944861</v>
      </c>
      <c r="O77" s="39">
        <f t="shared" si="70"/>
        <v>465.18421054591988</v>
      </c>
      <c r="P77" s="39">
        <f t="shared" si="70"/>
        <v>468.69301392968174</v>
      </c>
      <c r="Q77" s="39">
        <f t="shared" si="70"/>
        <v>469.44728763867238</v>
      </c>
      <c r="R77" s="39">
        <f t="shared" si="70"/>
        <v>477.51513850588509</v>
      </c>
      <c r="S77" s="39">
        <f t="shared" si="70"/>
        <v>479.38241340653326</v>
      </c>
      <c r="T77" s="39">
        <f t="shared" si="70"/>
        <v>480.19173276535042</v>
      </c>
      <c r="U77" s="39">
        <f t="shared" si="70"/>
        <v>478.21042077922073</v>
      </c>
      <c r="V77" s="39">
        <f t="shared" si="70"/>
        <v>474.05891963410784</v>
      </c>
      <c r="W77" s="39">
        <f t="shared" ref="W77" si="71">IF(W15=0,0,W15*1000000/W25)</f>
        <v>475.37958976698803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1074.1679509200192</v>
      </c>
      <c r="C78" s="39">
        <f t="shared" si="65"/>
        <v>1089.7144598078069</v>
      </c>
      <c r="D78" s="39">
        <f t="shared" ref="D78:V78" si="72">IF(D16=0,0,D16*1000000/D26)</f>
        <v>1097.1009177289804</v>
      </c>
      <c r="E78" s="39">
        <f t="shared" si="72"/>
        <v>1094.4039866212183</v>
      </c>
      <c r="F78" s="39">
        <f t="shared" si="72"/>
        <v>1087.1223352045138</v>
      </c>
      <c r="G78" s="39">
        <f t="shared" si="72"/>
        <v>1097.8882909334943</v>
      </c>
      <c r="H78" s="39">
        <f t="shared" si="72"/>
        <v>1137.5083507665163</v>
      </c>
      <c r="I78" s="39">
        <f t="shared" si="72"/>
        <v>1165.7112281432567</v>
      </c>
      <c r="J78" s="39">
        <f t="shared" si="72"/>
        <v>1165.5613325129582</v>
      </c>
      <c r="K78" s="39">
        <f t="shared" si="72"/>
        <v>1146.9563037674652</v>
      </c>
      <c r="L78" s="39">
        <f t="shared" si="72"/>
        <v>1165.1405952142434</v>
      </c>
      <c r="M78" s="39">
        <f t="shared" si="72"/>
        <v>1177.4752852449549</v>
      </c>
      <c r="N78" s="39">
        <f t="shared" si="72"/>
        <v>1175.7566087368953</v>
      </c>
      <c r="O78" s="39">
        <f t="shared" si="72"/>
        <v>1211.8148777291667</v>
      </c>
      <c r="P78" s="39">
        <f t="shared" si="72"/>
        <v>1213.3152079145395</v>
      </c>
      <c r="Q78" s="39">
        <f t="shared" si="72"/>
        <v>1198.663369316477</v>
      </c>
      <c r="R78" s="39">
        <f t="shared" si="72"/>
        <v>1224.5172953946314</v>
      </c>
      <c r="S78" s="39">
        <f t="shared" si="72"/>
        <v>1272.1455228233897</v>
      </c>
      <c r="T78" s="39">
        <f t="shared" si="72"/>
        <v>1270.1111928279802</v>
      </c>
      <c r="U78" s="39">
        <f t="shared" si="72"/>
        <v>1248.3972393848285</v>
      </c>
      <c r="V78" s="39">
        <f t="shared" si="72"/>
        <v>1160.7568653113397</v>
      </c>
      <c r="W78" s="39">
        <f t="shared" ref="W78" si="73">IF(W16=0,0,W16*1000000/W26)</f>
        <v>1305.2320049281702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3109.2879644623576</v>
      </c>
      <c r="C79" s="39">
        <f t="shared" si="65"/>
        <v>3109.2879644623576</v>
      </c>
      <c r="D79" s="39">
        <f t="shared" ref="D79:V79" si="74">IF(D17=0,0,D17*1000000/D27)</f>
        <v>3109.2879644623576</v>
      </c>
      <c r="E79" s="39">
        <f t="shared" si="74"/>
        <v>3109.2879644623576</v>
      </c>
      <c r="F79" s="39">
        <f t="shared" si="74"/>
        <v>3109.2879644623576</v>
      </c>
      <c r="G79" s="39">
        <f t="shared" si="74"/>
        <v>3244.8788525114642</v>
      </c>
      <c r="H79" s="39">
        <f t="shared" si="74"/>
        <v>3505.6611522248472</v>
      </c>
      <c r="I79" s="39">
        <f t="shared" si="74"/>
        <v>3718.9208248154018</v>
      </c>
      <c r="J79" s="39">
        <f t="shared" si="74"/>
        <v>3759.2075472169408</v>
      </c>
      <c r="K79" s="39">
        <f t="shared" si="74"/>
        <v>3636.6598323049261</v>
      </c>
      <c r="L79" s="39">
        <f t="shared" si="74"/>
        <v>3404.3324622294817</v>
      </c>
      <c r="M79" s="39">
        <f t="shared" si="74"/>
        <v>3229.8214009891908</v>
      </c>
      <c r="N79" s="39">
        <f t="shared" si="74"/>
        <v>3160.8275837792171</v>
      </c>
      <c r="O79" s="39">
        <f t="shared" si="74"/>
        <v>3202.4628868125146</v>
      </c>
      <c r="P79" s="39">
        <f t="shared" si="74"/>
        <v>3299.8251035310773</v>
      </c>
      <c r="Q79" s="39">
        <f t="shared" si="74"/>
        <v>3349.8668238625396</v>
      </c>
      <c r="R79" s="39">
        <f t="shared" si="74"/>
        <v>3572.0569079355978</v>
      </c>
      <c r="S79" s="39">
        <f t="shared" si="74"/>
        <v>3590.1954384311848</v>
      </c>
      <c r="T79" s="39">
        <f t="shared" si="74"/>
        <v>3574.1841210273246</v>
      </c>
      <c r="U79" s="39">
        <f t="shared" si="74"/>
        <v>3482.540718874805</v>
      </c>
      <c r="V79" s="39">
        <f t="shared" si="74"/>
        <v>3341.024600255736</v>
      </c>
      <c r="W79" s="39">
        <f t="shared" ref="W79" si="75">IF(W17=0,0,W17*1000000/W27)</f>
        <v>2850.2036986683347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1069.9946671969942</v>
      </c>
      <c r="C80" s="15">
        <f t="shared" si="65"/>
        <v>1275.4016510928861</v>
      </c>
      <c r="D80" s="15">
        <f t="shared" ref="D80:V80" si="76">IF(D18=0,0,D18*1000000/D28)</f>
        <v>1300.3998088277799</v>
      </c>
      <c r="E80" s="15">
        <f t="shared" si="76"/>
        <v>1412.9585531333616</v>
      </c>
      <c r="F80" s="15">
        <f t="shared" si="76"/>
        <v>1239.8422094549671</v>
      </c>
      <c r="G80" s="15">
        <f t="shared" si="76"/>
        <v>1443.5831606158069</v>
      </c>
      <c r="H80" s="15">
        <f t="shared" si="76"/>
        <v>1427.6570170130433</v>
      </c>
      <c r="I80" s="15">
        <f t="shared" si="76"/>
        <v>1432.0392472476001</v>
      </c>
      <c r="J80" s="15">
        <f t="shared" si="76"/>
        <v>1467.9283380305969</v>
      </c>
      <c r="K80" s="15">
        <f t="shared" si="76"/>
        <v>1380.1368170634037</v>
      </c>
      <c r="L80" s="15">
        <f t="shared" si="76"/>
        <v>1518.4811842988888</v>
      </c>
      <c r="M80" s="15">
        <f t="shared" si="76"/>
        <v>1573.1971977234166</v>
      </c>
      <c r="N80" s="15">
        <f t="shared" si="76"/>
        <v>1466.4255013271861</v>
      </c>
      <c r="O80" s="15">
        <f t="shared" si="76"/>
        <v>1289.8360559574164</v>
      </c>
      <c r="P80" s="15">
        <f t="shared" si="76"/>
        <v>1228.7423849054187</v>
      </c>
      <c r="Q80" s="15">
        <f t="shared" si="76"/>
        <v>1143.0004856086316</v>
      </c>
      <c r="R80" s="15">
        <f t="shared" si="76"/>
        <v>1102.2255483767372</v>
      </c>
      <c r="S80" s="15">
        <f t="shared" si="76"/>
        <v>1001.8616998507281</v>
      </c>
      <c r="T80" s="15">
        <f t="shared" si="76"/>
        <v>918.53614282623289</v>
      </c>
      <c r="U80" s="15">
        <f t="shared" si="76"/>
        <v>863.37922446427433</v>
      </c>
      <c r="V80" s="15">
        <f t="shared" si="76"/>
        <v>857.83975354834752</v>
      </c>
      <c r="W80" s="15">
        <f t="shared" ref="W80" si="77">IF(W18=0,0,W18*1000000/W28)</f>
        <v>890.93523385388562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361.03400514533394</v>
      </c>
      <c r="C81" s="41">
        <f t="shared" si="65"/>
        <v>361.03400514533394</v>
      </c>
      <c r="D81" s="41">
        <f t="shared" ref="D81:V81" si="78">IF(D19=0,0,D19*1000000/D29)</f>
        <v>361.03400514533394</v>
      </c>
      <c r="E81" s="41">
        <f t="shared" si="78"/>
        <v>361.03400514533394</v>
      </c>
      <c r="F81" s="41">
        <f t="shared" si="78"/>
        <v>361.03400514533394</v>
      </c>
      <c r="G81" s="41">
        <f t="shared" si="78"/>
        <v>362.39157399486737</v>
      </c>
      <c r="H81" s="41">
        <f t="shared" si="78"/>
        <v>368.87709504493193</v>
      </c>
      <c r="I81" s="41">
        <f t="shared" si="78"/>
        <v>376.27577344101491</v>
      </c>
      <c r="J81" s="41">
        <f t="shared" si="78"/>
        <v>388.82225977678411</v>
      </c>
      <c r="K81" s="41">
        <f t="shared" si="78"/>
        <v>396.50826275143316</v>
      </c>
      <c r="L81" s="41">
        <f t="shared" si="78"/>
        <v>398.59975639464068</v>
      </c>
      <c r="M81" s="41">
        <f t="shared" si="78"/>
        <v>389.37412058552457</v>
      </c>
      <c r="N81" s="41">
        <f t="shared" si="78"/>
        <v>389.23938493796959</v>
      </c>
      <c r="O81" s="41">
        <f t="shared" si="78"/>
        <v>385.06049281460918</v>
      </c>
      <c r="P81" s="41">
        <f t="shared" si="78"/>
        <v>384.28966805853912</v>
      </c>
      <c r="Q81" s="41">
        <f t="shared" si="78"/>
        <v>380.7643136276979</v>
      </c>
      <c r="R81" s="41">
        <f t="shared" si="78"/>
        <v>384.55253635507864</v>
      </c>
      <c r="S81" s="41">
        <f t="shared" si="78"/>
        <v>382.14018311589518</v>
      </c>
      <c r="T81" s="41">
        <f t="shared" si="78"/>
        <v>378.66987433488055</v>
      </c>
      <c r="U81" s="41">
        <f t="shared" si="78"/>
        <v>359.41503713809311</v>
      </c>
      <c r="V81" s="41">
        <f t="shared" si="78"/>
        <v>355.26353599298017</v>
      </c>
      <c r="W81" s="41">
        <f t="shared" ref="W81" si="79">IF(W19=0,0,W19*1000000/W29)</f>
        <v>356.58420612586019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819.24082877125841</v>
      </c>
      <c r="C82" s="41">
        <f t="shared" si="65"/>
        <v>809.20581407941643</v>
      </c>
      <c r="D82" s="41">
        <f t="shared" ref="D82:V82" si="80">IF(D20=0,0,D20*1000000/D30)</f>
        <v>808.96730840368934</v>
      </c>
      <c r="E82" s="41">
        <f t="shared" si="80"/>
        <v>807.39935674137735</v>
      </c>
      <c r="F82" s="41">
        <f t="shared" si="80"/>
        <v>760.7773577507179</v>
      </c>
      <c r="G82" s="41">
        <f t="shared" si="80"/>
        <v>833.43486243432494</v>
      </c>
      <c r="H82" s="41">
        <f t="shared" si="80"/>
        <v>872.60848663590446</v>
      </c>
      <c r="I82" s="41">
        <f t="shared" si="80"/>
        <v>901.35926805066265</v>
      </c>
      <c r="J82" s="41">
        <f t="shared" si="80"/>
        <v>908.37689853752829</v>
      </c>
      <c r="K82" s="41">
        <f t="shared" si="80"/>
        <v>874.85705847418626</v>
      </c>
      <c r="L82" s="41">
        <f t="shared" si="80"/>
        <v>889.05218183619797</v>
      </c>
      <c r="M82" s="41">
        <f t="shared" si="80"/>
        <v>900.20671279484543</v>
      </c>
      <c r="N82" s="41">
        <f t="shared" si="80"/>
        <v>889.4170747900389</v>
      </c>
      <c r="O82" s="41">
        <f t="shared" si="80"/>
        <v>896.39261078383822</v>
      </c>
      <c r="P82" s="41">
        <f t="shared" si="80"/>
        <v>891.7619299544599</v>
      </c>
      <c r="Q82" s="41">
        <f t="shared" si="80"/>
        <v>857.87474089356283</v>
      </c>
      <c r="R82" s="41">
        <f t="shared" si="80"/>
        <v>869.083738128454</v>
      </c>
      <c r="S82" s="41">
        <f t="shared" si="80"/>
        <v>886.66377111395241</v>
      </c>
      <c r="T82" s="41">
        <f t="shared" si="80"/>
        <v>838.07025356021393</v>
      </c>
      <c r="U82" s="41">
        <f t="shared" si="80"/>
        <v>810.58713713077555</v>
      </c>
      <c r="V82" s="41">
        <f t="shared" si="80"/>
        <v>783.1231260443036</v>
      </c>
      <c r="W82" s="41">
        <f t="shared" ref="W82" si="81">IF(W20=0,0,W20*1000000/W30)</f>
        <v>932.05778323020536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4176.5364329058002</v>
      </c>
      <c r="C83" s="40">
        <f t="shared" si="65"/>
        <v>4176.5364329058002</v>
      </c>
      <c r="D83" s="40">
        <f t="shared" ref="D83:V83" si="82">IF(D21=0,0,D21*1000000/D31)</f>
        <v>4176.5364329058002</v>
      </c>
      <c r="E83" s="40">
        <f t="shared" si="82"/>
        <v>4176.5364329058002</v>
      </c>
      <c r="F83" s="40">
        <f t="shared" si="82"/>
        <v>4176.5364329058002</v>
      </c>
      <c r="G83" s="40">
        <f t="shared" si="82"/>
        <v>4312.1273209549063</v>
      </c>
      <c r="H83" s="40">
        <f t="shared" si="82"/>
        <v>4682.6041679862992</v>
      </c>
      <c r="I83" s="40">
        <f t="shared" si="82"/>
        <v>5005.5583878948628</v>
      </c>
      <c r="J83" s="40">
        <f t="shared" si="82"/>
        <v>5155.5396576144103</v>
      </c>
      <c r="K83" s="40">
        <f t="shared" si="82"/>
        <v>5142.6864900204046</v>
      </c>
      <c r="L83" s="40">
        <f t="shared" si="82"/>
        <v>5020.0536672629696</v>
      </c>
      <c r="M83" s="40">
        <f t="shared" si="82"/>
        <v>4813.1768874154122</v>
      </c>
      <c r="N83" s="40">
        <f t="shared" si="82"/>
        <v>4711.8173515981734</v>
      </c>
      <c r="O83" s="40">
        <f t="shared" si="82"/>
        <v>4176.4756989397783</v>
      </c>
      <c r="P83" s="40">
        <f t="shared" si="82"/>
        <v>3696.8609599666502</v>
      </c>
      <c r="Q83" s="40">
        <f t="shared" si="82"/>
        <v>3169.9257246064208</v>
      </c>
      <c r="R83" s="40">
        <f t="shared" si="82"/>
        <v>2815.1388529877881</v>
      </c>
      <c r="S83" s="40">
        <f t="shared" si="82"/>
        <v>2256.3004277916843</v>
      </c>
      <c r="T83" s="40">
        <f t="shared" si="82"/>
        <v>1663.3121546961327</v>
      </c>
      <c r="U83" s="40">
        <f t="shared" si="82"/>
        <v>1762.6205882352942</v>
      </c>
      <c r="V83" s="40">
        <f t="shared" si="82"/>
        <v>1621.1044696162248</v>
      </c>
      <c r="W83" s="40">
        <f t="shared" ref="W83" si="83">IF(W21=0,0,W21*1000000/W31)</f>
        <v>1130.283568028824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77710.968582747781</v>
      </c>
      <c r="C86" s="11">
        <f t="shared" si="84"/>
        <v>78595.971286632106</v>
      </c>
      <c r="D86" s="11">
        <f t="shared" ref="D86:V86" si="85">IF(D4=0,0,D4*1000000/D24)</f>
        <v>77700.867725543867</v>
      </c>
      <c r="E86" s="11">
        <f t="shared" si="85"/>
        <v>75801.421533577886</v>
      </c>
      <c r="F86" s="11">
        <f t="shared" si="85"/>
        <v>77044.398817567111</v>
      </c>
      <c r="G86" s="11">
        <f t="shared" si="85"/>
        <v>87833.48282264614</v>
      </c>
      <c r="H86" s="11">
        <f t="shared" si="85"/>
        <v>99855.908099848777</v>
      </c>
      <c r="I86" s="11">
        <f t="shared" si="85"/>
        <v>108499.6768436594</v>
      </c>
      <c r="J86" s="11">
        <f t="shared" si="85"/>
        <v>110055.5859915208</v>
      </c>
      <c r="K86" s="11">
        <f t="shared" si="85"/>
        <v>110066.96147839434</v>
      </c>
      <c r="L86" s="11">
        <f t="shared" si="85"/>
        <v>114996.3888387943</v>
      </c>
      <c r="M86" s="11">
        <f t="shared" si="85"/>
        <v>113853.14897986087</v>
      </c>
      <c r="N86" s="11">
        <f t="shared" si="85"/>
        <v>120290.82986080079</v>
      </c>
      <c r="O86" s="11">
        <f t="shared" si="85"/>
        <v>126329.03007363935</v>
      </c>
      <c r="P86" s="11">
        <f t="shared" si="85"/>
        <v>132801.25186688971</v>
      </c>
      <c r="Q86" s="11">
        <f t="shared" si="85"/>
        <v>136328.1583287564</v>
      </c>
      <c r="R86" s="11">
        <f t="shared" si="85"/>
        <v>141097.23193616694</v>
      </c>
      <c r="S86" s="11">
        <f t="shared" si="85"/>
        <v>149519.01513257468</v>
      </c>
      <c r="T86" s="11">
        <f t="shared" si="85"/>
        <v>152261.67063479338</v>
      </c>
      <c r="U86" s="11">
        <f t="shared" si="85"/>
        <v>152654.23608204737</v>
      </c>
      <c r="V86" s="11">
        <f t="shared" si="85"/>
        <v>109409.0873942679</v>
      </c>
      <c r="W86" s="11">
        <f t="shared" ref="W86" si="86">IF(W4=0,0,W4*1000000/W24)</f>
        <v>115064.67298031291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28528.730819415523</v>
      </c>
      <c r="C87" s="36">
        <f t="shared" si="84"/>
        <v>29166.22064261348</v>
      </c>
      <c r="D87" s="36">
        <f t="shared" ref="D87:V87" si="87">IF(D5=0,0,D5*1000000/D25)</f>
        <v>29180.089832604783</v>
      </c>
      <c r="E87" s="36">
        <f t="shared" si="87"/>
        <v>28546.839588886778</v>
      </c>
      <c r="F87" s="36">
        <f t="shared" si="87"/>
        <v>28009.030432008232</v>
      </c>
      <c r="G87" s="36">
        <f t="shared" si="87"/>
        <v>30567.670404562603</v>
      </c>
      <c r="H87" s="36">
        <f t="shared" si="87"/>
        <v>31686.930360255257</v>
      </c>
      <c r="I87" s="36">
        <f t="shared" si="87"/>
        <v>32904.816138496746</v>
      </c>
      <c r="J87" s="36">
        <f t="shared" si="87"/>
        <v>32965.626153387799</v>
      </c>
      <c r="K87" s="36">
        <f t="shared" si="87"/>
        <v>31476.210155234628</v>
      </c>
      <c r="L87" s="36">
        <f t="shared" si="87"/>
        <v>32807.456955994487</v>
      </c>
      <c r="M87" s="36">
        <f t="shared" si="87"/>
        <v>33098.975848517039</v>
      </c>
      <c r="N87" s="36">
        <f t="shared" si="87"/>
        <v>36130.482490849667</v>
      </c>
      <c r="O87" s="36">
        <f t="shared" si="87"/>
        <v>36101.284617096477</v>
      </c>
      <c r="P87" s="36">
        <f t="shared" si="87"/>
        <v>37092.040936428937</v>
      </c>
      <c r="Q87" s="36">
        <f t="shared" si="87"/>
        <v>37808.998396588468</v>
      </c>
      <c r="R87" s="36">
        <f t="shared" si="87"/>
        <v>39242.876206182642</v>
      </c>
      <c r="S87" s="36">
        <f t="shared" si="87"/>
        <v>39850.336593437816</v>
      </c>
      <c r="T87" s="36">
        <f t="shared" si="87"/>
        <v>39484.808709015582</v>
      </c>
      <c r="U87" s="36">
        <f t="shared" si="87"/>
        <v>38908.381826582794</v>
      </c>
      <c r="V87" s="36">
        <f t="shared" si="87"/>
        <v>31177.74353492479</v>
      </c>
      <c r="W87" s="36">
        <f t="shared" ref="W87" si="88">IF(W5=0,0,W5*1000000/W25)</f>
        <v>32406.785623472762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105409.16790191828</v>
      </c>
      <c r="C88" s="36">
        <f t="shared" si="84"/>
        <v>109442.8840287894</v>
      </c>
      <c r="D88" s="36">
        <f t="shared" ref="D88:V88" si="89">IF(D6=0,0,D6*1000000/D26)</f>
        <v>113684.75616619455</v>
      </c>
      <c r="E88" s="36">
        <f t="shared" si="89"/>
        <v>106460.55123787394</v>
      </c>
      <c r="F88" s="36">
        <f t="shared" si="89"/>
        <v>103269.71798690787</v>
      </c>
      <c r="G88" s="36">
        <f t="shared" si="89"/>
        <v>112588.08481269731</v>
      </c>
      <c r="H88" s="36">
        <f t="shared" si="89"/>
        <v>127327.33296492555</v>
      </c>
      <c r="I88" s="36">
        <f t="shared" si="89"/>
        <v>129157.40056772446</v>
      </c>
      <c r="J88" s="36">
        <f t="shared" si="89"/>
        <v>120669.42164038112</v>
      </c>
      <c r="K88" s="36">
        <f t="shared" si="89"/>
        <v>123609.472148659</v>
      </c>
      <c r="L88" s="36">
        <f t="shared" si="89"/>
        <v>127915.86845907288</v>
      </c>
      <c r="M88" s="36">
        <f t="shared" si="89"/>
        <v>132365.46886594922</v>
      </c>
      <c r="N88" s="36">
        <f t="shared" si="89"/>
        <v>140480.37554767806</v>
      </c>
      <c r="O88" s="36">
        <f t="shared" si="89"/>
        <v>150547.63719852266</v>
      </c>
      <c r="P88" s="36">
        <f t="shared" si="89"/>
        <v>156667.98830257461</v>
      </c>
      <c r="Q88" s="36">
        <f t="shared" si="89"/>
        <v>157328.12875064969</v>
      </c>
      <c r="R88" s="36">
        <f t="shared" si="89"/>
        <v>163780.33929578945</v>
      </c>
      <c r="S88" s="36">
        <f t="shared" si="89"/>
        <v>174448.46758555513</v>
      </c>
      <c r="T88" s="36">
        <f t="shared" si="89"/>
        <v>170138.10521834544</v>
      </c>
      <c r="U88" s="36">
        <f t="shared" si="89"/>
        <v>168132.34862542595</v>
      </c>
      <c r="V88" s="36">
        <f t="shared" si="89"/>
        <v>123815.96623370824</v>
      </c>
      <c r="W88" s="36">
        <f t="shared" ref="W88" si="90">IF(W6=0,0,W6*1000000/W26)</f>
        <v>151114.27364205208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454380.87831724336</v>
      </c>
      <c r="C89" s="36">
        <f t="shared" si="84"/>
        <v>437826.74140199949</v>
      </c>
      <c r="D89" s="36">
        <f t="shared" ref="D89:V89" si="91">IF(D7=0,0,D7*1000000/D27)</f>
        <v>423121.74908529402</v>
      </c>
      <c r="E89" s="36">
        <f t="shared" si="91"/>
        <v>462461.42406121857</v>
      </c>
      <c r="F89" s="36">
        <f t="shared" si="91"/>
        <v>525187.48843472567</v>
      </c>
      <c r="G89" s="36">
        <f t="shared" si="91"/>
        <v>568733.72230209655</v>
      </c>
      <c r="H89" s="36">
        <f t="shared" si="91"/>
        <v>652490.42138191278</v>
      </c>
      <c r="I89" s="36">
        <f t="shared" si="91"/>
        <v>743952.59020613844</v>
      </c>
      <c r="J89" s="36">
        <f t="shared" si="91"/>
        <v>746329.64522825717</v>
      </c>
      <c r="K89" s="36">
        <f t="shared" si="91"/>
        <v>708618.67990026716</v>
      </c>
      <c r="L89" s="36">
        <f t="shared" si="91"/>
        <v>671341.59494584822</v>
      </c>
      <c r="M89" s="36">
        <f t="shared" si="91"/>
        <v>602626.28054373199</v>
      </c>
      <c r="N89" s="36">
        <f t="shared" si="91"/>
        <v>600971.83675853955</v>
      </c>
      <c r="O89" s="36">
        <f t="shared" si="91"/>
        <v>592106.87708247686</v>
      </c>
      <c r="P89" s="36">
        <f t="shared" si="91"/>
        <v>616110.28313009837</v>
      </c>
      <c r="Q89" s="36">
        <f t="shared" si="91"/>
        <v>645717.43376571103</v>
      </c>
      <c r="R89" s="36">
        <f t="shared" si="91"/>
        <v>682090.58150969329</v>
      </c>
      <c r="S89" s="36">
        <f t="shared" si="91"/>
        <v>683228.36323868472</v>
      </c>
      <c r="T89" s="36">
        <f t="shared" si="91"/>
        <v>691941.29802903126</v>
      </c>
      <c r="U89" s="36">
        <f t="shared" si="91"/>
        <v>663114.93689988216</v>
      </c>
      <c r="V89" s="36">
        <f t="shared" si="91"/>
        <v>485019.61106641911</v>
      </c>
      <c r="W89" s="36">
        <f t="shared" ref="W89" si="92">IF(W7=0,0,W7*1000000/W27)</f>
        <v>367122.99197529623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55945.879137292883</v>
      </c>
      <c r="C90" s="13">
        <f t="shared" si="84"/>
        <v>80000.106482305055</v>
      </c>
      <c r="D90" s="13">
        <f t="shared" ref="D90:V90" si="93">IF(D8=0,0,D8*1000000/D28)</f>
        <v>77948.871576250109</v>
      </c>
      <c r="E90" s="13">
        <f t="shared" si="93"/>
        <v>82111.596617453484</v>
      </c>
      <c r="F90" s="13">
        <f t="shared" si="93"/>
        <v>66509.622368321609</v>
      </c>
      <c r="G90" s="13">
        <f t="shared" si="93"/>
        <v>77032.108224324096</v>
      </c>
      <c r="H90" s="13">
        <f t="shared" si="93"/>
        <v>70215.884307422544</v>
      </c>
      <c r="I90" s="13">
        <f t="shared" si="93"/>
        <v>67789.917069615025</v>
      </c>
      <c r="J90" s="13">
        <f t="shared" si="93"/>
        <v>68507.055806930803</v>
      </c>
      <c r="K90" s="13">
        <f t="shared" si="93"/>
        <v>69937.40989130424</v>
      </c>
      <c r="L90" s="13">
        <f t="shared" si="93"/>
        <v>81425.199058078215</v>
      </c>
      <c r="M90" s="13">
        <f t="shared" si="93"/>
        <v>89473.050562417571</v>
      </c>
      <c r="N90" s="13">
        <f t="shared" si="93"/>
        <v>87808.602275755533</v>
      </c>
      <c r="O90" s="13">
        <f t="shared" si="93"/>
        <v>70436.534820129586</v>
      </c>
      <c r="P90" s="13">
        <f t="shared" si="93"/>
        <v>75509.760547182566</v>
      </c>
      <c r="Q90" s="13">
        <f t="shared" si="93"/>
        <v>68539.155853972668</v>
      </c>
      <c r="R90" s="13">
        <f t="shared" si="93"/>
        <v>70562.007950122133</v>
      </c>
      <c r="S90" s="13">
        <f t="shared" si="93"/>
        <v>58098.527807242957</v>
      </c>
      <c r="T90" s="13">
        <f t="shared" si="93"/>
        <v>51799.854153821929</v>
      </c>
      <c r="U90" s="13">
        <f t="shared" si="93"/>
        <v>40205.990238616694</v>
      </c>
      <c r="V90" s="13">
        <f t="shared" si="93"/>
        <v>29738.753253071056</v>
      </c>
      <c r="W90" s="13">
        <f t="shared" ref="W90" si="94">IF(W8=0,0,W8*1000000/W28)</f>
        <v>25816.755464207377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4056.0379817498456</v>
      </c>
      <c r="C91" s="34">
        <f t="shared" si="84"/>
        <v>4025.1121077014209</v>
      </c>
      <c r="D91" s="34">
        <f t="shared" ref="D91:V91" si="95">IF(D9=0,0,D9*1000000/D29)</f>
        <v>4139.1396953798421</v>
      </c>
      <c r="E91" s="34">
        <f t="shared" si="95"/>
        <v>4402.7508951998279</v>
      </c>
      <c r="F91" s="34">
        <f t="shared" si="95"/>
        <v>4145.8862349739848</v>
      </c>
      <c r="G91" s="34">
        <f t="shared" si="95"/>
        <v>4072.5510130159987</v>
      </c>
      <c r="H91" s="34">
        <f t="shared" si="95"/>
        <v>3987.4677487817548</v>
      </c>
      <c r="I91" s="34">
        <f t="shared" si="95"/>
        <v>4052.3434803582963</v>
      </c>
      <c r="J91" s="34">
        <f t="shared" si="95"/>
        <v>4028.7268897612166</v>
      </c>
      <c r="K91" s="34">
        <f t="shared" si="95"/>
        <v>4143.8554344449767</v>
      </c>
      <c r="L91" s="34">
        <f t="shared" si="95"/>
        <v>4455.4768178415497</v>
      </c>
      <c r="M91" s="34">
        <f t="shared" si="95"/>
        <v>4679.6316054718109</v>
      </c>
      <c r="N91" s="34">
        <f t="shared" si="95"/>
        <v>4907.9882156174244</v>
      </c>
      <c r="O91" s="34">
        <f t="shared" si="95"/>
        <v>4968.9023726790165</v>
      </c>
      <c r="P91" s="34">
        <f t="shared" si="95"/>
        <v>5533.715794067044</v>
      </c>
      <c r="Q91" s="34">
        <f t="shared" si="95"/>
        <v>5580.8777236119977</v>
      </c>
      <c r="R91" s="34">
        <f t="shared" si="95"/>
        <v>6524.4593435536963</v>
      </c>
      <c r="S91" s="34">
        <f t="shared" si="95"/>
        <v>5937.1293671370822</v>
      </c>
      <c r="T91" s="34">
        <f t="shared" si="95"/>
        <v>5981.8193397584773</v>
      </c>
      <c r="U91" s="34">
        <f t="shared" si="95"/>
        <v>6267.0093299066148</v>
      </c>
      <c r="V91" s="34">
        <f t="shared" si="95"/>
        <v>5963.8307943448426</v>
      </c>
      <c r="W91" s="34">
        <f t="shared" ref="W91" si="96">IF(W9=0,0,W9*1000000/W29)</f>
        <v>6119.5127188997176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20322.401149407942</v>
      </c>
      <c r="C92" s="34">
        <f t="shared" si="84"/>
        <v>20940.141895690467</v>
      </c>
      <c r="D92" s="34">
        <f t="shared" ref="D92:V92" si="97">IF(D10=0,0,D10*1000000/D30)</f>
        <v>19752.862467781088</v>
      </c>
      <c r="E92" s="34">
        <f t="shared" si="97"/>
        <v>20151.331424749493</v>
      </c>
      <c r="F92" s="34">
        <f t="shared" si="97"/>
        <v>17848.557414036728</v>
      </c>
      <c r="G92" s="34">
        <f t="shared" si="97"/>
        <v>18743.834301440736</v>
      </c>
      <c r="H92" s="34">
        <f t="shared" si="97"/>
        <v>16912.372691699708</v>
      </c>
      <c r="I92" s="34">
        <f t="shared" si="97"/>
        <v>16964.052283363282</v>
      </c>
      <c r="J92" s="34">
        <f t="shared" si="97"/>
        <v>16642.058099974231</v>
      </c>
      <c r="K92" s="34">
        <f t="shared" si="97"/>
        <v>16648.477640456702</v>
      </c>
      <c r="L92" s="34">
        <f t="shared" si="97"/>
        <v>17276.511248889088</v>
      </c>
      <c r="M92" s="34">
        <f t="shared" si="97"/>
        <v>18373.924861129111</v>
      </c>
      <c r="N92" s="34">
        <f t="shared" si="97"/>
        <v>19824.001477288719</v>
      </c>
      <c r="O92" s="34">
        <f t="shared" si="97"/>
        <v>20642.13146463229</v>
      </c>
      <c r="P92" s="34">
        <f t="shared" si="97"/>
        <v>24016.777281057417</v>
      </c>
      <c r="Q92" s="34">
        <f t="shared" si="97"/>
        <v>22740.893935254499</v>
      </c>
      <c r="R92" s="34">
        <f t="shared" si="97"/>
        <v>25039.827836909277</v>
      </c>
      <c r="S92" s="34">
        <f t="shared" si="97"/>
        <v>23940.484570039425</v>
      </c>
      <c r="T92" s="34">
        <f t="shared" si="97"/>
        <v>22691.45509422314</v>
      </c>
      <c r="U92" s="34">
        <f t="shared" si="97"/>
        <v>23547.539152277572</v>
      </c>
      <c r="V92" s="34">
        <f t="shared" si="97"/>
        <v>18767.548177175948</v>
      </c>
      <c r="W92" s="34">
        <f t="shared" ref="W92" si="98">IF(W10=0,0,W10*1000000/W30)</f>
        <v>20043.480944717125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362723.19923577533</v>
      </c>
      <c r="C93" s="35">
        <f t="shared" si="84"/>
        <v>379977.51528841525</v>
      </c>
      <c r="D93" s="35">
        <f t="shared" ref="D93:V93" si="99">IF(D11=0,0,D11*1000000/D31)</f>
        <v>358859.07883966749</v>
      </c>
      <c r="E93" s="35">
        <f t="shared" si="99"/>
        <v>326121.68890296575</v>
      </c>
      <c r="F93" s="35">
        <f t="shared" si="99"/>
        <v>316560.17385778995</v>
      </c>
      <c r="G93" s="35">
        <f t="shared" si="99"/>
        <v>307371.7168152146</v>
      </c>
      <c r="H93" s="35">
        <f t="shared" si="99"/>
        <v>322660.35669546365</v>
      </c>
      <c r="I93" s="35">
        <f t="shared" si="99"/>
        <v>339168.91578083578</v>
      </c>
      <c r="J93" s="35">
        <f t="shared" si="99"/>
        <v>342283.87831344083</v>
      </c>
      <c r="K93" s="35">
        <f t="shared" si="99"/>
        <v>385055.87293638248</v>
      </c>
      <c r="L93" s="35">
        <f t="shared" si="99"/>
        <v>382133.52575562015</v>
      </c>
      <c r="M93" s="35">
        <f t="shared" si="99"/>
        <v>373623.27243111935</v>
      </c>
      <c r="N93" s="35">
        <f t="shared" si="99"/>
        <v>393420.76526769181</v>
      </c>
      <c r="O93" s="35">
        <f t="shared" si="99"/>
        <v>336200.06867363252</v>
      </c>
      <c r="P93" s="35">
        <f t="shared" si="99"/>
        <v>340356.96777422592</v>
      </c>
      <c r="Q93" s="35">
        <f t="shared" si="99"/>
        <v>292073.73457867454</v>
      </c>
      <c r="R93" s="35">
        <f t="shared" si="99"/>
        <v>283243.57368786581</v>
      </c>
      <c r="S93" s="35">
        <f t="shared" si="99"/>
        <v>221959.3319782523</v>
      </c>
      <c r="T93" s="35">
        <f t="shared" si="99"/>
        <v>165136.89336310147</v>
      </c>
      <c r="U93" s="35">
        <f t="shared" si="99"/>
        <v>179383.84445811398</v>
      </c>
      <c r="V93" s="35">
        <f t="shared" si="99"/>
        <v>103881.2120786936</v>
      </c>
      <c r="W93" s="35">
        <f t="shared" ref="W93" si="100">IF(W11=0,0,W11*1000000/W31)</f>
        <v>67434.461220125711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1579.0163550605353</v>
      </c>
      <c r="C95" s="62">
        <f t="shared" si="101"/>
        <v>1566.3208078764324</v>
      </c>
      <c r="D95" s="62">
        <f t="shared" ref="D95:V95" si="102">IF(D23=0,0,D23/D43)</f>
        <v>1553.5547500462878</v>
      </c>
      <c r="E95" s="62">
        <f t="shared" si="102"/>
        <v>1569.8434867494307</v>
      </c>
      <c r="F95" s="62">
        <f t="shared" si="102"/>
        <v>1578.5014999029963</v>
      </c>
      <c r="G95" s="62">
        <f t="shared" si="102"/>
        <v>1535.0964300783257</v>
      </c>
      <c r="H95" s="62">
        <f t="shared" si="102"/>
        <v>1494.216298750883</v>
      </c>
      <c r="I95" s="62">
        <f t="shared" si="102"/>
        <v>1453.1161303831261</v>
      </c>
      <c r="J95" s="62">
        <f t="shared" si="102"/>
        <v>1420.0697700845758</v>
      </c>
      <c r="K95" s="62">
        <f t="shared" si="102"/>
        <v>1387.1512853215002</v>
      </c>
      <c r="L95" s="62">
        <f t="shared" si="102"/>
        <v>1404.0933642026318</v>
      </c>
      <c r="M95" s="62">
        <f t="shared" si="102"/>
        <v>1406.4618134821312</v>
      </c>
      <c r="N95" s="62">
        <f t="shared" si="102"/>
        <v>1399.8630305213767</v>
      </c>
      <c r="O95" s="62">
        <f t="shared" si="102"/>
        <v>1377.7836996170961</v>
      </c>
      <c r="P95" s="62">
        <f t="shared" si="102"/>
        <v>1364.7015345967293</v>
      </c>
      <c r="Q95" s="62">
        <f t="shared" si="102"/>
        <v>1363.9879656068729</v>
      </c>
      <c r="R95" s="62">
        <f t="shared" si="102"/>
        <v>1348.2354153907388</v>
      </c>
      <c r="S95" s="62">
        <f t="shared" si="102"/>
        <v>1325.1957654295663</v>
      </c>
      <c r="T95" s="62">
        <f t="shared" si="102"/>
        <v>1309.7436905327377</v>
      </c>
      <c r="U95" s="62">
        <f t="shared" si="102"/>
        <v>1303.4725648222307</v>
      </c>
      <c r="V95" s="62">
        <f t="shared" si="102"/>
        <v>486.68833878818151</v>
      </c>
      <c r="W95" s="62">
        <f t="shared" ref="W95" si="103">IF(W23=0,0,W23/W43)</f>
        <v>563.30142681862071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1587.6145221333877</v>
      </c>
      <c r="C96" s="11">
        <f t="shared" si="104"/>
        <v>1577.350908916937</v>
      </c>
      <c r="D96" s="11">
        <f t="shared" ref="D96:V96" si="105">IF(D24=0,0,D24/D44)</f>
        <v>1567.2855563721869</v>
      </c>
      <c r="E96" s="11">
        <f t="shared" si="105"/>
        <v>1589.2447135339526</v>
      </c>
      <c r="F96" s="11">
        <f t="shared" si="105"/>
        <v>1600.9292761115646</v>
      </c>
      <c r="G96" s="11">
        <f t="shared" si="105"/>
        <v>1564.1497022062049</v>
      </c>
      <c r="H96" s="11">
        <f t="shared" si="105"/>
        <v>1524.359296732247</v>
      </c>
      <c r="I96" s="11">
        <f t="shared" si="105"/>
        <v>1485.1360619209725</v>
      </c>
      <c r="J96" s="11">
        <f t="shared" si="105"/>
        <v>1450.8062996001211</v>
      </c>
      <c r="K96" s="11">
        <f t="shared" si="105"/>
        <v>1425.9468520289786</v>
      </c>
      <c r="L96" s="11">
        <f t="shared" si="105"/>
        <v>1441.3497968613619</v>
      </c>
      <c r="M96" s="11">
        <f t="shared" si="105"/>
        <v>1444.6113446247741</v>
      </c>
      <c r="N96" s="11">
        <f t="shared" si="105"/>
        <v>1440.1317802512785</v>
      </c>
      <c r="O96" s="11">
        <f t="shared" si="105"/>
        <v>1415.7229607021316</v>
      </c>
      <c r="P96" s="11">
        <f t="shared" si="105"/>
        <v>1400.1986224247548</v>
      </c>
      <c r="Q96" s="11">
        <f t="shared" si="105"/>
        <v>1396.9201313347296</v>
      </c>
      <c r="R96" s="11">
        <f t="shared" si="105"/>
        <v>1380.0559275164642</v>
      </c>
      <c r="S96" s="11">
        <f t="shared" si="105"/>
        <v>1350.9117288696266</v>
      </c>
      <c r="T96" s="11">
        <f t="shared" si="105"/>
        <v>1333.087952438686</v>
      </c>
      <c r="U96" s="11">
        <f t="shared" si="105"/>
        <v>1328.1751088097926</v>
      </c>
      <c r="V96" s="11">
        <f t="shared" si="105"/>
        <v>483.03747754643967</v>
      </c>
      <c r="W96" s="11">
        <f t="shared" ref="W96" si="106">IF(W24=0,0,W24/W44)</f>
        <v>560.10202506312328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2181</v>
      </c>
      <c r="C97" s="36">
        <f t="shared" si="104"/>
        <v>2181</v>
      </c>
      <c r="D97" s="36">
        <f t="shared" ref="D97:V97" si="107">IF(D25=0,0,D25/D45)</f>
        <v>2181</v>
      </c>
      <c r="E97" s="36">
        <f t="shared" si="107"/>
        <v>2181</v>
      </c>
      <c r="F97" s="36">
        <f t="shared" si="107"/>
        <v>2181</v>
      </c>
      <c r="G97" s="36">
        <f t="shared" si="107"/>
        <v>2179</v>
      </c>
      <c r="H97" s="36">
        <f t="shared" si="107"/>
        <v>2176</v>
      </c>
      <c r="I97" s="36">
        <f t="shared" si="107"/>
        <v>2171</v>
      </c>
      <c r="J97" s="36">
        <f t="shared" si="107"/>
        <v>2158</v>
      </c>
      <c r="K97" s="36">
        <f t="shared" si="107"/>
        <v>2153</v>
      </c>
      <c r="L97" s="36">
        <f t="shared" si="107"/>
        <v>2156</v>
      </c>
      <c r="M97" s="36">
        <f t="shared" si="107"/>
        <v>2161</v>
      </c>
      <c r="N97" s="36">
        <f t="shared" si="107"/>
        <v>2152</v>
      </c>
      <c r="O97" s="36">
        <f t="shared" si="107"/>
        <v>2152</v>
      </c>
      <c r="P97" s="36">
        <f t="shared" si="107"/>
        <v>2146</v>
      </c>
      <c r="Q97" s="36">
        <f t="shared" si="107"/>
        <v>2145</v>
      </c>
      <c r="R97" s="36">
        <f t="shared" si="107"/>
        <v>2133</v>
      </c>
      <c r="S97" s="36">
        <f t="shared" si="107"/>
        <v>2130</v>
      </c>
      <c r="T97" s="36">
        <f t="shared" si="107"/>
        <v>2128</v>
      </c>
      <c r="U97" s="36">
        <f t="shared" si="107"/>
        <v>2131</v>
      </c>
      <c r="V97" s="36">
        <f t="shared" si="107"/>
        <v>895.765361937796</v>
      </c>
      <c r="W97" s="36">
        <f t="shared" ref="W97" si="108">IF(W25=0,0,W25/W45)</f>
        <v>1055.1947290462138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1363.463115914145</v>
      </c>
      <c r="C98" s="36">
        <f t="shared" si="104"/>
        <v>1338.5300414327139</v>
      </c>
      <c r="D98" s="36">
        <f t="shared" ref="D98:V98" si="109">IF(D26=0,0,D26/D46)</f>
        <v>1307.4797627006826</v>
      </c>
      <c r="E98" s="36">
        <f t="shared" si="109"/>
        <v>1337.2648951621827</v>
      </c>
      <c r="F98" s="36">
        <f t="shared" si="109"/>
        <v>1355.9008942488879</v>
      </c>
      <c r="G98" s="36">
        <f t="shared" si="109"/>
        <v>1349.2625773114057</v>
      </c>
      <c r="H98" s="36">
        <f t="shared" si="109"/>
        <v>1326.863322991544</v>
      </c>
      <c r="I98" s="36">
        <f t="shared" si="109"/>
        <v>1311.8083680949346</v>
      </c>
      <c r="J98" s="36">
        <f t="shared" si="109"/>
        <v>1311.7797231458685</v>
      </c>
      <c r="K98" s="36">
        <f t="shared" si="109"/>
        <v>1264.4599875946851</v>
      </c>
      <c r="L98" s="36">
        <f t="shared" si="109"/>
        <v>1311.7734625609837</v>
      </c>
      <c r="M98" s="36">
        <f t="shared" si="109"/>
        <v>1305.5661095920113</v>
      </c>
      <c r="N98" s="36">
        <f t="shared" si="109"/>
        <v>1306.7375930366436</v>
      </c>
      <c r="O98" s="36">
        <f t="shared" si="109"/>
        <v>1286.958597750785</v>
      </c>
      <c r="P98" s="36">
        <f t="shared" si="109"/>
        <v>1286.7264986775915</v>
      </c>
      <c r="Q98" s="36">
        <f t="shared" si="109"/>
        <v>1294.31432670698</v>
      </c>
      <c r="R98" s="36">
        <f t="shared" si="109"/>
        <v>1280.5232722190181</v>
      </c>
      <c r="S98" s="36">
        <f t="shared" si="109"/>
        <v>1256.0595046470082</v>
      </c>
      <c r="T98" s="36">
        <f t="shared" si="109"/>
        <v>1257.7257303946799</v>
      </c>
      <c r="U98" s="36">
        <f t="shared" si="109"/>
        <v>1268.3712308890808</v>
      </c>
      <c r="V98" s="36">
        <f t="shared" si="109"/>
        <v>410.59966819423943</v>
      </c>
      <c r="W98" s="36">
        <f t="shared" ref="W98" si="110">IF(W26=0,0,W26/W46)</f>
        <v>479.36439358392886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534</v>
      </c>
      <c r="C99" s="36">
        <f t="shared" si="104"/>
        <v>534</v>
      </c>
      <c r="D99" s="36">
        <f t="shared" ref="D99:V99" si="111">IF(D27=0,0,D27/D47)</f>
        <v>504.19748494921083</v>
      </c>
      <c r="E99" s="36">
        <f t="shared" si="111"/>
        <v>515.90807381472609</v>
      </c>
      <c r="F99" s="36">
        <f t="shared" si="111"/>
        <v>534</v>
      </c>
      <c r="G99" s="36">
        <f t="shared" si="111"/>
        <v>516</v>
      </c>
      <c r="H99" s="36">
        <f t="shared" si="111"/>
        <v>486</v>
      </c>
      <c r="I99" s="36">
        <f t="shared" si="111"/>
        <v>464</v>
      </c>
      <c r="J99" s="36">
        <f t="shared" si="111"/>
        <v>460</v>
      </c>
      <c r="K99" s="36">
        <f t="shared" si="111"/>
        <v>471.99999999999994</v>
      </c>
      <c r="L99" s="36">
        <f t="shared" si="111"/>
        <v>497</v>
      </c>
      <c r="M99" s="36">
        <f t="shared" si="111"/>
        <v>518</v>
      </c>
      <c r="N99" s="36">
        <f t="shared" si="111"/>
        <v>527</v>
      </c>
      <c r="O99" s="36">
        <f t="shared" si="111"/>
        <v>522</v>
      </c>
      <c r="P99" s="36">
        <f t="shared" si="111"/>
        <v>510</v>
      </c>
      <c r="Q99" s="36">
        <f t="shared" si="111"/>
        <v>504</v>
      </c>
      <c r="R99" s="36">
        <f t="shared" si="111"/>
        <v>479</v>
      </c>
      <c r="S99" s="36">
        <f t="shared" si="111"/>
        <v>477.00000000000006</v>
      </c>
      <c r="T99" s="36">
        <f t="shared" si="111"/>
        <v>479</v>
      </c>
      <c r="U99" s="36">
        <f t="shared" si="111"/>
        <v>489</v>
      </c>
      <c r="V99" s="36">
        <f t="shared" si="111"/>
        <v>177.60104020287622</v>
      </c>
      <c r="W99" s="36">
        <f t="shared" ref="W99" si="112">IF(W27=0,0,W27/W47)</f>
        <v>214.23805830399644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991.70836912269476</v>
      </c>
      <c r="C100" s="13">
        <f t="shared" si="104"/>
        <v>855.3514802135428</v>
      </c>
      <c r="D100" s="13">
        <f t="shared" ref="D100:V100" si="113">IF(D28=0,0,D28/D48)</f>
        <v>896.14569941632715</v>
      </c>
      <c r="E100" s="13">
        <f t="shared" si="113"/>
        <v>855.92832112796498</v>
      </c>
      <c r="F100" s="13">
        <f t="shared" si="113"/>
        <v>909.0805813121234</v>
      </c>
      <c r="G100" s="13">
        <f t="shared" si="113"/>
        <v>823.69831192434231</v>
      </c>
      <c r="H100" s="13">
        <f t="shared" si="113"/>
        <v>837.79132211690001</v>
      </c>
      <c r="I100" s="13">
        <f t="shared" si="113"/>
        <v>842.07634007810418</v>
      </c>
      <c r="J100" s="13">
        <f t="shared" si="113"/>
        <v>832.82057999513199</v>
      </c>
      <c r="K100" s="13">
        <f t="shared" si="113"/>
        <v>679.08114397328472</v>
      </c>
      <c r="L100" s="13">
        <f t="shared" si="113"/>
        <v>707.39993285753667</v>
      </c>
      <c r="M100" s="13">
        <f t="shared" si="113"/>
        <v>598.4865838551118</v>
      </c>
      <c r="N100" s="13">
        <f t="shared" si="113"/>
        <v>542.42813929831379</v>
      </c>
      <c r="O100" s="13">
        <f t="shared" si="113"/>
        <v>515.65138938013422</v>
      </c>
      <c r="P100" s="13">
        <f t="shared" si="113"/>
        <v>507.36164650507152</v>
      </c>
      <c r="Q100" s="13">
        <f t="shared" si="113"/>
        <v>537.12175218379207</v>
      </c>
      <c r="R100" s="13">
        <f t="shared" si="113"/>
        <v>484.97600329538955</v>
      </c>
      <c r="S100" s="13">
        <f t="shared" si="113"/>
        <v>555.45287097994117</v>
      </c>
      <c r="T100" s="13">
        <f t="shared" si="113"/>
        <v>572.28712298875848</v>
      </c>
      <c r="U100" s="13">
        <f t="shared" si="113"/>
        <v>607.2443108835397</v>
      </c>
      <c r="V100" s="13">
        <f t="shared" si="113"/>
        <v>585.55495035287151</v>
      </c>
      <c r="W100" s="13">
        <f t="shared" ref="W100" si="114">IF(W28=0,0,W28/W48)</f>
        <v>643.14480872071215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1408</v>
      </c>
      <c r="C101" s="34">
        <f t="shared" si="104"/>
        <v>1291.2536001212673</v>
      </c>
      <c r="D101" s="34">
        <f t="shared" ref="D101:V101" si="115">IF(D29=0,0,D29/D49)</f>
        <v>1408</v>
      </c>
      <c r="E101" s="34">
        <f t="shared" si="115"/>
        <v>1408</v>
      </c>
      <c r="F101" s="34">
        <f t="shared" si="115"/>
        <v>1408</v>
      </c>
      <c r="G101" s="34">
        <f t="shared" si="115"/>
        <v>1407</v>
      </c>
      <c r="H101" s="34">
        <f t="shared" si="115"/>
        <v>1402</v>
      </c>
      <c r="I101" s="34">
        <f t="shared" si="115"/>
        <v>1397</v>
      </c>
      <c r="J101" s="34">
        <f t="shared" si="115"/>
        <v>1389</v>
      </c>
      <c r="K101" s="34">
        <f t="shared" si="115"/>
        <v>1162.0382748984014</v>
      </c>
      <c r="L101" s="34">
        <f t="shared" si="115"/>
        <v>1023.8759390609869</v>
      </c>
      <c r="M101" s="34">
        <f t="shared" si="115"/>
        <v>950.68549026043468</v>
      </c>
      <c r="N101" s="34">
        <f t="shared" si="115"/>
        <v>967.26346234213736</v>
      </c>
      <c r="O101" s="34">
        <f t="shared" si="115"/>
        <v>967.54907101530341</v>
      </c>
      <c r="P101" s="34">
        <f t="shared" si="115"/>
        <v>937.66642602671573</v>
      </c>
      <c r="Q101" s="34">
        <f t="shared" si="115"/>
        <v>941.88878407188497</v>
      </c>
      <c r="R101" s="34">
        <f t="shared" si="115"/>
        <v>835.32258276719233</v>
      </c>
      <c r="S101" s="34">
        <f t="shared" si="115"/>
        <v>966.0831524251887</v>
      </c>
      <c r="T101" s="34">
        <f t="shared" si="115"/>
        <v>768.22785611220684</v>
      </c>
      <c r="U101" s="34">
        <f t="shared" si="115"/>
        <v>533.24842809235349</v>
      </c>
      <c r="V101" s="34">
        <f t="shared" si="115"/>
        <v>405.65377215198504</v>
      </c>
      <c r="W101" s="34">
        <f t="shared" ref="W101" si="116">IF(W29=0,0,W29/W49)</f>
        <v>536.74283085470859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1146.8289926256375</v>
      </c>
      <c r="C102" s="34">
        <f t="shared" si="104"/>
        <v>1046.4841872374768</v>
      </c>
      <c r="D102" s="34">
        <f t="shared" ref="D102:V102" si="117">IF(D30=0,0,D30/D50)</f>
        <v>1151.6150264969333</v>
      </c>
      <c r="E102" s="34">
        <f t="shared" si="117"/>
        <v>1152.3490504658419</v>
      </c>
      <c r="F102" s="34">
        <f t="shared" si="117"/>
        <v>1151.6005506973281</v>
      </c>
      <c r="G102" s="34">
        <f t="shared" si="117"/>
        <v>1059.1038493507299</v>
      </c>
      <c r="H102" s="34">
        <f t="shared" si="117"/>
        <v>1066.3824819260358</v>
      </c>
      <c r="I102" s="34">
        <f t="shared" si="117"/>
        <v>1067.5728216866232</v>
      </c>
      <c r="J102" s="34">
        <f t="shared" si="117"/>
        <v>1069.0380317997212</v>
      </c>
      <c r="K102" s="34">
        <f t="shared" si="117"/>
        <v>893.90197722627943</v>
      </c>
      <c r="L102" s="34">
        <f t="shared" si="117"/>
        <v>974.58748074230584</v>
      </c>
      <c r="M102" s="34">
        <f t="shared" si="117"/>
        <v>750.23459455323155</v>
      </c>
      <c r="N102" s="34">
        <f t="shared" si="117"/>
        <v>658.58440604381235</v>
      </c>
      <c r="O102" s="34">
        <f t="shared" si="117"/>
        <v>638.10716760252467</v>
      </c>
      <c r="P102" s="34">
        <f t="shared" si="117"/>
        <v>634.33443639807808</v>
      </c>
      <c r="Q102" s="34">
        <f t="shared" si="117"/>
        <v>696.84608314435275</v>
      </c>
      <c r="R102" s="34">
        <f t="shared" si="117"/>
        <v>636.78582280134776</v>
      </c>
      <c r="S102" s="34">
        <f t="shared" si="117"/>
        <v>734.66370252796651</v>
      </c>
      <c r="T102" s="34">
        <f t="shared" si="117"/>
        <v>837.10261588868093</v>
      </c>
      <c r="U102" s="34">
        <f t="shared" si="117"/>
        <v>1072.2762289533239</v>
      </c>
      <c r="V102" s="34">
        <f t="shared" si="117"/>
        <v>1047.7683660623541</v>
      </c>
      <c r="W102" s="34">
        <f t="shared" ref="W102" si="118">IF(W30=0,0,W30/W50)</f>
        <v>1052.5000922053312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407</v>
      </c>
      <c r="C103" s="35">
        <f t="shared" si="104"/>
        <v>407</v>
      </c>
      <c r="D103" s="35">
        <f t="shared" ref="D103:V103" si="119">IF(D31=0,0,D31/D51)</f>
        <v>407.00000000000006</v>
      </c>
      <c r="E103" s="35">
        <f t="shared" si="119"/>
        <v>407</v>
      </c>
      <c r="F103" s="35">
        <f t="shared" si="119"/>
        <v>407</v>
      </c>
      <c r="G103" s="35">
        <f t="shared" si="119"/>
        <v>397</v>
      </c>
      <c r="H103" s="35">
        <f t="shared" si="119"/>
        <v>373.00000000000006</v>
      </c>
      <c r="I103" s="35">
        <f t="shared" si="119"/>
        <v>354</v>
      </c>
      <c r="J103" s="35">
        <f t="shared" si="119"/>
        <v>346</v>
      </c>
      <c r="K103" s="35">
        <f t="shared" si="119"/>
        <v>253.66314340304808</v>
      </c>
      <c r="L103" s="35">
        <f t="shared" si="119"/>
        <v>313.68200587367102</v>
      </c>
      <c r="M103" s="35">
        <f t="shared" si="119"/>
        <v>299.99994242301239</v>
      </c>
      <c r="N103" s="35">
        <f t="shared" si="119"/>
        <v>248.38975874175969</v>
      </c>
      <c r="O103" s="35">
        <f t="shared" si="119"/>
        <v>209.59336489084549</v>
      </c>
      <c r="P103" s="35">
        <f t="shared" si="119"/>
        <v>212.74041781767957</v>
      </c>
      <c r="Q103" s="35">
        <f t="shared" si="119"/>
        <v>231.97423916922008</v>
      </c>
      <c r="R103" s="35">
        <f t="shared" si="119"/>
        <v>215.70554820837984</v>
      </c>
      <c r="S103" s="35">
        <f t="shared" si="119"/>
        <v>246.50848036954571</v>
      </c>
      <c r="T103" s="35">
        <f t="shared" si="119"/>
        <v>289.30991350934147</v>
      </c>
      <c r="U103" s="35">
        <f t="shared" si="119"/>
        <v>176.43555851848055</v>
      </c>
      <c r="V103" s="35">
        <f t="shared" si="119"/>
        <v>200.53646833582874</v>
      </c>
      <c r="W103" s="35">
        <f t="shared" ref="W103" si="120">IF(W31=0,0,W31/W51)</f>
        <v>248.08418181005061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0.20131045396645281</v>
      </c>
      <c r="C107" s="43">
        <f t="shared" si="124"/>
        <v>0.20405648766566201</v>
      </c>
      <c r="D107" s="43">
        <f t="shared" ref="D107:V107" si="125">IF(D5=0,0,D5/D$4)</f>
        <v>0.21182807102392895</v>
      </c>
      <c r="E107" s="43">
        <f t="shared" si="125"/>
        <v>0.21018460870187103</v>
      </c>
      <c r="F107" s="43">
        <f t="shared" si="125"/>
        <v>0.20105142298744033</v>
      </c>
      <c r="G107" s="43">
        <f t="shared" si="125"/>
        <v>0.19147127479805756</v>
      </c>
      <c r="H107" s="43">
        <f t="shared" si="125"/>
        <v>0.16493803163934581</v>
      </c>
      <c r="I107" s="43">
        <f t="shared" si="125"/>
        <v>0.15292313441228733</v>
      </c>
      <c r="J107" s="43">
        <f t="shared" si="125"/>
        <v>0.14554755713835613</v>
      </c>
      <c r="K107" s="43">
        <f t="shared" si="125"/>
        <v>0.14345300968426297</v>
      </c>
      <c r="L107" s="43">
        <f t="shared" si="125"/>
        <v>0.13882487616439909</v>
      </c>
      <c r="M107" s="43">
        <f t="shared" si="125"/>
        <v>0.14125396099553966</v>
      </c>
      <c r="N107" s="43">
        <f t="shared" si="125"/>
        <v>0.14499162417444311</v>
      </c>
      <c r="O107" s="43">
        <f t="shared" si="125"/>
        <v>0.1364672840558285</v>
      </c>
      <c r="P107" s="43">
        <f t="shared" si="125"/>
        <v>0.13347138470240547</v>
      </c>
      <c r="Q107" s="43">
        <f t="shared" si="125"/>
        <v>0.13009514884969237</v>
      </c>
      <c r="R107" s="43">
        <f t="shared" si="125"/>
        <v>0.12851464208531937</v>
      </c>
      <c r="S107" s="43">
        <f t="shared" si="125"/>
        <v>0.12010472236252609</v>
      </c>
      <c r="T107" s="43">
        <f t="shared" si="125"/>
        <v>0.11415488575375736</v>
      </c>
      <c r="U107" s="43">
        <f t="shared" si="125"/>
        <v>0.10860402307462241</v>
      </c>
      <c r="V107" s="43">
        <f t="shared" si="125"/>
        <v>0.13562094715881112</v>
      </c>
      <c r="W107" s="43">
        <f t="shared" ref="W107" si="126">IF(W5=0,0,W5/W$4)</f>
        <v>0.13075021156674152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0.55641054964512049</v>
      </c>
      <c r="C108" s="43">
        <f t="shared" si="127"/>
        <v>0.57039631885668429</v>
      </c>
      <c r="D108" s="43">
        <f t="shared" ref="D108:V108" si="128">IF(D6=0,0,D6/D$4)</f>
        <v>0.58259842984582899</v>
      </c>
      <c r="E108" s="43">
        <f t="shared" si="128"/>
        <v>0.57002141371410686</v>
      </c>
      <c r="F108" s="43">
        <f t="shared" si="128"/>
        <v>0.5502002838440514</v>
      </c>
      <c r="G108" s="43">
        <f t="shared" si="128"/>
        <v>0.51935524917441578</v>
      </c>
      <c r="H108" s="43">
        <f t="shared" si="128"/>
        <v>0.55834229080098607</v>
      </c>
      <c r="I108" s="43">
        <f t="shared" si="128"/>
        <v>0.53616601406091258</v>
      </c>
      <c r="J108" s="43">
        <f t="shared" si="128"/>
        <v>0.50758682442712522</v>
      </c>
      <c r="K108" s="43">
        <f t="shared" si="128"/>
        <v>0.49696314479943055</v>
      </c>
      <c r="L108" s="43">
        <f t="shared" si="128"/>
        <v>0.50278318855534787</v>
      </c>
      <c r="M108" s="43">
        <f t="shared" si="128"/>
        <v>0.52423844405584752</v>
      </c>
      <c r="N108" s="43">
        <f t="shared" si="128"/>
        <v>0.5275455087557015</v>
      </c>
      <c r="O108" s="43">
        <f t="shared" si="128"/>
        <v>0.54048458748817474</v>
      </c>
      <c r="P108" s="43">
        <f t="shared" si="128"/>
        <v>0.53052543941358921</v>
      </c>
      <c r="Q108" s="43">
        <f t="shared" si="128"/>
        <v>0.52984108125083673</v>
      </c>
      <c r="R108" s="43">
        <f t="shared" si="128"/>
        <v>0.5463313009510814</v>
      </c>
      <c r="S108" s="43">
        <f t="shared" si="128"/>
        <v>0.55903702397334476</v>
      </c>
      <c r="T108" s="43">
        <f t="shared" si="128"/>
        <v>0.54063652556790587</v>
      </c>
      <c r="U108" s="43">
        <f t="shared" si="128"/>
        <v>0.54401005503280397</v>
      </c>
      <c r="V108" s="43">
        <f t="shared" si="128"/>
        <v>0.50009348928751907</v>
      </c>
      <c r="W108" s="43">
        <f t="shared" ref="W108" si="129">IF(W6=0,0,W6/W$4)</f>
        <v>0.5877233565375255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0.24227899638842676</v>
      </c>
      <c r="C109" s="43">
        <f t="shared" si="130"/>
        <v>0.22554719347765362</v>
      </c>
      <c r="D109" s="43">
        <f t="shared" ref="D109:V109" si="131">IF(D7=0,0,D7/D$4)</f>
        <v>0.20557349913024198</v>
      </c>
      <c r="E109" s="43">
        <f t="shared" si="131"/>
        <v>0.21979397758402219</v>
      </c>
      <c r="F109" s="43">
        <f t="shared" si="131"/>
        <v>0.24874829316850841</v>
      </c>
      <c r="G109" s="43">
        <f t="shared" si="131"/>
        <v>0.28917347602752669</v>
      </c>
      <c r="H109" s="43">
        <f t="shared" si="131"/>
        <v>0.27671967755966814</v>
      </c>
      <c r="I109" s="43">
        <f t="shared" si="131"/>
        <v>0.31091085152680009</v>
      </c>
      <c r="J109" s="43">
        <f t="shared" si="131"/>
        <v>0.34686561843451869</v>
      </c>
      <c r="K109" s="43">
        <f t="shared" si="131"/>
        <v>0.35958384551630646</v>
      </c>
      <c r="L109" s="43">
        <f t="shared" si="131"/>
        <v>0.35839193528025298</v>
      </c>
      <c r="M109" s="43">
        <f t="shared" si="131"/>
        <v>0.33450759494861276</v>
      </c>
      <c r="N109" s="43">
        <f t="shared" si="131"/>
        <v>0.32746286706985539</v>
      </c>
      <c r="O109" s="43">
        <f t="shared" si="131"/>
        <v>0.32304812845599673</v>
      </c>
      <c r="P109" s="43">
        <f t="shared" si="131"/>
        <v>0.33600317588400547</v>
      </c>
      <c r="Q109" s="43">
        <f t="shared" si="131"/>
        <v>0.34006376989947085</v>
      </c>
      <c r="R109" s="43">
        <f t="shared" si="131"/>
        <v>0.32515405696359928</v>
      </c>
      <c r="S109" s="43">
        <f t="shared" si="131"/>
        <v>0.32085825366412907</v>
      </c>
      <c r="T109" s="43">
        <f t="shared" si="131"/>
        <v>0.34520858867833681</v>
      </c>
      <c r="U109" s="43">
        <f t="shared" si="131"/>
        <v>0.34738592189257361</v>
      </c>
      <c r="V109" s="43">
        <f t="shared" si="131"/>
        <v>0.36428556355366981</v>
      </c>
      <c r="W109" s="43">
        <f t="shared" ref="W109" si="132">IF(W7=0,0,W7/W$4)</f>
        <v>0.28152643189573295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2.3916291078198225E-2</v>
      </c>
      <c r="C111" s="44">
        <f t="shared" si="136"/>
        <v>1.5242799097720692E-2</v>
      </c>
      <c r="D111" s="44">
        <f t="shared" ref="D111:V111" si="137">IF(D9=0,0,D9/D$8)</f>
        <v>1.5682269179549575E-2</v>
      </c>
      <c r="E111" s="44">
        <f t="shared" si="137"/>
        <v>1.5068013364396306E-2</v>
      </c>
      <c r="F111" s="44">
        <f t="shared" si="137"/>
        <v>1.9843605063537405E-2</v>
      </c>
      <c r="G111" s="44">
        <f t="shared" si="137"/>
        <v>1.659844032808035E-2</v>
      </c>
      <c r="H111" s="44">
        <f t="shared" si="137"/>
        <v>1.8093488219883377E-2</v>
      </c>
      <c r="I111" s="44">
        <f t="shared" si="137"/>
        <v>1.93503205054553E-2</v>
      </c>
      <c r="J111" s="44">
        <f t="shared" si="137"/>
        <v>1.9361628898951176E-2</v>
      </c>
      <c r="K111" s="44">
        <f t="shared" si="137"/>
        <v>1.9907552198030507E-2</v>
      </c>
      <c r="L111" s="44">
        <f t="shared" si="137"/>
        <v>1.5352483163330915E-2</v>
      </c>
      <c r="M111" s="44">
        <f t="shared" si="137"/>
        <v>1.6002705868060386E-2</v>
      </c>
      <c r="N111" s="44">
        <f t="shared" si="137"/>
        <v>1.9067268441593781E-2</v>
      </c>
      <c r="O111" s="44">
        <f t="shared" si="137"/>
        <v>2.5136266762480031E-2</v>
      </c>
      <c r="P111" s="44">
        <f t="shared" si="137"/>
        <v>2.5516156395024168E-2</v>
      </c>
      <c r="Q111" s="44">
        <f t="shared" si="137"/>
        <v>2.6670221386216657E-2</v>
      </c>
      <c r="R111" s="44">
        <f t="shared" si="137"/>
        <v>2.9470530959568069E-2</v>
      </c>
      <c r="S111" s="44">
        <f t="shared" si="137"/>
        <v>3.2556617803544421E-2</v>
      </c>
      <c r="T111" s="44">
        <f t="shared" si="137"/>
        <v>2.808056417096199E-2</v>
      </c>
      <c r="U111" s="44">
        <f t="shared" si="137"/>
        <v>2.2089719504040491E-2</v>
      </c>
      <c r="V111" s="44">
        <f t="shared" si="137"/>
        <v>2.2126953529582334E-2</v>
      </c>
      <c r="W111" s="44">
        <f t="shared" ref="W111" si="138">IF(W9=0,0,W9/W$8)</f>
        <v>2.9912207158238464E-2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0.19993522669167027</v>
      </c>
      <c r="C112" s="44">
        <f t="shared" si="139"/>
        <v>0.13565985236998113</v>
      </c>
      <c r="D112" s="44">
        <f t="shared" ref="D112:V112" si="140">IF(D10=0,0,D10/D$8)</f>
        <v>0.13163408220764644</v>
      </c>
      <c r="E112" s="44">
        <f t="shared" si="140"/>
        <v>0.12320076661016775</v>
      </c>
      <c r="F112" s="44">
        <f t="shared" si="140"/>
        <v>0.13529569924697044</v>
      </c>
      <c r="G112" s="44">
        <f t="shared" si="140"/>
        <v>0.1139084059820861</v>
      </c>
      <c r="H112" s="44">
        <f t="shared" si="140"/>
        <v>0.11888550582392766</v>
      </c>
      <c r="I112" s="44">
        <f t="shared" si="140"/>
        <v>0.12651887499216857</v>
      </c>
      <c r="J112" s="44">
        <f t="shared" si="140"/>
        <v>0.12115622214603484</v>
      </c>
      <c r="K112" s="44">
        <f t="shared" si="140"/>
        <v>0.12091941075516369</v>
      </c>
      <c r="L112" s="44">
        <f t="shared" si="140"/>
        <v>0.11324934616977704</v>
      </c>
      <c r="M112" s="44">
        <f t="shared" si="140"/>
        <v>9.9002699752097606E-2</v>
      </c>
      <c r="N112" s="44">
        <f t="shared" si="140"/>
        <v>0.10459078015670943</v>
      </c>
      <c r="O112" s="44">
        <f t="shared" si="140"/>
        <v>0.13720655010585034</v>
      </c>
      <c r="P112" s="44">
        <f t="shared" si="140"/>
        <v>0.14907603456887483</v>
      </c>
      <c r="Q112" s="44">
        <f t="shared" si="140"/>
        <v>0.15977524593875297</v>
      </c>
      <c r="R112" s="44">
        <f t="shared" si="140"/>
        <v>0.17108565022222746</v>
      </c>
      <c r="S112" s="44">
        <f t="shared" si="140"/>
        <v>0.19777116402928208</v>
      </c>
      <c r="T112" s="44">
        <f t="shared" si="140"/>
        <v>0.22952720662974113</v>
      </c>
      <c r="U112" s="44">
        <f t="shared" si="140"/>
        <v>0.43086250777604368</v>
      </c>
      <c r="V112" s="44">
        <f t="shared" si="140"/>
        <v>0.46962797884130819</v>
      </c>
      <c r="W112" s="44">
        <f t="shared" ref="W112" si="141">IF(W10=0,0,W10/W$8)</f>
        <v>0.55503716625550792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0.77614848223013155</v>
      </c>
      <c r="C113" s="45">
        <f t="shared" si="142"/>
        <v>0.84909734853229824</v>
      </c>
      <c r="D113" s="45">
        <f t="shared" ref="D113:V113" si="143">IF(D11=0,0,D11/D$8)</f>
        <v>0.85268364861280399</v>
      </c>
      <c r="E113" s="45">
        <f t="shared" si="143"/>
        <v>0.86173122002543601</v>
      </c>
      <c r="F113" s="45">
        <f t="shared" si="143"/>
        <v>0.84486069568949207</v>
      </c>
      <c r="G113" s="45">
        <f t="shared" si="143"/>
        <v>0.8694931536898336</v>
      </c>
      <c r="H113" s="45">
        <f t="shared" si="143"/>
        <v>0.86302100595618902</v>
      </c>
      <c r="I113" s="45">
        <f t="shared" si="143"/>
        <v>0.85413080450237611</v>
      </c>
      <c r="J113" s="45">
        <f t="shared" si="143"/>
        <v>0.85948214895501396</v>
      </c>
      <c r="K113" s="45">
        <f t="shared" si="143"/>
        <v>0.85917303704680581</v>
      </c>
      <c r="L113" s="45">
        <f t="shared" si="143"/>
        <v>0.87139817066689196</v>
      </c>
      <c r="M113" s="45">
        <f t="shared" si="143"/>
        <v>0.88499459437984207</v>
      </c>
      <c r="N113" s="45">
        <f t="shared" si="143"/>
        <v>0.87634195140169691</v>
      </c>
      <c r="O113" s="45">
        <f t="shared" si="143"/>
        <v>0.8376571831316697</v>
      </c>
      <c r="P113" s="45">
        <f t="shared" si="143"/>
        <v>0.825407809036101</v>
      </c>
      <c r="Q113" s="45">
        <f t="shared" si="143"/>
        <v>0.81355453267503042</v>
      </c>
      <c r="R113" s="45">
        <f t="shared" si="143"/>
        <v>0.79944381881820459</v>
      </c>
      <c r="S113" s="45">
        <f t="shared" si="143"/>
        <v>0.76967221816717346</v>
      </c>
      <c r="T113" s="45">
        <f t="shared" si="143"/>
        <v>0.7423922291992967</v>
      </c>
      <c r="U113" s="45">
        <f t="shared" si="143"/>
        <v>0.54704777271991567</v>
      </c>
      <c r="V113" s="45">
        <f t="shared" si="143"/>
        <v>0.50824506762910948</v>
      </c>
      <c r="W113" s="45">
        <f t="shared" ref="W113" si="144">IF(W11=0,0,W11/W$8)</f>
        <v>0.41505062658625363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0.30073138504073432</v>
      </c>
      <c r="C117" s="43">
        <f t="shared" si="148"/>
        <v>0.30028145588803817</v>
      </c>
      <c r="D117" s="43">
        <f t="shared" ref="D117:V117" si="149">IF(D15=0,0,D15/D$14)</f>
        <v>0.31249289248121259</v>
      </c>
      <c r="E117" s="43">
        <f t="shared" si="149"/>
        <v>0.30946635726709343</v>
      </c>
      <c r="F117" s="43">
        <f t="shared" si="149"/>
        <v>0.30617975277075182</v>
      </c>
      <c r="G117" s="43">
        <f t="shared" si="149"/>
        <v>0.29474202417118889</v>
      </c>
      <c r="H117" s="43">
        <f t="shared" si="149"/>
        <v>0.26568892825494173</v>
      </c>
      <c r="I117" s="43">
        <f t="shared" si="149"/>
        <v>0.2477532072811934</v>
      </c>
      <c r="J117" s="43">
        <f t="shared" si="149"/>
        <v>0.23443821239142074</v>
      </c>
      <c r="K117" s="43">
        <f t="shared" si="149"/>
        <v>0.24692983158590268</v>
      </c>
      <c r="L117" s="43">
        <f t="shared" si="149"/>
        <v>0.23416208597185922</v>
      </c>
      <c r="M117" s="43">
        <f t="shared" si="149"/>
        <v>0.23282165826879364</v>
      </c>
      <c r="N117" s="43">
        <f t="shared" si="149"/>
        <v>0.23318105558467725</v>
      </c>
      <c r="O117" s="43">
        <f t="shared" si="149"/>
        <v>0.22382850945183222</v>
      </c>
      <c r="P117" s="43">
        <f t="shared" si="149"/>
        <v>0.22206499383967676</v>
      </c>
      <c r="Q117" s="43">
        <f t="shared" si="149"/>
        <v>0.21780435130695094</v>
      </c>
      <c r="R117" s="43">
        <f t="shared" si="149"/>
        <v>0.21272344104563473</v>
      </c>
      <c r="S117" s="43">
        <f t="shared" si="149"/>
        <v>0.20045753531001057</v>
      </c>
      <c r="T117" s="43">
        <f t="shared" si="149"/>
        <v>0.1926198841290882</v>
      </c>
      <c r="U117" s="43">
        <f t="shared" si="149"/>
        <v>0.18542895041053706</v>
      </c>
      <c r="V117" s="43">
        <f t="shared" si="149"/>
        <v>0.22269660749331138</v>
      </c>
      <c r="W117" s="43">
        <f t="shared" ref="W117" si="150">IF(W15=0,0,W15/W$14)</f>
        <v>0.20893055070796282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0.54106484710060432</v>
      </c>
      <c r="C118" s="43">
        <f t="shared" si="151"/>
        <v>0.54578983322748686</v>
      </c>
      <c r="D118" s="43">
        <f t="shared" ref="D118:V118" si="152">IF(D16=0,0,D16/D$14)</f>
        <v>0.54190379284283519</v>
      </c>
      <c r="E118" s="43">
        <f t="shared" si="152"/>
        <v>0.55146248531607023</v>
      </c>
      <c r="F118" s="43">
        <f t="shared" si="152"/>
        <v>0.55317037041129313</v>
      </c>
      <c r="G118" s="43">
        <f t="shared" si="152"/>
        <v>0.53195903602630656</v>
      </c>
      <c r="H118" s="43">
        <f t="shared" si="152"/>
        <v>0.56569926635821233</v>
      </c>
      <c r="I118" s="43">
        <f t="shared" si="152"/>
        <v>0.56937874210220951</v>
      </c>
      <c r="J118" s="43">
        <f t="shared" si="152"/>
        <v>0.564427268259451</v>
      </c>
      <c r="K118" s="43">
        <f t="shared" si="152"/>
        <v>0.53783260056392024</v>
      </c>
      <c r="L118" s="43">
        <f t="shared" si="152"/>
        <v>0.54826583412290342</v>
      </c>
      <c r="M118" s="43">
        <f t="shared" si="152"/>
        <v>0.55414276831934595</v>
      </c>
      <c r="N118" s="43">
        <f t="shared" si="152"/>
        <v>0.55163892196722775</v>
      </c>
      <c r="O118" s="43">
        <f t="shared" si="152"/>
        <v>0.55377098282058168</v>
      </c>
      <c r="P118" s="43">
        <f t="shared" si="152"/>
        <v>0.54098319465395917</v>
      </c>
      <c r="Q118" s="43">
        <f t="shared" si="152"/>
        <v>0.54431496251117872</v>
      </c>
      <c r="R118" s="43">
        <f t="shared" si="152"/>
        <v>0.55564276634848597</v>
      </c>
      <c r="S118" s="43">
        <f t="shared" si="152"/>
        <v>0.56561693681058833</v>
      </c>
      <c r="T118" s="43">
        <f t="shared" si="152"/>
        <v>0.55997354234709007</v>
      </c>
      <c r="U118" s="43">
        <f t="shared" si="152"/>
        <v>0.56113092880454785</v>
      </c>
      <c r="V118" s="43">
        <f t="shared" si="152"/>
        <v>0.50630824089636994</v>
      </c>
      <c r="W118" s="43">
        <f t="shared" ref="W118" si="153">IF(W16=0,0,W16/W$14)</f>
        <v>0.55298092420064948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0.15820376785866128</v>
      </c>
      <c r="C119" s="43">
        <f t="shared" si="154"/>
        <v>0.15392871088447493</v>
      </c>
      <c r="D119" s="43">
        <f t="shared" ref="D119:V119" si="155">IF(D17=0,0,D17/D$14)</f>
        <v>0.14560331467595219</v>
      </c>
      <c r="E119" s="43">
        <f t="shared" si="155"/>
        <v>0.13907115741683648</v>
      </c>
      <c r="F119" s="43">
        <f t="shared" si="155"/>
        <v>0.14064987681795502</v>
      </c>
      <c r="G119" s="43">
        <f t="shared" si="155"/>
        <v>0.17329893980250466</v>
      </c>
      <c r="H119" s="43">
        <f t="shared" si="155"/>
        <v>0.16861180538684595</v>
      </c>
      <c r="I119" s="43">
        <f t="shared" si="155"/>
        <v>0.182868050616597</v>
      </c>
      <c r="J119" s="43">
        <f t="shared" si="155"/>
        <v>0.20113451934912813</v>
      </c>
      <c r="K119" s="43">
        <f t="shared" si="155"/>
        <v>0.21523756785017709</v>
      </c>
      <c r="L119" s="43">
        <f t="shared" si="155"/>
        <v>0.21757207990523739</v>
      </c>
      <c r="M119" s="43">
        <f t="shared" si="155"/>
        <v>0.21303557341186044</v>
      </c>
      <c r="N119" s="43">
        <f t="shared" si="155"/>
        <v>0.21518002244809509</v>
      </c>
      <c r="O119" s="43">
        <f t="shared" si="155"/>
        <v>0.22240050772758618</v>
      </c>
      <c r="P119" s="43">
        <f t="shared" si="155"/>
        <v>0.2369518115063641</v>
      </c>
      <c r="Q119" s="43">
        <f t="shared" si="155"/>
        <v>0.23788068618187042</v>
      </c>
      <c r="R119" s="43">
        <f t="shared" si="155"/>
        <v>0.23163379260587935</v>
      </c>
      <c r="S119" s="43">
        <f t="shared" si="155"/>
        <v>0.23392552787940107</v>
      </c>
      <c r="T119" s="43">
        <f t="shared" si="155"/>
        <v>0.24740657352382184</v>
      </c>
      <c r="U119" s="43">
        <f t="shared" si="155"/>
        <v>0.25344012078491501</v>
      </c>
      <c r="V119" s="43">
        <f t="shared" si="155"/>
        <v>0.27099515161031867</v>
      </c>
      <c r="W119" s="43">
        <f t="shared" ref="W119" si="156">IF(W17=0,0,W17/W$14)</f>
        <v>0.2380885250913877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0.11130800941918231</v>
      </c>
      <c r="C121" s="44">
        <f t="shared" si="160"/>
        <v>8.5758750383057983E-2</v>
      </c>
      <c r="D121" s="44">
        <f t="shared" ref="D121:V121" si="161">IF(D19=0,0,D19/D$18)</f>
        <v>8.1993582995052522E-2</v>
      </c>
      <c r="E121" s="44">
        <f t="shared" si="161"/>
        <v>7.1805062748907106E-2</v>
      </c>
      <c r="F121" s="44">
        <f t="shared" si="161"/>
        <v>9.2697787375166263E-2</v>
      </c>
      <c r="G121" s="44">
        <f t="shared" si="161"/>
        <v>7.8814988449547874E-2</v>
      </c>
      <c r="H121" s="44">
        <f t="shared" si="161"/>
        <v>8.2322451171586042E-2</v>
      </c>
      <c r="I121" s="44">
        <f t="shared" si="161"/>
        <v>8.5054706916642769E-2</v>
      </c>
      <c r="J121" s="44">
        <f t="shared" si="161"/>
        <v>8.7207860816221214E-2</v>
      </c>
      <c r="K121" s="44">
        <f t="shared" si="161"/>
        <v>9.6527911998806809E-2</v>
      </c>
      <c r="L121" s="44">
        <f t="shared" si="161"/>
        <v>7.3649683427975857E-2</v>
      </c>
      <c r="M121" s="44">
        <f t="shared" si="161"/>
        <v>7.5728250061567526E-2</v>
      </c>
      <c r="N121" s="44">
        <f t="shared" si="161"/>
        <v>9.054798848636543E-2</v>
      </c>
      <c r="O121" s="44">
        <f t="shared" si="161"/>
        <v>0.10637332742665997</v>
      </c>
      <c r="P121" s="44">
        <f t="shared" si="161"/>
        <v>0.10889285059842566</v>
      </c>
      <c r="Q121" s="44">
        <f t="shared" si="161"/>
        <v>0.10911204312601799</v>
      </c>
      <c r="R121" s="44">
        <f t="shared" si="161"/>
        <v>0.11119866386397426</v>
      </c>
      <c r="S121" s="44">
        <f t="shared" si="161"/>
        <v>0.12151862026651007</v>
      </c>
      <c r="T121" s="44">
        <f t="shared" si="161"/>
        <v>0.1002456599435414</v>
      </c>
      <c r="U121" s="44">
        <f t="shared" si="161"/>
        <v>5.8995009029696913E-2</v>
      </c>
      <c r="V121" s="44">
        <f t="shared" si="161"/>
        <v>4.5694458381455624E-2</v>
      </c>
      <c r="W121" s="44">
        <f t="shared" ref="W121" si="162">IF(W19=0,0,W19/W$18)</f>
        <v>5.0506729631928503E-2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0.42141731670836402</v>
      </c>
      <c r="C122" s="44">
        <f t="shared" si="163"/>
        <v>0.32883217461289349</v>
      </c>
      <c r="D122" s="44">
        <f t="shared" ref="D122:V122" si="164">IF(D20=0,0,D20/D$18)</f>
        <v>0.32314855395762193</v>
      </c>
      <c r="E122" s="44">
        <f t="shared" si="164"/>
        <v>0.28686207635833716</v>
      </c>
      <c r="F122" s="44">
        <f t="shared" si="164"/>
        <v>0.30935455433533093</v>
      </c>
      <c r="G122" s="44">
        <f t="shared" si="164"/>
        <v>0.2702707068776346</v>
      </c>
      <c r="H122" s="44">
        <f t="shared" si="164"/>
        <v>0.30168609072236569</v>
      </c>
      <c r="I122" s="44">
        <f t="shared" si="164"/>
        <v>0.31822465903578373</v>
      </c>
      <c r="J122" s="44">
        <f t="shared" si="164"/>
        <v>0.30862792490106417</v>
      </c>
      <c r="K122" s="44">
        <f t="shared" si="164"/>
        <v>0.32199267940894205</v>
      </c>
      <c r="L122" s="44">
        <f t="shared" si="164"/>
        <v>0.31250453365483888</v>
      </c>
      <c r="M122" s="44">
        <f t="shared" si="164"/>
        <v>0.27586488948295557</v>
      </c>
      <c r="N122" s="44">
        <f t="shared" si="164"/>
        <v>0.28098594923375941</v>
      </c>
      <c r="O122" s="44">
        <f t="shared" si="164"/>
        <v>0.32537339756014522</v>
      </c>
      <c r="P122" s="44">
        <f t="shared" si="164"/>
        <v>0.34016081475195387</v>
      </c>
      <c r="Q122" s="44">
        <f t="shared" si="164"/>
        <v>0.36142499123376498</v>
      </c>
      <c r="R122" s="44">
        <f t="shared" si="164"/>
        <v>0.3801406626275099</v>
      </c>
      <c r="S122" s="44">
        <f t="shared" si="164"/>
        <v>0.42476267795995287</v>
      </c>
      <c r="T122" s="44">
        <f t="shared" si="164"/>
        <v>0.47806234629807837</v>
      </c>
      <c r="U122" s="44">
        <f t="shared" si="164"/>
        <v>0.69068822783506134</v>
      </c>
      <c r="V122" s="44">
        <f t="shared" si="164"/>
        <v>0.67934918982156234</v>
      </c>
      <c r="W122" s="44">
        <f t="shared" ref="W122" si="165">IF(W20=0,0,W20/W$18)</f>
        <v>0.74790645566312708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0.46727467387245381</v>
      </c>
      <c r="C123" s="45">
        <f t="shared" si="166"/>
        <v>0.58540907500404848</v>
      </c>
      <c r="D123" s="45">
        <f t="shared" ref="D123:V123" si="167">IF(D21=0,0,D21/D$18)</f>
        <v>0.59485786304732557</v>
      </c>
      <c r="E123" s="45">
        <f t="shared" si="167"/>
        <v>0.64133286089275565</v>
      </c>
      <c r="F123" s="45">
        <f t="shared" si="167"/>
        <v>0.5979476582895028</v>
      </c>
      <c r="G123" s="45">
        <f t="shared" si="167"/>
        <v>0.65091430467281741</v>
      </c>
      <c r="H123" s="45">
        <f t="shared" si="167"/>
        <v>0.61599145810604827</v>
      </c>
      <c r="I123" s="45">
        <f t="shared" si="167"/>
        <v>0.59672063404757336</v>
      </c>
      <c r="J123" s="45">
        <f t="shared" si="167"/>
        <v>0.6041642142827145</v>
      </c>
      <c r="K123" s="45">
        <f t="shared" si="167"/>
        <v>0.58147940859225111</v>
      </c>
      <c r="L123" s="45">
        <f t="shared" si="167"/>
        <v>0.61384578291718528</v>
      </c>
      <c r="M123" s="45">
        <f t="shared" si="167"/>
        <v>0.6484068604554768</v>
      </c>
      <c r="N123" s="45">
        <f t="shared" si="167"/>
        <v>0.62846606227987523</v>
      </c>
      <c r="O123" s="45">
        <f t="shared" si="167"/>
        <v>0.56825327501319478</v>
      </c>
      <c r="P123" s="45">
        <f t="shared" si="167"/>
        <v>0.55094633464962051</v>
      </c>
      <c r="Q123" s="45">
        <f t="shared" si="167"/>
        <v>0.529462965640217</v>
      </c>
      <c r="R123" s="45">
        <f t="shared" si="167"/>
        <v>0.50866067350851596</v>
      </c>
      <c r="S123" s="45">
        <f t="shared" si="167"/>
        <v>0.45371870177353707</v>
      </c>
      <c r="T123" s="45">
        <f t="shared" si="167"/>
        <v>0.42169199375838029</v>
      </c>
      <c r="U123" s="45">
        <f t="shared" si="167"/>
        <v>0.25031676313524176</v>
      </c>
      <c r="V123" s="45">
        <f t="shared" si="167"/>
        <v>0.27495635179698202</v>
      </c>
      <c r="W123" s="45">
        <f t="shared" ref="W123" si="168">IF(W21=0,0,W21/W$18)</f>
        <v>0.20158681470494452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957.48306104901098</v>
      </c>
      <c r="C3" s="79">
        <f t="shared" si="0"/>
        <v>974.33121238177114</v>
      </c>
      <c r="D3" s="79">
        <f t="shared" ref="D3" si="1">SUM(D4:D5)</f>
        <v>743.65623387790174</v>
      </c>
      <c r="E3" s="79">
        <f t="shared" ref="E3" si="2">SUM(E4:E5)</f>
        <v>722.5900257953565</v>
      </c>
      <c r="F3" s="79">
        <f t="shared" ref="F3" si="3">SUM(F4:F5)</f>
        <v>869.00017196904525</v>
      </c>
      <c r="G3" s="79">
        <f t="shared" ref="G3" si="4">SUM(G4:G5)</f>
        <v>881.08744625967324</v>
      </c>
      <c r="H3" s="79">
        <f t="shared" ref="H3" si="5">SUM(H4:H5)</f>
        <v>898.85606190885642</v>
      </c>
      <c r="I3" s="79">
        <f t="shared" ref="I3" si="6">SUM(I4:I5)</f>
        <v>884.37936371453122</v>
      </c>
      <c r="J3" s="79">
        <f t="shared" ref="J3" si="7">SUM(J4:J5)</f>
        <v>1004.3902837489252</v>
      </c>
      <c r="K3" s="79">
        <f t="shared" ref="K3" si="8">SUM(K4:K5)</f>
        <v>908.69415305245047</v>
      </c>
      <c r="L3" s="79">
        <f t="shared" ref="L3" si="9">SUM(L4:L5)</f>
        <v>873.77841788478065</v>
      </c>
      <c r="M3" s="79">
        <f t="shared" ref="M3" si="10">SUM(M4:M5)</f>
        <v>942.93817712811699</v>
      </c>
      <c r="N3" s="79">
        <f t="shared" ref="N3" si="11">SUM(N4:N5)</f>
        <v>902.88443680137561</v>
      </c>
      <c r="O3" s="79">
        <f t="shared" ref="O3" si="12">SUM(O4:O5)</f>
        <v>996.78340498710202</v>
      </c>
      <c r="P3" s="79">
        <f t="shared" ref="P3" si="13">SUM(P4:P5)</f>
        <v>920.99544282029228</v>
      </c>
      <c r="Q3" s="79">
        <f t="shared" ref="Q3" si="14">SUM(Q4:Q5)</f>
        <v>936.74428202923468</v>
      </c>
      <c r="R3" s="79">
        <f t="shared" ref="R3" si="15">SUM(R4:R5)</f>
        <v>1032.6109200343938</v>
      </c>
      <c r="S3" s="79">
        <f t="shared" ref="S3" si="16">SUM(S4:S5)</f>
        <v>1082.9619948409284</v>
      </c>
      <c r="T3" s="79">
        <f t="shared" ref="T3" si="17">SUM(T4:T5)</f>
        <v>1119.6196044711949</v>
      </c>
      <c r="U3" s="79">
        <f t="shared" ref="U3" si="18">SUM(U4:U5)</f>
        <v>1054.3428202923474</v>
      </c>
      <c r="V3" s="79">
        <f t="shared" ref="V3:W3" si="19">SUM(V4:V5)</f>
        <v>405.86852966466034</v>
      </c>
      <c r="W3" s="79">
        <f t="shared" si="19"/>
        <v>429.57403267411854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244.39191745485806</v>
      </c>
      <c r="C4" s="96">
        <f t="shared" si="20"/>
        <v>247.54703353396388</v>
      </c>
      <c r="D4" s="96">
        <f t="shared" ref="D4:V4" si="21">SUM(D7,D11)</f>
        <v>205.41461736887359</v>
      </c>
      <c r="E4" s="96">
        <f t="shared" si="21"/>
        <v>199.09475494410998</v>
      </c>
      <c r="F4" s="96">
        <f t="shared" si="21"/>
        <v>227.534135855546</v>
      </c>
      <c r="G4" s="96">
        <f t="shared" si="21"/>
        <v>234.35485812553742</v>
      </c>
      <c r="H4" s="96">
        <f t="shared" si="21"/>
        <v>221.57747205503009</v>
      </c>
      <c r="I4" s="96">
        <f t="shared" si="21"/>
        <v>216.58056749785035</v>
      </c>
      <c r="J4" s="96">
        <f t="shared" si="21"/>
        <v>202.82106620808256</v>
      </c>
      <c r="K4" s="96">
        <f t="shared" si="21"/>
        <v>177.69673258813413</v>
      </c>
      <c r="L4" s="96">
        <f t="shared" si="21"/>
        <v>167.00713671539123</v>
      </c>
      <c r="M4" s="96">
        <f t="shared" si="21"/>
        <v>183.50137575236454</v>
      </c>
      <c r="N4" s="96">
        <f t="shared" si="21"/>
        <v>180.31349957007734</v>
      </c>
      <c r="O4" s="96">
        <f t="shared" si="21"/>
        <v>181.52115219260534</v>
      </c>
      <c r="P4" s="96">
        <f t="shared" si="21"/>
        <v>180.51822871883058</v>
      </c>
      <c r="Q4" s="96">
        <f t="shared" si="21"/>
        <v>178.36079105760956</v>
      </c>
      <c r="R4" s="96">
        <f t="shared" si="21"/>
        <v>189.96259673258811</v>
      </c>
      <c r="S4" s="96">
        <f t="shared" si="21"/>
        <v>188.37901977644023</v>
      </c>
      <c r="T4" s="96">
        <f t="shared" si="21"/>
        <v>177.77850386930351</v>
      </c>
      <c r="U4" s="96">
        <f t="shared" si="21"/>
        <v>159.79079965606189</v>
      </c>
      <c r="V4" s="96">
        <f t="shared" si="21"/>
        <v>61.785296646603605</v>
      </c>
      <c r="W4" s="96">
        <f t="shared" ref="W4" si="22">SUM(W7,W11)</f>
        <v>70.674978503869298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713.09114359415298</v>
      </c>
      <c r="C5" s="96">
        <f t="shared" si="23"/>
        <v>726.78417884780731</v>
      </c>
      <c r="D5" s="96">
        <f t="shared" ref="D5:V5" si="24">SUM(D8:D9,D12:D13)</f>
        <v>538.24161650902818</v>
      </c>
      <c r="E5" s="96">
        <f t="shared" si="24"/>
        <v>523.49527085124657</v>
      </c>
      <c r="F5" s="96">
        <f t="shared" si="24"/>
        <v>641.46603611349929</v>
      </c>
      <c r="G5" s="96">
        <f t="shared" si="24"/>
        <v>646.73258813413577</v>
      </c>
      <c r="H5" s="96">
        <f t="shared" si="24"/>
        <v>677.27858985382636</v>
      </c>
      <c r="I5" s="96">
        <f t="shared" si="24"/>
        <v>667.7987962166809</v>
      </c>
      <c r="J5" s="96">
        <f t="shared" si="24"/>
        <v>801.5692175408426</v>
      </c>
      <c r="K5" s="96">
        <f t="shared" si="24"/>
        <v>730.99742046431641</v>
      </c>
      <c r="L5" s="96">
        <f t="shared" si="24"/>
        <v>706.77128116938945</v>
      </c>
      <c r="M5" s="96">
        <f t="shared" si="24"/>
        <v>759.43680137575245</v>
      </c>
      <c r="N5" s="96">
        <f t="shared" si="24"/>
        <v>722.57093723129822</v>
      </c>
      <c r="O5" s="96">
        <f t="shared" si="24"/>
        <v>815.2622527944967</v>
      </c>
      <c r="P5" s="96">
        <f t="shared" si="24"/>
        <v>740.47721410146164</v>
      </c>
      <c r="Q5" s="96">
        <f t="shared" si="24"/>
        <v>758.38349097162506</v>
      </c>
      <c r="R5" s="96">
        <f t="shared" si="24"/>
        <v>842.6483233018057</v>
      </c>
      <c r="S5" s="96">
        <f t="shared" si="24"/>
        <v>894.58297506448821</v>
      </c>
      <c r="T5" s="96">
        <f t="shared" si="24"/>
        <v>941.84110060189141</v>
      </c>
      <c r="U5" s="96">
        <f t="shared" si="24"/>
        <v>894.55202063628542</v>
      </c>
      <c r="V5" s="96">
        <f t="shared" si="24"/>
        <v>344.08323301805672</v>
      </c>
      <c r="W5" s="96">
        <f t="shared" ref="W5" si="25">SUM(W8:W9,W12:W13)</f>
        <v>358.89905417024926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944.53173343001765</v>
      </c>
      <c r="C6" s="21">
        <f t="shared" si="26"/>
        <v>959.41539895919561</v>
      </c>
      <c r="D6" s="21">
        <f t="shared" ref="D6:V6" si="27">SUM(D7:D9)</f>
        <v>727.14362177124553</v>
      </c>
      <c r="E6" s="21">
        <f t="shared" si="27"/>
        <v>701.1074666331308</v>
      </c>
      <c r="F6" s="21">
        <f t="shared" si="27"/>
        <v>839.85381011685672</v>
      </c>
      <c r="G6" s="21">
        <f t="shared" si="27"/>
        <v>847.5887530071841</v>
      </c>
      <c r="H6" s="21">
        <f t="shared" si="27"/>
        <v>861.2924341366612</v>
      </c>
      <c r="I6" s="21">
        <f t="shared" si="27"/>
        <v>846.07846543136372</v>
      </c>
      <c r="J6" s="21">
        <f t="shared" si="27"/>
        <v>961.02142730051423</v>
      </c>
      <c r="K6" s="21">
        <f t="shared" si="27"/>
        <v>874.955751074776</v>
      </c>
      <c r="L6" s="21">
        <f t="shared" si="27"/>
        <v>837.12044490247513</v>
      </c>
      <c r="M6" s="21">
        <f t="shared" si="27"/>
        <v>911.65910242763744</v>
      </c>
      <c r="N6" s="21">
        <f t="shared" si="27"/>
        <v>877.68015985339355</v>
      </c>
      <c r="O6" s="21">
        <f t="shared" si="27"/>
        <v>976.80556502725756</v>
      </c>
      <c r="P6" s="21">
        <f t="shared" si="27"/>
        <v>906.58068779240136</v>
      </c>
      <c r="Q6" s="21">
        <f t="shared" si="27"/>
        <v>923.56792357830579</v>
      </c>
      <c r="R6" s="21">
        <f t="shared" si="27"/>
        <v>1021.5343157305075</v>
      </c>
      <c r="S6" s="21">
        <f t="shared" si="27"/>
        <v>1072.2385655648591</v>
      </c>
      <c r="T6" s="21">
        <f t="shared" si="27"/>
        <v>1109.4670264412582</v>
      </c>
      <c r="U6" s="21">
        <f t="shared" si="27"/>
        <v>1042.262651601148</v>
      </c>
      <c r="V6" s="21">
        <f t="shared" si="27"/>
        <v>391.87175589437868</v>
      </c>
      <c r="W6" s="21">
        <f t="shared" ref="W6" si="28">SUM(W7:W9)</f>
        <v>415.09819266359358</v>
      </c>
      <c r="DA6" s="189" t="s">
        <v>279</v>
      </c>
    </row>
    <row r="7" spans="1:105" ht="11.45" customHeight="1" x14ac:dyDescent="0.25">
      <c r="A7" s="83" t="s">
        <v>27</v>
      </c>
      <c r="B7" s="96">
        <v>243.12907724753327</v>
      </c>
      <c r="C7" s="96">
        <v>246.46845462909079</v>
      </c>
      <c r="D7" s="96">
        <v>204.20905236578014</v>
      </c>
      <c r="E7" s="96">
        <v>197.71902651633701</v>
      </c>
      <c r="F7" s="96">
        <v>225.20565389853633</v>
      </c>
      <c r="G7" s="96">
        <v>231.67042355775573</v>
      </c>
      <c r="H7" s="96">
        <v>218.37515175487957</v>
      </c>
      <c r="I7" s="96">
        <v>212.71921587524065</v>
      </c>
      <c r="J7" s="96">
        <v>198.95123713975275</v>
      </c>
      <c r="K7" s="96">
        <v>174.76676139809558</v>
      </c>
      <c r="L7" s="96">
        <v>164.60810198351476</v>
      </c>
      <c r="M7" s="96">
        <v>181.35926972033675</v>
      </c>
      <c r="N7" s="96">
        <v>178.18700242999819</v>
      </c>
      <c r="O7" s="96">
        <v>179.47774824142019</v>
      </c>
      <c r="P7" s="96">
        <v>178.66435960348784</v>
      </c>
      <c r="Q7" s="96">
        <v>176.57362453433865</v>
      </c>
      <c r="R7" s="96">
        <v>188.37399115528578</v>
      </c>
      <c r="S7" s="96">
        <v>186.67284483087289</v>
      </c>
      <c r="T7" s="96">
        <v>176.53485705831486</v>
      </c>
      <c r="U7" s="96">
        <v>158.99431411642624</v>
      </c>
      <c r="V7" s="96">
        <v>61.195604366532685</v>
      </c>
      <c r="W7" s="96">
        <v>69.863650048822777</v>
      </c>
      <c r="DA7" s="171" t="s">
        <v>280</v>
      </c>
    </row>
    <row r="8" spans="1:105" ht="11.45" customHeight="1" x14ac:dyDescent="0.25">
      <c r="A8" s="83" t="s">
        <v>173</v>
      </c>
      <c r="B8" s="96">
        <v>496.62562880427367</v>
      </c>
      <c r="C8" s="96">
        <v>509.77507062277914</v>
      </c>
      <c r="D8" s="96">
        <v>379.06008650875111</v>
      </c>
      <c r="E8" s="96">
        <v>371.03716821740102</v>
      </c>
      <c r="F8" s="96">
        <v>451.87470048098913</v>
      </c>
      <c r="G8" s="96">
        <v>452.71689266121831</v>
      </c>
      <c r="H8" s="96">
        <v>476.12835080418176</v>
      </c>
      <c r="I8" s="96">
        <v>471.74063889367119</v>
      </c>
      <c r="J8" s="96">
        <v>564.52377873691762</v>
      </c>
      <c r="K8" s="96">
        <v>508.35622750681932</v>
      </c>
      <c r="L8" s="96">
        <v>488.55085114238102</v>
      </c>
      <c r="M8" s="96">
        <v>534.26473679765866</v>
      </c>
      <c r="N8" s="96">
        <v>506.47129133709711</v>
      </c>
      <c r="O8" s="96">
        <v>578.06452536402571</v>
      </c>
      <c r="P8" s="96">
        <v>529.13228718757284</v>
      </c>
      <c r="Q8" s="96">
        <v>543.26520978441499</v>
      </c>
      <c r="R8" s="96">
        <v>615.22572590242339</v>
      </c>
      <c r="S8" s="96">
        <v>660.89329452876734</v>
      </c>
      <c r="T8" s="96">
        <v>691.27907845479785</v>
      </c>
      <c r="U8" s="96">
        <v>644.43144156850678</v>
      </c>
      <c r="V8" s="96">
        <v>223.51416549703401</v>
      </c>
      <c r="W8" s="96">
        <v>243.67955663302402</v>
      </c>
      <c r="DA8" s="171" t="s">
        <v>281</v>
      </c>
    </row>
    <row r="9" spans="1:105" ht="11.45" customHeight="1" x14ac:dyDescent="0.25">
      <c r="A9" s="83" t="s">
        <v>174</v>
      </c>
      <c r="B9" s="96">
        <v>204.7770273782107</v>
      </c>
      <c r="C9" s="96">
        <v>203.17187370732572</v>
      </c>
      <c r="D9" s="96">
        <v>143.87448289671437</v>
      </c>
      <c r="E9" s="96">
        <v>132.35127189939274</v>
      </c>
      <c r="F9" s="96">
        <v>162.77345573733118</v>
      </c>
      <c r="G9" s="96">
        <v>163.20143678821003</v>
      </c>
      <c r="H9" s="96">
        <v>166.78893157759993</v>
      </c>
      <c r="I9" s="96">
        <v>161.61861066245191</v>
      </c>
      <c r="J9" s="96">
        <v>197.54641142384389</v>
      </c>
      <c r="K9" s="96">
        <v>191.83276216986107</v>
      </c>
      <c r="L9" s="96">
        <v>183.96149177657938</v>
      </c>
      <c r="M9" s="96">
        <v>196.03509590964197</v>
      </c>
      <c r="N9" s="96">
        <v>193.02186608629827</v>
      </c>
      <c r="O9" s="96">
        <v>219.26329142181172</v>
      </c>
      <c r="P9" s="96">
        <v>198.78404100134074</v>
      </c>
      <c r="Q9" s="96">
        <v>203.7290892595521</v>
      </c>
      <c r="R9" s="96">
        <v>217.9345986727983</v>
      </c>
      <c r="S9" s="96">
        <v>224.67242620521873</v>
      </c>
      <c r="T9" s="96">
        <v>241.6530909281455</v>
      </c>
      <c r="U9" s="96">
        <v>238.83689591621496</v>
      </c>
      <c r="V9" s="96">
        <v>107.161986030812</v>
      </c>
      <c r="W9" s="96">
        <v>101.55498598174675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12.951327618993396</v>
      </c>
      <c r="C10" s="22">
        <f t="shared" si="29"/>
        <v>14.915813422575598</v>
      </c>
      <c r="D10" s="22">
        <f t="shared" ref="D10:V10" si="30">SUM(D11:D13)</f>
        <v>16.512612106656249</v>
      </c>
      <c r="E10" s="22">
        <f t="shared" si="30"/>
        <v>21.482559162225879</v>
      </c>
      <c r="F10" s="22">
        <f t="shared" si="30"/>
        <v>29.146361852188733</v>
      </c>
      <c r="G10" s="22">
        <f t="shared" si="30"/>
        <v>33.498693252489126</v>
      </c>
      <c r="H10" s="22">
        <f t="shared" si="30"/>
        <v>37.563627772195204</v>
      </c>
      <c r="I10" s="22">
        <f t="shared" si="30"/>
        <v>38.300898283167463</v>
      </c>
      <c r="J10" s="22">
        <f t="shared" si="30"/>
        <v>43.368856448410867</v>
      </c>
      <c r="K10" s="22">
        <f t="shared" si="30"/>
        <v>33.738401977674485</v>
      </c>
      <c r="L10" s="22">
        <f t="shared" si="30"/>
        <v>36.657972982305537</v>
      </c>
      <c r="M10" s="22">
        <f t="shared" si="30"/>
        <v>31.279074700479601</v>
      </c>
      <c r="N10" s="22">
        <f t="shared" si="30"/>
        <v>25.204276947981977</v>
      </c>
      <c r="O10" s="22">
        <f t="shared" si="30"/>
        <v>19.977839959844538</v>
      </c>
      <c r="P10" s="22">
        <f t="shared" si="30"/>
        <v>14.414755027890818</v>
      </c>
      <c r="Q10" s="22">
        <f t="shared" si="30"/>
        <v>13.176358450928877</v>
      </c>
      <c r="R10" s="22">
        <f t="shared" si="30"/>
        <v>11.076604303886338</v>
      </c>
      <c r="S10" s="22">
        <f t="shared" si="30"/>
        <v>10.723429276069581</v>
      </c>
      <c r="T10" s="22">
        <f t="shared" si="30"/>
        <v>10.152578029936702</v>
      </c>
      <c r="U10" s="22">
        <f t="shared" si="30"/>
        <v>12.080168691199315</v>
      </c>
      <c r="V10" s="22">
        <f t="shared" si="30"/>
        <v>13.996773770281617</v>
      </c>
      <c r="W10" s="22">
        <f t="shared" ref="W10" si="31">SUM(W11:W13)</f>
        <v>14.475840010525024</v>
      </c>
      <c r="DA10" s="193" t="s">
        <v>283</v>
      </c>
    </row>
    <row r="11" spans="1:105" ht="11.45" customHeight="1" x14ac:dyDescent="0.25">
      <c r="A11" s="92" t="s">
        <v>27</v>
      </c>
      <c r="B11" s="97">
        <v>1.2628402073247793</v>
      </c>
      <c r="C11" s="97">
        <v>1.0785789048731036</v>
      </c>
      <c r="D11" s="97">
        <v>1.2055650030934626</v>
      </c>
      <c r="E11" s="97">
        <v>1.3757284277729698</v>
      </c>
      <c r="F11" s="97">
        <v>2.3284819570096826</v>
      </c>
      <c r="G11" s="97">
        <v>2.684434567781695</v>
      </c>
      <c r="H11" s="97">
        <v>3.2023203001505083</v>
      </c>
      <c r="I11" s="97">
        <v>3.8613516226096962</v>
      </c>
      <c r="J11" s="97">
        <v>3.8698290683298167</v>
      </c>
      <c r="K11" s="97">
        <v>2.9299711900385357</v>
      </c>
      <c r="L11" s="97">
        <v>2.3990347318764691</v>
      </c>
      <c r="M11" s="97">
        <v>2.1421060320277818</v>
      </c>
      <c r="N11" s="97">
        <v>2.1264971400791577</v>
      </c>
      <c r="O11" s="97">
        <v>2.0434039511851663</v>
      </c>
      <c r="P11" s="97">
        <v>1.8538691153427511</v>
      </c>
      <c r="Q11" s="97">
        <v>1.787166523270902</v>
      </c>
      <c r="R11" s="97">
        <v>1.5886055773023449</v>
      </c>
      <c r="S11" s="97">
        <v>1.7061749455673527</v>
      </c>
      <c r="T11" s="97">
        <v>1.2436468109886434</v>
      </c>
      <c r="U11" s="97">
        <v>0.79648553963565771</v>
      </c>
      <c r="V11" s="97">
        <v>0.58969228007091734</v>
      </c>
      <c r="W11" s="97">
        <v>0.81132845504652296</v>
      </c>
      <c r="DA11" s="175" t="s">
        <v>284</v>
      </c>
    </row>
    <row r="12" spans="1:105" ht="11.45" customHeight="1" x14ac:dyDescent="0.25">
      <c r="A12" s="92" t="s">
        <v>173</v>
      </c>
      <c r="B12" s="97">
        <v>4.6927312819903992</v>
      </c>
      <c r="C12" s="97">
        <v>4.0788433652267306</v>
      </c>
      <c r="D12" s="97">
        <v>4.4068133523707411</v>
      </c>
      <c r="E12" s="97">
        <v>5.0216215244897384</v>
      </c>
      <c r="F12" s="97">
        <v>7.3399744077836635</v>
      </c>
      <c r="G12" s="97">
        <v>8.6692607967965092</v>
      </c>
      <c r="H12" s="97">
        <v>10.014653755723831</v>
      </c>
      <c r="I12" s="97">
        <v>11.596328397311273</v>
      </c>
      <c r="J12" s="97">
        <v>13.574977813843896</v>
      </c>
      <c r="K12" s="97">
        <v>10.984950813181007</v>
      </c>
      <c r="L12" s="97">
        <v>10.735490158220575</v>
      </c>
      <c r="M12" s="97">
        <v>7.904835808694882</v>
      </c>
      <c r="N12" s="97">
        <v>6.4779462873370397</v>
      </c>
      <c r="O12" s="97">
        <v>6.5693060245926373</v>
      </c>
      <c r="P12" s="97">
        <v>5.7000851892864794</v>
      </c>
      <c r="Q12" s="97">
        <v>5.9849287131613513</v>
      </c>
      <c r="R12" s="97">
        <v>5.5915978710947813</v>
      </c>
      <c r="S12" s="97">
        <v>6.0652577721198586</v>
      </c>
      <c r="T12" s="97">
        <v>6.5098166735984657</v>
      </c>
      <c r="U12" s="97">
        <v>9.6333707885265767</v>
      </c>
      <c r="V12" s="97">
        <v>11.047351683360858</v>
      </c>
      <c r="W12" s="97">
        <v>11.326696623533872</v>
      </c>
      <c r="DA12" s="175" t="s">
        <v>285</v>
      </c>
    </row>
    <row r="13" spans="1:105" ht="11.45" customHeight="1" x14ac:dyDescent="0.25">
      <c r="A13" s="85" t="s">
        <v>174</v>
      </c>
      <c r="B13" s="98">
        <v>6.9957561296782176</v>
      </c>
      <c r="C13" s="98">
        <v>9.7583911524757632</v>
      </c>
      <c r="D13" s="98">
        <v>10.900233751192046</v>
      </c>
      <c r="E13" s="98">
        <v>15.085209209963171</v>
      </c>
      <c r="F13" s="98">
        <v>19.477905487395386</v>
      </c>
      <c r="G13" s="98">
        <v>22.144997887910922</v>
      </c>
      <c r="H13" s="98">
        <v>24.346653716320869</v>
      </c>
      <c r="I13" s="98">
        <v>22.843218263246495</v>
      </c>
      <c r="J13" s="98">
        <v>25.924049566237152</v>
      </c>
      <c r="K13" s="98">
        <v>19.823479974454941</v>
      </c>
      <c r="L13" s="98">
        <v>23.52344809220849</v>
      </c>
      <c r="M13" s="98">
        <v>21.232132859756938</v>
      </c>
      <c r="N13" s="98">
        <v>16.599833520565781</v>
      </c>
      <c r="O13" s="98">
        <v>11.365129984066733</v>
      </c>
      <c r="P13" s="98">
        <v>6.8608007232615877</v>
      </c>
      <c r="Q13" s="98">
        <v>5.4042632144966225</v>
      </c>
      <c r="R13" s="98">
        <v>3.8964008554892118</v>
      </c>
      <c r="S13" s="98">
        <v>2.9519965583823686</v>
      </c>
      <c r="T13" s="98">
        <v>2.3991145453495926</v>
      </c>
      <c r="U13" s="98">
        <v>1.6503123630370811</v>
      </c>
      <c r="V13" s="98">
        <v>2.3597298068498409</v>
      </c>
      <c r="W13" s="98">
        <v>2.3378149319446297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478.14172831183572</v>
      </c>
      <c r="C17" s="62">
        <f>IF(C3=0,0,C3/TrAvia_act!C13*100)</f>
        <v>495.37727250758007</v>
      </c>
      <c r="D17" s="62">
        <f>IF(D3=0,0,D3/TrAvia_act!D13*100)</f>
        <v>420.55796654677255</v>
      </c>
      <c r="E17" s="62">
        <f>IF(E3=0,0,E3/TrAvia_act!E13*100)</f>
        <v>429.30118652267436</v>
      </c>
      <c r="F17" s="62">
        <f>IF(F3=0,0,F3/TrAvia_act!F13*100)</f>
        <v>486.84277659152775</v>
      </c>
      <c r="G17" s="62">
        <f>IF(G3=0,0,G3/TrAvia_act!G13*100)</f>
        <v>490.34471671480003</v>
      </c>
      <c r="H17" s="62">
        <f>IF(H3=0,0,H3/TrAvia_act!H13*100)</f>
        <v>467.18450662599685</v>
      </c>
      <c r="I17" s="62">
        <f>IF(I3=0,0,I3/TrAvia_act!I13*100)</f>
        <v>447.12215456276834</v>
      </c>
      <c r="J17" s="62">
        <f>IF(J3=0,0,J3/TrAvia_act!J13*100)</f>
        <v>475.33531969773276</v>
      </c>
      <c r="K17" s="62">
        <f>IF(K3=0,0,K3/TrAvia_act!K13*100)</f>
        <v>481.72422167864175</v>
      </c>
      <c r="L17" s="62">
        <f>IF(L3=0,0,L3/TrAvia_act!L13*100)</f>
        <v>448.50582301272499</v>
      </c>
      <c r="M17" s="62">
        <f>IF(M3=0,0,M3/TrAvia_act!M13*100)</f>
        <v>445.14865308427306</v>
      </c>
      <c r="N17" s="62">
        <f>IF(N3=0,0,N3/TrAvia_act!N13*100)</f>
        <v>439.41862114824278</v>
      </c>
      <c r="O17" s="62">
        <f>IF(O3=0,0,O3/TrAvia_act!O13*100)</f>
        <v>466.69487467465274</v>
      </c>
      <c r="P17" s="62">
        <f>IF(P3=0,0,P3/TrAvia_act!P13*100)</f>
        <v>418.9872821806083</v>
      </c>
      <c r="Q17" s="62">
        <f>IF(Q3=0,0,Q3/TrAvia_act!Q13*100)</f>
        <v>425.34336800554939</v>
      </c>
      <c r="R17" s="62">
        <f>IF(R3=0,0,R3/TrAvia_act!R13*100)</f>
        <v>446.02295875804418</v>
      </c>
      <c r="S17" s="62">
        <f>IF(S3=0,0,S3/TrAvia_act!S13*100)</f>
        <v>433.79965945827888</v>
      </c>
      <c r="T17" s="62">
        <f>IF(T3=0,0,T3/TrAvia_act!T13*100)</f>
        <v>440.92841832523152</v>
      </c>
      <c r="U17" s="62">
        <f>IF(U3=0,0,U3/TrAvia_act!U13*100)</f>
        <v>438.21873529096899</v>
      </c>
      <c r="V17" s="62">
        <f>IF(V3=0,0,V3/TrAvia_act!V13*100)</f>
        <v>523.75019141110795</v>
      </c>
      <c r="W17" s="62">
        <f>IF(W3=0,0,W3/TrAvia_act!W13*100)</f>
        <v>490.95209962815932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477.34153296305226</v>
      </c>
      <c r="C18" s="14">
        <f>IF(C6=0,0,C6/TrAvia_act!C14*100)</f>
        <v>494.19323267881185</v>
      </c>
      <c r="D18" s="14">
        <f>IF(D6=0,0,D6/TrAvia_act!D14*100)</f>
        <v>419.1414392567861</v>
      </c>
      <c r="E18" s="14">
        <f>IF(E6=0,0,E6/TrAvia_act!E14*100)</f>
        <v>427.23286709873901</v>
      </c>
      <c r="F18" s="14">
        <f>IF(F6=0,0,F6/TrAvia_act!F14*100)</f>
        <v>484.2717767936004</v>
      </c>
      <c r="G18" s="14">
        <f>IF(G6=0,0,G6/TrAvia_act!G14*100)</f>
        <v>489.21531226796844</v>
      </c>
      <c r="H18" s="14">
        <f>IF(H6=0,0,H6/TrAvia_act!H14*100)</f>
        <v>465.97961025169116</v>
      </c>
      <c r="I18" s="14">
        <f>IF(I6=0,0,I6/TrAvia_act!I14*100)</f>
        <v>447.49554220918554</v>
      </c>
      <c r="J18" s="14">
        <f>IF(J6=0,0,J6/TrAvia_act!J14*100)</f>
        <v>475.79319641811281</v>
      </c>
      <c r="K18" s="14">
        <f>IF(K6=0,0,K6/TrAvia_act!K14*100)</f>
        <v>481.53898633309649</v>
      </c>
      <c r="L18" s="14">
        <f>IF(L6=0,0,L6/TrAvia_act!L14*100)</f>
        <v>447.51702889866397</v>
      </c>
      <c r="M18" s="14">
        <f>IF(M6=0,0,M6/TrAvia_act!M14*100)</f>
        <v>444.20522761385888</v>
      </c>
      <c r="N18" s="14">
        <f>IF(N6=0,0,N6/TrAvia_act!N14*100)</f>
        <v>438.66039971809874</v>
      </c>
      <c r="O18" s="14">
        <f>IF(O6=0,0,O6/TrAvia_act!O14*100)</f>
        <v>466.86807766610559</v>
      </c>
      <c r="P18" s="14">
        <f>IF(P6=0,0,P6/TrAvia_act!P14*100)</f>
        <v>419.96766947055954</v>
      </c>
      <c r="Q18" s="14">
        <f>IF(Q6=0,0,Q6/TrAvia_act!Q14*100)</f>
        <v>426.62063197072132</v>
      </c>
      <c r="R18" s="14">
        <f>IF(R6=0,0,R6/TrAvia_act!R14*100)</f>
        <v>447.31223360882586</v>
      </c>
      <c r="S18" s="14">
        <f>IF(S6=0,0,S6/TrAvia_act!S14*100)</f>
        <v>434.98909438117767</v>
      </c>
      <c r="T18" s="14">
        <f>IF(T6=0,0,T6/TrAvia_act!T14*100)</f>
        <v>441.89992688726403</v>
      </c>
      <c r="U18" s="14">
        <f>IF(U6=0,0,U6/TrAvia_act!U14*100)</f>
        <v>438.71902214423136</v>
      </c>
      <c r="V18" s="14">
        <f>IF(V6=0,0,V6/TrAvia_act!V14*100)</f>
        <v>524.85573129687305</v>
      </c>
      <c r="W18" s="14">
        <f>IF(W6=0,0,W6/TrAvia_act!W14*100)</f>
        <v>492.8191519196991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408.57408552400472</v>
      </c>
      <c r="C19" s="87">
        <f>IF(C7=0,0,C7/TrAvia_act!C15*100)</f>
        <v>422.78827865191647</v>
      </c>
      <c r="D19" s="87">
        <f>IF(D7=0,0,D7/TrAvia_act!D15*100)</f>
        <v>376.68232935466983</v>
      </c>
      <c r="E19" s="87">
        <f>IF(E7=0,0,E7/TrAvia_act!E15*100)</f>
        <v>389.32750269496967</v>
      </c>
      <c r="F19" s="87">
        <f>IF(F7=0,0,F7/TrAvia_act!F15*100)</f>
        <v>424.11954214701632</v>
      </c>
      <c r="G19" s="87">
        <f>IF(G7=0,0,G7/TrAvia_act!G15*100)</f>
        <v>453.6734744475915</v>
      </c>
      <c r="H19" s="87">
        <f>IF(H7=0,0,H7/TrAvia_act!H15*100)</f>
        <v>444.67841028219055</v>
      </c>
      <c r="I19" s="87">
        <f>IF(I7=0,0,I7/TrAvia_act!I15*100)</f>
        <v>454.11464720503528</v>
      </c>
      <c r="J19" s="87">
        <f>IF(J7=0,0,J7/TrAvia_act!J15*100)</f>
        <v>420.14906313438479</v>
      </c>
      <c r="K19" s="87">
        <f>IF(K7=0,0,K7/TrAvia_act!K15*100)</f>
        <v>389.52078995705784</v>
      </c>
      <c r="L19" s="87">
        <f>IF(L7=0,0,L7/TrAvia_act!L15*100)</f>
        <v>375.79954158747569</v>
      </c>
      <c r="M19" s="87">
        <f>IF(M7=0,0,M7/TrAvia_act!M15*100)</f>
        <v>379.54875647870352</v>
      </c>
      <c r="N19" s="87">
        <f>IF(N7=0,0,N7/TrAvia_act!N15*100)</f>
        <v>381.9222030653213</v>
      </c>
      <c r="O19" s="87">
        <f>IF(O7=0,0,O7/TrAvia_act!O15*100)</f>
        <v>383.24920638355002</v>
      </c>
      <c r="P19" s="87">
        <f>IF(P7=0,0,P7/TrAvia_act!P15*100)</f>
        <v>372.70671703119177</v>
      </c>
      <c r="Q19" s="87">
        <f>IF(Q7=0,0,Q7/TrAvia_act!Q15*100)</f>
        <v>374.48316074139001</v>
      </c>
      <c r="R19" s="87">
        <f>IF(R7=0,0,R7/TrAvia_act!R15*100)</f>
        <v>387.76035613807596</v>
      </c>
      <c r="S19" s="87">
        <f>IF(S7=0,0,S7/TrAvia_act!S15*100)</f>
        <v>377.78586540490886</v>
      </c>
      <c r="T19" s="87">
        <f>IF(T7=0,0,T7/TrAvia_act!T15*100)</f>
        <v>365.03867823744758</v>
      </c>
      <c r="U19" s="87">
        <f>IF(U7=0,0,U7/TrAvia_act!U15*100)</f>
        <v>360.92198982993347</v>
      </c>
      <c r="V19" s="87">
        <f>IF(V7=0,0,V7/TrAvia_act!V15*100)</f>
        <v>368.04642885957645</v>
      </c>
      <c r="W19" s="87">
        <f>IF(W7=0,0,W7/TrAvia_act!W15*100)</f>
        <v>396.99593265500062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463.86593373223059</v>
      </c>
      <c r="C20" s="87">
        <f>IF(C8=0,0,C8/TrAvia_act!C16*100)</f>
        <v>481.10875625375354</v>
      </c>
      <c r="D20" s="87">
        <f>IF(D8=0,0,D8/TrAvia_act!D16*100)</f>
        <v>403.20533332970933</v>
      </c>
      <c r="E20" s="87">
        <f>IF(E8=0,0,E8/TrAvia_act!E16*100)</f>
        <v>409.9977811295845</v>
      </c>
      <c r="F20" s="87">
        <f>IF(F8=0,0,F8/TrAvia_act!F16*100)</f>
        <v>471.02567366083451</v>
      </c>
      <c r="G20" s="87">
        <f>IF(G8=0,0,G8/TrAvia_act!G16*100)</f>
        <v>491.20566439995611</v>
      </c>
      <c r="H20" s="87">
        <f>IF(H8=0,0,H8/TrAvia_act!H16*100)</f>
        <v>455.35982143574819</v>
      </c>
      <c r="I20" s="87">
        <f>IF(I8=0,0,I8/TrAvia_act!I16*100)</f>
        <v>438.20781067726733</v>
      </c>
      <c r="J20" s="87">
        <f>IF(J8=0,0,J8/TrAvia_act!J16*100)</f>
        <v>495.17579731821877</v>
      </c>
      <c r="K20" s="87">
        <f>IF(K8=0,0,K8/TrAvia_act!K16*100)</f>
        <v>520.19525800932854</v>
      </c>
      <c r="L20" s="87">
        <f>IF(L8=0,0,L8/TrAvia_act!L16*100)</f>
        <v>476.36539819020794</v>
      </c>
      <c r="M20" s="87">
        <f>IF(M8=0,0,M8/TrAvia_act!M16*100)</f>
        <v>469.77081578544181</v>
      </c>
      <c r="N20" s="87">
        <f>IF(N8=0,0,N8/TrAvia_act!N16*100)</f>
        <v>458.87255214395168</v>
      </c>
      <c r="O20" s="87">
        <f>IF(O8=0,0,O8/TrAvia_act!O16*100)</f>
        <v>498.92145221702344</v>
      </c>
      <c r="P20" s="87">
        <f>IF(P8=0,0,P8/TrAvia_act!P16*100)</f>
        <v>453.09564015862344</v>
      </c>
      <c r="Q20" s="87">
        <f>IF(Q8=0,0,Q8/TrAvia_act!Q16*100)</f>
        <v>461.03578396856761</v>
      </c>
      <c r="R20" s="87">
        <f>IF(R8=0,0,R8/TrAvia_act!R16*100)</f>
        <v>484.83798570899876</v>
      </c>
      <c r="S20" s="87">
        <f>IF(S8=0,0,S8/TrAvia_act!S16*100)</f>
        <v>474.01914797811173</v>
      </c>
      <c r="T20" s="87">
        <f>IF(T8=0,0,T8/TrAvia_act!T16*100)</f>
        <v>491.69459636621144</v>
      </c>
      <c r="U20" s="87">
        <f>IF(U8=0,0,U8/TrAvia_act!U16*100)</f>
        <v>483.41687188318224</v>
      </c>
      <c r="V20" s="87">
        <f>IF(V8=0,0,V8/TrAvia_act!V16*100)</f>
        <v>591.2702626834141</v>
      </c>
      <c r="W20" s="87">
        <f>IF(W8=0,0,W8/TrAvia_act!W16*100)</f>
        <v>523.17343078708802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654.14960226557412</v>
      </c>
      <c r="C21" s="87">
        <f>IF(C9=0,0,C9/TrAvia_act!C17*100)</f>
        <v>679.88281322865487</v>
      </c>
      <c r="D21" s="87">
        <f>IF(D9=0,0,D9/TrAvia_act!D17*100)</f>
        <v>569.57761826319575</v>
      </c>
      <c r="E21" s="87">
        <f>IF(E9=0,0,E9/TrAvia_act!E17*100)</f>
        <v>579.92404175010824</v>
      </c>
      <c r="F21" s="87">
        <f>IF(F9=0,0,F9/TrAvia_act!F17*100)</f>
        <v>667.31316077205497</v>
      </c>
      <c r="G21" s="87">
        <f>IF(G9=0,0,G9/TrAvia_act!G17*100)</f>
        <v>543.55429109373983</v>
      </c>
      <c r="H21" s="87">
        <f>IF(H9=0,0,H9/TrAvia_act!H17*100)</f>
        <v>535.1746449987013</v>
      </c>
      <c r="I21" s="87">
        <f>IF(I9=0,0,I9/TrAvia_act!I17*100)</f>
        <v>467.44616995565292</v>
      </c>
      <c r="J21" s="87">
        <f>IF(J9=0,0,J9/TrAvia_act!J17*100)</f>
        <v>486.2590411975624</v>
      </c>
      <c r="K21" s="87">
        <f>IF(K9=0,0,K9/TrAvia_act!K17*100)</f>
        <v>490.51248770431107</v>
      </c>
      <c r="L21" s="87">
        <f>IF(L9=0,0,L9/TrAvia_act!L17*100)</f>
        <v>452.00722441069735</v>
      </c>
      <c r="M21" s="87">
        <f>IF(M9=0,0,M9/TrAvia_act!M17*100)</f>
        <v>448.36622762989026</v>
      </c>
      <c r="N21" s="87">
        <f>IF(N9=0,0,N9/TrAvia_act!N17*100)</f>
        <v>448.32887446292676</v>
      </c>
      <c r="O21" s="87">
        <f>IF(O9=0,0,O9/TrAvia_act!O17*100)</f>
        <v>471.21185638905808</v>
      </c>
      <c r="P21" s="87">
        <f>IF(P9=0,0,P9/TrAvia_act!P17*100)</f>
        <v>388.62512663152063</v>
      </c>
      <c r="Q21" s="87">
        <f>IF(Q9=0,0,Q9/TrAvia_act!Q17*100)</f>
        <v>395.60964832156986</v>
      </c>
      <c r="R21" s="87">
        <f>IF(R9=0,0,R9/TrAvia_act!R17*100)</f>
        <v>411.9856419320036</v>
      </c>
      <c r="S21" s="87">
        <f>IF(S9=0,0,S9/TrAvia_act!S17*100)</f>
        <v>389.63602341509005</v>
      </c>
      <c r="T21" s="87">
        <f>IF(T9=0,0,T9/TrAvia_act!T17*100)</f>
        <v>389.03676944199594</v>
      </c>
      <c r="U21" s="87">
        <f>IF(U9=0,0,U9/TrAvia_act!U17*100)</f>
        <v>396.67546621674791</v>
      </c>
      <c r="V21" s="87">
        <f>IF(V9=0,0,V9/TrAvia_act!V17*100)</f>
        <v>529.63321573601877</v>
      </c>
      <c r="W21" s="87">
        <f>IF(W9=0,0,W9/TrAvia_act!W17*100)</f>
        <v>506.40679033616027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544.73919125650946</v>
      </c>
      <c r="C22" s="15">
        <f>IF(C10=0,0,C10/TrAvia_act!C18*100)</f>
        <v>585.62809374229914</v>
      </c>
      <c r="D22" s="15">
        <f>IF(D10=0,0,D10/TrAvia_act!D18*100)</f>
        <v>494.08965257565154</v>
      </c>
      <c r="E22" s="15">
        <f>IF(E10=0,0,E10/TrAvia_act!E18*100)</f>
        <v>509.8576673190272</v>
      </c>
      <c r="F22" s="15">
        <f>IF(F10=0,0,F10/TrAvia_act!F18*100)</f>
        <v>574.77070769704039</v>
      </c>
      <c r="G22" s="15">
        <f>IF(G10=0,0,G10/TrAvia_act!G18*100)</f>
        <v>520.76390683530076</v>
      </c>
      <c r="H22" s="15">
        <f>IF(H10=0,0,H10/TrAvia_act!H18*100)</f>
        <v>496.62855874284799</v>
      </c>
      <c r="I22" s="15">
        <f>IF(I10=0,0,I10/TrAvia_act!I18*100)</f>
        <v>439.02994617778478</v>
      </c>
      <c r="J22" s="15">
        <f>IF(J10=0,0,J10/TrAvia_act!J18*100)</f>
        <v>465.41052265882917</v>
      </c>
      <c r="K22" s="15">
        <f>IF(K10=0,0,K10/TrAvia_act!K18*100)</f>
        <v>486.57829937519176</v>
      </c>
      <c r="L22" s="15">
        <f>IF(L10=0,0,L10/TrAvia_act!L18*100)</f>
        <v>472.33828778651332</v>
      </c>
      <c r="M22" s="15">
        <f>IF(M10=0,0,M10/TrAvia_act!M18*100)</f>
        <v>474.52239111184332</v>
      </c>
      <c r="N22" s="15">
        <f>IF(N10=0,0,N10/TrAvia_act!N18*100)</f>
        <v>467.56149208315298</v>
      </c>
      <c r="O22" s="15">
        <f>IF(O10=0,0,O10/TrAvia_act!O18*100)</f>
        <v>458.38017381351756</v>
      </c>
      <c r="P22" s="15">
        <f>IF(P10=0,0,P10/TrAvia_act!P18*100)</f>
        <v>365.34748432245544</v>
      </c>
      <c r="Q22" s="15">
        <f>IF(Q10=0,0,Q10/TrAvia_act!Q18*100)</f>
        <v>351.56656794188279</v>
      </c>
      <c r="R22" s="15">
        <f>IF(R10=0,0,R10/TrAvia_act!R18*100)</f>
        <v>352.36003704604855</v>
      </c>
      <c r="S22" s="15">
        <f>IF(S10=0,0,S10/TrAvia_act!S18*100)</f>
        <v>340.65889773833368</v>
      </c>
      <c r="T22" s="15">
        <f>IF(T10=0,0,T10/TrAvia_act!T18*100)</f>
        <v>355.51617464583722</v>
      </c>
      <c r="U22" s="15">
        <f>IF(U10=0,0,U10/TrAvia_act!U18*100)</f>
        <v>398.96577264341738</v>
      </c>
      <c r="V22" s="15">
        <f>IF(V10=0,0,V10/TrAvia_act!V18*100)</f>
        <v>494.58331301994531</v>
      </c>
      <c r="W22" s="15">
        <f>IF(W10=0,0,W10/TrAvia_act!W18*100)</f>
        <v>442.84314711777711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477.19547515461898</v>
      </c>
      <c r="C23" s="101">
        <f>IF(C11=0,0,C11/TrAvia_act!C19*100)</f>
        <v>493.79698974875674</v>
      </c>
      <c r="D23" s="101">
        <f>IF(D11=0,0,D11/TrAvia_act!D19*100)</f>
        <v>439.94739144607217</v>
      </c>
      <c r="E23" s="101">
        <f>IF(E11=0,0,E11/TrAvia_act!E19*100)</f>
        <v>454.71636411059615</v>
      </c>
      <c r="F23" s="101">
        <f>IF(F11=0,0,F11/TrAvia_act!F19*100)</f>
        <v>495.35184341816017</v>
      </c>
      <c r="G23" s="101">
        <f>IF(G11=0,0,G11/TrAvia_act!G19*100)</f>
        <v>529.48909104423785</v>
      </c>
      <c r="H23" s="101">
        <f>IF(H11=0,0,H11/TrAvia_act!H19*100)</f>
        <v>514.29302823004969</v>
      </c>
      <c r="I23" s="101">
        <f>IF(I11=0,0,I11/TrAvia_act!I19*100)</f>
        <v>520.38669410255227</v>
      </c>
      <c r="J23" s="101">
        <f>IF(J11=0,0,J11/TrAvia_act!J19*100)</f>
        <v>476.20546640595256</v>
      </c>
      <c r="K23" s="101">
        <f>IF(K11=0,0,K11/TrAvia_act!K19*100)</f>
        <v>437.76261078744375</v>
      </c>
      <c r="L23" s="101">
        <f>IF(L11=0,0,L11/TrAvia_act!L19*100)</f>
        <v>419.71100351461558</v>
      </c>
      <c r="M23" s="101">
        <f>IF(M11=0,0,M11/TrAvia_act!M19*100)</f>
        <v>429.12701513153479</v>
      </c>
      <c r="N23" s="101">
        <f>IF(N11=0,0,N11/TrAvia_act!N19*100)</f>
        <v>435.66281052275997</v>
      </c>
      <c r="O23" s="101">
        <f>IF(O11=0,0,O11/TrAvia_act!O19*100)</f>
        <v>440.75655465038733</v>
      </c>
      <c r="P23" s="101">
        <f>IF(P11=0,0,P11/TrAvia_act!P19*100)</f>
        <v>431.49777192354026</v>
      </c>
      <c r="Q23" s="101">
        <f>IF(Q11=0,0,Q11/TrAvia_act!Q19*100)</f>
        <v>437.02320848397449</v>
      </c>
      <c r="R23" s="101">
        <f>IF(R11=0,0,R11/TrAvia_act!R19*100)</f>
        <v>454.46089517110818</v>
      </c>
      <c r="S23" s="101">
        <f>IF(S11=0,0,S11/TrAvia_act!S19*100)</f>
        <v>446.03277812721672</v>
      </c>
      <c r="T23" s="101">
        <f>IF(T11=0,0,T11/TrAvia_act!T19*100)</f>
        <v>434.42469965695983</v>
      </c>
      <c r="U23" s="101">
        <f>IF(U11=0,0,U11/TrAvia_act!U19*100)</f>
        <v>445.88746526171707</v>
      </c>
      <c r="V23" s="101">
        <f>IF(V11=0,0,V11/TrAvia_act!V19*100)</f>
        <v>456.0090108686457</v>
      </c>
      <c r="W23" s="101">
        <f>IF(W11=0,0,W11/TrAvia_act!W19*100)</f>
        <v>491.42088921904224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468.36845878967966</v>
      </c>
      <c r="C24" s="101">
        <f>IF(C12=0,0,C12/TrAvia_act!C20*100)</f>
        <v>487.00978112354659</v>
      </c>
      <c r="D24" s="101">
        <f>IF(D12=0,0,D12/TrAvia_act!D20*100)</f>
        <v>408.04909546482202</v>
      </c>
      <c r="E24" s="101">
        <f>IF(E12=0,0,E12/TrAvia_act!E20*100)</f>
        <v>415.46436322713276</v>
      </c>
      <c r="F24" s="101">
        <f>IF(F12=0,0,F12/TrAvia_act!F20*100)</f>
        <v>467.89489419222951</v>
      </c>
      <c r="G24" s="101">
        <f>IF(G12=0,0,G12/TrAvia_act!G20*100)</f>
        <v>498.65031870139234</v>
      </c>
      <c r="H24" s="101">
        <f>IF(H12=0,0,H12/TrAvia_act!H20*100)</f>
        <v>438.87901247045107</v>
      </c>
      <c r="I24" s="101">
        <f>IF(I12=0,0,I12/TrAvia_act!I20*100)</f>
        <v>417.7071031378249</v>
      </c>
      <c r="J24" s="101">
        <f>IF(J12=0,0,J12/TrAvia_act!J20*100)</f>
        <v>472.02188735202719</v>
      </c>
      <c r="K24" s="101">
        <f>IF(K12=0,0,K12/TrAvia_act!K20*100)</f>
        <v>492.01726946283912</v>
      </c>
      <c r="L24" s="101">
        <f>IF(L12=0,0,L12/TrAvia_act!L20*100)</f>
        <v>442.63959520262574</v>
      </c>
      <c r="M24" s="101">
        <f>IF(M12=0,0,M12/TrAvia_act!M20*100)</f>
        <v>434.70960593705047</v>
      </c>
      <c r="N24" s="101">
        <f>IF(N12=0,0,N12/TrAvia_act!N20*100)</f>
        <v>427.67831668533114</v>
      </c>
      <c r="O24" s="101">
        <f>IF(O12=0,0,O12/TrAvia_act!O20*100)</f>
        <v>463.24927305993617</v>
      </c>
      <c r="P24" s="101">
        <f>IF(P12=0,0,P12/TrAvia_act!P20*100)</f>
        <v>424.71335591247657</v>
      </c>
      <c r="Q24" s="101">
        <f>IF(Q12=0,0,Q12/TrAvia_act!Q20*100)</f>
        <v>441.82773156804541</v>
      </c>
      <c r="R24" s="101">
        <f>IF(R12=0,0,R12/TrAvia_act!R20*100)</f>
        <v>467.92000069876065</v>
      </c>
      <c r="S24" s="101">
        <f>IF(S12=0,0,S12/TrAvia_act!S20*100)</f>
        <v>453.61661957729467</v>
      </c>
      <c r="T24" s="101">
        <f>IF(T12=0,0,T12/TrAvia_act!T20*100)</f>
        <v>476.83403659107631</v>
      </c>
      <c r="U24" s="101">
        <f>IF(U12=0,0,U12/TrAvia_act!U20*100)</f>
        <v>460.63704636770302</v>
      </c>
      <c r="V24" s="101">
        <f>IF(V12=0,0,V12/TrAvia_act!V20*100)</f>
        <v>574.61457033204692</v>
      </c>
      <c r="W24" s="101">
        <f>IF(W12=0,0,W12/TrAvia_act!W20*100)</f>
        <v>463.29982955477107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629.70443324207542</v>
      </c>
      <c r="C25" s="88">
        <f>IF(C13=0,0,C13/TrAvia_act!C21*100)</f>
        <v>654.47600991029265</v>
      </c>
      <c r="D25" s="88">
        <f>IF(D13=0,0,D13/TrAvia_act!D21*100)</f>
        <v>548.29285235915256</v>
      </c>
      <c r="E25" s="88">
        <f>IF(E13=0,0,E13/TrAvia_act!E21*100)</f>
        <v>558.25263635251451</v>
      </c>
      <c r="F25" s="88">
        <f>IF(F13=0,0,F13/TrAvia_act!F21*100)</f>
        <v>642.37607764889594</v>
      </c>
      <c r="G25" s="88">
        <f>IF(G13=0,0,G13/TrAvia_act!G21*100)</f>
        <v>528.88936938226891</v>
      </c>
      <c r="H25" s="88">
        <f>IF(H13=0,0,H13/TrAvia_act!H21*100)</f>
        <v>522.55108123719185</v>
      </c>
      <c r="I25" s="88">
        <f>IF(I13=0,0,I13/TrAvia_act!I21*100)</f>
        <v>438.80484939596852</v>
      </c>
      <c r="J25" s="88">
        <f>IF(J13=0,0,J13/TrAvia_act!J21*100)</f>
        <v>460.47501729894253</v>
      </c>
      <c r="K25" s="88">
        <f>IF(K13=0,0,K13/TrAvia_act!K21*100)</f>
        <v>491.67008404832495</v>
      </c>
      <c r="L25" s="88">
        <f>IF(L13=0,0,L13/TrAvia_act!L21*100)</f>
        <v>493.77194306041542</v>
      </c>
      <c r="M25" s="88">
        <f>IF(M13=0,0,M13/TrAvia_act!M21*100)</f>
        <v>496.76253514116269</v>
      </c>
      <c r="N25" s="88">
        <f>IF(N13=0,0,N13/TrAvia_act!N21*100)</f>
        <v>489.98907281383242</v>
      </c>
      <c r="O25" s="88">
        <f>IF(O13=0,0,O13/TrAvia_act!O21*100)</f>
        <v>458.89122699981186</v>
      </c>
      <c r="P25" s="88">
        <f>IF(P13=0,0,P13/TrAvia_act!P21*100)</f>
        <v>315.61988852905972</v>
      </c>
      <c r="Q25" s="88">
        <f>IF(Q13=0,0,Q13/TrAvia_act!Q21*100)</f>
        <v>272.34102877721807</v>
      </c>
      <c r="R25" s="88">
        <f>IF(R13=0,0,R13/TrAvia_act!R21*100)</f>
        <v>243.6775242468764</v>
      </c>
      <c r="S25" s="88">
        <f>IF(S13=0,0,S13/TrAvia_act!S21*100)</f>
        <v>206.68797534973584</v>
      </c>
      <c r="T25" s="88">
        <f>IF(T13=0,0,T13/TrAvia_act!T21*100)</f>
        <v>199.22262421129318</v>
      </c>
      <c r="U25" s="88">
        <f>IF(U13=0,0,U13/TrAvia_act!U21*100)</f>
        <v>217.74032106567464</v>
      </c>
      <c r="V25" s="88">
        <f>IF(V13=0,0,V13/TrAvia_act!V21*100)</f>
        <v>303.25644376480716</v>
      </c>
      <c r="W25" s="88">
        <f>IF(W13=0,0,W13/TrAvia_act!W21*100)</f>
        <v>354.77594010078474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50.022923062573042</v>
      </c>
      <c r="C28" s="14">
        <f>IF(C6=0,0,C6/TrAvia_act!C4*1000)</f>
        <v>51.424875777411209</v>
      </c>
      <c r="D28" s="14">
        <f>IF(D6=0,0,D6/TrAvia_act!D4*1000)</f>
        <v>43.486260506793975</v>
      </c>
      <c r="E28" s="14">
        <f>IF(E6=0,0,E6/TrAvia_act!E4*1000)</f>
        <v>45.397172957130536</v>
      </c>
      <c r="F28" s="14">
        <f>IF(F6=0,0,F6/TrAvia_act!F4*1000)</f>
        <v>50.705665486251853</v>
      </c>
      <c r="G28" s="14">
        <f>IF(G6=0,0,G6/TrAvia_act!G4*1000)</f>
        <v>46.574917967501342</v>
      </c>
      <c r="H28" s="14">
        <f>IF(H6=0,0,H6/TrAvia_act!H4*1000)</f>
        <v>41.087978392544002</v>
      </c>
      <c r="I28" s="14">
        <f>IF(I6=0,0,I6/TrAvia_act!I4*1000)</f>
        <v>38.032811460810251</v>
      </c>
      <c r="J28" s="14">
        <f>IF(J6=0,0,J6/TrAvia_act!J4*1000)</f>
        <v>41.32934106661137</v>
      </c>
      <c r="K28" s="14">
        <f>IF(K6=0,0,K6/TrAvia_act!K4*1000)</f>
        <v>41.286078499909692</v>
      </c>
      <c r="L28" s="14">
        <f>IF(L6=0,0,L6/TrAvia_act!L4*1000)</f>
        <v>37.381182944280454</v>
      </c>
      <c r="M28" s="14">
        <f>IF(M6=0,0,M6/TrAvia_act!M4*1000)</f>
        <v>37.382467041389233</v>
      </c>
      <c r="N28" s="14">
        <f>IF(N6=0,0,N6/TrAvia_act!N4*1000)</f>
        <v>35.110355590511645</v>
      </c>
      <c r="O28" s="14">
        <f>IF(O6=0,0,O6/TrAvia_act!O4*1000)</f>
        <v>36.678336872633125</v>
      </c>
      <c r="P28" s="14">
        <f>IF(P6=0,0,P6/TrAvia_act!P4*1000)</f>
        <v>31.895665789782633</v>
      </c>
      <c r="Q28" s="14">
        <f>IF(Q6=0,0,Q6/TrAvia_act!Q4*1000)</f>
        <v>31.63938744799627</v>
      </c>
      <c r="R28" s="14">
        <f>IF(R6=0,0,R6/TrAvia_act!R4*1000)</f>
        <v>32.88322101277474</v>
      </c>
      <c r="S28" s="14">
        <f>IF(S6=0,0,S6/TrAvia_act!S4*1000)</f>
        <v>31.352066364173364</v>
      </c>
      <c r="T28" s="14">
        <f>IF(T6=0,0,T6/TrAvia_act!T4*1000)</f>
        <v>31.849451434624552</v>
      </c>
      <c r="U28" s="14">
        <f>IF(U6=0,0,U6/TrAvia_act!U4*1000)</f>
        <v>31.581351030048562</v>
      </c>
      <c r="V28" s="14">
        <f>IF(V6=0,0,V6/TrAvia_act!V4*1000)</f>
        <v>48.600502327637898</v>
      </c>
      <c r="W28" s="14">
        <f>IF(W6=0,0,W6/TrAvia_act!W4*1000)</f>
        <v>45.241042469184713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63.962154782411709</v>
      </c>
      <c r="C29" s="87">
        <f>IF(C7=0,0,C7/TrAvia_act!C5*1000)</f>
        <v>64.740716495137775</v>
      </c>
      <c r="D29" s="87">
        <f>IF(D7=0,0,D7/TrAvia_act!D5*1000)</f>
        <v>57.653190077840115</v>
      </c>
      <c r="E29" s="87">
        <f>IF(E7=0,0,E7/TrAvia_act!E5*1000)</f>
        <v>60.910444572408473</v>
      </c>
      <c r="F29" s="87">
        <f>IF(F7=0,0,F7/TrAvia_act!F5*1000)</f>
        <v>67.627748425045624</v>
      </c>
      <c r="G29" s="87">
        <f>IF(G7=0,0,G7/TrAvia_act!G5*1000)</f>
        <v>66.486562151452944</v>
      </c>
      <c r="H29" s="87">
        <f>IF(H7=0,0,H7/TrAvia_act!H5*1000)</f>
        <v>63.160644620948879</v>
      </c>
      <c r="I29" s="87">
        <f>IF(I7=0,0,I7/TrAvia_act!I5*1000)</f>
        <v>62.528976709328525</v>
      </c>
      <c r="J29" s="87">
        <f>IF(J7=0,0,J7/TrAvia_act!J5*1000)</f>
        <v>58.785082713100053</v>
      </c>
      <c r="K29" s="87">
        <f>IF(K7=0,0,K7/TrAvia_act!K5*1000)</f>
        <v>57.486612519484986</v>
      </c>
      <c r="L29" s="87">
        <f>IF(L7=0,0,L7/TrAvia_act!L5*1000)</f>
        <v>52.947932249806982</v>
      </c>
      <c r="M29" s="87">
        <f>IF(M7=0,0,M7/TrAvia_act!M5*1000)</f>
        <v>52.647118946875317</v>
      </c>
      <c r="N29" s="87">
        <f>IF(N7=0,0,N7/TrAvia_act!N5*1000)</f>
        <v>49.162284297350965</v>
      </c>
      <c r="O29" s="87">
        <f>IF(O7=0,0,O7/TrAvia_act!O5*1000)</f>
        <v>49.383694072053416</v>
      </c>
      <c r="P29" s="87">
        <f>IF(P7=0,0,P7/TrAvia_act!P5*1000)</f>
        <v>47.095018259193225</v>
      </c>
      <c r="Q29" s="87">
        <f>IF(Q7=0,0,Q7/TrAvia_act!Q5*1000)</f>
        <v>46.496895324332378</v>
      </c>
      <c r="R29" s="87">
        <f>IF(R7=0,0,R7/TrAvia_act!R5*1000)</f>
        <v>47.183452913982087</v>
      </c>
      <c r="S29" s="87">
        <f>IF(S7=0,0,S7/TrAvia_act!S5*1000)</f>
        <v>45.446015113082744</v>
      </c>
      <c r="T29" s="87">
        <f>IF(T7=0,0,T7/TrAvia_act!T5*1000)</f>
        <v>44.393922918813445</v>
      </c>
      <c r="U29" s="87">
        <f>IF(U7=0,0,U7/TrAvia_act!U5*1000)</f>
        <v>44.35976222149786</v>
      </c>
      <c r="V29" s="87">
        <f>IF(V7=0,0,V7/TrAvia_act!V5*1000)</f>
        <v>55.961616415542579</v>
      </c>
      <c r="W29" s="87">
        <f>IF(W7=0,0,W7/TrAvia_act!W5*1000)</f>
        <v>58.235878682148986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47.270074269287903</v>
      </c>
      <c r="C30" s="87">
        <f>IF(C8=0,0,C8/TrAvia_act!C6*1000)</f>
        <v>47.903632390750339</v>
      </c>
      <c r="D30" s="87">
        <f>IF(D8=0,0,D8/TrAvia_act!D6*1000)</f>
        <v>38.910840480896724</v>
      </c>
      <c r="E30" s="87">
        <f>IF(E8=0,0,E8/TrAvia_act!E6*1000)</f>
        <v>42.147368293396759</v>
      </c>
      <c r="F30" s="87">
        <f>IF(F8=0,0,F8/TrAvia_act!F6*1000)</f>
        <v>49.584964525260247</v>
      </c>
      <c r="G30" s="87">
        <f>IF(G8=0,0,G8/TrAvia_act!G6*1000)</f>
        <v>47.899291322175529</v>
      </c>
      <c r="H30" s="87">
        <f>IF(H8=0,0,H8/TrAvia_act!H6*1000)</f>
        <v>40.680629007551616</v>
      </c>
      <c r="I30" s="87">
        <f>IF(I8=0,0,I8/TrAvia_act!I6*1000)</f>
        <v>39.550483589882376</v>
      </c>
      <c r="J30" s="87">
        <f>IF(J8=0,0,J8/TrAvia_act!J6*1000)</f>
        <v>47.829661757262301</v>
      </c>
      <c r="K30" s="87">
        <f>IF(K8=0,0,K8/TrAvia_act!K6*1000)</f>
        <v>48.268245142750175</v>
      </c>
      <c r="L30" s="87">
        <f>IF(L8=0,0,L8/TrAvia_act!L6*1000)</f>
        <v>43.390446413956347</v>
      </c>
      <c r="M30" s="87">
        <f>IF(M8=0,0,M8/TrAvia_act!M6*1000)</f>
        <v>41.789110865229098</v>
      </c>
      <c r="N30" s="87">
        <f>IF(N8=0,0,N8/TrAvia_act!N6*1000)</f>
        <v>38.405537687938946</v>
      </c>
      <c r="O30" s="87">
        <f>IF(O8=0,0,O8/TrAvia_act!O6*1000)</f>
        <v>40.160074901578305</v>
      </c>
      <c r="P30" s="87">
        <f>IF(P8=0,0,P8/TrAvia_act!P6*1000)</f>
        <v>35.089991056915686</v>
      </c>
      <c r="Q30" s="87">
        <f>IF(Q8=0,0,Q8/TrAvia_act!Q6*1000)</f>
        <v>35.12574074170093</v>
      </c>
      <c r="R30" s="87">
        <f>IF(R8=0,0,R8/TrAvia_act!R6*1000)</f>
        <v>36.249314265538771</v>
      </c>
      <c r="S30" s="87">
        <f>IF(S8=0,0,S8/TrAvia_act!S6*1000)</f>
        <v>34.567304899779167</v>
      </c>
      <c r="T30" s="87">
        <f>IF(T8=0,0,T8/TrAvia_act!T6*1000)</f>
        <v>36.705875470771538</v>
      </c>
      <c r="U30" s="87">
        <f>IF(U8=0,0,U8/TrAvia_act!U6*1000)</f>
        <v>35.894121105481887</v>
      </c>
      <c r="V30" s="87">
        <f>IF(V8=0,0,V8/TrAvia_act!V6*1000)</f>
        <v>55.430736240328677</v>
      </c>
      <c r="W30" s="87">
        <f>IF(W8=0,0,W8/TrAvia_act!W6*1000)</f>
        <v>45.188498050746226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44.762875867811395</v>
      </c>
      <c r="C31" s="87">
        <f>IF(C9=0,0,C9/TrAvia_act!C7*1000)</f>
        <v>48.282830821329341</v>
      </c>
      <c r="D31" s="87">
        <f>IF(D9=0,0,D9/TrAvia_act!D7*1000)</f>
        <v>41.855112319832344</v>
      </c>
      <c r="E31" s="87">
        <f>IF(E9=0,0,E9/TrAvia_act!E7*1000)</f>
        <v>38.990297341585062</v>
      </c>
      <c r="F31" s="87">
        <f>IF(F9=0,0,F9/TrAvia_act!F7*1000)</f>
        <v>39.507201237787399</v>
      </c>
      <c r="G31" s="87">
        <f>IF(G9=0,0,G9/TrAvia_act!G7*1000)</f>
        <v>31.012189979216139</v>
      </c>
      <c r="H31" s="87">
        <f>IF(H9=0,0,H9/TrAvia_act!H7*1000)</f>
        <v>28.753540299552323</v>
      </c>
      <c r="I31" s="87">
        <f>IF(I9=0,0,I9/TrAvia_act!I7*1000)</f>
        <v>23.367017183804592</v>
      </c>
      <c r="J31" s="87">
        <f>IF(J9=0,0,J9/TrAvia_act!J7*1000)</f>
        <v>24.492510370712811</v>
      </c>
      <c r="K31" s="87">
        <f>IF(K9=0,0,K9/TrAvia_act!K7*1000)</f>
        <v>25.173299997246648</v>
      </c>
      <c r="L31" s="87">
        <f>IF(L9=0,0,L9/TrAvia_act!L7*1000)</f>
        <v>22.921011878426878</v>
      </c>
      <c r="M31" s="87">
        <f>IF(M9=0,0,M9/TrAvia_act!M7*1000)</f>
        <v>24.030529106251286</v>
      </c>
      <c r="N31" s="87">
        <f>IF(N9=0,0,N9/TrAvia_act!N7*1000)</f>
        <v>23.579978067698899</v>
      </c>
      <c r="O31" s="87">
        <f>IF(O9=0,0,O9/TrAvia_act!O7*1000)</f>
        <v>25.485913782112469</v>
      </c>
      <c r="P31" s="87">
        <f>IF(P9=0,0,P9/TrAvia_act!P7*1000)</f>
        <v>20.814373397673744</v>
      </c>
      <c r="Q31" s="87">
        <f>IF(Q9=0,0,Q9/TrAvia_act!Q7*1000)</f>
        <v>20.523522624808006</v>
      </c>
      <c r="R31" s="87">
        <f>IF(R9=0,0,R9/TrAvia_act!R7*1000)</f>
        <v>21.575377202486436</v>
      </c>
      <c r="S31" s="87">
        <f>IF(S9=0,0,S9/TrAvia_act!S7*1000)</f>
        <v>20.474405765040373</v>
      </c>
      <c r="T31" s="87">
        <f>IF(T9=0,0,T9/TrAvia_act!T7*1000)</f>
        <v>20.095476997775762</v>
      </c>
      <c r="U31" s="87">
        <f>IF(U9=0,0,U9/TrAvia_act!U7*1000)</f>
        <v>20.832564407865885</v>
      </c>
      <c r="V31" s="87">
        <f>IF(V9=0,0,V9/TrAvia_act!V7*1000)</f>
        <v>36.483423814470711</v>
      </c>
      <c r="W31" s="87">
        <f>IF(W9=0,0,W9/TrAvia_act!W7*1000)</f>
        <v>39.315502934885863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104.18426497996265</v>
      </c>
      <c r="C32" s="15">
        <f>IF(C10=0,0,C10/TrAvia_act!C8*1000)</f>
        <v>93.36375544081487</v>
      </c>
      <c r="D32" s="15">
        <f>IF(D10=0,0,D10/TrAvia_act!D8*1000)</f>
        <v>82.42763195419063</v>
      </c>
      <c r="E32" s="15">
        <f>IF(E10=0,0,E10/TrAvia_act!E8*1000)</f>
        <v>87.735202041597503</v>
      </c>
      <c r="F32" s="15">
        <f>IF(F10=0,0,F10/TrAvia_act!F8*1000)</f>
        <v>107.14614799865643</v>
      </c>
      <c r="G32" s="15">
        <f>IF(G10=0,0,G10/TrAvia_act!G8*1000)</f>
        <v>97.591254334456508</v>
      </c>
      <c r="H32" s="15">
        <f>IF(H10=0,0,H10/TrAvia_act!H8*1000)</f>
        <v>100.97647472957213</v>
      </c>
      <c r="I32" s="15">
        <f>IF(I10=0,0,I10/TrAvia_act!I8*1000)</f>
        <v>92.743602709818134</v>
      </c>
      <c r="J32" s="15">
        <f>IF(J10=0,0,J10/TrAvia_act!J8*1000)</f>
        <v>99.725391345661791</v>
      </c>
      <c r="K32" s="15">
        <f>IF(K10=0,0,K10/TrAvia_act!K8*1000)</f>
        <v>96.020802943018111</v>
      </c>
      <c r="L32" s="15">
        <f>IF(L10=0,0,L10/TrAvia_act!L8*1000)</f>
        <v>88.085360665337788</v>
      </c>
      <c r="M32" s="15">
        <f>IF(M10=0,0,M10/TrAvia_act!M8*1000)</f>
        <v>83.434876899987529</v>
      </c>
      <c r="N32" s="15">
        <f>IF(N10=0,0,N10/TrAvia_act!N8*1000)</f>
        <v>78.083932286738502</v>
      </c>
      <c r="O32" s="15">
        <f>IF(O10=0,0,O10/TrAvia_act!O8*1000)</f>
        <v>83.938722572101497</v>
      </c>
      <c r="P32" s="15">
        <f>IF(P10=0,0,P10/TrAvia_act!P8*1000)</f>
        <v>59.451643860671602</v>
      </c>
      <c r="Q32" s="15">
        <f>IF(Q10=0,0,Q10/TrAvia_act!Q8*1000)</f>
        <v>58.629370740643651</v>
      </c>
      <c r="R32" s="15">
        <f>IF(R10=0,0,R10/TrAvia_act!R8*1000)</f>
        <v>55.040984000010454</v>
      </c>
      <c r="S32" s="15">
        <f>IF(S10=0,0,S10/TrAvia_act!S8*1000)</f>
        <v>58.743846916350677</v>
      </c>
      <c r="T32" s="15">
        <f>IF(T10=0,0,T10/TrAvia_act!T8*1000)</f>
        <v>63.041578225646532</v>
      </c>
      <c r="U32" s="15">
        <f>IF(U10=0,0,U10/TrAvia_act!U8*1000)</f>
        <v>85.673492265294584</v>
      </c>
      <c r="V32" s="15">
        <f>IF(V10=0,0,V10/TrAvia_act!V8*1000)</f>
        <v>142.66678355332243</v>
      </c>
      <c r="W32" s="15">
        <f>IF(W10=0,0,W10/TrAvia_act!W8*1000)</f>
        <v>152.82499901467793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424.75882722867533</v>
      </c>
      <c r="C33" s="101">
        <f>IF(C11=0,0,C11/TrAvia_act!C9*1000)</f>
        <v>442.91314171497737</v>
      </c>
      <c r="D33" s="101">
        <f>IF(D11=0,0,D11/TrAvia_act!D9*1000)</f>
        <v>383.74150300921735</v>
      </c>
      <c r="E33" s="101">
        <f>IF(E11=0,0,E11/TrAvia_act!E9*1000)</f>
        <v>372.87612687549381</v>
      </c>
      <c r="F33" s="101">
        <f>IF(F11=0,0,F11/TrAvia_act!F9*1000)</f>
        <v>431.36461024118023</v>
      </c>
      <c r="G33" s="101">
        <f>IF(G11=0,0,G11/TrAvia_act!G9*1000)</f>
        <v>471.16017578017056</v>
      </c>
      <c r="H33" s="101">
        <f>IF(H11=0,0,H11/TrAvia_act!H9*1000)</f>
        <v>475.76790636945481</v>
      </c>
      <c r="I33" s="101">
        <f>IF(I11=0,0,I11/TrAvia_act!I9*1000)</f>
        <v>483.1991827961678</v>
      </c>
      <c r="J33" s="101">
        <f>IF(J11=0,0,J11/TrAvia_act!J9*1000)</f>
        <v>459.59751214854464</v>
      </c>
      <c r="K33" s="101">
        <f>IF(K11=0,0,K11/TrAvia_act!K9*1000)</f>
        <v>418.87680457682217</v>
      </c>
      <c r="L33" s="101">
        <f>IF(L11=0,0,L11/TrAvia_act!L9*1000)</f>
        <v>375.48552174517346</v>
      </c>
      <c r="M33" s="101">
        <f>IF(M11=0,0,M11/TrAvia_act!M9*1000)</f>
        <v>357.06005990077495</v>
      </c>
      <c r="N33" s="101">
        <f>IF(N11=0,0,N11/TrAvia_act!N9*1000)</f>
        <v>345.51249301826925</v>
      </c>
      <c r="O33" s="101">
        <f>IF(O11=0,0,O11/TrAvia_act!O9*1000)</f>
        <v>341.56021474304561</v>
      </c>
      <c r="P33" s="101">
        <f>IF(P11=0,0,P11/TrAvia_act!P9*1000)</f>
        <v>299.65423182426542</v>
      </c>
      <c r="Q33" s="101">
        <f>IF(Q11=0,0,Q11/TrAvia_act!Q9*1000)</f>
        <v>298.16607755755905</v>
      </c>
      <c r="R33" s="101">
        <f>IF(R11=0,0,R11/TrAvia_act!R9*1000)</f>
        <v>267.85988035149575</v>
      </c>
      <c r="S33" s="101">
        <f>IF(S11=0,0,S11/TrAvia_act!S9*1000)</f>
        <v>287.08663222444926</v>
      </c>
      <c r="T33" s="101">
        <f>IF(T11=0,0,T11/TrAvia_act!T9*1000)</f>
        <v>275.00587544275663</v>
      </c>
      <c r="U33" s="101">
        <f>IF(U11=0,0,U11/TrAvia_act!U9*1000)</f>
        <v>255.71792134038242</v>
      </c>
      <c r="V33" s="101">
        <f>IF(V11=0,0,V11/TrAvia_act!V9*1000)</f>
        <v>271.64314218886773</v>
      </c>
      <c r="W33" s="101">
        <f>IF(W11=0,0,W11/TrAvia_act!W9*1000)</f>
        <v>286.35111275223102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188.80965961069651</v>
      </c>
      <c r="C34" s="101">
        <f>IF(C12=0,0,C12/TrAvia_act!C10*1000)</f>
        <v>188.19889013255582</v>
      </c>
      <c r="D34" s="101">
        <f>IF(D12=0,0,D12/TrAvia_act!D10*1000)</f>
        <v>167.11419876140025</v>
      </c>
      <c r="E34" s="101">
        <f>IF(E12=0,0,E12/TrAvia_act!E10*1000)</f>
        <v>166.46327359122529</v>
      </c>
      <c r="F34" s="101">
        <f>IF(F12=0,0,F12/TrAvia_act!F10*1000)</f>
        <v>199.43563675833749</v>
      </c>
      <c r="G34" s="101">
        <f>IF(G12=0,0,G12/TrAvia_act!G10*1000)</f>
        <v>221.72227575538417</v>
      </c>
      <c r="H34" s="101">
        <f>IF(H12=0,0,H12/TrAvia_act!H10*1000)</f>
        <v>226.44341977873705</v>
      </c>
      <c r="I34" s="101">
        <f>IF(I12=0,0,I12/TrAvia_act!I10*1000)</f>
        <v>221.94235342761337</v>
      </c>
      <c r="J34" s="101">
        <f>IF(J12=0,0,J12/TrAvia_act!J10*1000)</f>
        <v>257.6446828264161</v>
      </c>
      <c r="K34" s="101">
        <f>IF(K12=0,0,K12/TrAvia_act!K10*1000)</f>
        <v>258.54903395776938</v>
      </c>
      <c r="L34" s="101">
        <f>IF(L12=0,0,L12/TrAvia_act!L10*1000)</f>
        <v>227.78308201969341</v>
      </c>
      <c r="M34" s="101">
        <f>IF(M12=0,0,M12/TrAvia_act!M10*1000)</f>
        <v>212.98035576971819</v>
      </c>
      <c r="N34" s="101">
        <f>IF(N12=0,0,N12/TrAvia_act!N10*1000)</f>
        <v>191.88073498338917</v>
      </c>
      <c r="O34" s="101">
        <f>IF(O12=0,0,O12/TrAvia_act!O10*1000)</f>
        <v>201.16780383527532</v>
      </c>
      <c r="P34" s="101">
        <f>IF(P12=0,0,P12/TrAvia_act!P10*1000)</f>
        <v>157.69942716030803</v>
      </c>
      <c r="Q34" s="101">
        <f>IF(Q12=0,0,Q12/TrAvia_act!Q10*1000)</f>
        <v>166.67456073524221</v>
      </c>
      <c r="R34" s="101">
        <f>IF(R12=0,0,R12/TrAvia_act!R10*1000)</f>
        <v>162.40593425842937</v>
      </c>
      <c r="S34" s="101">
        <f>IF(S12=0,0,S12/TrAvia_act!S10*1000)</f>
        <v>168.0022062116953</v>
      </c>
      <c r="T34" s="101">
        <f>IF(T12=0,0,T12/TrAvia_act!T10*1000)</f>
        <v>176.11053160436603</v>
      </c>
      <c r="U34" s="101">
        <f>IF(U12=0,0,U12/TrAvia_act!U10*1000)</f>
        <v>158.56708518752285</v>
      </c>
      <c r="V34" s="101">
        <f>IF(V12=0,0,V12/TrAvia_act!V10*1000)</f>
        <v>239.77237428184398</v>
      </c>
      <c r="W34" s="101">
        <f>IF(W12=0,0,W12/TrAvia_act!W10*1000)</f>
        <v>215.44272339559242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72.506625243131992</v>
      </c>
      <c r="C35" s="88">
        <f>IF(C13=0,0,C13/TrAvia_act!C11*1000)</f>
        <v>71.936964422181234</v>
      </c>
      <c r="D35" s="88">
        <f>IF(D13=0,0,D13/TrAvia_act!D11*1000)</f>
        <v>63.812376746443178</v>
      </c>
      <c r="E35" s="88">
        <f>IF(E13=0,0,E13/TrAvia_act!E11*1000)</f>
        <v>71.493634242330998</v>
      </c>
      <c r="F35" s="88">
        <f>IF(F13=0,0,F13/TrAvia_act!F11*1000)</f>
        <v>84.751883322284129</v>
      </c>
      <c r="G35" s="88">
        <f>IF(G13=0,0,G13/TrAvia_act!G11*1000)</f>
        <v>74.198053194561311</v>
      </c>
      <c r="H35" s="88">
        <f>IF(H13=0,0,H13/TrAvia_act!H11*1000)</f>
        <v>75.835156696875472</v>
      </c>
      <c r="I35" s="88">
        <f>IF(I13=0,0,I13/TrAvia_act!I11*1000)</f>
        <v>64.760159093183034</v>
      </c>
      <c r="J35" s="88">
        <f>IF(J13=0,0,J13/TrAvia_act!J11*1000)</f>
        <v>69.357552705168061</v>
      </c>
      <c r="K35" s="88">
        <f>IF(K13=0,0,K13/TrAvia_act!K11*1000)</f>
        <v>65.665927375694579</v>
      </c>
      <c r="L35" s="88">
        <f>IF(L13=0,0,L13/TrAvia_act!L11*1000)</f>
        <v>64.866374879057446</v>
      </c>
      <c r="M35" s="88">
        <f>IF(M13=0,0,M13/TrAvia_act!M11*1000)</f>
        <v>63.995102262162568</v>
      </c>
      <c r="N35" s="88">
        <f>IF(N13=0,0,N13/TrAvia_act!N11*1000)</f>
        <v>58.6837101444506</v>
      </c>
      <c r="O35" s="88">
        <f>IF(O13=0,0,O13/TrAvia_act!O11*1000)</f>
        <v>57.006176875051978</v>
      </c>
      <c r="P35" s="88">
        <f>IF(P13=0,0,P13/TrAvia_act!P11*1000)</f>
        <v>34.281738132832928</v>
      </c>
      <c r="Q35" s="88">
        <f>IF(Q13=0,0,Q13/TrAvia_act!Q11*1000)</f>
        <v>29.557633254219841</v>
      </c>
      <c r="R35" s="88">
        <f>IF(R13=0,0,R13/TrAvia_act!R11*1000)</f>
        <v>24.218945453047127</v>
      </c>
      <c r="S35" s="88">
        <f>IF(S13=0,0,S13/TrAvia_act!S11*1000)</f>
        <v>21.010613207589731</v>
      </c>
      <c r="T35" s="88">
        <f>IF(T13=0,0,T13/TrAvia_act!T11*1000)</f>
        <v>20.066346507590641</v>
      </c>
      <c r="U35" s="88">
        <f>IF(U13=0,0,U13/TrAvia_act!U11*1000)</f>
        <v>21.395102438499514</v>
      </c>
      <c r="V35" s="88">
        <f>IF(V13=0,0,V13/TrAvia_act!V11*1000)</f>
        <v>47.324281897542583</v>
      </c>
      <c r="W35" s="88">
        <f>IF(W13=0,0,W13/TrAvia_act!W11*1000)</f>
        <v>59.464761513986609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3904.9223734558905</v>
      </c>
      <c r="C37" s="62">
        <f>IF(C3=0,0,C3/TrAvia_act!C23*1000000)</f>
        <v>4070.3811755884012</v>
      </c>
      <c r="D37" s="62">
        <f>IF(D3=0,0,D3/TrAvia_act!D23*1000000)</f>
        <v>3414.8699723465202</v>
      </c>
      <c r="E37" s="62">
        <f>IF(E3=0,0,E3/TrAvia_act!E23*1000000)</f>
        <v>3495.4505584543399</v>
      </c>
      <c r="F37" s="62">
        <f>IF(F3=0,0,F3/TrAvia_act!F23*1000000)</f>
        <v>3966.6969698323182</v>
      </c>
      <c r="G37" s="62">
        <f>IF(G3=0,0,G3/TrAvia_act!G23*1000000)</f>
        <v>4162.9849857294812</v>
      </c>
      <c r="H37" s="62">
        <f>IF(H3=0,0,H3/TrAvia_act!H23*1000000)</f>
        <v>4176.4134796110829</v>
      </c>
      <c r="I37" s="62">
        <f>IF(I3=0,0,I3/TrAvia_act!I23*1000000)</f>
        <v>4188.8898222121079</v>
      </c>
      <c r="J37" s="62">
        <f>IF(J3=0,0,J3/TrAvia_act!J23*1000000)</f>
        <v>4615.1278948165473</v>
      </c>
      <c r="K37" s="62">
        <f>IF(K3=0,0,K3/TrAvia_act!K23*1000000)</f>
        <v>4599.4460233666241</v>
      </c>
      <c r="L37" s="62">
        <f>IF(L3=0,0,L3/TrAvia_act!L23*1000000)</f>
        <v>4372.1930952107869</v>
      </c>
      <c r="M37" s="62">
        <f>IF(M3=0,0,M3/TrAvia_act!M23*1000000)</f>
        <v>4317.6801919873478</v>
      </c>
      <c r="N37" s="62">
        <f>IF(N3=0,0,N3/TrAvia_act!N23*1000000)</f>
        <v>4269.2195586554999</v>
      </c>
      <c r="O37" s="62">
        <f>IF(O3=0,0,O3/TrAvia_act!O23*1000000)</f>
        <v>4653.7128310111166</v>
      </c>
      <c r="P37" s="62">
        <f>IF(P3=0,0,P3/TrAvia_act!P23*1000000)</f>
        <v>4239.5297496791218</v>
      </c>
      <c r="Q37" s="62">
        <f>IF(Q3=0,0,Q3/TrAvia_act!Q23*1000000)</f>
        <v>4308.8909834921878</v>
      </c>
      <c r="R37" s="62">
        <f>IF(R3=0,0,R3/TrAvia_act!R23*1000000)</f>
        <v>4630.0647020011102</v>
      </c>
      <c r="S37" s="62">
        <f>IF(S3=0,0,S3/TrAvia_act!S23*1000000)</f>
        <v>4670.4560424406609</v>
      </c>
      <c r="T37" s="62">
        <f>IF(T3=0,0,T3/TrAvia_act!T23*1000000)</f>
        <v>4828.2149995954778</v>
      </c>
      <c r="U37" s="62">
        <f>IF(U3=0,0,U3/TrAvia_act!U23*1000000)</f>
        <v>4799.0551588651124</v>
      </c>
      <c r="V37" s="62">
        <f>IF(V3=0,0,V3/TrAvia_act!V23*1000000)</f>
        <v>5271.2936992137302</v>
      </c>
      <c r="W37" s="62">
        <f>IF(W3=0,0,W3/TrAvia_act!W23*1000000)</f>
        <v>5150.211999593791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3887.3298025328227</v>
      </c>
      <c r="C38" s="14">
        <f>IF(C6=0,0,C6/TrAvia_act!C24*1000000)</f>
        <v>4041.7880600200342</v>
      </c>
      <c r="D38" s="14">
        <f>IF(D6=0,0,D6/TrAvia_act!D24*1000000)</f>
        <v>3378.9201755169402</v>
      </c>
      <c r="E38" s="14">
        <f>IF(E6=0,0,E6/TrAvia_act!E24*1000000)</f>
        <v>3441.1702437561944</v>
      </c>
      <c r="F38" s="14">
        <f>IF(F6=0,0,F6/TrAvia_act!F24*1000000)</f>
        <v>3906.5875140329363</v>
      </c>
      <c r="G38" s="14">
        <f>IF(G6=0,0,G6/TrAvia_act!G24*1000000)</f>
        <v>4090.8372572646826</v>
      </c>
      <c r="H38" s="14">
        <f>IF(H6=0,0,H6/TrAvia_act!H24*1000000)</f>
        <v>4102.8773943744454</v>
      </c>
      <c r="I38" s="14">
        <f>IF(I6=0,0,I6/TrAvia_act!I24*1000000)</f>
        <v>4126.5477529537384</v>
      </c>
      <c r="J38" s="14">
        <f>IF(J6=0,0,J6/TrAvia_act!J24*1000000)</f>
        <v>4548.5248497293387</v>
      </c>
      <c r="K38" s="14">
        <f>IF(K6=0,0,K6/TrAvia_act!K24*1000000)</f>
        <v>4544.2332118435252</v>
      </c>
      <c r="L38" s="14">
        <f>IF(L6=0,0,L6/TrAvia_act!L24*1000000)</f>
        <v>4298.7010491145802</v>
      </c>
      <c r="M38" s="14">
        <f>IF(M6=0,0,M6/TrAvia_act!M24*1000000)</f>
        <v>4256.111589298027</v>
      </c>
      <c r="N38" s="14">
        <f>IF(N6=0,0,N6/TrAvia_act!N24*1000000)</f>
        <v>4223.4538106904529</v>
      </c>
      <c r="O38" s="14">
        <f>IF(O6=0,0,O6/TrAvia_act!O24*1000000)</f>
        <v>4633.5387218339447</v>
      </c>
      <c r="P38" s="14">
        <f>IF(P6=0,0,P6/TrAvia_act!P24*1000000)</f>
        <v>4235.7843460110616</v>
      </c>
      <c r="Q38" s="14">
        <f>IF(Q6=0,0,Q6/TrAvia_act!Q24*1000000)</f>
        <v>4313.3394214353038</v>
      </c>
      <c r="R38" s="14">
        <f>IF(R6=0,0,R6/TrAvia_act!R24*1000000)</f>
        <v>4639.7314620477155</v>
      </c>
      <c r="S38" s="14">
        <f>IF(S6=0,0,S6/TrAvia_act!S24*1000000)</f>
        <v>4687.7300851423233</v>
      </c>
      <c r="T38" s="14">
        <f>IF(T6=0,0,T6/TrAvia_act!T24*1000000)</f>
        <v>4849.4506842376504</v>
      </c>
      <c r="U38" s="14">
        <f>IF(U6=0,0,U6/TrAvia_act!U24*1000000)</f>
        <v>4821.0270159310421</v>
      </c>
      <c r="V38" s="14">
        <f>IF(V6=0,0,V6/TrAvia_act!V24*1000000)</f>
        <v>5317.3366065698556</v>
      </c>
      <c r="W38" s="14">
        <f>IF(W6=0,0,W6/TrAvia_act!W24*1000000)</f>
        <v>5205.6457570051871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1824.7590964172148</v>
      </c>
      <c r="C39" s="87">
        <f>IF(C7=0,0,C7/TrAvia_act!C25*1000000)</f>
        <v>1888.2420218580748</v>
      </c>
      <c r="D39" s="87">
        <f>IF(D7=0,0,D7/TrAvia_act!D25*1000000)</f>
        <v>1682.3252656076133</v>
      </c>
      <c r="E39" s="87">
        <f>IF(E7=0,0,E7/TrAvia_act!E25*1000000)</f>
        <v>1738.8006904963243</v>
      </c>
      <c r="F39" s="87">
        <f>IF(F7=0,0,F7/TrAvia_act!F25*1000000)</f>
        <v>1894.1876636852994</v>
      </c>
      <c r="G39" s="87">
        <f>IF(G7=0,0,G7/TrAvia_act!G25*1000000)</f>
        <v>2032.3393181780805</v>
      </c>
      <c r="H39" s="87">
        <f>IF(H7=0,0,H7/TrAvia_act!H25*1000000)</f>
        <v>2001.3669476128377</v>
      </c>
      <c r="I39" s="87">
        <f>IF(I7=0,0,I7/TrAvia_act!I25*1000000)</f>
        <v>2057.5044819488007</v>
      </c>
      <c r="J39" s="87">
        <f>IF(J7=0,0,J7/TrAvia_act!J25*1000000)</f>
        <v>1937.8870601160361</v>
      </c>
      <c r="K39" s="87">
        <f>IF(K7=0,0,K7/TrAvia_act!K25*1000000)</f>
        <v>1809.4606967758511</v>
      </c>
      <c r="L39" s="87">
        <f>IF(L7=0,0,L7/TrAvia_act!L25*1000000)</f>
        <v>1737.0870081944552</v>
      </c>
      <c r="M39" s="87">
        <f>IF(M7=0,0,M7/TrAvia_act!M25*1000000)</f>
        <v>1742.5657185166299</v>
      </c>
      <c r="N39" s="87">
        <f>IF(N7=0,0,N7/TrAvia_act!N25*1000000)</f>
        <v>1776.2570520156125</v>
      </c>
      <c r="O39" s="87">
        <f>IF(O7=0,0,O7/TrAvia_act!O25*1000000)</f>
        <v>1782.8147951388205</v>
      </c>
      <c r="P39" s="87">
        <f>IF(P7=0,0,P7/TrAvia_act!P25*1000000)</f>
        <v>1746.8503451718634</v>
      </c>
      <c r="Q39" s="87">
        <f>IF(Q7=0,0,Q7/TrAvia_act!Q25*1000000)</f>
        <v>1758.0010407640248</v>
      </c>
      <c r="R39" s="87">
        <f>IF(R7=0,0,R7/TrAvia_act!R25*1000000)</f>
        <v>1851.6144016836465</v>
      </c>
      <c r="S39" s="87">
        <f>IF(S7=0,0,S7/TrAvia_act!S25*1000000)</f>
        <v>1811.0389990868093</v>
      </c>
      <c r="T39" s="87">
        <f>IF(T7=0,0,T7/TrAvia_act!T25*1000000)</f>
        <v>1752.8855542921315</v>
      </c>
      <c r="U39" s="87">
        <f>IF(U7=0,0,U7/TrAvia_act!U25*1000000)</f>
        <v>1725.9665662504613</v>
      </c>
      <c r="V39" s="87">
        <f>IF(V7=0,0,V7/TrAvia_act!V25*1000000)</f>
        <v>1744.7569244036233</v>
      </c>
      <c r="W39" s="87">
        <f>IF(W7=0,0,W7/TrAvia_act!W25*1000000)</f>
        <v>1887.2376360469698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4982.6991953875149</v>
      </c>
      <c r="C40" s="87">
        <f>IF(C8=0,0,C8/TrAvia_act!C26*1000000)</f>
        <v>5242.7116842986488</v>
      </c>
      <c r="D40" s="87">
        <f>IF(D8=0,0,D8/TrAvia_act!D26*1000000)</f>
        <v>4423.569412292436</v>
      </c>
      <c r="E40" s="87">
        <f>IF(E8=0,0,E8/TrAvia_act!E26*1000000)</f>
        <v>4487.0320617407097</v>
      </c>
      <c r="F40" s="87">
        <f>IF(F8=0,0,F8/TrAvia_act!F26*1000000)</f>
        <v>5120.6253029144564</v>
      </c>
      <c r="G40" s="87">
        <f>IF(G8=0,0,G8/TrAvia_act!G26*1000000)</f>
        <v>5392.8894738491936</v>
      </c>
      <c r="H40" s="87">
        <f>IF(H8=0,0,H8/TrAvia_act!H26*1000000)</f>
        <v>5179.7559948671333</v>
      </c>
      <c r="I40" s="87">
        <f>IF(I8=0,0,I8/TrAvia_act!I26*1000000)</f>
        <v>5108.2376516656514</v>
      </c>
      <c r="J40" s="87">
        <f>IF(J8=0,0,J8/TrAvia_act!J26*1000000)</f>
        <v>5771.5776215038968</v>
      </c>
      <c r="K40" s="87">
        <f>IF(K8=0,0,K8/TrAvia_act!K26*1000000)</f>
        <v>5966.4123036374222</v>
      </c>
      <c r="L40" s="87">
        <f>IF(L8=0,0,L8/TrAvia_act!L26*1000000)</f>
        <v>5550.3266358680903</v>
      </c>
      <c r="M40" s="87">
        <f>IF(M8=0,0,M8/TrAvia_act!M26*1000000)</f>
        <v>5531.435253167183</v>
      </c>
      <c r="N40" s="87">
        <f>IF(N8=0,0,N8/TrAvia_act!N26*1000000)</f>
        <v>5395.2243575121665</v>
      </c>
      <c r="O40" s="87">
        <f>IF(O8=0,0,O8/TrAvia_act!O26*1000000)</f>
        <v>6046.0043861483064</v>
      </c>
      <c r="P40" s="87">
        <f>IF(P8=0,0,P8/TrAvia_act!P26*1000000)</f>
        <v>5497.4783084423152</v>
      </c>
      <c r="Q40" s="87">
        <f>IF(Q8=0,0,Q8/TrAvia_act!Q26*1000000)</f>
        <v>5526.2670618722668</v>
      </c>
      <c r="R40" s="87">
        <f>IF(R8=0,0,R8/TrAvia_act!R26*1000000)</f>
        <v>5936.9249896496412</v>
      </c>
      <c r="S40" s="87">
        <f>IF(S8=0,0,S8/TrAvia_act!S26*1000000)</f>
        <v>6030.2133683291268</v>
      </c>
      <c r="T40" s="87">
        <f>IF(T8=0,0,T8/TrAvia_act!T26*1000000)</f>
        <v>6245.0681029776124</v>
      </c>
      <c r="U40" s="87">
        <f>IF(U8=0,0,U8/TrAvia_act!U26*1000000)</f>
        <v>6034.9628833101406</v>
      </c>
      <c r="V40" s="87">
        <f>IF(V8=0,0,V8/TrAvia_act!V26*1000000)</f>
        <v>6863.2101666421222</v>
      </c>
      <c r="W40" s="87">
        <f>IF(W8=0,0,W8/TrAvia_act!W26*1000000)</f>
        <v>6828.6270599138015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20339.394852821883</v>
      </c>
      <c r="C41" s="87">
        <f>IF(C9=0,0,C9/TrAvia_act!C27*1000000)</f>
        <v>21139.514484166652</v>
      </c>
      <c r="D41" s="87">
        <f>IF(D9=0,0,D9/TrAvia_act!D27*1000000)</f>
        <v>17709.808332928897</v>
      </c>
      <c r="E41" s="87">
        <f>IF(E9=0,0,E9/TrAvia_act!E27*1000000)</f>
        <v>18031.508433159772</v>
      </c>
      <c r="F41" s="87">
        <f>IF(F9=0,0,F9/TrAvia_act!F27*1000000)</f>
        <v>20748.68779315885</v>
      </c>
      <c r="G41" s="87">
        <f>IF(G9=0,0,G9/TrAvia_act!G27*1000000)</f>
        <v>17637.678243619372</v>
      </c>
      <c r="H41" s="87">
        <f>IF(H9=0,0,H9/TrAvia_act!H27*1000000)</f>
        <v>18761.409626276709</v>
      </c>
      <c r="I41" s="87">
        <f>IF(I9=0,0,I9/TrAvia_act!I27*1000000)</f>
        <v>17383.952959282768</v>
      </c>
      <c r="J41" s="87">
        <f>IF(J9=0,0,J9/TrAvia_act!J27*1000000)</f>
        <v>18279.486575723502</v>
      </c>
      <c r="K41" s="87">
        <f>IF(K9=0,0,K9/TrAvia_act!K27*1000000)</f>
        <v>17838.270612782322</v>
      </c>
      <c r="L41" s="87">
        <f>IF(L9=0,0,L9/TrAvia_act!L27*1000000)</f>
        <v>15387.828672235832</v>
      </c>
      <c r="M41" s="87">
        <f>IF(M9=0,0,M9/TrAvia_act!M27*1000000)</f>
        <v>14481.428374798106</v>
      </c>
      <c r="N41" s="87">
        <f>IF(N9=0,0,N9/TrAvia_act!N27*1000000)</f>
        <v>14170.902730071086</v>
      </c>
      <c r="O41" s="87">
        <f>IF(O9=0,0,O9/TrAvia_act!O27*1000000)</f>
        <v>15090.38481911987</v>
      </c>
      <c r="P41" s="87">
        <f>IF(P9=0,0,P9/TrAvia_act!P27*1000000)</f>
        <v>12823.949487216358</v>
      </c>
      <c r="Q41" s="87">
        <f>IF(Q9=0,0,Q9/TrAvia_act!Q27*1000000)</f>
        <v>13252.396361123536</v>
      </c>
      <c r="R41" s="87">
        <f>IF(R9=0,0,R9/TrAvia_act!R27*1000000)</f>
        <v>14716.361582334952</v>
      </c>
      <c r="S41" s="87">
        <f>IF(S9=0,0,S9/TrAvia_act!S27*1000000)</f>
        <v>13988.694739133225</v>
      </c>
      <c r="T41" s="87">
        <f>IF(T9=0,0,T9/TrAvia_act!T27*1000000)</f>
        <v>13904.890438353501</v>
      </c>
      <c r="U41" s="87">
        <f>IF(U9=0,0,U9/TrAvia_act!U27*1000000)</f>
        <v>13814.384632784717</v>
      </c>
      <c r="V41" s="87">
        <f>IF(V9=0,0,V9/TrAvia_act!V27*1000000)</f>
        <v>17695.176028865921</v>
      </c>
      <c r="W41" s="87">
        <f>IF(W9=0,0,W9/TrAvia_act!W27*1000000)</f>
        <v>14433.625068468838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5828.6802965766865</v>
      </c>
      <c r="C42" s="15">
        <f>IF(C10=0,0,C10/TrAvia_act!C28*1000000)</f>
        <v>7469.1103768530784</v>
      </c>
      <c r="D42" s="15">
        <f>IF(D10=0,0,D10/TrAvia_act!D28*1000000)</f>
        <v>6425.1408975316144</v>
      </c>
      <c r="E42" s="15">
        <f>IF(E10=0,0,E10/TrAvia_act!E28*1000000)</f>
        <v>7204.0775191904359</v>
      </c>
      <c r="F42" s="15">
        <f>IF(F10=0,0,F10/TrAvia_act!F28*1000000)</f>
        <v>7126.2498416109374</v>
      </c>
      <c r="G42" s="15">
        <f>IF(G10=0,0,G10/TrAvia_act!G28*1000000)</f>
        <v>7517.6600656393912</v>
      </c>
      <c r="H42" s="15">
        <f>IF(H10=0,0,H10/TrAvia_act!H28*1000000)</f>
        <v>7090.1524673830127</v>
      </c>
      <c r="I42" s="15">
        <f>IF(I10=0,0,I10/TrAvia_act!I28*1000000)</f>
        <v>6287.0811364358933</v>
      </c>
      <c r="J42" s="15">
        <f>IF(J10=0,0,J10/TrAvia_act!J28*1000000)</f>
        <v>6831.8929502852652</v>
      </c>
      <c r="K42" s="15">
        <f>IF(K10=0,0,K10/TrAvia_act!K28*1000000)</f>
        <v>6715.4462535180101</v>
      </c>
      <c r="L42" s="15">
        <f>IF(L10=0,0,L10/TrAvia_act!L28*1000000)</f>
        <v>7172.3680262777416</v>
      </c>
      <c r="M42" s="15">
        <f>IF(M10=0,0,M10/TrAvia_act!M28*1000000)</f>
        <v>7465.1729595416709</v>
      </c>
      <c r="N42" s="15">
        <f>IF(N10=0,0,N10/TrAvia_act!N28*1000000)</f>
        <v>6856.4409542932481</v>
      </c>
      <c r="O42" s="15">
        <f>IF(O10=0,0,O10/TrAvia_act!O28*1000000)</f>
        <v>5912.3527552070254</v>
      </c>
      <c r="P42" s="15">
        <f>IF(P10=0,0,P10/TrAvia_act!P28*1000000)</f>
        <v>4489.1793920556893</v>
      </c>
      <c r="Q42" s="15">
        <f>IF(Q10=0,0,Q10/TrAvia_act!Q28*1000000)</f>
        <v>4018.40757881332</v>
      </c>
      <c r="R42" s="15">
        <f>IF(R10=0,0,R10/TrAvia_act!R28*1000000)</f>
        <v>3883.8023505912824</v>
      </c>
      <c r="S42" s="15">
        <f>IF(S10=0,0,S10/TrAvia_act!S28*1000000)</f>
        <v>3412.9310235740231</v>
      </c>
      <c r="T42" s="15">
        <f>IF(T10=0,0,T10/TrAvia_act!T28*1000000)</f>
        <v>3265.5445577152468</v>
      </c>
      <c r="U42" s="15">
        <f>IF(U10=0,0,U10/TrAvia_act!U28*1000000)</f>
        <v>3444.5875937266369</v>
      </c>
      <c r="V42" s="15">
        <f>IF(V10=0,0,V10/TrAvia_act!V28*1000000)</f>
        <v>4242.7322735015514</v>
      </c>
      <c r="W42" s="15">
        <f>IF(W10=0,0,W10/TrAvia_act!W28*1000000)</f>
        <v>3945.4456283796744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1722.8379363230276</v>
      </c>
      <c r="C43" s="101">
        <f>IF(C11=0,0,C11/TrAvia_act!C29*1000000)</f>
        <v>1782.7750493770309</v>
      </c>
      <c r="D43" s="101">
        <f>IF(D11=0,0,D11/TrAvia_act!D29*1000000)</f>
        <v>1588.3596878701749</v>
      </c>
      <c r="E43" s="101">
        <f>IF(E11=0,0,E11/TrAvia_act!E29*1000000)</f>
        <v>1641.6807013997254</v>
      </c>
      <c r="F43" s="101">
        <f>IF(F11=0,0,F11/TrAvia_act!F29*1000000)</f>
        <v>1788.3885998538269</v>
      </c>
      <c r="G43" s="101">
        <f>IF(G11=0,0,G11/TrAvia_act!G29*1000000)</f>
        <v>1918.8238511663296</v>
      </c>
      <c r="H43" s="101">
        <f>IF(H11=0,0,H11/TrAvia_act!H29*1000000)</f>
        <v>1897.1091825536187</v>
      </c>
      <c r="I43" s="101">
        <f>IF(I11=0,0,I11/TrAvia_act!I29*1000000)</f>
        <v>1958.089058118507</v>
      </c>
      <c r="J43" s="101">
        <f>IF(J11=0,0,J11/TrAvia_act!J29*1000000)</f>
        <v>1851.5928556601993</v>
      </c>
      <c r="K43" s="101">
        <f>IF(K11=0,0,K11/TrAvia_act!K29*1000000)</f>
        <v>1735.7649230086113</v>
      </c>
      <c r="L43" s="101">
        <f>IF(L11=0,0,L11/TrAvia_act!L29*1000000)</f>
        <v>1672.9670375707594</v>
      </c>
      <c r="M43" s="101">
        <f>IF(M11=0,0,M11/TrAvia_act!M29*1000000)</f>
        <v>1670.9095413633243</v>
      </c>
      <c r="N43" s="101">
        <f>IF(N11=0,0,N11/TrAvia_act!N29*1000000)</f>
        <v>1695.7712440822629</v>
      </c>
      <c r="O43" s="101">
        <f>IF(O11=0,0,O11/TrAvia_act!O29*1000000)</f>
        <v>1697.1793614494736</v>
      </c>
      <c r="P43" s="101">
        <f>IF(P11=0,0,P11/TrAvia_act!P29*1000000)</f>
        <v>1658.2013554049652</v>
      </c>
      <c r="Q43" s="101">
        <f>IF(Q11=0,0,Q11/TrAvia_act!Q29*1000000)</f>
        <v>1664.0284201777486</v>
      </c>
      <c r="R43" s="101">
        <f>IF(R11=0,0,R11/TrAvia_act!R29*1000000)</f>
        <v>1747.6408991224916</v>
      </c>
      <c r="S43" s="101">
        <f>IF(S11=0,0,S11/TrAvia_act!S29*1000000)</f>
        <v>1704.4704750922606</v>
      </c>
      <c r="T43" s="101">
        <f>IF(T11=0,0,T11/TrAvia_act!T29*1000000)</f>
        <v>1645.0354642706925</v>
      </c>
      <c r="U43" s="101">
        <f>IF(U11=0,0,U11/TrAvia_act!U29*1000000)</f>
        <v>1602.5865988645025</v>
      </c>
      <c r="V43" s="101">
        <f>IF(V11=0,0,V11/TrAvia_act!V29*1000000)</f>
        <v>1620.0337364585641</v>
      </c>
      <c r="W43" s="101">
        <f>IF(W11=0,0,W11/TrAvia_act!W29*1000000)</f>
        <v>1752.3292765583649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3837.065643491741</v>
      </c>
      <c r="C44" s="101">
        <f>IF(C12=0,0,C12/TrAvia_act!C30*1000000)</f>
        <v>3940.9114639871796</v>
      </c>
      <c r="D44" s="101">
        <f>IF(D12=0,0,D12/TrAvia_act!D30*1000000)</f>
        <v>3300.9837845473717</v>
      </c>
      <c r="E44" s="101">
        <f>IF(E12=0,0,E12/TrAvia_act!E30*1000000)</f>
        <v>3354.4565961855301</v>
      </c>
      <c r="F44" s="101">
        <f>IF(F12=0,0,F12/TrAvia_act!F30*1000000)</f>
        <v>3559.6384130861607</v>
      </c>
      <c r="G44" s="101">
        <f>IF(G12=0,0,G12/TrAvia_act!G30*1000000)</f>
        <v>4155.9255976972727</v>
      </c>
      <c r="H44" s="101">
        <f>IF(H12=0,0,H12/TrAvia_act!H30*1000000)</f>
        <v>3829.6955088810059</v>
      </c>
      <c r="I44" s="101">
        <f>IF(I12=0,0,I12/TrAvia_act!I30*1000000)</f>
        <v>3765.0416874387251</v>
      </c>
      <c r="J44" s="101">
        <f>IF(J12=0,0,J12/TrAvia_act!J30*1000000)</f>
        <v>4287.7377807466501</v>
      </c>
      <c r="K44" s="101">
        <f>IF(K12=0,0,K12/TrAvia_act!K30*1000000)</f>
        <v>4304.4478108076046</v>
      </c>
      <c r="L44" s="101">
        <f>IF(L12=0,0,L12/TrAvia_act!L30*1000000)</f>
        <v>3935.2969788198589</v>
      </c>
      <c r="M44" s="101">
        <f>IF(M12=0,0,M12/TrAvia_act!M30*1000000)</f>
        <v>3913.2850538093476</v>
      </c>
      <c r="N44" s="101">
        <f>IF(N12=0,0,N12/TrAvia_act!N30*1000000)</f>
        <v>3803.8439737739513</v>
      </c>
      <c r="O44" s="101">
        <f>IF(O12=0,0,O12/TrAvia_act!O30*1000000)</f>
        <v>4152.532253219114</v>
      </c>
      <c r="P44" s="101">
        <f>IF(P12=0,0,P12/TrAvia_act!P30*1000000)</f>
        <v>3787.4320194594548</v>
      </c>
      <c r="Q44" s="101">
        <f>IF(Q12=0,0,Q12/TrAvia_act!Q30*1000000)</f>
        <v>3790.3285073852767</v>
      </c>
      <c r="R44" s="101">
        <f>IF(R12=0,0,R12/TrAvia_act!R30*1000000)</f>
        <v>4066.616633523477</v>
      </c>
      <c r="S44" s="101">
        <f>IF(S12=0,0,S12/TrAvia_act!S30*1000000)</f>
        <v>4022.0542255436731</v>
      </c>
      <c r="T44" s="101">
        <f>IF(T12=0,0,T12/TrAvia_act!T30*1000000)</f>
        <v>3996.2042195202366</v>
      </c>
      <c r="U44" s="101">
        <f>IF(U12=0,0,U12/TrAvia_act!U30*1000000)</f>
        <v>3733.8646467157273</v>
      </c>
      <c r="V44" s="101">
        <f>IF(V12=0,0,V12/TrAvia_act!V30*1000000)</f>
        <v>4499.9395858903699</v>
      </c>
      <c r="W44" s="101">
        <f>IF(W12=0,0,W12/TrAvia_act!W30*1000000)</f>
        <v>4318.222121057519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26299.835073978262</v>
      </c>
      <c r="C45" s="88">
        <f>IF(C13=0,0,C13/TrAvia_act!C31*1000000)</f>
        <v>27334.428998531552</v>
      </c>
      <c r="D45" s="88">
        <f>IF(D13=0,0,D13/TrAvia_act!D31*1000000)</f>
        <v>22899.650737798416</v>
      </c>
      <c r="E45" s="88">
        <f>IF(E13=0,0,E13/TrAvia_act!E31*1000000)</f>
        <v>23315.624744919893</v>
      </c>
      <c r="F45" s="88">
        <f>IF(F13=0,0,F13/TrAvia_act!F31*1000000)</f>
        <v>26829.07091927739</v>
      </c>
      <c r="G45" s="88">
        <f>IF(G13=0,0,G13/TrAvia_act!G31*1000000)</f>
        <v>22806.382994758933</v>
      </c>
      <c r="H45" s="88">
        <f>IF(H13=0,0,H13/TrAvia_act!H31*1000000)</f>
        <v>24468.998709870219</v>
      </c>
      <c r="I45" s="88">
        <f>IF(I13=0,0,I13/TrAvia_act!I31*1000000)</f>
        <v>21964.632945429323</v>
      </c>
      <c r="J45" s="88">
        <f>IF(J13=0,0,J13/TrAvia_act!J31*1000000)</f>
        <v>23739.972130253802</v>
      </c>
      <c r="K45" s="88">
        <f>IF(K13=0,0,K13/TrAvia_act!K31*1000000)</f>
        <v>25285.05098782518</v>
      </c>
      <c r="L45" s="88">
        <f>IF(L13=0,0,L13/TrAvia_act!L31*1000000)</f>
        <v>24787.61653552001</v>
      </c>
      <c r="M45" s="88">
        <f>IF(M13=0,0,M13/TrAvia_act!M31*1000000)</f>
        <v>23910.05952675331</v>
      </c>
      <c r="N45" s="88">
        <f>IF(N13=0,0,N13/TrAvia_act!N31*1000000)</f>
        <v>23087.390153777164</v>
      </c>
      <c r="O45" s="88">
        <f>IF(O13=0,0,O13/TrAvia_act!O31*1000000)</f>
        <v>19165.480580213716</v>
      </c>
      <c r="P45" s="88">
        <f>IF(P13=0,0,P13/TrAvia_act!P31*1000000)</f>
        <v>11668.028440921067</v>
      </c>
      <c r="Q45" s="88">
        <f>IF(Q13=0,0,Q13/TrAvia_act!Q31*1000000)</f>
        <v>8633.0083298668087</v>
      </c>
      <c r="R45" s="88">
        <f>IF(R13=0,0,R13/TrAvia_act!R31*1000000)</f>
        <v>6859.8606610725556</v>
      </c>
      <c r="S45" s="88">
        <f>IF(S13=0,0,S13/TrAvia_act!S31*1000000)</f>
        <v>4663.5016720100612</v>
      </c>
      <c r="T45" s="88">
        <f>IF(T13=0,0,T13/TrAvia_act!T31*1000000)</f>
        <v>3313.6941234110395</v>
      </c>
      <c r="U45" s="88">
        <f>IF(U13=0,0,U13/TrAvia_act!U31*1000000)</f>
        <v>3837.9357279932119</v>
      </c>
      <c r="V45" s="88">
        <f>IF(V13=0,0,V13/TrAvia_act!V31*1000000)</f>
        <v>4916.1037642705014</v>
      </c>
      <c r="W45" s="88">
        <f>IF(W13=0,0,W13/TrAvia_act!W31*1000000)</f>
        <v>4009.9741542789538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0.98647356998169355</v>
      </c>
      <c r="C48" s="16">
        <f t="shared" si="35"/>
        <v>0.98469122898555872</v>
      </c>
      <c r="D48" s="16">
        <f t="shared" ref="D48:V48" si="36">IF(D6=0,0,D6/D$3)</f>
        <v>0.97779536921172727</v>
      </c>
      <c r="E48" s="16">
        <f t="shared" si="36"/>
        <v>0.97027005854588178</v>
      </c>
      <c r="F48" s="16">
        <f t="shared" si="36"/>
        <v>0.96645988943115335</v>
      </c>
      <c r="G48" s="16">
        <f t="shared" si="36"/>
        <v>0.96198028539085956</v>
      </c>
      <c r="H48" s="16">
        <f t="shared" si="36"/>
        <v>0.95820951833776014</v>
      </c>
      <c r="I48" s="16">
        <f t="shared" si="36"/>
        <v>0.95669177747172007</v>
      </c>
      <c r="J48" s="16">
        <f t="shared" si="36"/>
        <v>0.95682071287414783</v>
      </c>
      <c r="K48" s="16">
        <f t="shared" si="36"/>
        <v>0.96287155379580502</v>
      </c>
      <c r="L48" s="16">
        <f t="shared" si="36"/>
        <v>0.95804660285493648</v>
      </c>
      <c r="M48" s="16">
        <f t="shared" si="36"/>
        <v>0.96682807477819444</v>
      </c>
      <c r="N48" s="16">
        <f t="shared" si="36"/>
        <v>0.97208471436580235</v>
      </c>
      <c r="O48" s="16">
        <f t="shared" si="36"/>
        <v>0.97995769205236416</v>
      </c>
      <c r="P48" s="16">
        <f t="shared" si="36"/>
        <v>0.98434872274313356</v>
      </c>
      <c r="Q48" s="16">
        <f t="shared" si="36"/>
        <v>0.98593387896386686</v>
      </c>
      <c r="R48" s="16">
        <f t="shared" si="36"/>
        <v>0.98927320630744697</v>
      </c>
      <c r="S48" s="16">
        <f t="shared" si="36"/>
        <v>0.99009805577005094</v>
      </c>
      <c r="T48" s="16">
        <f t="shared" si="36"/>
        <v>0.99093211838253603</v>
      </c>
      <c r="U48" s="16">
        <f t="shared" si="36"/>
        <v>0.98854246601892759</v>
      </c>
      <c r="V48" s="16">
        <f t="shared" si="36"/>
        <v>0.96551402055772551</v>
      </c>
      <c r="W48" s="16">
        <f t="shared" ref="W48" si="37">IF(W6=0,0,W6/W$3)</f>
        <v>0.96630187369471066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0.25392519945069625</v>
      </c>
      <c r="C49" s="103">
        <f t="shared" si="38"/>
        <v>0.2529616741175662</v>
      </c>
      <c r="D49" s="103">
        <f t="shared" ref="D49:V49" si="39">IF(D7=0,0,D7/D$3)</f>
        <v>0.27460141267276528</v>
      </c>
      <c r="E49" s="103">
        <f t="shared" si="39"/>
        <v>0.27362545767042273</v>
      </c>
      <c r="F49" s="103">
        <f t="shared" si="39"/>
        <v>0.2591549014176241</v>
      </c>
      <c r="G49" s="103">
        <f t="shared" si="39"/>
        <v>0.26293692475273112</v>
      </c>
      <c r="H49" s="103">
        <f t="shared" si="39"/>
        <v>0.24294785451090689</v>
      </c>
      <c r="I49" s="103">
        <f t="shared" si="39"/>
        <v>0.24052937529182813</v>
      </c>
      <c r="J49" s="103">
        <f t="shared" si="39"/>
        <v>0.19808160269846461</v>
      </c>
      <c r="K49" s="103">
        <f t="shared" si="39"/>
        <v>0.19232737529016314</v>
      </c>
      <c r="L49" s="103">
        <f t="shared" si="39"/>
        <v>0.18838655042773159</v>
      </c>
      <c r="M49" s="103">
        <f t="shared" si="39"/>
        <v>0.19233421036435083</v>
      </c>
      <c r="N49" s="103">
        <f t="shared" si="39"/>
        <v>0.19735305557071786</v>
      </c>
      <c r="O49" s="103">
        <f t="shared" si="39"/>
        <v>0.18005691842727112</v>
      </c>
      <c r="P49" s="103">
        <f t="shared" si="39"/>
        <v>0.19399049256571557</v>
      </c>
      <c r="Q49" s="103">
        <f t="shared" si="39"/>
        <v>0.18849714689673228</v>
      </c>
      <c r="R49" s="103">
        <f t="shared" si="39"/>
        <v>0.1824249458344015</v>
      </c>
      <c r="S49" s="103">
        <f t="shared" si="39"/>
        <v>0.17237248003175998</v>
      </c>
      <c r="T49" s="103">
        <f t="shared" si="39"/>
        <v>0.1576739602926957</v>
      </c>
      <c r="U49" s="103">
        <f t="shared" si="39"/>
        <v>0.15079944687472754</v>
      </c>
      <c r="V49" s="103">
        <f t="shared" si="39"/>
        <v>0.15077691393588502</v>
      </c>
      <c r="W49" s="103">
        <f t="shared" ref="W49" si="40">IF(W7=0,0,W7/W$3)</f>
        <v>0.1626347142398675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0.51867823986376793</v>
      </c>
      <c r="C50" s="103">
        <f t="shared" si="41"/>
        <v>0.52320511151092486</v>
      </c>
      <c r="D50" s="103">
        <f t="shared" ref="D50:V50" si="42">IF(D8=0,0,D8/D$3)</f>
        <v>0.50972488260077931</v>
      </c>
      <c r="E50" s="103">
        <f t="shared" si="42"/>
        <v>0.5134822720656842</v>
      </c>
      <c r="F50" s="103">
        <f t="shared" si="42"/>
        <v>0.5199937986860208</v>
      </c>
      <c r="G50" s="103">
        <f t="shared" si="42"/>
        <v>0.51381607419678754</v>
      </c>
      <c r="H50" s="103">
        <f t="shared" si="42"/>
        <v>0.52970477808543825</v>
      </c>
      <c r="I50" s="103">
        <f t="shared" si="42"/>
        <v>0.53341434484889716</v>
      </c>
      <c r="J50" s="103">
        <f t="shared" si="42"/>
        <v>0.56205619256870054</v>
      </c>
      <c r="K50" s="103">
        <f t="shared" si="42"/>
        <v>0.55943600583229092</v>
      </c>
      <c r="L50" s="103">
        <f t="shared" si="42"/>
        <v>0.55912442003895202</v>
      </c>
      <c r="M50" s="103">
        <f t="shared" si="42"/>
        <v>0.56659572149772885</v>
      </c>
      <c r="N50" s="103">
        <f t="shared" si="42"/>
        <v>0.56094808005702179</v>
      </c>
      <c r="O50" s="103">
        <f t="shared" si="42"/>
        <v>0.57992992506883245</v>
      </c>
      <c r="P50" s="103">
        <f t="shared" si="42"/>
        <v>0.57452215568760301</v>
      </c>
      <c r="Q50" s="103">
        <f t="shared" si="42"/>
        <v>0.5799503879624005</v>
      </c>
      <c r="R50" s="103">
        <f t="shared" si="42"/>
        <v>0.5957962616567446</v>
      </c>
      <c r="S50" s="103">
        <f t="shared" si="42"/>
        <v>0.61026453160606353</v>
      </c>
      <c r="T50" s="103">
        <f t="shared" si="42"/>
        <v>0.61742316380865303</v>
      </c>
      <c r="U50" s="103">
        <f t="shared" si="42"/>
        <v>0.61121622793411667</v>
      </c>
      <c r="V50" s="103">
        <f t="shared" si="42"/>
        <v>0.55070582999304607</v>
      </c>
      <c r="W50" s="103">
        <f t="shared" ref="W50" si="43">IF(W8=0,0,W8/W$3)</f>
        <v>0.56725858198668888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0.21387013066722935</v>
      </c>
      <c r="C51" s="103">
        <f t="shared" si="44"/>
        <v>0.20852444335706768</v>
      </c>
      <c r="D51" s="103">
        <f t="shared" ref="D51:V51" si="45">IF(D9=0,0,D9/D$3)</f>
        <v>0.19346907393818286</v>
      </c>
      <c r="E51" s="103">
        <f t="shared" si="45"/>
        <v>0.18316232880977479</v>
      </c>
      <c r="F51" s="103">
        <f t="shared" si="45"/>
        <v>0.18731118932750837</v>
      </c>
      <c r="G51" s="103">
        <f t="shared" si="45"/>
        <v>0.18522728644134087</v>
      </c>
      <c r="H51" s="103">
        <f t="shared" si="45"/>
        <v>0.18555688574141502</v>
      </c>
      <c r="I51" s="103">
        <f t="shared" si="45"/>
        <v>0.18274805733099486</v>
      </c>
      <c r="J51" s="103">
        <f t="shared" si="45"/>
        <v>0.19668291760698275</v>
      </c>
      <c r="K51" s="103">
        <f t="shared" si="45"/>
        <v>0.21110817267335091</v>
      </c>
      <c r="L51" s="103">
        <f t="shared" si="45"/>
        <v>0.21053563238825287</v>
      </c>
      <c r="M51" s="103">
        <f t="shared" si="45"/>
        <v>0.20789814291611472</v>
      </c>
      <c r="N51" s="103">
        <f t="shared" si="45"/>
        <v>0.2137835787380627</v>
      </c>
      <c r="O51" s="103">
        <f t="shared" si="45"/>
        <v>0.21997084855626073</v>
      </c>
      <c r="P51" s="103">
        <f t="shared" si="45"/>
        <v>0.21583607448981498</v>
      </c>
      <c r="Q51" s="103">
        <f t="shared" si="45"/>
        <v>0.21748634410473397</v>
      </c>
      <c r="R51" s="103">
        <f t="shared" si="45"/>
        <v>0.21105199881630093</v>
      </c>
      <c r="S51" s="103">
        <f t="shared" si="45"/>
        <v>0.20746104413222727</v>
      </c>
      <c r="T51" s="103">
        <f t="shared" si="45"/>
        <v>0.21583499428118727</v>
      </c>
      <c r="U51" s="103">
        <f t="shared" si="45"/>
        <v>0.22652679121008332</v>
      </c>
      <c r="V51" s="103">
        <f t="shared" si="45"/>
        <v>0.26403127662879444</v>
      </c>
      <c r="W51" s="103">
        <f t="shared" ref="W51" si="46">IF(W9=0,0,W9/W$3)</f>
        <v>0.23640857746815419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1.3526430018306562E-2</v>
      </c>
      <c r="C52" s="17">
        <f t="shared" si="47"/>
        <v>1.5308771014441391E-2</v>
      </c>
      <c r="D52" s="17">
        <f t="shared" ref="D52:V52" si="48">IF(D10=0,0,D10/D$3)</f>
        <v>2.220463078827279E-2</v>
      </c>
      <c r="E52" s="17">
        <f t="shared" si="48"/>
        <v>2.9729941454118437E-2</v>
      </c>
      <c r="F52" s="17">
        <f t="shared" si="48"/>
        <v>3.3540110568846884E-2</v>
      </c>
      <c r="G52" s="17">
        <f t="shared" si="48"/>
        <v>3.8019714609140422E-2</v>
      </c>
      <c r="H52" s="17">
        <f t="shared" si="48"/>
        <v>4.1790481662239864E-2</v>
      </c>
      <c r="I52" s="17">
        <f t="shared" si="48"/>
        <v>4.3308222528279851E-2</v>
      </c>
      <c r="J52" s="17">
        <f t="shared" si="48"/>
        <v>4.3179287125852062E-2</v>
      </c>
      <c r="K52" s="17">
        <f t="shared" si="48"/>
        <v>3.7128446204195045E-2</v>
      </c>
      <c r="L52" s="17">
        <f t="shared" si="48"/>
        <v>4.195339714506359E-2</v>
      </c>
      <c r="M52" s="17">
        <f t="shared" si="48"/>
        <v>3.317192522180562E-2</v>
      </c>
      <c r="N52" s="17">
        <f t="shared" si="48"/>
        <v>2.791528563419754E-2</v>
      </c>
      <c r="O52" s="17">
        <f t="shared" si="48"/>
        <v>2.0042307947635868E-2</v>
      </c>
      <c r="P52" s="17">
        <f t="shared" si="48"/>
        <v>1.5651277256866377E-2</v>
      </c>
      <c r="Q52" s="17">
        <f t="shared" si="48"/>
        <v>1.4066121036133165E-2</v>
      </c>
      <c r="R52" s="17">
        <f t="shared" si="48"/>
        <v>1.0726793692553051E-2</v>
      </c>
      <c r="S52" s="17">
        <f t="shared" si="48"/>
        <v>9.901944229949361E-3</v>
      </c>
      <c r="T52" s="17">
        <f t="shared" si="48"/>
        <v>9.0678816174640346E-3</v>
      </c>
      <c r="U52" s="17">
        <f t="shared" si="48"/>
        <v>1.1457533981072432E-2</v>
      </c>
      <c r="V52" s="17">
        <f t="shared" si="48"/>
        <v>3.4485979442274405E-2</v>
      </c>
      <c r="W52" s="17">
        <f t="shared" ref="W52" si="49">IF(W10=0,0,W10/W$3)</f>
        <v>3.3698126305289546E-2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1.3189164996206006E-3</v>
      </c>
      <c r="C53" s="104">
        <f t="shared" si="50"/>
        <v>1.1069941013554282E-3</v>
      </c>
      <c r="D53" s="104">
        <f t="shared" ref="D53:V53" si="51">IF(D11=0,0,D11/D$3)</f>
        <v>1.6211321147768392E-3</v>
      </c>
      <c r="E53" s="104">
        <f t="shared" si="51"/>
        <v>1.9038851612416076E-3</v>
      </c>
      <c r="F53" s="104">
        <f t="shared" si="51"/>
        <v>2.6794953926575584E-3</v>
      </c>
      <c r="G53" s="104">
        <f t="shared" si="51"/>
        <v>3.0467288793836031E-3</v>
      </c>
      <c r="H53" s="104">
        <f t="shared" si="51"/>
        <v>3.5626619609705899E-3</v>
      </c>
      <c r="I53" s="104">
        <f t="shared" si="51"/>
        <v>4.3661711037573485E-3</v>
      </c>
      <c r="J53" s="104">
        <f t="shared" si="51"/>
        <v>3.8529136839969532E-3</v>
      </c>
      <c r="K53" s="104">
        <f t="shared" si="51"/>
        <v>3.2243755285497207E-3</v>
      </c>
      <c r="L53" s="104">
        <f t="shared" si="51"/>
        <v>2.7455870765084678E-3</v>
      </c>
      <c r="M53" s="104">
        <f t="shared" si="51"/>
        <v>2.2717353947338732E-3</v>
      </c>
      <c r="N53" s="104">
        <f t="shared" si="51"/>
        <v>2.3552262652933101E-3</v>
      </c>
      <c r="O53" s="104">
        <f t="shared" si="51"/>
        <v>2.0499979644139511E-3</v>
      </c>
      <c r="P53" s="104">
        <f t="shared" si="51"/>
        <v>2.0128971644699923E-3</v>
      </c>
      <c r="Q53" s="104">
        <f t="shared" si="51"/>
        <v>1.9078488735468221E-3</v>
      </c>
      <c r="R53" s="104">
        <f t="shared" si="51"/>
        <v>1.5384357713837001E-3</v>
      </c>
      <c r="S53" s="104">
        <f t="shared" si="51"/>
        <v>1.575470749384853E-3</v>
      </c>
      <c r="T53" s="104">
        <f t="shared" si="51"/>
        <v>1.1107762011509502E-3</v>
      </c>
      <c r="U53" s="104">
        <f t="shared" si="51"/>
        <v>7.5543317060271611E-4</v>
      </c>
      <c r="V53" s="104">
        <f t="shared" si="51"/>
        <v>1.4529145202712248E-3</v>
      </c>
      <c r="W53" s="104">
        <f t="shared" ref="W53" si="52">IF(W11=0,0,W11/W$3)</f>
        <v>1.8886813292599768E-3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4.9011115422230855E-3</v>
      </c>
      <c r="C54" s="104">
        <f t="shared" si="53"/>
        <v>4.186300626925335E-3</v>
      </c>
      <c r="D54" s="104">
        <f t="shared" ref="D54:V54" si="54">IF(D12=0,0,D12/D$3)</f>
        <v>5.9258742838620244E-3</v>
      </c>
      <c r="E54" s="104">
        <f t="shared" si="54"/>
        <v>6.9494752836678419E-3</v>
      </c>
      <c r="F54" s="104">
        <f t="shared" si="54"/>
        <v>8.4464590969553013E-3</v>
      </c>
      <c r="G54" s="104">
        <f t="shared" si="54"/>
        <v>9.8392739944242868E-3</v>
      </c>
      <c r="H54" s="104">
        <f t="shared" si="54"/>
        <v>1.1141554449169764E-2</v>
      </c>
      <c r="I54" s="104">
        <f t="shared" si="54"/>
        <v>1.3112391438675012E-2</v>
      </c>
      <c r="J54" s="104">
        <f t="shared" si="54"/>
        <v>1.3515640317800339E-2</v>
      </c>
      <c r="K54" s="104">
        <f t="shared" si="54"/>
        <v>1.2088721795205551E-2</v>
      </c>
      <c r="L54" s="104">
        <f t="shared" si="54"/>
        <v>1.2286284415457137E-2</v>
      </c>
      <c r="M54" s="104">
        <f t="shared" si="54"/>
        <v>8.3831962693147501E-3</v>
      </c>
      <c r="N54" s="104">
        <f t="shared" si="54"/>
        <v>7.1747236116797911E-3</v>
      </c>
      <c r="O54" s="104">
        <f t="shared" si="54"/>
        <v>6.5905050101407354E-3</v>
      </c>
      <c r="P54" s="104">
        <f t="shared" si="54"/>
        <v>6.1890482018364329E-3</v>
      </c>
      <c r="Q54" s="104">
        <f t="shared" si="54"/>
        <v>6.3890741880979728E-3</v>
      </c>
      <c r="R54" s="104">
        <f t="shared" si="54"/>
        <v>5.4150094315374266E-3</v>
      </c>
      <c r="S54" s="104">
        <f t="shared" si="54"/>
        <v>5.6006192285729828E-3</v>
      </c>
      <c r="T54" s="104">
        <f t="shared" si="54"/>
        <v>5.8143110817294981E-3</v>
      </c>
      <c r="U54" s="104">
        <f t="shared" si="54"/>
        <v>9.1368486635641372E-3</v>
      </c>
      <c r="V54" s="104">
        <f t="shared" si="54"/>
        <v>2.721903985137375E-2</v>
      </c>
      <c r="W54" s="104">
        <f t="shared" ref="W54" si="55">IF(W12=0,0,W12/W$3)</f>
        <v>2.6367274932855352E-2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7.3064019764628755E-3</v>
      </c>
      <c r="C55" s="105">
        <f t="shared" si="56"/>
        <v>1.0015476286160627E-2</v>
      </c>
      <c r="D55" s="105">
        <f t="shared" ref="D55:V55" si="57">IF(D13=0,0,D13/D$3)</f>
        <v>1.4657624389633929E-2</v>
      </c>
      <c r="E55" s="105">
        <f t="shared" si="57"/>
        <v>2.0876581009208986E-2</v>
      </c>
      <c r="F55" s="105">
        <f t="shared" si="57"/>
        <v>2.2414156079234023E-2</v>
      </c>
      <c r="G55" s="105">
        <f t="shared" si="57"/>
        <v>2.5133711735332534E-2</v>
      </c>
      <c r="H55" s="105">
        <f t="shared" si="57"/>
        <v>2.7086265252099517E-2</v>
      </c>
      <c r="I55" s="105">
        <f t="shared" si="57"/>
        <v>2.5829659985847495E-2</v>
      </c>
      <c r="J55" s="105">
        <f t="shared" si="57"/>
        <v>2.5810733124054769E-2</v>
      </c>
      <c r="K55" s="105">
        <f t="shared" si="57"/>
        <v>2.1815348880439771E-2</v>
      </c>
      <c r="L55" s="105">
        <f t="shared" si="57"/>
        <v>2.692152565309798E-2</v>
      </c>
      <c r="M55" s="105">
        <f t="shared" si="57"/>
        <v>2.2516993557756999E-2</v>
      </c>
      <c r="N55" s="105">
        <f t="shared" si="57"/>
        <v>1.8385335757224439E-2</v>
      </c>
      <c r="O55" s="105">
        <f t="shared" si="57"/>
        <v>1.1401804973081181E-2</v>
      </c>
      <c r="P55" s="105">
        <f t="shared" si="57"/>
        <v>7.4493318905599513E-3</v>
      </c>
      <c r="Q55" s="105">
        <f t="shared" si="57"/>
        <v>5.7691979744883696E-3</v>
      </c>
      <c r="R55" s="105">
        <f t="shared" si="57"/>
        <v>3.7733484896319246E-3</v>
      </c>
      <c r="S55" s="105">
        <f t="shared" si="57"/>
        <v>2.7258542519915251E-3</v>
      </c>
      <c r="T55" s="105">
        <f t="shared" si="57"/>
        <v>2.1427943345835869E-3</v>
      </c>
      <c r="U55" s="105">
        <f t="shared" si="57"/>
        <v>1.5652521469055802E-3</v>
      </c>
      <c r="V55" s="105">
        <f t="shared" si="57"/>
        <v>5.8140250706294324E-3</v>
      </c>
      <c r="W55" s="105">
        <f t="shared" ref="W55" si="58">IF(W13=0,0,W13/W$3)</f>
        <v>5.4421700431742156E-3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449.88089888209811</v>
      </c>
      <c r="C57" s="62">
        <v>448.70486429695234</v>
      </c>
      <c r="D57" s="62">
        <v>448.58254782171639</v>
      </c>
      <c r="E57" s="62">
        <v>447.99148543306859</v>
      </c>
      <c r="F57" s="62">
        <v>448.67249687350613</v>
      </c>
      <c r="G57" s="62">
        <v>459.08068674134239</v>
      </c>
      <c r="H57" s="62">
        <v>460.26275206765092</v>
      </c>
      <c r="I57" s="62">
        <v>468.9790457173882</v>
      </c>
      <c r="J57" s="62">
        <v>472.66654197142412</v>
      </c>
      <c r="K57" s="62">
        <v>469.40296738672203</v>
      </c>
      <c r="L57" s="62">
        <v>455.60241022476083</v>
      </c>
      <c r="M57" s="62">
        <v>450.9227581834416</v>
      </c>
      <c r="N57" s="62">
        <v>452.54275535679983</v>
      </c>
      <c r="O57" s="62">
        <v>450.02791946126558</v>
      </c>
      <c r="P57" s="62">
        <v>454.55668422791672</v>
      </c>
      <c r="Q57" s="62">
        <v>455.00950191306185</v>
      </c>
      <c r="R57" s="62">
        <v>460.92512031844569</v>
      </c>
      <c r="S57" s="62">
        <v>458.19076148423954</v>
      </c>
      <c r="T57" s="62">
        <v>458.49449583936962</v>
      </c>
      <c r="U57" s="62">
        <v>456.89101567568139</v>
      </c>
      <c r="V57" s="62">
        <v>458.44567093076512</v>
      </c>
      <c r="W57" s="62">
        <v>426.97657675287104</v>
      </c>
      <c r="DA57" s="172" t="s">
        <v>313</v>
      </c>
    </row>
    <row r="58" spans="1:105" ht="11.45" customHeight="1" x14ac:dyDescent="0.25">
      <c r="A58" s="10" t="s">
        <v>33</v>
      </c>
      <c r="B58" s="14">
        <v>449.35800198210245</v>
      </c>
      <c r="C58" s="14">
        <v>447.74163197347485</v>
      </c>
      <c r="D58" s="14">
        <v>447.1252711337097</v>
      </c>
      <c r="E58" s="14">
        <v>445.75016188745911</v>
      </c>
      <c r="F58" s="14">
        <v>446.32730802141072</v>
      </c>
      <c r="G58" s="14">
        <v>455.30141466178293</v>
      </c>
      <c r="H58" s="14">
        <v>455.20152551887179</v>
      </c>
      <c r="I58" s="14">
        <v>463.45598819042374</v>
      </c>
      <c r="J58" s="14">
        <v>466.90952168113489</v>
      </c>
      <c r="K58" s="14">
        <v>464.78300936827304</v>
      </c>
      <c r="L58" s="14">
        <v>449.86076646485361</v>
      </c>
      <c r="M58" s="14">
        <v>446.20167824862767</v>
      </c>
      <c r="N58" s="14">
        <v>448.89294672142569</v>
      </c>
      <c r="O58" s="14">
        <v>448.5023687975899</v>
      </c>
      <c r="P58" s="14">
        <v>454.32740761608233</v>
      </c>
      <c r="Q58" s="14">
        <v>455.57131437601788</v>
      </c>
      <c r="R58" s="14">
        <v>461.74406722610138</v>
      </c>
      <c r="S58" s="14">
        <v>459.24037883096344</v>
      </c>
      <c r="T58" s="14">
        <v>459.51540400784205</v>
      </c>
      <c r="U58" s="14">
        <v>457.95568913440451</v>
      </c>
      <c r="V58" s="14">
        <v>461.52097013342006</v>
      </c>
      <c r="W58" s="14">
        <v>429.67619656809768</v>
      </c>
      <c r="DA58" s="189" t="s">
        <v>314</v>
      </c>
    </row>
    <row r="59" spans="1:105" ht="11.45" customHeight="1" x14ac:dyDescent="0.25">
      <c r="A59" s="83" t="s">
        <v>27</v>
      </c>
      <c r="B59" s="87">
        <v>506.89418001199573</v>
      </c>
      <c r="C59" s="87">
        <v>506.89418001199579</v>
      </c>
      <c r="D59" s="87">
        <v>506.89418001199579</v>
      </c>
      <c r="E59" s="87">
        <v>506.89418001199579</v>
      </c>
      <c r="F59" s="87">
        <v>506.89418001199573</v>
      </c>
      <c r="G59" s="87">
        <v>505.80278161039922</v>
      </c>
      <c r="H59" s="87">
        <v>504.18763756778333</v>
      </c>
      <c r="I59" s="87">
        <v>501.87247247498141</v>
      </c>
      <c r="J59" s="87">
        <v>495.66467075497218</v>
      </c>
      <c r="K59" s="87">
        <v>493.25459807978353</v>
      </c>
      <c r="L59" s="87">
        <v>495.02445239527032</v>
      </c>
      <c r="M59" s="87">
        <v>497.10914865780228</v>
      </c>
      <c r="N59" s="87">
        <v>492.35897709139431</v>
      </c>
      <c r="O59" s="87">
        <v>492.25204058194214</v>
      </c>
      <c r="P59" s="87">
        <v>489.64662003628007</v>
      </c>
      <c r="Q59" s="87">
        <v>489.06662926573296</v>
      </c>
      <c r="R59" s="87">
        <v>483.29175317085202</v>
      </c>
      <c r="S59" s="87">
        <v>481.96028203430683</v>
      </c>
      <c r="T59" s="87">
        <v>481.36862061293152</v>
      </c>
      <c r="U59" s="87">
        <v>482.68786278633473</v>
      </c>
      <c r="V59" s="87">
        <v>485.60691018661493</v>
      </c>
      <c r="W59" s="87">
        <v>484.67239640984826</v>
      </c>
      <c r="DA59" s="171" t="s">
        <v>315</v>
      </c>
    </row>
    <row r="60" spans="1:105" ht="11.45" customHeight="1" x14ac:dyDescent="0.25">
      <c r="A60" s="83" t="s">
        <v>173</v>
      </c>
      <c r="B60" s="87">
        <v>379.07051974411127</v>
      </c>
      <c r="C60" s="87">
        <v>377.7911325034384</v>
      </c>
      <c r="D60" s="87">
        <v>376.85680478508885</v>
      </c>
      <c r="E60" s="87">
        <v>377.48759429363787</v>
      </c>
      <c r="F60" s="87">
        <v>378.72076668069826</v>
      </c>
      <c r="G60" s="87">
        <v>377.83832190644921</v>
      </c>
      <c r="H60" s="87">
        <v>371.6513605547064</v>
      </c>
      <c r="I60" s="87">
        <v>369.23177037844772</v>
      </c>
      <c r="J60" s="87">
        <v>369.12258378861628</v>
      </c>
      <c r="K60" s="87">
        <v>370.26726699878338</v>
      </c>
      <c r="L60" s="87">
        <v>368.1224991328491</v>
      </c>
      <c r="M60" s="87">
        <v>370.5352455294618</v>
      </c>
      <c r="N60" s="87">
        <v>375.71612179335176</v>
      </c>
      <c r="O60" s="87">
        <v>373.83462164946218</v>
      </c>
      <c r="P60" s="87">
        <v>374.7983171208657</v>
      </c>
      <c r="Q60" s="87">
        <v>376.53679140983701</v>
      </c>
      <c r="R60" s="87">
        <v>375.93843218011835</v>
      </c>
      <c r="S60" s="87">
        <v>374.84650515231448</v>
      </c>
      <c r="T60" s="87">
        <v>375.88613938291667</v>
      </c>
      <c r="U60" s="87">
        <v>374.92503364441131</v>
      </c>
      <c r="V60" s="87">
        <v>380.47293714917009</v>
      </c>
      <c r="W60" s="87">
        <v>376.08465824363248</v>
      </c>
      <c r="DA60" s="171" t="s">
        <v>316</v>
      </c>
    </row>
    <row r="61" spans="1:105" ht="11.45" customHeight="1" x14ac:dyDescent="0.25">
      <c r="A61" s="83" t="s">
        <v>174</v>
      </c>
      <c r="B61" s="87">
        <v>580.37353721147019</v>
      </c>
      <c r="C61" s="87">
        <v>580.37353721147019</v>
      </c>
      <c r="D61" s="87">
        <v>580.37353721147031</v>
      </c>
      <c r="E61" s="87">
        <v>580.37353721147019</v>
      </c>
      <c r="F61" s="87">
        <v>580.37353721147019</v>
      </c>
      <c r="G61" s="87">
        <v>607.19107458638473</v>
      </c>
      <c r="H61" s="87">
        <v>658.32608928299442</v>
      </c>
      <c r="I61" s="87">
        <v>704.78551114742811</v>
      </c>
      <c r="J61" s="87">
        <v>707.80456365107409</v>
      </c>
      <c r="K61" s="87">
        <v>668.29377816578324</v>
      </c>
      <c r="L61" s="87">
        <v>607.22781662041837</v>
      </c>
      <c r="M61" s="87">
        <v>587.38769866393909</v>
      </c>
      <c r="N61" s="87">
        <v>589.38800582875854</v>
      </c>
      <c r="O61" s="87">
        <v>590.39236815573736</v>
      </c>
      <c r="P61" s="87">
        <v>602.79954012209555</v>
      </c>
      <c r="Q61" s="87">
        <v>605.74848364286834</v>
      </c>
      <c r="R61" s="87">
        <v>647.78593115147225</v>
      </c>
      <c r="S61" s="87">
        <v>643.83001686026955</v>
      </c>
      <c r="T61" s="87">
        <v>631.78573174623466</v>
      </c>
      <c r="U61" s="87">
        <v>623.69506655661553</v>
      </c>
      <c r="V61" s="87">
        <v>593.152217623512</v>
      </c>
      <c r="W61" s="87">
        <v>505.88613598139142</v>
      </c>
      <c r="DA61" s="171" t="s">
        <v>317</v>
      </c>
    </row>
    <row r="62" spans="1:105" ht="11.45" customHeight="1" x14ac:dyDescent="0.25">
      <c r="A62" s="12" t="s">
        <v>34</v>
      </c>
      <c r="B62" s="15">
        <v>498.85048835980848</v>
      </c>
      <c r="C62" s="15">
        <v>529.01217572436735</v>
      </c>
      <c r="D62" s="15">
        <v>530.98608968568874</v>
      </c>
      <c r="E62" s="15">
        <v>542.03919712369918</v>
      </c>
      <c r="F62" s="15">
        <v>537.07217082122884</v>
      </c>
      <c r="G62" s="15">
        <v>569.57996716251239</v>
      </c>
      <c r="H62" s="15">
        <v>595.03905871857285</v>
      </c>
      <c r="I62" s="15">
        <v>599.8042893645669</v>
      </c>
      <c r="J62" s="15">
        <v>609.37611897655893</v>
      </c>
      <c r="K62" s="15">
        <v>603.40338533201486</v>
      </c>
      <c r="L62" s="15">
        <v>604.99328700660249</v>
      </c>
      <c r="M62" s="15">
        <v>609.95797113963181</v>
      </c>
      <c r="N62" s="15">
        <v>601.50034990889617</v>
      </c>
      <c r="O62" s="15">
        <v>531.98033385642498</v>
      </c>
      <c r="P62" s="15">
        <v>468.63398168480649</v>
      </c>
      <c r="Q62" s="15">
        <v>418.58384139192515</v>
      </c>
      <c r="R62" s="15">
        <v>393.98704230385766</v>
      </c>
      <c r="S62" s="15">
        <v>364.62918334276793</v>
      </c>
      <c r="T62" s="15">
        <v>358.73913900374009</v>
      </c>
      <c r="U62" s="15">
        <v>368.11863816690857</v>
      </c>
      <c r="V62" s="15">
        <v>373.42677417809415</v>
      </c>
      <c r="W62" s="15">
        <v>353.71434646054803</v>
      </c>
      <c r="DA62" s="193" t="s">
        <v>318</v>
      </c>
    </row>
    <row r="63" spans="1:105" ht="11.45" customHeight="1" x14ac:dyDescent="0.25">
      <c r="A63" s="92" t="s">
        <v>27</v>
      </c>
      <c r="B63" s="101">
        <v>592.02875966474778</v>
      </c>
      <c r="C63" s="101">
        <v>592.02875966474789</v>
      </c>
      <c r="D63" s="101">
        <v>592.02875966474778</v>
      </c>
      <c r="E63" s="101">
        <v>592.02875966474778</v>
      </c>
      <c r="F63" s="101">
        <v>592.02875966474789</v>
      </c>
      <c r="G63" s="101">
        <v>590.32998437618767</v>
      </c>
      <c r="H63" s="101">
        <v>583.1184535276617</v>
      </c>
      <c r="I63" s="101">
        <v>575.11414445614889</v>
      </c>
      <c r="J63" s="101">
        <v>561.79638711303653</v>
      </c>
      <c r="K63" s="101">
        <v>554.34376342819075</v>
      </c>
      <c r="L63" s="101">
        <v>552.86711846807702</v>
      </c>
      <c r="M63" s="101">
        <v>562.04364134195407</v>
      </c>
      <c r="N63" s="101">
        <v>561.63923967798507</v>
      </c>
      <c r="O63" s="101">
        <v>566.11549303349591</v>
      </c>
      <c r="P63" s="101">
        <v>566.88386852406813</v>
      </c>
      <c r="Q63" s="101">
        <v>570.74253235048081</v>
      </c>
      <c r="R63" s="101">
        <v>566.42511102045205</v>
      </c>
      <c r="S63" s="101">
        <v>569.02627448047849</v>
      </c>
      <c r="T63" s="101">
        <v>572.86646840758101</v>
      </c>
      <c r="U63" s="101">
        <v>596.31852232613494</v>
      </c>
      <c r="V63" s="101">
        <v>601.66628289624202</v>
      </c>
      <c r="W63" s="101">
        <v>599.95108370703292</v>
      </c>
      <c r="DA63" s="175" t="s">
        <v>319</v>
      </c>
    </row>
    <row r="64" spans="1:105" ht="11.45" customHeight="1" x14ac:dyDescent="0.25">
      <c r="A64" s="92" t="s">
        <v>173</v>
      </c>
      <c r="B64" s="101">
        <v>363.67350850944041</v>
      </c>
      <c r="C64" s="101">
        <v>365.67391053940747</v>
      </c>
      <c r="D64" s="101">
        <v>365.72587794021945</v>
      </c>
      <c r="E64" s="101">
        <v>366.04106842056234</v>
      </c>
      <c r="F64" s="101">
        <v>375.31011698985429</v>
      </c>
      <c r="G64" s="101">
        <v>360.35262098776167</v>
      </c>
      <c r="H64" s="101">
        <v>351.69270737165533</v>
      </c>
      <c r="I64" s="101">
        <v>346.0789207301018</v>
      </c>
      <c r="J64" s="101">
        <v>344.37505343674798</v>
      </c>
      <c r="K64" s="101">
        <v>348.95945354272368</v>
      </c>
      <c r="L64" s="101">
        <v>345.61975542057854</v>
      </c>
      <c r="M64" s="101">
        <v>344.02351492057954</v>
      </c>
      <c r="N64" s="101">
        <v>346.01184820262148</v>
      </c>
      <c r="O64" s="101">
        <v>345.35450685518896</v>
      </c>
      <c r="P64" s="101">
        <v>346.6373589602901</v>
      </c>
      <c r="Q64" s="101">
        <v>353.02501205819698</v>
      </c>
      <c r="R64" s="101">
        <v>351.52781000044826</v>
      </c>
      <c r="S64" s="101">
        <v>348.76978874566612</v>
      </c>
      <c r="T64" s="101">
        <v>358.0852145161586</v>
      </c>
      <c r="U64" s="101">
        <v>363.66995347140193</v>
      </c>
      <c r="V64" s="101">
        <v>371.83394251997538</v>
      </c>
      <c r="W64" s="101">
        <v>342.91250861147768</v>
      </c>
      <c r="DA64" s="175" t="s">
        <v>320</v>
      </c>
    </row>
    <row r="65" spans="1:105" ht="11.45" customHeight="1" x14ac:dyDescent="0.25">
      <c r="A65" s="85" t="s">
        <v>174</v>
      </c>
      <c r="B65" s="88">
        <v>620.76148271605746</v>
      </c>
      <c r="C65" s="88">
        <v>620.76148271605746</v>
      </c>
      <c r="D65" s="88">
        <v>620.76148271605746</v>
      </c>
      <c r="E65" s="88">
        <v>620.76148271605746</v>
      </c>
      <c r="F65" s="88">
        <v>620.76148271605746</v>
      </c>
      <c r="G65" s="88">
        <v>656.45472524177353</v>
      </c>
      <c r="H65" s="88">
        <v>714.21962277237492</v>
      </c>
      <c r="I65" s="88">
        <v>735.11328375069718</v>
      </c>
      <c r="J65" s="88">
        <v>744.74780604548425</v>
      </c>
      <c r="K65" s="88">
        <v>744.30103733061026</v>
      </c>
      <c r="L65" s="88">
        <v>737.03851202305327</v>
      </c>
      <c r="M65" s="88">
        <v>723.09986375169535</v>
      </c>
      <c r="N65" s="88">
        <v>715.72876012697873</v>
      </c>
      <c r="O65" s="88">
        <v>638.83951456674117</v>
      </c>
      <c r="P65" s="88">
        <v>543.95614642767487</v>
      </c>
      <c r="Q65" s="88">
        <v>463.33597866103054</v>
      </c>
      <c r="R65" s="88">
        <v>425.71837429605512</v>
      </c>
      <c r="S65" s="88">
        <v>379.47644199346138</v>
      </c>
      <c r="T65" s="88">
        <v>359.48047789435714</v>
      </c>
      <c r="U65" s="88">
        <v>380.39370161072731</v>
      </c>
      <c r="V65" s="88">
        <v>377.36226753692398</v>
      </c>
      <c r="W65" s="88">
        <v>393.79020297016467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1.0628184692881215</v>
      </c>
      <c r="C67" s="59">
        <f t="shared" ref="C67:W67" si="60">IF(C3=0,0,C17/C57)</f>
        <v>1.104015828497326</v>
      </c>
      <c r="D67" s="59">
        <f t="shared" si="60"/>
        <v>0.93752636741881923</v>
      </c>
      <c r="E67" s="59">
        <f t="shared" si="60"/>
        <v>0.95827978986625939</v>
      </c>
      <c r="F67" s="59">
        <f t="shared" si="60"/>
        <v>1.0850738121547552</v>
      </c>
      <c r="G67" s="59">
        <f t="shared" si="60"/>
        <v>1.0681013836486495</v>
      </c>
      <c r="H67" s="59">
        <f t="shared" si="60"/>
        <v>1.0150387024091154</v>
      </c>
      <c r="I67" s="59">
        <f t="shared" si="60"/>
        <v>0.95339473830608834</v>
      </c>
      <c r="J67" s="59">
        <f t="shared" si="60"/>
        <v>1.0056462167074012</v>
      </c>
      <c r="K67" s="59">
        <f t="shared" si="60"/>
        <v>1.0262487780179896</v>
      </c>
      <c r="L67" s="59">
        <f t="shared" si="60"/>
        <v>0.98442372767840514</v>
      </c>
      <c r="M67" s="59">
        <f t="shared" si="60"/>
        <v>0.98719491311010843</v>
      </c>
      <c r="N67" s="59">
        <f t="shared" si="60"/>
        <v>0.97099912869401794</v>
      </c>
      <c r="O67" s="59">
        <f t="shared" si="60"/>
        <v>1.0370353804567045</v>
      </c>
      <c r="P67" s="59">
        <f t="shared" si="60"/>
        <v>0.92174924870431829</v>
      </c>
      <c r="Q67" s="59">
        <f t="shared" si="60"/>
        <v>0.93480106726830348</v>
      </c>
      <c r="R67" s="59">
        <f t="shared" si="60"/>
        <v>0.96766901845118392</v>
      </c>
      <c r="S67" s="59">
        <f t="shared" si="60"/>
        <v>0.94676649099831389</v>
      </c>
      <c r="T67" s="59">
        <f t="shared" si="60"/>
        <v>0.96168748442229446</v>
      </c>
      <c r="U67" s="59">
        <f t="shared" si="60"/>
        <v>0.95913187227571428</v>
      </c>
      <c r="V67" s="59">
        <f t="shared" si="60"/>
        <v>1.1424476761832161</v>
      </c>
      <c r="W67" s="59">
        <f t="shared" si="60"/>
        <v>1.149833799694161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1.0622744690369714</v>
      </c>
      <c r="C68" s="23">
        <f t="shared" ref="C68:W68" si="62">IF(C6=0,0,C18/C58)</f>
        <v>1.1037464407779014</v>
      </c>
      <c r="D68" s="23">
        <f t="shared" si="62"/>
        <v>0.9374138889399628</v>
      </c>
      <c r="E68" s="23">
        <f t="shared" si="62"/>
        <v>0.95845813109677513</v>
      </c>
      <c r="F68" s="23">
        <f t="shared" si="62"/>
        <v>1.0850148939808304</v>
      </c>
      <c r="G68" s="23">
        <f t="shared" si="62"/>
        <v>1.0744866949982534</v>
      </c>
      <c r="H68" s="23">
        <f t="shared" si="62"/>
        <v>1.0236776111866799</v>
      </c>
      <c r="I68" s="23">
        <f t="shared" si="62"/>
        <v>0.96556211077656762</v>
      </c>
      <c r="J68" s="23">
        <f t="shared" si="62"/>
        <v>1.019026544382714</v>
      </c>
      <c r="K68" s="23">
        <f t="shared" si="62"/>
        <v>1.0360511822228569</v>
      </c>
      <c r="L68" s="23">
        <f t="shared" si="62"/>
        <v>0.9947900823078939</v>
      </c>
      <c r="M68" s="23">
        <f t="shared" si="62"/>
        <v>0.99552567654472979</v>
      </c>
      <c r="N68" s="23">
        <f t="shared" si="62"/>
        <v>0.97720492808349457</v>
      </c>
      <c r="O68" s="23">
        <f t="shared" si="62"/>
        <v>1.0409489673772585</v>
      </c>
      <c r="P68" s="23">
        <f t="shared" si="62"/>
        <v>0.92437229722544589</v>
      </c>
      <c r="Q68" s="23">
        <f t="shared" si="62"/>
        <v>0.93645191983839149</v>
      </c>
      <c r="R68" s="23">
        <f t="shared" si="62"/>
        <v>0.96874495063039179</v>
      </c>
      <c r="S68" s="23">
        <f t="shared" si="62"/>
        <v>0.94719261291544199</v>
      </c>
      <c r="T68" s="23">
        <f t="shared" si="62"/>
        <v>0.96166509987056403</v>
      </c>
      <c r="U68" s="23">
        <f t="shared" si="62"/>
        <v>0.95799447971367502</v>
      </c>
      <c r="V68" s="23">
        <f t="shared" si="62"/>
        <v>1.1372305166223404</v>
      </c>
      <c r="W68" s="23">
        <f t="shared" si="62"/>
        <v>1.1469547437254746</v>
      </c>
      <c r="DA68" s="189"/>
    </row>
    <row r="69" spans="1:105" ht="11.45" customHeight="1" x14ac:dyDescent="0.25">
      <c r="A69" s="83" t="s">
        <v>27</v>
      </c>
      <c r="B69" s="91">
        <f t="shared" si="61"/>
        <v>0.80603428020092038</v>
      </c>
      <c r="C69" s="91">
        <f t="shared" ref="C69:W69" si="63">IF(C7=0,0,C19/C59)</f>
        <v>0.83407601689550093</v>
      </c>
      <c r="D69" s="91">
        <f t="shared" si="63"/>
        <v>0.74311827637428296</v>
      </c>
      <c r="E69" s="91">
        <f t="shared" si="63"/>
        <v>0.76806465342678842</v>
      </c>
      <c r="F69" s="91">
        <f t="shared" si="63"/>
        <v>0.83670233131692195</v>
      </c>
      <c r="G69" s="91">
        <f t="shared" si="63"/>
        <v>0.8969374842169987</v>
      </c>
      <c r="H69" s="91">
        <f t="shared" si="63"/>
        <v>0.8819700784956428</v>
      </c>
      <c r="I69" s="91">
        <f t="shared" si="63"/>
        <v>0.90484071574113512</v>
      </c>
      <c r="J69" s="91">
        <f t="shared" si="63"/>
        <v>0.84764779078249475</v>
      </c>
      <c r="K69" s="91">
        <f t="shared" si="63"/>
        <v>0.78969520299140361</v>
      </c>
      <c r="L69" s="91">
        <f t="shared" si="63"/>
        <v>0.75915349185095371</v>
      </c>
      <c r="M69" s="91">
        <f t="shared" si="63"/>
        <v>0.76351191182758849</v>
      </c>
      <c r="N69" s="91">
        <f t="shared" si="63"/>
        <v>0.77569866872647042</v>
      </c>
      <c r="O69" s="91">
        <f t="shared" si="63"/>
        <v>0.77856296122301782</v>
      </c>
      <c r="P69" s="91">
        <f t="shared" si="63"/>
        <v>0.76117489997904264</v>
      </c>
      <c r="Q69" s="91">
        <f t="shared" si="63"/>
        <v>0.76570990194858635</v>
      </c>
      <c r="R69" s="91">
        <f t="shared" si="63"/>
        <v>0.80233182874319797</v>
      </c>
      <c r="S69" s="91">
        <f t="shared" si="63"/>
        <v>0.78385269385749379</v>
      </c>
      <c r="T69" s="91">
        <f t="shared" si="63"/>
        <v>0.75833501106208412</v>
      </c>
      <c r="U69" s="91">
        <f t="shared" si="63"/>
        <v>0.74773371707856306</v>
      </c>
      <c r="V69" s="91">
        <f t="shared" si="63"/>
        <v>0.75791019678475968</v>
      </c>
      <c r="W69" s="91">
        <f t="shared" si="63"/>
        <v>0.81910159438767227</v>
      </c>
      <c r="DA69" s="171"/>
    </row>
    <row r="70" spans="1:105" ht="11.45" customHeight="1" x14ac:dyDescent="0.25">
      <c r="A70" s="83" t="s">
        <v>173</v>
      </c>
      <c r="B70" s="91">
        <f t="shared" si="61"/>
        <v>1.2236929794629239</v>
      </c>
      <c r="C70" s="91">
        <f t="shared" ref="C70:W70" si="64">IF(C8=0,0,C20/C60)</f>
        <v>1.2734781599178344</v>
      </c>
      <c r="D70" s="91">
        <f t="shared" si="64"/>
        <v>1.0699165524147729</v>
      </c>
      <c r="E70" s="91">
        <f t="shared" si="64"/>
        <v>1.0861225304550215</v>
      </c>
      <c r="F70" s="91">
        <f t="shared" si="64"/>
        <v>1.2437281371949669</v>
      </c>
      <c r="G70" s="91">
        <f t="shared" si="64"/>
        <v>1.3000419383653097</v>
      </c>
      <c r="H70" s="91">
        <f t="shared" si="64"/>
        <v>1.2252338340860722</v>
      </c>
      <c r="I70" s="91">
        <f t="shared" si="64"/>
        <v>1.1868096026193031</v>
      </c>
      <c r="J70" s="91">
        <f t="shared" si="64"/>
        <v>1.341494178534979</v>
      </c>
      <c r="K70" s="91">
        <f t="shared" si="64"/>
        <v>1.4049182965207609</v>
      </c>
      <c r="L70" s="91">
        <f t="shared" si="64"/>
        <v>1.2940404330415454</v>
      </c>
      <c r="M70" s="91">
        <f t="shared" si="64"/>
        <v>1.2678168175720537</v>
      </c>
      <c r="N70" s="91">
        <f t="shared" si="64"/>
        <v>1.2213278204663705</v>
      </c>
      <c r="O70" s="91">
        <f t="shared" si="64"/>
        <v>1.3346047244518002</v>
      </c>
      <c r="P70" s="91">
        <f t="shared" si="64"/>
        <v>1.208905215047986</v>
      </c>
      <c r="Q70" s="91">
        <f t="shared" si="64"/>
        <v>1.2244109858225214</v>
      </c>
      <c r="R70" s="91">
        <f t="shared" si="64"/>
        <v>1.2896739045735681</v>
      </c>
      <c r="S70" s="91">
        <f t="shared" si="64"/>
        <v>1.2645686740109785</v>
      </c>
      <c r="T70" s="91">
        <f t="shared" si="64"/>
        <v>1.3080945128049009</v>
      </c>
      <c r="U70" s="91">
        <f t="shared" si="64"/>
        <v>1.2893694165582643</v>
      </c>
      <c r="V70" s="91">
        <f t="shared" si="64"/>
        <v>1.554040261348727</v>
      </c>
      <c r="W70" s="91">
        <f t="shared" si="64"/>
        <v>1.3911054846809772</v>
      </c>
      <c r="DA70" s="171"/>
    </row>
    <row r="71" spans="1:105" ht="11.45" customHeight="1" x14ac:dyDescent="0.25">
      <c r="A71" s="83" t="s">
        <v>174</v>
      </c>
      <c r="B71" s="91">
        <f t="shared" si="61"/>
        <v>1.1271182442407297</v>
      </c>
      <c r="C71" s="91">
        <f t="shared" ref="C71:W71" si="65">IF(C9=0,0,C21/C61)</f>
        <v>1.171457293685888</v>
      </c>
      <c r="D71" s="91">
        <f t="shared" si="65"/>
        <v>0.98139832667053384</v>
      </c>
      <c r="E71" s="91">
        <f t="shared" si="65"/>
        <v>0.99922550662195653</v>
      </c>
      <c r="F71" s="91">
        <f t="shared" si="65"/>
        <v>1.1497994274141183</v>
      </c>
      <c r="G71" s="91">
        <f t="shared" si="65"/>
        <v>0.89519479755858744</v>
      </c>
      <c r="H71" s="91">
        <f t="shared" si="65"/>
        <v>0.81293245659089464</v>
      </c>
      <c r="I71" s="91">
        <f t="shared" si="65"/>
        <v>0.66324599833873688</v>
      </c>
      <c r="J71" s="91">
        <f t="shared" si="65"/>
        <v>0.68699619382119892</v>
      </c>
      <c r="K71" s="91">
        <f t="shared" si="65"/>
        <v>0.73397733710851631</v>
      </c>
      <c r="L71" s="91">
        <f t="shared" si="65"/>
        <v>0.74437832398124426</v>
      </c>
      <c r="M71" s="91">
        <f t="shared" si="65"/>
        <v>0.7633224676814574</v>
      </c>
      <c r="N71" s="91">
        <f t="shared" si="65"/>
        <v>0.76066847310968988</v>
      </c>
      <c r="O71" s="91">
        <f t="shared" si="65"/>
        <v>0.79813338011300128</v>
      </c>
      <c r="P71" s="91">
        <f t="shared" si="65"/>
        <v>0.6447004364880663</v>
      </c>
      <c r="Q71" s="91">
        <f t="shared" si="65"/>
        <v>0.65309226354549121</v>
      </c>
      <c r="R71" s="91">
        <f t="shared" si="65"/>
        <v>0.63599041306698079</v>
      </c>
      <c r="S71" s="91">
        <f t="shared" si="65"/>
        <v>0.60518461893902775</v>
      </c>
      <c r="T71" s="91">
        <f t="shared" si="65"/>
        <v>0.61577327548488836</v>
      </c>
      <c r="U71" s="91">
        <f t="shared" si="65"/>
        <v>0.6360086643089391</v>
      </c>
      <c r="V71" s="91">
        <f t="shared" si="65"/>
        <v>0.89291281394515454</v>
      </c>
      <c r="W71" s="91">
        <f t="shared" si="65"/>
        <v>1.0010291927723198</v>
      </c>
      <c r="DA71" s="171"/>
    </row>
    <row r="72" spans="1:105" ht="11.45" customHeight="1" x14ac:dyDescent="0.25">
      <c r="A72" s="12" t="s">
        <v>34</v>
      </c>
      <c r="B72" s="24">
        <f t="shared" si="61"/>
        <v>1.0919888903939543</v>
      </c>
      <c r="C72" s="24">
        <f t="shared" ref="C72:W72" si="66">IF(C10=0,0,C22/C62)</f>
        <v>1.107021956423609</v>
      </c>
      <c r="D72" s="24">
        <f t="shared" si="66"/>
        <v>0.9305133640471116</v>
      </c>
      <c r="E72" s="24">
        <f t="shared" si="66"/>
        <v>0.94062877744738482</v>
      </c>
      <c r="F72" s="24">
        <f t="shared" si="66"/>
        <v>1.0701926834491671</v>
      </c>
      <c r="G72" s="24">
        <f t="shared" si="66"/>
        <v>0.91429463263885569</v>
      </c>
      <c r="H72" s="24">
        <f t="shared" si="66"/>
        <v>0.83461505840027772</v>
      </c>
      <c r="I72" s="24">
        <f t="shared" si="66"/>
        <v>0.73195532936733987</v>
      </c>
      <c r="J72" s="24">
        <f t="shared" si="66"/>
        <v>0.76374919883713444</v>
      </c>
      <c r="K72" s="24">
        <f t="shared" si="66"/>
        <v>0.80638974060024271</v>
      </c>
      <c r="L72" s="24">
        <f t="shared" si="66"/>
        <v>0.78073310552511721</v>
      </c>
      <c r="M72" s="24">
        <f t="shared" si="66"/>
        <v>0.77795916040781676</v>
      </c>
      <c r="N72" s="24">
        <f t="shared" si="66"/>
        <v>0.77732538668343298</v>
      </c>
      <c r="O72" s="24">
        <f t="shared" si="66"/>
        <v>0.86164872015217919</v>
      </c>
      <c r="P72" s="24">
        <f t="shared" si="66"/>
        <v>0.77960092225702193</v>
      </c>
      <c r="Q72" s="24">
        <f t="shared" si="66"/>
        <v>0.83989522092589985</v>
      </c>
      <c r="R72" s="24">
        <f t="shared" si="66"/>
        <v>0.89434422763146404</v>
      </c>
      <c r="S72" s="24">
        <f t="shared" si="66"/>
        <v>0.93426119822696396</v>
      </c>
      <c r="T72" s="24">
        <f t="shared" si="66"/>
        <v>0.99101585523438174</v>
      </c>
      <c r="U72" s="24">
        <f t="shared" si="66"/>
        <v>1.0837967200740388</v>
      </c>
      <c r="V72" s="24">
        <f t="shared" si="66"/>
        <v>1.3244452385839622</v>
      </c>
      <c r="W72" s="24">
        <f t="shared" si="66"/>
        <v>1.2519796031715953</v>
      </c>
      <c r="DA72" s="193"/>
    </row>
    <row r="73" spans="1:105" ht="11.45" customHeight="1" x14ac:dyDescent="0.25">
      <c r="A73" s="92" t="s">
        <v>27</v>
      </c>
      <c r="B73" s="93">
        <f t="shared" si="61"/>
        <v>0.80603428020092094</v>
      </c>
      <c r="C73" s="93">
        <f t="shared" ref="C73:W73" si="67">IF(C11=0,0,C23/C63)</f>
        <v>0.83407601689550093</v>
      </c>
      <c r="D73" s="93">
        <f t="shared" si="67"/>
        <v>0.74311827637428329</v>
      </c>
      <c r="E73" s="93">
        <f t="shared" si="67"/>
        <v>0.76806465342678876</v>
      </c>
      <c r="F73" s="93">
        <f t="shared" si="67"/>
        <v>0.83670233131692184</v>
      </c>
      <c r="G73" s="93">
        <f t="shared" si="67"/>
        <v>0.89693748421699859</v>
      </c>
      <c r="H73" s="93">
        <f t="shared" si="67"/>
        <v>0.88197007849564291</v>
      </c>
      <c r="I73" s="93">
        <f t="shared" si="67"/>
        <v>0.904840715741135</v>
      </c>
      <c r="J73" s="93">
        <f t="shared" si="67"/>
        <v>0.84764779078249464</v>
      </c>
      <c r="K73" s="93">
        <f t="shared" si="67"/>
        <v>0.78969520299140361</v>
      </c>
      <c r="L73" s="93">
        <f t="shared" si="67"/>
        <v>0.75915349185095371</v>
      </c>
      <c r="M73" s="93">
        <f t="shared" si="67"/>
        <v>0.76351191182758849</v>
      </c>
      <c r="N73" s="93">
        <f t="shared" si="67"/>
        <v>0.7756986687264702</v>
      </c>
      <c r="O73" s="93">
        <f t="shared" si="67"/>
        <v>0.77856296122301794</v>
      </c>
      <c r="P73" s="93">
        <f t="shared" si="67"/>
        <v>0.76117489997904253</v>
      </c>
      <c r="Q73" s="93">
        <f t="shared" si="67"/>
        <v>0.76570990194858624</v>
      </c>
      <c r="R73" s="93">
        <f t="shared" si="67"/>
        <v>0.80233182874319786</v>
      </c>
      <c r="S73" s="93">
        <f t="shared" si="67"/>
        <v>0.78385269385749379</v>
      </c>
      <c r="T73" s="93">
        <f t="shared" si="67"/>
        <v>0.75833501106208379</v>
      </c>
      <c r="U73" s="93">
        <f t="shared" si="67"/>
        <v>0.74773371707856318</v>
      </c>
      <c r="V73" s="93">
        <f t="shared" si="67"/>
        <v>0.75791019678475968</v>
      </c>
      <c r="W73" s="93">
        <f t="shared" si="67"/>
        <v>0.81910159438767183</v>
      </c>
      <c r="DA73" s="175"/>
    </row>
    <row r="74" spans="1:105" ht="11.45" customHeight="1" x14ac:dyDescent="0.25">
      <c r="A74" s="92" t="s">
        <v>173</v>
      </c>
      <c r="B74" s="93">
        <f t="shared" si="61"/>
        <v>1.2878817066146613</v>
      </c>
      <c r="C74" s="93">
        <f t="shared" ref="C74:W74" si="68">IF(C12=0,0,C24/C64)</f>
        <v>1.3318144037269597</v>
      </c>
      <c r="D74" s="93">
        <f t="shared" si="68"/>
        <v>1.1157238797619911</v>
      </c>
      <c r="E74" s="93">
        <f t="shared" si="68"/>
        <v>1.1350211740442895</v>
      </c>
      <c r="F74" s="93">
        <f t="shared" si="68"/>
        <v>1.2466887328935981</v>
      </c>
      <c r="G74" s="93">
        <f t="shared" si="68"/>
        <v>1.3837843535993806</v>
      </c>
      <c r="H74" s="93">
        <f t="shared" si="68"/>
        <v>1.2479047852609029</v>
      </c>
      <c r="I74" s="93">
        <f t="shared" si="68"/>
        <v>1.2069706593415555</v>
      </c>
      <c r="J74" s="93">
        <f t="shared" si="68"/>
        <v>1.3706622551239018</v>
      </c>
      <c r="K74" s="93">
        <f t="shared" si="68"/>
        <v>1.4099554101995424</v>
      </c>
      <c r="L74" s="93">
        <f t="shared" si="68"/>
        <v>1.280712656786605</v>
      </c>
      <c r="M74" s="93">
        <f t="shared" si="68"/>
        <v>1.2636043383179969</v>
      </c>
      <c r="N74" s="93">
        <f t="shared" si="68"/>
        <v>1.2360221735380763</v>
      </c>
      <c r="O74" s="93">
        <f t="shared" si="68"/>
        <v>1.3413731799196755</v>
      </c>
      <c r="P74" s="93">
        <f t="shared" si="68"/>
        <v>1.2252382639493011</v>
      </c>
      <c r="Q74" s="93">
        <f t="shared" si="68"/>
        <v>1.2515479540447096</v>
      </c>
      <c r="R74" s="93">
        <f t="shared" si="68"/>
        <v>1.3311037914700516</v>
      </c>
      <c r="S74" s="93">
        <f t="shared" si="68"/>
        <v>1.3006190163680895</v>
      </c>
      <c r="T74" s="93">
        <f t="shared" si="68"/>
        <v>1.3316216846187576</v>
      </c>
      <c r="U74" s="93">
        <f t="shared" si="68"/>
        <v>1.2666348758557155</v>
      </c>
      <c r="V74" s="93">
        <f t="shared" si="68"/>
        <v>1.5453526551067294</v>
      </c>
      <c r="W74" s="93">
        <f t="shared" si="68"/>
        <v>1.3510729936063461</v>
      </c>
      <c r="DA74" s="175"/>
    </row>
    <row r="75" spans="1:105" ht="11.45" customHeight="1" x14ac:dyDescent="0.25">
      <c r="A75" s="85" t="s">
        <v>174</v>
      </c>
      <c r="B75" s="94">
        <f t="shared" si="61"/>
        <v>1.0144064198166569</v>
      </c>
      <c r="C75" s="94">
        <f t="shared" ref="C75:W75" si="69">IF(C13=0,0,C25/C65)</f>
        <v>1.0543115643172993</v>
      </c>
      <c r="D75" s="94">
        <f t="shared" si="69"/>
        <v>0.88325849400348055</v>
      </c>
      <c r="E75" s="94">
        <f t="shared" si="69"/>
        <v>0.89930295595976095</v>
      </c>
      <c r="F75" s="94">
        <f t="shared" si="69"/>
        <v>1.0348194846727068</v>
      </c>
      <c r="G75" s="94">
        <f t="shared" si="69"/>
        <v>0.80567531780272883</v>
      </c>
      <c r="H75" s="94">
        <f t="shared" si="69"/>
        <v>0.73163921093180506</v>
      </c>
      <c r="I75" s="94">
        <f t="shared" si="69"/>
        <v>0.59692139850486325</v>
      </c>
      <c r="J75" s="94">
        <f t="shared" si="69"/>
        <v>0.61829657443907904</v>
      </c>
      <c r="K75" s="94">
        <f t="shared" si="69"/>
        <v>0.66057960339766475</v>
      </c>
      <c r="L75" s="94">
        <f t="shared" si="69"/>
        <v>0.66994049158311975</v>
      </c>
      <c r="M75" s="94">
        <f t="shared" si="69"/>
        <v>0.68699022091331152</v>
      </c>
      <c r="N75" s="94">
        <f t="shared" si="69"/>
        <v>0.68460162579872097</v>
      </c>
      <c r="O75" s="94">
        <f t="shared" si="69"/>
        <v>0.71832004210170119</v>
      </c>
      <c r="P75" s="94">
        <f t="shared" si="69"/>
        <v>0.58023039283925981</v>
      </c>
      <c r="Q75" s="94">
        <f t="shared" si="69"/>
        <v>0.58778303719094216</v>
      </c>
      <c r="R75" s="94">
        <f t="shared" si="69"/>
        <v>0.57239137176028254</v>
      </c>
      <c r="S75" s="94">
        <f t="shared" si="69"/>
        <v>0.54466615704512478</v>
      </c>
      <c r="T75" s="94">
        <f t="shared" si="69"/>
        <v>0.55419594793639959</v>
      </c>
      <c r="U75" s="94">
        <f t="shared" si="69"/>
        <v>0.57240779787804519</v>
      </c>
      <c r="V75" s="94">
        <f t="shared" si="69"/>
        <v>0.80362153255063917</v>
      </c>
      <c r="W75" s="94">
        <f t="shared" si="69"/>
        <v>0.90092627349508791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2881.8992160000007</v>
      </c>
      <c r="C3" s="79">
        <f t="shared" si="0"/>
        <v>2932.7015340000003</v>
      </c>
      <c r="D3" s="79">
        <f t="shared" ref="D3" si="1">SUM(D4:D5)</f>
        <v>2238.2985240000003</v>
      </c>
      <c r="E3" s="79">
        <f t="shared" ref="E3" si="2">SUM(E4:E5)</f>
        <v>2174.8827239999996</v>
      </c>
      <c r="F3" s="79">
        <f t="shared" ref="F3" si="3">SUM(F4:F5)</f>
        <v>2615.6225340000005</v>
      </c>
      <c r="G3" s="79">
        <f t="shared" ref="G3" si="4">SUM(G4:G5)</f>
        <v>2652.0731056799996</v>
      </c>
      <c r="H3" s="79">
        <f t="shared" ref="H3" si="5">SUM(H4:H5)</f>
        <v>2705.5759359600006</v>
      </c>
      <c r="I3" s="79">
        <f t="shared" ref="I3" si="6">SUM(I4:I5)</f>
        <v>2662.0160374799998</v>
      </c>
      <c r="J3" s="79">
        <f t="shared" ref="J3" si="7">SUM(J4:J5)</f>
        <v>3023.3063836800002</v>
      </c>
      <c r="K3" s="79">
        <f t="shared" ref="K3" si="8">SUM(K4:K5)</f>
        <v>2735.2252166400003</v>
      </c>
      <c r="L3" s="79">
        <f t="shared" ref="L3" si="9">SUM(L4:L5)</f>
        <v>2630.1288308400003</v>
      </c>
      <c r="M3" s="79">
        <f t="shared" ref="M3" si="10">SUM(M4:M5)</f>
        <v>2838.3134295600003</v>
      </c>
      <c r="N3" s="79">
        <f t="shared" ref="N3" si="11">SUM(N4:N5)</f>
        <v>2717.7866740800005</v>
      </c>
      <c r="O3" s="79">
        <f t="shared" ref="O3" si="12">SUM(O4:O5)</f>
        <v>3000.4429287600001</v>
      </c>
      <c r="P3" s="79">
        <f t="shared" ref="P3" si="13">SUM(P4:P5)</f>
        <v>2772.3373736400004</v>
      </c>
      <c r="Q3" s="79">
        <f t="shared" ref="Q3" si="14">SUM(Q4:Q5)</f>
        <v>2819.7682192800003</v>
      </c>
      <c r="R3" s="79">
        <f t="shared" ref="R3" si="15">SUM(R4:R5)</f>
        <v>3108.3643555200006</v>
      </c>
      <c r="S3" s="79">
        <f t="shared" ref="S3" si="16">SUM(S4:S5)</f>
        <v>3259.9382803199996</v>
      </c>
      <c r="T3" s="79">
        <f t="shared" ref="T3" si="17">SUM(T4:T5)</f>
        <v>3370.3110720000004</v>
      </c>
      <c r="U3" s="79">
        <f t="shared" ref="U3" si="18">SUM(U4:U5)</f>
        <v>3173.8273099200001</v>
      </c>
      <c r="V3" s="79">
        <f t="shared" ref="V3:W3" si="19">SUM(V4:V5)</f>
        <v>1221.7173537600004</v>
      </c>
      <c r="W3" s="79">
        <f t="shared" si="19"/>
        <v>1293.0188558400005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735.27438599999994</v>
      </c>
      <c r="C4" s="96">
        <f t="shared" si="20"/>
        <v>744.85643400000015</v>
      </c>
      <c r="D4" s="96">
        <f t="shared" ref="D4:V4" si="21">SUM(D7,D11)</f>
        <v>618.02483400000017</v>
      </c>
      <c r="E4" s="96">
        <f t="shared" si="21"/>
        <v>599.00009399999988</v>
      </c>
      <c r="F4" s="96">
        <f t="shared" si="21"/>
        <v>684.61142400000028</v>
      </c>
      <c r="G4" s="96">
        <f t="shared" si="21"/>
        <v>705.20804568000005</v>
      </c>
      <c r="H4" s="96">
        <f t="shared" si="21"/>
        <v>666.75796596000009</v>
      </c>
      <c r="I4" s="96">
        <f t="shared" si="21"/>
        <v>651.73517748000006</v>
      </c>
      <c r="J4" s="96">
        <f t="shared" si="21"/>
        <v>610.33519368000009</v>
      </c>
      <c r="K4" s="96">
        <f t="shared" si="21"/>
        <v>534.69695664000005</v>
      </c>
      <c r="L4" s="96">
        <f t="shared" si="21"/>
        <v>502.52874084000007</v>
      </c>
      <c r="M4" s="96">
        <f t="shared" si="21"/>
        <v>552.17383955999992</v>
      </c>
      <c r="N4" s="96">
        <f t="shared" si="21"/>
        <v>542.62473407999994</v>
      </c>
      <c r="O4" s="96">
        <f t="shared" si="21"/>
        <v>546.25146876000008</v>
      </c>
      <c r="P4" s="96">
        <f t="shared" si="21"/>
        <v>543.27200363999998</v>
      </c>
      <c r="Q4" s="96">
        <f t="shared" si="21"/>
        <v>536.79941927999994</v>
      </c>
      <c r="R4" s="96">
        <f t="shared" si="21"/>
        <v>571.73235552000006</v>
      </c>
      <c r="S4" s="96">
        <f t="shared" si="21"/>
        <v>566.9669203200001</v>
      </c>
      <c r="T4" s="96">
        <f t="shared" si="21"/>
        <v>535.07814192000001</v>
      </c>
      <c r="U4" s="96">
        <f t="shared" si="21"/>
        <v>480.9491323200001</v>
      </c>
      <c r="V4" s="96">
        <f t="shared" si="21"/>
        <v>185.92043184000005</v>
      </c>
      <c r="W4" s="96">
        <f t="shared" ref="W4" si="22">SUM(W7,W11)</f>
        <v>212.62173120000003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2146.6248300000007</v>
      </c>
      <c r="C5" s="96">
        <f t="shared" si="23"/>
        <v>2187.8451</v>
      </c>
      <c r="D5" s="96">
        <f t="shared" ref="D5:V5" si="24">SUM(D8:D9,D12:D13)</f>
        <v>1620.2736900000002</v>
      </c>
      <c r="E5" s="96">
        <f t="shared" si="24"/>
        <v>1575.8826299999996</v>
      </c>
      <c r="F5" s="96">
        <f t="shared" si="24"/>
        <v>1931.0111100000004</v>
      </c>
      <c r="G5" s="96">
        <f t="shared" si="24"/>
        <v>1946.8650599999996</v>
      </c>
      <c r="H5" s="96">
        <f t="shared" si="24"/>
        <v>2038.8179700000005</v>
      </c>
      <c r="I5" s="96">
        <f t="shared" si="24"/>
        <v>2010.2808599999996</v>
      </c>
      <c r="J5" s="96">
        <f t="shared" si="24"/>
        <v>2412.9711900000002</v>
      </c>
      <c r="K5" s="96">
        <f t="shared" si="24"/>
        <v>2200.52826</v>
      </c>
      <c r="L5" s="96">
        <f t="shared" si="24"/>
        <v>2127.6000900000004</v>
      </c>
      <c r="M5" s="96">
        <f t="shared" si="24"/>
        <v>2286.1395900000002</v>
      </c>
      <c r="N5" s="96">
        <f t="shared" si="24"/>
        <v>2175.1619400000004</v>
      </c>
      <c r="O5" s="96">
        <f t="shared" si="24"/>
        <v>2454.19146</v>
      </c>
      <c r="P5" s="96">
        <f t="shared" si="24"/>
        <v>2229.0653700000003</v>
      </c>
      <c r="Q5" s="96">
        <f t="shared" si="24"/>
        <v>2282.9688000000006</v>
      </c>
      <c r="R5" s="96">
        <f t="shared" si="24"/>
        <v>2536.6320000000005</v>
      </c>
      <c r="S5" s="96">
        <f t="shared" si="24"/>
        <v>2692.9713599999995</v>
      </c>
      <c r="T5" s="96">
        <f t="shared" si="24"/>
        <v>2835.2329300800006</v>
      </c>
      <c r="U5" s="96">
        <f t="shared" si="24"/>
        <v>2692.8781776000001</v>
      </c>
      <c r="V5" s="96">
        <f t="shared" si="24"/>
        <v>1035.7969219200004</v>
      </c>
      <c r="W5" s="96">
        <f t="shared" ref="W5" si="25">SUM(W8:W9,W12:W13)</f>
        <v>1080.3971246400004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2842.9138899718032</v>
      </c>
      <c r="C6" s="21">
        <f t="shared" si="26"/>
        <v>2887.8017905590882</v>
      </c>
      <c r="D6" s="21">
        <f t="shared" ref="D6:V6" si="27">SUM(D7:D9)</f>
        <v>2188.5924318033608</v>
      </c>
      <c r="E6" s="21">
        <f t="shared" si="27"/>
        <v>2110.2159049350907</v>
      </c>
      <c r="F6" s="21">
        <f t="shared" si="27"/>
        <v>2527.8864181858885</v>
      </c>
      <c r="G6" s="21">
        <f t="shared" si="27"/>
        <v>2551.2348030207831</v>
      </c>
      <c r="H6" s="21">
        <f t="shared" si="27"/>
        <v>2592.5015410510237</v>
      </c>
      <c r="I6" s="21">
        <f t="shared" si="27"/>
        <v>2546.7227573733048</v>
      </c>
      <c r="J6" s="21">
        <f t="shared" si="27"/>
        <v>2892.7568932671934</v>
      </c>
      <c r="K6" s="21">
        <f t="shared" si="27"/>
        <v>2633.6659072202633</v>
      </c>
      <c r="L6" s="21">
        <f t="shared" si="27"/>
        <v>2519.7800770471213</v>
      </c>
      <c r="M6" s="21">
        <f t="shared" si="27"/>
        <v>2744.1563352098265</v>
      </c>
      <c r="N6" s="21">
        <f t="shared" si="27"/>
        <v>2641.9160670399374</v>
      </c>
      <c r="O6" s="21">
        <f t="shared" si="27"/>
        <v>2940.3055170504758</v>
      </c>
      <c r="P6" s="21">
        <f t="shared" si="27"/>
        <v>2728.9459795258158</v>
      </c>
      <c r="Q6" s="21">
        <f t="shared" si="27"/>
        <v>2780.1045257506198</v>
      </c>
      <c r="R6" s="21">
        <f t="shared" si="27"/>
        <v>3075.0213033333084</v>
      </c>
      <c r="S6" s="21">
        <f t="shared" si="27"/>
        <v>3227.6584585083101</v>
      </c>
      <c r="T6" s="21">
        <f t="shared" si="27"/>
        <v>3339.7493034127119</v>
      </c>
      <c r="U6" s="21">
        <f t="shared" si="27"/>
        <v>3137.4626187907761</v>
      </c>
      <c r="V6" s="21">
        <f t="shared" si="27"/>
        <v>1179.5834280542422</v>
      </c>
      <c r="W6" s="21">
        <f t="shared" ref="W6" si="28">SUM(W7:W9)</f>
        <v>1249.4436145827972</v>
      </c>
      <c r="DA6" s="189" t="s">
        <v>326</v>
      </c>
    </row>
    <row r="7" spans="1:105" ht="11.45" customHeight="1" x14ac:dyDescent="0.25">
      <c r="A7" s="83" t="s">
        <v>27</v>
      </c>
      <c r="B7" s="96">
        <v>731.47502116123292</v>
      </c>
      <c r="C7" s="96">
        <v>741.61104493028552</v>
      </c>
      <c r="D7" s="96">
        <v>614.39768652404871</v>
      </c>
      <c r="E7" s="96">
        <v>594.86105247785724</v>
      </c>
      <c r="F7" s="96">
        <v>677.60541875884053</v>
      </c>
      <c r="G7" s="96">
        <v>697.13018943053805</v>
      </c>
      <c r="H7" s="96">
        <v>657.12173105814827</v>
      </c>
      <c r="I7" s="96">
        <v>640.11558152941143</v>
      </c>
      <c r="J7" s="96">
        <v>598.68998878050309</v>
      </c>
      <c r="K7" s="96">
        <v>525.88054985784686</v>
      </c>
      <c r="L7" s="96">
        <v>495.30998404461934</v>
      </c>
      <c r="M7" s="96">
        <v>545.72803005257902</v>
      </c>
      <c r="N7" s="96">
        <v>536.22537991124079</v>
      </c>
      <c r="O7" s="96">
        <v>540.10225476415394</v>
      </c>
      <c r="P7" s="96">
        <v>537.69275994850955</v>
      </c>
      <c r="Q7" s="96">
        <v>531.42071499101405</v>
      </c>
      <c r="R7" s="96">
        <v>566.95111318953309</v>
      </c>
      <c r="S7" s="96">
        <v>561.83182217816102</v>
      </c>
      <c r="T7" s="96">
        <v>531.33501094327767</v>
      </c>
      <c r="U7" s="96">
        <v>478.55181639181319</v>
      </c>
      <c r="V7" s="96">
        <v>184.14596688937289</v>
      </c>
      <c r="W7" s="96">
        <v>210.18089479176018</v>
      </c>
      <c r="DA7" s="171" t="s">
        <v>327</v>
      </c>
    </row>
    <row r="8" spans="1:105" ht="11.45" customHeight="1" x14ac:dyDescent="0.25">
      <c r="A8" s="83" t="s">
        <v>173</v>
      </c>
      <c r="B8" s="96">
        <v>1494.9966993452906</v>
      </c>
      <c r="C8" s="96">
        <v>1534.5805850264021</v>
      </c>
      <c r="D8" s="96">
        <v>1141.08806577009</v>
      </c>
      <c r="E8" s="96">
        <v>1116.93660102679</v>
      </c>
      <c r="F8" s="96">
        <v>1360.2825681051668</v>
      </c>
      <c r="G8" s="96">
        <v>1362.8178269734778</v>
      </c>
      <c r="H8" s="96">
        <v>1433.2935548066559</v>
      </c>
      <c r="I8" s="96">
        <v>1420.0851852754963</v>
      </c>
      <c r="J8" s="96">
        <v>1699.391124750508</v>
      </c>
      <c r="K8" s="96">
        <v>1530.3094285410716</v>
      </c>
      <c r="L8" s="96">
        <v>1470.6891218617404</v>
      </c>
      <c r="M8" s="96">
        <v>1608.3020524175702</v>
      </c>
      <c r="N8" s="96">
        <v>1524.6351878479445</v>
      </c>
      <c r="O8" s="96">
        <v>1740.1529588969606</v>
      </c>
      <c r="P8" s="96">
        <v>1592.8517921377929</v>
      </c>
      <c r="Q8" s="96">
        <v>1635.396259053955</v>
      </c>
      <c r="R8" s="96">
        <v>1852.0196627607434</v>
      </c>
      <c r="S8" s="96">
        <v>1989.4931647382582</v>
      </c>
      <c r="T8" s="96">
        <v>2080.9637696400009</v>
      </c>
      <c r="U8" s="96">
        <v>1939.9378973229384</v>
      </c>
      <c r="V8" s="96">
        <v>672.84674872604444</v>
      </c>
      <c r="W8" s="96">
        <v>733.55081118431349</v>
      </c>
      <c r="DA8" s="171" t="s">
        <v>328</v>
      </c>
    </row>
    <row r="9" spans="1:105" ht="11.45" customHeight="1" x14ac:dyDescent="0.25">
      <c r="A9" s="83" t="s">
        <v>174</v>
      </c>
      <c r="B9" s="96">
        <v>616.44216946527968</v>
      </c>
      <c r="C9" s="96">
        <v>611.6101606024007</v>
      </c>
      <c r="D9" s="96">
        <v>433.10667950922203</v>
      </c>
      <c r="E9" s="96">
        <v>398.41825143044349</v>
      </c>
      <c r="F9" s="96">
        <v>489.99843132188113</v>
      </c>
      <c r="G9" s="96">
        <v>491.28678661676713</v>
      </c>
      <c r="H9" s="96">
        <v>502.08625518621966</v>
      </c>
      <c r="I9" s="96">
        <v>486.5219905683972</v>
      </c>
      <c r="J9" s="96">
        <v>594.67577973618256</v>
      </c>
      <c r="K9" s="96">
        <v>577.47592882134495</v>
      </c>
      <c r="L9" s="96">
        <v>553.78097114076138</v>
      </c>
      <c r="M9" s="96">
        <v>590.12625273967762</v>
      </c>
      <c r="N9" s="96">
        <v>581.05549928075209</v>
      </c>
      <c r="O9" s="96">
        <v>660.05030338936115</v>
      </c>
      <c r="P9" s="96">
        <v>598.40142743951344</v>
      </c>
      <c r="Q9" s="96">
        <v>613.28755170565091</v>
      </c>
      <c r="R9" s="96">
        <v>656.05052738303243</v>
      </c>
      <c r="S9" s="96">
        <v>676.33347159189111</v>
      </c>
      <c r="T9" s="96">
        <v>727.45052282943323</v>
      </c>
      <c r="U9" s="96">
        <v>718.97290507602452</v>
      </c>
      <c r="V9" s="96">
        <v>322.59071243882499</v>
      </c>
      <c r="W9" s="96">
        <v>305.7119086067234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38.98532602819725</v>
      </c>
      <c r="C10" s="22">
        <f t="shared" si="29"/>
        <v>44.899743440912005</v>
      </c>
      <c r="D10" s="22">
        <f t="shared" ref="D10:V10" si="30">SUM(D11:D13)</f>
        <v>49.706092196639901</v>
      </c>
      <c r="E10" s="22">
        <f t="shared" si="30"/>
        <v>64.666819064908992</v>
      </c>
      <c r="F10" s="22">
        <f t="shared" si="30"/>
        <v>87.73611581411231</v>
      </c>
      <c r="G10" s="22">
        <f t="shared" si="30"/>
        <v>100.83830265921672</v>
      </c>
      <c r="H10" s="22">
        <f t="shared" si="30"/>
        <v>113.0743949089767</v>
      </c>
      <c r="I10" s="22">
        <f t="shared" si="30"/>
        <v>115.29328010669499</v>
      </c>
      <c r="J10" s="22">
        <f t="shared" si="30"/>
        <v>130.54949041280693</v>
      </c>
      <c r="K10" s="22">
        <f t="shared" si="30"/>
        <v>101.55930941973693</v>
      </c>
      <c r="L10" s="22">
        <f t="shared" si="30"/>
        <v>110.34875379287928</v>
      </c>
      <c r="M10" s="22">
        <f t="shared" si="30"/>
        <v>94.157094350173224</v>
      </c>
      <c r="N10" s="22">
        <f t="shared" si="30"/>
        <v>75.870607040063334</v>
      </c>
      <c r="O10" s="22">
        <f t="shared" si="30"/>
        <v>60.137411709524734</v>
      </c>
      <c r="P10" s="22">
        <f t="shared" si="30"/>
        <v>43.39139411418433</v>
      </c>
      <c r="Q10" s="22">
        <f t="shared" si="30"/>
        <v>39.66369352938041</v>
      </c>
      <c r="R10" s="22">
        <f t="shared" si="30"/>
        <v>33.343052186691054</v>
      </c>
      <c r="S10" s="22">
        <f t="shared" si="30"/>
        <v>32.279821811689779</v>
      </c>
      <c r="T10" s="22">
        <f t="shared" si="30"/>
        <v>30.561768587288871</v>
      </c>
      <c r="U10" s="22">
        <f t="shared" si="30"/>
        <v>36.364691129223964</v>
      </c>
      <c r="V10" s="22">
        <f t="shared" si="30"/>
        <v>42.133925705758152</v>
      </c>
      <c r="W10" s="22">
        <f t="shared" ref="W10" si="31">SUM(W11:W13)</f>
        <v>43.575241257203103</v>
      </c>
      <c r="DA10" s="193" t="s">
        <v>330</v>
      </c>
    </row>
    <row r="11" spans="1:105" ht="11.45" customHeight="1" x14ac:dyDescent="0.25">
      <c r="A11" s="92" t="s">
        <v>27</v>
      </c>
      <c r="B11" s="97">
        <v>3.7993648387670205</v>
      </c>
      <c r="C11" s="97">
        <v>3.2453890697146215</v>
      </c>
      <c r="D11" s="97">
        <v>3.6271474759514701</v>
      </c>
      <c r="E11" s="97">
        <v>4.1390415221426204</v>
      </c>
      <c r="F11" s="97">
        <v>7.0060052411597331</v>
      </c>
      <c r="G11" s="97">
        <v>8.0778562494620534</v>
      </c>
      <c r="H11" s="97">
        <v>9.6362349018517861</v>
      </c>
      <c r="I11" s="97">
        <v>11.619595950588662</v>
      </c>
      <c r="J11" s="97">
        <v>11.645204899497022</v>
      </c>
      <c r="K11" s="97">
        <v>8.8164067821531713</v>
      </c>
      <c r="L11" s="97">
        <v>7.218756795380731</v>
      </c>
      <c r="M11" s="97">
        <v>6.4458095074209556</v>
      </c>
      <c r="N11" s="97">
        <v>6.3993541687591931</v>
      </c>
      <c r="O11" s="97">
        <v>6.1492139958461323</v>
      </c>
      <c r="P11" s="97">
        <v>5.5792436914904773</v>
      </c>
      <c r="Q11" s="97">
        <v>5.3787042889858672</v>
      </c>
      <c r="R11" s="97">
        <v>4.7812423304669824</v>
      </c>
      <c r="S11" s="97">
        <v>5.1350981418390811</v>
      </c>
      <c r="T11" s="97">
        <v>3.7431309767223082</v>
      </c>
      <c r="U11" s="97">
        <v>2.397315928186885</v>
      </c>
      <c r="V11" s="97">
        <v>1.7744649506271486</v>
      </c>
      <c r="W11" s="97">
        <v>2.4408364082398522</v>
      </c>
      <c r="DA11" s="175" t="s">
        <v>331</v>
      </c>
    </row>
    <row r="12" spans="1:105" ht="11.45" customHeight="1" x14ac:dyDescent="0.25">
      <c r="A12" s="92" t="s">
        <v>173</v>
      </c>
      <c r="B12" s="97">
        <v>14.126572151303495</v>
      </c>
      <c r="C12" s="97">
        <v>12.278579707700988</v>
      </c>
      <c r="D12" s="97">
        <v>13.265870777324487</v>
      </c>
      <c r="E12" s="97">
        <v>15.116633474089488</v>
      </c>
      <c r="F12" s="97">
        <v>22.095592487515727</v>
      </c>
      <c r="G12" s="97">
        <v>26.09715553379586</v>
      </c>
      <c r="H12" s="97">
        <v>30.147204335670004</v>
      </c>
      <c r="I12" s="97">
        <v>34.908534060647384</v>
      </c>
      <c r="J12" s="97">
        <v>40.864880602810182</v>
      </c>
      <c r="K12" s="97">
        <v>33.068098494466277</v>
      </c>
      <c r="L12" s="97">
        <v>32.317144789800857</v>
      </c>
      <c r="M12" s="97">
        <v>23.795999959403645</v>
      </c>
      <c r="N12" s="97">
        <v>19.500621305876546</v>
      </c>
      <c r="O12" s="97">
        <v>19.77564236344665</v>
      </c>
      <c r="P12" s="97">
        <v>17.159018886092834</v>
      </c>
      <c r="Q12" s="97">
        <v>18.016485966573779</v>
      </c>
      <c r="R12" s="97">
        <v>16.832438514057031</v>
      </c>
      <c r="S12" s="97">
        <v>18.258301271783917</v>
      </c>
      <c r="T12" s="97">
        <v>19.596561022846863</v>
      </c>
      <c r="U12" s="97">
        <v>28.999424711712813</v>
      </c>
      <c r="V12" s="97">
        <v>33.255944408056699</v>
      </c>
      <c r="W12" s="97">
        <v>34.096859051432958</v>
      </c>
      <c r="DA12" s="175" t="s">
        <v>332</v>
      </c>
    </row>
    <row r="13" spans="1:105" ht="11.45" customHeight="1" x14ac:dyDescent="0.25">
      <c r="A13" s="85" t="s">
        <v>174</v>
      </c>
      <c r="B13" s="98">
        <v>21.059389038126735</v>
      </c>
      <c r="C13" s="98">
        <v>29.375774663496394</v>
      </c>
      <c r="D13" s="98">
        <v>32.813073943363939</v>
      </c>
      <c r="E13" s="98">
        <v>45.411144068676876</v>
      </c>
      <c r="F13" s="98">
        <v>58.634518085436845</v>
      </c>
      <c r="G13" s="98">
        <v>66.663290875958808</v>
      </c>
      <c r="H13" s="98">
        <v>73.29095567145491</v>
      </c>
      <c r="I13" s="98">
        <v>68.765150095458949</v>
      </c>
      <c r="J13" s="98">
        <v>78.039404910499726</v>
      </c>
      <c r="K13" s="98">
        <v>59.674804143117491</v>
      </c>
      <c r="L13" s="98">
        <v>70.812852207697688</v>
      </c>
      <c r="M13" s="98">
        <v>63.915284883348619</v>
      </c>
      <c r="N13" s="98">
        <v>49.970631565427588</v>
      </c>
      <c r="O13" s="98">
        <v>34.212555350231952</v>
      </c>
      <c r="P13" s="98">
        <v>20.653131536601016</v>
      </c>
      <c r="Q13" s="98">
        <v>16.268503273820759</v>
      </c>
      <c r="R13" s="98">
        <v>11.729371342167044</v>
      </c>
      <c r="S13" s="98">
        <v>8.8864223980667827</v>
      </c>
      <c r="T13" s="98">
        <v>7.2220765877196982</v>
      </c>
      <c r="U13" s="98">
        <v>4.9679504893242665</v>
      </c>
      <c r="V13" s="98">
        <v>7.1035163470743026</v>
      </c>
      <c r="W13" s="98">
        <v>7.037545797530294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3.0085871646545486</v>
      </c>
      <c r="C18" s="97">
        <f>IF(C4=0,0,C4/TrAvia_ene!C4)</f>
        <v>3.0089491413671277</v>
      </c>
      <c r="D18" s="97">
        <f>IF(D4=0,0,D4/TrAvia_ene!D4)</f>
        <v>3.008670180906265</v>
      </c>
      <c r="E18" s="97">
        <f>IF(E4=0,0,E4/TrAvia_ene!E4)</f>
        <v>3.0086181535427774</v>
      </c>
      <c r="F18" s="97">
        <f>IF(F4=0,0,F4/TrAvia_ene!F4)</f>
        <v>3.0088295166165211</v>
      </c>
      <c r="G18" s="97">
        <f>IF(G4=0,0,G4/TrAvia_ene!G4)</f>
        <v>3.0091462635787973</v>
      </c>
      <c r="H18" s="97">
        <f>IF(H4=0,0,H4/TrAvia_ene!H4)</f>
        <v>3.0091414969948151</v>
      </c>
      <c r="I18" s="97">
        <f>IF(I4=0,0,I4/TrAvia_ene!I4)</f>
        <v>3.0092043114000466</v>
      </c>
      <c r="J18" s="97">
        <f>IF(J4=0,0,J4/TrAvia_ene!J4)</f>
        <v>3.0092297860905233</v>
      </c>
      <c r="K18" s="97">
        <f>IF(K4=0,0,K4/TrAvia_ene!K4)</f>
        <v>3.0090421407990759</v>
      </c>
      <c r="L18" s="97">
        <f>IF(L4=0,0,L4/TrAvia_ene!L4)</f>
        <v>3.0090255465932283</v>
      </c>
      <c r="M18" s="97">
        <f>IF(M4=0,0,M4/TrAvia_ene!M4)</f>
        <v>3.0090991813879344</v>
      </c>
      <c r="N18" s="97">
        <f>IF(N4=0,0,N4/TrAvia_ene!N4)</f>
        <v>3.0093405949847551</v>
      </c>
      <c r="O18" s="97">
        <f>IF(O4=0,0,O4/TrAvia_ene!O4)</f>
        <v>3.0092992588565819</v>
      </c>
      <c r="P18" s="97">
        <f>IF(P4=0,0,P4/TrAvia_ene!P4)</f>
        <v>3.0095132635396231</v>
      </c>
      <c r="Q18" s="97">
        <f>IF(Q4=0,0,Q4/TrAvia_ene!Q4)</f>
        <v>3.0096268137015421</v>
      </c>
      <c r="R18" s="97">
        <f>IF(R4=0,0,R4/TrAvia_ene!R4)</f>
        <v>3.0097101500714496</v>
      </c>
      <c r="S18" s="97">
        <f>IF(S4=0,0,S4/TrAvia_ene!S4)</f>
        <v>3.0097137196745742</v>
      </c>
      <c r="T18" s="97">
        <f>IF(T4=0,0,T4/TrAvia_ene!T4)</f>
        <v>3.009802255470496</v>
      </c>
      <c r="U18" s="97">
        <f>IF(U4=0,0,U4/TrAvia_ene!U4)</f>
        <v>3.0098674852069593</v>
      </c>
      <c r="V18" s="97">
        <f>IF(V4=0,0,V4/TrAvia_ene!V4)</f>
        <v>3.009137156100719</v>
      </c>
      <c r="W18" s="97">
        <f>IF(W4=0,0,W4/TrAvia_ene!W4)</f>
        <v>3.0084442287925062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3.0103092000000014</v>
      </c>
      <c r="C19" s="98">
        <f>IF(C5=0,0,C5/TrAvia_ene!C5)</f>
        <v>3.0103092000000005</v>
      </c>
      <c r="D19" s="98">
        <f>IF(D5=0,0,D5/TrAvia_ene!D5)</f>
        <v>3.0103092000000014</v>
      </c>
      <c r="E19" s="98">
        <f>IF(E5=0,0,E5/TrAvia_ene!E5)</f>
        <v>3.0103092000000005</v>
      </c>
      <c r="F19" s="98">
        <f>IF(F5=0,0,F5/TrAvia_ene!F5)</f>
        <v>3.0103092000000018</v>
      </c>
      <c r="G19" s="98">
        <f>IF(G5=0,0,G5/TrAvia_ene!G5)</f>
        <v>3.0103092</v>
      </c>
      <c r="H19" s="98">
        <f>IF(H5=0,0,H5/TrAvia_ene!H5)</f>
        <v>3.0103092000000005</v>
      </c>
      <c r="I19" s="98">
        <f>IF(I5=0,0,I5/TrAvia_ene!I5)</f>
        <v>3.0103092</v>
      </c>
      <c r="J19" s="98">
        <f>IF(J5=0,0,J5/TrAvia_ene!J5)</f>
        <v>3.0103092000000005</v>
      </c>
      <c r="K19" s="98">
        <f>IF(K5=0,0,K5/TrAvia_ene!K5)</f>
        <v>3.0103092</v>
      </c>
      <c r="L19" s="98">
        <f>IF(L5=0,0,L5/TrAvia_ene!L5)</f>
        <v>3.0103092000000009</v>
      </c>
      <c r="M19" s="98">
        <f>IF(M5=0,0,M5/TrAvia_ene!M5)</f>
        <v>3.0103092</v>
      </c>
      <c r="N19" s="98">
        <f>IF(N5=0,0,N5/TrAvia_ene!N5)</f>
        <v>3.0103092000000014</v>
      </c>
      <c r="O19" s="98">
        <f>IF(O5=0,0,O5/TrAvia_ene!O5)</f>
        <v>3.0103092000000009</v>
      </c>
      <c r="P19" s="98">
        <f>IF(P5=0,0,P5/TrAvia_ene!P5)</f>
        <v>3.0103092000000009</v>
      </c>
      <c r="Q19" s="98">
        <f>IF(Q5=0,0,Q5/TrAvia_ene!Q5)</f>
        <v>3.0103092000000009</v>
      </c>
      <c r="R19" s="98">
        <f>IF(R5=0,0,R5/TrAvia_ene!R5)</f>
        <v>3.0103092000000005</v>
      </c>
      <c r="S19" s="98">
        <f>IF(S5=0,0,S5/TrAvia_ene!S5)</f>
        <v>3.0103092</v>
      </c>
      <c r="T19" s="98">
        <f>IF(T5=0,0,T5/TrAvia_ene!T5)</f>
        <v>3.0103092000000014</v>
      </c>
      <c r="U19" s="98">
        <f>IF(U5=0,0,U5/TrAvia_ene!U5)</f>
        <v>3.0103092000000005</v>
      </c>
      <c r="V19" s="98">
        <f>IF(V5=0,0,V5/TrAvia_ene!V5)</f>
        <v>3.0103092000000014</v>
      </c>
      <c r="W19" s="98">
        <f>IF(W5=0,0,W5/TrAvia_ene!W5)</f>
        <v>3.0103092000000018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14391.442815177186</v>
      </c>
      <c r="C21" s="54">
        <f>IF(C3=0,0,C3/TrAvia_act!C13*1000)</f>
        <v>14910.675841332586</v>
      </c>
      <c r="D21" s="54">
        <f>IF(D3=0,0,D3/TrAvia_act!D13*1000)</f>
        <v>12658.191149280903</v>
      </c>
      <c r="E21" s="54">
        <f>IF(E3=0,0,E3/TrAvia_act!E13*1000)</f>
        <v>12921.29285805132</v>
      </c>
      <c r="F21" s="54">
        <f>IF(F3=0,0,F3/TrAvia_act!F13*1000)</f>
        <v>14653.586708533907</v>
      </c>
      <c r="G21" s="54">
        <f>IF(G3=0,0,G3/TrAvia_act!G13*1000)</f>
        <v>14759.375374511212</v>
      </c>
      <c r="H21" s="54">
        <f>IF(H3=0,0,H3/TrAvia_act!H13*1000)</f>
        <v>14062.353388331621</v>
      </c>
      <c r="I21" s="54">
        <f>IF(I3=0,0,I3/TrAvia_act!I13*1000)</f>
        <v>13458.549520643272</v>
      </c>
      <c r="J21" s="54">
        <f>IF(J3=0,0,J3/TrAvia_act!J13*1000)</f>
        <v>14308.026766913326</v>
      </c>
      <c r="K21" s="54">
        <f>IF(K3=0,0,K3/TrAvia_act!K13*1000)</f>
        <v>14500.194968522528</v>
      </c>
      <c r="L21" s="54">
        <f>IF(L3=0,0,L3/TrAvia_act!L13*1000)</f>
        <v>13500.311655224932</v>
      </c>
      <c r="M21" s="54">
        <f>IF(M3=0,0,M3/TrAvia_act!M13*1000)</f>
        <v>13399.302635595483</v>
      </c>
      <c r="N21" s="54">
        <f>IF(N3=0,0,N3/TrAvia_act!N13*1000)</f>
        <v>13227.009174398063</v>
      </c>
      <c r="O21" s="54">
        <f>IF(O3=0,0,O3/TrAvia_act!O13*1000)</f>
        <v>14048.100415799112</v>
      </c>
      <c r="P21" s="54">
        <f>IF(P3=0,0,P3/TrAvia_act!P13*1000)</f>
        <v>12612.159055990027</v>
      </c>
      <c r="Q21" s="54">
        <f>IF(Q3=0,0,Q3/TrAvia_act!Q13*1000)</f>
        <v>12803.597891042533</v>
      </c>
      <c r="R21" s="54">
        <f>IF(R3=0,0,R3/TrAvia_act!R13*1000)</f>
        <v>13426.178629806609</v>
      </c>
      <c r="S21" s="54">
        <f>IF(S3=0,0,S3/TrAvia_act!S13*1000)</f>
        <v>13058.261717351799</v>
      </c>
      <c r="T21" s="54">
        <f>IF(T3=0,0,T3/TrAvia_act!T13*1000)</f>
        <v>13272.953816692556</v>
      </c>
      <c r="U21" s="54">
        <f>IF(U3=0,0,U3/TrAvia_act!U13*1000)</f>
        <v>13191.445543295229</v>
      </c>
      <c r="V21" s="54">
        <f>IF(V3=0,0,V3/TrAvia_act!V13*1000)</f>
        <v>15765.565721756117</v>
      </c>
      <c r="W21" s="54">
        <f>IF(W3=0,0,W3/TrAvia_act!W13*1000)</f>
        <v>14777.669827520169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14367.3401992866</v>
      </c>
      <c r="C22" s="11">
        <f>IF(C6=0,0,C6/TrAvia_act!C14*1000)</f>
        <v>14875.017680144132</v>
      </c>
      <c r="D22" s="11">
        <f>IF(D6=0,0,D6/TrAvia_act!D14*1000)</f>
        <v>12615.52400855901</v>
      </c>
      <c r="E22" s="11">
        <f>IF(E6=0,0,E6/TrAvia_act!E14*1000)</f>
        <v>12858.992867273737</v>
      </c>
      <c r="F22" s="11">
        <f>IF(F6=0,0,F6/TrAvia_act!F14*1000)</f>
        <v>14576.156380084272</v>
      </c>
      <c r="G22" s="11">
        <f>IF(G6=0,0,G6/TrAvia_act!G14*1000)</f>
        <v>14725.338513524879</v>
      </c>
      <c r="H22" s="11">
        <f>IF(H6=0,0,H6/TrAvia_act!H14*1000)</f>
        <v>14026.04748161741</v>
      </c>
      <c r="I22" s="11">
        <f>IF(I6=0,0,I6/TrAvia_act!I14*1000)</f>
        <v>13469.756384665845</v>
      </c>
      <c r="J22" s="11">
        <f>IF(J6=0,0,J6/TrAvia_act!J14*1000)</f>
        <v>14321.783152892567</v>
      </c>
      <c r="K22" s="11">
        <f>IF(K6=0,0,K6/TrAvia_act!K14*1000)</f>
        <v>14494.593695110139</v>
      </c>
      <c r="L22" s="11">
        <f>IF(L6=0,0,L6/TrAvia_act!L14*1000)</f>
        <v>13470.516703119649</v>
      </c>
      <c r="M22" s="11">
        <f>IF(M6=0,0,M6/TrAvia_act!M14*1000)</f>
        <v>13370.881574526362</v>
      </c>
      <c r="N22" s="11">
        <f>IF(N6=0,0,N6/TrAvia_act!N14*1000)</f>
        <v>13204.171758684713</v>
      </c>
      <c r="O22" s="11">
        <f>IF(O6=0,0,O6/TrAvia_act!O14*1000)</f>
        <v>14053.306345138342</v>
      </c>
      <c r="P22" s="11">
        <f>IF(P6=0,0,P6/TrAvia_act!P14*1000)</f>
        <v>12641.66663337251</v>
      </c>
      <c r="Q22" s="11">
        <f>IF(Q6=0,0,Q6/TrAvia_act!Q14*1000)</f>
        <v>12842.043551329891</v>
      </c>
      <c r="R22" s="11">
        <f>IF(R6=0,0,R6/TrAvia_act!R14*1000)</f>
        <v>13464.987190421672</v>
      </c>
      <c r="S22" s="11">
        <f>IF(S6=0,0,S6/TrAvia_act!S14*1000)</f>
        <v>13094.065769763161</v>
      </c>
      <c r="T22" s="11">
        <f>IF(T6=0,0,T6/TrAvia_act!T14*1000)</f>
        <v>13302.197702384874</v>
      </c>
      <c r="U22" s="11">
        <f>IF(U6=0,0,U6/TrAvia_act!U14*1000)</f>
        <v>13206.50346642866</v>
      </c>
      <c r="V22" s="11">
        <f>IF(V6=0,0,V6/TrAvia_act!V14*1000)</f>
        <v>15798.819727236247</v>
      </c>
      <c r="W22" s="11">
        <f>IF(W6=0,0,W6/TrAvia_act!W14*1000)</f>
        <v>14833.83337708717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12292.307495179904</v>
      </c>
      <c r="C23" s="84">
        <f>IF(C7=0,0,C7/TrAvia_act!C15*1000)</f>
        <v>12721.4842802977</v>
      </c>
      <c r="D23" s="84">
        <f>IF(D7=0,0,D7/TrAvia_act!D15*1000)</f>
        <v>11333.128920037079</v>
      </c>
      <c r="E23" s="84">
        <f>IF(E7=0,0,E7/TrAvia_act!E15*1000)</f>
        <v>11713.377922815604</v>
      </c>
      <c r="F23" s="84">
        <f>IF(F7=0,0,F7/TrAvia_act!F15*1000)</f>
        <v>12761.033969858272</v>
      </c>
      <c r="G23" s="84">
        <f>IF(G7=0,0,G7/TrAvia_act!G15*1000)</f>
        <v>13651.69840518781</v>
      </c>
      <c r="H23" s="84">
        <f>IF(H7=0,0,H7/TrAvia_act!H15*1000)</f>
        <v>13381.002571978255</v>
      </c>
      <c r="I23" s="84">
        <f>IF(I7=0,0,I7/TrAvia_act!I15*1000)</f>
        <v>13665.237542393033</v>
      </c>
      <c r="J23" s="84">
        <f>IF(J7=0,0,J7/TrAvia_act!J15*1000)</f>
        <v>12643.250753820184</v>
      </c>
      <c r="K23" s="84">
        <f>IF(K7=0,0,K7/TrAvia_act!K15*1000)</f>
        <v>11720.844716981326</v>
      </c>
      <c r="L23" s="84">
        <f>IF(L7=0,0,L7/TrAvia_act!L15*1000)</f>
        <v>11307.904210347386</v>
      </c>
      <c r="M23" s="84">
        <f>IF(M7=0,0,M7/TrAvia_act!M15*1000)</f>
        <v>11420.998524168754</v>
      </c>
      <c r="N23" s="84">
        <f>IF(N7=0,0,N7/TrAvia_act!N15*1000)</f>
        <v>11493.339898104825</v>
      </c>
      <c r="O23" s="84">
        <f>IF(O7=0,0,O7/TrAvia_act!O15*1000)</f>
        <v>11533.115527273903</v>
      </c>
      <c r="P23" s="84">
        <f>IF(P7=0,0,P7/TrAvia_act!P15*1000)</f>
        <v>11216.65808315681</v>
      </c>
      <c r="Q23" s="84">
        <f>IF(Q7=0,0,Q7/TrAvia_act!Q15*1000)</f>
        <v>11270.54561846992</v>
      </c>
      <c r="R23" s="84">
        <f>IF(R7=0,0,R7/TrAvia_act!R15*1000)</f>
        <v>11670.462796640873</v>
      </c>
      <c r="S23" s="84">
        <f>IF(S7=0,0,S7/TrAvia_act!S15*1000)</f>
        <v>11370.273022082863</v>
      </c>
      <c r="T23" s="84">
        <f>IF(T7=0,0,T7/TrAvia_act!T15*1000)</f>
        <v>10986.942370930383</v>
      </c>
      <c r="U23" s="84">
        <f>IF(U7=0,0,U7/TrAvia_act!U15*1000)</f>
        <v>10863.273618853138</v>
      </c>
      <c r="V23" s="84">
        <f>IF(V7=0,0,V7/TrAvia_act!V15*1000)</f>
        <v>11075.021842515313</v>
      </c>
      <c r="W23" s="84">
        <f>IF(W7=0,0,W7/TrAvia_act!W15*1000)</f>
        <v>11943.401224500351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13963.798878807247</v>
      </c>
      <c r="C24" s="84">
        <f>IF(C8=0,0,C8/TrAvia_act!C16*1000)</f>
        <v>14482.861151512323</v>
      </c>
      <c r="D24" s="84">
        <f>IF(D8=0,0,D8/TrAvia_act!D16*1000)</f>
        <v>12137.727244114913</v>
      </c>
      <c r="E24" s="84">
        <f>IF(E8=0,0,E8/TrAvia_act!E16*1000)</f>
        <v>12342.200925139747</v>
      </c>
      <c r="F24" s="84">
        <f>IF(F8=0,0,F8/TrAvia_act!F16*1000)</f>
        <v>14179.329188574087</v>
      </c>
      <c r="G24" s="84">
        <f>IF(G8=0,0,G8/TrAvia_act!G16*1000)</f>
        <v>14786.809306353001</v>
      </c>
      <c r="H24" s="84">
        <f>IF(H8=0,0,H8/TrAvia_act!H16*1000)</f>
        <v>13707.738597783904</v>
      </c>
      <c r="I24" s="84">
        <f>IF(I8=0,0,I8/TrAvia_act!I16*1000)</f>
        <v>13191.410039936363</v>
      </c>
      <c r="J24" s="84">
        <f>IF(J8=0,0,J8/TrAvia_act!J16*1000)</f>
        <v>14906.322582843699</v>
      </c>
      <c r="K24" s="84">
        <f>IF(K8=0,0,K8/TrAvia_act!K16*1000)</f>
        <v>15659.485709818555</v>
      </c>
      <c r="L24" s="84">
        <f>IF(L8=0,0,L8/TrAvia_act!L16*1000)</f>
        <v>14340.071407336467</v>
      </c>
      <c r="M24" s="84">
        <f>IF(M8=0,0,M8/TrAvia_act!M16*1000)</f>
        <v>14141.554086504204</v>
      </c>
      <c r="N24" s="84">
        <f>IF(N8=0,0,N8/TrAvia_act!N16*1000)</f>
        <v>13813.48265346418</v>
      </c>
      <c r="O24" s="84">
        <f>IF(O8=0,0,O8/TrAvia_act!O16*1000)</f>
        <v>15019.078376862668</v>
      </c>
      <c r="P24" s="84">
        <f>IF(P8=0,0,P8/TrAvia_act!P16*1000)</f>
        <v>13639.579740493939</v>
      </c>
      <c r="Q24" s="84">
        <f>IF(Q8=0,0,Q8/TrAvia_act!Q16*1000)</f>
        <v>13878.602620097919</v>
      </c>
      <c r="R24" s="84">
        <f>IF(R8=0,0,R8/TrAvia_act!R16*1000)</f>
        <v>14595.122488892674</v>
      </c>
      <c r="S24" s="84">
        <f>IF(S8=0,0,S8/TrAvia_act!S16*1000)</f>
        <v>14269.442021346713</v>
      </c>
      <c r="T24" s="84">
        <f>IF(T8=0,0,T8/TrAvia_act!T16*1000)</f>
        <v>14801.527670314937</v>
      </c>
      <c r="U24" s="84">
        <f>IF(U8=0,0,U8/TrAvia_act!U16*1000)</f>
        <v>14552.342568651649</v>
      </c>
      <c r="V24" s="84">
        <f>IF(V8=0,0,V8/TrAvia_act!V16*1000)</f>
        <v>17799.063114422992</v>
      </c>
      <c r="W24" s="84">
        <f>IF(W8=0,0,W8/TrAvia_act!W16*1000)</f>
        <v>15749.137918939348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19691.925658763994</v>
      </c>
      <c r="C25" s="84">
        <f>IF(C9=0,0,C9/TrAvia_act!C17*1000)</f>
        <v>20466.574875841015</v>
      </c>
      <c r="D25" s="84">
        <f>IF(D9=0,0,D9/TrAvia_act!D17*1000)</f>
        <v>17146.047443717867</v>
      </c>
      <c r="E25" s="84">
        <f>IF(E9=0,0,E9/TrAvia_act!E17*1000)</f>
        <v>17457.506781815351</v>
      </c>
      <c r="F25" s="84">
        <f>IF(F9=0,0,F9/TrAvia_act!F17*1000)</f>
        <v>20088.189471531972</v>
      </c>
      <c r="G25" s="84">
        <f>IF(G9=0,0,G9/TrAvia_act!G17*1000)</f>
        <v>16362.664831789632</v>
      </c>
      <c r="H25" s="84">
        <f>IF(H9=0,0,H9/TrAvia_act!H17*1000)</f>
        <v>16110.411574463245</v>
      </c>
      <c r="I25" s="84">
        <f>IF(I9=0,0,I9/TrAvia_act!I17*1000)</f>
        <v>14071.575059222658</v>
      </c>
      <c r="J25" s="84">
        <f>IF(J9=0,0,J9/TrAvia_act!J17*1000)</f>
        <v>14637.900653002018</v>
      </c>
      <c r="K25" s="84">
        <f>IF(K9=0,0,K9/TrAvia_act!K17*1000)</f>
        <v>14765.94254451175</v>
      </c>
      <c r="L25" s="84">
        <f>IF(L9=0,0,L9/TrAvia_act!L17*1000)</f>
        <v>13606.815061099873</v>
      </c>
      <c r="M25" s="84">
        <f>IF(M9=0,0,M9/TrAvia_act!M17*1000)</f>
        <v>13497.209800035529</v>
      </c>
      <c r="N25" s="84">
        <f>IF(N9=0,0,N9/TrAvia_act!N17*1000)</f>
        <v>13496.085354213945</v>
      </c>
      <c r="O25" s="84">
        <f>IF(O9=0,0,O9/TrAvia_act!O17*1000)</f>
        <v>14184.933864370609</v>
      </c>
      <c r="P25" s="84">
        <f>IF(P9=0,0,P9/TrAvia_act!P17*1000)</f>
        <v>11698.817940500319</v>
      </c>
      <c r="Q25" s="84">
        <f>IF(Q9=0,0,Q9/TrAvia_act!Q17*1000)</f>
        <v>11909.073639511864</v>
      </c>
      <c r="R25" s="84">
        <f>IF(R9=0,0,R9/TrAvia_act!R17*1000)</f>
        <v>12402.041681758159</v>
      </c>
      <c r="S25" s="84">
        <f>IF(S9=0,0,S9/TrAvia_act!S17*1000)</f>
        <v>11729.249059378611</v>
      </c>
      <c r="T25" s="84">
        <f>IF(T9=0,0,T9/TrAvia_act!T17*1000)</f>
        <v>11711.209661895196</v>
      </c>
      <c r="U25" s="84">
        <f>IF(U9=0,0,U9/TrAvia_act!U17*1000)</f>
        <v>11941.158053665657</v>
      </c>
      <c r="V25" s="84">
        <f>IF(V9=0,0,V9/TrAvia_act!V17*1000)</f>
        <v>15943.597419557227</v>
      </c>
      <c r="W25" s="84">
        <f>IF(W9=0,0,W9/TrAvia_act!W17*1000)</f>
        <v>15244.410198914151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16397.419319643534</v>
      </c>
      <c r="C26" s="13">
        <f>IF(C10=0,0,C10/TrAvia_act!C18*1000)</f>
        <v>17628.640434065692</v>
      </c>
      <c r="D26" s="13">
        <f>IF(D10=0,0,D10/TrAvia_act!D18*1000)</f>
        <v>14873.035026621408</v>
      </c>
      <c r="E26" s="13">
        <f>IF(E10=0,0,E10/TrAvia_act!E18*1000)</f>
        <v>15347.740123695708</v>
      </c>
      <c r="F26" s="13">
        <f>IF(F10=0,0,F10/TrAvia_act!F18*1000)</f>
        <v>17301.696051399274</v>
      </c>
      <c r="G26" s="13">
        <f>IF(G10=0,0,G10/TrAvia_act!G18*1000)</f>
        <v>15676.118484876186</v>
      </c>
      <c r="H26" s="13">
        <f>IF(H10=0,0,H10/TrAvia_act!H18*1000)</f>
        <v>14949.560813168231</v>
      </c>
      <c r="I26" s="13">
        <f>IF(I10=0,0,I10/TrAvia_act!I18*1000)</f>
        <v>13215.669822069915</v>
      </c>
      <c r="J26" s="13">
        <f>IF(J10=0,0,J10/TrAvia_act!J18*1000)</f>
        <v>14009.847513075163</v>
      </c>
      <c r="K26" s="13">
        <f>IF(K10=0,0,K10/TrAvia_act!K18*1000)</f>
        <v>14646.975898821354</v>
      </c>
      <c r="L26" s="13">
        <f>IF(L10=0,0,L10/TrAvia_act!L18*1000)</f>
        <v>14218.446134777527</v>
      </c>
      <c r="M26" s="13">
        <f>IF(M10=0,0,M10/TrAvia_act!M18*1000)</f>
        <v>14284.197975492722</v>
      </c>
      <c r="N26" s="13">
        <f>IF(N10=0,0,N10/TrAvia_act!N18*1000)</f>
        <v>14074.66451274131</v>
      </c>
      <c r="O26" s="13">
        <f>IF(O10=0,0,O10/TrAvia_act!O18*1000)</f>
        <v>13798.187034991908</v>
      </c>
      <c r="P26" s="13">
        <f>IF(P10=0,0,P10/TrAvia_act!P18*1000)</f>
        <v>10997.714945684416</v>
      </c>
      <c r="Q26" s="13">
        <f>IF(Q10=0,0,Q10/TrAvia_act!Q18*1000)</f>
        <v>10582.915346417212</v>
      </c>
      <c r="R26" s="13">
        <f>IF(R10=0,0,R10/TrAvia_act!R18*1000)</f>
        <v>10606.823879777505</v>
      </c>
      <c r="S26" s="13">
        <f>IF(S10=0,0,S10/TrAvia_act!S18*1000)</f>
        <v>10254.563381230724</v>
      </c>
      <c r="T26" s="13">
        <f>IF(T10=0,0,T10/TrAvia_act!T18*1000)</f>
        <v>10701.915342611745</v>
      </c>
      <c r="U26" s="13">
        <f>IF(U10=0,0,U10/TrAvia_act!U18*1000)</f>
        <v>12009.987165063081</v>
      </c>
      <c r="V26" s="13">
        <f>IF(V10=0,0,V10/TrAvia_act!V18*1000)</f>
        <v>14888.242753723402</v>
      </c>
      <c r="W26" s="13">
        <f>IF(W10=0,0,W10/TrAvia_act!W18*1000)</f>
        <v>13330.485112246237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14356.841815814152</v>
      </c>
      <c r="C27" s="102">
        <f>IF(C11=0,0,C11/TrAvia_act!C19*1000)</f>
        <v>14858.100283141939</v>
      </c>
      <c r="D27" s="102">
        <f>IF(D11=0,0,D11/TrAvia_act!D19*1000)</f>
        <v>13236.565978112934</v>
      </c>
      <c r="E27" s="102">
        <f>IF(E11=0,0,E11/TrAvia_act!E19*1000)</f>
        <v>13680.679077761069</v>
      </c>
      <c r="F27" s="102">
        <f>IF(F11=0,0,F11/TrAvia_act!F19*1000)</f>
        <v>14904.292475869654</v>
      </c>
      <c r="G27" s="102">
        <f>IF(G11=0,0,G11/TrAvia_act!G19*1000)</f>
        <v>15933.101199215022</v>
      </c>
      <c r="H27" s="102">
        <f>IF(H11=0,0,H11/TrAvia_act!H19*1000)</f>
        <v>15475.804928621683</v>
      </c>
      <c r="I27" s="102">
        <f>IF(I11=0,0,I11/TrAvia_act!I19*1000)</f>
        <v>15659.498834886175</v>
      </c>
      <c r="J27" s="102">
        <f>IF(J11=0,0,J11/TrAvia_act!J19*1000)</f>
        <v>14330.116738079225</v>
      </c>
      <c r="K27" s="102">
        <f>IF(K11=0,0,K11/TrAvia_act!K19*1000)</f>
        <v>13172.461435256424</v>
      </c>
      <c r="L27" s="102">
        <f>IF(L11=0,0,L11/TrAvia_act!L19*1000)</f>
        <v>12629.211317617584</v>
      </c>
      <c r="M27" s="102">
        <f>IF(M11=0,0,M11/TrAvia_act!M19*1000)</f>
        <v>12912.85749943749</v>
      </c>
      <c r="N27" s="102">
        <f>IF(N11=0,0,N11/TrAvia_act!N19*1000)</f>
        <v>13110.577814312932</v>
      </c>
      <c r="O27" s="102">
        <f>IF(O11=0,0,O11/TrAvia_act!O19*1000)</f>
        <v>13263.683732455911</v>
      </c>
      <c r="P27" s="102">
        <f>IF(P11=0,0,P11/TrAvia_act!P19*1000)</f>
        <v>12985.982677916896</v>
      </c>
      <c r="Q27" s="102">
        <f>IF(Q11=0,0,Q11/TrAvia_act!Q19*1000)</f>
        <v>13152.767664632487</v>
      </c>
      <c r="R27" s="102">
        <f>IF(R11=0,0,R11/TrAvia_act!R19*1000)</f>
        <v>13677.955690070412</v>
      </c>
      <c r="S27" s="102">
        <f>IF(S11=0,0,S11/TrAvia_act!S19*1000)</f>
        <v>13424.309717540495</v>
      </c>
      <c r="T27" s="102">
        <f>IF(T11=0,0,T11/TrAvia_act!T19*1000)</f>
        <v>13075.324408596107</v>
      </c>
      <c r="U27" s="102">
        <f>IF(U11=0,0,U11/TrAvia_act!U19*1000)</f>
        <v>13420.621837525898</v>
      </c>
      <c r="V27" s="102">
        <f>IF(V11=0,0,V11/TrAvia_act!V19*1000)</f>
        <v>13721.936581215781</v>
      </c>
      <c r="W27" s="102">
        <f>IF(W11=0,0,W11/TrAvia_act!W19*1000)</f>
        <v>14784.123380791092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14099.338804843937</v>
      </c>
      <c r="C28" s="102">
        <f>IF(C12=0,0,C12/TrAvia_act!C20*1000)</f>
        <v>14660.500246061987</v>
      </c>
      <c r="D28" s="102">
        <f>IF(D12=0,0,D12/TrAvia_act!D20*1000)</f>
        <v>12283.539461294324</v>
      </c>
      <c r="E28" s="102">
        <f>IF(E12=0,0,E12/TrAvia_act!E20*1000)</f>
        <v>12506.7619489478</v>
      </c>
      <c r="F28" s="102">
        <f>IF(F12=0,0,F12/TrAvia_act!F20*1000)</f>
        <v>14085.083046198959</v>
      </c>
      <c r="G28" s="102">
        <f>IF(G12=0,0,G12/TrAvia_act!G20*1000)</f>
        <v>15010.916419697332</v>
      </c>
      <c r="H28" s="102">
        <f>IF(H12=0,0,H12/TrAvia_act!H20*1000)</f>
        <v>13211.615289267138</v>
      </c>
      <c r="I28" s="102">
        <f>IF(I12=0,0,I12/TrAvia_act!I20*1000)</f>
        <v>12574.275354811434</v>
      </c>
      <c r="J28" s="102">
        <f>IF(J12=0,0,J12/TrAvia_act!J20*1000)</f>
        <v>14209.318300971718</v>
      </c>
      <c r="K28" s="102">
        <f>IF(K12=0,0,K12/TrAvia_act!K20*1000)</f>
        <v>14811.241128228641</v>
      </c>
      <c r="L28" s="102">
        <f>IF(L12=0,0,L12/TrAvia_act!L20*1000)</f>
        <v>13324.820457227401</v>
      </c>
      <c r="M28" s="102">
        <f>IF(M12=0,0,M12/TrAvia_act!M20*1000)</f>
        <v>13086.103260806776</v>
      </c>
      <c r="N28" s="102">
        <f>IF(N12=0,0,N12/TrAvia_act!N20*1000)</f>
        <v>12874.439713583668</v>
      </c>
      <c r="O28" s="102">
        <f>IF(O12=0,0,O12/TrAvia_act!O20*1000)</f>
        <v>13945.235485856385</v>
      </c>
      <c r="P28" s="102">
        <f>IF(P12=0,0,P12/TrAvia_act!P20*1000)</f>
        <v>12785.185226662028</v>
      </c>
      <c r="Q28" s="102">
        <f>IF(Q12=0,0,Q12/TrAvia_act!Q20*1000)</f>
        <v>13300.380851544178</v>
      </c>
      <c r="R28" s="102">
        <f>IF(R12=0,0,R12/TrAvia_act!R20*1000)</f>
        <v>14085.838829674854</v>
      </c>
      <c r="S28" s="102">
        <f>IF(S12=0,0,S12/TrAvia_act!S20*1000)</f>
        <v>13655.262831864307</v>
      </c>
      <c r="T28" s="102">
        <f>IF(T12=0,0,T12/TrAvia_act!T20*1000)</f>
        <v>14354.17887223254</v>
      </c>
      <c r="U28" s="102">
        <f>IF(U12=0,0,U12/TrAvia_act!U20*1000)</f>
        <v>13866.599385415231</v>
      </c>
      <c r="V28" s="102">
        <f>IF(V12=0,0,V12/TrAvia_act!V20*1000)</f>
        <v>17297.675275246092</v>
      </c>
      <c r="W28" s="102">
        <f>IF(W12=0,0,W12/TrAvia_act!W20*1000)</f>
        <v>13946.757392671592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18956.050486694057</v>
      </c>
      <c r="C29" s="86">
        <f>IF(C13=0,0,C13/TrAvia_act!C21*1000)</f>
        <v>19701.751538122451</v>
      </c>
      <c r="D29" s="86">
        <f>IF(D13=0,0,D13/TrAvia_act!D21*1000)</f>
        <v>16505.310177509993</v>
      </c>
      <c r="E29" s="86">
        <f>IF(E13=0,0,E13/TrAvia_act!E21*1000)</f>
        <v>16805.130471362289</v>
      </c>
      <c r="F29" s="86">
        <f>IF(F13=0,0,F13/TrAvia_act!F21*1000)</f>
        <v>19337.506164063867</v>
      </c>
      <c r="G29" s="86">
        <f>IF(G13=0,0,G13/TrAvia_act!G21*1000)</f>
        <v>15921.205344336422</v>
      </c>
      <c r="H29" s="86">
        <f>IF(H13=0,0,H13/TrAvia_act!H21*1000)</f>
        <v>15730.403273182663</v>
      </c>
      <c r="I29" s="86">
        <f>IF(I13=0,0,I13/TrAvia_act!I21*1000)</f>
        <v>13209.382751412984</v>
      </c>
      <c r="J29" s="86">
        <f>IF(J13=0,0,J13/TrAvia_act!J21*1000)</f>
        <v>13861.721809451665</v>
      </c>
      <c r="K29" s="86">
        <f>IF(K13=0,0,K13/TrAvia_act!K21*1000)</f>
        <v>14800.789773754464</v>
      </c>
      <c r="L29" s="86">
        <f>IF(L13=0,0,L13/TrAvia_act!L21*1000)</f>
        <v>14864.062228966453</v>
      </c>
      <c r="M29" s="86">
        <f>IF(M13=0,0,M13/TrAvia_act!M21*1000)</f>
        <v>14954.088297507655</v>
      </c>
      <c r="N29" s="86">
        <f>IF(N13=0,0,N13/TrAvia_act!N21*1000)</f>
        <v>14750.186137909504</v>
      </c>
      <c r="O29" s="86">
        <f>IF(O13=0,0,O13/TrAvia_act!O21*1000)</f>
        <v>13814.044824368224</v>
      </c>
      <c r="P29" s="86">
        <f>IF(P13=0,0,P13/TrAvia_act!P21*1000)</f>
        <v>9501.1345414200314</v>
      </c>
      <c r="Q29" s="86">
        <f>IF(Q13=0,0,Q13/TrAvia_act!Q21*1000)</f>
        <v>8198.3070446552429</v>
      </c>
      <c r="R29" s="86">
        <f>IF(R13=0,0,R13/TrAvia_act!R21*1000)</f>
        <v>7335.4469307359504</v>
      </c>
      <c r="S29" s="86">
        <f>IF(S13=0,0,S13/TrAvia_act!S21*1000)</f>
        <v>6221.9471372468315</v>
      </c>
      <c r="T29" s="86">
        <f>IF(T13=0,0,T13/TrAvia_act!T21*1000)</f>
        <v>5997.2169851139879</v>
      </c>
      <c r="U29" s="86">
        <f>IF(U13=0,0,U13/TrAvia_act!U21*1000)</f>
        <v>6554.656917149543</v>
      </c>
      <c r="V29" s="86">
        <f>IF(V13=0,0,V13/TrAvia_act!V21*1000)</f>
        <v>9128.9566262448207</v>
      </c>
      <c r="W29" s="86">
        <f>IF(W13=0,0,W13/TrAvia_act!W21*1000)</f>
        <v>10679.852764240415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150.56229214782275</v>
      </c>
      <c r="C32" s="14">
        <f>IF(C6=0,0,C6/TrAvia_act!C4*1000)</f>
        <v>154.78680924903807</v>
      </c>
      <c r="D32" s="14">
        <f>IF(D6=0,0,D6/TrAvia_act!D4*1000)</f>
        <v>130.88707345154941</v>
      </c>
      <c r="E32" s="14">
        <f>IF(E6=0,0,E6/TrAvia_act!E4*1000)</f>
        <v>136.63787788948807</v>
      </c>
      <c r="F32" s="14">
        <f>IF(F6=0,0,F6/TrAvia_act!F4*1000)</f>
        <v>152.61961256083177</v>
      </c>
      <c r="G32" s="14">
        <f>IF(G6=0,0,G6/TrAvia_act!G4*1000)</f>
        <v>140.1900995558872</v>
      </c>
      <c r="H32" s="14">
        <f>IF(H6=0,0,H6/TrAvia_act!H4*1000)</f>
        <v>123.67535471052315</v>
      </c>
      <c r="I32" s="14">
        <f>IF(I6=0,0,I6/TrAvia_act!I4*1000)</f>
        <v>114.47995715710742</v>
      </c>
      <c r="J32" s="14">
        <f>IF(J6=0,0,J6/TrAvia_act!J4*1000)</f>
        <v>124.40486015016343</v>
      </c>
      <c r="K32" s="14">
        <f>IF(K6=0,0,K6/TrAvia_act!K4*1000)</f>
        <v>124.2734129748454</v>
      </c>
      <c r="L32" s="14">
        <f>IF(L6=0,0,L6/TrAvia_act!L4*1000)</f>
        <v>112.5194834423438</v>
      </c>
      <c r="M32" s="14">
        <f>IF(M6=0,0,M6/TrAvia_act!M4*1000)</f>
        <v>112.52378601193566</v>
      </c>
      <c r="N32" s="14">
        <f>IF(N6=0,0,N6/TrAvia_act!N4*1000)</f>
        <v>105.68612211714171</v>
      </c>
      <c r="O32" s="14">
        <f>IF(O6=0,0,O6/TrAvia_act!O4*1000)</f>
        <v>110.40632867384377</v>
      </c>
      <c r="P32" s="14">
        <f>IF(P6=0,0,P6/TrAvia_act!P4*1000)</f>
        <v>96.010813040017169</v>
      </c>
      <c r="Q32" s="14">
        <f>IF(Q6=0,0,Q6/TrAvia_act!Q4*1000)</f>
        <v>95.240211348346961</v>
      </c>
      <c r="R32" s="14">
        <f>IF(R6=0,0,R6/TrAvia_act!R4*1000)</f>
        <v>98.985030242660514</v>
      </c>
      <c r="S32" s="14">
        <f>IF(S6=0,0,S6/TrAvia_act!S4*1000)</f>
        <v>94.376163516119021</v>
      </c>
      <c r="T32" s="14">
        <f>IF(T6=0,0,T6/TrAvia_act!T4*1000)</f>
        <v>95.87412758363412</v>
      </c>
      <c r="U32" s="14">
        <f>IF(U6=0,0,U6/TrAvia_act!U4*1000)</f>
        <v>95.067503527512741</v>
      </c>
      <c r="V32" s="14">
        <f>IF(V6=0,0,V6/TrAvia_act!V4*1000)</f>
        <v>146.29364397531376</v>
      </c>
      <c r="W32" s="14">
        <f>IF(W6=0,0,W6/TrAvia_act!W4*1000)</f>
        <v>136.17532581261378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192.43571790201145</v>
      </c>
      <c r="C33" s="87">
        <f>IF(C7=0,0,C7/TrAvia_act!C5*1000)</f>
        <v>194.80152330953746</v>
      </c>
      <c r="D33" s="87">
        <f>IF(D7=0,0,D7/TrAvia_act!D5*1000)</f>
        <v>173.4594338213185</v>
      </c>
      <c r="E33" s="87">
        <f>IF(E7=0,0,E7/TrAvia_act!E5*1000)</f>
        <v>183.25626928090924</v>
      </c>
      <c r="F33" s="87">
        <f>IF(F7=0,0,F7/TrAvia_act!F5*1000)</f>
        <v>203.4803656035937</v>
      </c>
      <c r="G33" s="87">
        <f>IF(G7=0,0,G7/TrAvia_act!G5*1000)</f>
        <v>200.06779007624411</v>
      </c>
      <c r="H33" s="87">
        <f>IF(H7=0,0,H7/TrAvia_act!H5*1000)</f>
        <v>190.05931670583962</v>
      </c>
      <c r="I33" s="87">
        <f>IF(I7=0,0,I7/TrAvia_act!I5*1000)</f>
        <v>188.16246630114452</v>
      </c>
      <c r="J33" s="87">
        <f>IF(J7=0,0,J7/TrAvia_act!J5*1000)</f>
        <v>176.89782187805577</v>
      </c>
      <c r="K33" s="87">
        <f>IF(K7=0,0,K7/TrAvia_act!K5*1000)</f>
        <v>172.97963960291804</v>
      </c>
      <c r="L33" s="87">
        <f>IF(L7=0,0,L7/TrAvia_act!L5*1000)</f>
        <v>159.32168077895668</v>
      </c>
      <c r="M33" s="87">
        <f>IF(M7=0,0,M7/TrAvia_act!M5*1000)</f>
        <v>158.42040252547574</v>
      </c>
      <c r="N33" s="87">
        <f>IF(N7=0,0,N7/TrAvia_act!N5*1000)</f>
        <v>147.94605787819984</v>
      </c>
      <c r="O33" s="87">
        <f>IF(O7=0,0,O7/TrAvia_act!O5*1000)</f>
        <v>148.6103139706305</v>
      </c>
      <c r="P33" s="87">
        <f>IF(P7=0,0,P7/TrAvia_act!P5*1000)</f>
        <v>141.73308209768277</v>
      </c>
      <c r="Q33" s="87">
        <f>IF(Q7=0,0,Q7/TrAvia_act!Q5*1000)</f>
        <v>139.93830292198459</v>
      </c>
      <c r="R33" s="87">
        <f>IF(R7=0,0,R7/TrAvia_act!R5*1000)</f>
        <v>142.00851715063021</v>
      </c>
      <c r="S33" s="87">
        <f>IF(S7=0,0,S7/TrAvia_act!S5*1000)</f>
        <v>136.77949519038319</v>
      </c>
      <c r="T33" s="87">
        <f>IF(T7=0,0,T7/TrAvia_act!T5*1000)</f>
        <v>133.61692933022803</v>
      </c>
      <c r="U33" s="87">
        <f>IF(U7=0,0,U7/TrAvia_act!U5*1000)</f>
        <v>133.51700596199845</v>
      </c>
      <c r="V33" s="87">
        <f>IF(V7=0,0,V7/TrAvia_act!V5*1000)</f>
        <v>168.39617927146509</v>
      </c>
      <c r="W33" s="87">
        <f>IF(W7=0,0,W7/TrAvia_act!W5*1000)</f>
        <v>175.19939312997167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142.29753945752068</v>
      </c>
      <c r="C34" s="87">
        <f>IF(C8=0,0,C8/TrAvia_act!C6*1000)</f>
        <v>144.20474529929379</v>
      </c>
      <c r="D34" s="87">
        <f>IF(D8=0,0,D8/TrAvia_act!D6*1000)</f>
        <v>117.13366107937588</v>
      </c>
      <c r="E34" s="87">
        <f>IF(E8=0,0,E8/TrAvia_act!E6*1000)</f>
        <v>126.87661052940058</v>
      </c>
      <c r="F34" s="87">
        <f>IF(F8=0,0,F8/TrAvia_act!F6*1000)</f>
        <v>149.26607489206464</v>
      </c>
      <c r="G34" s="87">
        <f>IF(G8=0,0,G8/TrAvia_act!G6*1000)</f>
        <v>144.19167734062512</v>
      </c>
      <c r="H34" s="87">
        <f>IF(H8=0,0,H8/TrAvia_act!H6*1000)</f>
        <v>122.46127176321951</v>
      </c>
      <c r="I34" s="87">
        <f>IF(I8=0,0,I8/TrAvia_act!I6*1000)</f>
        <v>119.05918461507196</v>
      </c>
      <c r="J34" s="87">
        <f>IF(J8=0,0,J8/TrAvia_act!J6*1000)</f>
        <v>143.98207082077491</v>
      </c>
      <c r="K34" s="87">
        <f>IF(K8=0,0,K8/TrAvia_act!K6*1000)</f>
        <v>145.30234242107616</v>
      </c>
      <c r="L34" s="87">
        <f>IF(L8=0,0,L8/TrAvia_act!L6*1000)</f>
        <v>130.61866003203983</v>
      </c>
      <c r="M34" s="87">
        <f>IF(M8=0,0,M8/TrAvia_act!M6*1000)</f>
        <v>125.79814489741911</v>
      </c>
      <c r="N34" s="87">
        <f>IF(N8=0,0,N8/TrAvia_act!N6*1000)</f>
        <v>115.61254343294939</v>
      </c>
      <c r="O34" s="87">
        <f>IF(O8=0,0,O8/TrAvia_act!O6*1000)</f>
        <v>120.8942429489103</v>
      </c>
      <c r="P34" s="87">
        <f>IF(P8=0,0,P8/TrAvia_act!P6*1000)</f>
        <v>105.63172290655105</v>
      </c>
      <c r="Q34" s="87">
        <f>IF(Q8=0,0,Q8/TrAvia_act!Q6*1000)</f>
        <v>105.73934051155719</v>
      </c>
      <c r="R34" s="87">
        <f>IF(R8=0,0,R8/TrAvia_act!R6*1000)</f>
        <v>109.1216442272426</v>
      </c>
      <c r="S34" s="87">
        <f>IF(S8=0,0,S8/TrAvia_act!S6*1000)</f>
        <v>104.0582759590103</v>
      </c>
      <c r="T34" s="87">
        <f>IF(T8=0,0,T8/TrAvia_act!T6*1000)</f>
        <v>110.49603462371795</v>
      </c>
      <c r="U34" s="87">
        <f>IF(U8=0,0,U8/TrAvia_act!U6*1000)</f>
        <v>108.05240298974628</v>
      </c>
      <c r="V34" s="87">
        <f>IF(V8=0,0,V8/TrAvia_act!V6*1000)</f>
        <v>166.86365526703491</v>
      </c>
      <c r="W34" s="87">
        <f>IF(W8=0,0,W8/TrAvia_act!W6*1000)</f>
        <v>136.03135141634348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134.75009704333067</v>
      </c>
      <c r="C35" s="87">
        <f>IF(C9=0,0,C9/TrAvia_act!C7*1000)</f>
        <v>145.34624982349126</v>
      </c>
      <c r="D35" s="87">
        <f>IF(D9=0,0,D9/TrAvia_act!D7*1000)</f>
        <v>125.99682968342465</v>
      </c>
      <c r="E35" s="87">
        <f>IF(E9=0,0,E9/TrAvia_act!E7*1000)</f>
        <v>117.37285079810907</v>
      </c>
      <c r="F35" s="87">
        <f>IF(F9=0,0,F9/TrAvia_act!F7*1000)</f>
        <v>118.92889135236287</v>
      </c>
      <c r="G35" s="87">
        <f>IF(G9=0,0,G9/TrAvia_act!G7*1000)</f>
        <v>93.356280806582149</v>
      </c>
      <c r="H35" s="87">
        <f>IF(H9=0,0,H9/TrAvia_act!H7*1000)</f>
        <v>86.557046896313153</v>
      </c>
      <c r="I35" s="87">
        <f>IF(I9=0,0,I9/TrAvia_act!I7*1000)</f>
        <v>70.341946804965076</v>
      </c>
      <c r="J35" s="87">
        <f>IF(J9=0,0,J9/TrAvia_act!J7*1000)</f>
        <v>73.730029300052209</v>
      </c>
      <c r="K35" s="87">
        <f>IF(K9=0,0,K9/TrAvia_act!K7*1000)</f>
        <v>75.779416576071597</v>
      </c>
      <c r="L35" s="87">
        <f>IF(L9=0,0,L9/TrAvia_act!L7*1000)</f>
        <v>68.999332930937726</v>
      </c>
      <c r="M35" s="87">
        <f>IF(M9=0,0,M9/TrAvia_act!M7*1000)</f>
        <v>72.339322849416035</v>
      </c>
      <c r="N35" s="87">
        <f>IF(N9=0,0,N9/TrAvia_act!N7*1000)</f>
        <v>70.983024912992278</v>
      </c>
      <c r="O35" s="87">
        <f>IF(O9=0,0,O9/TrAvia_act!O7*1000)</f>
        <v>76.720480728699982</v>
      </c>
      <c r="P35" s="87">
        <f>IF(P9=0,0,P9/TrAvia_act!P7*1000)</f>
        <v>62.657699731252556</v>
      </c>
      <c r="Q35" s="87">
        <f>IF(Q9=0,0,Q9/TrAvia_act!Q7*1000)</f>
        <v>61.782148973867692</v>
      </c>
      <c r="R35" s="87">
        <f>IF(R9=0,0,R9/TrAvia_act!R7*1000)</f>
        <v>64.948556486115166</v>
      </c>
      <c r="S35" s="87">
        <f>IF(S9=0,0,S9/TrAvia_act!S7*1000)</f>
        <v>61.634292039034079</v>
      </c>
      <c r="T35" s="87">
        <f>IF(T9=0,0,T9/TrAvia_act!T7*1000)</f>
        <v>60.493599284792779</v>
      </c>
      <c r="U35" s="87">
        <f>IF(U9=0,0,U9/TrAvia_act!U7*1000)</f>
        <v>62.712460296591239</v>
      </c>
      <c r="V35" s="87">
        <f>IF(V9=0,0,V9/TrAvia_act!V7*1000)</f>
        <v>109.82638635620033</v>
      </c>
      <c r="W35" s="87">
        <f>IF(W9=0,0,W9/TrAvia_act!W7*1000)</f>
        <v>118.35182018751398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313.60935780015558</v>
      </c>
      <c r="C36" s="15">
        <f>IF(C10=0,0,C10/TrAvia_act!C8*1000)</f>
        <v>281.04458987318048</v>
      </c>
      <c r="D36" s="15">
        <f>IF(D10=0,0,D10/TrAvia_act!D8*1000)</f>
        <v>248.12279529137206</v>
      </c>
      <c r="E36" s="15">
        <f>IF(E10=0,0,E10/TrAvia_act!E8*1000)</f>
        <v>264.10058472099485</v>
      </c>
      <c r="F36" s="15">
        <f>IF(F10=0,0,F10/TrAvia_act!F8*1000)</f>
        <v>322.53036922823372</v>
      </c>
      <c r="G36" s="15">
        <f>IF(G10=0,0,G10/TrAvia_act!G8*1000)</f>
        <v>293.77075599028888</v>
      </c>
      <c r="H36" s="15">
        <f>IF(H10=0,0,H10/TrAvia_act!H8*1000)</f>
        <v>303.96035892304047</v>
      </c>
      <c r="I36" s="15">
        <f>IF(I10=0,0,I10/TrAvia_act!I8*1000)</f>
        <v>279.17658970485161</v>
      </c>
      <c r="J36" s="15">
        <f>IF(J10=0,0,J10/TrAvia_act!J8*1000)</f>
        <v>300.19465781581476</v>
      </c>
      <c r="K36" s="15">
        <f>IF(K10=0,0,K10/TrAvia_act!K8*1000)</f>
        <v>289.04174072247315</v>
      </c>
      <c r="L36" s="15">
        <f>IF(L10=0,0,L10/TrAvia_act!L8*1000)</f>
        <v>265.15677180263452</v>
      </c>
      <c r="M36" s="15">
        <f>IF(M10=0,0,M10/TrAvia_act!M8*1000)</f>
        <v>251.15786357474184</v>
      </c>
      <c r="N36" s="15">
        <f>IF(N10=0,0,N10/TrAvia_act!N8*1000)</f>
        <v>235.05039858500635</v>
      </c>
      <c r="O36" s="15">
        <f>IF(O10=0,0,O10/TrAvia_act!O8*1000)</f>
        <v>252.67283789620097</v>
      </c>
      <c r="P36" s="15">
        <f>IF(P10=0,0,P10/TrAvia_act!P8*1000)</f>
        <v>178.96174471943084</v>
      </c>
      <c r="Q36" s="15">
        <f>IF(Q10=0,0,Q10/TrAvia_act!Q8*1000)</f>
        <v>176.48710768895162</v>
      </c>
      <c r="R36" s="15">
        <f>IF(R10=0,0,R10/TrAvia_act!R8*1000)</f>
        <v>165.68565162838448</v>
      </c>
      <c r="S36" s="15">
        <f>IF(S10=0,0,S10/TrAvia_act!S8*1000)</f>
        <v>176.83157711727867</v>
      </c>
      <c r="T36" s="15">
        <f>IF(T10=0,0,T10/TrAvia_act!T8*1000)</f>
        <v>189.77072812723708</v>
      </c>
      <c r="U36" s="15">
        <f>IF(U10=0,0,U10/TrAvia_act!U8*1000)</f>
        <v>257.90120683158199</v>
      </c>
      <c r="V36" s="15">
        <f>IF(V10=0,0,V10/TrAvia_act!V8*1000)</f>
        <v>429.46408633667744</v>
      </c>
      <c r="W36" s="15">
        <f>IF(W10=0,0,W10/TrAvia_act!W8*1000)</f>
        <v>460.03452631104955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1277.9239556739117</v>
      </c>
      <c r="C37" s="101">
        <f>IF(C11=0,0,C11/TrAvia_act!C9*1000)</f>
        <v>1332.7031174634978</v>
      </c>
      <c r="D37" s="101">
        <f>IF(D11=0,0,D11/TrAvia_act!D9*1000)</f>
        <v>1154.5516172799842</v>
      </c>
      <c r="E37" s="101">
        <f>IF(E11=0,0,E11/TrAvia_act!E9*1000)</f>
        <v>1121.8418843403306</v>
      </c>
      <c r="F37" s="101">
        <f>IF(F11=0,0,F11/TrAvia_act!F9*1000)</f>
        <v>1297.9025717174438</v>
      </c>
      <c r="G37" s="101">
        <f>IF(G11=0,0,G11/TrAvia_act!G9*1000)</f>
        <v>1417.78988249603</v>
      </c>
      <c r="H37" s="101">
        <f>IF(H11=0,0,H11/TrAvia_act!H9*1000)</f>
        <v>1431.6529499946703</v>
      </c>
      <c r="I37" s="101">
        <f>IF(I11=0,0,I11/TrAvia_act!I9*1000)</f>
        <v>1454.0450641352072</v>
      </c>
      <c r="J37" s="101">
        <f>IF(J11=0,0,J11/TrAvia_act!J9*1000)</f>
        <v>1383.0345231705016</v>
      </c>
      <c r="K37" s="101">
        <f>IF(K11=0,0,K11/TrAvia_act!K9*1000)</f>
        <v>1260.4179567749172</v>
      </c>
      <c r="L37" s="101">
        <f>IF(L11=0,0,L11/TrAvia_act!L9*1000)</f>
        <v>1129.8455273071143</v>
      </c>
      <c r="M37" s="101">
        <f>IF(M11=0,0,M11/TrAvia_act!M9*1000)</f>
        <v>1074.4291339537488</v>
      </c>
      <c r="N37" s="101">
        <f>IF(N11=0,0,N11/TrAvia_act!N9*1000)</f>
        <v>1039.7647713142646</v>
      </c>
      <c r="O37" s="101">
        <f>IF(O11=0,0,O11/TrAvia_act!O9*1000)</f>
        <v>1027.8569010811423</v>
      </c>
      <c r="P37" s="101">
        <f>IF(P11=0,0,P11/TrAvia_act!P9*1000)</f>
        <v>901.81338515090397</v>
      </c>
      <c r="Q37" s="101">
        <f>IF(Q11=0,0,Q11/TrAvia_act!Q9*1000)</f>
        <v>897.36862195344327</v>
      </c>
      <c r="R37" s="101">
        <f>IF(R11=0,0,R11/TrAvia_act!R9*1000)</f>
        <v>806.18060069082082</v>
      </c>
      <c r="S37" s="101">
        <f>IF(S11=0,0,S11/TrAvia_act!S9*1000)</f>
        <v>864.04857574109349</v>
      </c>
      <c r="T37" s="101">
        <f>IF(T11=0,0,T11/TrAvia_act!T9*1000)</f>
        <v>827.713304175247</v>
      </c>
      <c r="U37" s="101">
        <f>IF(U11=0,0,U11/TrAvia_act!U9*1000)</f>
        <v>769.67705682712779</v>
      </c>
      <c r="V37" s="101">
        <f>IF(V11=0,0,V11/TrAvia_act!V9*1000)</f>
        <v>817.41147236047243</v>
      </c>
      <c r="W37" s="101">
        <f>IF(W11=0,0,W11/TrAvia_act!W9*1000)</f>
        <v>861.47135256776164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568.37545537494816</v>
      </c>
      <c r="C38" s="101">
        <f>IF(C12=0,0,C12/TrAvia_act!C10*1000)</f>
        <v>566.53685039582206</v>
      </c>
      <c r="D38" s="101">
        <f>IF(D12=0,0,D12/TrAvia_act!D10*1000)</f>
        <v>503.06540998207186</v>
      </c>
      <c r="E38" s="101">
        <f>IF(E12=0,0,E12/TrAvia_act!E10*1000)</f>
        <v>501.10592395378262</v>
      </c>
      <c r="F38" s="101">
        <f>IF(F12=0,0,F12/TrAvia_act!F10*1000)</f>
        <v>600.36293214148191</v>
      </c>
      <c r="G38" s="101">
        <f>IF(G12=0,0,G12/TrAvia_act!G10*1000)</f>
        <v>667.45260655136985</v>
      </c>
      <c r="H38" s="101">
        <f>IF(H12=0,0,H12/TrAvia_act!H10*1000)</f>
        <v>681.66470983939416</v>
      </c>
      <c r="I38" s="101">
        <f>IF(I12=0,0,I12/TrAvia_act!I10*1000)</f>
        <v>668.11510839279606</v>
      </c>
      <c r="J38" s="101">
        <f>IF(J12=0,0,J12/TrAvia_act!J10*1000)</f>
        <v>775.59015904344278</v>
      </c>
      <c r="K38" s="101">
        <f>IF(K12=0,0,K12/TrAvia_act!K10*1000)</f>
        <v>778.31253557418597</v>
      </c>
      <c r="L38" s="101">
        <f>IF(L12=0,0,L12/TrAvia_act!L10*1000)</f>
        <v>685.69750740823781</v>
      </c>
      <c r="M38" s="101">
        <f>IF(M12=0,0,M12/TrAvia_act!M10*1000)</f>
        <v>641.13672439285574</v>
      </c>
      <c r="N38" s="101">
        <f>IF(N12=0,0,N12/TrAvia_act!N10*1000)</f>
        <v>577.62034182325863</v>
      </c>
      <c r="O38" s="101">
        <f>IF(O12=0,0,O12/TrAvia_act!O10*1000)</f>
        <v>605.57729062912483</v>
      </c>
      <c r="P38" s="101">
        <f>IF(P12=0,0,P12/TrAvia_act!P10*1000)</f>
        <v>474.72403641540524</v>
      </c>
      <c r="Q38" s="101">
        <f>IF(Q12=0,0,Q12/TrAvia_act!Q10*1000)</f>
        <v>501.7419635872584</v>
      </c>
      <c r="R38" s="101">
        <f>IF(R12=0,0,R12/TrAvia_act!R10*1000)</f>
        <v>488.89207803274496</v>
      </c>
      <c r="S38" s="101">
        <f>IF(S12=0,0,S12/TrAvia_act!S10*1000)</f>
        <v>505.73858697936356</v>
      </c>
      <c r="T38" s="101">
        <f>IF(T12=0,0,T12/TrAvia_act!T10*1000)</f>
        <v>530.14715350551398</v>
      </c>
      <c r="U38" s="101">
        <f>IF(U12=0,0,U12/TrAvia_act!U10*1000)</f>
        <v>477.33595535718382</v>
      </c>
      <c r="V38" s="101">
        <f>IF(V12=0,0,V12/TrAvia_act!V10*1000)</f>
        <v>721.78898420647874</v>
      </c>
      <c r="W38" s="101">
        <f>IF(W12=0,0,W12/TrAvia_act!W10*1000)</f>
        <v>648.54921231080721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218.2673610303525</v>
      </c>
      <c r="C39" s="88">
        <f>IF(C13=0,0,C13/TrAvia_act!C11*1000)</f>
        <v>216.55250582016484</v>
      </c>
      <c r="D39" s="88">
        <f>IF(D13=0,0,D13/TrAvia_act!D11*1000)</f>
        <v>192.09498479368403</v>
      </c>
      <c r="E39" s="88">
        <f>IF(E13=0,0,E13/TrAvia_act!E11*1000)</f>
        <v>215.21794490112413</v>
      </c>
      <c r="F39" s="88">
        <f>IF(F13=0,0,F13/TrAvia_act!F11*1000)</f>
        <v>255.12937408239861</v>
      </c>
      <c r="G39" s="88">
        <f>IF(G13=0,0,G13/TrAvia_act!G11*1000)</f>
        <v>223.35908215367729</v>
      </c>
      <c r="H39" s="88">
        <f>IF(H13=0,0,H13/TrAvia_act!H11*1000)</f>
        <v>228.28726988804587</v>
      </c>
      <c r="I39" s="88">
        <f>IF(I13=0,0,I13/TrAvia_act!I11*1000)</f>
        <v>194.94810271167253</v>
      </c>
      <c r="J39" s="88">
        <f>IF(J13=0,0,J13/TrAvia_act!J11*1000)</f>
        <v>208.78767899785237</v>
      </c>
      <c r="K39" s="88">
        <f>IF(K13=0,0,K13/TrAvia_act!K11*1000)</f>
        <v>197.67474530558536</v>
      </c>
      <c r="L39" s="88">
        <f>IF(L13=0,0,L13/TrAvia_act!L11*1000)</f>
        <v>195.26784506907558</v>
      </c>
      <c r="M39" s="88">
        <f>IF(M13=0,0,M13/TrAvia_act!M11*1000)</f>
        <v>192.6450450947288</v>
      </c>
      <c r="N39" s="88">
        <f>IF(N13=0,0,N13/TrAvia_act!N11*1000)</f>
        <v>176.65611253797306</v>
      </c>
      <c r="O39" s="88">
        <f>IF(O13=0,0,O13/TrAvia_act!O11*1000)</f>
        <v>171.60621870379629</v>
      </c>
      <c r="P39" s="88">
        <f>IF(P13=0,0,P13/TrAvia_act!P11*1000)</f>
        <v>103.19863169325779</v>
      </c>
      <c r="Q39" s="88">
        <f>IF(Q13=0,0,Q13/TrAvia_act!Q11*1000)</f>
        <v>88.977615315403938</v>
      </c>
      <c r="R39" s="88">
        <f>IF(R13=0,0,R13/TrAvia_act!R11*1000)</f>
        <v>72.906514311605932</v>
      </c>
      <c r="S39" s="88">
        <f>IF(S13=0,0,S13/TrAvia_act!S11*1000)</f>
        <v>63.248442236448888</v>
      </c>
      <c r="T39" s="88">
        <f>IF(T13=0,0,T13/TrAvia_act!T11*1000)</f>
        <v>60.405907502187993</v>
      </c>
      <c r="U39" s="88">
        <f>IF(U13=0,0,U13/TrAvia_act!U11*1000)</f>
        <v>64.405873705557525</v>
      </c>
      <c r="V39" s="88">
        <f>IF(V13=0,0,V13/TrAvia_act!V11*1000)</f>
        <v>142.46072117956595</v>
      </c>
      <c r="W39" s="88">
        <f>IF(W13=0,0,W13/TrAvia_act!W11*1000)</f>
        <v>179.00731866135982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11753.307378904485</v>
      </c>
      <c r="C41" s="54">
        <f>IF(C3=0,0,C3/TrAvia_act!C23*1000000)</f>
        <v>12251.699387143808</v>
      </c>
      <c r="D41" s="54">
        <f>IF(D3=0,0,D3/TrAvia_act!D23*1000000)</f>
        <v>10278.268466730957</v>
      </c>
      <c r="E41" s="54">
        <f>IF(E3=0,0,E3/TrAvia_act!E23*1000000)</f>
        <v>10520.758328778122</v>
      </c>
      <c r="F41" s="54">
        <f>IF(F3=0,0,F3/TrAvia_act!F23*1000000)</f>
        <v>11939.447556533412</v>
      </c>
      <c r="G41" s="54">
        <f>IF(G3=0,0,G3/TrAvia_act!G23*1000000)</f>
        <v>12530.5842988358</v>
      </c>
      <c r="H41" s="54">
        <f>IF(H3=0,0,H3/TrAvia_act!H23*1000000)</f>
        <v>12571.093735584654</v>
      </c>
      <c r="I41" s="54">
        <f>IF(I3=0,0,I3/TrAvia_act!I23*1000000)</f>
        <v>12608.720130159858</v>
      </c>
      <c r="J41" s="54">
        <f>IF(J3=0,0,J3/TrAvia_act!J23*1000000)</f>
        <v>13891.955997243029</v>
      </c>
      <c r="K41" s="54">
        <f>IF(K3=0,0,K3/TrAvia_act!K23*1000000)</f>
        <v>13844.615048338279</v>
      </c>
      <c r="L41" s="54">
        <f>IF(L3=0,0,L3/TrAvia_act!L23*1000000)</f>
        <v>13160.580392396261</v>
      </c>
      <c r="M41" s="54">
        <f>IF(M3=0,0,M3/TrAvia_act!M23*1000000)</f>
        <v>12996.535691011495</v>
      </c>
      <c r="N41" s="54">
        <f>IF(N3=0,0,N3/TrAvia_act!N23*1000000)</f>
        <v>12850.845083054752</v>
      </c>
      <c r="O41" s="54">
        <f>IF(O3=0,0,O3/TrAvia_act!O23*1000000)</f>
        <v>14008.258651203832</v>
      </c>
      <c r="P41" s="54">
        <f>IF(P3=0,0,P3/TrAvia_act!P23*1000000)</f>
        <v>12761.63401601915</v>
      </c>
      <c r="Q41" s="54">
        <f>IF(Q3=0,0,Q3/TrAvia_act!Q23*1000000)</f>
        <v>12970.534316231062</v>
      </c>
      <c r="R41" s="54">
        <f>IF(R3=0,0,R3/TrAvia_act!R23*1000000)</f>
        <v>13937.416120848526</v>
      </c>
      <c r="S41" s="54">
        <f>IF(S3=0,0,S3/TrAvia_act!S23*1000000)</f>
        <v>14059.033014857141</v>
      </c>
      <c r="T41" s="54">
        <f>IF(T3=0,0,T3/TrAvia_act!T23*1000000)</f>
        <v>14534.031385435401</v>
      </c>
      <c r="U41" s="54">
        <f>IF(U3=0,0,U3/TrAvia_act!U23*1000000)</f>
        <v>14446.31862793471</v>
      </c>
      <c r="V41" s="54">
        <f>IF(V3=0,0,V3/TrAvia_act!V23*1000000)</f>
        <v>15867.283414203341</v>
      </c>
      <c r="W41" s="54">
        <f>IF(W3=0,0,W3/TrAvia_act!W23*1000000)</f>
        <v>15502.150317591633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11700.341554845945</v>
      </c>
      <c r="C42" s="11">
        <f>IF(C6=0,0,C6/TrAvia_act!C24*1000000)</f>
        <v>12165.619615286798</v>
      </c>
      <c r="D42" s="11">
        <f>IF(D6=0,0,D6/TrAvia_act!D24*1000000)</f>
        <v>10170.039181242382</v>
      </c>
      <c r="E42" s="11">
        <f>IF(E6=0,0,E6/TrAvia_act!E24*1000000)</f>
        <v>10357.345379354627</v>
      </c>
      <c r="F42" s="11">
        <f>IF(F6=0,0,F6/TrAvia_act!F24*1000000)</f>
        <v>11758.486297519295</v>
      </c>
      <c r="G42" s="11">
        <f>IF(G6=0,0,G6/TrAvia_act!G24*1000000)</f>
        <v>12313.384701247071</v>
      </c>
      <c r="H42" s="11">
        <f>IF(H6=0,0,H6/TrAvia_act!H24*1000000)</f>
        <v>12349.714854190201</v>
      </c>
      <c r="I42" s="11">
        <f>IF(I6=0,0,I6/TrAvia_act!I24*1000000)</f>
        <v>12421.038356622128</v>
      </c>
      <c r="J42" s="11">
        <f>IF(J6=0,0,J6/TrAvia_act!J24*1000000)</f>
        <v>13691.449784019431</v>
      </c>
      <c r="K42" s="11">
        <f>IF(K6=0,0,K6/TrAvia_act!K24*1000000)</f>
        <v>13678.396958690901</v>
      </c>
      <c r="L42" s="11">
        <f>IF(L6=0,0,L6/TrAvia_act!L24*1000000)</f>
        <v>12939.334269876046</v>
      </c>
      <c r="M42" s="11">
        <f>IF(M6=0,0,M6/TrAvia_act!M24*1000000)</f>
        <v>12811.187372594894</v>
      </c>
      <c r="N42" s="11">
        <f>IF(N6=0,0,N6/TrAvia_act!N24*1000000)</f>
        <v>12713.071334240909</v>
      </c>
      <c r="O42" s="11">
        <f>IF(O6=0,0,O6/TrAvia_act!O24*1000000)</f>
        <v>13947.524415358119</v>
      </c>
      <c r="P42" s="11">
        <f>IF(P6=0,0,P6/TrAvia_act!P24*1000000)</f>
        <v>12750.356164472178</v>
      </c>
      <c r="Q42" s="11">
        <f>IF(Q6=0,0,Q6/TrAvia_act!Q24*1000000)</f>
        <v>12983.922611961665</v>
      </c>
      <c r="R42" s="11">
        <f>IF(R6=0,0,R6/TrAvia_act!R24*1000000)</f>
        <v>13966.513770357171</v>
      </c>
      <c r="S42" s="11">
        <f>IF(S6=0,0,S6/TrAvia_act!S24*1000000)</f>
        <v>14111.031020920944</v>
      </c>
      <c r="T42" s="11">
        <f>IF(T6=0,0,T6/TrAvia_act!T24*1000000)</f>
        <v>14597.954836537454</v>
      </c>
      <c r="U42" s="11">
        <f>IF(U6=0,0,U6/TrAvia_act!U24*1000000)</f>
        <v>14512.457127219803</v>
      </c>
      <c r="V42" s="11">
        <f>IF(V6=0,0,V6/TrAvia_act!V24*1000000)</f>
        <v>16005.854078921015</v>
      </c>
      <c r="W42" s="11">
        <f>IF(W6=0,0,W6/TrAvia_act!W24*1000000)</f>
        <v>15668.969332615967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5489.9467960674647</v>
      </c>
      <c r="C43" s="84">
        <f>IF(C7=0,0,C7/TrAvia_act!C25*1000000)</f>
        <v>5681.6242103631821</v>
      </c>
      <c r="D43" s="84">
        <f>IF(D7=0,0,D7/TrAvia_act!D25*1000000)</f>
        <v>5061.5618612188382</v>
      </c>
      <c r="E43" s="84">
        <f>IF(E7=0,0,E7/TrAvia_act!E25*1000000)</f>
        <v>5231.3873228199564</v>
      </c>
      <c r="F43" s="84">
        <f>IF(F7=0,0,F7/TrAvia_act!F25*1000000)</f>
        <v>5699.2877525072172</v>
      </c>
      <c r="G43" s="84">
        <f>IF(G7=0,0,G7/TrAvia_act!G25*1000000)</f>
        <v>6115.606265619851</v>
      </c>
      <c r="H43" s="84">
        <f>IF(H7=0,0,H7/TrAvia_act!H25*1000000)</f>
        <v>6022.3963327756392</v>
      </c>
      <c r="I43" s="84">
        <f>IF(I7=0,0,I7/TrAvia_act!I25*1000000)</f>
        <v>6191.4513578052502</v>
      </c>
      <c r="J43" s="84">
        <f>IF(J7=0,0,J7/TrAvia_act!J25*1000000)</f>
        <v>5831.5474633805725</v>
      </c>
      <c r="K43" s="84">
        <f>IF(K7=0,0,K7/TrAvia_act!K25*1000000)</f>
        <v>5444.7434887181944</v>
      </c>
      <c r="L43" s="84">
        <f>IF(L7=0,0,L7/TrAvia_act!L25*1000000)</f>
        <v>5226.9391843123149</v>
      </c>
      <c r="M43" s="84">
        <f>IF(M7=0,0,M7/TrAvia_act!M25*1000000)</f>
        <v>5243.553077103069</v>
      </c>
      <c r="N43" s="84">
        <f>IF(N7=0,0,N7/TrAvia_act!N25*1000000)</f>
        <v>5345.362453758531</v>
      </c>
      <c r="O43" s="84">
        <f>IF(O7=0,0,O7/TrAvia_act!O25*1000000)</f>
        <v>5365.0232416898007</v>
      </c>
      <c r="P43" s="84">
        <f>IF(P7=0,0,P7/TrAvia_act!P25*1000000)</f>
        <v>5257.1692832134922</v>
      </c>
      <c r="Q43" s="84">
        <f>IF(Q7=0,0,Q7/TrAvia_act!Q25*1000000)</f>
        <v>5290.9270707986261</v>
      </c>
      <c r="R43" s="84">
        <f>IF(R7=0,0,R7/TrAvia_act!R25*1000000)</f>
        <v>5572.8226587657446</v>
      </c>
      <c r="S43" s="84">
        <f>IF(S7=0,0,S7/TrAvia_act!S25*1000000)</f>
        <v>5450.7089224172787</v>
      </c>
      <c r="T43" s="84">
        <f>IF(T7=0,0,T7/TrAvia_act!T25*1000000)</f>
        <v>5275.8388948901083</v>
      </c>
      <c r="U43" s="84">
        <f>IF(U7=0,0,U7/TrAvia_act!U25*1000000)</f>
        <v>5194.9306483115661</v>
      </c>
      <c r="V43" s="84">
        <f>IF(V7=0,0,V7/TrAvia_act!V25*1000000)</f>
        <v>5250.2128895869555</v>
      </c>
      <c r="W43" s="84">
        <f>IF(W7=0,0,W7/TrAvia_act!W25*1000000)</f>
        <v>5677.6491745255189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14999.465228707641</v>
      </c>
      <c r="C44" s="84">
        <f>IF(C8=0,0,C8/TrAvia_act!C26*1000000)</f>
        <v>15782.183216191723</v>
      </c>
      <c r="D44" s="84">
        <f>IF(D8=0,0,D8/TrAvia_act!D26*1000000)</f>
        <v>13316.311698662519</v>
      </c>
      <c r="E44" s="84">
        <f>IF(E8=0,0,E8/TrAvia_act!E26*1000000)</f>
        <v>13507.353896153027</v>
      </c>
      <c r="F44" s="84">
        <f>IF(F8=0,0,F8/TrAvia_act!F26*1000000)</f>
        <v>15414.665459116184</v>
      </c>
      <c r="G44" s="84">
        <f>IF(G8=0,0,G8/TrAvia_act!G26*1000000)</f>
        <v>16234.264797711388</v>
      </c>
      <c r="H44" s="84">
        <f>IF(H8=0,0,H8/TrAvia_act!H26*1000000)</f>
        <v>15592.667125103688</v>
      </c>
      <c r="I44" s="84">
        <f>IF(I8=0,0,I8/TrAvia_act!I26*1000000)</f>
        <v>15377.374798595505</v>
      </c>
      <c r="J44" s="84">
        <f>IF(J8=0,0,J8/TrAvia_act!J26*1000000)</f>
        <v>17374.233212527302</v>
      </c>
      <c r="K44" s="84">
        <f>IF(K8=0,0,K8/TrAvia_act!K26*1000000)</f>
        <v>17960.745848632931</v>
      </c>
      <c r="L44" s="84">
        <f>IF(L8=0,0,L8/TrAvia_act!L26*1000000)</f>
        <v>16708.199334958765</v>
      </c>
      <c r="M44" s="84">
        <f>IF(M8=0,0,M8/TrAvia_act!M26*1000000)</f>
        <v>16651.330431813498</v>
      </c>
      <c r="N44" s="84">
        <f>IF(N8=0,0,N8/TrAvia_act!N26*1000000)</f>
        <v>16241.293519482972</v>
      </c>
      <c r="O44" s="84">
        <f>IF(O8=0,0,O8/TrAvia_act!O26*1000000)</f>
        <v>18200.342626862606</v>
      </c>
      <c r="P44" s="84">
        <f>IF(P8=0,0,P8/TrAvia_act!P26*1000000)</f>
        <v>16549.109528704343</v>
      </c>
      <c r="Q44" s="84">
        <f>IF(Q8=0,0,Q8/TrAvia_act!Q26*1000000)</f>
        <v>16635.772578011056</v>
      </c>
      <c r="R44" s="84">
        <f>IF(R8=0,0,R8/TrAvia_act!R26*1000000)</f>
        <v>17871.97991605222</v>
      </c>
      <c r="S44" s="84">
        <f>IF(S8=0,0,S8/TrAvia_act!S26*1000000)</f>
        <v>18152.806780644161</v>
      </c>
      <c r="T44" s="84">
        <f>IF(T8=0,0,T8/TrAvia_act!T26*1000000)</f>
        <v>18799.585965020065</v>
      </c>
      <c r="U44" s="84">
        <f>IF(U8=0,0,U8/TrAvia_act!U26*1000000)</f>
        <v>18167.104289287043</v>
      </c>
      <c r="V44" s="84">
        <f>IF(V8=0,0,V8/TrAvia_act!V26*1000000)</f>
        <v>20660.384706176326</v>
      </c>
      <c r="W44" s="84">
        <f>IF(W8=0,0,W8/TrAvia_act!W26*1000000)</f>
        <v>20556.278861827475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61227.867447882367</v>
      </c>
      <c r="C45" s="84">
        <f>IF(C9=0,0,C9/TrAvia_act!C27*1000000)</f>
        <v>63636.474935220132</v>
      </c>
      <c r="D45" s="84">
        <f>IF(D9=0,0,D9/TrAvia_act!D27*1000000)</f>
        <v>53311.998954852534</v>
      </c>
      <c r="E45" s="84">
        <f>IF(E9=0,0,E9/TrAvia_act!E27*1000000)</f>
        <v>54280.41572621846</v>
      </c>
      <c r="F45" s="84">
        <f>IF(F9=0,0,F9/TrAvia_act!F27*1000000)</f>
        <v>62459.965751673823</v>
      </c>
      <c r="G45" s="84">
        <f>IF(G9=0,0,G9/TrAvia_act!G27*1000000)</f>
        <v>53094.865083407232</v>
      </c>
      <c r="H45" s="84">
        <f>IF(H9=0,0,H9/TrAvia_act!H27*1000000)</f>
        <v>56477.644002949346</v>
      </c>
      <c r="I45" s="84">
        <f>IF(I9=0,0,I9/TrAvia_act!I27*1000000)</f>
        <v>52331.073525696156</v>
      </c>
      <c r="J45" s="84">
        <f>IF(J9=0,0,J9/TrAvia_act!J27*1000000)</f>
        <v>55026.906610176971</v>
      </c>
      <c r="K45" s="84">
        <f>IF(K9=0,0,K9/TrAvia_act!K27*1000000)</f>
        <v>53698.710137748276</v>
      </c>
      <c r="L45" s="84">
        <f>IF(L9=0,0,L9/TrAvia_act!L27*1000000)</f>
        <v>46322.122220055324</v>
      </c>
      <c r="M45" s="84">
        <f>IF(M9=0,0,M9/TrAvia_act!M27*1000000)</f>
        <v>43593.577065795791</v>
      </c>
      <c r="N45" s="84">
        <f>IF(N9=0,0,N9/TrAvia_act!N27*1000000)</f>
        <v>42658.79886063814</v>
      </c>
      <c r="O45" s="84">
        <f>IF(O9=0,0,O9/TrAvia_act!O27*1000000)</f>
        <v>45426.7242525369</v>
      </c>
      <c r="P45" s="84">
        <f>IF(P9=0,0,P9/TrAvia_act!P27*1000000)</f>
        <v>38604.053121702695</v>
      </c>
      <c r="Q45" s="84">
        <f>IF(Q9=0,0,Q9/TrAvia_act!Q27*1000000)</f>
        <v>39893.810687936704</v>
      </c>
      <c r="R45" s="84">
        <f>IF(R9=0,0,R9/TrAvia_act!R27*1000000)</f>
        <v>44300.798661829453</v>
      </c>
      <c r="S45" s="84">
        <f>IF(S9=0,0,S9/TrAvia_act!S27*1000000)</f>
        <v>42110.296469204353</v>
      </c>
      <c r="T45" s="84">
        <f>IF(T9=0,0,T9/TrAvia_act!T27*1000000)</f>
        <v>41858.019611567594</v>
      </c>
      <c r="U45" s="84">
        <f>IF(U9=0,0,U9/TrAvia_act!U27*1000000)</f>
        <v>41585.569152410462</v>
      </c>
      <c r="V45" s="84">
        <f>IF(V9=0,0,V9/TrAvia_act!V27*1000000)</f>
        <v>53267.951195314563</v>
      </c>
      <c r="W45" s="84">
        <f>IF(W9=0,0,W9/TrAvia_act!W27*1000000)</f>
        <v>43449.674332962393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17545.151227811541</v>
      </c>
      <c r="C46" s="13">
        <f>IF(C10=0,0,C10/TrAvia_act!C28*1000000)</f>
        <v>22483.597116130197</v>
      </c>
      <c r="D46" s="13">
        <f>IF(D10=0,0,D10/TrAvia_act!D28*1000000)</f>
        <v>19340.891905307355</v>
      </c>
      <c r="E46" s="13">
        <f>IF(E10=0,0,E10/TrAvia_act!E28*1000000)</f>
        <v>21685.720679043927</v>
      </c>
      <c r="F46" s="13">
        <f>IF(F10=0,0,F10/TrAvia_act!F28*1000000)</f>
        <v>21451.373059685164</v>
      </c>
      <c r="G46" s="13">
        <f>IF(G10=0,0,G10/TrAvia_act!G28*1000000)</f>
        <v>22629.780668585438</v>
      </c>
      <c r="H46" s="13">
        <f>IF(H10=0,0,H10/TrAvia_act!H28*1000000)</f>
        <v>21342.845396182842</v>
      </c>
      <c r="I46" s="13">
        <f>IF(I10=0,0,I10/TrAvia_act!I28*1000000)</f>
        <v>18925.357863869827</v>
      </c>
      <c r="J46" s="13">
        <f>IF(J10=0,0,J10/TrAvia_act!J28*1000000)</f>
        <v>20565.452175930517</v>
      </c>
      <c r="K46" s="13">
        <f>IF(K10=0,0,K10/TrAvia_act!K28*1000000)</f>
        <v>20214.830696603687</v>
      </c>
      <c r="L46" s="13">
        <f>IF(L10=0,0,L10/TrAvia_act!L28*1000000)</f>
        <v>21590.442925626936</v>
      </c>
      <c r="M46" s="13">
        <f>IF(M10=0,0,M10/TrAvia_act!M28*1000000)</f>
        <v>22471.860226771652</v>
      </c>
      <c r="N46" s="13">
        <f>IF(N10=0,0,N10/TrAvia_act!N28*1000000)</f>
        <v>20639.446964108633</v>
      </c>
      <c r="O46" s="13">
        <f>IF(O10=0,0,O10/TrAvia_act!O28*1000000)</f>
        <v>17797.399144576721</v>
      </c>
      <c r="P46" s="13">
        <f>IF(P10=0,0,P10/TrAvia_act!P28*1000000)</f>
        <v>13513.358490870236</v>
      </c>
      <c r="Q46" s="13">
        <f>IF(Q10=0,0,Q10/TrAvia_act!Q28*1000000)</f>
        <v>12096.277380109916</v>
      </c>
      <c r="R46" s="13">
        <f>IF(R10=0,0,R10/TrAvia_act!R28*1000000)</f>
        <v>11691.112267423232</v>
      </c>
      <c r="S46" s="13">
        <f>IF(S10=0,0,S10/TrAvia_act!S28*1000000)</f>
        <v>10273.654300346843</v>
      </c>
      <c r="T46" s="13">
        <f>IF(T10=0,0,T10/TrAvia_act!T28*1000000)</f>
        <v>9830.0960396554747</v>
      </c>
      <c r="U46" s="13">
        <f>IF(U10=0,0,U10/TrAvia_act!U28*1000000)</f>
        <v>10369.17340439805</v>
      </c>
      <c r="V46" s="13">
        <f>IF(V10=0,0,V10/TrAvia_act!V28*1000000)</f>
        <v>12771.726494622053</v>
      </c>
      <c r="W46" s="13">
        <f>IF(W10=0,0,W10/TrAvia_act!W28*1000000)</f>
        <v>11876.59887086484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5183.3081020013915</v>
      </c>
      <c r="C47" s="102">
        <f>IF(C11=0,0,C11/TrAvia_act!C29*1000000)</f>
        <v>5364.279454073755</v>
      </c>
      <c r="D47" s="102">
        <f>IF(D11=0,0,D11/TrAvia_act!D29*1000000)</f>
        <v>4778.8504294485774</v>
      </c>
      <c r="E47" s="102">
        <f>IF(E11=0,0,E11/TrAvia_act!E29*1000000)</f>
        <v>4939.1903605520529</v>
      </c>
      <c r="F47" s="102">
        <f>IF(F11=0,0,F11/TrAvia_act!F29*1000000)</f>
        <v>5380.9564064206861</v>
      </c>
      <c r="G47" s="102">
        <f>IF(G11=0,0,G11/TrAvia_act!G29*1000000)</f>
        <v>5774.0216222030404</v>
      </c>
      <c r="H47" s="102">
        <f>IF(H11=0,0,H11/TrAvia_act!H29*1000000)</f>
        <v>5708.669965552006</v>
      </c>
      <c r="I47" s="102">
        <f>IF(I11=0,0,I11/TrAvia_act!I29*1000000)</f>
        <v>5892.2900357954677</v>
      </c>
      <c r="J47" s="102">
        <f>IF(J11=0,0,J11/TrAvia_act!J29*1000000)</f>
        <v>5571.868372965082</v>
      </c>
      <c r="K47" s="102">
        <f>IF(K11=0,0,K11/TrAvia_act!K29*1000000)</f>
        <v>5222.9897998537745</v>
      </c>
      <c r="L47" s="102">
        <f>IF(L11=0,0,L11/TrAvia_act!L29*1000000)</f>
        <v>5034.0005546588081</v>
      </c>
      <c r="M47" s="102">
        <f>IF(M11=0,0,M11/TrAvia_act!M29*1000000)</f>
        <v>5027.9325330896691</v>
      </c>
      <c r="N47" s="102">
        <f>IF(N11=0,0,N11/TrAvia_act!N29*1000000)</f>
        <v>5103.1532446245556</v>
      </c>
      <c r="O47" s="102">
        <f>IF(O11=0,0,O11/TrAvia_act!O29*1000000)</f>
        <v>5107.3205945565878</v>
      </c>
      <c r="P47" s="102">
        <f>IF(P11=0,0,P11/TrAvia_act!P29*1000000)</f>
        <v>4990.3789727106241</v>
      </c>
      <c r="Q47" s="102">
        <f>IF(Q11=0,0,Q11/TrAvia_act!Q29*1000000)</f>
        <v>5008.1045521283677</v>
      </c>
      <c r="R47" s="102">
        <f>IF(R11=0,0,R11/TrAvia_act!R29*1000000)</f>
        <v>5259.892552768958</v>
      </c>
      <c r="S47" s="102">
        <f>IF(S11=0,0,S11/TrAvia_act!S29*1000000)</f>
        <v>5129.9681736654156</v>
      </c>
      <c r="T47" s="102">
        <f>IF(T11=0,0,T11/TrAvia_act!T29*1000000)</f>
        <v>4951.2314506908842</v>
      </c>
      <c r="U47" s="102">
        <f>IF(U11=0,0,U11/TrAvia_act!U29*1000000)</f>
        <v>4823.5732961506737</v>
      </c>
      <c r="V47" s="102">
        <f>IF(V11=0,0,V11/TrAvia_act!V29*1000000)</f>
        <v>4874.9037105141451</v>
      </c>
      <c r="W47" s="102">
        <f>IF(W11=0,0,W11/TrAvia_act!W29*1000000)</f>
        <v>5271.7848990061602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11550.754007607109</v>
      </c>
      <c r="C48" s="102">
        <f>IF(C12=0,0,C12/TrAvia_act!C30*1000000)</f>
        <v>11863.362036426077</v>
      </c>
      <c r="D48" s="102">
        <f>IF(D12=0,0,D12/TrAvia_act!D30*1000000)</f>
        <v>9936.9818556737719</v>
      </c>
      <c r="E48" s="102">
        <f>IF(E12=0,0,E12/TrAvia_act!E30*1000000)</f>
        <v>10097.951552497987</v>
      </c>
      <c r="F48" s="102">
        <f>IF(F12=0,0,F12/TrAvia_act!F30*1000000)</f>
        <v>10715.612263586676</v>
      </c>
      <c r="G48" s="102">
        <f>IF(G12=0,0,G12/TrAvia_act!G30*1000000)</f>
        <v>12510.621061263597</v>
      </c>
      <c r="H48" s="102">
        <f>IF(H12=0,0,H12/TrAvia_act!H30*1000000)</f>
        <v>11528.567623583176</v>
      </c>
      <c r="I48" s="102">
        <f>IF(I12=0,0,I12/TrAvia_act!I30*1000000)</f>
        <v>11333.939630080318</v>
      </c>
      <c r="J48" s="102">
        <f>IF(J12=0,0,J12/TrAvia_act!J30*1000000)</f>
        <v>12907.41648856923</v>
      </c>
      <c r="K48" s="102">
        <f>IF(K12=0,0,K12/TrAvia_act!K30*1000000)</f>
        <v>12957.718845793996</v>
      </c>
      <c r="L48" s="102">
        <f>IF(L12=0,0,L12/TrAvia_act!L30*1000000)</f>
        <v>11846.460700073627</v>
      </c>
      <c r="M48" s="102">
        <f>IF(M12=0,0,M12/TrAvia_act!M30*1000000)</f>
        <v>11780.197999704775</v>
      </c>
      <c r="N48" s="102">
        <f>IF(N12=0,0,N12/TrAvia_act!N30*1000000)</f>
        <v>11450.746509616292</v>
      </c>
      <c r="O48" s="102">
        <f>IF(O12=0,0,O12/TrAvia_act!O30*1000000)</f>
        <v>12500.406045162232</v>
      </c>
      <c r="P48" s="102">
        <f>IF(P12=0,0,P12/TrAvia_act!P30*1000000)</f>
        <v>11401.341452553379</v>
      </c>
      <c r="Q48" s="102">
        <f>IF(Q12=0,0,Q12/TrAvia_act!Q30*1000000)</f>
        <v>11410.060776804166</v>
      </c>
      <c r="R48" s="102">
        <f>IF(R12=0,0,R12/TrAvia_act!R30*1000000)</f>
        <v>12241.77346476875</v>
      </c>
      <c r="S48" s="102">
        <f>IF(S12=0,0,S12/TrAvia_act!S30*1000000)</f>
        <v>12107.626838052995</v>
      </c>
      <c r="T48" s="102">
        <f>IF(T12=0,0,T12/TrAvia_act!T30*1000000)</f>
        <v>12029.810327100591</v>
      </c>
      <c r="U48" s="102">
        <f>IF(U12=0,0,U12/TrAvia_act!U30*1000000)</f>
        <v>11240.087097563106</v>
      </c>
      <c r="V48" s="102">
        <f>IF(V12=0,0,V12/TrAvia_act!V30*1000000)</f>
        <v>13546.209534849979</v>
      </c>
      <c r="W48" s="102">
        <f>IF(W12=0,0,W12/TrAvia_act!W30*1000000)</f>
        <v>12999.183778662966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79170.635481679448</v>
      </c>
      <c r="C49" s="86">
        <f>IF(C13=0,0,C13/TrAvia_act!C31*1000000)</f>
        <v>82285.083091026303</v>
      </c>
      <c r="D49" s="86">
        <f>IF(D13=0,0,D13/TrAvia_act!D31*1000000)</f>
        <v>68935.029292781386</v>
      </c>
      <c r="E49" s="86">
        <f>IF(E13=0,0,E13/TrAvia_act!E31*1000000)</f>
        <v>70187.239673380027</v>
      </c>
      <c r="F49" s="86">
        <f>IF(F13=0,0,F13/TrAvia_act!F31*1000000)</f>
        <v>80763.799015753233</v>
      </c>
      <c r="G49" s="86">
        <f>IF(G13=0,0,G13/TrAvia_act!G31*1000000)</f>
        <v>68654.264547846353</v>
      </c>
      <c r="H49" s="86">
        <f>IF(H13=0,0,H13/TrAvia_act!H31*1000000)</f>
        <v>73659.251931110455</v>
      </c>
      <c r="I49" s="86">
        <f>IF(I13=0,0,I13/TrAvia_act!I31*1000000)</f>
        <v>66120.336630248989</v>
      </c>
      <c r="J49" s="86">
        <f>IF(J13=0,0,J13/TrAvia_act!J31*1000000)</f>
        <v>71464.656511446636</v>
      </c>
      <c r="K49" s="86">
        <f>IF(K13=0,0,K13/TrAvia_act!K31*1000000)</f>
        <v>76115.82161111926</v>
      </c>
      <c r="L49" s="86">
        <f>IF(L13=0,0,L13/TrAvia_act!L31*1000000)</f>
        <v>74618.390102948033</v>
      </c>
      <c r="M49" s="86">
        <f>IF(M13=0,0,M13/TrAvia_act!M31*1000000)</f>
        <v>71976.672165933138</v>
      </c>
      <c r="N49" s="86">
        <f>IF(N13=0,0,N13/TrAvia_act!N31*1000000)</f>
        <v>69500.182983904859</v>
      </c>
      <c r="O49" s="86">
        <f>IF(O13=0,0,O13/TrAvia_act!O31*1000000)</f>
        <v>57694.022513038704</v>
      </c>
      <c r="P49" s="86">
        <f>IF(P13=0,0,P13/TrAvia_act!P31*1000000)</f>
        <v>35124.373361566351</v>
      </c>
      <c r="Q49" s="86">
        <f>IF(Q13=0,0,Q13/TrAvia_act!Q31*1000000)</f>
        <v>25988.024399074697</v>
      </c>
      <c r="R49" s="86">
        <f>IF(R13=0,0,R13/TrAvia_act!R31*1000000)</f>
        <v>20650.301658744793</v>
      </c>
      <c r="S49" s="86">
        <f>IF(S13=0,0,S13/TrAvia_act!S31*1000000)</f>
        <v>14038.581987467271</v>
      </c>
      <c r="T49" s="86">
        <f>IF(T13=0,0,T13/TrAvia_act!T31*1000000)</f>
        <v>9975.2439056901912</v>
      </c>
      <c r="U49" s="86">
        <f>IF(U13=0,0,U13/TrAvia_act!U31*1000000)</f>
        <v>11553.373230986666</v>
      </c>
      <c r="V49" s="86">
        <f>IF(V13=0,0,V13/TrAvia_act!V31*1000000)</f>
        <v>14798.99238973813</v>
      </c>
      <c r="W49" s="86">
        <f>IF(W13=0,0,W13/TrAvia_act!W31*1000000)</f>
        <v>12071.262088388154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0.98647234927170424</v>
      </c>
      <c r="C52" s="16">
        <f t="shared" si="35"/>
        <v>0.98468997171366701</v>
      </c>
      <c r="D52" s="16">
        <f t="shared" ref="D52:V52" si="36">IF(D6=0,0,D6/D$3)</f>
        <v>0.97779291204293384</v>
      </c>
      <c r="E52" s="16">
        <f t="shared" si="36"/>
        <v>0.97026652593663765</v>
      </c>
      <c r="F52" s="16">
        <f t="shared" si="36"/>
        <v>0.96645688945035213</v>
      </c>
      <c r="G52" s="16">
        <f t="shared" si="36"/>
        <v>0.9619775554289024</v>
      </c>
      <c r="H52" s="16">
        <f t="shared" si="36"/>
        <v>0.95820690396965125</v>
      </c>
      <c r="I52" s="16">
        <f t="shared" si="36"/>
        <v>0.95668948703410617</v>
      </c>
      <c r="J52" s="16">
        <f t="shared" si="36"/>
        <v>0.95681896776406083</v>
      </c>
      <c r="K52" s="16">
        <f t="shared" si="36"/>
        <v>0.96286985481053211</v>
      </c>
      <c r="L52" s="16">
        <f t="shared" si="36"/>
        <v>0.95804435414000755</v>
      </c>
      <c r="M52" s="16">
        <f t="shared" si="36"/>
        <v>0.96682639296648432</v>
      </c>
      <c r="N52" s="16">
        <f t="shared" si="36"/>
        <v>0.97208367832411058</v>
      </c>
      <c r="O52" s="16">
        <f t="shared" si="36"/>
        <v>0.97995715528094463</v>
      </c>
      <c r="P52" s="16">
        <f t="shared" si="36"/>
        <v>0.98434844383415976</v>
      </c>
      <c r="Q52" s="16">
        <f t="shared" si="36"/>
        <v>0.98593370431719096</v>
      </c>
      <c r="R52" s="16">
        <f t="shared" si="36"/>
        <v>0.98927311975911714</v>
      </c>
      <c r="S52" s="16">
        <f t="shared" si="36"/>
        <v>0.99009802669990399</v>
      </c>
      <c r="T52" s="16">
        <f t="shared" si="36"/>
        <v>0.99093206296558478</v>
      </c>
      <c r="U52" s="16">
        <f t="shared" si="36"/>
        <v>0.98854232206788195</v>
      </c>
      <c r="V52" s="16">
        <f t="shared" si="36"/>
        <v>0.96551254218000149</v>
      </c>
      <c r="W52" s="16">
        <f t="shared" ref="W52" si="37">IF(W6=0,0,W6/W$3)</f>
        <v>0.96629960881050347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0.25381700272520313</v>
      </c>
      <c r="C53" s="103">
        <f t="shared" si="38"/>
        <v>0.25287641320894316</v>
      </c>
      <c r="D53" s="103">
        <f t="shared" ref="D53:V53" si="39">IF(D7=0,0,D7/D$3)</f>
        <v>0.27449318307464898</v>
      </c>
      <c r="E53" s="103">
        <f t="shared" si="39"/>
        <v>0.2735140823518985</v>
      </c>
      <c r="F53" s="103">
        <f t="shared" si="39"/>
        <v>0.25906085834281178</v>
      </c>
      <c r="G53" s="103">
        <f t="shared" si="39"/>
        <v>0.26286235772968702</v>
      </c>
      <c r="H53" s="103">
        <f t="shared" si="39"/>
        <v>0.24287683902133259</v>
      </c>
      <c r="I53" s="103">
        <f t="shared" si="39"/>
        <v>0.24046270665423095</v>
      </c>
      <c r="J53" s="103">
        <f t="shared" si="39"/>
        <v>0.19802491471333161</v>
      </c>
      <c r="K53" s="103">
        <f t="shared" si="39"/>
        <v>0.19226224833648176</v>
      </c>
      <c r="L53" s="103">
        <f t="shared" si="39"/>
        <v>0.18832156745965525</v>
      </c>
      <c r="M53" s="103">
        <f t="shared" si="39"/>
        <v>0.19227194021950514</v>
      </c>
      <c r="N53" s="103">
        <f t="shared" si="39"/>
        <v>0.19730223310950581</v>
      </c>
      <c r="O53" s="103">
        <f t="shared" si="39"/>
        <v>0.1800075080872687</v>
      </c>
      <c r="P53" s="103">
        <f t="shared" si="39"/>
        <v>0.19394925201420712</v>
      </c>
      <c r="Q53" s="103">
        <f t="shared" si="39"/>
        <v>0.18846255211951676</v>
      </c>
      <c r="R53" s="103">
        <f t="shared" si="39"/>
        <v>0.1823953206073512</v>
      </c>
      <c r="S53" s="103">
        <f t="shared" si="39"/>
        <v>0.17234431264232736</v>
      </c>
      <c r="T53" s="103">
        <f t="shared" si="39"/>
        <v>0.15765162312687486</v>
      </c>
      <c r="U53" s="103">
        <f t="shared" si="39"/>
        <v>0.15078067256402669</v>
      </c>
      <c r="V53" s="103">
        <f t="shared" si="39"/>
        <v>0.15072714349406494</v>
      </c>
      <c r="W53" s="103">
        <f t="shared" ref="W53" si="40">IF(W7=0,0,W7/W$3)</f>
        <v>0.1625505257270341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0.51875398384691129</v>
      </c>
      <c r="C54" s="103">
        <f t="shared" si="41"/>
        <v>0.52326517623269397</v>
      </c>
      <c r="D54" s="103">
        <f t="shared" ref="D54:V54" si="42">IF(D8=0,0,D8/D$3)</f>
        <v>0.50980155396380444</v>
      </c>
      <c r="E54" s="103">
        <f t="shared" si="42"/>
        <v>0.51356176068774095</v>
      </c>
      <c r="F54" s="103">
        <f t="shared" si="42"/>
        <v>0.52006073140260167</v>
      </c>
      <c r="G54" s="103">
        <f t="shared" si="42"/>
        <v>0.51386887641019507</v>
      </c>
      <c r="H54" s="103">
        <f t="shared" si="42"/>
        <v>0.52975543423366911</v>
      </c>
      <c r="I54" s="103">
        <f t="shared" si="42"/>
        <v>0.53346229522336819</v>
      </c>
      <c r="J54" s="103">
        <f t="shared" si="42"/>
        <v>0.56209689296590293</v>
      </c>
      <c r="K54" s="103">
        <f t="shared" si="42"/>
        <v>0.55948205626040959</v>
      </c>
      <c r="L54" s="103">
        <f t="shared" si="42"/>
        <v>0.55916999373450371</v>
      </c>
      <c r="M54" s="103">
        <f t="shared" si="42"/>
        <v>0.56664004604554596</v>
      </c>
      <c r="N54" s="103">
        <f t="shared" si="42"/>
        <v>0.56098412814686771</v>
      </c>
      <c r="O54" s="103">
        <f t="shared" si="42"/>
        <v>0.57996535851995612</v>
      </c>
      <c r="P54" s="103">
        <f t="shared" si="42"/>
        <v>0.57455193126312176</v>
      </c>
      <c r="Q54" s="103">
        <f t="shared" si="42"/>
        <v>0.5799754206292661</v>
      </c>
      <c r="R54" s="103">
        <f t="shared" si="42"/>
        <v>0.59581807373123019</v>
      </c>
      <c r="S54" s="103">
        <f t="shared" si="42"/>
        <v>0.61028553109384853</v>
      </c>
      <c r="T54" s="103">
        <f t="shared" si="42"/>
        <v>0.61743967401950273</v>
      </c>
      <c r="U54" s="103">
        <f t="shared" si="42"/>
        <v>0.61122982062052922</v>
      </c>
      <c r="V54" s="103">
        <f t="shared" si="42"/>
        <v>0.55073847208216165</v>
      </c>
      <c r="W54" s="103">
        <f t="shared" ref="W54" si="43">IF(W8=0,0,W8/W$3)</f>
        <v>0.56731640677255823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0.21390136269958981</v>
      </c>
      <c r="C55" s="103">
        <f t="shared" si="44"/>
        <v>0.20854838227202996</v>
      </c>
      <c r="D55" s="103">
        <f t="shared" ref="D55:V55" si="45">IF(D9=0,0,D9/D$3)</f>
        <v>0.19349817500448033</v>
      </c>
      <c r="E55" s="103">
        <f t="shared" si="45"/>
        <v>0.18319068289699816</v>
      </c>
      <c r="F55" s="103">
        <f t="shared" si="45"/>
        <v>0.18733529970493862</v>
      </c>
      <c r="G55" s="103">
        <f t="shared" si="45"/>
        <v>0.18524632128902033</v>
      </c>
      <c r="H55" s="103">
        <f t="shared" si="45"/>
        <v>0.18557463071464964</v>
      </c>
      <c r="I55" s="103">
        <f t="shared" si="45"/>
        <v>0.18276448515650706</v>
      </c>
      <c r="J55" s="103">
        <f t="shared" si="45"/>
        <v>0.19669716008482641</v>
      </c>
      <c r="K55" s="103">
        <f t="shared" si="45"/>
        <v>0.21112555021364082</v>
      </c>
      <c r="L55" s="103">
        <f t="shared" si="45"/>
        <v>0.21055279294584858</v>
      </c>
      <c r="M55" s="103">
        <f t="shared" si="45"/>
        <v>0.20791440670143321</v>
      </c>
      <c r="N55" s="103">
        <f t="shared" si="45"/>
        <v>0.21379731706773694</v>
      </c>
      <c r="O55" s="103">
        <f t="shared" si="45"/>
        <v>0.2199842886737198</v>
      </c>
      <c r="P55" s="103">
        <f t="shared" si="45"/>
        <v>0.2158472605568309</v>
      </c>
      <c r="Q55" s="103">
        <f t="shared" si="45"/>
        <v>0.21749573156840804</v>
      </c>
      <c r="R55" s="103">
        <f t="shared" si="45"/>
        <v>0.21105972542053592</v>
      </c>
      <c r="S55" s="103">
        <f t="shared" si="45"/>
        <v>0.20746818296372818</v>
      </c>
      <c r="T55" s="103">
        <f t="shared" si="45"/>
        <v>0.21584076581920719</v>
      </c>
      <c r="U55" s="103">
        <f t="shared" si="45"/>
        <v>0.22653182888332607</v>
      </c>
      <c r="V55" s="103">
        <f t="shared" si="45"/>
        <v>0.26404692660377499</v>
      </c>
      <c r="W55" s="103">
        <f t="shared" ref="W55" si="46">IF(W9=0,0,W9/W$3)</f>
        <v>0.23643267631091106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1.3527650728295712E-2</v>
      </c>
      <c r="C56" s="17">
        <f t="shared" si="47"/>
        <v>1.5310028286332938E-2</v>
      </c>
      <c r="D56" s="17">
        <f t="shared" ref="D56:V56" si="48">IF(D10=0,0,D10/D$3)</f>
        <v>2.2207087957066399E-2</v>
      </c>
      <c r="E56" s="17">
        <f t="shared" si="48"/>
        <v>2.9733474063362419E-2</v>
      </c>
      <c r="F56" s="17">
        <f t="shared" si="48"/>
        <v>3.3543110549647946E-2</v>
      </c>
      <c r="G56" s="17">
        <f t="shared" si="48"/>
        <v>3.8022444571097699E-2</v>
      </c>
      <c r="H56" s="17">
        <f t="shared" si="48"/>
        <v>4.1793096030348635E-2</v>
      </c>
      <c r="I56" s="17">
        <f t="shared" si="48"/>
        <v>4.3310512965893888E-2</v>
      </c>
      <c r="J56" s="17">
        <f t="shared" si="48"/>
        <v>4.3181032235939228E-2</v>
      </c>
      <c r="K56" s="17">
        <f t="shared" si="48"/>
        <v>3.7130145189467875E-2</v>
      </c>
      <c r="L56" s="17">
        <f t="shared" si="48"/>
        <v>4.1955645859992542E-2</v>
      </c>
      <c r="M56" s="17">
        <f t="shared" si="48"/>
        <v>3.3173607033515538E-2</v>
      </c>
      <c r="N56" s="17">
        <f t="shared" si="48"/>
        <v>2.7916321675889567E-2</v>
      </c>
      <c r="O56" s="17">
        <f t="shared" si="48"/>
        <v>2.0042844719055482E-2</v>
      </c>
      <c r="P56" s="17">
        <f t="shared" si="48"/>
        <v>1.5651556165840182E-2</v>
      </c>
      <c r="Q56" s="17">
        <f t="shared" si="48"/>
        <v>1.4066295682809043E-2</v>
      </c>
      <c r="R56" s="17">
        <f t="shared" si="48"/>
        <v>1.072688024088253E-2</v>
      </c>
      <c r="S56" s="17">
        <f t="shared" si="48"/>
        <v>9.9019733000960831E-3</v>
      </c>
      <c r="T56" s="17">
        <f t="shared" si="48"/>
        <v>9.0679370344153402E-3</v>
      </c>
      <c r="U56" s="17">
        <f t="shared" si="48"/>
        <v>1.1457677932118045E-2</v>
      </c>
      <c r="V56" s="17">
        <f t="shared" si="48"/>
        <v>3.4487457819998464E-2</v>
      </c>
      <c r="W56" s="17">
        <f t="shared" ref="W56" si="49">IF(W10=0,0,W10/W$3)</f>
        <v>3.3700391189496429E-2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1.3183545134657546E-3</v>
      </c>
      <c r="C57" s="104">
        <f t="shared" si="50"/>
        <v>1.1066209882217837E-3</v>
      </c>
      <c r="D57" s="104">
        <f t="shared" ref="D57:V57" si="51">IF(D11=0,0,D11/D$3)</f>
        <v>1.6204931724073592E-3</v>
      </c>
      <c r="E57" s="104">
        <f t="shared" si="51"/>
        <v>1.903110212090048E-3</v>
      </c>
      <c r="F57" s="104">
        <f t="shared" si="51"/>
        <v>2.6785230476071942E-3</v>
      </c>
      <c r="G57" s="104">
        <f t="shared" si="51"/>
        <v>3.0458648489596844E-3</v>
      </c>
      <c r="H57" s="104">
        <f t="shared" si="51"/>
        <v>3.561620568018775E-3</v>
      </c>
      <c r="I57" s="104">
        <f t="shared" si="51"/>
        <v>4.3649609119516672E-3</v>
      </c>
      <c r="J57" s="104">
        <f t="shared" si="51"/>
        <v>3.8518110378619177E-3</v>
      </c>
      <c r="K57" s="104">
        <f t="shared" si="51"/>
        <v>3.2232836727731705E-3</v>
      </c>
      <c r="L57" s="104">
        <f t="shared" si="51"/>
        <v>2.7446400004197636E-3</v>
      </c>
      <c r="M57" s="104">
        <f t="shared" si="51"/>
        <v>2.2709998974356385E-3</v>
      </c>
      <c r="N57" s="104">
        <f t="shared" si="51"/>
        <v>2.3546197462041211E-3</v>
      </c>
      <c r="O57" s="104">
        <f t="shared" si="51"/>
        <v>2.0494354139865049E-3</v>
      </c>
      <c r="P57" s="104">
        <f t="shared" si="51"/>
        <v>2.0124692414924552E-3</v>
      </c>
      <c r="Q57" s="104">
        <f t="shared" si="51"/>
        <v>1.9074987270972456E-3</v>
      </c>
      <c r="R57" s="104">
        <f t="shared" si="51"/>
        <v>1.5381859343407394E-3</v>
      </c>
      <c r="S57" s="104">
        <f t="shared" si="51"/>
        <v>1.5752133016871145E-3</v>
      </c>
      <c r="T57" s="104">
        <f t="shared" si="51"/>
        <v>1.1106188410380381E-3</v>
      </c>
      <c r="U57" s="104">
        <f t="shared" si="51"/>
        <v>7.5533912027725034E-4</v>
      </c>
      <c r="V57" s="104">
        <f t="shared" si="51"/>
        <v>1.4524349229926158E-3</v>
      </c>
      <c r="W57" s="104">
        <f t="shared" ref="W57" si="52">IF(W11=0,0,W11/W$3)</f>
        <v>1.8877036457864956E-3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4.9018272647684052E-3</v>
      </c>
      <c r="C58" s="104">
        <f t="shared" si="53"/>
        <v>4.1867812204380243E-3</v>
      </c>
      <c r="D58" s="104">
        <f t="shared" ref="D58:V58" si="54">IF(D12=0,0,D12/D$3)</f>
        <v>5.9267656369702748E-3</v>
      </c>
      <c r="E58" s="104">
        <f t="shared" si="54"/>
        <v>6.9505510836406327E-3</v>
      </c>
      <c r="F58" s="104">
        <f t="shared" si="54"/>
        <v>8.4475463107918473E-3</v>
      </c>
      <c r="G58" s="104">
        <f t="shared" si="54"/>
        <v>9.840285125588372E-3</v>
      </c>
      <c r="H58" s="104">
        <f t="shared" si="54"/>
        <v>1.1142619926124189E-2</v>
      </c>
      <c r="I58" s="104">
        <f t="shared" si="54"/>
        <v>1.3113570154781481E-2</v>
      </c>
      <c r="J58" s="104">
        <f t="shared" si="54"/>
        <v>1.3516619031204182E-2</v>
      </c>
      <c r="K58" s="104">
        <f t="shared" si="54"/>
        <v>1.2089716888135347E-2</v>
      </c>
      <c r="L58" s="104">
        <f t="shared" si="54"/>
        <v>1.2287285858723329E-2</v>
      </c>
      <c r="M58" s="104">
        <f t="shared" si="54"/>
        <v>8.3838520832748686E-3</v>
      </c>
      <c r="N58" s="104">
        <f t="shared" si="54"/>
        <v>7.1751846794516029E-3</v>
      </c>
      <c r="O58" s="104">
        <f t="shared" si="54"/>
        <v>6.590907686959197E-3</v>
      </c>
      <c r="P58" s="104">
        <f t="shared" si="54"/>
        <v>6.1893689596528179E-3</v>
      </c>
      <c r="Q58" s="104">
        <f t="shared" si="54"/>
        <v>6.3893499626625728E-3</v>
      </c>
      <c r="R58" s="104">
        <f t="shared" si="54"/>
        <v>5.4152076747904674E-3</v>
      </c>
      <c r="S58" s="104">
        <f t="shared" si="54"/>
        <v>5.6008119484985035E-3</v>
      </c>
      <c r="T58" s="104">
        <f t="shared" si="54"/>
        <v>5.814466559378428E-3</v>
      </c>
      <c r="U58" s="104">
        <f t="shared" si="54"/>
        <v>9.1370518556801311E-3</v>
      </c>
      <c r="V58" s="104">
        <f t="shared" si="54"/>
        <v>2.7220653210586747E-2</v>
      </c>
      <c r="W58" s="104">
        <f t="shared" ref="W58" si="55">IF(W12=0,0,W12/W$3)</f>
        <v>2.6369962740630085E-2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7.3074689500615521E-3</v>
      </c>
      <c r="C59" s="105">
        <f t="shared" si="56"/>
        <v>1.0016626077673129E-2</v>
      </c>
      <c r="D59" s="105">
        <f t="shared" ref="D59:V59" si="57">IF(D13=0,0,D13/D$3)</f>
        <v>1.4659829147688763E-2</v>
      </c>
      <c r="E59" s="105">
        <f t="shared" si="57"/>
        <v>2.0879812767631734E-2</v>
      </c>
      <c r="F59" s="105">
        <f t="shared" si="57"/>
        <v>2.2417041191248901E-2</v>
      </c>
      <c r="G59" s="105">
        <f t="shared" si="57"/>
        <v>2.5136294596549643E-2</v>
      </c>
      <c r="H59" s="105">
        <f t="shared" si="57"/>
        <v>2.7088855536205672E-2</v>
      </c>
      <c r="I59" s="105">
        <f t="shared" si="57"/>
        <v>2.5831981899160739E-2</v>
      </c>
      <c r="J59" s="105">
        <f t="shared" si="57"/>
        <v>2.5812602166873127E-2</v>
      </c>
      <c r="K59" s="105">
        <f t="shared" si="57"/>
        <v>2.1817144628559357E-2</v>
      </c>
      <c r="L59" s="105">
        <f t="shared" si="57"/>
        <v>2.6923720000849447E-2</v>
      </c>
      <c r="M59" s="105">
        <f t="shared" si="57"/>
        <v>2.2518755052805026E-2</v>
      </c>
      <c r="N59" s="105">
        <f t="shared" si="57"/>
        <v>1.8386517250233842E-2</v>
      </c>
      <c r="O59" s="105">
        <f t="shared" si="57"/>
        <v>1.1402501618109781E-2</v>
      </c>
      <c r="P59" s="105">
        <f t="shared" si="57"/>
        <v>7.4497179646949106E-3</v>
      </c>
      <c r="Q59" s="105">
        <f t="shared" si="57"/>
        <v>5.7694469930492228E-3</v>
      </c>
      <c r="R59" s="105">
        <f t="shared" si="57"/>
        <v>3.7734866317513244E-3</v>
      </c>
      <c r="S59" s="105">
        <f t="shared" si="57"/>
        <v>2.7259480499104666E-3</v>
      </c>
      <c r="T59" s="105">
        <f t="shared" si="57"/>
        <v>2.1428516339988741E-3</v>
      </c>
      <c r="U59" s="105">
        <f t="shared" si="57"/>
        <v>1.5652869561606645E-3</v>
      </c>
      <c r="V59" s="105">
        <f t="shared" si="57"/>
        <v>5.8143696864190976E-3</v>
      </c>
      <c r="W59" s="105">
        <f t="shared" ref="W59" si="58">IF(W13=0,0,W13/W$3)</f>
        <v>5.442724803079846E-3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26016381</v>
      </c>
      <c r="C4" s="11">
        <f t="shared" si="0"/>
        <v>25962577</v>
      </c>
      <c r="D4" s="11">
        <f t="shared" ref="D4" si="1">SUM(D5:D7)</f>
        <v>23193270</v>
      </c>
      <c r="E4" s="11">
        <f t="shared" ref="E4" si="2">SUM(E5:E7)</f>
        <v>21402696</v>
      </c>
      <c r="F4" s="11">
        <f t="shared" ref="F4" si="3">SUM(F5:F7)</f>
        <v>23078438</v>
      </c>
      <c r="G4" s="11">
        <f t="shared" ref="G4" si="4">SUM(G5:G7)</f>
        <v>24041304</v>
      </c>
      <c r="H4" s="11">
        <f t="shared" ref="H4" si="5">SUM(H5:H7)</f>
        <v>25189836</v>
      </c>
      <c r="I4" s="11">
        <f t="shared" ref="I4" si="6">SUM(I5:I7)</f>
        <v>25775610</v>
      </c>
      <c r="J4" s="11">
        <f t="shared" ref="J4" si="7">SUM(J5:J7)</f>
        <v>27366493</v>
      </c>
      <c r="K4" s="11">
        <f t="shared" ref="K4" si="8">SUM(K5:K7)</f>
        <v>23999552</v>
      </c>
      <c r="L4" s="11">
        <f t="shared" ref="L4" si="9">SUM(L5:L7)</f>
        <v>24618322</v>
      </c>
      <c r="M4" s="11">
        <f t="shared" ref="M4" si="10">SUM(M5:M7)</f>
        <v>27380602</v>
      </c>
      <c r="N4" s="11">
        <f t="shared" ref="N4" si="11">SUM(N5:N7)</f>
        <v>27402213</v>
      </c>
      <c r="O4" s="11">
        <f t="shared" ref="O4" si="12">SUM(O5:O7)</f>
        <v>29123675</v>
      </c>
      <c r="P4" s="11">
        <f t="shared" ref="P4" si="13">SUM(P5:P7)</f>
        <v>30046025</v>
      </c>
      <c r="Q4" s="11">
        <f t="shared" ref="Q4" si="14">SUM(Q5:Q7)</f>
        <v>30536899</v>
      </c>
      <c r="R4" s="11">
        <f t="shared" ref="R4" si="15">SUM(R5:R7)</f>
        <v>31585019</v>
      </c>
      <c r="S4" s="11">
        <f t="shared" ref="S4" si="16">SUM(S5:S7)</f>
        <v>33291107</v>
      </c>
      <c r="T4" s="11">
        <f t="shared" ref="T4" si="17">SUM(T5:T7)</f>
        <v>33605031</v>
      </c>
      <c r="U4" s="11">
        <f t="shared" ref="U4" si="18">SUM(U5:U7)</f>
        <v>32374029</v>
      </c>
      <c r="V4" s="11">
        <f t="shared" ref="V4:W4" si="19">SUM(V5:V7)</f>
        <v>10863507</v>
      </c>
      <c r="W4" s="11">
        <f t="shared" si="19"/>
        <v>11470919</v>
      </c>
      <c r="DA4" s="189" t="s">
        <v>361</v>
      </c>
    </row>
    <row r="5" spans="1:105" ht="11.45" customHeight="1" x14ac:dyDescent="0.25">
      <c r="A5" s="83" t="s">
        <v>27</v>
      </c>
      <c r="B5" s="84">
        <v>13441144</v>
      </c>
      <c r="C5" s="84">
        <v>13387375</v>
      </c>
      <c r="D5" s="84">
        <v>12394133</v>
      </c>
      <c r="E5" s="84">
        <v>11333454</v>
      </c>
      <c r="F5" s="84">
        <v>11931329</v>
      </c>
      <c r="G5" s="84">
        <v>11926860</v>
      </c>
      <c r="H5" s="84">
        <v>11204126</v>
      </c>
      <c r="I5" s="84">
        <v>10985543</v>
      </c>
      <c r="J5" s="84">
        <v>11109877</v>
      </c>
      <c r="K5" s="84">
        <v>9686154</v>
      </c>
      <c r="L5" s="84">
        <v>9609732</v>
      </c>
      <c r="M5" s="84">
        <v>10829811</v>
      </c>
      <c r="N5" s="84">
        <v>10841524</v>
      </c>
      <c r="O5" s="84">
        <v>11432433</v>
      </c>
      <c r="P5" s="84">
        <v>12034407</v>
      </c>
      <c r="Q5" s="84">
        <v>12113533</v>
      </c>
      <c r="R5" s="84">
        <v>12216524</v>
      </c>
      <c r="S5" s="84">
        <v>12555514</v>
      </c>
      <c r="T5" s="84">
        <v>12304793</v>
      </c>
      <c r="U5" s="84">
        <v>11359110</v>
      </c>
      <c r="V5" s="84">
        <v>4210082</v>
      </c>
      <c r="W5" s="84">
        <v>4109946</v>
      </c>
      <c r="DA5" s="171" t="s">
        <v>362</v>
      </c>
    </row>
    <row r="6" spans="1:105" ht="11.45" customHeight="1" x14ac:dyDescent="0.25">
      <c r="A6" s="83" t="s">
        <v>173</v>
      </c>
      <c r="B6" s="84">
        <v>11155656</v>
      </c>
      <c r="C6" s="84">
        <v>11177352</v>
      </c>
      <c r="D6" s="84">
        <v>9690675</v>
      </c>
      <c r="E6" s="84">
        <v>8946409</v>
      </c>
      <c r="F6" s="84">
        <v>9869815</v>
      </c>
      <c r="G6" s="84">
        <v>10313851</v>
      </c>
      <c r="H6" s="84">
        <v>12193934</v>
      </c>
      <c r="I6" s="84">
        <v>12730257</v>
      </c>
      <c r="J6" s="84">
        <v>13936974</v>
      </c>
      <c r="K6" s="84">
        <v>12029103</v>
      </c>
      <c r="L6" s="84">
        <v>12548328</v>
      </c>
      <c r="M6" s="84">
        <v>13871957</v>
      </c>
      <c r="N6" s="84">
        <v>13807710</v>
      </c>
      <c r="O6" s="84">
        <v>14543484</v>
      </c>
      <c r="P6" s="84">
        <v>14581511</v>
      </c>
      <c r="Q6" s="84">
        <v>14964126</v>
      </c>
      <c r="R6" s="84">
        <v>16158260</v>
      </c>
      <c r="S6" s="84">
        <v>17260199</v>
      </c>
      <c r="T6" s="84">
        <v>17442792</v>
      </c>
      <c r="U6" s="84">
        <v>17174022</v>
      </c>
      <c r="V6" s="84">
        <v>5272050</v>
      </c>
      <c r="W6" s="84">
        <v>5893982</v>
      </c>
      <c r="DA6" s="171" t="s">
        <v>363</v>
      </c>
    </row>
    <row r="7" spans="1:105" ht="11.45" customHeight="1" x14ac:dyDescent="0.25">
      <c r="A7" s="85" t="s">
        <v>174</v>
      </c>
      <c r="B7" s="86">
        <v>1419581</v>
      </c>
      <c r="C7" s="86">
        <v>1397850</v>
      </c>
      <c r="D7" s="86">
        <v>1108462</v>
      </c>
      <c r="E7" s="86">
        <v>1122833</v>
      </c>
      <c r="F7" s="86">
        <v>1277294</v>
      </c>
      <c r="G7" s="86">
        <v>1800593</v>
      </c>
      <c r="H7" s="86">
        <v>1791776</v>
      </c>
      <c r="I7" s="86">
        <v>2059810</v>
      </c>
      <c r="J7" s="86">
        <v>2319642</v>
      </c>
      <c r="K7" s="86">
        <v>2284295</v>
      </c>
      <c r="L7" s="86">
        <v>2460262</v>
      </c>
      <c r="M7" s="86">
        <v>2678834</v>
      </c>
      <c r="N7" s="86">
        <v>2752979</v>
      </c>
      <c r="O7" s="86">
        <v>3147758</v>
      </c>
      <c r="P7" s="86">
        <v>3430107</v>
      </c>
      <c r="Q7" s="86">
        <v>3459240</v>
      </c>
      <c r="R7" s="86">
        <v>3210235</v>
      </c>
      <c r="S7" s="86">
        <v>3475394</v>
      </c>
      <c r="T7" s="86">
        <v>3857446</v>
      </c>
      <c r="U7" s="86">
        <v>3840897</v>
      </c>
      <c r="V7" s="86">
        <v>1381375</v>
      </c>
      <c r="W7" s="86">
        <v>1466991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107.07343081855484</v>
      </c>
      <c r="C12" s="14">
        <f>IF(C4=0,0,C4/TrAvia_act!C24)</f>
        <v>109.37413954350518</v>
      </c>
      <c r="D12" s="14">
        <f>IF(D4=0,0,D4/TrAvia_act!D24)</f>
        <v>107.77541821561339</v>
      </c>
      <c r="E12" s="14">
        <f>IF(E4=0,0,E4/TrAvia_act!E24)</f>
        <v>105.04854692968033</v>
      </c>
      <c r="F12" s="14">
        <f>IF(F4=0,0,F4/TrAvia_act!F24)</f>
        <v>107.34956089755516</v>
      </c>
      <c r="G12" s="14">
        <f>IF(G4=0,0,G4/TrAvia_act!G24)</f>
        <v>116.03393953434495</v>
      </c>
      <c r="H12" s="14">
        <f>IF(H4=0,0,H4/TrAvia_act!H24)</f>
        <v>119.99502677159353</v>
      </c>
      <c r="I12" s="14">
        <f>IF(I4=0,0,I4/TrAvia_act!I24)</f>
        <v>125.71444596723454</v>
      </c>
      <c r="J12" s="14">
        <f>IF(J4=0,0,J4/TrAvia_act!J24)</f>
        <v>129.52590850143409</v>
      </c>
      <c r="K12" s="14">
        <f>IF(K4=0,0,K4/TrAvia_act!K24)</f>
        <v>124.64580195489815</v>
      </c>
      <c r="L12" s="14">
        <f>IF(L4=0,0,L4/TrAvia_act!L24)</f>
        <v>126.41765859770564</v>
      </c>
      <c r="M12" s="14">
        <f>IF(M4=0,0,M4/TrAvia_act!M24)</f>
        <v>127.8272735760971</v>
      </c>
      <c r="N12" s="14">
        <f>IF(N4=0,0,N4/TrAvia_act!N24)</f>
        <v>131.86122486297646</v>
      </c>
      <c r="O12" s="14">
        <f>IF(O4=0,0,O4/TrAvia_act!O24)</f>
        <v>138.14998671802365</v>
      </c>
      <c r="P12" s="14">
        <f>IF(P4=0,0,P4/TrAvia_act!P24)</f>
        <v>140.38296212195544</v>
      </c>
      <c r="Q12" s="14">
        <f>IF(Q4=0,0,Q4/TrAvia_act!Q24)</f>
        <v>142.6164842914454</v>
      </c>
      <c r="R12" s="14">
        <f>IF(R4=0,0,R4/TrAvia_act!R24)</f>
        <v>143.45676315227709</v>
      </c>
      <c r="S12" s="14">
        <f>IF(S4=0,0,S4/TrAvia_act!S24)</f>
        <v>145.5457105008897</v>
      </c>
      <c r="T12" s="14">
        <f>IF(T4=0,0,T4/TrAvia_act!T24)</f>
        <v>146.88669126067612</v>
      </c>
      <c r="U12" s="14">
        <f>IF(U4=0,0,U4/TrAvia_act!U24)</f>
        <v>149.74734840950825</v>
      </c>
      <c r="V12" s="14">
        <f>IF(V4=0,0,V4/TrAvia_act!V24)</f>
        <v>147.40772351656105</v>
      </c>
      <c r="W12" s="14">
        <f>IF(W4=0,0,W4/TrAvia_act!W24)</f>
        <v>143.85401304238775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100.87995256644076</v>
      </c>
      <c r="C13" s="87">
        <f>IF(C5=0,0,C5/TrAvia_act!C25)</f>
        <v>102.56324313557245</v>
      </c>
      <c r="D13" s="87">
        <f>IF(D5=0,0,D5/TrAvia_act!D25)</f>
        <v>102.10596861226675</v>
      </c>
      <c r="E13" s="87">
        <f>IF(E5=0,0,E5/TrAvia_act!E25)</f>
        <v>99.669809163661952</v>
      </c>
      <c r="F13" s="87">
        <f>IF(F5=0,0,F5/TrAvia_act!F25)</f>
        <v>100.35350272934487</v>
      </c>
      <c r="G13" s="87">
        <f>IF(G5=0,0,G5/TrAvia_act!G25)</f>
        <v>104.62892132781248</v>
      </c>
      <c r="H13" s="87">
        <f>IF(H5=0,0,H5/TrAvia_act!H25)</f>
        <v>102.6836948851191</v>
      </c>
      <c r="I13" s="87">
        <f>IF(I5=0,0,I5/TrAvia_act!I25)</f>
        <v>106.25652161296875</v>
      </c>
      <c r="J13" s="87">
        <f>IF(J5=0,0,J5/TrAvia_act!J25)</f>
        <v>108.21589846489519</v>
      </c>
      <c r="K13" s="87">
        <f>IF(K5=0,0,K5/TrAvia_act!K25)</f>
        <v>100.2863177512036</v>
      </c>
      <c r="L13" s="87">
        <f>IF(L5=0,0,L5/TrAvia_act!L25)</f>
        <v>101.41020039889828</v>
      </c>
      <c r="M13" s="87">
        <f>IF(M5=0,0,M5/TrAvia_act!M25)</f>
        <v>104.05675660094546</v>
      </c>
      <c r="N13" s="87">
        <f>IF(N5=0,0,N5/TrAvia_act!N25)</f>
        <v>108.07372702260855</v>
      </c>
      <c r="O13" s="87">
        <f>IF(O5=0,0,O5/TrAvia_act!O25)</f>
        <v>113.5623267872575</v>
      </c>
      <c r="P13" s="87">
        <f>IF(P5=0,0,P5/TrAvia_act!P25)</f>
        <v>117.66369111636911</v>
      </c>
      <c r="Q13" s="87">
        <f>IF(Q5=0,0,Q5/TrAvia_act!Q25)</f>
        <v>120.60466945440064</v>
      </c>
      <c r="R13" s="87">
        <f>IF(R5=0,0,R5/TrAvia_act!R25)</f>
        <v>120.08182041578611</v>
      </c>
      <c r="S13" s="87">
        <f>IF(S5=0,0,S5/TrAvia_act!S25)</f>
        <v>121.80949793839437</v>
      </c>
      <c r="T13" s="87">
        <f>IF(T5=0,0,T5/TrAvia_act!T25)</f>
        <v>122.17923563463772</v>
      </c>
      <c r="U13" s="87">
        <f>IF(U5=0,0,U5/TrAvia_act!U25)</f>
        <v>123.30908933010562</v>
      </c>
      <c r="V13" s="87">
        <f>IF(V5=0,0,V5/TrAvia_act!V25)</f>
        <v>120.0342703997263</v>
      </c>
      <c r="W13" s="87">
        <f>IF(W5=0,0,W5/TrAvia_act!W25)</f>
        <v>111.0226100110754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111.92591552122002</v>
      </c>
      <c r="C14" s="87">
        <f>IF(C6=0,0,C6/TrAvia_act!C26)</f>
        <v>114.95194117344577</v>
      </c>
      <c r="D14" s="87">
        <f>IF(D6=0,0,D6/TrAvia_act!D26)</f>
        <v>113.08859740229428</v>
      </c>
      <c r="E14" s="87">
        <f>IF(E6=0,0,E6/TrAvia_act!E26)</f>
        <v>108.19084301798262</v>
      </c>
      <c r="F14" s="87">
        <f>IF(F6=0,0,F6/TrAvia_act!F26)</f>
        <v>111.84433288760964</v>
      </c>
      <c r="G14" s="87">
        <f>IF(G6=0,0,G6/TrAvia_act!G26)</f>
        <v>122.86146020703539</v>
      </c>
      <c r="H14" s="87">
        <f>IF(H6=0,0,H6/TrAvia_act!H26)</f>
        <v>132.65667257753941</v>
      </c>
      <c r="I14" s="87">
        <f>IF(I6=0,0,I6/TrAvia_act!I26)</f>
        <v>137.84942988012864</v>
      </c>
      <c r="J14" s="87">
        <f>IF(J6=0,0,J6/TrAvia_act!J26)</f>
        <v>142.48882027583809</v>
      </c>
      <c r="K14" s="87">
        <f>IF(K6=0,0,K6/TrAvia_act!K26)</f>
        <v>141.18168374353016</v>
      </c>
      <c r="L14" s="87">
        <f>IF(L6=0,0,L6/TrAvia_act!L26)</f>
        <v>142.55899661448274</v>
      </c>
      <c r="M14" s="87">
        <f>IF(M6=0,0,M6/TrAvia_act!M26)</f>
        <v>143.62136726474577</v>
      </c>
      <c r="N14" s="87">
        <f>IF(N6=0,0,N6/TrAvia_act!N26)</f>
        <v>147.08769201269786</v>
      </c>
      <c r="O14" s="87">
        <f>IF(O6=0,0,O6/TrAvia_act!O26)</f>
        <v>152.11099141312192</v>
      </c>
      <c r="P14" s="87">
        <f>IF(P6=0,0,P6/TrAvia_act!P26)</f>
        <v>151.49621818181819</v>
      </c>
      <c r="Q14" s="87">
        <f>IF(Q6=0,0,Q6/TrAvia_act!Q26)</f>
        <v>152.21986450470979</v>
      </c>
      <c r="R14" s="87">
        <f>IF(R6=0,0,R6/TrAvia_act!R26)</f>
        <v>155.92712324008221</v>
      </c>
      <c r="S14" s="87">
        <f>IF(S6=0,0,S6/TrAvia_act!S26)</f>
        <v>157.48787831783716</v>
      </c>
      <c r="T14" s="87">
        <f>IF(T6=0,0,T6/TrAvia_act!T26)</f>
        <v>157.57951794167599</v>
      </c>
      <c r="U14" s="87">
        <f>IF(U6=0,0,U6/TrAvia_act!U26)</f>
        <v>160.83104988621784</v>
      </c>
      <c r="V14" s="87">
        <f>IF(V6=0,0,V6/TrAvia_act!V26)</f>
        <v>161.88319464488592</v>
      </c>
      <c r="W14" s="87">
        <f>IF(W6=0,0,W6/TrAvia_act!W26)</f>
        <v>165.16693288496566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140.99930472785061</v>
      </c>
      <c r="C15" s="88">
        <f>IF(C7=0,0,C7/TrAvia_act!C27)</f>
        <v>145.44272188117782</v>
      </c>
      <c r="D15" s="88">
        <f>IF(D7=0,0,D7/TrAvia_act!D27)</f>
        <v>136.44288527818807</v>
      </c>
      <c r="E15" s="88">
        <f>IF(E7=0,0,E7/TrAvia_act!E27)</f>
        <v>152.97452316076294</v>
      </c>
      <c r="F15" s="88">
        <f>IF(F7=0,0,F7/TrAvia_act!F27)</f>
        <v>162.81631612492032</v>
      </c>
      <c r="G15" s="88">
        <f>IF(G7=0,0,G7/TrAvia_act!G27)</f>
        <v>194.59559061925862</v>
      </c>
      <c r="H15" s="88">
        <f>IF(H7=0,0,H7/TrAvia_act!H27)</f>
        <v>201.5496062992126</v>
      </c>
      <c r="I15" s="88">
        <f>IF(I7=0,0,I7/TrAvia_act!I27)</f>
        <v>221.5564160481876</v>
      </c>
      <c r="J15" s="88">
        <f>IF(J7=0,0,J7/TrAvia_act!J27)</f>
        <v>214.64254649764041</v>
      </c>
      <c r="K15" s="88">
        <f>IF(K7=0,0,K7/TrAvia_act!K27)</f>
        <v>212.41352055049285</v>
      </c>
      <c r="L15" s="88">
        <f>IF(L7=0,0,L7/TrAvia_act!L27)</f>
        <v>205.79355918025931</v>
      </c>
      <c r="M15" s="88">
        <f>IF(M7=0,0,M7/TrAvia_act!M27)</f>
        <v>197.88978355617937</v>
      </c>
      <c r="N15" s="88">
        <f>IF(N7=0,0,N7/TrAvia_act!N27)</f>
        <v>202.11284046692606</v>
      </c>
      <c r="O15" s="88">
        <f>IF(O7=0,0,O7/TrAvia_act!O27)</f>
        <v>216.63854094975912</v>
      </c>
      <c r="P15" s="88">
        <f>IF(P7=0,0,P7/TrAvia_act!P27)</f>
        <v>221.28294948712986</v>
      </c>
      <c r="Q15" s="88">
        <f>IF(Q7=0,0,Q7/TrAvia_act!Q27)</f>
        <v>225.02049047030508</v>
      </c>
      <c r="R15" s="88">
        <f>IF(R7=0,0,R7/TrAvia_act!R27)</f>
        <v>216.77594705922075</v>
      </c>
      <c r="S15" s="88">
        <f>IF(S7=0,0,S7/TrAvia_act!S27)</f>
        <v>216.38714899445861</v>
      </c>
      <c r="T15" s="88">
        <f>IF(T7=0,0,T7/TrAvia_act!T27)</f>
        <v>221.96018182864375</v>
      </c>
      <c r="U15" s="88">
        <f>IF(U7=0,0,U7/TrAvia_act!U27)</f>
        <v>222.1584244317196</v>
      </c>
      <c r="V15" s="88">
        <f>IF(V7=0,0,V7/TrAvia_act!V27)</f>
        <v>228.10023117569352</v>
      </c>
      <c r="W15" s="88">
        <f>IF(W7=0,0,W7/TrAvia_act!W27)</f>
        <v>208.49786810687891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0.60330378002997431</v>
      </c>
      <c r="C18" s="25">
        <f>IF(TrAvia_act!C34=0,0,(TrAvia_act!C34/TrAvia_act!C24)/TrAvia_png!C12)</f>
        <v>0.60255505453098901</v>
      </c>
      <c r="D18" s="25">
        <f>IF(TrAvia_act!D34=0,0,(TrAvia_act!D34/TrAvia_act!D24)/TrAvia_png!D12)</f>
        <v>0.6200659070497605</v>
      </c>
      <c r="E18" s="25">
        <f>IF(TrAvia_act!E34=0,0,(TrAvia_act!E34/TrAvia_act!E24)/TrAvia_png!E12)</f>
        <v>0.62023116153217339</v>
      </c>
      <c r="F18" s="25">
        <f>IF(TrAvia_act!F34=0,0,(TrAvia_act!F34/TrAvia_act!F24)/TrAvia_png!F12)</f>
        <v>0.60666428117882165</v>
      </c>
      <c r="G18" s="25">
        <f>IF(TrAvia_act!G34=0,0,(TrAvia_act!G34/TrAvia_act!G24)/TrAvia_png!G12)</f>
        <v>0.61367145475969187</v>
      </c>
      <c r="H18" s="25">
        <f>IF(TrAvia_act!H34=0,0,(TrAvia_act!H34/TrAvia_act!H24)/TrAvia_png!H12)</f>
        <v>0.65072972289299547</v>
      </c>
      <c r="I18" s="25">
        <f>IF(TrAvia_act!I34=0,0,(TrAvia_act!I34/TrAvia_act!I24)/TrAvia_png!I12)</f>
        <v>0.65326112553689319</v>
      </c>
      <c r="J18" s="25">
        <f>IF(TrAvia_act!J34=0,0,(TrAvia_act!J34/TrAvia_act!J24)/TrAvia_png!J12)</f>
        <v>0.62649532769873006</v>
      </c>
      <c r="K18" s="25">
        <f>IF(TrAvia_act!K34=0,0,(TrAvia_act!K34/TrAvia_act!K24)/TrAvia_png!K12)</f>
        <v>0.64659073636041209</v>
      </c>
      <c r="L18" s="25">
        <f>IF(TrAvia_act!L34=0,0,(TrAvia_act!L34/TrAvia_act!L24)/TrAvia_png!L12)</f>
        <v>0.66332559140302094</v>
      </c>
      <c r="M18" s="25">
        <f>IF(TrAvia_act!M34=0,0,(TrAvia_act!M34/TrAvia_act!M24)/TrAvia_png!M12)</f>
        <v>0.66677321411706003</v>
      </c>
      <c r="N18" s="25">
        <f>IF(TrAvia_act!N34=0,0,(TrAvia_act!N34/TrAvia_act!N24)/TrAvia_png!N12)</f>
        <v>0.67966375562440884</v>
      </c>
      <c r="O18" s="25">
        <f>IF(TrAvia_act!O34=0,0,(TrAvia_act!O34/TrAvia_act!O24)/TrAvia_png!O12)</f>
        <v>0.65844595505203229</v>
      </c>
      <c r="P18" s="25">
        <f>IF(TrAvia_act!P34=0,0,(TrAvia_act!P34/TrAvia_act!P24)/TrAvia_png!P12)</f>
        <v>0.66439187879261896</v>
      </c>
      <c r="Q18" s="25">
        <f>IF(TrAvia_act!Q34=0,0,(TrAvia_act!Q34/TrAvia_act!Q24)/TrAvia_png!Q12)</f>
        <v>0.67561526139245509</v>
      </c>
      <c r="R18" s="25">
        <f>IF(TrAvia_act!R34=0,0,(TrAvia_act!R34/TrAvia_act!R24)/TrAvia_png!R12)</f>
        <v>0.68605119408033277</v>
      </c>
      <c r="S18" s="25">
        <f>IF(TrAvia_act!S34=0,0,(TrAvia_act!S34/TrAvia_act!S24)/TrAvia_png!S12)</f>
        <v>0.6925788019004594</v>
      </c>
      <c r="T18" s="25">
        <f>IF(TrAvia_act!T34=0,0,(TrAvia_act!T34/TrAvia_act!T24)/TrAvia_png!T12)</f>
        <v>0.69078546602144175</v>
      </c>
      <c r="U18" s="25">
        <f>IF(TrAvia_act!U34=0,0,(TrAvia_act!U34/TrAvia_act!U24)/TrAvia_png!U12)</f>
        <v>0.68521996443507238</v>
      </c>
      <c r="V18" s="25">
        <f>IF(TrAvia_act!V34=0,0,(TrAvia_act!V34/TrAvia_act!V24)/TrAvia_png!V12)</f>
        <v>0.51027223529197341</v>
      </c>
      <c r="W18" s="25">
        <f>IF(TrAvia_act!W34=0,0,(TrAvia_act!W34/TrAvia_act!W24)/TrAvia_png!W12)</f>
        <v>0.56814471447318216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0.5649343538020275</v>
      </c>
      <c r="C19" s="89">
        <f>IF(TrAvia_act!C35=0,0,(TrAvia_act!C35/TrAvia_act!C25)/TrAvia_png!C13)</f>
        <v>0.5680791043800596</v>
      </c>
      <c r="D19" s="89">
        <f>IF(TrAvia_act!D35=0,0,(TrAvia_act!D35/TrAvia_act!D25)/TrAvia_png!D13)</f>
        <v>0.57089455147851009</v>
      </c>
      <c r="E19" s="89">
        <f>IF(TrAvia_act!E35=0,0,(TrAvia_act!E35/TrAvia_act!E25)/TrAvia_png!E13)</f>
        <v>0.57215646703996859</v>
      </c>
      <c r="F19" s="89">
        <f>IF(TrAvia_act!F35=0,0,(TrAvia_act!F35/TrAvia_act!F25)/TrAvia_png!F13)</f>
        <v>0.55755272526639743</v>
      </c>
      <c r="G19" s="89">
        <f>IF(TrAvia_act!G35=0,0,(TrAvia_act!G35/TrAvia_act!G25)/TrAvia_png!G13)</f>
        <v>0.58185247416335906</v>
      </c>
      <c r="H19" s="89">
        <f>IF(TrAvia_act!H35=0,0,(TrAvia_act!H35/TrAvia_act!H25)/TrAvia_png!H13)</f>
        <v>0.61172062863270193</v>
      </c>
      <c r="I19" s="89">
        <f>IF(TrAvia_act!I35=0,0,(TrAvia_act!I35/TrAvia_act!I25)/TrAvia_png!I13)</f>
        <v>0.60979480031164601</v>
      </c>
      <c r="J19" s="89">
        <f>IF(TrAvia_act!J35=0,0,(TrAvia_act!J35/TrAvia_act!J25)/TrAvia_png!J13)</f>
        <v>0.58925098810724907</v>
      </c>
      <c r="K19" s="89">
        <f>IF(TrAvia_act!K35=0,0,(TrAvia_act!K35/TrAvia_act!K25)/TrAvia_png!K13)</f>
        <v>0.60280571628326374</v>
      </c>
      <c r="L19" s="89">
        <f>IF(TrAvia_act!L35=0,0,(TrAvia_act!L35/TrAvia_act!L25)/TrAvia_png!L13)</f>
        <v>0.62442563434651455</v>
      </c>
      <c r="M19" s="89">
        <f>IF(TrAvia_act!M35=0,0,(TrAvia_act!M35/TrAvia_act!M25)/TrAvia_png!M13)</f>
        <v>0.62808990849424795</v>
      </c>
      <c r="N19" s="89">
        <f>IF(TrAvia_act!N35=0,0,(TrAvia_act!N35/TrAvia_act!N25)/TrAvia_png!N13)</f>
        <v>0.63799443694447389</v>
      </c>
      <c r="O19" s="89">
        <f>IF(TrAvia_act!O35=0,0,(TrAvia_act!O35/TrAvia_act!O25)/TrAvia_png!O13)</f>
        <v>0.6075611376860901</v>
      </c>
      <c r="P19" s="89">
        <f>IF(TrAvia_act!P35=0,0,(TrAvia_act!P35/TrAvia_act!P25)/TrAvia_png!P13)</f>
        <v>0.60099321885989065</v>
      </c>
      <c r="Q19" s="89">
        <f>IF(TrAvia_act!Q35=0,0,(TrAvia_act!Q35/TrAvia_act!Q25)/TrAvia_png!Q13)</f>
        <v>0.60324514739011315</v>
      </c>
      <c r="R19" s="89">
        <f>IF(TrAvia_act!R35=0,0,(TrAvia_act!R35/TrAvia_act!R25)/TrAvia_png!R13)</f>
        <v>0.61560178656383768</v>
      </c>
      <c r="S19" s="89">
        <f>IF(TrAvia_act!S35=0,0,(TrAvia_act!S35/TrAvia_act!S25)/TrAvia_png!S13)</f>
        <v>0.61659291686505224</v>
      </c>
      <c r="T19" s="89">
        <f>IF(TrAvia_act!T35=0,0,(TrAvia_act!T35/TrAvia_act!T25)/TrAvia_png!T13)</f>
        <v>0.60871158092622935</v>
      </c>
      <c r="U19" s="89">
        <f>IF(TrAvia_act!U35=0,0,(TrAvia_act!U35/TrAvia_act!U25)/TrAvia_png!U13)</f>
        <v>0.59801665799521264</v>
      </c>
      <c r="V19" s="89">
        <f>IF(TrAvia_act!V35=0,0,(TrAvia_act!V35/TrAvia_act!V25)/TrAvia_png!V13)</f>
        <v>0.4753978663598476</v>
      </c>
      <c r="W19" s="89">
        <f>IF(TrAvia_act!W35=0,0,(TrAvia_act!W35/TrAvia_act!W25)/TrAvia_png!W13)</f>
        <v>0.52716483379586976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0.62746502760572753</v>
      </c>
      <c r="C20" s="89">
        <f>IF(TrAvia_act!C36=0,0,(TrAvia_act!C36/TrAvia_act!C26)/TrAvia_png!C14)</f>
        <v>0.62846361105922044</v>
      </c>
      <c r="D20" s="89">
        <f>IF(TrAvia_act!D36=0,0,(TrAvia_act!D36/TrAvia_act!D26)/TrAvia_png!D14)</f>
        <v>0.66838409089150141</v>
      </c>
      <c r="E20" s="89">
        <f>IF(TrAvia_act!E36=0,0,(TrAvia_act!E36/TrAvia_act!E26)/TrAvia_png!E14)</f>
        <v>0.66752459003383369</v>
      </c>
      <c r="F20" s="89">
        <f>IF(TrAvia_act!F36=0,0,(TrAvia_act!F36/TrAvia_act!F26)/TrAvia_png!F14)</f>
        <v>0.64392898955046263</v>
      </c>
      <c r="G20" s="89">
        <f>IF(TrAvia_act!G36=0,0,(TrAvia_act!G36/TrAvia_act!G26)/TrAvia_png!G14)</f>
        <v>0.6397592906858941</v>
      </c>
      <c r="H20" s="89">
        <f>IF(TrAvia_act!H36=0,0,(TrAvia_act!H36/TrAvia_act!H26)/TrAvia_png!H14)</f>
        <v>0.68049761463363667</v>
      </c>
      <c r="I20" s="89">
        <f>IF(TrAvia_act!I36=0,0,(TrAvia_act!I36/TrAvia_act!I26)/TrAvia_png!I14)</f>
        <v>0.6869836956158859</v>
      </c>
      <c r="J20" s="89">
        <f>IF(TrAvia_act!J36=0,0,(TrAvia_act!J36/TrAvia_act!J26)/TrAvia_png!J14)</f>
        <v>0.64508551138862713</v>
      </c>
      <c r="K20" s="89">
        <f>IF(TrAvia_act!K36=0,0,(TrAvia_act!K36/TrAvia_act!K26)/TrAvia_png!K14)</f>
        <v>0.67408392795373018</v>
      </c>
      <c r="L20" s="89">
        <f>IF(TrAvia_act!L36=0,0,(TrAvia_act!L36/TrAvia_act!L26)/TrAvia_png!L14)</f>
        <v>0.68236899768638504</v>
      </c>
      <c r="M20" s="89">
        <f>IF(TrAvia_act!M36=0,0,(TrAvia_act!M36/TrAvia_act!M26)/TrAvia_png!M14)</f>
        <v>0.68620490966054759</v>
      </c>
      <c r="N20" s="89">
        <f>IF(TrAvia_act!N36=0,0,(TrAvia_act!N36/TrAvia_act!N26)/TrAvia_png!N14)</f>
        <v>0.70301585128888144</v>
      </c>
      <c r="O20" s="89">
        <f>IF(TrAvia_act!O36=0,0,(TrAvia_act!O36/TrAvia_act!O26)/TrAvia_png!O14)</f>
        <v>0.69186977480774214</v>
      </c>
      <c r="P20" s="89">
        <f>IF(TrAvia_act!P36=0,0,(TrAvia_act!P36/TrAvia_act!P26)/TrAvia_png!P14)</f>
        <v>0.71171026102850377</v>
      </c>
      <c r="Q20" s="89">
        <f>IF(TrAvia_act!Q36=0,0,(TrAvia_act!Q36/TrAvia_act!Q26)/TrAvia_png!Q14)</f>
        <v>0.72989942747073899</v>
      </c>
      <c r="R20" s="89">
        <f>IF(TrAvia_act!R36=0,0,(TrAvia_act!R36/TrAvia_act!R26)/TrAvia_png!R14)</f>
        <v>0.73438390024668498</v>
      </c>
      <c r="S20" s="89">
        <f>IF(TrAvia_act!S36=0,0,(TrAvia_act!S36/TrAvia_act!S26)/TrAvia_png!S14)</f>
        <v>0.7419371584302128</v>
      </c>
      <c r="T20" s="89">
        <f>IF(TrAvia_act!T36=0,0,(TrAvia_act!T36/TrAvia_act!T26)/TrAvia_png!T14)</f>
        <v>0.74177052618640416</v>
      </c>
      <c r="U20" s="89">
        <f>IF(TrAvia_act!U36=0,0,(TrAvia_act!U36/TrAvia_act!U26)/TrAvia_png!U14)</f>
        <v>0.73471112357955526</v>
      </c>
      <c r="V20" s="89">
        <f>IF(TrAvia_act!V36=0,0,(TrAvia_act!V36/TrAvia_act!V26)/TrAvia_png!V14)</f>
        <v>0.52803368708566878</v>
      </c>
      <c r="W20" s="89">
        <f>IF(TrAvia_act!W36=0,0,(TrAvia_act!W36/TrAvia_act!W26)/TrAvia_png!W14)</f>
        <v>0.59509665960975122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0.77673130310986127</v>
      </c>
      <c r="C21" s="90">
        <f>IF(TrAvia_act!C37=0,0,(TrAvia_act!C37/TrAvia_act!C27)/TrAvia_png!C15)</f>
        <v>0.72556783632006294</v>
      </c>
      <c r="D21" s="90">
        <f>IF(TrAvia_act!D37=0,0,(TrAvia_act!D37/TrAvia_act!D27)/TrAvia_png!D15)</f>
        <v>0.74745007045798595</v>
      </c>
      <c r="E21" s="90">
        <f>IF(TrAvia_act!E37=0,0,(TrAvia_act!E37/TrAvia_act!E27)/TrAvia_png!E15)</f>
        <v>0.7286586696329731</v>
      </c>
      <c r="F21" s="90">
        <f>IF(TrAvia_act!F37=0,0,(TrAvia_act!F37/TrAvia_act!F27)/TrAvia_png!F15)</f>
        <v>0.77747096596398335</v>
      </c>
      <c r="G21" s="90">
        <f>IF(TrAvia_act!G37=0,0,(TrAvia_act!G37/TrAvia_act!G27)/TrAvia_png!G15)</f>
        <v>0.67500373488067544</v>
      </c>
      <c r="H21" s="90">
        <f>IF(TrAvia_act!H37=0,0,(TrAvia_act!H37/TrAvia_act!H27)/TrAvia_png!H15)</f>
        <v>0.69207144196596004</v>
      </c>
      <c r="I21" s="90">
        <f>IF(TrAvia_act!I37=0,0,(TrAvia_act!I37/TrAvia_act!I27)/TrAvia_png!I15)</f>
        <v>0.67666338157402861</v>
      </c>
      <c r="J21" s="90">
        <f>IF(TrAvia_act!J37=0,0,(TrAvia_act!J37/TrAvia_act!J27)/TrAvia_png!J15)</f>
        <v>0.69318196514807029</v>
      </c>
      <c r="K21" s="90">
        <f>IF(TrAvia_act!K37=0,0,(TrAvia_act!K37/TrAvia_act!K27)/TrAvia_png!K15)</f>
        <v>0.68747425354431013</v>
      </c>
      <c r="L21" s="90">
        <f>IF(TrAvia_act!L37=0,0,(TrAvia_act!L37/TrAvia_act!L27)/TrAvia_png!L15)</f>
        <v>0.71813896243570807</v>
      </c>
      <c r="M21" s="90">
        <f>IF(TrAvia_act!M37=0,0,(TrAvia_act!M37/TrAvia_act!M27)/TrAvia_png!M15)</f>
        <v>0.72253525227767001</v>
      </c>
      <c r="N21" s="90">
        <f>IF(TrAvia_act!N37=0,0,(TrAvia_act!N37/TrAvia_act!N27)/TrAvia_png!N15)</f>
        <v>0.72663830708479804</v>
      </c>
      <c r="O21" s="90">
        <f>IF(TrAvia_act!O37=0,0,(TrAvia_act!O37/TrAvia_act!O27)/TrAvia_png!O15)</f>
        <v>0.68882900146707582</v>
      </c>
      <c r="P21" s="90">
        <f>IF(TrAvia_act!P37=0,0,(TrAvia_act!P37/TrAvia_act!P27)/TrAvia_png!P15)</f>
        <v>0.68567161315958958</v>
      </c>
      <c r="Q21" s="90">
        <f>IF(TrAvia_act!Q37=0,0,(TrAvia_act!Q37/TrAvia_act!Q27)/TrAvia_png!Q15)</f>
        <v>0.69421549242030045</v>
      </c>
      <c r="R21" s="90">
        <f>IF(TrAvia_act!R37=0,0,(TrAvia_act!R37/TrAvia_act!R27)/TrAvia_png!R15)</f>
        <v>0.71087007648972733</v>
      </c>
      <c r="S21" s="90">
        <f>IF(TrAvia_act!S37=0,0,(TrAvia_act!S37/TrAvia_act!S27)/TrAvia_png!S15)</f>
        <v>0.7219587189251061</v>
      </c>
      <c r="T21" s="90">
        <f>IF(TrAvia_act!T37=0,0,(TrAvia_act!T37/TrAvia_act!T27)/TrAvia_png!T15)</f>
        <v>0.72204458597735388</v>
      </c>
      <c r="U21" s="90">
        <f>IF(TrAvia_act!U37=0,0,(TrAvia_act!U37/TrAvia_act!U27)/TrAvia_png!U15)</f>
        <v>0.72182331366865604</v>
      </c>
      <c r="V21" s="90">
        <f>IF(TrAvia_act!V37=0,0,(TrAvia_act!V37/TrAvia_act!V27)/TrAvia_png!V15)</f>
        <v>0.5487735046602118</v>
      </c>
      <c r="W21" s="90">
        <f>IF(TrAvia_act!W37=0,0,(TrAvia_act!W37/TrAvia_act!W27)/TrAvia_png!W15)</f>
        <v>0.57466882891578752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4.4580763809833335E-2</v>
      </c>
      <c r="C24" s="23">
        <f>IF(TrAvia_ene!C6=0,0,TrAvia_ene!C6/(C12*TrAvia_act!C14))</f>
        <v>4.5183736735340374E-2</v>
      </c>
      <c r="D24" s="23">
        <f>IF(TrAvia_ene!D6=0,0,TrAvia_ene!D6/(D12*TrAvia_act!D14))</f>
        <v>3.8890263308304675E-2</v>
      </c>
      <c r="E24" s="23">
        <f>IF(TrAvia_ene!E6=0,0,TrAvia_ene!E6/(E12*TrAvia_act!E14))</f>
        <v>4.0670040622716022E-2</v>
      </c>
      <c r="F24" s="23">
        <f>IF(TrAvia_ene!F6=0,0,TrAvia_ene!F6/(F12*TrAvia_act!F14))</f>
        <v>4.5111668156309098E-2</v>
      </c>
      <c r="G24" s="23">
        <f>IF(TrAvia_ene!G6=0,0,TrAvia_ene!G6/(G12*TrAvia_act!G14))</f>
        <v>4.2161398141891522E-2</v>
      </c>
      <c r="H24" s="23">
        <f>IF(TrAvia_ene!H6=0,0,TrAvia_ene!H6/(H12*TrAvia_act!H14))</f>
        <v>3.8833243575891491E-2</v>
      </c>
      <c r="I24" s="23">
        <f>IF(TrAvia_ene!I6=0,0,TrAvia_ene!I6/(I12*TrAvia_act!I14))</f>
        <v>3.5596190936228449E-2</v>
      </c>
      <c r="J24" s="23">
        <f>IF(TrAvia_ene!J6=0,0,TrAvia_ene!J6/(J12*TrAvia_act!J14))</f>
        <v>3.6733438269058338E-2</v>
      </c>
      <c r="K24" s="23">
        <f>IF(TrAvia_ene!K6=0,0,TrAvia_ene!K6/(K12*TrAvia_act!K14))</f>
        <v>3.8632587602696528E-2</v>
      </c>
      <c r="L24" s="23">
        <f>IF(TrAvia_ene!L6=0,0,TrAvia_ene!L6/(L12*TrAvia_act!L14))</f>
        <v>3.5399882727046965E-2</v>
      </c>
      <c r="M24" s="23">
        <f>IF(TrAvia_ene!M6=0,0,TrAvia_ene!M6/(M12*TrAvia_act!M14))</f>
        <v>3.4750426508112782E-2</v>
      </c>
      <c r="N24" s="23">
        <f>IF(TrAvia_ene!N6=0,0,TrAvia_ene!N6/(N12*TrAvia_act!N14))</f>
        <v>3.3266822765671451E-2</v>
      </c>
      <c r="O24" s="23">
        <f>IF(TrAvia_ene!O6=0,0,TrAvia_ene!O6/(O12*TrAvia_act!O14))</f>
        <v>3.3794290448903523E-2</v>
      </c>
      <c r="P24" s="23">
        <f>IF(TrAvia_ene!P6=0,0,TrAvia_ene!P6/(P12*TrAvia_act!P14))</f>
        <v>2.9915857531608383E-2</v>
      </c>
      <c r="Q24" s="23">
        <f>IF(TrAvia_ene!Q6=0,0,TrAvia_ene!Q6/(Q12*TrAvia_act!Q14))</f>
        <v>2.9913837386349833E-2</v>
      </c>
      <c r="R24" s="23">
        <f>IF(TrAvia_ene!R6=0,0,TrAvia_ene!R6/(R12*TrAvia_act!R14))</f>
        <v>3.1180979117311537E-2</v>
      </c>
      <c r="S24" s="23">
        <f>IF(TrAvia_ene!S6=0,0,TrAvia_ene!S6/(S12*TrAvia_act!S14))</f>
        <v>2.9886768416889802E-2</v>
      </c>
      <c r="T24" s="23">
        <f>IF(TrAvia_ene!T6=0,0,TrAvia_ene!T6/(T12*TrAvia_act!T14))</f>
        <v>3.0084408811621697E-2</v>
      </c>
      <c r="U24" s="23">
        <f>IF(TrAvia_ene!U6=0,0,TrAvia_ene!U6/(U12*TrAvia_act!U14))</f>
        <v>2.9297281508082768E-2</v>
      </c>
      <c r="V24" s="23">
        <f>IF(TrAvia_ene!V6=0,0,TrAvia_ene!V6/(V12*TrAvia_act!V14))</f>
        <v>3.5605714461624277E-2</v>
      </c>
      <c r="W24" s="23">
        <f>IF(TrAvia_ene!W6=0,0,TrAvia_ene!W6/(W12*TrAvia_act!W14))</f>
        <v>3.4258283206495321E-2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4.0501018798052353E-2</v>
      </c>
      <c r="C25" s="91">
        <f>IF(TrAvia_ene!C7=0,0,TrAvia_ene!C7/(C13*TrAvia_act!C15))</f>
        <v>4.1222202587047389E-2</v>
      </c>
      <c r="D25" s="91">
        <f>IF(TrAvia_ene!D7=0,0,TrAvia_ene!D7/(D13*TrAvia_act!D15))</f>
        <v>3.6891313453483676E-2</v>
      </c>
      <c r="E25" s="91">
        <f>IF(TrAvia_ene!E7=0,0,TrAvia_ene!E7/(E13*TrAvia_act!E15))</f>
        <v>3.9061728517577256E-2</v>
      </c>
      <c r="F25" s="91">
        <f>IF(TrAvia_ene!F7=0,0,TrAvia_ene!F7/(F13*TrAvia_act!F15))</f>
        <v>4.2262554929534846E-2</v>
      </c>
      <c r="G25" s="91">
        <f>IF(TrAvia_ene!G7=0,0,TrAvia_ene!G7/(G13*TrAvia_act!G15))</f>
        <v>4.3360236222467485E-2</v>
      </c>
      <c r="H25" s="91">
        <f>IF(TrAvia_ene!H7=0,0,TrAvia_ene!H7/(H13*TrAvia_act!H15))</f>
        <v>4.3305649526898082E-2</v>
      </c>
      <c r="I25" s="91">
        <f>IF(TrAvia_ene!I7=0,0,TrAvia_ene!I7/(I13*TrAvia_act!I15))</f>
        <v>4.2737578862134522E-2</v>
      </c>
      <c r="J25" s="91">
        <f>IF(TrAvia_ene!J7=0,0,TrAvia_ene!J7/(J13*TrAvia_act!J15))</f>
        <v>3.8825077377209923E-2</v>
      </c>
      <c r="K25" s="91">
        <f>IF(TrAvia_ene!K7=0,0,TrAvia_ene!K7/(K13*TrAvia_act!K15))</f>
        <v>3.8840870688203417E-2</v>
      </c>
      <c r="L25" s="91">
        <f>IF(TrAvia_ene!L7=0,0,TrAvia_ene!L7/(L13*TrAvia_act!L15))</f>
        <v>3.7057370965569887E-2</v>
      </c>
      <c r="M25" s="91">
        <f>IF(TrAvia_ene!M7=0,0,TrAvia_ene!M7/(M13*TrAvia_act!M15))</f>
        <v>3.6475166906677826E-2</v>
      </c>
      <c r="N25" s="91">
        <f>IF(TrAvia_ene!N7=0,0,TrAvia_ene!N7/(N13*TrAvia_act!N15))</f>
        <v>3.5339042483972523E-2</v>
      </c>
      <c r="O25" s="91">
        <f>IF(TrAvia_ene!O7=0,0,TrAvia_ene!O7/(O13*TrAvia_act!O15))</f>
        <v>3.3747917749300055E-2</v>
      </c>
      <c r="P25" s="91">
        <f>IF(TrAvia_ene!P7=0,0,TrAvia_ene!P7/(P13*TrAvia_act!P15))</f>
        <v>3.1675592826897275E-2</v>
      </c>
      <c r="Q25" s="91">
        <f>IF(TrAvia_ene!Q7=0,0,TrAvia_ene!Q7/(Q13*TrAvia_act!Q15))</f>
        <v>3.1050469474814005E-2</v>
      </c>
      <c r="R25" s="91">
        <f>IF(TrAvia_ene!R7=0,0,TrAvia_ene!R7/(R13*TrAvia_act!R15))</f>
        <v>3.2291345583823315E-2</v>
      </c>
      <c r="S25" s="91">
        <f>IF(TrAvia_ene!S7=0,0,TrAvia_ene!S7/(S13*TrAvia_act!S15))</f>
        <v>3.1014483418688382E-2</v>
      </c>
      <c r="T25" s="91">
        <f>IF(TrAvia_ene!T7=0,0,TrAvia_ene!T7/(T13*TrAvia_act!T15))</f>
        <v>2.9877309048572845E-2</v>
      </c>
      <c r="U25" s="91">
        <f>IF(TrAvia_ene!U7=0,0,TrAvia_ene!U7/(U13*TrAvia_act!U15))</f>
        <v>2.9269698753814029E-2</v>
      </c>
      <c r="V25" s="91">
        <f>IF(TrAvia_ene!V7=0,0,TrAvia_ene!V7/(V13*TrAvia_act!V15))</f>
        <v>3.0661779143068432E-2</v>
      </c>
      <c r="W25" s="91">
        <f>IF(TrAvia_ene!W7=0,0,TrAvia_ene!W7/(W13*TrAvia_act!W15))</f>
        <v>3.5758115632067836E-2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4.144401513912891E-2</v>
      </c>
      <c r="C26" s="93">
        <f>IF(TrAvia_ene!C8=0,0,TrAvia_ene!C8/(C14*TrAvia_act!C16))</f>
        <v>4.185303452403908E-2</v>
      </c>
      <c r="D26" s="93">
        <f>IF(TrAvia_ene!D8=0,0,TrAvia_ene!D8/(D14*TrAvia_act!D16))</f>
        <v>3.5653933516866604E-2</v>
      </c>
      <c r="E26" s="93">
        <f>IF(TrAvia_ene!E8=0,0,TrAvia_ene!E8/(E14*TrAvia_act!E16))</f>
        <v>3.7895793182925651E-2</v>
      </c>
      <c r="F26" s="93">
        <f>IF(TrAvia_ene!F8=0,0,TrAvia_ene!F8/(F14*TrAvia_act!F16))</f>
        <v>4.2114397886762828E-2</v>
      </c>
      <c r="G26" s="93">
        <f>IF(TrAvia_ene!G8=0,0,TrAvia_ene!G8/(G14*TrAvia_act!G16))</f>
        <v>3.9980451442805515E-2</v>
      </c>
      <c r="H26" s="93">
        <f>IF(TrAvia_ene!H8=0,0,TrAvia_ene!H8/(H14*TrAvia_act!H16))</f>
        <v>3.4326190502749494E-2</v>
      </c>
      <c r="I26" s="93">
        <f>IF(TrAvia_ene!I8=0,0,TrAvia_ene!I8/(I14*TrAvia_act!I16))</f>
        <v>3.1788873632507944E-2</v>
      </c>
      <c r="J26" s="93">
        <f>IF(TrAvia_ene!J8=0,0,TrAvia_ene!J8/(J14*TrAvia_act!J16))</f>
        <v>3.4751905192255003E-2</v>
      </c>
      <c r="K26" s="93">
        <f>IF(TrAvia_ene!K8=0,0,TrAvia_ene!K8/(K14*TrAvia_act!K16))</f>
        <v>3.6845803521816059E-2</v>
      </c>
      <c r="L26" s="93">
        <f>IF(TrAvia_ene!L8=0,0,TrAvia_ene!L8/(L14*TrAvia_act!L16))</f>
        <v>3.3415316430602138E-2</v>
      </c>
      <c r="M26" s="93">
        <f>IF(TrAvia_ene!M8=0,0,TrAvia_ene!M8/(M14*TrAvia_act!M16))</f>
        <v>3.2708978109050123E-2</v>
      </c>
      <c r="N26" s="93">
        <f>IF(TrAvia_ene!N8=0,0,TrAvia_ene!N8/(N14*TrAvia_act!N16))</f>
        <v>3.1197209356193981E-2</v>
      </c>
      <c r="O26" s="93">
        <f>IF(TrAvia_ene!O8=0,0,TrAvia_ene!O8/(O14*TrAvia_act!O16))</f>
        <v>3.2799829097293218E-2</v>
      </c>
      <c r="P26" s="93">
        <f>IF(TrAvia_ene!P8=0,0,TrAvia_ene!P8/(P14*TrAvia_act!P16))</f>
        <v>2.9908049560342202E-2</v>
      </c>
      <c r="Q26" s="93">
        <f>IF(TrAvia_ene!Q8=0,0,TrAvia_ene!Q8/(Q14*TrAvia_act!Q16))</f>
        <v>3.0287491417015599E-2</v>
      </c>
      <c r="R26" s="93">
        <f>IF(TrAvia_ene!R8=0,0,TrAvia_ene!R8/(R14*TrAvia_act!R16))</f>
        <v>3.1093883837162183E-2</v>
      </c>
      <c r="S26" s="93">
        <f>IF(TrAvia_ene!S8=0,0,TrAvia_ene!S8/(S14*TrAvia_act!S16))</f>
        <v>3.009877033338788E-2</v>
      </c>
      <c r="T26" s="93">
        <f>IF(TrAvia_ene!T8=0,0,TrAvia_ene!T8/(T14*TrAvia_act!T16))</f>
        <v>3.1202950915752869E-2</v>
      </c>
      <c r="U26" s="93">
        <f>IF(TrAvia_ene!U8=0,0,TrAvia_ene!U8/(U14*TrAvia_act!U16))</f>
        <v>3.0057434321617761E-2</v>
      </c>
      <c r="V26" s="93">
        <f>IF(TrAvia_ene!V8=0,0,TrAvia_ene!V8/(V14*TrAvia_act!V16))</f>
        <v>3.6524499283600784E-2</v>
      </c>
      <c r="W26" s="93">
        <f>IF(TrAvia_ene!W8=0,0,TrAvia_ene!W8/(W14*TrAvia_act!W16))</f>
        <v>3.167543415917666E-2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4.6393817581453965E-2</v>
      </c>
      <c r="C27" s="94">
        <f>IF(TrAvia_ene!C9=0,0,TrAvia_ene!C9/(C15*TrAvia_act!C17))</f>
        <v>4.6745743233827679E-2</v>
      </c>
      <c r="D27" s="94">
        <f>IF(TrAvia_ene!D9=0,0,TrAvia_ene!D9/(D15*TrAvia_act!D17))</f>
        <v>4.1744765005658317E-2</v>
      </c>
      <c r="E27" s="94">
        <f>IF(TrAvia_ene!E9=0,0,TrAvia_ene!E9/(E15*TrAvia_act!E17))</f>
        <v>3.7909844709282631E-2</v>
      </c>
      <c r="F27" s="94">
        <f>IF(TrAvia_ene!F9=0,0,TrAvia_ene!F9/(F15*TrAvia_act!F17))</f>
        <v>4.0985644231138423E-2</v>
      </c>
      <c r="G27" s="94">
        <f>IF(TrAvia_ene!G9=0,0,TrAvia_ene!G9/(G15*TrAvia_act!G17))</f>
        <v>2.7932508098667357E-2</v>
      </c>
      <c r="H27" s="94">
        <f>IF(TrAvia_ene!H9=0,0,TrAvia_ene!H9/(H15*TrAvia_act!H17))</f>
        <v>2.655299877907983E-2</v>
      </c>
      <c r="I27" s="94">
        <f>IF(TrAvia_ene!I9=0,0,TrAvia_ene!I9/(I15*TrAvia_act!I17))</f>
        <v>2.1098290823317222E-2</v>
      </c>
      <c r="J27" s="94">
        <f>IF(TrAvia_ene!J9=0,0,TrAvia_ene!J9/(J15*TrAvia_act!J17))</f>
        <v>2.2654364157150362E-2</v>
      </c>
      <c r="K27" s="94">
        <f>IF(TrAvia_ene!K9=0,0,TrAvia_ene!K9/(K15*TrAvia_act!K17))</f>
        <v>2.3092338304694274E-2</v>
      </c>
      <c r="L27" s="94">
        <f>IF(TrAvia_ene!L9=0,0,TrAvia_ene!L9/(L15*TrAvia_act!L17))</f>
        <v>2.1964109382780723E-2</v>
      </c>
      <c r="M27" s="94">
        <f>IF(TrAvia_ene!M9=0,0,TrAvia_ene!M9/(M15*TrAvia_act!M17))</f>
        <v>2.2657371167552089E-2</v>
      </c>
      <c r="N27" s="94">
        <f>IF(TrAvia_ene!N9=0,0,TrAvia_ene!N9/(N15*TrAvia_act!N17))</f>
        <v>2.2182107451816837E-2</v>
      </c>
      <c r="O27" s="94">
        <f>IF(TrAvia_ene!O9=0,0,TrAvia_ene!O9/(O15*TrAvia_act!O17))</f>
        <v>2.1751063052918979E-2</v>
      </c>
      <c r="P27" s="94">
        <f>IF(TrAvia_ene!P9=0,0,TrAvia_ene!P9/(P15*TrAvia_act!P17))</f>
        <v>1.7562362013532527E-2</v>
      </c>
      <c r="Q27" s="94">
        <f>IF(TrAvia_ene!Q9=0,0,TrAvia_ene!Q9/(Q15*TrAvia_act!Q17))</f>
        <v>1.7581049952149874E-2</v>
      </c>
      <c r="R27" s="94">
        <f>IF(TrAvia_ene!R9=0,0,TrAvia_ene!R9/(R15*TrAvia_act!R17))</f>
        <v>1.9005136294916229E-2</v>
      </c>
      <c r="S27" s="94">
        <f>IF(TrAvia_ene!S9=0,0,TrAvia_ene!S9/(S15*TrAvia_act!S17))</f>
        <v>1.8006430845163918E-2</v>
      </c>
      <c r="T27" s="94">
        <f>IF(TrAvia_ene!T9=0,0,TrAvia_ene!T9/(T15*TrAvia_act!T17))</f>
        <v>1.7527322524106485E-2</v>
      </c>
      <c r="U27" s="94">
        <f>IF(TrAvia_ene!U9=0,0,TrAvia_ene!U9/(U15*TrAvia_act!U17))</f>
        <v>1.7855522122622279E-2</v>
      </c>
      <c r="V27" s="94">
        <f>IF(TrAvia_ene!V9=0,0,TrAvia_ene!V9/(V15*TrAvia_act!V17))</f>
        <v>2.3219319551152508E-2</v>
      </c>
      <c r="W27" s="94">
        <f>IF(TrAvia_ene!W9=0,0,TrAvia_ene!W9/(W15*TrAvia_act!W17))</f>
        <v>2.4288343805825827E-2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2075.9059999999999</v>
      </c>
      <c r="C3" s="54">
        <f t="shared" si="0"/>
        <v>2036.365</v>
      </c>
      <c r="D3" s="54">
        <f t="shared" si="0"/>
        <v>1956.1279999999999</v>
      </c>
      <c r="E3" s="54">
        <f t="shared" si="0"/>
        <v>1997.61</v>
      </c>
      <c r="F3" s="54">
        <f t="shared" si="0"/>
        <v>1933.3589999999999</v>
      </c>
      <c r="G3" s="54">
        <f t="shared" si="0"/>
        <v>2238.433</v>
      </c>
      <c r="H3" s="54">
        <f t="shared" si="0"/>
        <v>3361.8429999999998</v>
      </c>
      <c r="I3" s="54">
        <f t="shared" si="0"/>
        <v>2127.4699999999998</v>
      </c>
      <c r="J3" s="54">
        <f t="shared" si="0"/>
        <v>2232.3620000000001</v>
      </c>
      <c r="K3" s="54">
        <f t="shared" si="0"/>
        <v>2173.7730000000001</v>
      </c>
      <c r="L3" s="54">
        <f t="shared" si="0"/>
        <v>3237.5949999999998</v>
      </c>
      <c r="M3" s="54">
        <f t="shared" si="0"/>
        <v>3178.3670000000002</v>
      </c>
      <c r="N3" s="54">
        <f t="shared" si="0"/>
        <v>2963.6149999999998</v>
      </c>
      <c r="O3" s="54">
        <f t="shared" si="0"/>
        <v>3292.2069999999999</v>
      </c>
      <c r="P3" s="54">
        <f t="shared" si="0"/>
        <v>3164.7820000000002</v>
      </c>
      <c r="Q3" s="54">
        <f t="shared" si="0"/>
        <v>3094.471</v>
      </c>
      <c r="R3" s="54">
        <f t="shared" ref="R3:V3" si="1">SUM(R4:R5)</f>
        <v>3140.5030000000002</v>
      </c>
      <c r="S3" s="54">
        <f t="shared" si="1"/>
        <v>3542.739</v>
      </c>
      <c r="T3" s="54">
        <f t="shared" si="1"/>
        <v>3763.0329999999999</v>
      </c>
      <c r="U3" s="54">
        <f t="shared" si="1"/>
        <v>3564.067</v>
      </c>
      <c r="V3" s="54">
        <f t="shared" si="1"/>
        <v>3632.2739999999999</v>
      </c>
      <c r="W3" s="54">
        <f t="shared" ref="W3" si="2">SUM(W4:W5)</f>
        <v>4328.5810000000001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2075.9059999999999</v>
      </c>
      <c r="C4" s="56">
        <v>2036.365</v>
      </c>
      <c r="D4" s="56">
        <v>1956.1279999999999</v>
      </c>
      <c r="E4" s="56">
        <v>1997.61</v>
      </c>
      <c r="F4" s="56">
        <v>1933.3589999999999</v>
      </c>
      <c r="G4" s="56">
        <v>2238.433</v>
      </c>
      <c r="H4" s="56">
        <v>3361.8429999999998</v>
      </c>
      <c r="I4" s="56">
        <v>2127.4699999999998</v>
      </c>
      <c r="J4" s="56">
        <v>2232.3620000000001</v>
      </c>
      <c r="K4" s="56">
        <v>2173.7730000000001</v>
      </c>
      <c r="L4" s="56">
        <v>3237.5949999999998</v>
      </c>
      <c r="M4" s="56">
        <v>3178.3670000000002</v>
      </c>
      <c r="N4" s="56">
        <v>2963.6149999999998</v>
      </c>
      <c r="O4" s="56">
        <v>3292.2069999999999</v>
      </c>
      <c r="P4" s="56">
        <v>3164.7820000000002</v>
      </c>
      <c r="Q4" s="56">
        <v>3094.471</v>
      </c>
      <c r="R4" s="56">
        <v>3124.5030000000002</v>
      </c>
      <c r="S4" s="56">
        <v>3537.739</v>
      </c>
      <c r="T4" s="56">
        <v>3720.0329999999999</v>
      </c>
      <c r="U4" s="56">
        <v>3515.067</v>
      </c>
      <c r="V4" s="56">
        <v>3553.2739999999999</v>
      </c>
      <c r="W4" s="56">
        <v>4186.5810000000001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16</v>
      </c>
      <c r="S5" s="58">
        <v>5</v>
      </c>
      <c r="T5" s="58">
        <v>43</v>
      </c>
      <c r="U5" s="58">
        <v>49</v>
      </c>
      <c r="V5" s="58">
        <v>79</v>
      </c>
      <c r="W5" s="58">
        <v>142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1.0209999999999999</v>
      </c>
      <c r="C7" s="59">
        <f t="shared" si="3"/>
        <v>1.0049999999999999</v>
      </c>
      <c r="D7" s="59">
        <f t="shared" si="3"/>
        <v>0.91300000000000003</v>
      </c>
      <c r="E7" s="59">
        <f t="shared" si="3"/>
        <v>0.93700000000000006</v>
      </c>
      <c r="F7" s="59">
        <f t="shared" si="3"/>
        <v>0.92800000000000005</v>
      </c>
      <c r="G7" s="59">
        <f t="shared" si="3"/>
        <v>1.0580000000000001</v>
      </c>
      <c r="H7" s="59">
        <f t="shared" si="3"/>
        <v>1.5069999999999999</v>
      </c>
      <c r="I7" s="59">
        <f t="shared" si="3"/>
        <v>1.1279999999999999</v>
      </c>
      <c r="J7" s="59">
        <f t="shared" si="3"/>
        <v>1.095</v>
      </c>
      <c r="K7" s="59">
        <f t="shared" si="3"/>
        <v>1.0209999999999999</v>
      </c>
      <c r="L7" s="59">
        <f t="shared" si="3"/>
        <v>1.5109999999999999</v>
      </c>
      <c r="M7" s="59">
        <f t="shared" si="3"/>
        <v>1.5580000000000001</v>
      </c>
      <c r="N7" s="59">
        <f t="shared" si="3"/>
        <v>1.391</v>
      </c>
      <c r="O7" s="59">
        <f t="shared" si="3"/>
        <v>1.6619999999999999</v>
      </c>
      <c r="P7" s="59">
        <f t="shared" si="3"/>
        <v>1.5449999999999999</v>
      </c>
      <c r="Q7" s="59">
        <f t="shared" si="3"/>
        <v>1.417</v>
      </c>
      <c r="R7" s="59">
        <f t="shared" ref="R7:V7" si="4">SUM(R8:R9)</f>
        <v>1.351</v>
      </c>
      <c r="S7" s="59">
        <f t="shared" si="4"/>
        <v>1.5329999999999999</v>
      </c>
      <c r="T7" s="59">
        <f t="shared" si="4"/>
        <v>1.7370000000000001</v>
      </c>
      <c r="U7" s="59">
        <f t="shared" si="4"/>
        <v>1.659</v>
      </c>
      <c r="V7" s="59">
        <f t="shared" si="4"/>
        <v>1.5209999999999999</v>
      </c>
      <c r="W7" s="59">
        <f t="shared" ref="W7" si="5">SUM(W8:W9)</f>
        <v>1.853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1.0209999999999999</v>
      </c>
      <c r="C8" s="60">
        <v>1.0049999999999999</v>
      </c>
      <c r="D8" s="60">
        <v>0.91300000000000003</v>
      </c>
      <c r="E8" s="60">
        <v>0.93700000000000006</v>
      </c>
      <c r="F8" s="60">
        <v>0.92800000000000005</v>
      </c>
      <c r="G8" s="60">
        <v>1.0580000000000001</v>
      </c>
      <c r="H8" s="60">
        <v>1.5069999999999999</v>
      </c>
      <c r="I8" s="60">
        <v>1.1279999999999999</v>
      </c>
      <c r="J8" s="60">
        <v>1.095</v>
      </c>
      <c r="K8" s="60">
        <v>1.0209999999999999</v>
      </c>
      <c r="L8" s="60">
        <v>1.5109999999999999</v>
      </c>
      <c r="M8" s="60">
        <v>1.5580000000000001</v>
      </c>
      <c r="N8" s="60">
        <v>1.391</v>
      </c>
      <c r="O8" s="60">
        <v>1.6619999999999999</v>
      </c>
      <c r="P8" s="60">
        <v>1.5449999999999999</v>
      </c>
      <c r="Q8" s="60">
        <v>1.417</v>
      </c>
      <c r="R8" s="60">
        <v>1.329</v>
      </c>
      <c r="S8" s="60">
        <v>1.526</v>
      </c>
      <c r="T8" s="60">
        <v>1.675</v>
      </c>
      <c r="U8" s="60">
        <v>1.5920000000000001</v>
      </c>
      <c r="V8" s="60">
        <v>1.43</v>
      </c>
      <c r="W8" s="60">
        <v>1.6839999999999999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2.1999999999999999E-2</v>
      </c>
      <c r="S9" s="61">
        <v>7.0000000000000001E-3</v>
      </c>
      <c r="T9" s="61">
        <v>6.2E-2</v>
      </c>
      <c r="U9" s="61">
        <v>6.7000000000000004E-2</v>
      </c>
      <c r="V9" s="61">
        <v>9.0999999999999998E-2</v>
      </c>
      <c r="W9" s="61">
        <v>0.16900000000000001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2033.2086190009795</v>
      </c>
      <c r="C13" s="62">
        <f t="shared" si="6"/>
        <v>2026.2338308457713</v>
      </c>
      <c r="D13" s="62">
        <f t="shared" si="6"/>
        <v>2142.5279299014237</v>
      </c>
      <c r="E13" s="62">
        <f t="shared" si="6"/>
        <v>2131.9210245464246</v>
      </c>
      <c r="F13" s="62">
        <f t="shared" ref="F13:V13" si="7">IF(F3=0,0,F3/F7)</f>
        <v>2083.3609913793102</v>
      </c>
      <c r="G13" s="62">
        <f t="shared" si="7"/>
        <v>2115.7211720226842</v>
      </c>
      <c r="H13" s="62">
        <f t="shared" si="7"/>
        <v>2230.818181818182</v>
      </c>
      <c r="I13" s="62">
        <f t="shared" si="7"/>
        <v>1886.0549645390072</v>
      </c>
      <c r="J13" s="62">
        <f t="shared" si="7"/>
        <v>2038.6867579908676</v>
      </c>
      <c r="K13" s="62">
        <f t="shared" si="7"/>
        <v>2129.0626836434872</v>
      </c>
      <c r="L13" s="62">
        <f t="shared" si="7"/>
        <v>2142.683653209795</v>
      </c>
      <c r="M13" s="62">
        <f t="shared" si="7"/>
        <v>2040.0301668806162</v>
      </c>
      <c r="N13" s="62">
        <f t="shared" si="7"/>
        <v>2130.5643421998561</v>
      </c>
      <c r="O13" s="62">
        <f t="shared" si="7"/>
        <v>1980.8706377858002</v>
      </c>
      <c r="P13" s="62">
        <f t="shared" si="7"/>
        <v>2048.4025889967638</v>
      </c>
      <c r="Q13" s="62">
        <f t="shared" si="7"/>
        <v>2183.8186309103739</v>
      </c>
      <c r="R13" s="62">
        <f t="shared" si="7"/>
        <v>2324.5766099185789</v>
      </c>
      <c r="S13" s="62">
        <f t="shared" si="7"/>
        <v>2310.9843444227008</v>
      </c>
      <c r="T13" s="62">
        <f t="shared" si="7"/>
        <v>2166.3978123200918</v>
      </c>
      <c r="U13" s="62">
        <f t="shared" si="7"/>
        <v>2148.3224834237494</v>
      </c>
      <c r="V13" s="62">
        <f t="shared" si="7"/>
        <v>2388.0828402366865</v>
      </c>
      <c r="W13" s="62">
        <f t="shared" ref="W13" si="8">IF(W3=0,0,W3/W7)</f>
        <v>2335.985429033999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2033.2086190009795</v>
      </c>
      <c r="C14" s="63">
        <f t="shared" si="6"/>
        <v>2026.2338308457713</v>
      </c>
      <c r="D14" s="63">
        <f t="shared" si="6"/>
        <v>2142.5279299014237</v>
      </c>
      <c r="E14" s="63">
        <f t="shared" si="6"/>
        <v>2131.9210245464246</v>
      </c>
      <c r="F14" s="63">
        <f t="shared" ref="F14:V14" si="9">IF(F4=0,0,F4/F8)</f>
        <v>2083.3609913793102</v>
      </c>
      <c r="G14" s="63">
        <f t="shared" si="9"/>
        <v>2115.7211720226842</v>
      </c>
      <c r="H14" s="63">
        <f t="shared" si="9"/>
        <v>2230.818181818182</v>
      </c>
      <c r="I14" s="63">
        <f t="shared" si="9"/>
        <v>1886.0549645390072</v>
      </c>
      <c r="J14" s="63">
        <f t="shared" si="9"/>
        <v>2038.6867579908676</v>
      </c>
      <c r="K14" s="63">
        <f t="shared" si="9"/>
        <v>2129.0626836434872</v>
      </c>
      <c r="L14" s="63">
        <f t="shared" si="9"/>
        <v>2142.683653209795</v>
      </c>
      <c r="M14" s="63">
        <f t="shared" si="9"/>
        <v>2040.0301668806162</v>
      </c>
      <c r="N14" s="63">
        <f t="shared" si="9"/>
        <v>2130.5643421998561</v>
      </c>
      <c r="O14" s="63">
        <f t="shared" si="9"/>
        <v>1980.8706377858002</v>
      </c>
      <c r="P14" s="63">
        <f t="shared" si="9"/>
        <v>2048.4025889967638</v>
      </c>
      <c r="Q14" s="63">
        <f t="shared" si="9"/>
        <v>2183.8186309103739</v>
      </c>
      <c r="R14" s="63">
        <f t="shared" si="9"/>
        <v>2351.018058690745</v>
      </c>
      <c r="S14" s="63">
        <f t="shared" si="9"/>
        <v>2318.3086500655309</v>
      </c>
      <c r="T14" s="63">
        <f t="shared" si="9"/>
        <v>2220.9152238805968</v>
      </c>
      <c r="U14" s="63">
        <f t="shared" si="9"/>
        <v>2207.9566582914572</v>
      </c>
      <c r="V14" s="63">
        <f t="shared" si="9"/>
        <v>2484.8069930069933</v>
      </c>
      <c r="W14" s="63">
        <f t="shared" ref="W14" si="10">IF(W4=0,0,W4/W8)</f>
        <v>2486.0932304038006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727.27272727272737</v>
      </c>
      <c r="S15" s="64">
        <f t="shared" si="11"/>
        <v>714.28571428571422</v>
      </c>
      <c r="T15" s="64">
        <f t="shared" si="11"/>
        <v>693.54838709677415</v>
      </c>
      <c r="U15" s="64">
        <f t="shared" si="11"/>
        <v>731.3432835820895</v>
      </c>
      <c r="V15" s="64">
        <f t="shared" si="11"/>
        <v>868.13186813186815</v>
      </c>
      <c r="W15" s="64">
        <f t="shared" ref="W15" si="12">IF(W5=0,0,W5/W9)</f>
        <v>840.23668639053244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0.99490527472828394</v>
      </c>
      <c r="S18" s="66">
        <f t="shared" si="17"/>
        <v>0.99858866261387025</v>
      </c>
      <c r="T18" s="66">
        <f t="shared" si="17"/>
        <v>0.98857304732645179</v>
      </c>
      <c r="U18" s="66">
        <f t="shared" si="17"/>
        <v>0.98625166137449161</v>
      </c>
      <c r="V18" s="66">
        <f t="shared" si="17"/>
        <v>0.97825053946921403</v>
      </c>
      <c r="W18" s="66">
        <f t="shared" ref="W18" si="18">IF(W4=0,0,W4/W$3)</f>
        <v>0.96719479201151604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5.0947252717160278E-3</v>
      </c>
      <c r="S19" s="67">
        <f t="shared" si="20"/>
        <v>1.4113373861297713E-3</v>
      </c>
      <c r="T19" s="67">
        <f t="shared" si="20"/>
        <v>1.1426952673548173E-2</v>
      </c>
      <c r="U19" s="67">
        <f t="shared" si="20"/>
        <v>1.3748338625508442E-2</v>
      </c>
      <c r="V19" s="67">
        <f t="shared" si="20"/>
        <v>2.1749460530785948E-2</v>
      </c>
      <c r="W19" s="67">
        <f t="shared" ref="W19" si="21">IF(W5=0,0,W5/W$3)</f>
        <v>3.2805207988483985E-2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0.98371576609918576</v>
      </c>
      <c r="S22" s="66">
        <f t="shared" si="26"/>
        <v>0.99543378995433796</v>
      </c>
      <c r="T22" s="66">
        <f t="shared" si="26"/>
        <v>0.96430627518710421</v>
      </c>
      <c r="U22" s="66">
        <f t="shared" si="26"/>
        <v>0.95961422543701025</v>
      </c>
      <c r="V22" s="66">
        <f t="shared" si="26"/>
        <v>0.94017094017094016</v>
      </c>
      <c r="W22" s="66">
        <f t="shared" ref="W22" si="27">IF(W8=0,0,W8/W$7)</f>
        <v>0.90879654614139227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1.628423390081421E-2</v>
      </c>
      <c r="S23" s="67">
        <f t="shared" si="29"/>
        <v>4.5662100456621011E-3</v>
      </c>
      <c r="T23" s="67">
        <f t="shared" si="29"/>
        <v>3.5693724812895795E-2</v>
      </c>
      <c r="U23" s="67">
        <f t="shared" si="29"/>
        <v>4.0385774562989751E-2</v>
      </c>
      <c r="V23" s="67">
        <f t="shared" si="29"/>
        <v>5.9829059829059832E-2</v>
      </c>
      <c r="W23" s="67">
        <f t="shared" ref="W23" si="30">IF(W9=0,0,W9/W$7)</f>
        <v>9.1203453858607675E-2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156.76895958727425</v>
      </c>
      <c r="C3" s="62">
        <f t="shared" ref="C3:V3" si="0">SUM(C4,C10)</f>
        <v>156.52055030094584</v>
      </c>
      <c r="D3" s="62">
        <f t="shared" si="0"/>
        <v>148.24213241616508</v>
      </c>
      <c r="E3" s="62">
        <f t="shared" si="0"/>
        <v>174.48168529664662</v>
      </c>
      <c r="F3" s="62">
        <f t="shared" si="0"/>
        <v>148.74368013757521</v>
      </c>
      <c r="G3" s="62">
        <f t="shared" si="0"/>
        <v>138.06130696474634</v>
      </c>
      <c r="H3" s="62">
        <f t="shared" si="0"/>
        <v>138.99079965606188</v>
      </c>
      <c r="I3" s="62">
        <f t="shared" si="0"/>
        <v>135.94858125537405</v>
      </c>
      <c r="J3" s="62">
        <f t="shared" si="0"/>
        <v>134.15236457437661</v>
      </c>
      <c r="K3" s="62">
        <f t="shared" si="0"/>
        <v>136.81427343078246</v>
      </c>
      <c r="L3" s="62">
        <f t="shared" si="0"/>
        <v>148.17661220980222</v>
      </c>
      <c r="M3" s="62">
        <f t="shared" si="0"/>
        <v>151.4312983662941</v>
      </c>
      <c r="N3" s="62">
        <f t="shared" si="0"/>
        <v>139.38125537403266</v>
      </c>
      <c r="O3" s="62">
        <f t="shared" si="0"/>
        <v>146.2905417024935</v>
      </c>
      <c r="P3" s="62">
        <f t="shared" si="0"/>
        <v>141.7225279449699</v>
      </c>
      <c r="Q3" s="62">
        <f t="shared" si="0"/>
        <v>138.92467755803955</v>
      </c>
      <c r="R3" s="62">
        <f t="shared" si="0"/>
        <v>146.55726569217541</v>
      </c>
      <c r="S3" s="62">
        <f t="shared" si="0"/>
        <v>144.84634565778157</v>
      </c>
      <c r="T3" s="62">
        <f t="shared" si="0"/>
        <v>146.02648323301801</v>
      </c>
      <c r="U3" s="62">
        <f t="shared" si="0"/>
        <v>144.90937231298369</v>
      </c>
      <c r="V3" s="62">
        <f t="shared" si="0"/>
        <v>116.09019776440238</v>
      </c>
      <c r="W3" s="62">
        <f t="shared" ref="W3" si="1">SUM(W4,W10)</f>
        <v>109.96440240756667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156.76895958727425</v>
      </c>
      <c r="C4" s="71">
        <f t="shared" ref="C4:V4" si="2">SUM(C5:C9)</f>
        <v>156.52055030094584</v>
      </c>
      <c r="D4" s="71">
        <f t="shared" si="2"/>
        <v>148.24213241616508</v>
      </c>
      <c r="E4" s="71">
        <f t="shared" si="2"/>
        <v>174.48168529664662</v>
      </c>
      <c r="F4" s="71">
        <f t="shared" si="2"/>
        <v>148.74368013757521</v>
      </c>
      <c r="G4" s="71">
        <f t="shared" si="2"/>
        <v>138.06130696474634</v>
      </c>
      <c r="H4" s="71">
        <f t="shared" si="2"/>
        <v>138.99079965606188</v>
      </c>
      <c r="I4" s="71">
        <f t="shared" si="2"/>
        <v>135.94858125537405</v>
      </c>
      <c r="J4" s="71">
        <f t="shared" si="2"/>
        <v>134.15236457437661</v>
      </c>
      <c r="K4" s="71">
        <f t="shared" si="2"/>
        <v>136.81427343078246</v>
      </c>
      <c r="L4" s="71">
        <f t="shared" si="2"/>
        <v>148.17661220980222</v>
      </c>
      <c r="M4" s="71">
        <f t="shared" si="2"/>
        <v>151.4312983662941</v>
      </c>
      <c r="N4" s="71">
        <f t="shared" si="2"/>
        <v>139.38125537403266</v>
      </c>
      <c r="O4" s="71">
        <f t="shared" si="2"/>
        <v>146.2905417024935</v>
      </c>
      <c r="P4" s="71">
        <f t="shared" si="2"/>
        <v>141.7225279449699</v>
      </c>
      <c r="Q4" s="71">
        <f t="shared" si="2"/>
        <v>138.92467755803955</v>
      </c>
      <c r="R4" s="71">
        <f t="shared" si="2"/>
        <v>146.32507159856439</v>
      </c>
      <c r="S4" s="71">
        <f t="shared" si="2"/>
        <v>144.78708161835399</v>
      </c>
      <c r="T4" s="71">
        <f t="shared" si="2"/>
        <v>145.53253717455681</v>
      </c>
      <c r="U4" s="71">
        <f t="shared" si="2"/>
        <v>144.33649229479201</v>
      </c>
      <c r="V4" s="71">
        <f t="shared" si="2"/>
        <v>115.34625163425702</v>
      </c>
      <c r="W4" s="71">
        <f t="shared" ref="W4" si="3">SUM(W5:W9)</f>
        <v>108.87723996154207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119.13637145313839</v>
      </c>
      <c r="C5" s="73">
        <v>115.0282029234738</v>
      </c>
      <c r="D5" s="73">
        <v>105.78486672398969</v>
      </c>
      <c r="E5" s="73">
        <v>108.86595012897681</v>
      </c>
      <c r="F5" s="73">
        <v>82.16302665520206</v>
      </c>
      <c r="G5" s="73">
        <v>40.869905417024931</v>
      </c>
      <c r="H5" s="73">
        <v>42.438177128116934</v>
      </c>
      <c r="I5" s="73">
        <v>41.467669819432501</v>
      </c>
      <c r="J5" s="73">
        <v>41.301289767841787</v>
      </c>
      <c r="K5" s="73">
        <v>40.944883920894242</v>
      </c>
      <c r="L5" s="73">
        <v>47.49019776440241</v>
      </c>
      <c r="M5" s="73">
        <v>47.584694754944103</v>
      </c>
      <c r="N5" s="73">
        <v>42.99079965606191</v>
      </c>
      <c r="O5" s="73">
        <v>44.464574376612212</v>
      </c>
      <c r="P5" s="73">
        <v>44.512811693895102</v>
      </c>
      <c r="Q5" s="73">
        <v>85.789423903697326</v>
      </c>
      <c r="R5" s="73">
        <v>89.857754294468293</v>
      </c>
      <c r="S5" s="73">
        <v>86.533196006197144</v>
      </c>
      <c r="T5" s="73">
        <v>49.032805889400464</v>
      </c>
      <c r="U5" s="73">
        <v>60.030009078088128</v>
      </c>
      <c r="V5" s="73">
        <v>43.631488645437955</v>
      </c>
      <c r="W5" s="73">
        <v>50.073521977862129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37.632588134135858</v>
      </c>
      <c r="C6" s="73">
        <v>41.492347377472043</v>
      </c>
      <c r="D6" s="73">
        <v>42.457265692175383</v>
      </c>
      <c r="E6" s="73">
        <v>65.615735167669811</v>
      </c>
      <c r="F6" s="73">
        <v>66.580653482373151</v>
      </c>
      <c r="G6" s="73">
        <v>97.191401547721398</v>
      </c>
      <c r="H6" s="73">
        <v>96.552622527944948</v>
      </c>
      <c r="I6" s="73">
        <v>94.48091143594155</v>
      </c>
      <c r="J6" s="73">
        <v>92.851074806534825</v>
      </c>
      <c r="K6" s="73">
        <v>95.869389509888222</v>
      </c>
      <c r="L6" s="73">
        <v>100.68641444539981</v>
      </c>
      <c r="M6" s="73">
        <v>103.84660361134999</v>
      </c>
      <c r="N6" s="73">
        <v>96.390455717970752</v>
      </c>
      <c r="O6" s="73">
        <v>101.82596732588129</v>
      </c>
      <c r="P6" s="73">
        <v>97.209716251074795</v>
      </c>
      <c r="Q6" s="73">
        <v>53.135253654342222</v>
      </c>
      <c r="R6" s="73">
        <v>56.467317304096092</v>
      </c>
      <c r="S6" s="73">
        <v>58.253885612156857</v>
      </c>
      <c r="T6" s="73">
        <v>96.499731285156344</v>
      </c>
      <c r="U6" s="73">
        <v>80.304910834469794</v>
      </c>
      <c r="V6" s="73">
        <v>64.729207081845232</v>
      </c>
      <c r="W6" s="73">
        <v>51.842615584642452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4.0015723822340803</v>
      </c>
      <c r="V7" s="73">
        <v>6.9855559069738229</v>
      </c>
      <c r="W7" s="73">
        <v>6.9611023990374807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0.23219409361101828</v>
      </c>
      <c r="S10" s="71">
        <f t="shared" si="4"/>
        <v>5.9264039427586956E-2</v>
      </c>
      <c r="T10" s="71">
        <f t="shared" si="4"/>
        <v>0.49394605846121808</v>
      </c>
      <c r="U10" s="71">
        <f t="shared" si="4"/>
        <v>0.57288001819167322</v>
      </c>
      <c r="V10" s="71">
        <f t="shared" si="4"/>
        <v>0.74394613014536271</v>
      </c>
      <c r="W10" s="71">
        <f t="shared" ref="W10" si="5">SUM(W11:W15)</f>
        <v>1.0871624460245908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0.14258964362283869</v>
      </c>
      <c r="S11" s="73">
        <v>3.5419642985996105E-2</v>
      </c>
      <c r="T11" s="73">
        <v>0.16642024989445195</v>
      </c>
      <c r="U11" s="73">
        <v>0.23826263300388037</v>
      </c>
      <c r="V11" s="73">
        <v>0.28140903297992098</v>
      </c>
      <c r="W11" s="73">
        <v>0.49999478911981482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8.9604449988179596E-2</v>
      </c>
      <c r="S12" s="73">
        <v>2.3844396441590855E-2</v>
      </c>
      <c r="T12" s="73">
        <v>0.32752580856676616</v>
      </c>
      <c r="U12" s="73">
        <v>0.31873490929633547</v>
      </c>
      <c r="V12" s="73">
        <v>0.41748251402748537</v>
      </c>
      <c r="W12" s="73">
        <v>0.51765956583047645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1.5882475891457373E-2</v>
      </c>
      <c r="V13" s="73">
        <v>4.5054583137956246E-2</v>
      </c>
      <c r="W13" s="73">
        <v>6.9508091074299574E-2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15354.452457127743</v>
      </c>
      <c r="C19" s="62">
        <f>IF(C3=0,0,C3/TrNavi_act!C7*100)</f>
        <v>15574.184109546852</v>
      </c>
      <c r="D19" s="62">
        <f>IF(D3=0,0,D3/TrNavi_act!D7*100)</f>
        <v>16236.816255877884</v>
      </c>
      <c r="E19" s="62">
        <f>IF(E3=0,0,E3/TrNavi_act!E7*100)</f>
        <v>18621.311130912123</v>
      </c>
      <c r="F19" s="62">
        <f>IF(F3=0,0,F3/TrNavi_act!F7*100)</f>
        <v>16028.413807928362</v>
      </c>
      <c r="G19" s="62">
        <f>IF(G3=0,0,G3/TrNavi_act!G7*100)</f>
        <v>13049.272870013832</v>
      </c>
      <c r="H19" s="62">
        <f>IF(H3=0,0,H3/TrNavi_act!H7*100)</f>
        <v>9223.0125850074237</v>
      </c>
      <c r="I19" s="62">
        <f>IF(I3=0,0,I3/TrNavi_act!I7*100)</f>
        <v>12052.179189306211</v>
      </c>
      <c r="J19" s="62">
        <f>IF(J3=0,0,J3/TrNavi_act!J7*100)</f>
        <v>12251.35749537686</v>
      </c>
      <c r="K19" s="62">
        <f>IF(K3=0,0,K3/TrNavi_act!K7*100)</f>
        <v>13400.026780683886</v>
      </c>
      <c r="L19" s="62">
        <f>IF(L3=0,0,L3/TrNavi_act!L7*100)</f>
        <v>9806.5262878757276</v>
      </c>
      <c r="M19" s="62">
        <f>IF(M3=0,0,M3/TrNavi_act!M7*100)</f>
        <v>9719.5955305708667</v>
      </c>
      <c r="N19" s="62">
        <f>IF(N3=0,0,N3/TrNavi_act!N7*100)</f>
        <v>10020.219653057704</v>
      </c>
      <c r="O19" s="62">
        <f>IF(O3=0,0,O3/TrNavi_act!O7*100)</f>
        <v>8802.0783214496696</v>
      </c>
      <c r="P19" s="62">
        <f>IF(P3=0,0,P3/TrNavi_act!P7*100)</f>
        <v>9172.9791550142345</v>
      </c>
      <c r="Q19" s="62">
        <f>IF(Q3=0,0,Q3/TrNavi_act!Q7*100)</f>
        <v>9804.1409709272775</v>
      </c>
      <c r="R19" s="62">
        <f>IF(R3=0,0,R3/TrNavi_act!R7*100)</f>
        <v>10848.058156341629</v>
      </c>
      <c r="S19" s="62">
        <f>IF(S3=0,0,S3/TrNavi_act!S7*100)</f>
        <v>9448.5548374286736</v>
      </c>
      <c r="T19" s="62">
        <f>IF(T3=0,0,T3/TrNavi_act!T7*100)</f>
        <v>8406.8211417972361</v>
      </c>
      <c r="U19" s="62">
        <f>IF(U3=0,0,U3/TrNavi_act!U7*100)</f>
        <v>8734.7421526813559</v>
      </c>
      <c r="V19" s="62">
        <f>IF(V3=0,0,V3/TrNavi_act!V7*100)</f>
        <v>7632.4916347404596</v>
      </c>
      <c r="W19" s="62">
        <f>IF(W3=0,0,W3/TrNavi_act!W7*100)</f>
        <v>5934.3984029987414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15354.452457127743</v>
      </c>
      <c r="C20" s="63">
        <f>IF(C4=0,0,C4/TrNavi_act!C8*100)</f>
        <v>15574.184109546852</v>
      </c>
      <c r="D20" s="63">
        <f>IF(D4=0,0,D4/TrNavi_act!D8*100)</f>
        <v>16236.816255877884</v>
      </c>
      <c r="E20" s="63">
        <f>IF(E4=0,0,E4/TrNavi_act!E8*100)</f>
        <v>18621.311130912123</v>
      </c>
      <c r="F20" s="63">
        <f>IF(F4=0,0,F4/TrNavi_act!F8*100)</f>
        <v>16028.413807928362</v>
      </c>
      <c r="G20" s="63">
        <f>IF(G4=0,0,G4/TrNavi_act!G8*100)</f>
        <v>13049.272870013832</v>
      </c>
      <c r="H20" s="63">
        <f>IF(H4=0,0,H4/TrNavi_act!H8*100)</f>
        <v>9223.0125850074237</v>
      </c>
      <c r="I20" s="63">
        <f>IF(I4=0,0,I4/TrNavi_act!I8*100)</f>
        <v>12052.179189306211</v>
      </c>
      <c r="J20" s="63">
        <f>IF(J4=0,0,J4/TrNavi_act!J8*100)</f>
        <v>12251.35749537686</v>
      </c>
      <c r="K20" s="63">
        <f>IF(K4=0,0,K4/TrNavi_act!K8*100)</f>
        <v>13400.026780683886</v>
      </c>
      <c r="L20" s="63">
        <f>IF(L4=0,0,L4/TrNavi_act!L8*100)</f>
        <v>9806.5262878757276</v>
      </c>
      <c r="M20" s="63">
        <f>IF(M4=0,0,M4/TrNavi_act!M8*100)</f>
        <v>9719.5955305708667</v>
      </c>
      <c r="N20" s="63">
        <f>IF(N4=0,0,N4/TrNavi_act!N8*100)</f>
        <v>10020.219653057704</v>
      </c>
      <c r="O20" s="63">
        <f>IF(O4=0,0,O4/TrNavi_act!O8*100)</f>
        <v>8802.0783214496696</v>
      </c>
      <c r="P20" s="63">
        <f>IF(P4=0,0,P4/TrNavi_act!P8*100)</f>
        <v>9172.9791550142345</v>
      </c>
      <c r="Q20" s="63">
        <f>IF(Q4=0,0,Q4/TrNavi_act!Q8*100)</f>
        <v>9804.1409709272775</v>
      </c>
      <c r="R20" s="63">
        <f>IF(R4=0,0,R4/TrNavi_act!R8*100)</f>
        <v>11010.163400945401</v>
      </c>
      <c r="S20" s="63">
        <f>IF(S4=0,0,S4/TrNavi_act!S8*100)</f>
        <v>9488.0132122119267</v>
      </c>
      <c r="T20" s="63">
        <f>IF(T4=0,0,T4/TrNavi_act!T8*100)</f>
        <v>8688.5096820630934</v>
      </c>
      <c r="U20" s="63">
        <f>IF(U4=0,0,U4/TrNavi_act!U8*100)</f>
        <v>9066.3625813311555</v>
      </c>
      <c r="V20" s="63">
        <f>IF(V4=0,0,V4/TrNavi_act!V8*100)</f>
        <v>8066.1714429550357</v>
      </c>
      <c r="W20" s="63">
        <f>IF(W4=0,0,W4/TrNavi_act!W8*100)</f>
        <v>6465.3942970036869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1055.4276982319013</v>
      </c>
      <c r="S21" s="64">
        <f>IF(S10=0,0,S10/TrNavi_act!S9*100)</f>
        <v>846.62913467981366</v>
      </c>
      <c r="T21" s="64">
        <f>IF(T10=0,0,T10/TrNavi_act!T9*100)</f>
        <v>796.68719106648075</v>
      </c>
      <c r="U21" s="64">
        <f>IF(U10=0,0,U10/TrNavi_act!U9*100)</f>
        <v>855.04480327115391</v>
      </c>
      <c r="V21" s="64">
        <f>IF(V10=0,0,V10/TrNavi_act!V9*100)</f>
        <v>817.52321993995895</v>
      </c>
      <c r="W21" s="64">
        <f>IF(W10=0,0,W10/TrNavi_act!W9*100)</f>
        <v>643.29138818023125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75.518332519523653</v>
      </c>
      <c r="C23" s="62">
        <f>IF(C3=0,0,C3/TrNavi_act!C3*1000)</f>
        <v>76.862718766501018</v>
      </c>
      <c r="D23" s="62">
        <f>IF(D3=0,0,D3/TrNavi_act!D3*1000)</f>
        <v>75.783452011404705</v>
      </c>
      <c r="E23" s="62">
        <f>IF(E3=0,0,E3/TrNavi_act!E3*1000)</f>
        <v>87.345220186446113</v>
      </c>
      <c r="F23" s="62">
        <f>IF(F3=0,0,F3/TrNavi_act!F3*1000)</f>
        <v>76.93536489476358</v>
      </c>
      <c r="G23" s="62">
        <f>IF(G3=0,0,G3/TrNavi_act!G3*1000)</f>
        <v>61.677658864369107</v>
      </c>
      <c r="H23" s="62">
        <f>IF(H3=0,0,H3/TrNavi_act!H3*1000)</f>
        <v>41.343631947137887</v>
      </c>
      <c r="I23" s="62">
        <f>IF(I3=0,0,I3/TrNavi_act!I3*1000)</f>
        <v>63.901526816065122</v>
      </c>
      <c r="J23" s="62">
        <f>IF(J3=0,0,J3/TrNavi_act!J3*1000)</f>
        <v>60.094359505481904</v>
      </c>
      <c r="K23" s="62">
        <f>IF(K3=0,0,K3/TrNavi_act!K3*1000)</f>
        <v>62.938620284078638</v>
      </c>
      <c r="L23" s="62">
        <f>IF(L3=0,0,L3/TrNavi_act!L3*1000)</f>
        <v>45.767494763799128</v>
      </c>
      <c r="M23" s="62">
        <f>IF(M3=0,0,M3/TrNavi_act!M3*1000)</f>
        <v>47.644371580215278</v>
      </c>
      <c r="N23" s="62">
        <f>IF(N3=0,0,N3/TrNavi_act!N3*1000)</f>
        <v>47.030823968036557</v>
      </c>
      <c r="O23" s="62">
        <f>IF(O3=0,0,O3/TrNavi_act!O3*1000)</f>
        <v>44.435402057796949</v>
      </c>
      <c r="P23" s="62">
        <f>IF(P3=0,0,P3/TrNavi_act!P3*1000)</f>
        <v>44.781134354584267</v>
      </c>
      <c r="Q23" s="62">
        <f>IF(Q3=0,0,Q3/TrNavi_act!Q3*1000)</f>
        <v>44.894483599309716</v>
      </c>
      <c r="R23" s="62">
        <f>IF(R3=0,0,R3/TrNavi_act!R3*1000)</f>
        <v>46.666812829720399</v>
      </c>
      <c r="S23" s="62">
        <f>IF(S3=0,0,S3/TrNavi_act!S3*1000)</f>
        <v>40.885412574220553</v>
      </c>
      <c r="T23" s="62">
        <f>IF(T3=0,0,T3/TrNavi_act!T3*1000)</f>
        <v>38.80552820903192</v>
      </c>
      <c r="U23" s="62">
        <f>IF(U3=0,0,U3/TrNavi_act!U3*1000)</f>
        <v>40.658431032015862</v>
      </c>
      <c r="V23" s="62">
        <f>IF(V3=0,0,V3/TrNavi_act!V3*1000)</f>
        <v>31.960749041620314</v>
      </c>
      <c r="W23" s="62">
        <f>IF(W3=0,0,W3/TrNavi_act!W3*1000)</f>
        <v>25.4042612134477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75.518332519523653</v>
      </c>
      <c r="C24" s="63">
        <f>IF(C4=0,0,C4/TrNavi_act!C4*1000)</f>
        <v>76.862718766501018</v>
      </c>
      <c r="D24" s="63">
        <f>IF(D4=0,0,D4/TrNavi_act!D4*1000)</f>
        <v>75.783452011404705</v>
      </c>
      <c r="E24" s="63">
        <f>IF(E4=0,0,E4/TrNavi_act!E4*1000)</f>
        <v>87.345220186446113</v>
      </c>
      <c r="F24" s="63">
        <f>IF(F4=0,0,F4/TrNavi_act!F4*1000)</f>
        <v>76.93536489476358</v>
      </c>
      <c r="G24" s="63">
        <f>IF(G4=0,0,G4/TrNavi_act!G4*1000)</f>
        <v>61.677658864369107</v>
      </c>
      <c r="H24" s="63">
        <f>IF(H4=0,0,H4/TrNavi_act!H4*1000)</f>
        <v>41.343631947137887</v>
      </c>
      <c r="I24" s="63">
        <f>IF(I4=0,0,I4/TrNavi_act!I4*1000)</f>
        <v>63.901526816065122</v>
      </c>
      <c r="J24" s="63">
        <f>IF(J4=0,0,J4/TrNavi_act!J4*1000)</f>
        <v>60.094359505481904</v>
      </c>
      <c r="K24" s="63">
        <f>IF(K4=0,0,K4/TrNavi_act!K4*1000)</f>
        <v>62.938620284078638</v>
      </c>
      <c r="L24" s="63">
        <f>IF(L4=0,0,L4/TrNavi_act!L4*1000)</f>
        <v>45.767494763799128</v>
      </c>
      <c r="M24" s="63">
        <f>IF(M4=0,0,M4/TrNavi_act!M4*1000)</f>
        <v>47.644371580215278</v>
      </c>
      <c r="N24" s="63">
        <f>IF(N4=0,0,N4/TrNavi_act!N4*1000)</f>
        <v>47.030823968036557</v>
      </c>
      <c r="O24" s="63">
        <f>IF(O4=0,0,O4/TrNavi_act!O4*1000)</f>
        <v>44.435402057796949</v>
      </c>
      <c r="P24" s="63">
        <f>IF(P4=0,0,P4/TrNavi_act!P4*1000)</f>
        <v>44.781134354584267</v>
      </c>
      <c r="Q24" s="63">
        <f>IF(Q4=0,0,Q4/TrNavi_act!Q4*1000)</f>
        <v>44.894483599309716</v>
      </c>
      <c r="R24" s="63">
        <f>IF(R4=0,0,R4/TrNavi_act!R4*1000)</f>
        <v>46.831470988686647</v>
      </c>
      <c r="S24" s="63">
        <f>IF(S4=0,0,S4/TrNavi_act!S4*1000)</f>
        <v>40.926445285634124</v>
      </c>
      <c r="T24" s="63">
        <f>IF(T4=0,0,T4/TrNavi_act!T4*1000)</f>
        <v>39.121302734292087</v>
      </c>
      <c r="U24" s="63">
        <f>IF(U4=0,0,U4/TrNavi_act!U4*1000)</f>
        <v>41.062230761118357</v>
      </c>
      <c r="V24" s="63">
        <f>IF(V4=0,0,V4/TrNavi_act!V4*1000)</f>
        <v>32.461963708471963</v>
      </c>
      <c r="W24" s="63">
        <f>IF(W4=0,0,W4/TrNavi_act!W4*1000)</f>
        <v>26.006242315995337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14.512130850688642</v>
      </c>
      <c r="S25" s="64">
        <f>IF(S10=0,0,S10/TrNavi_act!S5*1000)</f>
        <v>11.852807885517391</v>
      </c>
      <c r="T25" s="64">
        <f>IF(T10=0,0,T10/TrNavi_act!T5*1000)</f>
        <v>11.487117638632977</v>
      </c>
      <c r="U25" s="64">
        <f>IF(U10=0,0,U10/TrNavi_act!U5*1000)</f>
        <v>11.691428942687208</v>
      </c>
      <c r="V25" s="64">
        <f>IF(V10=0,0,V10/TrNavi_act!V5*1000)</f>
        <v>9.4170396220931991</v>
      </c>
      <c r="W25" s="64">
        <f>IF(W10=0,0,W10/TrNavi_act!W5*1000)</f>
        <v>7.6560735635534556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1</v>
      </c>
      <c r="C28" s="77">
        <f t="shared" si="8"/>
        <v>1</v>
      </c>
      <c r="D28" s="77">
        <f t="shared" si="8"/>
        <v>1</v>
      </c>
      <c r="E28" s="77">
        <f t="shared" si="8"/>
        <v>1</v>
      </c>
      <c r="F28" s="77">
        <f t="shared" si="8"/>
        <v>1</v>
      </c>
      <c r="G28" s="77">
        <f t="shared" si="8"/>
        <v>1</v>
      </c>
      <c r="H28" s="77">
        <f t="shared" si="8"/>
        <v>1</v>
      </c>
      <c r="I28" s="77">
        <f t="shared" si="8"/>
        <v>1</v>
      </c>
      <c r="J28" s="77">
        <f t="shared" si="8"/>
        <v>1</v>
      </c>
      <c r="K28" s="77">
        <f t="shared" si="8"/>
        <v>1</v>
      </c>
      <c r="L28" s="77">
        <f t="shared" si="8"/>
        <v>1</v>
      </c>
      <c r="M28" s="77">
        <f t="shared" si="8"/>
        <v>1</v>
      </c>
      <c r="N28" s="77">
        <f t="shared" si="8"/>
        <v>1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0.99841567668095887</v>
      </c>
      <c r="S28" s="77">
        <f t="shared" si="8"/>
        <v>0.99959084891539074</v>
      </c>
      <c r="T28" s="77">
        <f t="shared" si="8"/>
        <v>0.99661742139148146</v>
      </c>
      <c r="U28" s="77">
        <f t="shared" si="8"/>
        <v>0.99604663239480229</v>
      </c>
      <c r="V28" s="77">
        <f t="shared" ref="V28:W28" si="9">IF(V4=0,0,V4/V$3)</f>
        <v>0.99359165420964179</v>
      </c>
      <c r="W28" s="77">
        <f t="shared" si="9"/>
        <v>0.99011350562343636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1.5843233190411179E-3</v>
      </c>
      <c r="S29" s="78">
        <f t="shared" si="10"/>
        <v>4.0915108460938321E-4</v>
      </c>
      <c r="T29" s="78">
        <f t="shared" si="10"/>
        <v>3.3825786085186775E-3</v>
      </c>
      <c r="U29" s="78">
        <f t="shared" si="10"/>
        <v>3.9533676051976378E-3</v>
      </c>
      <c r="V29" s="78">
        <f t="shared" ref="V29:W29" si="11">IF(V10=0,0,V10/V$3)</f>
        <v>6.408345790358233E-3</v>
      </c>
      <c r="W29" s="78">
        <f t="shared" si="11"/>
        <v>9.8864943765636561E-3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491.5624514399999</v>
      </c>
      <c r="C3" s="54">
        <f t="shared" ref="C3:V3" si="1">SUM(C4:C5)</f>
        <v>491.3250631200001</v>
      </c>
      <c r="D3" s="54">
        <f t="shared" si="1"/>
        <v>465.77526120000005</v>
      </c>
      <c r="E3" s="54">
        <f t="shared" si="1"/>
        <v>550.38101940000001</v>
      </c>
      <c r="F3" s="54">
        <f t="shared" si="1"/>
        <v>470.66426567999997</v>
      </c>
      <c r="G3" s="54">
        <f t="shared" si="1"/>
        <v>441.75238596000003</v>
      </c>
      <c r="H3" s="54">
        <f t="shared" si="1"/>
        <v>444.54780504000001</v>
      </c>
      <c r="I3" s="54">
        <f t="shared" si="1"/>
        <v>434.82333276000008</v>
      </c>
      <c r="J3" s="54">
        <f t="shared" si="1"/>
        <v>429.02553095999997</v>
      </c>
      <c r="K3" s="54">
        <f t="shared" si="1"/>
        <v>437.70091068000005</v>
      </c>
      <c r="L3" s="54">
        <f t="shared" si="1"/>
        <v>473.61718547999999</v>
      </c>
      <c r="M3" s="54">
        <f t="shared" si="1"/>
        <v>484.15121064000022</v>
      </c>
      <c r="N3" s="54">
        <f t="shared" si="1"/>
        <v>445.73675651999997</v>
      </c>
      <c r="O3" s="54">
        <f t="shared" si="1"/>
        <v>467.9232505199999</v>
      </c>
      <c r="P3" s="54">
        <f t="shared" si="1"/>
        <v>453.11355720000006</v>
      </c>
      <c r="Q3" s="54">
        <f t="shared" si="1"/>
        <v>438.34393188000001</v>
      </c>
      <c r="R3" s="54">
        <f t="shared" si="1"/>
        <v>462.49616952000008</v>
      </c>
      <c r="S3" s="54">
        <f t="shared" si="1"/>
        <v>457.42593347999997</v>
      </c>
      <c r="T3" s="54">
        <f t="shared" si="1"/>
        <v>466.41338676000004</v>
      </c>
      <c r="U3" s="54">
        <f t="shared" si="1"/>
        <v>448.24505112000014</v>
      </c>
      <c r="V3" s="54">
        <f t="shared" si="1"/>
        <v>347.34946715999996</v>
      </c>
      <c r="W3" s="54">
        <f t="shared" ref="W3" si="2">SUM(W4:W5)</f>
        <v>326.57805720000005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491.5624514399999</v>
      </c>
      <c r="C4" s="56">
        <v>491.3250631200001</v>
      </c>
      <c r="D4" s="56">
        <v>465.77526120000005</v>
      </c>
      <c r="E4" s="56">
        <v>550.38101940000001</v>
      </c>
      <c r="F4" s="56">
        <v>470.66426567999997</v>
      </c>
      <c r="G4" s="56">
        <v>441.75238596000003</v>
      </c>
      <c r="H4" s="56">
        <v>444.54780504000001</v>
      </c>
      <c r="I4" s="56">
        <v>434.82333276000008</v>
      </c>
      <c r="J4" s="56">
        <v>429.02553095999997</v>
      </c>
      <c r="K4" s="56">
        <v>437.70091068000005</v>
      </c>
      <c r="L4" s="56">
        <v>473.61718547999999</v>
      </c>
      <c r="M4" s="56">
        <v>484.15121064000022</v>
      </c>
      <c r="N4" s="56">
        <v>445.73675651999997</v>
      </c>
      <c r="O4" s="56">
        <v>467.9232505199999</v>
      </c>
      <c r="P4" s="56">
        <v>453.11355720000006</v>
      </c>
      <c r="Q4" s="56">
        <v>438.34393188000001</v>
      </c>
      <c r="R4" s="56">
        <v>461.76342605366233</v>
      </c>
      <c r="S4" s="56">
        <v>457.23877716318816</v>
      </c>
      <c r="T4" s="56">
        <v>464.83570681521888</v>
      </c>
      <c r="U4" s="56">
        <v>446.47297365571217</v>
      </c>
      <c r="V4" s="56">
        <v>345.12353166434201</v>
      </c>
      <c r="W4" s="56">
        <v>323.34934507398316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0.73274346633772991</v>
      </c>
      <c r="S5" s="58">
        <v>0.18715631681180156</v>
      </c>
      <c r="T5" s="58">
        <v>1.5776799447811247</v>
      </c>
      <c r="U5" s="58">
        <v>1.7720774642879678</v>
      </c>
      <c r="V5" s="58">
        <v>2.2259354956579607</v>
      </c>
      <c r="W5" s="58">
        <v>3.2287121260168847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3.1355853399431668</v>
      </c>
      <c r="C9" s="79">
        <f>IF(C3=0,0,C3/TrNavi_ene!C3)</f>
        <v>3.1390450785875563</v>
      </c>
      <c r="D9" s="79">
        <f>IF(D3=0,0,D3/TrNavi_ene!D3)</f>
        <v>3.1419897542516027</v>
      </c>
      <c r="E9" s="79">
        <f>IF(E3=0,0,E3/TrNavi_ene!E3)</f>
        <v>3.1543770250973031</v>
      </c>
      <c r="F9" s="79">
        <f>IF(F3=0,0,F3/TrNavi_ene!F3)</f>
        <v>3.1642639555823528</v>
      </c>
      <c r="G9" s="79">
        <f>IF(G3=0,0,G3/TrNavi_ene!G3)</f>
        <v>3.1996827762379545</v>
      </c>
      <c r="H9" s="79">
        <f>IF(H3=0,0,H3/TrNavi_ene!H3)</f>
        <v>3.1983973481701722</v>
      </c>
      <c r="I9" s="79">
        <f>IF(I3=0,0,I3/TrNavi_ene!I3)</f>
        <v>3.1984396508206405</v>
      </c>
      <c r="J9" s="79">
        <f>IF(J3=0,0,J3/TrNavi_ene!J3)</f>
        <v>3.1980467308285134</v>
      </c>
      <c r="K9" s="79">
        <f>IF(K3=0,0,K3/TrNavi_ene!K3)</f>
        <v>3.1992342590003457</v>
      </c>
      <c r="L9" s="79">
        <f>IF(L3=0,0,L3/TrNavi_ene!L3)</f>
        <v>3.1963018887853152</v>
      </c>
      <c r="M9" s="79">
        <f>IF(M3=0,0,M3/TrNavi_ene!M3)</f>
        <v>3.1971674010804336</v>
      </c>
      <c r="N9" s="79">
        <f>IF(N3=0,0,N3/TrNavi_ene!N3)</f>
        <v>3.1979677276105427</v>
      </c>
      <c r="O9" s="79">
        <f>IF(O3=0,0,O3/TrNavi_ene!O3)</f>
        <v>3.1985885421875104</v>
      </c>
      <c r="P9" s="79">
        <f>IF(P3=0,0,P3/TrNavi_ene!P3)</f>
        <v>3.1971879401977761</v>
      </c>
      <c r="Q9" s="79">
        <f>IF(Q3=0,0,Q3/TrNavi_ene!Q3)</f>
        <v>3.1552632662895328</v>
      </c>
      <c r="R9" s="79">
        <f>IF(R3=0,0,R3/TrNavi_ene!R3)</f>
        <v>3.1557368878006602</v>
      </c>
      <c r="S9" s="79">
        <f>IF(S3=0,0,S3/TrNavi_ene!S3)</f>
        <v>3.1580081044000141</v>
      </c>
      <c r="T9" s="79">
        <f>IF(T3=0,0,T3/TrNavi_ene!T3)</f>
        <v>3.1940328660502826</v>
      </c>
      <c r="U9" s="79">
        <f>IF(U3=0,0,U3/TrNavi_ene!U3)</f>
        <v>3.093278536545272</v>
      </c>
      <c r="V9" s="79">
        <f>IF(V3=0,0,V3/TrNavi_ene!V3)</f>
        <v>2.992065427133852</v>
      </c>
      <c r="W9" s="79">
        <f>IF(W3=0,0,W3/TrNavi_ene!W3)</f>
        <v>2.9698525163587681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3.1355853399431668</v>
      </c>
      <c r="C10" s="80">
        <f>IF(C4=0,0,C4/TrNavi_ene!C4)</f>
        <v>3.1390450785875563</v>
      </c>
      <c r="D10" s="80">
        <f>IF(D4=0,0,D4/TrNavi_ene!D4)</f>
        <v>3.1419897542516027</v>
      </c>
      <c r="E10" s="80">
        <f>IF(E4=0,0,E4/TrNavi_ene!E4)</f>
        <v>3.1543770250973031</v>
      </c>
      <c r="F10" s="80">
        <f>IF(F4=0,0,F4/TrNavi_ene!F4)</f>
        <v>3.1642639555823528</v>
      </c>
      <c r="G10" s="80">
        <f>IF(G4=0,0,G4/TrNavi_ene!G4)</f>
        <v>3.1996827762379545</v>
      </c>
      <c r="H10" s="80">
        <f>IF(H4=0,0,H4/TrNavi_ene!H4)</f>
        <v>3.1983973481701722</v>
      </c>
      <c r="I10" s="80">
        <f>IF(I4=0,0,I4/TrNavi_ene!I4)</f>
        <v>3.1984396508206405</v>
      </c>
      <c r="J10" s="80">
        <f>IF(J4=0,0,J4/TrNavi_ene!J4)</f>
        <v>3.1980467308285134</v>
      </c>
      <c r="K10" s="80">
        <f>IF(K4=0,0,K4/TrNavi_ene!K4)</f>
        <v>3.1992342590003457</v>
      </c>
      <c r="L10" s="80">
        <f>IF(L4=0,0,L4/TrNavi_ene!L4)</f>
        <v>3.1963018887853152</v>
      </c>
      <c r="M10" s="80">
        <f>IF(M4=0,0,M4/TrNavi_ene!M4)</f>
        <v>3.1971674010804336</v>
      </c>
      <c r="N10" s="80">
        <f>IF(N4=0,0,N4/TrNavi_ene!N4)</f>
        <v>3.1979677276105427</v>
      </c>
      <c r="O10" s="80">
        <f>IF(O4=0,0,O4/TrNavi_ene!O4)</f>
        <v>3.1985885421875104</v>
      </c>
      <c r="P10" s="80">
        <f>IF(P4=0,0,P4/TrNavi_ene!P4)</f>
        <v>3.1971879401977761</v>
      </c>
      <c r="Q10" s="80">
        <f>IF(Q4=0,0,Q4/TrNavi_ene!Q4)</f>
        <v>3.1552632662895328</v>
      </c>
      <c r="R10" s="80">
        <f>IF(R4=0,0,R4/TrNavi_ene!R4)</f>
        <v>3.1557368878006598</v>
      </c>
      <c r="S10" s="80">
        <f>IF(S4=0,0,S4/TrNavi_ene!S4)</f>
        <v>3.1580081044000137</v>
      </c>
      <c r="T10" s="80">
        <f>IF(T4=0,0,T4/TrNavi_ene!T4)</f>
        <v>3.1940328660502821</v>
      </c>
      <c r="U10" s="80">
        <f>IF(U4=0,0,U4/TrNavi_ene!U4)</f>
        <v>3.093278536545272</v>
      </c>
      <c r="V10" s="80">
        <f>IF(V4=0,0,V4/TrNavi_ene!V4)</f>
        <v>2.992065427133852</v>
      </c>
      <c r="W10" s="80">
        <f>IF(W4=0,0,W4/TrNavi_ene!W4)</f>
        <v>2.9698525163587681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3.1557368878006598</v>
      </c>
      <c r="S11" s="81">
        <f>IF(S5=0,0,S5/TrNavi_ene!S10)</f>
        <v>3.1580081044000137</v>
      </c>
      <c r="T11" s="81">
        <f>IF(T5=0,0,T5/TrNavi_ene!T10)</f>
        <v>3.1940328660502821</v>
      </c>
      <c r="U11" s="81">
        <f>IF(U5=0,0,U5/TrNavi_ene!U10)</f>
        <v>3.093278536545272</v>
      </c>
      <c r="V11" s="81">
        <f>IF(V5=0,0,V5/TrNavi_ene!V10)</f>
        <v>2.9920654271338516</v>
      </c>
      <c r="W11" s="81">
        <f>IF(W5=0,0,W5/TrNavi_ene!W10)</f>
        <v>2.9698525163587686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481451.96027424088</v>
      </c>
      <c r="C13" s="54">
        <f>IF(C3=0,0,C3/TrNavi_act!C7*1000)</f>
        <v>488880.6598208957</v>
      </c>
      <c r="D13" s="54">
        <f>IF(D3=0,0,D3/TrNavi_act!D7*1000)</f>
        <v>510159.1031763418</v>
      </c>
      <c r="E13" s="54">
        <f>IF(E3=0,0,E3/TrNavi_act!E7*1000)</f>
        <v>587386.36008537887</v>
      </c>
      <c r="F13" s="54">
        <f>IF(F3=0,0,F3/TrNavi_act!F7*1000)</f>
        <v>507181.32077586197</v>
      </c>
      <c r="G13" s="54">
        <f>IF(G3=0,0,G3/TrNavi_act!G7*1000)</f>
        <v>417535.33644612477</v>
      </c>
      <c r="H13" s="54">
        <f>IF(H3=0,0,H3/TrNavi_act!H7*1000)</f>
        <v>294988.58994027873</v>
      </c>
      <c r="I13" s="54">
        <f>IF(I3=0,0,I3/TrNavi_act!I7*1000)</f>
        <v>385481.67797872348</v>
      </c>
      <c r="J13" s="54">
        <f>IF(J3=0,0,J3/TrNavi_act!J7*1000)</f>
        <v>391804.13786301372</v>
      </c>
      <c r="K13" s="54">
        <f>IF(K3=0,0,K3/TrNavi_act!K7*1000)</f>
        <v>428698.24748286005</v>
      </c>
      <c r="L13" s="54">
        <f>IF(L3=0,0,L3/TrNavi_act!L7*1000)</f>
        <v>313446.1849636003</v>
      </c>
      <c r="M13" s="54">
        <f>IF(M3=0,0,M3/TrNavi_act!M7*1000)</f>
        <v>310751.7398202825</v>
      </c>
      <c r="N13" s="54">
        <f>IF(N3=0,0,N3/TrNavi_act!N7*1000)</f>
        <v>320443.39074047445</v>
      </c>
      <c r="O13" s="54">
        <f>IF(O3=0,0,O3/TrNavi_act!O7*1000)</f>
        <v>281542.26866425987</v>
      </c>
      <c r="P13" s="54">
        <f>IF(P3=0,0,P3/TrNavi_act!P7*1000)</f>
        <v>293277.38330097095</v>
      </c>
      <c r="Q13" s="54">
        <f>IF(Q3=0,0,Q3/TrNavi_act!Q7*1000)</f>
        <v>309346.45863091038</v>
      </c>
      <c r="R13" s="54">
        <f>IF(R3=0,0,R3/TrNavi_act!R7*1000)</f>
        <v>342336.17284974101</v>
      </c>
      <c r="S13" s="54">
        <f>IF(S3=0,0,S3/TrNavi_act!S7*1000)</f>
        <v>298386.12751467712</v>
      </c>
      <c r="T13" s="54">
        <f>IF(T3=0,0,T3/TrNavi_act!T7*1000)</f>
        <v>268516.63025906734</v>
      </c>
      <c r="U13" s="54">
        <f>IF(U3=0,0,U3/TrNavi_act!U7*1000)</f>
        <v>270189.90423146484</v>
      </c>
      <c r="V13" s="54">
        <f>IF(V3=0,0,V3/TrNavi_act!V7*1000)</f>
        <v>228369.14343195263</v>
      </c>
      <c r="W13" s="54">
        <f>IF(W3=0,0,W3/TrNavi_act!W7*1000)</f>
        <v>176242.88030221267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481451.96027424088</v>
      </c>
      <c r="C14" s="56">
        <f>IF(C4=0,0,C4/TrNavi_act!C8*1000)</f>
        <v>488880.6598208957</v>
      </c>
      <c r="D14" s="56">
        <f>IF(D4=0,0,D4/TrNavi_act!D8*1000)</f>
        <v>510159.1031763418</v>
      </c>
      <c r="E14" s="56">
        <f>IF(E4=0,0,E4/TrNavi_act!E8*1000)</f>
        <v>587386.36008537887</v>
      </c>
      <c r="F14" s="56">
        <f>IF(F4=0,0,F4/TrNavi_act!F8*1000)</f>
        <v>507181.32077586197</v>
      </c>
      <c r="G14" s="56">
        <f>IF(G4=0,0,G4/TrNavi_act!G8*1000)</f>
        <v>417535.33644612477</v>
      </c>
      <c r="H14" s="56">
        <f>IF(H4=0,0,H4/TrNavi_act!H8*1000)</f>
        <v>294988.58994027873</v>
      </c>
      <c r="I14" s="56">
        <f>IF(I4=0,0,I4/TrNavi_act!I8*1000)</f>
        <v>385481.67797872348</v>
      </c>
      <c r="J14" s="56">
        <f>IF(J4=0,0,J4/TrNavi_act!J8*1000)</f>
        <v>391804.13786301372</v>
      </c>
      <c r="K14" s="56">
        <f>IF(K4=0,0,K4/TrNavi_act!K8*1000)</f>
        <v>428698.24748286005</v>
      </c>
      <c r="L14" s="56">
        <f>IF(L4=0,0,L4/TrNavi_act!L8*1000)</f>
        <v>313446.1849636003</v>
      </c>
      <c r="M14" s="56">
        <f>IF(M4=0,0,M4/TrNavi_act!M8*1000)</f>
        <v>310751.7398202825</v>
      </c>
      <c r="N14" s="56">
        <f>IF(N4=0,0,N4/TrNavi_act!N8*1000)</f>
        <v>320443.39074047445</v>
      </c>
      <c r="O14" s="56">
        <f>IF(O4=0,0,O4/TrNavi_act!O8*1000)</f>
        <v>281542.26866425987</v>
      </c>
      <c r="P14" s="56">
        <f>IF(P4=0,0,P4/TrNavi_act!P8*1000)</f>
        <v>293277.38330097095</v>
      </c>
      <c r="Q14" s="56">
        <f>IF(Q4=0,0,Q4/TrNavi_act!Q8*1000)</f>
        <v>309346.45863091038</v>
      </c>
      <c r="R14" s="56">
        <f>IF(R4=0,0,R4/TrNavi_act!R8*1000)</f>
        <v>347451.78785076173</v>
      </c>
      <c r="S14" s="56">
        <f>IF(S4=0,0,S4/TrNavi_act!S8*1000)</f>
        <v>299632.22618819668</v>
      </c>
      <c r="T14" s="56">
        <f>IF(T4=0,0,T4/TrNavi_act!T8*1000)</f>
        <v>277513.85481505602</v>
      </c>
      <c r="U14" s="56">
        <f>IF(U4=0,0,U4/TrNavi_act!U8*1000)</f>
        <v>280447.8477736885</v>
      </c>
      <c r="V14" s="56">
        <f>IF(V4=0,0,V4/TrNavi_act!V8*1000)</f>
        <v>241345.1270380014</v>
      </c>
      <c r="W14" s="56">
        <f>IF(W4=0,0,W4/TrNavi_act!W8*1000)</f>
        <v>192012.67522208029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33306.521197169546</v>
      </c>
      <c r="S15" s="58">
        <f>IF(S5=0,0,S5/TrNavi_act!S9*1000)</f>
        <v>26736.616687400223</v>
      </c>
      <c r="T15" s="58">
        <f>IF(T5=0,0,T5/TrNavi_act!T9*1000)</f>
        <v>25446.450722276204</v>
      </c>
      <c r="U15" s="58">
        <f>IF(U5=0,0,U5/TrNavi_act!U9*1000)</f>
        <v>26448.917377432354</v>
      </c>
      <c r="V15" s="58">
        <f>IF(V5=0,0,V5/TrNavi_act!V9*1000)</f>
        <v>24460.82962261495</v>
      </c>
      <c r="W15" s="58">
        <f>IF(W5=0,0,W5/TrNavi_act!W9*1000)</f>
        <v>19104.805479389848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236.79417634517168</v>
      </c>
      <c r="C17" s="62">
        <f>IF(C3=0,0,C3/TrNavi_act!C3*1000)</f>
        <v>241.27553907084442</v>
      </c>
      <c r="D17" s="62">
        <f>IF(D3=0,0,D3/TrNavi_act!D3*1000)</f>
        <v>238.11082976165162</v>
      </c>
      <c r="E17" s="62">
        <f>IF(E3=0,0,E3/TrNavi_act!E3*1000)</f>
        <v>275.51975580819084</v>
      </c>
      <c r="F17" s="62">
        <f>IF(F3=0,0,F3/TrNavi_act!F3*1000)</f>
        <v>243.44380204607626</v>
      </c>
      <c r="G17" s="62">
        <f>IF(G3=0,0,G3/TrNavi_act!G3*1000)</f>
        <v>197.34894274700204</v>
      </c>
      <c r="H17" s="62">
        <f>IF(H3=0,0,H3/TrNavi_act!H3*1000)</f>
        <v>132.23336278344945</v>
      </c>
      <c r="I17" s="62">
        <f>IF(I3=0,0,I3/TrNavi_act!I3*1000)</f>
        <v>204.38517711648115</v>
      </c>
      <c r="J17" s="62">
        <f>IF(J3=0,0,J3/TrNavi_act!J3*1000)</f>
        <v>192.1845699577398</v>
      </c>
      <c r="K17" s="62">
        <f>IF(K3=0,0,K3/TrNavi_act!K3*1000)</f>
        <v>201.35539022703844</v>
      </c>
      <c r="L17" s="62">
        <f>IF(L3=0,0,L3/TrNavi_act!L3*1000)</f>
        <v>146.28672995850314</v>
      </c>
      <c r="M17" s="62">
        <f>IF(M3=0,0,M3/TrNavi_act!M3*1000)</f>
        <v>152.32703166122735</v>
      </c>
      <c r="N17" s="62">
        <f>IF(N3=0,0,N3/TrNavi_act!N3*1000)</f>
        <v>150.40305725271332</v>
      </c>
      <c r="O17" s="62">
        <f>IF(O3=0,0,O3/TrNavi_act!O3*1000)</f>
        <v>142.13056788956462</v>
      </c>
      <c r="P17" s="62">
        <f>IF(P3=0,0,P3/TrNavi_act!P3*1000)</f>
        <v>143.17370270685311</v>
      </c>
      <c r="Q17" s="62">
        <f>IF(Q3=0,0,Q3/TrNavi_act!Q3*1000)</f>
        <v>141.65391495993984</v>
      </c>
      <c r="R17" s="62">
        <f>IF(R3=0,0,R3/TrNavi_act!R3*1000)</f>
        <v>147.26818268283776</v>
      </c>
      <c r="S17" s="62">
        <f>IF(S3=0,0,S3/TrNavi_act!S3*1000)</f>
        <v>129.11646426112677</v>
      </c>
      <c r="T17" s="62">
        <f>IF(T3=0,0,T3/TrNavi_act!T3*1000)</f>
        <v>123.9461324840893</v>
      </c>
      <c r="U17" s="62">
        <f>IF(U3=0,0,U3/TrNavi_act!U3*1000)</f>
        <v>125.76785204094091</v>
      </c>
      <c r="V17" s="62">
        <f>IF(V3=0,0,V3/TrNavi_act!V3*1000)</f>
        <v>95.628652232733529</v>
      </c>
      <c r="W17" s="62">
        <f>IF(W3=0,0,W3/TrNavi_act!W3*1000)</f>
        <v>75.446909090993103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236.79417634517168</v>
      </c>
      <c r="C18" s="63">
        <f>IF(C4=0,0,C4/TrNavi_act!C4*1000)</f>
        <v>241.27553907084442</v>
      </c>
      <c r="D18" s="63">
        <f>IF(D4=0,0,D4/TrNavi_act!D4*1000)</f>
        <v>238.11082976165162</v>
      </c>
      <c r="E18" s="63">
        <f>IF(E4=0,0,E4/TrNavi_act!E4*1000)</f>
        <v>275.51975580819084</v>
      </c>
      <c r="F18" s="63">
        <f>IF(F4=0,0,F4/TrNavi_act!F4*1000)</f>
        <v>243.44380204607626</v>
      </c>
      <c r="G18" s="63">
        <f>IF(G4=0,0,G4/TrNavi_act!G4*1000)</f>
        <v>197.34894274700204</v>
      </c>
      <c r="H18" s="63">
        <f>IF(H4=0,0,H4/TrNavi_act!H4*1000)</f>
        <v>132.23336278344945</v>
      </c>
      <c r="I18" s="63">
        <f>IF(I4=0,0,I4/TrNavi_act!I4*1000)</f>
        <v>204.38517711648115</v>
      </c>
      <c r="J18" s="63">
        <f>IF(J4=0,0,J4/TrNavi_act!J4*1000)</f>
        <v>192.1845699577398</v>
      </c>
      <c r="K18" s="63">
        <f>IF(K4=0,0,K4/TrNavi_act!K4*1000)</f>
        <v>201.35539022703844</v>
      </c>
      <c r="L18" s="63">
        <f>IF(L4=0,0,L4/TrNavi_act!L4*1000)</f>
        <v>146.28672995850314</v>
      </c>
      <c r="M18" s="63">
        <f>IF(M4=0,0,M4/TrNavi_act!M4*1000)</f>
        <v>152.32703166122735</v>
      </c>
      <c r="N18" s="63">
        <f>IF(N4=0,0,N4/TrNavi_act!N4*1000)</f>
        <v>150.40305725271332</v>
      </c>
      <c r="O18" s="63">
        <f>IF(O4=0,0,O4/TrNavi_act!O4*1000)</f>
        <v>142.13056788956462</v>
      </c>
      <c r="P18" s="63">
        <f>IF(P4=0,0,P4/TrNavi_act!P4*1000)</f>
        <v>143.17370270685311</v>
      </c>
      <c r="Q18" s="63">
        <f>IF(Q4=0,0,Q4/TrNavi_act!Q4*1000)</f>
        <v>141.65391495993984</v>
      </c>
      <c r="R18" s="63">
        <f>IF(R4=0,0,R4/TrNavi_act!R4*1000)</f>
        <v>147.78780050896489</v>
      </c>
      <c r="S18" s="63">
        <f>IF(S4=0,0,S4/TrNavi_act!S4*1000)</f>
        <v>129.2460458963163</v>
      </c>
      <c r="T18" s="63">
        <f>IF(T4=0,0,T4/TrNavi_act!T4*1000)</f>
        <v>124.95472669603171</v>
      </c>
      <c r="U18" s="63">
        <f>IF(U4=0,0,U4/TrNavi_act!U4*1000)</f>
        <v>127.01691707603644</v>
      </c>
      <c r="V18" s="63">
        <f>IF(V4=0,0,V4/TrNavi_act!V4*1000)</f>
        <v>97.128319308992786</v>
      </c>
      <c r="W18" s="63">
        <f>IF(W4=0,0,W4/TrNavi_act!W4*1000)</f>
        <v>77.234704183194623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45.796466646108122</v>
      </c>
      <c r="S19" s="64">
        <f>IF(S5=0,0,S5/TrNavi_act!S5*1000)</f>
        <v>37.431263362360312</v>
      </c>
      <c r="T19" s="64">
        <f>IF(T5=0,0,T5/TrNavi_act!T5*1000)</f>
        <v>36.690231273979641</v>
      </c>
      <c r="U19" s="64">
        <f>IF(U5=0,0,U5/TrNavi_act!U5*1000)</f>
        <v>36.164846209958526</v>
      </c>
      <c r="V19" s="64">
        <f>IF(V5=0,0,V5/TrNavi_act!V5*1000)</f>
        <v>28.176398679214692</v>
      </c>
      <c r="W19" s="64">
        <f>IF(W5=0,0,W5/TrNavi_act!W5*1000)</f>
        <v>22.737409338147078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1</v>
      </c>
      <c r="C22" s="77">
        <f t="shared" si="5"/>
        <v>1</v>
      </c>
      <c r="D22" s="77">
        <f t="shared" si="5"/>
        <v>1</v>
      </c>
      <c r="E22" s="77">
        <f t="shared" si="5"/>
        <v>1</v>
      </c>
      <c r="F22" s="77">
        <f t="shared" si="5"/>
        <v>1</v>
      </c>
      <c r="G22" s="77">
        <f t="shared" si="5"/>
        <v>1</v>
      </c>
      <c r="H22" s="77">
        <f t="shared" si="5"/>
        <v>1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5"/>
        <v>1</v>
      </c>
      <c r="N22" s="77">
        <f t="shared" si="5"/>
        <v>1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0.99841567668095887</v>
      </c>
      <c r="S22" s="77">
        <f t="shared" si="5"/>
        <v>0.99959084891539063</v>
      </c>
      <c r="T22" s="77">
        <f t="shared" si="5"/>
        <v>0.99661742139148124</v>
      </c>
      <c r="U22" s="77">
        <f t="shared" si="5"/>
        <v>0.9960466323948024</v>
      </c>
      <c r="V22" s="77">
        <f t="shared" ref="V22:W22" si="6">IF(V4=0,0,V4/V$3)</f>
        <v>0.99359165420964179</v>
      </c>
      <c r="W22" s="77">
        <f t="shared" si="6"/>
        <v>0.99011350562343636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1.5843233190411176E-3</v>
      </c>
      <c r="S23" s="78">
        <f t="shared" si="7"/>
        <v>4.0915108460938321E-4</v>
      </c>
      <c r="T23" s="78">
        <f t="shared" si="7"/>
        <v>3.3825786085186775E-3</v>
      </c>
      <c r="U23" s="78">
        <f t="shared" si="7"/>
        <v>3.9533676051976378E-3</v>
      </c>
      <c r="V23" s="78">
        <f t="shared" ref="V23:W23" si="8">IF(V5=0,0,V5/V$3)</f>
        <v>6.4083457903582322E-3</v>
      </c>
      <c r="W23" s="78">
        <f t="shared" si="8"/>
        <v>9.8864943765636561E-3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89816.344649000006</v>
      </c>
      <c r="C3" s="54">
        <f t="shared" si="0"/>
        <v>87235.793468000003</v>
      </c>
      <c r="D3" s="54">
        <f t="shared" si="0"/>
        <v>90113.444034999993</v>
      </c>
      <c r="E3" s="54">
        <f t="shared" si="0"/>
        <v>93056.359414000006</v>
      </c>
      <c r="F3" s="54">
        <f t="shared" si="0"/>
        <v>94731.369028999994</v>
      </c>
      <c r="G3" s="54">
        <f t="shared" si="0"/>
        <v>107572.43254099999</v>
      </c>
      <c r="H3" s="54">
        <f t="shared" si="0"/>
        <v>101158.43492</v>
      </c>
      <c r="I3" s="54">
        <f t="shared" si="0"/>
        <v>101381.31027799999</v>
      </c>
      <c r="J3" s="54">
        <f t="shared" si="0"/>
        <v>111220.82791299999</v>
      </c>
      <c r="K3" s="54">
        <f t="shared" si="0"/>
        <v>96066.949261000002</v>
      </c>
      <c r="L3" s="54">
        <f t="shared" si="0"/>
        <v>118202.346622</v>
      </c>
      <c r="M3" s="54">
        <f t="shared" si="0"/>
        <v>106437.979131</v>
      </c>
      <c r="N3" s="54">
        <f t="shared" si="0"/>
        <v>99053.801480000009</v>
      </c>
      <c r="O3" s="54">
        <f t="shared" si="0"/>
        <v>105367.96379600001</v>
      </c>
      <c r="P3" s="54">
        <f t="shared" si="0"/>
        <v>114924.18195299999</v>
      </c>
      <c r="Q3" s="54">
        <f t="shared" si="0"/>
        <v>119470.392659</v>
      </c>
      <c r="R3" s="54">
        <f t="shared" ref="R3:W3" si="1">SUM(R4:R5)</f>
        <v>117291.07980000001</v>
      </c>
      <c r="S3" s="54">
        <f t="shared" si="1"/>
        <v>104643.24972399999</v>
      </c>
      <c r="T3" s="54">
        <f t="shared" si="1"/>
        <v>101399.28187899999</v>
      </c>
      <c r="U3" s="54">
        <f t="shared" si="1"/>
        <v>104961.11478</v>
      </c>
      <c r="V3" s="54">
        <f t="shared" si="1"/>
        <v>110212.08341799999</v>
      </c>
      <c r="W3" s="54">
        <f t="shared" si="1"/>
        <v>91397.873068000001</v>
      </c>
      <c r="DA3" s="172" t="s">
        <v>387</v>
      </c>
    </row>
    <row r="4" spans="1:105" ht="11.45" customHeight="1" x14ac:dyDescent="0.25">
      <c r="A4" s="55" t="s">
        <v>170</v>
      </c>
      <c r="B4" s="56">
        <v>39462.719531000002</v>
      </c>
      <c r="C4" s="56">
        <v>36394.281114000005</v>
      </c>
      <c r="D4" s="56">
        <v>38799.212320999999</v>
      </c>
      <c r="E4" s="56">
        <v>40164.920035999996</v>
      </c>
      <c r="F4" s="56">
        <v>42387.706074000002</v>
      </c>
      <c r="G4" s="56">
        <v>44408.550412999997</v>
      </c>
      <c r="H4" s="56">
        <v>44184.977018999998</v>
      </c>
      <c r="I4" s="56">
        <v>46832.666888</v>
      </c>
      <c r="J4" s="56">
        <v>48780.631793999994</v>
      </c>
      <c r="K4" s="56">
        <v>43067.462741999996</v>
      </c>
      <c r="L4" s="56">
        <v>47698.706839999999</v>
      </c>
      <c r="M4" s="56">
        <v>47464.70263</v>
      </c>
      <c r="N4" s="56">
        <v>43223.329148000004</v>
      </c>
      <c r="O4" s="56">
        <v>47094.360276000007</v>
      </c>
      <c r="P4" s="56">
        <v>47241.184694999996</v>
      </c>
      <c r="Q4" s="56">
        <v>46558.083744000003</v>
      </c>
      <c r="R4" s="56">
        <v>49288.407225000003</v>
      </c>
      <c r="S4" s="56">
        <v>49971.718003999995</v>
      </c>
      <c r="T4" s="56">
        <v>50311.995518999996</v>
      </c>
      <c r="U4" s="56">
        <v>49685.261286000001</v>
      </c>
      <c r="V4" s="56">
        <v>49822.493647999996</v>
      </c>
      <c r="W4" s="56">
        <v>50350.223901999998</v>
      </c>
      <c r="DA4" s="181" t="s">
        <v>388</v>
      </c>
    </row>
    <row r="5" spans="1:105" ht="11.45" customHeight="1" x14ac:dyDescent="0.25">
      <c r="A5" s="57" t="s">
        <v>171</v>
      </c>
      <c r="B5" s="58">
        <v>50353.625117999996</v>
      </c>
      <c r="C5" s="58">
        <v>50841.512353999999</v>
      </c>
      <c r="D5" s="58">
        <v>51314.231714000001</v>
      </c>
      <c r="E5" s="58">
        <v>52891.439378000003</v>
      </c>
      <c r="F5" s="58">
        <v>52343.662955</v>
      </c>
      <c r="G5" s="58">
        <v>63163.882127999997</v>
      </c>
      <c r="H5" s="58">
        <v>56973.457901000002</v>
      </c>
      <c r="I5" s="58">
        <v>54548.643389999997</v>
      </c>
      <c r="J5" s="58">
        <v>62440.196119</v>
      </c>
      <c r="K5" s="58">
        <v>52999.486518999998</v>
      </c>
      <c r="L5" s="58">
        <v>70503.639781999998</v>
      </c>
      <c r="M5" s="58">
        <v>58973.276501</v>
      </c>
      <c r="N5" s="58">
        <v>55830.472332000005</v>
      </c>
      <c r="O5" s="58">
        <v>58273.603520000004</v>
      </c>
      <c r="P5" s="58">
        <v>67682.997258000003</v>
      </c>
      <c r="Q5" s="58">
        <v>72912.308915000001</v>
      </c>
      <c r="R5" s="58">
        <v>68002.672575000004</v>
      </c>
      <c r="S5" s="58">
        <v>54671.531719999999</v>
      </c>
      <c r="T5" s="58">
        <v>51087.286359999998</v>
      </c>
      <c r="U5" s="58">
        <v>55275.853493999995</v>
      </c>
      <c r="V5" s="58">
        <v>60389.589769999999</v>
      </c>
      <c r="W5" s="58">
        <v>41047.649166000003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10.970935000000001</v>
      </c>
      <c r="C7" s="59">
        <f t="shared" si="2"/>
        <v>10.369177000000001</v>
      </c>
      <c r="D7" s="59">
        <f t="shared" si="2"/>
        <v>10.495412999999999</v>
      </c>
      <c r="E7" s="59">
        <f t="shared" si="2"/>
        <v>10.837342</v>
      </c>
      <c r="F7" s="59">
        <f t="shared" si="2"/>
        <v>11.448714000000002</v>
      </c>
      <c r="G7" s="59">
        <f t="shared" si="2"/>
        <v>11.873061999999999</v>
      </c>
      <c r="H7" s="59">
        <f t="shared" si="2"/>
        <v>10.870158</v>
      </c>
      <c r="I7" s="59">
        <f t="shared" si="2"/>
        <v>12.866719</v>
      </c>
      <c r="J7" s="59">
        <f t="shared" si="2"/>
        <v>12.732232000000002</v>
      </c>
      <c r="K7" s="59">
        <f t="shared" si="2"/>
        <v>10.398333000000001</v>
      </c>
      <c r="L7" s="59">
        <f t="shared" si="2"/>
        <v>11.846002</v>
      </c>
      <c r="M7" s="59">
        <f t="shared" si="2"/>
        <v>11.362102</v>
      </c>
      <c r="N7" s="59">
        <f t="shared" si="2"/>
        <v>9.9322730000000004</v>
      </c>
      <c r="O7" s="59">
        <f t="shared" si="2"/>
        <v>11.419273</v>
      </c>
      <c r="P7" s="59">
        <f t="shared" si="2"/>
        <v>11.419038</v>
      </c>
      <c r="Q7" s="59">
        <f t="shared" si="2"/>
        <v>10.964722</v>
      </c>
      <c r="R7" s="59">
        <f t="shared" si="2"/>
        <v>10.761862000000001</v>
      </c>
      <c r="S7" s="59">
        <f t="shared" si="2"/>
        <v>10.50826</v>
      </c>
      <c r="T7" s="59">
        <f t="shared" si="2"/>
        <v>10.718999</v>
      </c>
      <c r="U7" s="59">
        <f t="shared" si="2"/>
        <v>10.611825</v>
      </c>
      <c r="V7" s="59">
        <f t="shared" si="2"/>
        <v>9.7881320000000009</v>
      </c>
      <c r="W7" s="59">
        <f t="shared" si="2"/>
        <v>8.6798570000000002</v>
      </c>
      <c r="DA7" s="172" t="s">
        <v>961</v>
      </c>
    </row>
    <row r="8" spans="1:105" ht="11.45" customHeight="1" x14ac:dyDescent="0.25">
      <c r="A8" s="55" t="s">
        <v>170</v>
      </c>
      <c r="B8" s="60">
        <v>7.7991279999999996</v>
      </c>
      <c r="C8" s="60">
        <v>7.2716910000000006</v>
      </c>
      <c r="D8" s="60">
        <v>7.4450699999999994</v>
      </c>
      <c r="E8" s="60">
        <v>7.7050860000000005</v>
      </c>
      <c r="F8" s="60">
        <v>8.3712430000000015</v>
      </c>
      <c r="G8" s="60">
        <v>8.4360719999999993</v>
      </c>
      <c r="H8" s="60">
        <v>7.8208310000000001</v>
      </c>
      <c r="I8" s="60">
        <v>9.70749</v>
      </c>
      <c r="J8" s="60">
        <v>9.402273000000001</v>
      </c>
      <c r="K8" s="60">
        <v>7.7442480000000007</v>
      </c>
      <c r="L8" s="60">
        <v>8.5874400000000009</v>
      </c>
      <c r="M8" s="60">
        <v>8.5311620000000001</v>
      </c>
      <c r="N8" s="60">
        <v>7.4105530000000002</v>
      </c>
      <c r="O8" s="60">
        <v>8.6647130000000008</v>
      </c>
      <c r="P8" s="60">
        <v>8.3200579999999995</v>
      </c>
      <c r="Q8" s="60">
        <v>7.8761209999999995</v>
      </c>
      <c r="R8" s="60">
        <v>7.8112320000000004</v>
      </c>
      <c r="S8" s="60">
        <v>8.0184169999999995</v>
      </c>
      <c r="T8" s="60">
        <v>8.3209859999999995</v>
      </c>
      <c r="U8" s="60">
        <v>8.1920350000000006</v>
      </c>
      <c r="V8" s="60">
        <v>7.3693280000000003</v>
      </c>
      <c r="W8" s="60">
        <v>6.8327390000000001</v>
      </c>
      <c r="DA8" s="181" t="s">
        <v>962</v>
      </c>
    </row>
    <row r="9" spans="1:105" ht="11.45" customHeight="1" x14ac:dyDescent="0.25">
      <c r="A9" s="57" t="s">
        <v>171</v>
      </c>
      <c r="B9" s="61">
        <v>3.1718070000000003</v>
      </c>
      <c r="C9" s="61">
        <v>3.097486</v>
      </c>
      <c r="D9" s="61">
        <v>3.0503429999999998</v>
      </c>
      <c r="E9" s="61">
        <v>3.1322559999999999</v>
      </c>
      <c r="F9" s="61">
        <v>3.0774710000000001</v>
      </c>
      <c r="G9" s="61">
        <v>3.4369899999999998</v>
      </c>
      <c r="H9" s="61">
        <v>3.0493269999999999</v>
      </c>
      <c r="I9" s="61">
        <v>3.1592289999999998</v>
      </c>
      <c r="J9" s="61">
        <v>3.3299590000000001</v>
      </c>
      <c r="K9" s="61">
        <v>2.6540850000000002</v>
      </c>
      <c r="L9" s="61">
        <v>3.258562</v>
      </c>
      <c r="M9" s="61">
        <v>2.83094</v>
      </c>
      <c r="N9" s="61">
        <v>2.5217200000000002</v>
      </c>
      <c r="O9" s="61">
        <v>2.7545600000000001</v>
      </c>
      <c r="P9" s="61">
        <v>3.0989800000000001</v>
      </c>
      <c r="Q9" s="61">
        <v>3.0886010000000002</v>
      </c>
      <c r="R9" s="61">
        <v>2.9506299999999999</v>
      </c>
      <c r="S9" s="61">
        <v>2.489843</v>
      </c>
      <c r="T9" s="61">
        <v>2.3980129999999997</v>
      </c>
      <c r="U9" s="61">
        <v>2.4197899999999999</v>
      </c>
      <c r="V9" s="61">
        <v>2.4188039999999997</v>
      </c>
      <c r="W9" s="61">
        <v>1.847118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8186.7538773131</v>
      </c>
      <c r="C13" s="62">
        <f t="shared" si="3"/>
        <v>8412.9910665041207</v>
      </c>
      <c r="D13" s="62">
        <f t="shared" si="3"/>
        <v>8585.9836135081114</v>
      </c>
      <c r="E13" s="62">
        <f t="shared" si="3"/>
        <v>8586.6404708829905</v>
      </c>
      <c r="F13" s="62">
        <f t="shared" si="3"/>
        <v>8274.4113468988726</v>
      </c>
      <c r="G13" s="62">
        <f t="shared" si="3"/>
        <v>9060.2097875847012</v>
      </c>
      <c r="H13" s="62">
        <f t="shared" si="3"/>
        <v>9306.0684968884543</v>
      </c>
      <c r="I13" s="62">
        <f t="shared" si="3"/>
        <v>7879.3443983660472</v>
      </c>
      <c r="J13" s="62">
        <f t="shared" si="3"/>
        <v>8735.3755345488498</v>
      </c>
      <c r="K13" s="62">
        <f t="shared" si="3"/>
        <v>9238.6875147199062</v>
      </c>
      <c r="L13" s="62">
        <f t="shared" si="3"/>
        <v>9978.2480723876288</v>
      </c>
      <c r="M13" s="62">
        <f t="shared" si="3"/>
        <v>9367.8070423060799</v>
      </c>
      <c r="N13" s="62">
        <f t="shared" si="3"/>
        <v>9972.9237688090125</v>
      </c>
      <c r="O13" s="62">
        <f t="shared" si="3"/>
        <v>9227.2042008278459</v>
      </c>
      <c r="P13" s="62">
        <f t="shared" si="3"/>
        <v>10064.261276037438</v>
      </c>
      <c r="Q13" s="62">
        <f t="shared" si="3"/>
        <v>10895.888893398302</v>
      </c>
      <c r="R13" s="62">
        <f t="shared" si="3"/>
        <v>10898.771959722211</v>
      </c>
      <c r="S13" s="62">
        <f t="shared" si="3"/>
        <v>9958.190007099176</v>
      </c>
      <c r="T13" s="62">
        <f t="shared" si="3"/>
        <v>9459.7715587994717</v>
      </c>
      <c r="U13" s="62">
        <f t="shared" si="3"/>
        <v>9890.9579436147887</v>
      </c>
      <c r="V13" s="62">
        <f t="shared" si="3"/>
        <v>11259.766768368059</v>
      </c>
      <c r="W13" s="62">
        <f t="shared" si="3"/>
        <v>10529.882354974281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5059.888686401865</v>
      </c>
      <c r="C14" s="63">
        <f t="shared" si="3"/>
        <v>5004.9267926813727</v>
      </c>
      <c r="D14" s="63">
        <f t="shared" si="3"/>
        <v>5211.396578003968</v>
      </c>
      <c r="E14" s="63">
        <f t="shared" si="3"/>
        <v>5212.7802384035676</v>
      </c>
      <c r="F14" s="63">
        <f t="shared" si="3"/>
        <v>5063.4901022464637</v>
      </c>
      <c r="G14" s="63">
        <f t="shared" si="3"/>
        <v>5264.1265286735343</v>
      </c>
      <c r="H14" s="63">
        <f t="shared" si="3"/>
        <v>5649.6524498483595</v>
      </c>
      <c r="I14" s="63">
        <f t="shared" si="3"/>
        <v>4824.3847676381847</v>
      </c>
      <c r="J14" s="63">
        <f t="shared" si="3"/>
        <v>5188.1743695380883</v>
      </c>
      <c r="K14" s="63">
        <f t="shared" si="3"/>
        <v>5561.219467919931</v>
      </c>
      <c r="L14" s="63">
        <f t="shared" si="3"/>
        <v>5554.4733750687046</v>
      </c>
      <c r="M14" s="63">
        <f t="shared" si="3"/>
        <v>5563.6855366244363</v>
      </c>
      <c r="N14" s="63">
        <f t="shared" si="3"/>
        <v>5832.6725614134339</v>
      </c>
      <c r="O14" s="63">
        <f t="shared" si="3"/>
        <v>5435.1898644536759</v>
      </c>
      <c r="P14" s="63">
        <f t="shared" si="3"/>
        <v>5677.9874244867042</v>
      </c>
      <c r="Q14" s="63">
        <f t="shared" si="3"/>
        <v>5911.2961499702715</v>
      </c>
      <c r="R14" s="63">
        <f t="shared" si="3"/>
        <v>6309.9402533428783</v>
      </c>
      <c r="S14" s="63">
        <f t="shared" si="3"/>
        <v>6232.1176366856453</v>
      </c>
      <c r="T14" s="63">
        <f t="shared" si="3"/>
        <v>6046.3982896978796</v>
      </c>
      <c r="U14" s="63">
        <f t="shared" si="3"/>
        <v>6065.0694590538242</v>
      </c>
      <c r="V14" s="63">
        <f t="shared" si="3"/>
        <v>6760.7919810327339</v>
      </c>
      <c r="W14" s="63">
        <f t="shared" si="3"/>
        <v>7368.9663694164228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15875.374862972429</v>
      </c>
      <c r="C15" s="64">
        <f t="shared" si="3"/>
        <v>16413.7989175738</v>
      </c>
      <c r="D15" s="64">
        <f t="shared" si="3"/>
        <v>16822.446431106273</v>
      </c>
      <c r="E15" s="64">
        <f t="shared" si="3"/>
        <v>16886.052537851312</v>
      </c>
      <c r="F15" s="64">
        <f t="shared" si="3"/>
        <v>17008.661642952931</v>
      </c>
      <c r="G15" s="64">
        <f t="shared" si="3"/>
        <v>18377.674106703831</v>
      </c>
      <c r="H15" s="64">
        <f t="shared" si="3"/>
        <v>18683.944982286255</v>
      </c>
      <c r="I15" s="64">
        <f t="shared" si="3"/>
        <v>17266.441714101762</v>
      </c>
      <c r="J15" s="64">
        <f t="shared" si="3"/>
        <v>18751.040514012333</v>
      </c>
      <c r="K15" s="64">
        <f t="shared" si="3"/>
        <v>19969.023795017867</v>
      </c>
      <c r="L15" s="64">
        <f t="shared" si="3"/>
        <v>21636.427289706317</v>
      </c>
      <c r="M15" s="64">
        <f t="shared" si="3"/>
        <v>20831.694243254889</v>
      </c>
      <c r="N15" s="64">
        <f t="shared" si="3"/>
        <v>22139.838020081534</v>
      </c>
      <c r="O15" s="64">
        <f t="shared" si="3"/>
        <v>21155.3219098513</v>
      </c>
      <c r="P15" s="64">
        <f t="shared" si="3"/>
        <v>21840.411121723922</v>
      </c>
      <c r="Q15" s="64">
        <f t="shared" si="3"/>
        <v>23606.904522468263</v>
      </c>
      <c r="R15" s="64">
        <f t="shared" si="3"/>
        <v>23046.831549533494</v>
      </c>
      <c r="S15" s="64">
        <f t="shared" si="3"/>
        <v>21957.822931004084</v>
      </c>
      <c r="T15" s="64">
        <f t="shared" si="3"/>
        <v>21304.007259343467</v>
      </c>
      <c r="U15" s="64">
        <f t="shared" si="3"/>
        <v>22843.244039358786</v>
      </c>
      <c r="V15" s="64">
        <f t="shared" si="3"/>
        <v>24966.714859905973</v>
      </c>
      <c r="W15" s="64">
        <f t="shared" si="3"/>
        <v>22222.53757799989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0.43937124902176</v>
      </c>
      <c r="C18" s="66">
        <f t="shared" si="4"/>
        <v>0.41719436102051644</v>
      </c>
      <c r="D18" s="66">
        <f t="shared" si="4"/>
        <v>0.4305596433083882</v>
      </c>
      <c r="E18" s="66">
        <f t="shared" si="4"/>
        <v>0.43161929274827532</v>
      </c>
      <c r="F18" s="66">
        <f t="shared" si="4"/>
        <v>0.44745163622647433</v>
      </c>
      <c r="G18" s="66">
        <f t="shared" si="4"/>
        <v>0.41282463698191629</v>
      </c>
      <c r="H18" s="66">
        <f t="shared" si="4"/>
        <v>0.43678984410882976</v>
      </c>
      <c r="I18" s="66">
        <f t="shared" si="4"/>
        <v>0.46194576455541048</v>
      </c>
      <c r="J18" s="66">
        <f t="shared" si="4"/>
        <v>0.43859259735197759</v>
      </c>
      <c r="K18" s="66">
        <f t="shared" si="4"/>
        <v>0.44830675974722517</v>
      </c>
      <c r="L18" s="66">
        <f t="shared" si="4"/>
        <v>0.4035343476939251</v>
      </c>
      <c r="M18" s="66">
        <f t="shared" si="4"/>
        <v>0.44593765324670592</v>
      </c>
      <c r="N18" s="66">
        <f t="shared" si="4"/>
        <v>0.43636214362481829</v>
      </c>
      <c r="O18" s="66">
        <f t="shared" si="4"/>
        <v>0.44695141273848749</v>
      </c>
      <c r="P18" s="66">
        <f t="shared" si="4"/>
        <v>0.41106391963981964</v>
      </c>
      <c r="Q18" s="66">
        <f t="shared" si="4"/>
        <v>0.38970394846603584</v>
      </c>
      <c r="R18" s="66">
        <f t="shared" si="4"/>
        <v>0.42022298122793816</v>
      </c>
      <c r="S18" s="66">
        <f t="shared" si="4"/>
        <v>0.47754363645817616</v>
      </c>
      <c r="T18" s="66">
        <f t="shared" si="4"/>
        <v>0.49617703978453637</v>
      </c>
      <c r="U18" s="66">
        <f t="shared" si="4"/>
        <v>0.47336826966959161</v>
      </c>
      <c r="V18" s="66">
        <f t="shared" si="4"/>
        <v>0.45206017437342916</v>
      </c>
      <c r="W18" s="66">
        <f t="shared" si="4"/>
        <v>0.5508905427650318</v>
      </c>
      <c r="DA18" s="181"/>
    </row>
    <row r="19" spans="1:105" ht="11.45" customHeight="1" x14ac:dyDescent="0.25">
      <c r="A19" s="57" t="s">
        <v>171</v>
      </c>
      <c r="B19" s="67">
        <f t="shared" si="4"/>
        <v>0.56062875097823994</v>
      </c>
      <c r="C19" s="67">
        <f t="shared" si="4"/>
        <v>0.58280563897948356</v>
      </c>
      <c r="D19" s="67">
        <f t="shared" si="4"/>
        <v>0.56944035669161186</v>
      </c>
      <c r="E19" s="67">
        <f t="shared" si="4"/>
        <v>0.56838070725172463</v>
      </c>
      <c r="F19" s="67">
        <f t="shared" si="4"/>
        <v>0.55254836377352579</v>
      </c>
      <c r="G19" s="67">
        <f t="shared" si="4"/>
        <v>0.58717536301808382</v>
      </c>
      <c r="H19" s="67">
        <f t="shared" si="4"/>
        <v>0.56321015589117029</v>
      </c>
      <c r="I19" s="67">
        <f t="shared" si="4"/>
        <v>0.53805423544458963</v>
      </c>
      <c r="J19" s="67">
        <f t="shared" si="4"/>
        <v>0.56140740264802247</v>
      </c>
      <c r="K19" s="67">
        <f t="shared" si="4"/>
        <v>0.55169324025277477</v>
      </c>
      <c r="L19" s="67">
        <f t="shared" si="4"/>
        <v>0.59646565230607496</v>
      </c>
      <c r="M19" s="67">
        <f t="shared" si="4"/>
        <v>0.55406234675329402</v>
      </c>
      <c r="N19" s="67">
        <f t="shared" si="4"/>
        <v>0.56363785637518171</v>
      </c>
      <c r="O19" s="67">
        <f t="shared" si="4"/>
        <v>0.55304858726151251</v>
      </c>
      <c r="P19" s="67">
        <f t="shared" si="4"/>
        <v>0.58893608036018041</v>
      </c>
      <c r="Q19" s="67">
        <f t="shared" si="4"/>
        <v>0.61029605153396416</v>
      </c>
      <c r="R19" s="67">
        <f t="shared" si="4"/>
        <v>0.57977701877206178</v>
      </c>
      <c r="S19" s="67">
        <f t="shared" si="4"/>
        <v>0.5224563635418239</v>
      </c>
      <c r="T19" s="67">
        <f t="shared" si="4"/>
        <v>0.50382296021546369</v>
      </c>
      <c r="U19" s="67">
        <f t="shared" si="4"/>
        <v>0.52663173033040833</v>
      </c>
      <c r="V19" s="67">
        <f t="shared" si="4"/>
        <v>0.54793982562657084</v>
      </c>
      <c r="W19" s="67">
        <f t="shared" si="4"/>
        <v>0.44910945723496826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0.7108900016270262</v>
      </c>
      <c r="C22" s="66">
        <f t="shared" si="5"/>
        <v>0.70127947473555519</v>
      </c>
      <c r="D22" s="66">
        <f t="shared" si="5"/>
        <v>0.70936417652168615</v>
      </c>
      <c r="E22" s="66">
        <f t="shared" si="5"/>
        <v>0.71097562483494581</v>
      </c>
      <c r="F22" s="66">
        <f t="shared" si="5"/>
        <v>0.73119504950512348</v>
      </c>
      <c r="G22" s="66">
        <f t="shared" si="5"/>
        <v>0.71052202035161616</v>
      </c>
      <c r="H22" s="66">
        <f t="shared" si="5"/>
        <v>0.71947721459062508</v>
      </c>
      <c r="I22" s="66">
        <f t="shared" si="5"/>
        <v>0.75446506603587127</v>
      </c>
      <c r="J22" s="66">
        <f t="shared" si="5"/>
        <v>0.73846227432864875</v>
      </c>
      <c r="K22" s="66">
        <f t="shared" si="5"/>
        <v>0.74475860698056118</v>
      </c>
      <c r="L22" s="66">
        <f t="shared" si="5"/>
        <v>0.72492305842933347</v>
      </c>
      <c r="M22" s="66">
        <f t="shared" si="5"/>
        <v>0.75084363791136532</v>
      </c>
      <c r="N22" s="66">
        <f t="shared" si="5"/>
        <v>0.74610846882682347</v>
      </c>
      <c r="O22" s="66">
        <f t="shared" si="5"/>
        <v>0.7587797401813583</v>
      </c>
      <c r="P22" s="66">
        <f t="shared" si="5"/>
        <v>0.72861286563719285</v>
      </c>
      <c r="Q22" s="66">
        <f t="shared" si="5"/>
        <v>0.71831470054598734</v>
      </c>
      <c r="R22" s="66">
        <f t="shared" si="5"/>
        <v>0.72582532650948317</v>
      </c>
      <c r="S22" s="66">
        <f t="shared" si="5"/>
        <v>0.76305848922657027</v>
      </c>
      <c r="T22" s="66">
        <f t="shared" si="5"/>
        <v>0.7762838675514383</v>
      </c>
      <c r="U22" s="66">
        <f t="shared" si="5"/>
        <v>0.771972304481086</v>
      </c>
      <c r="V22" s="66">
        <f t="shared" si="5"/>
        <v>0.75288400279031786</v>
      </c>
      <c r="W22" s="66">
        <f t="shared" si="5"/>
        <v>0.78719488120599224</v>
      </c>
      <c r="DA22" s="181"/>
    </row>
    <row r="23" spans="1:105" ht="11.45" customHeight="1" x14ac:dyDescent="0.25">
      <c r="A23" s="57" t="s">
        <v>171</v>
      </c>
      <c r="B23" s="67">
        <f t="shared" si="5"/>
        <v>0.28910999837297369</v>
      </c>
      <c r="C23" s="67">
        <f t="shared" si="5"/>
        <v>0.29872052526444481</v>
      </c>
      <c r="D23" s="67">
        <f t="shared" si="5"/>
        <v>0.29063582347831379</v>
      </c>
      <c r="E23" s="67">
        <f t="shared" si="5"/>
        <v>0.2890243751650543</v>
      </c>
      <c r="F23" s="67">
        <f t="shared" si="5"/>
        <v>0.26880495049487652</v>
      </c>
      <c r="G23" s="67">
        <f t="shared" si="5"/>
        <v>0.2894779796483839</v>
      </c>
      <c r="H23" s="67">
        <f t="shared" si="5"/>
        <v>0.28052278540937492</v>
      </c>
      <c r="I23" s="67">
        <f t="shared" si="5"/>
        <v>0.24553493396412868</v>
      </c>
      <c r="J23" s="67">
        <f t="shared" si="5"/>
        <v>0.26153772567135125</v>
      </c>
      <c r="K23" s="67">
        <f t="shared" si="5"/>
        <v>0.25524139301943877</v>
      </c>
      <c r="L23" s="67">
        <f t="shared" si="5"/>
        <v>0.27507694157066659</v>
      </c>
      <c r="M23" s="67">
        <f t="shared" si="5"/>
        <v>0.24915636208863465</v>
      </c>
      <c r="N23" s="67">
        <f t="shared" si="5"/>
        <v>0.25389153117317659</v>
      </c>
      <c r="O23" s="67">
        <f t="shared" si="5"/>
        <v>0.2412202598186417</v>
      </c>
      <c r="P23" s="67">
        <f t="shared" si="5"/>
        <v>0.27138713436280709</v>
      </c>
      <c r="Q23" s="67">
        <f t="shared" si="5"/>
        <v>0.28168529945401261</v>
      </c>
      <c r="R23" s="67">
        <f t="shared" si="5"/>
        <v>0.27417467349051677</v>
      </c>
      <c r="S23" s="67">
        <f t="shared" si="5"/>
        <v>0.23694151077342968</v>
      </c>
      <c r="T23" s="67">
        <f t="shared" si="5"/>
        <v>0.22371613244856164</v>
      </c>
      <c r="U23" s="67">
        <f t="shared" si="5"/>
        <v>0.22802769551891403</v>
      </c>
      <c r="V23" s="67">
        <f t="shared" si="5"/>
        <v>0.24711599720968205</v>
      </c>
      <c r="W23" s="67">
        <f t="shared" si="5"/>
        <v>0.21280511879400779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1357.3469475494408</v>
      </c>
      <c r="C3" s="62">
        <f t="shared" ref="C3:W3" si="0">SUM(C4,C10)</f>
        <v>1388.1341358555455</v>
      </c>
      <c r="D3" s="62">
        <f t="shared" si="0"/>
        <v>1204.5906276870162</v>
      </c>
      <c r="E3" s="62">
        <f t="shared" si="0"/>
        <v>1612.2098882201203</v>
      </c>
      <c r="F3" s="62">
        <f t="shared" si="0"/>
        <v>1894.3537403267414</v>
      </c>
      <c r="G3" s="62">
        <f t="shared" si="0"/>
        <v>1934.3508168529659</v>
      </c>
      <c r="H3" s="62">
        <f t="shared" si="0"/>
        <v>2077.6918314703353</v>
      </c>
      <c r="I3" s="62">
        <f t="shared" si="0"/>
        <v>2067.1730008598452</v>
      </c>
      <c r="J3" s="62">
        <f t="shared" si="0"/>
        <v>2031.6662080825445</v>
      </c>
      <c r="K3" s="62">
        <f t="shared" si="0"/>
        <v>2112.7018056749785</v>
      </c>
      <c r="L3" s="62">
        <f t="shared" si="0"/>
        <v>1957.3851246775575</v>
      </c>
      <c r="M3" s="62">
        <f t="shared" si="0"/>
        <v>1719.5710232158208</v>
      </c>
      <c r="N3" s="62">
        <f t="shared" si="0"/>
        <v>1689.8442820292348</v>
      </c>
      <c r="O3" s="62">
        <f t="shared" si="0"/>
        <v>1597.463456577816</v>
      </c>
      <c r="P3" s="62">
        <f t="shared" si="0"/>
        <v>1718.6920894239038</v>
      </c>
      <c r="Q3" s="62">
        <f t="shared" si="0"/>
        <v>1826.4450558899398</v>
      </c>
      <c r="R3" s="62">
        <f t="shared" si="0"/>
        <v>2003.229234737747</v>
      </c>
      <c r="S3" s="62">
        <f t="shared" si="0"/>
        <v>2381.9689595872742</v>
      </c>
      <c r="T3" s="62">
        <f t="shared" si="0"/>
        <v>1810.239724849527</v>
      </c>
      <c r="U3" s="62">
        <f t="shared" si="0"/>
        <v>2063.4412725709376</v>
      </c>
      <c r="V3" s="62">
        <f t="shared" si="0"/>
        <v>2578.1041272570938</v>
      </c>
      <c r="W3" s="62">
        <f t="shared" si="0"/>
        <v>2561.7102321582111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706.12342783185068</v>
      </c>
      <c r="C4" s="71">
        <f t="shared" ref="C4:W4" si="1">SUM(C5:C9)</f>
        <v>711.34420442643523</v>
      </c>
      <c r="D4" s="71">
        <f t="shared" si="1"/>
        <v>620.70882738968658</v>
      </c>
      <c r="E4" s="71">
        <f t="shared" si="1"/>
        <v>831.53050158638951</v>
      </c>
      <c r="F4" s="71">
        <f t="shared" si="1"/>
        <v>993.86164823554543</v>
      </c>
      <c r="G4" s="71">
        <f t="shared" si="1"/>
        <v>993.68026327152052</v>
      </c>
      <c r="H4" s="71">
        <f t="shared" si="1"/>
        <v>1078.4737992423936</v>
      </c>
      <c r="I4" s="71">
        <f t="shared" si="1"/>
        <v>1102.0960888276838</v>
      </c>
      <c r="J4" s="71">
        <f t="shared" si="1"/>
        <v>1071.8857452571117</v>
      </c>
      <c r="K4" s="71">
        <f t="shared" si="1"/>
        <v>1129.6229252289154</v>
      </c>
      <c r="L4" s="71">
        <f t="shared" si="1"/>
        <v>1012.1934864593339</v>
      </c>
      <c r="M4" s="71">
        <f t="shared" si="1"/>
        <v>915.36550598208419</v>
      </c>
      <c r="N4" s="71">
        <f t="shared" si="1"/>
        <v>896.50023177536775</v>
      </c>
      <c r="O4" s="71">
        <f t="shared" si="1"/>
        <v>852.79239244268024</v>
      </c>
      <c r="P4" s="71">
        <f t="shared" si="1"/>
        <v>884.97893966787899</v>
      </c>
      <c r="Q4" s="71">
        <f t="shared" si="1"/>
        <v>928.73763856643814</v>
      </c>
      <c r="R4" s="71">
        <f t="shared" si="1"/>
        <v>1035.7015910032098</v>
      </c>
      <c r="S4" s="71">
        <f t="shared" si="1"/>
        <v>1286.1753560255113</v>
      </c>
      <c r="T4" s="71">
        <f t="shared" si="1"/>
        <v>990.14819615025976</v>
      </c>
      <c r="U4" s="71">
        <f t="shared" si="1"/>
        <v>1122.0719032850675</v>
      </c>
      <c r="V4" s="71">
        <f t="shared" si="1"/>
        <v>1292.4660384428896</v>
      </c>
      <c r="W4" s="71">
        <f t="shared" si="1"/>
        <v>1314.929957880018</v>
      </c>
      <c r="DA4" s="186" t="s">
        <v>969</v>
      </c>
    </row>
    <row r="5" spans="1:105" ht="11.45" customHeight="1" x14ac:dyDescent="0.25">
      <c r="A5" s="72" t="s">
        <v>145</v>
      </c>
      <c r="B5" s="73">
        <v>144.68130456207734</v>
      </c>
      <c r="C5" s="73">
        <v>129.42759779239773</v>
      </c>
      <c r="D5" s="73">
        <v>126.96388688575877</v>
      </c>
      <c r="E5" s="73">
        <v>146.20418867788075</v>
      </c>
      <c r="F5" s="73">
        <v>125.16945871245169</v>
      </c>
      <c r="G5" s="73">
        <v>130.46336349338131</v>
      </c>
      <c r="H5" s="73">
        <v>124.69242441711521</v>
      </c>
      <c r="I5" s="73">
        <v>113.39548549138966</v>
      </c>
      <c r="J5" s="73">
        <v>88.471931141164063</v>
      </c>
      <c r="K5" s="73">
        <v>74.697229189452059</v>
      </c>
      <c r="L5" s="73">
        <v>155.73209759356646</v>
      </c>
      <c r="M5" s="73">
        <v>178.2470488735388</v>
      </c>
      <c r="N5" s="73">
        <v>208.11786882312126</v>
      </c>
      <c r="O5" s="73">
        <v>211.79621727697233</v>
      </c>
      <c r="P5" s="73">
        <v>271.86783029110063</v>
      </c>
      <c r="Q5" s="73">
        <v>670.12925579588671</v>
      </c>
      <c r="R5" s="73">
        <v>595.49608721583377</v>
      </c>
      <c r="S5" s="73">
        <v>627.38560154808022</v>
      </c>
      <c r="T5" s="73">
        <v>455.77459072660139</v>
      </c>
      <c r="U5" s="73">
        <v>414.78839063116806</v>
      </c>
      <c r="V5" s="73">
        <v>583.4516910720298</v>
      </c>
      <c r="W5" s="73">
        <v>687.9555844853445</v>
      </c>
      <c r="DA5" s="187" t="s">
        <v>970</v>
      </c>
    </row>
    <row r="6" spans="1:105" ht="11.45" customHeight="1" x14ac:dyDescent="0.25">
      <c r="A6" s="72" t="s">
        <v>146</v>
      </c>
      <c r="B6" s="73">
        <v>561.44212326977333</v>
      </c>
      <c r="C6" s="73">
        <v>581.91660663403752</v>
      </c>
      <c r="D6" s="73">
        <v>493.74494050392775</v>
      </c>
      <c r="E6" s="73">
        <v>685.32631290850873</v>
      </c>
      <c r="F6" s="73">
        <v>868.6921895230937</v>
      </c>
      <c r="G6" s="73">
        <v>863.21689977813924</v>
      </c>
      <c r="H6" s="73">
        <v>953.78137482527836</v>
      </c>
      <c r="I6" s="73">
        <v>988.70060333629419</v>
      </c>
      <c r="J6" s="73">
        <v>983.41381411594773</v>
      </c>
      <c r="K6" s="73">
        <v>1054.9256960394632</v>
      </c>
      <c r="L6" s="73">
        <v>856.4613888657675</v>
      </c>
      <c r="M6" s="73">
        <v>737.11845710854539</v>
      </c>
      <c r="N6" s="73">
        <v>688.38236295224647</v>
      </c>
      <c r="O6" s="73">
        <v>640.99617516570788</v>
      </c>
      <c r="P6" s="73">
        <v>613.11110937677836</v>
      </c>
      <c r="Q6" s="73">
        <v>258.60838277055149</v>
      </c>
      <c r="R6" s="73">
        <v>440.20550378737613</v>
      </c>
      <c r="S6" s="73">
        <v>648.50603410251836</v>
      </c>
      <c r="T6" s="73">
        <v>522.67463927710651</v>
      </c>
      <c r="U6" s="73">
        <v>697.88137996868443</v>
      </c>
      <c r="V6" s="73">
        <v>699.01683030333834</v>
      </c>
      <c r="W6" s="73">
        <v>618.01057389232449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10.283720374912805</v>
      </c>
      <c r="T8" s="73">
        <v>11.698966146551857</v>
      </c>
      <c r="U8" s="73">
        <v>9.4021326852151201</v>
      </c>
      <c r="V8" s="73">
        <v>9.9975170675213185</v>
      </c>
      <c r="W8" s="73">
        <v>8.9637995023491417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651.22351971759019</v>
      </c>
      <c r="C10" s="71">
        <f t="shared" ref="C10:W10" si="2">SUM(C11:C15)</f>
        <v>676.78993142911042</v>
      </c>
      <c r="D10" s="71">
        <f t="shared" si="2"/>
        <v>583.88180029732962</v>
      </c>
      <c r="E10" s="71">
        <f t="shared" si="2"/>
        <v>780.67938663373093</v>
      </c>
      <c r="F10" s="71">
        <f t="shared" si="2"/>
        <v>900.49209209119601</v>
      </c>
      <c r="G10" s="71">
        <f t="shared" si="2"/>
        <v>940.67055358144535</v>
      </c>
      <c r="H10" s="71">
        <f t="shared" si="2"/>
        <v>999.21803222794165</v>
      </c>
      <c r="I10" s="71">
        <f t="shared" si="2"/>
        <v>965.07691203216143</v>
      </c>
      <c r="J10" s="71">
        <f t="shared" si="2"/>
        <v>959.78046282543289</v>
      </c>
      <c r="K10" s="71">
        <f t="shared" si="2"/>
        <v>983.07888044606318</v>
      </c>
      <c r="L10" s="71">
        <f t="shared" si="2"/>
        <v>945.1916382182236</v>
      </c>
      <c r="M10" s="71">
        <f t="shared" si="2"/>
        <v>804.20551723373671</v>
      </c>
      <c r="N10" s="71">
        <f t="shared" si="2"/>
        <v>793.34405025386695</v>
      </c>
      <c r="O10" s="71">
        <f t="shared" si="2"/>
        <v>744.67106413513591</v>
      </c>
      <c r="P10" s="71">
        <f t="shared" si="2"/>
        <v>833.7131497560249</v>
      </c>
      <c r="Q10" s="71">
        <f t="shared" si="2"/>
        <v>897.70741732350166</v>
      </c>
      <c r="R10" s="71">
        <f t="shared" si="2"/>
        <v>967.52764373453704</v>
      </c>
      <c r="S10" s="71">
        <f t="shared" si="2"/>
        <v>1095.7936035617627</v>
      </c>
      <c r="T10" s="71">
        <f t="shared" si="2"/>
        <v>820.0915286992672</v>
      </c>
      <c r="U10" s="71">
        <f t="shared" si="2"/>
        <v>941.36936928586999</v>
      </c>
      <c r="V10" s="71">
        <f t="shared" si="2"/>
        <v>1285.6380888142039</v>
      </c>
      <c r="W10" s="71">
        <f t="shared" si="2"/>
        <v>1246.780274278193</v>
      </c>
      <c r="DA10" s="186" t="s">
        <v>975</v>
      </c>
    </row>
    <row r="11" spans="1:105" ht="11.45" customHeight="1" x14ac:dyDescent="0.25">
      <c r="A11" s="72" t="s">
        <v>145</v>
      </c>
      <c r="B11" s="73">
        <v>25.806915558300936</v>
      </c>
      <c r="C11" s="73">
        <v>23.600949069167182</v>
      </c>
      <c r="D11" s="73">
        <v>22.983576570819025</v>
      </c>
      <c r="E11" s="73">
        <v>26.338115707329955</v>
      </c>
      <c r="F11" s="73">
        <v>21.696921339139028</v>
      </c>
      <c r="G11" s="73">
        <v>23.592268492861074</v>
      </c>
      <c r="H11" s="73">
        <v>22.173955634475504</v>
      </c>
      <c r="I11" s="73">
        <v>19.092304706374751</v>
      </c>
      <c r="J11" s="73">
        <v>15.25885131799323</v>
      </c>
      <c r="K11" s="73">
        <v>12.600965135569444</v>
      </c>
      <c r="L11" s="73">
        <v>28.107627255960626</v>
      </c>
      <c r="M11" s="73">
        <v>30.241515184930698</v>
      </c>
      <c r="N11" s="73">
        <v>35.289955768452231</v>
      </c>
      <c r="O11" s="73">
        <v>35.719775844265889</v>
      </c>
      <c r="P11" s="73">
        <v>49.594852426010263</v>
      </c>
      <c r="Q11" s="73">
        <v>124.7976573597453</v>
      </c>
      <c r="R11" s="73">
        <v>106.99746394495719</v>
      </c>
      <c r="S11" s="73">
        <v>102.14191349921128</v>
      </c>
      <c r="T11" s="73">
        <v>71.94724934218614</v>
      </c>
      <c r="U11" s="73">
        <v>65.65142020288188</v>
      </c>
      <c r="V11" s="73">
        <v>106.44727711369666</v>
      </c>
      <c r="W11" s="73">
        <v>117.69910167114718</v>
      </c>
      <c r="DA11" s="187" t="s">
        <v>976</v>
      </c>
    </row>
    <row r="12" spans="1:105" ht="11.45" customHeight="1" x14ac:dyDescent="0.25">
      <c r="A12" s="72" t="s">
        <v>146</v>
      </c>
      <c r="B12" s="73">
        <v>625.41660415928925</v>
      </c>
      <c r="C12" s="73">
        <v>653.18898235994322</v>
      </c>
      <c r="D12" s="73">
        <v>560.89822372651065</v>
      </c>
      <c r="E12" s="73">
        <v>754.34127092640097</v>
      </c>
      <c r="F12" s="73">
        <v>878.79517075205695</v>
      </c>
      <c r="G12" s="73">
        <v>917.07828508858427</v>
      </c>
      <c r="H12" s="73">
        <v>977.04407659346612</v>
      </c>
      <c r="I12" s="73">
        <v>945.98460732578667</v>
      </c>
      <c r="J12" s="73">
        <v>944.52161150743962</v>
      </c>
      <c r="K12" s="73">
        <v>970.4779153104937</v>
      </c>
      <c r="L12" s="73">
        <v>917.08401096226294</v>
      </c>
      <c r="M12" s="73">
        <v>773.96400204880604</v>
      </c>
      <c r="N12" s="73">
        <v>758.05409448541468</v>
      </c>
      <c r="O12" s="73">
        <v>708.95128829087002</v>
      </c>
      <c r="P12" s="73">
        <v>784.11829733001468</v>
      </c>
      <c r="Q12" s="73">
        <v>772.9097599637563</v>
      </c>
      <c r="R12" s="73">
        <v>860.53017978957985</v>
      </c>
      <c r="S12" s="73">
        <v>984.89018257847886</v>
      </c>
      <c r="T12" s="73">
        <v>738.45459546064058</v>
      </c>
      <c r="U12" s="73">
        <v>867.82996998832357</v>
      </c>
      <c r="V12" s="73">
        <v>1169.2461103673409</v>
      </c>
      <c r="W12" s="73">
        <v>1120.5819454541929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8.7615074840725757</v>
      </c>
      <c r="T14" s="73">
        <v>9.6896838964404033</v>
      </c>
      <c r="U14" s="73">
        <v>7.8879790946644999</v>
      </c>
      <c r="V14" s="73">
        <v>9.9447013331665524</v>
      </c>
      <c r="W14" s="73">
        <v>8.4992271528529191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12372.208453968969</v>
      </c>
      <c r="C19" s="62">
        <f>IF(C3=0,0,C3/MBunk_act!C7*100)</f>
        <v>13387.1196899768</v>
      </c>
      <c r="D19" s="62">
        <f>IF(D3=0,0,D3/MBunk_act!D7*100)</f>
        <v>11477.305635204792</v>
      </c>
      <c r="E19" s="62">
        <f>IF(E3=0,0,E3/MBunk_act!E7*100)</f>
        <v>14876.4326918918</v>
      </c>
      <c r="F19" s="62">
        <f>IF(F3=0,0,F3/MBunk_act!F7*100)</f>
        <v>16546.432554143121</v>
      </c>
      <c r="G19" s="62">
        <f>IF(G3=0,0,G3/MBunk_act!G7*100)</f>
        <v>16291.928879449682</v>
      </c>
      <c r="H19" s="62">
        <f>IF(H3=0,0,H3/MBunk_act!H7*100)</f>
        <v>19113.722463558814</v>
      </c>
      <c r="I19" s="62">
        <f>IF(I3=0,0,I3/MBunk_act!I7*100)</f>
        <v>16066.046059293321</v>
      </c>
      <c r="J19" s="62">
        <f>IF(J3=0,0,J3/MBunk_act!J7*100)</f>
        <v>15956.873925031718</v>
      </c>
      <c r="K19" s="62">
        <f>IF(K3=0,0,K3/MBunk_act!K7*100)</f>
        <v>20317.69713159771</v>
      </c>
      <c r="L19" s="62">
        <f>IF(L3=0,0,L3/MBunk_act!L7*100)</f>
        <v>16523.592725018596</v>
      </c>
      <c r="M19" s="62">
        <f>IF(M3=0,0,M3/MBunk_act!M7*100)</f>
        <v>15134.268493768326</v>
      </c>
      <c r="N19" s="62">
        <f>IF(N3=0,0,N3/MBunk_act!N7*100)</f>
        <v>17013.671311987044</v>
      </c>
      <c r="O19" s="62">
        <f>IF(O3=0,0,O3/MBunk_act!O7*100)</f>
        <v>13989.187022482218</v>
      </c>
      <c r="P19" s="62">
        <f>IF(P3=0,0,P3/MBunk_act!P7*100)</f>
        <v>15051.111043013463</v>
      </c>
      <c r="Q19" s="62">
        <f>IF(Q3=0,0,Q3/MBunk_act!Q7*100)</f>
        <v>16657.46797675253</v>
      </c>
      <c r="R19" s="62">
        <f>IF(R3=0,0,R3/MBunk_act!R7*100)</f>
        <v>18614.150922375204</v>
      </c>
      <c r="S19" s="62">
        <f>IF(S3=0,0,S3/MBunk_act!S7*100)</f>
        <v>22667.586827764771</v>
      </c>
      <c r="T19" s="62">
        <f>IF(T3=0,0,T3/MBunk_act!T7*100)</f>
        <v>16888.141559202748</v>
      </c>
      <c r="U19" s="62">
        <f>IF(U3=0,0,U3/MBunk_act!U7*100)</f>
        <v>19444.735213508869</v>
      </c>
      <c r="V19" s="62">
        <f>IF(V3=0,0,V3/MBunk_act!V7*100)</f>
        <v>26339.082138012578</v>
      </c>
      <c r="W19" s="62">
        <f>IF(W3=0,0,W3/MBunk_act!W7*100)</f>
        <v>29513.276914103666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9053.87663636051</v>
      </c>
      <c r="C20" s="63">
        <f>IF(C4=0,0,C4/MBunk_act!C8*100)</f>
        <v>9782.3766772602849</v>
      </c>
      <c r="D20" s="63">
        <f>IF(D4=0,0,D4/MBunk_act!D8*100)</f>
        <v>8337.1791989825033</v>
      </c>
      <c r="E20" s="63">
        <f>IF(E4=0,0,E4/MBunk_act!E8*100)</f>
        <v>10791.969117364679</v>
      </c>
      <c r="F20" s="63">
        <f>IF(F4=0,0,F4/MBunk_act!F8*100)</f>
        <v>11872.330647139801</v>
      </c>
      <c r="G20" s="63">
        <f>IF(G4=0,0,G4/MBunk_act!G8*100)</f>
        <v>11778.944789370225</v>
      </c>
      <c r="H20" s="63">
        <f>IF(H4=0,0,H4/MBunk_act!H8*100)</f>
        <v>13789.759671860875</v>
      </c>
      <c r="I20" s="63">
        <f>IF(I4=0,0,I4/MBunk_act!I8*100)</f>
        <v>11353.048922303127</v>
      </c>
      <c r="J20" s="63">
        <f>IF(J4=0,0,J4/MBunk_act!J8*100)</f>
        <v>11400.28315766955</v>
      </c>
      <c r="K20" s="63">
        <f>IF(K4=0,0,K4/MBunk_act!K8*100)</f>
        <v>14586.605765064798</v>
      </c>
      <c r="L20" s="63">
        <f>IF(L4=0,0,L4/MBunk_act!L8*100)</f>
        <v>11786.906068156912</v>
      </c>
      <c r="M20" s="63">
        <f>IF(M4=0,0,M4/MBunk_act!M8*100)</f>
        <v>10729.66972121833</v>
      </c>
      <c r="N20" s="63">
        <f>IF(N4=0,0,N4/MBunk_act!N8*100)</f>
        <v>12097.615815923153</v>
      </c>
      <c r="O20" s="63">
        <f>IF(O4=0,0,O4/MBunk_act!O8*100)</f>
        <v>9842.1308639152867</v>
      </c>
      <c r="P20" s="63">
        <f>IF(P4=0,0,P4/MBunk_act!P8*100)</f>
        <v>10636.691951761382</v>
      </c>
      <c r="Q20" s="63">
        <f>IF(Q4=0,0,Q4/MBunk_act!Q8*100)</f>
        <v>11791.815267521133</v>
      </c>
      <c r="R20" s="63">
        <f>IF(R4=0,0,R4/MBunk_act!R8*100)</f>
        <v>13259.132375062089</v>
      </c>
      <c r="S20" s="63">
        <f>IF(S4=0,0,S4/MBunk_act!S8*100)</f>
        <v>16040.265254669486</v>
      </c>
      <c r="T20" s="63">
        <f>IF(T4=0,0,T4/MBunk_act!T8*100)</f>
        <v>11899.409470827854</v>
      </c>
      <c r="U20" s="63">
        <f>IF(U4=0,0,U4/MBunk_act!U8*100)</f>
        <v>13697.108267787766</v>
      </c>
      <c r="V20" s="63">
        <f>IF(V4=0,0,V4/MBunk_act!V8*100)</f>
        <v>17538.451788859031</v>
      </c>
      <c r="W20" s="63">
        <f>IF(W4=0,0,W4/MBunk_act!W8*100)</f>
        <v>19244.551238968997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20531.625023766897</v>
      </c>
      <c r="C21" s="64">
        <f>IF(C10=0,0,C10/MBunk_act!C9*100)</f>
        <v>21849.652635366569</v>
      </c>
      <c r="D21" s="64">
        <f>IF(D10=0,0,D10/MBunk_act!D9*100)</f>
        <v>19141.512947800613</v>
      </c>
      <c r="E21" s="64">
        <f>IF(E10=0,0,E10/MBunk_act!E9*100)</f>
        <v>24923.869142041101</v>
      </c>
      <c r="F21" s="64">
        <f>IF(F10=0,0,F10/MBunk_act!F9*100)</f>
        <v>29260.782379141703</v>
      </c>
      <c r="G21" s="64">
        <f>IF(G10=0,0,G10/MBunk_act!G9*100)</f>
        <v>27369.022126379343</v>
      </c>
      <c r="H21" s="64">
        <f>IF(H10=0,0,H10/MBunk_act!H9*100)</f>
        <v>32768.477510871802</v>
      </c>
      <c r="I21" s="64">
        <f>IF(I10=0,0,I10/MBunk_act!I9*100)</f>
        <v>30547.861900234569</v>
      </c>
      <c r="J21" s="64">
        <f>IF(J10=0,0,J10/MBunk_act!J9*100)</f>
        <v>28822.590993625836</v>
      </c>
      <c r="K21" s="64">
        <f>IF(K10=0,0,K10/MBunk_act!K9*100)</f>
        <v>37040.218397152436</v>
      </c>
      <c r="L21" s="64">
        <f>IF(L10=0,0,L10/MBunk_act!L9*100)</f>
        <v>29006.403383401128</v>
      </c>
      <c r="M21" s="64">
        <f>IF(M10=0,0,M10/MBunk_act!M9*100)</f>
        <v>28407.720306108102</v>
      </c>
      <c r="N21" s="64">
        <f>IF(N10=0,0,N10/MBunk_act!N9*100)</f>
        <v>31460.433761633602</v>
      </c>
      <c r="O21" s="64">
        <f>IF(O10=0,0,O10/MBunk_act!O9*100)</f>
        <v>27034.120299980248</v>
      </c>
      <c r="P21" s="64">
        <f>IF(P10=0,0,P10/MBunk_act!P9*100)</f>
        <v>26902.824469858628</v>
      </c>
      <c r="Q21" s="64">
        <f>IF(Q10=0,0,Q10/MBunk_act!Q9*100)</f>
        <v>29065.179261533023</v>
      </c>
      <c r="R21" s="64">
        <f>IF(R10=0,0,R10/MBunk_act!R9*100)</f>
        <v>32790.544518781993</v>
      </c>
      <c r="S21" s="64">
        <f>IF(S10=0,0,S10/MBunk_act!S9*100)</f>
        <v>44010.550205846826</v>
      </c>
      <c r="T21" s="64">
        <f>IF(T10=0,0,T10/MBunk_act!T9*100)</f>
        <v>34198.794114096432</v>
      </c>
      <c r="U21" s="64">
        <f>IF(U10=0,0,U10/MBunk_act!U9*100)</f>
        <v>38902.936588954828</v>
      </c>
      <c r="V21" s="64">
        <f>IF(V10=0,0,V10/MBunk_act!V9*100)</f>
        <v>53151.809274922809</v>
      </c>
      <c r="W21" s="64">
        <f>IF(W10=0,0,W10/MBunk_act!W9*100)</f>
        <v>67498.680337595812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15.11247148672013</v>
      </c>
      <c r="C23" s="62">
        <f>IF(C3=0,0,C3/MBunk_act!C3*1000)</f>
        <v>15.912437781227307</v>
      </c>
      <c r="D23" s="62">
        <f>IF(D3=0,0,D3/MBunk_act!D3*1000)</f>
        <v>13.367490728898943</v>
      </c>
      <c r="E23" s="62">
        <f>IF(E3=0,0,E3/MBunk_act!E3*1000)</f>
        <v>17.325090927397369</v>
      </c>
      <c r="F23" s="62">
        <f>IF(F3=0,0,F3/MBunk_act!F3*1000)</f>
        <v>19.997111408226615</v>
      </c>
      <c r="G23" s="62">
        <f>IF(G3=0,0,G3/MBunk_act!G3*1000)</f>
        <v>17.981845080204078</v>
      </c>
      <c r="H23" s="62">
        <f>IF(H3=0,0,H3/MBunk_act!H3*1000)</f>
        <v>20.53898751115964</v>
      </c>
      <c r="I23" s="62">
        <f>IF(I3=0,0,I3/MBunk_act!I3*1000)</f>
        <v>20.390079741437582</v>
      </c>
      <c r="J23" s="62">
        <f>IF(J3=0,0,J3/MBunk_act!J3*1000)</f>
        <v>18.266958142694012</v>
      </c>
      <c r="K23" s="62">
        <f>IF(K3=0,0,K3/MBunk_act!K3*1000)</f>
        <v>21.991973534363762</v>
      </c>
      <c r="L23" s="62">
        <f>IF(L3=0,0,L3/MBunk_act!L3*1000)</f>
        <v>16.559613075509333</v>
      </c>
      <c r="M23" s="62">
        <f>IF(M3=0,0,M3/MBunk_act!M3*1000)</f>
        <v>16.155615103321676</v>
      </c>
      <c r="N23" s="62">
        <f>IF(N3=0,0,N3/MBunk_act!N3*1000)</f>
        <v>17.059862991431295</v>
      </c>
      <c r="O23" s="62">
        <f>IF(O3=0,0,O3/MBunk_act!O3*1000)</f>
        <v>15.160807887211531</v>
      </c>
      <c r="P23" s="62">
        <f>IF(P3=0,0,P3/MBunk_act!P3*1000)</f>
        <v>14.955008251673171</v>
      </c>
      <c r="Q23" s="62">
        <f>IF(Q3=0,0,Q3/MBunk_act!Q3*1000)</f>
        <v>15.287846764705089</v>
      </c>
      <c r="R23" s="62">
        <f>IF(R3=0,0,R3/MBunk_act!R3*1000)</f>
        <v>17.079126888025691</v>
      </c>
      <c r="S23" s="62">
        <f>IF(S3=0,0,S3/MBunk_act!S3*1000)</f>
        <v>22.762757902395002</v>
      </c>
      <c r="T23" s="62">
        <f>IF(T3=0,0,T3/MBunk_act!T3*1000)</f>
        <v>17.852589202847515</v>
      </c>
      <c r="U23" s="62">
        <f>IF(U3=0,0,U3/MBunk_act!U3*1000)</f>
        <v>19.65910210553632</v>
      </c>
      <c r="V23" s="62">
        <f>IF(V3=0,0,V3/MBunk_act!V3*1000)</f>
        <v>23.392209341321955</v>
      </c>
      <c r="W23" s="62">
        <f>IF(W3=0,0,W3/MBunk_act!W3*1000)</f>
        <v>28.028116477637276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17.893430463583595</v>
      </c>
      <c r="C24" s="63">
        <f>IF(C4=0,0,C4/MBunk_act!C4*1000)</f>
        <v>19.545494035127355</v>
      </c>
      <c r="D24" s="63">
        <f>IF(D4=0,0,D4/MBunk_act!D4*1000)</f>
        <v>15.997974965428076</v>
      </c>
      <c r="E24" s="63">
        <f>IF(E4=0,0,E4/MBunk_act!E4*1000)</f>
        <v>20.702904445996282</v>
      </c>
      <c r="F24" s="63">
        <f>IF(F4=0,0,F4/MBunk_act!F4*1000)</f>
        <v>23.446931676379762</v>
      </c>
      <c r="G24" s="63">
        <f>IF(G4=0,0,G4/MBunk_act!G4*1000)</f>
        <v>22.37587703337045</v>
      </c>
      <c r="H24" s="63">
        <f>IF(H4=0,0,H4/MBunk_act!H4*1000)</f>
        <v>24.408155712712915</v>
      </c>
      <c r="I24" s="63">
        <f>IF(I4=0,0,I4/MBunk_act!I4*1000)</f>
        <v>23.532635701984237</v>
      </c>
      <c r="J24" s="63">
        <f>IF(J4=0,0,J4/MBunk_act!J4*1000)</f>
        <v>21.973592916624614</v>
      </c>
      <c r="K24" s="63">
        <f>IF(K4=0,0,K4/MBunk_act!K4*1000)</f>
        <v>26.229149648216708</v>
      </c>
      <c r="L24" s="63">
        <f>IF(L4=0,0,L4/MBunk_act!L4*1000)</f>
        <v>21.220564529236071</v>
      </c>
      <c r="M24" s="63">
        <f>IF(M4=0,0,M4/MBunk_act!M4*1000)</f>
        <v>19.285183626190648</v>
      </c>
      <c r="N24" s="63">
        <f>IF(N4=0,0,N4/MBunk_act!N4*1000)</f>
        <v>20.741119424320186</v>
      </c>
      <c r="O24" s="63">
        <f>IF(O4=0,0,O4/MBunk_act!O4*1000)</f>
        <v>18.108163853268774</v>
      </c>
      <c r="P24" s="63">
        <f>IF(P4=0,0,P4/MBunk_act!P4*1000)</f>
        <v>18.733208012913042</v>
      </c>
      <c r="Q24" s="63">
        <f>IF(Q4=0,0,Q4/MBunk_act!Q4*1000)</f>
        <v>19.947935221584924</v>
      </c>
      <c r="R24" s="63">
        <f>IF(R4=0,0,R4/MBunk_act!R4*1000)</f>
        <v>21.013087038403679</v>
      </c>
      <c r="S24" s="63">
        <f>IF(S4=0,0,S4/MBunk_act!S4*1000)</f>
        <v>25.738065597875966</v>
      </c>
      <c r="T24" s="63">
        <f>IF(T4=0,0,T4/MBunk_act!T4*1000)</f>
        <v>19.680161479111614</v>
      </c>
      <c r="U24" s="63">
        <f>IF(U4=0,0,U4/MBunk_act!U4*1000)</f>
        <v>22.583596709417684</v>
      </c>
      <c r="V24" s="63">
        <f>IF(V4=0,0,V4/MBunk_act!V4*1000)</f>
        <v>25.941416091580404</v>
      </c>
      <c r="W24" s="63">
        <f>IF(W4=0,0,W4/MBunk_act!W4*1000)</f>
        <v>26.115672503052899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12.933001709241312</v>
      </c>
      <c r="C25" s="64">
        <f>IF(C10=0,0,C10/MBunk_act!C5*1000)</f>
        <v>13.311758444885509</v>
      </c>
      <c r="D25" s="64">
        <f>IF(D10=0,0,D10/MBunk_act!D5*1000)</f>
        <v>11.378554853000553</v>
      </c>
      <c r="E25" s="64">
        <f>IF(E10=0,0,E10/MBunk_act!E5*1000)</f>
        <v>14.760032924315757</v>
      </c>
      <c r="F25" s="64">
        <f>IF(F10=0,0,F10/MBunk_act!F5*1000)</f>
        <v>17.203459621565877</v>
      </c>
      <c r="G25" s="64">
        <f>IF(G10=0,0,G10/MBunk_act!G5*1000)</f>
        <v>14.892538613684328</v>
      </c>
      <c r="H25" s="64">
        <f>IF(H10=0,0,H10/MBunk_act!H5*1000)</f>
        <v>17.538307644311043</v>
      </c>
      <c r="I25" s="64">
        <f>IF(I10=0,0,I10/MBunk_act!I5*1000)</f>
        <v>17.692042405752698</v>
      </c>
      <c r="J25" s="64">
        <f>IF(J10=0,0,J10/MBunk_act!J5*1000)</f>
        <v>15.371195519569808</v>
      </c>
      <c r="K25" s="64">
        <f>IF(K10=0,0,K10/MBunk_act!K5*1000)</f>
        <v>18.548837828714344</v>
      </c>
      <c r="L25" s="64">
        <f>IF(L10=0,0,L10/MBunk_act!L5*1000)</f>
        <v>13.406281450727834</v>
      </c>
      <c r="M25" s="64">
        <f>IF(M10=0,0,M10/MBunk_act!M5*1000)</f>
        <v>13.63677863854317</v>
      </c>
      <c r="N25" s="64">
        <f>IF(N10=0,0,N10/MBunk_act!N5*1000)</f>
        <v>14.209875308526646</v>
      </c>
      <c r="O25" s="64">
        <f>IF(O10=0,0,O10/MBunk_act!O5*1000)</f>
        <v>12.77887446722869</v>
      </c>
      <c r="P25" s="64">
        <f>IF(P10=0,0,P10/MBunk_act!P5*1000)</f>
        <v>12.317911196781132</v>
      </c>
      <c r="Q25" s="64">
        <f>IF(Q10=0,0,Q10/MBunk_act!Q5*1000)</f>
        <v>12.312151825695638</v>
      </c>
      <c r="R25" s="64">
        <f>IF(R10=0,0,R10/MBunk_act!R5*1000)</f>
        <v>14.22778851327428</v>
      </c>
      <c r="S25" s="64">
        <f>IF(S10=0,0,S10/MBunk_act!S5*1000)</f>
        <v>20.043221199176649</v>
      </c>
      <c r="T25" s="64">
        <f>IF(T10=0,0,T10/MBunk_act!T5*1000)</f>
        <v>16.052751812266489</v>
      </c>
      <c r="U25" s="64">
        <f>IF(U10=0,0,U10/MBunk_act!U5*1000)</f>
        <v>17.03039048303528</v>
      </c>
      <c r="V25" s="64">
        <f>IF(V10=0,0,V10/MBunk_act!V5*1000)</f>
        <v>21.289068094529036</v>
      </c>
      <c r="W25" s="64">
        <f>IF(W10=0,0,W10/MBunk_act!W5*1000)</f>
        <v>30.373975114533675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0.52022324071725989</v>
      </c>
      <c r="C28" s="77">
        <f t="shared" si="3"/>
        <v>0.51244630187558504</v>
      </c>
      <c r="D28" s="77">
        <f t="shared" si="3"/>
        <v>0.51528611722767181</v>
      </c>
      <c r="E28" s="77">
        <f t="shared" si="3"/>
        <v>0.5157706249428845</v>
      </c>
      <c r="F28" s="77">
        <f t="shared" si="3"/>
        <v>0.52464417129618168</v>
      </c>
      <c r="G28" s="77">
        <f t="shared" si="3"/>
        <v>0.51370219642378978</v>
      </c>
      <c r="H28" s="77">
        <f t="shared" si="3"/>
        <v>0.51907303234627544</v>
      </c>
      <c r="I28" s="77">
        <f t="shared" si="3"/>
        <v>0.53314168111196525</v>
      </c>
      <c r="J28" s="77">
        <f t="shared" si="3"/>
        <v>0.52758949329020988</v>
      </c>
      <c r="K28" s="77">
        <f t="shared" si="3"/>
        <v>0.53468166789776406</v>
      </c>
      <c r="L28" s="77">
        <f t="shared" si="3"/>
        <v>0.51711514187892571</v>
      </c>
      <c r="M28" s="77">
        <f t="shared" si="3"/>
        <v>0.5323220114922802</v>
      </c>
      <c r="N28" s="77">
        <f t="shared" si="3"/>
        <v>0.53052239268982415</v>
      </c>
      <c r="O28" s="77">
        <f t="shared" si="3"/>
        <v>0.53384156547129047</v>
      </c>
      <c r="P28" s="77">
        <f t="shared" si="3"/>
        <v>0.51491418684804624</v>
      </c>
      <c r="Q28" s="77">
        <f t="shared" si="3"/>
        <v>0.50849470427343813</v>
      </c>
      <c r="R28" s="77">
        <f t="shared" si="3"/>
        <v>0.51701601246788853</v>
      </c>
      <c r="S28" s="77">
        <f t="shared" si="3"/>
        <v>0.53996310524901547</v>
      </c>
      <c r="T28" s="77">
        <f t="shared" si="3"/>
        <v>0.54697075893225366</v>
      </c>
      <c r="U28" s="77">
        <f t="shared" si="3"/>
        <v>0.54378669177583416</v>
      </c>
      <c r="V28" s="77">
        <f t="shared" si="3"/>
        <v>0.50132421913383884</v>
      </c>
      <c r="W28" s="77">
        <f t="shared" si="3"/>
        <v>0.51330159881986526</v>
      </c>
      <c r="DA28" s="184"/>
    </row>
    <row r="29" spans="1:105" ht="11.45" customHeight="1" x14ac:dyDescent="0.25">
      <c r="A29" s="57" t="s">
        <v>171</v>
      </c>
      <c r="B29" s="78">
        <f>IF(B10=0,0,B10/B$3)</f>
        <v>0.47977675928274016</v>
      </c>
      <c r="C29" s="78">
        <f t="shared" ref="C29:W29" si="4">IF(C10=0,0,C10/C$3)</f>
        <v>0.48755369812441507</v>
      </c>
      <c r="D29" s="78">
        <f t="shared" si="4"/>
        <v>0.48471388277232819</v>
      </c>
      <c r="E29" s="78">
        <f t="shared" si="4"/>
        <v>0.4842293750571155</v>
      </c>
      <c r="F29" s="78">
        <f t="shared" si="4"/>
        <v>0.47535582870381832</v>
      </c>
      <c r="G29" s="78">
        <f t="shared" si="4"/>
        <v>0.48629780357621022</v>
      </c>
      <c r="H29" s="78">
        <f t="shared" si="4"/>
        <v>0.48092696765372456</v>
      </c>
      <c r="I29" s="78">
        <f t="shared" si="4"/>
        <v>0.46685831888803481</v>
      </c>
      <c r="J29" s="78">
        <f t="shared" si="4"/>
        <v>0.47241050670979018</v>
      </c>
      <c r="K29" s="78">
        <f t="shared" si="4"/>
        <v>0.46531833210223594</v>
      </c>
      <c r="L29" s="78">
        <f t="shared" si="4"/>
        <v>0.48288485812107423</v>
      </c>
      <c r="M29" s="78">
        <f t="shared" si="4"/>
        <v>0.46767798850771986</v>
      </c>
      <c r="N29" s="78">
        <f t="shared" si="4"/>
        <v>0.46947760731017574</v>
      </c>
      <c r="O29" s="78">
        <f t="shared" si="4"/>
        <v>0.46615843452870953</v>
      </c>
      <c r="P29" s="78">
        <f t="shared" si="4"/>
        <v>0.48508581315195382</v>
      </c>
      <c r="Q29" s="78">
        <f t="shared" si="4"/>
        <v>0.49150529572656187</v>
      </c>
      <c r="R29" s="78">
        <f t="shared" si="4"/>
        <v>0.48298398753211141</v>
      </c>
      <c r="S29" s="78">
        <f t="shared" si="4"/>
        <v>0.46003689475098442</v>
      </c>
      <c r="T29" s="78">
        <f t="shared" si="4"/>
        <v>0.45302924106774639</v>
      </c>
      <c r="U29" s="78">
        <f t="shared" si="4"/>
        <v>0.45621330822416578</v>
      </c>
      <c r="V29" s="78">
        <f t="shared" si="4"/>
        <v>0.49867578086616104</v>
      </c>
      <c r="W29" s="78">
        <f t="shared" si="4"/>
        <v>0.48669840118013469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4374.5458521599994</v>
      </c>
      <c r="C3" s="62">
        <f t="shared" ref="C3:W3" si="1">SUM(C4:C5)</f>
        <v>4476.7266026399975</v>
      </c>
      <c r="D3" s="62">
        <f t="shared" si="1"/>
        <v>3881.7050047200005</v>
      </c>
      <c r="E3" s="62">
        <f t="shared" si="1"/>
        <v>5200.001789760001</v>
      </c>
      <c r="F3" s="62">
        <f t="shared" si="1"/>
        <v>6118.0247404800011</v>
      </c>
      <c r="G3" s="62">
        <f t="shared" si="1"/>
        <v>6246.6452960399993</v>
      </c>
      <c r="H3" s="62">
        <f t="shared" si="1"/>
        <v>6712.1470785600013</v>
      </c>
      <c r="I3" s="62">
        <f t="shared" si="1"/>
        <v>6680.0465420400005</v>
      </c>
      <c r="J3" s="62">
        <f t="shared" si="1"/>
        <v>6569.1218455199996</v>
      </c>
      <c r="K3" s="62">
        <f t="shared" si="1"/>
        <v>6834.3244754400021</v>
      </c>
      <c r="L3" s="62">
        <f t="shared" si="1"/>
        <v>6317.3396106</v>
      </c>
      <c r="M3" s="62">
        <f t="shared" si="1"/>
        <v>5543.2776365999998</v>
      </c>
      <c r="N3" s="62">
        <f t="shared" si="1"/>
        <v>5442.2858699999997</v>
      </c>
      <c r="O3" s="62">
        <f t="shared" si="1"/>
        <v>5142.5153413200005</v>
      </c>
      <c r="P3" s="62">
        <f t="shared" si="1"/>
        <v>5525.1500122800026</v>
      </c>
      <c r="Q3" s="62">
        <f t="shared" si="1"/>
        <v>5808.9165638400018</v>
      </c>
      <c r="R3" s="62">
        <f t="shared" si="1"/>
        <v>6394.5714038400001</v>
      </c>
      <c r="S3" s="62">
        <f t="shared" si="1"/>
        <v>7601.1895486799995</v>
      </c>
      <c r="T3" s="62">
        <f t="shared" si="1"/>
        <v>5774.245918919999</v>
      </c>
      <c r="U3" s="62">
        <f t="shared" si="1"/>
        <v>6604.9543227600025</v>
      </c>
      <c r="V3" s="62">
        <f t="shared" si="1"/>
        <v>8241.4572065999982</v>
      </c>
      <c r="W3" s="62">
        <f t="shared" si="1"/>
        <v>8174.5490206799977</v>
      </c>
      <c r="DA3" s="172" t="s">
        <v>985</v>
      </c>
    </row>
    <row r="4" spans="1:105" ht="11.45" customHeight="1" x14ac:dyDescent="0.25">
      <c r="A4" s="55" t="s">
        <v>170</v>
      </c>
      <c r="B4" s="63">
        <v>2268.0280080015873</v>
      </c>
      <c r="C4" s="63">
        <v>2287.0548284180386</v>
      </c>
      <c r="D4" s="63">
        <v>1993.3765681586065</v>
      </c>
      <c r="E4" s="63">
        <v>2674.1297197022091</v>
      </c>
      <c r="F4" s="63">
        <v>3203.1515965787876</v>
      </c>
      <c r="G4" s="63">
        <v>3201.8384247331342</v>
      </c>
      <c r="H4" s="63">
        <v>3477.4117701029249</v>
      </c>
      <c r="I4" s="63">
        <v>3555.5141624235212</v>
      </c>
      <c r="J4" s="63">
        <v>3461.1431247157934</v>
      </c>
      <c r="K4" s="63">
        <v>3650.3165759790568</v>
      </c>
      <c r="L4" s="63">
        <v>3258.4213917322613</v>
      </c>
      <c r="M4" s="63">
        <v>2941.5298852813221</v>
      </c>
      <c r="N4" s="63">
        <v>2876.3506665829905</v>
      </c>
      <c r="O4" s="63">
        <v>2734.2820027552139</v>
      </c>
      <c r="P4" s="63">
        <v>2830.2854285900712</v>
      </c>
      <c r="Q4" s="63">
        <v>2917.063582196587</v>
      </c>
      <c r="R4" s="63">
        <v>3274.0008164257497</v>
      </c>
      <c r="S4" s="63">
        <v>4072.1049932445703</v>
      </c>
      <c r="T4" s="63">
        <v>3135.2527847903621</v>
      </c>
      <c r="U4" s="63">
        <v>3570.4736569951588</v>
      </c>
      <c r="V4" s="63">
        <v>4098.8158081730126</v>
      </c>
      <c r="W4" s="63">
        <v>4158.0951477095068</v>
      </c>
      <c r="DA4" s="181" t="s">
        <v>986</v>
      </c>
    </row>
    <row r="5" spans="1:105" ht="11.45" customHeight="1" x14ac:dyDescent="0.25">
      <c r="A5" s="57" t="s">
        <v>171</v>
      </c>
      <c r="B5" s="64">
        <v>2106.5178441584121</v>
      </c>
      <c r="C5" s="64">
        <v>2189.6717742219594</v>
      </c>
      <c r="D5" s="64">
        <v>1888.328436561394</v>
      </c>
      <c r="E5" s="64">
        <v>2525.8720700577919</v>
      </c>
      <c r="F5" s="64">
        <v>2914.8731439012136</v>
      </c>
      <c r="G5" s="64">
        <v>3044.8068713068651</v>
      </c>
      <c r="H5" s="64">
        <v>3234.7353084570768</v>
      </c>
      <c r="I5" s="64">
        <v>3124.5323796164794</v>
      </c>
      <c r="J5" s="64">
        <v>3107.9787208042062</v>
      </c>
      <c r="K5" s="64">
        <v>3184.0078994609453</v>
      </c>
      <c r="L5" s="64">
        <v>3058.9182188677382</v>
      </c>
      <c r="M5" s="64">
        <v>2601.7477513186777</v>
      </c>
      <c r="N5" s="64">
        <v>2565.9352034170088</v>
      </c>
      <c r="O5" s="64">
        <v>2408.2333385647867</v>
      </c>
      <c r="P5" s="64">
        <v>2694.8645836899309</v>
      </c>
      <c r="Q5" s="64">
        <v>2891.8529816434148</v>
      </c>
      <c r="R5" s="64">
        <v>3120.5705874142504</v>
      </c>
      <c r="S5" s="64">
        <v>3529.0845554354291</v>
      </c>
      <c r="T5" s="64">
        <v>2638.9931341296369</v>
      </c>
      <c r="U5" s="64">
        <v>3034.4806657648437</v>
      </c>
      <c r="V5" s="64">
        <v>4142.6413984269857</v>
      </c>
      <c r="W5" s="64">
        <v>4016.4538729704909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3.222864913099647</v>
      </c>
      <c r="C9" s="79">
        <f>IF(C3=0,0,C3/MBunk_ene!C3)</f>
        <v>3.22499568810104</v>
      </c>
      <c r="D9" s="79">
        <f>IF(D3=0,0,D3/MBunk_ene!D3)</f>
        <v>3.2224267028985785</v>
      </c>
      <c r="E9" s="79">
        <f>IF(E3=0,0,E3/MBunk_ene!E3)</f>
        <v>3.2253876047744643</v>
      </c>
      <c r="F9" s="79">
        <f>IF(F3=0,0,F3/MBunk_ene!F3)</f>
        <v>3.2296105052822677</v>
      </c>
      <c r="G9" s="79">
        <f>IF(G3=0,0,G3/MBunk_ene!G3)</f>
        <v>3.2293238856242179</v>
      </c>
      <c r="H9" s="79">
        <f>IF(H3=0,0,H3/MBunk_ene!H3)</f>
        <v>3.2305787494047986</v>
      </c>
      <c r="I9" s="79">
        <f>IF(I3=0,0,I3/MBunk_ene!I3)</f>
        <v>3.2314888687407493</v>
      </c>
      <c r="J9" s="79">
        <f>IF(J3=0,0,J3/MBunk_ene!J3)</f>
        <v>3.2333666915294303</v>
      </c>
      <c r="K9" s="79">
        <f>IF(K3=0,0,K3/MBunk_ene!K3)</f>
        <v>3.2348741583323122</v>
      </c>
      <c r="L9" s="79">
        <f>IF(L3=0,0,L3/MBunk_ene!L3)</f>
        <v>3.227438244500128</v>
      </c>
      <c r="M9" s="79">
        <f>IF(M3=0,0,M3/MBunk_ene!M3)</f>
        <v>3.2236398274689182</v>
      </c>
      <c r="N9" s="79">
        <f>IF(N3=0,0,N3/MBunk_ene!N3)</f>
        <v>3.2205842442859161</v>
      </c>
      <c r="O9" s="79">
        <f>IF(O3=0,0,O3/MBunk_ene!O3)</f>
        <v>3.2191755749684638</v>
      </c>
      <c r="P9" s="79">
        <f>IF(P3=0,0,P3/MBunk_ene!P3)</f>
        <v>3.214741050057432</v>
      </c>
      <c r="Q9" s="79">
        <f>IF(Q3=0,0,Q3/MBunk_ene!Q3)</f>
        <v>3.1804496637374031</v>
      </c>
      <c r="R9" s="79">
        <f>IF(R3=0,0,R3/MBunk_ene!R3)</f>
        <v>3.1921316307452683</v>
      </c>
      <c r="S9" s="79">
        <f>IF(S3=0,0,S3/MBunk_ene!S3)</f>
        <v>3.1911371128854107</v>
      </c>
      <c r="T9" s="79">
        <f>IF(T3=0,0,T3/MBunk_ene!T3)</f>
        <v>3.189768647575101</v>
      </c>
      <c r="U9" s="79">
        <f>IF(U3=0,0,U3/MBunk_ene!U3)</f>
        <v>3.2009412676574907</v>
      </c>
      <c r="V9" s="79">
        <f>IF(V3=0,0,V3/MBunk_ene!V3)</f>
        <v>3.196712312534979</v>
      </c>
      <c r="W9" s="79">
        <f>IF(W3=0,0,W3/MBunk_ene!W3)</f>
        <v>3.1910513992025691</v>
      </c>
      <c r="DA9" s="172"/>
    </row>
    <row r="10" spans="1:105" ht="11.45" customHeight="1" x14ac:dyDescent="0.25">
      <c r="A10" s="55" t="s">
        <v>170</v>
      </c>
      <c r="B10" s="80">
        <f>IF(B4=0,0,B4/MBunk_ene!B4)</f>
        <v>3.2119427264516047</v>
      </c>
      <c r="C10" s="80">
        <f>IF(C4=0,0,C4/MBunk_ene!C4)</f>
        <v>3.2151169773880657</v>
      </c>
      <c r="D10" s="80">
        <f>IF(D4=0,0,D4/MBunk_ene!D4)</f>
        <v>3.2114519404235033</v>
      </c>
      <c r="E10" s="80">
        <f>IF(E4=0,0,E4/MBunk_ene!E4)</f>
        <v>3.2159129636261308</v>
      </c>
      <c r="F10" s="80">
        <f>IF(F4=0,0,F4/MBunk_ene!F4)</f>
        <v>3.2229351059732609</v>
      </c>
      <c r="G10" s="80">
        <f>IF(G4=0,0,G4/MBunk_ene!G4)</f>
        <v>3.2222018923789775</v>
      </c>
      <c r="H10" s="80">
        <f>IF(H4=0,0,H4/MBunk_ene!H4)</f>
        <v>3.2243822451187385</v>
      </c>
      <c r="I10" s="80">
        <f>IF(I4=0,0,I4/MBunk_ene!I4)</f>
        <v>3.2261380822116652</v>
      </c>
      <c r="J10" s="80">
        <f>IF(J4=0,0,J4/MBunk_ene!J4)</f>
        <v>3.2290224401534271</v>
      </c>
      <c r="K10" s="80">
        <f>IF(K4=0,0,K4/MBunk_ene!K4)</f>
        <v>3.2314469673491524</v>
      </c>
      <c r="L10" s="80">
        <f>IF(L4=0,0,L4/MBunk_ene!L4)</f>
        <v>3.2191685041663942</v>
      </c>
      <c r="M10" s="80">
        <f>IF(M4=0,0,M4/MBunk_ene!M4)</f>
        <v>3.2135030936362319</v>
      </c>
      <c r="N10" s="80">
        <f>IF(N4=0,0,N4/MBunk_ene!N4)</f>
        <v>3.2084215537645342</v>
      </c>
      <c r="O10" s="80">
        <f>IF(O4=0,0,O4/MBunk_ene!O4)</f>
        <v>3.2062692244748141</v>
      </c>
      <c r="P10" s="80">
        <f>IF(P4=0,0,P4/MBunk_ene!P4)</f>
        <v>3.1981387372362109</v>
      </c>
      <c r="Q10" s="80">
        <f>IF(Q4=0,0,Q4/MBunk_ene!Q4)</f>
        <v>3.140890883564543</v>
      </c>
      <c r="R10" s="80">
        <f>IF(R4=0,0,R4/MBunk_ene!R4)</f>
        <v>3.1611429825597352</v>
      </c>
      <c r="S10" s="80">
        <f>IF(S4=0,0,S4/MBunk_ene!S4)</f>
        <v>3.1660573919158503</v>
      </c>
      <c r="T10" s="80">
        <f>IF(T4=0,0,T4/MBunk_ene!T4)</f>
        <v>3.166448009480161</v>
      </c>
      <c r="U10" s="80">
        <f>IF(U4=0,0,U4/MBunk_ene!U4)</f>
        <v>3.1820364154400038</v>
      </c>
      <c r="V10" s="80">
        <f>IF(V4=0,0,V4/MBunk_ene!V4)</f>
        <v>3.1713141283859954</v>
      </c>
      <c r="W10" s="80">
        <f>IF(W4=0,0,W4/MBunk_ene!W4)</f>
        <v>3.1622179742663645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3.2347078696910785</v>
      </c>
      <c r="C11" s="81">
        <f>IF(C5=0,0,C5/MBunk_ene!C10)</f>
        <v>3.2353787675272381</v>
      </c>
      <c r="D11" s="81">
        <f>IF(D5=0,0,D5/MBunk_ene!D10)</f>
        <v>3.2340936737534931</v>
      </c>
      <c r="E11" s="81">
        <f>IF(E5=0,0,E5/MBunk_ene!E10)</f>
        <v>3.2354793956444605</v>
      </c>
      <c r="F11" s="81">
        <f>IF(F5=0,0,F5/MBunk_ene!F10)</f>
        <v>3.2369780584436425</v>
      </c>
      <c r="G11" s="81">
        <f>IF(G5=0,0,G5/MBunk_ene!G10)</f>
        <v>3.2368472253269474</v>
      </c>
      <c r="H11" s="81">
        <f>IF(H5=0,0,H5/MBunk_ene!H10)</f>
        <v>3.23726674672257</v>
      </c>
      <c r="I11" s="81">
        <f>IF(I5=0,0,I5/MBunk_ene!I10)</f>
        <v>3.2375993463952577</v>
      </c>
      <c r="J11" s="81">
        <f>IF(J5=0,0,J5/MBunk_ene!J10)</f>
        <v>3.2382183647027336</v>
      </c>
      <c r="K11" s="81">
        <f>IF(K5=0,0,K5/MBunk_ene!K10)</f>
        <v>3.23881222839029</v>
      </c>
      <c r="L11" s="81">
        <f>IF(L5=0,0,L5/MBunk_ene!L10)</f>
        <v>3.2362942023419619</v>
      </c>
      <c r="M11" s="81">
        <f>IF(M5=0,0,M5/MBunk_ene!M10)</f>
        <v>3.2351776947117088</v>
      </c>
      <c r="N11" s="81">
        <f>IF(N5=0,0,N5/MBunk_ene!N10)</f>
        <v>3.234328413499691</v>
      </c>
      <c r="O11" s="81">
        <f>IF(O5=0,0,O5/MBunk_ene!O10)</f>
        <v>3.2339558424520214</v>
      </c>
      <c r="P11" s="81">
        <f>IF(P5=0,0,P5/MBunk_ene!P10)</f>
        <v>3.2323642543943887</v>
      </c>
      <c r="Q11" s="81">
        <f>IF(Q5=0,0,Q5/MBunk_ene!Q10)</f>
        <v>3.2213758356430002</v>
      </c>
      <c r="R11" s="81">
        <f>IF(R5=0,0,R5/MBunk_ene!R10)</f>
        <v>3.2253038015216124</v>
      </c>
      <c r="S11" s="81">
        <f>IF(S5=0,0,S5/MBunk_ene!S10)</f>
        <v>3.2205741518881918</v>
      </c>
      <c r="T11" s="81">
        <f>IF(T5=0,0,T5/MBunk_ene!T10)</f>
        <v>3.2179251239374436</v>
      </c>
      <c r="U11" s="81">
        <f>IF(U5=0,0,U5/MBunk_ene!U10)</f>
        <v>3.223475040479407</v>
      </c>
      <c r="V11" s="81">
        <f>IF(V5=0,0,V5/MBunk_ene!V10)</f>
        <v>3.2222453849729296</v>
      </c>
      <c r="W11" s="81">
        <f>IF(W5=0,0,W5/MBunk_ene!W10)</f>
        <v>3.2214608747285194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39873.956523851419</v>
      </c>
      <c r="C13" s="62">
        <f>IF(C3=0,0,C3/MBunk_act!C7*100)</f>
        <v>43173.403276267702</v>
      </c>
      <c r="D13" s="62">
        <f>IF(D3=0,0,D3/MBunk_act!D7*100)</f>
        <v>36984.776156212254</v>
      </c>
      <c r="E13" s="62">
        <f>IF(E3=0,0,E3/MBunk_act!E7*100)</f>
        <v>47982.261607689426</v>
      </c>
      <c r="F13" s="62">
        <f>IF(F3=0,0,F3/MBunk_act!F7*100)</f>
        <v>53438.532401805125</v>
      </c>
      <c r="G13" s="62">
        <f>IF(G3=0,0,G3/MBunk_act!G7*100)</f>
        <v>52611.91507329786</v>
      </c>
      <c r="H13" s="62">
        <f>IF(H3=0,0,H3/MBunk_act!H7*100)</f>
        <v>61748.385612794234</v>
      </c>
      <c r="I13" s="62">
        <f>IF(I3=0,0,I3/MBunk_act!I7*100)</f>
        <v>51917.249005282552</v>
      </c>
      <c r="J13" s="62">
        <f>IF(J3=0,0,J3/MBunk_act!J7*100)</f>
        <v>51594.42465013203</v>
      </c>
      <c r="K13" s="62">
        <f>IF(K3=0,0,K3/MBunk_act!K7*100)</f>
        <v>65725.193407827974</v>
      </c>
      <c r="L13" s="62">
        <f>IF(L3=0,0,L3/MBunk_act!L7*100)</f>
        <v>53328.875097269098</v>
      </c>
      <c r="M13" s="62">
        <f>IF(M3=0,0,M3/MBunk_act!M7*100)</f>
        <v>48787.430676119613</v>
      </c>
      <c r="N13" s="62">
        <f>IF(N3=0,0,N3/MBunk_act!N7*100)</f>
        <v>54793.961764844753</v>
      </c>
      <c r="O13" s="62">
        <f>IF(O3=0,0,O3/MBunk_act!O7*100)</f>
        <v>45033.649176440573</v>
      </c>
      <c r="P13" s="62">
        <f>IF(P3=0,0,P3/MBunk_act!P7*100)</f>
        <v>48385.424518948115</v>
      </c>
      <c r="Q13" s="62">
        <f>IF(Q3=0,0,Q3/MBunk_act!Q7*100)</f>
        <v>52978.238425379153</v>
      </c>
      <c r="R13" s="62">
        <f>IF(R3=0,0,R3/MBunk_act!R7*100)</f>
        <v>59418.819938780107</v>
      </c>
      <c r="S13" s="62">
        <f>IF(S3=0,0,S3/MBunk_act!S7*100)</f>
        <v>72335.377585632639</v>
      </c>
      <c r="T13" s="62">
        <f>IF(T3=0,0,T3/MBunk_act!T7*100)</f>
        <v>53869.264461355007</v>
      </c>
      <c r="U13" s="62">
        <f>IF(U3=0,0,U3/MBunk_act!U7*100)</f>
        <v>62241.455383593326</v>
      </c>
      <c r="V13" s="62">
        <f>IF(V3=0,0,V3/MBunk_act!V7*100)</f>
        <v>84198.468171454952</v>
      </c>
      <c r="W13" s="62">
        <f>IF(W3=0,0,W3/MBunk_act!W7*100)</f>
        <v>94178.383591803387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29080.533208348261</v>
      </c>
      <c r="C14" s="63">
        <f>IF(C4=0,0,C4/MBunk_act!C8*100)</f>
        <v>31451.485334264595</v>
      </c>
      <c r="D14" s="63">
        <f>IF(D4=0,0,D4/MBunk_act!D8*100)</f>
        <v>26774.450316230832</v>
      </c>
      <c r="E14" s="63">
        <f>IF(E4=0,0,E4/MBunk_act!E8*100)</f>
        <v>34706.033387585929</v>
      </c>
      <c r="F14" s="63">
        <f>IF(F4=0,0,F4/MBunk_act!F8*100)</f>
        <v>38263.751232389106</v>
      </c>
      <c r="G14" s="63">
        <f>IF(G4=0,0,G4/MBunk_act!G8*100)</f>
        <v>37954.138190536243</v>
      </c>
      <c r="H14" s="63">
        <f>IF(H4=0,0,H4/MBunk_act!H8*100)</f>
        <v>44463.456250402611</v>
      </c>
      <c r="I14" s="63">
        <f>IF(I4=0,0,I4/MBunk_act!I8*100)</f>
        <v>36626.503477454222</v>
      </c>
      <c r="J14" s="63">
        <f>IF(J4=0,0,J4/MBunk_act!J8*100)</f>
        <v>36811.770140218148</v>
      </c>
      <c r="K14" s="63">
        <f>IF(K4=0,0,K4/MBunk_act!K8*100)</f>
        <v>47135.842963436298</v>
      </c>
      <c r="L14" s="63">
        <f>IF(L4=0,0,L4/MBunk_act!L8*100)</f>
        <v>37944.03677617848</v>
      </c>
      <c r="M14" s="63">
        <f>IF(M4=0,0,M4/MBunk_act!M8*100)</f>
        <v>34479.826842830109</v>
      </c>
      <c r="N14" s="63">
        <f>IF(N4=0,0,N4/MBunk_act!N8*100)</f>
        <v>38814.251332970562</v>
      </c>
      <c r="O14" s="63">
        <f>IF(O4=0,0,O4/MBunk_act!O8*100)</f>
        <v>31556.521292225301</v>
      </c>
      <c r="P14" s="63">
        <f>IF(P4=0,0,P4/MBunk_act!P8*100)</f>
        <v>34017.616566976714</v>
      </c>
      <c r="Q14" s="63">
        <f>IF(Q4=0,0,Q4/MBunk_act!Q8*100)</f>
        <v>37036.80507443432</v>
      </c>
      <c r="R14" s="63">
        <f>IF(R4=0,0,R4/MBunk_act!R8*100)</f>
        <v>41914.013262258115</v>
      </c>
      <c r="S14" s="63">
        <f>IF(S4=0,0,S4/MBunk_act!S8*100)</f>
        <v>50784.400377837308</v>
      </c>
      <c r="T14" s="63">
        <f>IF(T4=0,0,T4/MBunk_act!T8*100)</f>
        <v>37678.861432892234</v>
      </c>
      <c r="U14" s="63">
        <f>IF(U4=0,0,U4/MBunk_act!U8*100)</f>
        <v>43584.697294325022</v>
      </c>
      <c r="V14" s="63">
        <f>IF(V4=0,0,V4/MBunk_act!V8*100)</f>
        <v>55619.939948025283</v>
      </c>
      <c r="W14" s="63">
        <f>IF(W4=0,0,W4/MBunk_act!W8*100)</f>
        <v>60855.465834557814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66413.809041925066</v>
      </c>
      <c r="C15" s="64">
        <f>IF(C5=0,0,C5/MBunk_act!C9*100)</f>
        <v>70691.902214310554</v>
      </c>
      <c r="D15" s="64">
        <f>IF(D5=0,0,D5/MBunk_act!D9*100)</f>
        <v>61905.445930552538</v>
      </c>
      <c r="E15" s="64">
        <f>IF(E5=0,0,E5/MBunk_act!E9*100)</f>
        <v>80640.66506881277</v>
      </c>
      <c r="F15" s="64">
        <f>IF(F5=0,0,F5/MBunk_act!F9*100)</f>
        <v>94716.510534176065</v>
      </c>
      <c r="G15" s="64">
        <f>IF(G5=0,0,G5/MBunk_act!G9*100)</f>
        <v>88589.343329682815</v>
      </c>
      <c r="H15" s="64">
        <f>IF(H5=0,0,H5/MBunk_act!H9*100)</f>
        <v>106080.30258667165</v>
      </c>
      <c r="I15" s="64">
        <f>IF(I5=0,0,I5/MBunk_act!I9*100)</f>
        <v>98901.737721972022</v>
      </c>
      <c r="J15" s="64">
        <f>IF(J5=0,0,J5/MBunk_act!J9*100)</f>
        <v>93333.843473874789</v>
      </c>
      <c r="K15" s="64">
        <f>IF(K5=0,0,K5/MBunk_act!K9*100)</f>
        <v>119966.31228694427</v>
      </c>
      <c r="L15" s="64">
        <f>IF(L5=0,0,L5/MBunk_act!L9*100)</f>
        <v>93873.255100493348</v>
      </c>
      <c r="M15" s="64">
        <f>IF(M5=0,0,M5/MBunk_act!M9*100)</f>
        <v>91904.023091929805</v>
      </c>
      <c r="N15" s="64">
        <f>IF(N5=0,0,N5/MBunk_act!N9*100)</f>
        <v>101753.37481627653</v>
      </c>
      <c r="O15" s="64">
        <f>IF(O5=0,0,O5/MBunk_act!O9*100)</f>
        <v>87427.151289671907</v>
      </c>
      <c r="P15" s="64">
        <f>IF(P5=0,0,P5/MBunk_act!P9*100)</f>
        <v>86959.728158617698</v>
      </c>
      <c r="Q15" s="64">
        <f>IF(Q5=0,0,Q5/MBunk_act!Q9*100)</f>
        <v>93629.866131734554</v>
      </c>
      <c r="R15" s="64">
        <f>IF(R5=0,0,R5/MBunk_act!R9*100)</f>
        <v>105759.46789039121</v>
      </c>
      <c r="S15" s="64">
        <f>IF(S5=0,0,S5/MBunk_act!S9*100)</f>
        <v>141739.2404033278</v>
      </c>
      <c r="T15" s="64">
        <f>IF(T5=0,0,T5/MBunk_act!T9*100)</f>
        <v>110049.15878811487</v>
      </c>
      <c r="U15" s="64">
        <f>IF(U5=0,0,U5/MBunk_act!U9*100)</f>
        <v>125402.64509584897</v>
      </c>
      <c r="V15" s="64">
        <f>IF(V5=0,0,V5/MBunk_act!V9*100)</f>
        <v>171268.17213908138</v>
      </c>
      <c r="W15" s="64">
        <f>IF(W5=0,0,W5/MBunk_act!W9*100)</f>
        <v>217444.35780337211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48.705454104769167</v>
      </c>
      <c r="C17" s="62">
        <f>IF(C3=0,0,C3/MBunk_act!C3*1000)</f>
        <v>51.31754323163414</v>
      </c>
      <c r="D17" s="62">
        <f>IF(D3=0,0,D3/MBunk_act!D3*1000)</f>
        <v>43.075759075553137</v>
      </c>
      <c r="E17" s="62">
        <f>IF(E3=0,0,E3/MBunk_act!E3*1000)</f>
        <v>55.880133528818007</v>
      </c>
      <c r="F17" s="62">
        <f>IF(F3=0,0,F3/MBunk_act!F3*1000)</f>
        <v>64.582881079308564</v>
      </c>
      <c r="G17" s="62">
        <f>IF(G3=0,0,G3/MBunk_act!G3*1000)</f>
        <v>58.069201825097359</v>
      </c>
      <c r="H17" s="62">
        <f>IF(H3=0,0,H3/MBunk_act!H3*1000)</f>
        <v>66.352816587842895</v>
      </c>
      <c r="I17" s="62">
        <f>IF(I3=0,0,I3/MBunk_act!I3*1000)</f>
        <v>65.890315717191797</v>
      </c>
      <c r="J17" s="62">
        <f>IF(J3=0,0,J3/MBunk_act!J3*1000)</f>
        <v>59.063774014149118</v>
      </c>
      <c r="K17" s="62">
        <f>IF(K3=0,0,K3/MBunk_act!K3*1000)</f>
        <v>71.14126687704146</v>
      </c>
      <c r="L17" s="62">
        <f>IF(L3=0,0,L3/MBunk_act!L3*1000)</f>
        <v>53.445128554023206</v>
      </c>
      <c r="M17" s="62">
        <f>IF(M3=0,0,M3/MBunk_act!M3*1000)</f>
        <v>52.079884284326134</v>
      </c>
      <c r="N17" s="62">
        <f>IF(N3=0,0,N3/MBunk_act!N3*1000)</f>
        <v>54.942725959880036</v>
      </c>
      <c r="O17" s="62">
        <f>IF(O3=0,0,O3/MBunk_act!O3*1000)</f>
        <v>48.805302447300598</v>
      </c>
      <c r="P17" s="62">
        <f>IF(P3=0,0,P3/MBunk_act!P3*1000)</f>
        <v>48.076478930601375</v>
      </c>
      <c r="Q17" s="62">
        <f>IF(Q3=0,0,Q3/MBunk_act!Q3*1000)</f>
        <v>48.62222710207525</v>
      </c>
      <c r="R17" s="62">
        <f>IF(R3=0,0,R3/MBunk_act!R3*1000)</f>
        <v>54.518821164778807</v>
      </c>
      <c r="S17" s="62">
        <f>IF(S3=0,0,S3/MBunk_act!S3*1000)</f>
        <v>72.639081533958347</v>
      </c>
      <c r="T17" s="62">
        <f>IF(T3=0,0,T3/MBunk_act!T3*1000)</f>
        <v>56.945629317280776</v>
      </c>
      <c r="U17" s="62">
        <f>IF(U3=0,0,U3/MBunk_act!U3*1000)</f>
        <v>62.927631214703474</v>
      </c>
      <c r="V17" s="62">
        <f>IF(V3=0,0,V3/MBunk_act!V3*1000)</f>
        <v>74.778163618799638</v>
      </c>
      <c r="W17" s="62">
        <f>IF(W3=0,0,W3/MBunk_act!W3*1000)</f>
        <v>89.439160302977015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57.472673828774887</v>
      </c>
      <c r="C18" s="63">
        <f>IF(C4=0,0,C4/MBunk_act!C4*1000)</f>
        <v>62.84104970377512</v>
      </c>
      <c r="D18" s="63">
        <f>IF(D4=0,0,D4/MBunk_act!D4*1000)</f>
        <v>51.376727745570633</v>
      </c>
      <c r="E18" s="63">
        <f>IF(E4=0,0,E4/MBunk_act!E4*1000)</f>
        <v>66.578738792592503</v>
      </c>
      <c r="F18" s="63">
        <f>IF(F4=0,0,F4/MBunk_act!F4*1000)</f>
        <v>75.567939227160821</v>
      </c>
      <c r="G18" s="63">
        <f>IF(G4=0,0,G4/MBunk_act!G4*1000)</f>
        <v>72.099593320565575</v>
      </c>
      <c r="H18" s="63">
        <f>IF(H4=0,0,H4/MBunk_act!H4*1000)</f>
        <v>78.701223916165034</v>
      </c>
      <c r="I18" s="63">
        <f>IF(I4=0,0,I4/MBunk_act!I4*1000)</f>
        <v>75.919532212985203</v>
      </c>
      <c r="J18" s="63">
        <f>IF(J4=0,0,J4/MBunk_act!J4*1000)</f>
        <v>70.953224618577266</v>
      </c>
      <c r="K18" s="63">
        <f>IF(K4=0,0,K4/MBunk_act!K4*1000)</f>
        <v>84.758106086876964</v>
      </c>
      <c r="L18" s="63">
        <f>IF(L4=0,0,L4/MBunk_act!L4*1000)</f>
        <v>68.312572973147326</v>
      </c>
      <c r="M18" s="63">
        <f>IF(M4=0,0,M4/MBunk_act!M4*1000)</f>
        <v>61.972997244106445</v>
      </c>
      <c r="N18" s="63">
        <f>IF(N4=0,0,N4/MBunk_act!N4*1000)</f>
        <v>66.546254610193131</v>
      </c>
      <c r="O18" s="63">
        <f>IF(O4=0,0,O4/MBunk_act!O4*1000)</f>
        <v>58.059648474482941</v>
      </c>
      <c r="P18" s="63">
        <f>IF(P4=0,0,P4/MBunk_act!P4*1000)</f>
        <v>59.91139821880099</v>
      </c>
      <c r="Q18" s="63">
        <f>IF(Q4=0,0,Q4/MBunk_act!Q4*1000)</f>
        <v>62.654287883412138</v>
      </c>
      <c r="R18" s="63">
        <f>IF(R4=0,0,R4/MBunk_act!R4*1000)</f>
        <v>66.42537263336672</v>
      </c>
      <c r="S18" s="63">
        <f>IF(S4=0,0,S4/MBunk_act!S4*1000)</f>
        <v>81.488192839770235</v>
      </c>
      <c r="T18" s="63">
        <f>IF(T4=0,0,T4/MBunk_act!T4*1000)</f>
        <v>62.316208141781104</v>
      </c>
      <c r="U18" s="63">
        <f>IF(U4=0,0,U4/MBunk_act!U4*1000)</f>
        <v>71.86182712097812</v>
      </c>
      <c r="V18" s="63">
        <f>IF(V4=0,0,V4/MBunk_act!V4*1000)</f>
        <v>82.268379361568734</v>
      </c>
      <c r="W18" s="63">
        <f>IF(W4=0,0,W4/MBunk_act!W4*1000)</f>
        <v>82.583448999207732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41.834482407611041</v>
      </c>
      <c r="C19" s="64">
        <f>IF(C5=0,0,C5/MBunk_act!C5*1000)</f>
        <v>43.068580631033981</v>
      </c>
      <c r="D19" s="64">
        <f>IF(D5=0,0,D5/MBunk_act!D5*1000)</f>
        <v>36.799312266546195</v>
      </c>
      <c r="E19" s="64">
        <f>IF(E5=0,0,E5/MBunk_act!E5*1000)</f>
        <v>47.755782405657484</v>
      </c>
      <c r="F19" s="64">
        <f>IF(F5=0,0,F5/MBunk_act!F5*1000)</f>
        <v>55.687221324329911</v>
      </c>
      <c r="G19" s="64">
        <f>IF(G5=0,0,G5/MBunk_act!G5*1000)</f>
        <v>48.204872289778542</v>
      </c>
      <c r="H19" s="64">
        <f>IF(H5=0,0,H5/MBunk_act!H5*1000)</f>
        <v>56.776180130718387</v>
      </c>
      <c r="I19" s="64">
        <f>IF(I5=0,0,I5/MBunk_act!I5*1000)</f>
        <v>57.279744929262108</v>
      </c>
      <c r="J19" s="64">
        <f>IF(J5=0,0,J5/MBunk_act!J5*1000)</f>
        <v>49.775287618907328</v>
      </c>
      <c r="K19" s="64">
        <f>IF(K5=0,0,K5/MBunk_act!K5*1000)</f>
        <v>60.076202782068421</v>
      </c>
      <c r="L19" s="64">
        <f>IF(L5=0,0,L5/MBunk_act!L5*1000)</f>
        <v>43.386670933955074</v>
      </c>
      <c r="M19" s="64">
        <f>IF(M5=0,0,M5/MBunk_act!M5*1000)</f>
        <v>44.117402079135971</v>
      </c>
      <c r="N19" s="64">
        <f>IF(N5=0,0,N5/MBunk_act!N5*1000)</f>
        <v>45.959403462655423</v>
      </c>
      <c r="O19" s="64">
        <f>IF(O5=0,0,O5/MBunk_act!O5*1000)</f>
        <v>41.326315743255179</v>
      </c>
      <c r="P19" s="64">
        <f>IF(P5=0,0,P5/MBunk_act!P5*1000)</f>
        <v>39.815975841279737</v>
      </c>
      <c r="Q19" s="64">
        <f>IF(Q5=0,0,Q5/MBunk_act!Q5*1000)</f>
        <v>39.662068376063779</v>
      </c>
      <c r="R19" s="64">
        <f>IF(R5=0,0,R5/MBunk_act!R5*1000)</f>
        <v>45.888940379109066</v>
      </c>
      <c r="S19" s="64">
        <f>IF(S5=0,0,S5/MBunk_act!S5*1000)</f>
        <v>64.550680114645758</v>
      </c>
      <c r="T19" s="64">
        <f>IF(T5=0,0,T5/MBunk_act!T5*1000)</f>
        <v>51.656553365024671</v>
      </c>
      <c r="U19" s="64">
        <f>IF(U5=0,0,U5/MBunk_act!U5*1000)</f>
        <v>54.897038651682259</v>
      </c>
      <c r="V19" s="64">
        <f>IF(V5=0,0,V5/MBunk_act!V5*1000)</f>
        <v>68.598601417970613</v>
      </c>
      <c r="W19" s="64">
        <f>IF(W5=0,0,W5/MBunk_act!W5*1000)</f>
        <v>97.848572441447928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0.51846022070650222</v>
      </c>
      <c r="C22" s="77">
        <f t="shared" si="2"/>
        <v>0.51087659163043941</v>
      </c>
      <c r="D22" s="77">
        <f t="shared" si="2"/>
        <v>0.51353118429523603</v>
      </c>
      <c r="E22" s="77">
        <f t="shared" si="2"/>
        <v>0.51425553832850313</v>
      </c>
      <c r="F22" s="77">
        <f t="shared" si="2"/>
        <v>0.52355976519432612</v>
      </c>
      <c r="G22" s="77">
        <f t="shared" si="2"/>
        <v>0.51256927086333981</v>
      </c>
      <c r="H22" s="77">
        <f t="shared" si="2"/>
        <v>0.51807740941948421</v>
      </c>
      <c r="I22" s="77">
        <f t="shared" si="2"/>
        <v>0.53225889071990096</v>
      </c>
      <c r="J22" s="77">
        <f t="shared" si="2"/>
        <v>0.52688064038212645</v>
      </c>
      <c r="K22" s="77">
        <f t="shared" si="2"/>
        <v>0.53411519881693137</v>
      </c>
      <c r="L22" s="77">
        <f t="shared" si="2"/>
        <v>0.51579012568279314</v>
      </c>
      <c r="M22" s="77">
        <f t="shared" si="2"/>
        <v>0.53064812519214277</v>
      </c>
      <c r="N22" s="77">
        <f t="shared" si="2"/>
        <v>0.52851884948538919</v>
      </c>
      <c r="O22" s="77">
        <f t="shared" si="2"/>
        <v>0.53170128259712068</v>
      </c>
      <c r="P22" s="77">
        <f t="shared" si="2"/>
        <v>0.51225494734071997</v>
      </c>
      <c r="Q22" s="77">
        <f t="shared" si="2"/>
        <v>0.50216999162202691</v>
      </c>
      <c r="R22" s="77">
        <f t="shared" si="2"/>
        <v>0.51199691264056912</v>
      </c>
      <c r="S22" s="77">
        <f t="shared" si="2"/>
        <v>0.53571943801239907</v>
      </c>
      <c r="T22" s="77">
        <f t="shared" si="2"/>
        <v>0.54297181464290178</v>
      </c>
      <c r="U22" s="77">
        <f t="shared" si="2"/>
        <v>0.54057507175964392</v>
      </c>
      <c r="V22" s="77">
        <f t="shared" si="2"/>
        <v>0.49734115040851778</v>
      </c>
      <c r="W22" s="77">
        <f t="shared" si="2"/>
        <v>0.50866355283824782</v>
      </c>
      <c r="DA22" s="184"/>
    </row>
    <row r="23" spans="1:105" ht="11.45" customHeight="1" x14ac:dyDescent="0.25">
      <c r="A23" s="57" t="s">
        <v>171</v>
      </c>
      <c r="B23" s="78">
        <f t="shared" si="2"/>
        <v>0.48153977929349773</v>
      </c>
      <c r="C23" s="78">
        <f t="shared" si="2"/>
        <v>0.48912340836956064</v>
      </c>
      <c r="D23" s="78">
        <f t="shared" si="2"/>
        <v>0.48646881570476402</v>
      </c>
      <c r="E23" s="78">
        <f t="shared" si="2"/>
        <v>0.48574446167149687</v>
      </c>
      <c r="F23" s="78">
        <f t="shared" si="2"/>
        <v>0.47644023480567382</v>
      </c>
      <c r="G23" s="78">
        <f t="shared" si="2"/>
        <v>0.48743072913666013</v>
      </c>
      <c r="H23" s="78">
        <f t="shared" si="2"/>
        <v>0.48192259058051579</v>
      </c>
      <c r="I23" s="78">
        <f t="shared" si="2"/>
        <v>0.46774110928009899</v>
      </c>
      <c r="J23" s="78">
        <f t="shared" si="2"/>
        <v>0.4731193596178736</v>
      </c>
      <c r="K23" s="78">
        <f t="shared" si="2"/>
        <v>0.46588480118306863</v>
      </c>
      <c r="L23" s="78">
        <f t="shared" si="2"/>
        <v>0.4842098743172068</v>
      </c>
      <c r="M23" s="78">
        <f t="shared" si="2"/>
        <v>0.46935187480785723</v>
      </c>
      <c r="N23" s="78">
        <f t="shared" si="2"/>
        <v>0.4714811505146107</v>
      </c>
      <c r="O23" s="78">
        <f t="shared" si="2"/>
        <v>0.46829871740287937</v>
      </c>
      <c r="P23" s="78">
        <f t="shared" si="2"/>
        <v>0.48774505265927992</v>
      </c>
      <c r="Q23" s="78">
        <f t="shared" si="2"/>
        <v>0.49783000837797309</v>
      </c>
      <c r="R23" s="78">
        <f t="shared" si="2"/>
        <v>0.48800308735943093</v>
      </c>
      <c r="S23" s="78">
        <f t="shared" si="2"/>
        <v>0.46428056198760098</v>
      </c>
      <c r="T23" s="78">
        <f t="shared" si="2"/>
        <v>0.45702818535709816</v>
      </c>
      <c r="U23" s="78">
        <f t="shared" si="2"/>
        <v>0.45942492824035608</v>
      </c>
      <c r="V23" s="78">
        <f t="shared" si="2"/>
        <v>0.50265884959148222</v>
      </c>
      <c r="W23" s="78">
        <f t="shared" si="2"/>
        <v>0.49133644716175218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87DB6D-47D6-495D-9CF3-93B9A9472A07}"/>
</file>

<file path=customXml/itemProps2.xml><?xml version="1.0" encoding="utf-8"?>
<ds:datastoreItem xmlns:ds="http://schemas.openxmlformats.org/officeDocument/2006/customXml" ds:itemID="{152D46B9-1EE5-40E6-892B-66A84F15654E}"/>
</file>

<file path=customXml/itemProps3.xml><?xml version="1.0" encoding="utf-8"?>
<ds:datastoreItem xmlns:ds="http://schemas.openxmlformats.org/officeDocument/2006/customXml" ds:itemID="{BD980984-3459-49B3-887E-1D041987A1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2024-05-20T16:55:54Z</dcterms:created>
  <dcterms:modified xsi:type="dcterms:W3CDTF">2024-05-20T16:55:54Z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