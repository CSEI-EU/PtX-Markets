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SE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X21" i="59"/>
  <c r="W21" i="59"/>
  <c r="V94" i="59"/>
  <c r="U94" i="59"/>
  <c r="Y93" i="59"/>
  <c r="W20" i="59"/>
  <c r="V20" i="59"/>
  <c r="X122" i="59"/>
  <c r="T90" i="59"/>
  <c r="Y89" i="59"/>
  <c r="U121" i="59"/>
  <c r="V115" i="59"/>
  <c r="W80" i="59"/>
  <c r="V111" i="59"/>
  <c r="U109" i="59"/>
  <c r="Y75" i="59"/>
  <c r="Y107" i="59"/>
  <c r="W75" i="59"/>
  <c r="O106" i="59"/>
  <c r="G106" i="59"/>
  <c r="W105" i="59"/>
  <c r="W72" i="59"/>
  <c r="W104" i="59"/>
  <c r="Y71" i="59"/>
  <c r="V103" i="59"/>
  <c r="U103" i="59"/>
  <c r="W69" i="59"/>
  <c r="V101" i="59"/>
  <c r="U100" i="59"/>
  <c r="T67" i="59"/>
  <c r="W98" i="59"/>
  <c r="Y67" i="59"/>
  <c r="W87" i="59"/>
  <c r="U115" i="59"/>
  <c r="V113" i="59"/>
  <c r="T112" i="59"/>
  <c r="X110" i="59"/>
  <c r="T80" i="59"/>
  <c r="W122" i="59"/>
  <c r="Y120" i="59"/>
  <c r="T118" i="59"/>
  <c r="Y84" i="59"/>
  <c r="U116" i="59"/>
  <c r="T83" i="59"/>
  <c r="Y114" i="59"/>
  <c r="W113" i="59"/>
  <c r="U113" i="59"/>
  <c r="Y111" i="59"/>
  <c r="W110" i="59"/>
  <c r="Y77" i="59"/>
  <c r="U108" i="59"/>
  <c r="Y72" i="59"/>
  <c r="T71" i="59"/>
  <c r="Y102" i="59"/>
  <c r="W101" i="59"/>
  <c r="Y99" i="59"/>
  <c r="W67" i="59"/>
  <c r="Y65" i="59"/>
  <c r="X20" i="59"/>
  <c r="U20" i="59"/>
  <c r="X13" i="59"/>
  <c r="U13" i="59"/>
  <c r="V10" i="59"/>
  <c r="W5" i="59"/>
  <c r="T5" i="59"/>
  <c r="Y5" i="59"/>
  <c r="U5" i="59"/>
  <c r="Y73" i="59" l="1"/>
  <c r="W74" i="59"/>
  <c r="Y20" i="59"/>
  <c r="Y95" i="59" s="1"/>
  <c r="U101" i="59"/>
  <c r="Y80" i="59"/>
  <c r="U71" i="59"/>
  <c r="Y69" i="59"/>
  <c r="W65" i="59"/>
  <c r="W84" i="59"/>
  <c r="E106" i="59"/>
  <c r="V74" i="59"/>
  <c r="Y66" i="59"/>
  <c r="X100" i="59"/>
  <c r="Y103" i="59"/>
  <c r="J106" i="59"/>
  <c r="R106" i="59"/>
  <c r="Y74" i="59"/>
  <c r="U107" i="59"/>
  <c r="W112" i="59"/>
  <c r="Y115" i="59"/>
  <c r="U117" i="59"/>
  <c r="U93" i="59"/>
  <c r="W81" i="59"/>
  <c r="W85" i="59"/>
  <c r="Y122" i="59"/>
  <c r="Y97" i="59"/>
  <c r="T98" i="59"/>
  <c r="Y68" i="59"/>
  <c r="X102" i="59"/>
  <c r="U104" i="59"/>
  <c r="Y105" i="59"/>
  <c r="L106" i="59"/>
  <c r="T106" i="59"/>
  <c r="U110" i="59"/>
  <c r="W111" i="59"/>
  <c r="X112" i="59"/>
  <c r="W117" i="59"/>
  <c r="Y118" i="59"/>
  <c r="T119" i="59"/>
  <c r="M106" i="59"/>
  <c r="W73" i="59"/>
  <c r="W78" i="59"/>
  <c r="Y82" i="59"/>
  <c r="W90" i="59"/>
  <c r="Y70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5" i="4"/>
  <c r="B4" i="4"/>
  <c r="B7" i="4"/>
  <c r="B6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Q94" i="59"/>
  <c r="I96" i="59" l="1"/>
  <c r="F94" i="59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5" i="59" s="1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F95" i="59" s="1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P95" i="59" l="1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<sst xmlns="http://schemas.openxmlformats.org/spreadsheetml/2006/main" count="722" uniqueCount="281">
  <si>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</si>
  <si>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</si>
  <si>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</si>
  <si>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</si>
  <si>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</si>
  <si>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</si>
  <si>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</si>
  <si>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</si>
  <si>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</si>
  <si>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</si>
  <si>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</si>
  <si>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</si>
  <si>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</si>
  <si>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</si>
  <si>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</si>
  <si>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</si>
  <si>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</si>
  <si>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</si>
  <si>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</si>
  <si>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</si>
  <si>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</si>
  <si>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</si>
  <si>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</si>
  <si>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</si>
  <si>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</si>
  <si>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</si>
  <si>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</si>
  <si>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</si>
  <si>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</si>
  <si>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</si>
  <si>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</si>
  <si>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</si>
  <si>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</si>
  <si>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</si>
  <si>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</si>
  <si>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</si>
  <si>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</si>
  <si>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</si>
  <si>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</si>
  <si>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</si>
  <si>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</si>
  <si>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</si>
  <si>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</si>
  <si>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</si>
  <si>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</si>
  <si>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</si>
  <si>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</si>
  <si>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</si>
  <si>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</si>
  <si>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</si>
  <si>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</si>
  <si>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</si>
  <si>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</si>
  <si>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</si>
  <si>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</si>
  <si>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</si>
  <si>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</si>
  <si>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</si>
  <si>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</si>
  <si>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</si>
  <si>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</si>
  <si>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</si>
  <si>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</si>
  <si>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</si>
  <si>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</si>
  <si>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</si>
  <si>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</si>
  <si>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</si>
  <si>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</si>
  <si>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</si>
  <si>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</si>
  <si>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</si>
  <si>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</si>
  <si>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</si>
  <si>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</si>
  <si>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</si>
  <si>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</si>
  <si>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</si>
  <si>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</si>
  <si>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</si>
  <si>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</si>
  <si>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</si>
  <si>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</si>
  <si>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</si>
  <si>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</si>
  <si>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</si>
  <si>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</si>
  <si>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</si>
  <si>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</si>
  <si>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</si>
  <si>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</si>
  <si>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</si>
  <si>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</si>
  <si>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</si>
  <si>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</si>
  <si>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</si>
  <si>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</si>
  <si>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</si>
  <si>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</si>
  <si>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</si>
  <si>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</si>
  <si>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</si>
  <si>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</si>
  <si>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</si>
  <si>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</si>
  <si>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</si>
  <si>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</si>
  <si>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</si>
  <si>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</si>
  <si>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</si>
  <si>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</si>
  <si>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</si>
  <si>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</si>
  <si>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</si>
  <si>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</si>
  <si>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</si>
  <si>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</si>
  <si>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</si>
  <si>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</si>
  <si>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</si>
  <si>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</si>
  <si>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</si>
  <si>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</si>
  <si>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</si>
  <si>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</si>
  <si>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</si>
  <si>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</si>
  <si>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</si>
  <si>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</si>
  <si>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</si>
  <si>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</si>
  <si>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</si>
  <si>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</si>
  <si>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</si>
  <si>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</si>
  <si>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</si>
  <si>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</si>
  <si>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</si>
  <si>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</si>
  <si>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</si>
  <si>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</si>
  <si>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</si>
  <si>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</si>
  <si>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</si>
  <si>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</si>
  <si>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</si>
  <si>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</si>
  <si>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</si>
  <si>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</si>
  <si>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</si>
  <si>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</si>
  <si>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</si>
  <si>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</si>
  <si>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</si>
  <si>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</si>
  <si>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</si>
  <si>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</si>
  <si>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</si>
  <si>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</si>
  <si>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</si>
  <si>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</si>
  <si>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</si>
  <si>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</si>
  <si>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</si>
  <si>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</si>
  <si>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</si>
  <si>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</si>
  <si>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</si>
  <si>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</si>
  <si>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</si>
  <si>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</si>
  <si>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</si>
  <si>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</si>
  <si>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</si>
  <si>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</si>
  <si>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</si>
  <si>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</si>
  <si>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</si>
  <si>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</si>
  <si>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</si>
  <si>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</si>
  <si>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</si>
  <si>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</si>
  <si>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</si>
  <si>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</si>
  <si>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</si>
  <si>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</si>
  <si>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</si>
  <si>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</si>
  <si>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</si>
  <si>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</si>
  <si>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</si>
  <si>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</si>
  <si>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</si>
  <si>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</si>
  <si>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</si>
  <si>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</si>
  <si>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</si>
  <si>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</si>
  <si>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</si>
  <si>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</si>
  <si>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</si>
  <si>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</si>
  <si>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</si>
  <si>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</si>
  <si>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</si>
  <si>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</si>
  <si>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</si>
  <si>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</si>
  <si>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</si>
  <si>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</si>
  <si>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</si>
  <si>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</si>
  <si>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</si>
  <si>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</si>
  <si>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</si>
  <si>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</si>
  <si>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</si>
  <si>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</si>
  <si>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</si>
  <si>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</si>
  <si>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</si>
  <si>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</si>
  <si>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</si>
  <si>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</si>
  <si>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</si>
  <si>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</si>
  <si>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</si>
  <si>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</si>
  <si>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</si>
  <si>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</si>
  <si>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</si>
  <si>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</si>
  <si>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</si>
  <si>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</si>
  <si>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</si>
  <si>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</si>
  <si>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</si>
  <si>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</si>
  <si>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</si>
  <si>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</si>
  <si>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</si>
  <si>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</si>
  <si>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</si>
  <si>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</si>
  <si>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</si>
  <si>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</si>
  <si>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</si>
  <si>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</si>
  <si>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</si>
  <si>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</si>
  <si>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</si>
  <si>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</si>
  <si>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</si>
  <si>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</si>
  <si>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</si>
  <si>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</si>
  <si>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</si>
  <si>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</si>
  <si>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</si>
  <si>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</si>
  <si>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</si>
  <si>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</si>
  <si>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</si>
  <si>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</si>
  <si>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</si>
  <si>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</si>
  <si>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</si>
  <si>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</si>
  <si>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</si>
  <si>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</si>
  <si>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</si>
  <si>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</si>
  <si>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</si>
  <si>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</si>
  <si>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</si>
  <si>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</si>
  <si>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</si>
  <si>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</si>
  <si>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SE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</si>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</sst>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45432.788657407407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311309.91220119986</v>
      </c>
      <c r="E2" s="19">
        <v>295337.59718110046</v>
      </c>
      <c r="F2" s="19">
        <v>309643.61677870096</v>
      </c>
      <c r="G2" s="19">
        <v>323484.72086203849</v>
      </c>
      <c r="H2" s="19">
        <v>338638.52979013103</v>
      </c>
      <c r="I2" s="19">
        <v>344741.35769550054</v>
      </c>
      <c r="J2" s="19">
        <v>368257.47534568107</v>
      </c>
      <c r="K2" s="19">
        <v>391869.85469701252</v>
      </c>
      <c r="L2" s="19">
        <v>387431.40844772488</v>
      </c>
      <c r="M2" s="19">
        <v>343501.34212334658</v>
      </c>
      <c r="N2" s="19">
        <v>409064.82674294198</v>
      </c>
      <c r="O2" s="19">
        <v>450714.51261260331</v>
      </c>
      <c r="P2" s="19">
        <v>469484.6548919726</v>
      </c>
      <c r="Q2" s="19">
        <v>482382.59174266958</v>
      </c>
      <c r="R2" s="19">
        <v>479091.69119771122</v>
      </c>
      <c r="S2" s="19">
        <v>497277.22883100004</v>
      </c>
      <c r="T2" s="19">
        <v>509039.83080727508</v>
      </c>
      <c r="U2" s="19">
        <v>524059.11182360956</v>
      </c>
      <c r="V2" s="19">
        <v>513849.16752225923</v>
      </c>
      <c r="W2" s="19">
        <v>520610.71658799314</v>
      </c>
      <c r="X2" s="19">
        <v>524638.44702842366</v>
      </c>
      <c r="Y2" s="19">
        <v>590337.23890232516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144637.39016589895</v>
      </c>
      <c r="E3" s="23">
        <v>135861.52198668619</v>
      </c>
      <c r="F3" s="23">
        <v>142699.67922843547</v>
      </c>
      <c r="G3" s="23">
        <v>148452.79577836412</v>
      </c>
      <c r="H3" s="23">
        <v>153416.23098056312</v>
      </c>
      <c r="I3" s="23">
        <v>156889.35993641417</v>
      </c>
      <c r="J3" s="23">
        <v>163237.14568220879</v>
      </c>
      <c r="K3" s="23">
        <v>172088.33815567859</v>
      </c>
      <c r="L3" s="23">
        <v>171080.27816930384</v>
      </c>
      <c r="M3" s="23">
        <v>159750.54601455815</v>
      </c>
      <c r="N3" s="23">
        <v>187568.6898230183</v>
      </c>
      <c r="O3" s="23">
        <v>204818.19093936312</v>
      </c>
      <c r="P3" s="23">
        <v>215223.34814588272</v>
      </c>
      <c r="Q3" s="23">
        <v>221874.22088331051</v>
      </c>
      <c r="R3" s="23">
        <v>219284.0299065788</v>
      </c>
      <c r="S3" s="23">
        <v>223869.06748800003</v>
      </c>
      <c r="T3" s="23">
        <v>228235.39361208948</v>
      </c>
      <c r="U3" s="23">
        <v>234259.25737042204</v>
      </c>
      <c r="V3" s="23">
        <v>229589.36395317325</v>
      </c>
      <c r="W3" s="23">
        <v>228750.55629182342</v>
      </c>
      <c r="X3" s="23">
        <v>225606.01241890926</v>
      </c>
      <c r="Y3" s="23">
        <v>252449.58410802414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253468.79999999999</v>
      </c>
      <c r="E4" s="27">
        <v>240345.60000000001</v>
      </c>
      <c r="F4" s="27">
        <v>251547.5</v>
      </c>
      <c r="G4" s="27">
        <v>262841</v>
      </c>
      <c r="H4" s="27">
        <v>275653.7</v>
      </c>
      <c r="I4" s="27">
        <v>279530</v>
      </c>
      <c r="J4" s="27">
        <v>299097.8</v>
      </c>
      <c r="K4" s="27">
        <v>318328.59999999998</v>
      </c>
      <c r="L4" s="27">
        <v>314246.09999999992</v>
      </c>
      <c r="M4" s="27">
        <v>277564.79999999999</v>
      </c>
      <c r="N4" s="27">
        <v>330602.2</v>
      </c>
      <c r="O4" s="27">
        <v>365818.2</v>
      </c>
      <c r="P4" s="27">
        <v>381499.2</v>
      </c>
      <c r="Q4" s="27">
        <v>392121.5</v>
      </c>
      <c r="R4" s="27">
        <v>390172.3</v>
      </c>
      <c r="S4" s="27">
        <v>404986.7</v>
      </c>
      <c r="T4" s="27">
        <v>413017.1</v>
      </c>
      <c r="U4" s="27">
        <v>425594.5</v>
      </c>
      <c r="V4" s="27">
        <v>417117.7</v>
      </c>
      <c r="W4" s="27">
        <v>423512.4</v>
      </c>
      <c r="X4" s="27">
        <v>426559.9</v>
      </c>
      <c r="Y4" s="27">
        <v>480253.7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5540.1</v>
      </c>
      <c r="E6" s="19">
        <v>5261.5</v>
      </c>
      <c r="F6" s="19">
        <v>5388</v>
      </c>
      <c r="G6" s="19">
        <v>5507.2</v>
      </c>
      <c r="H6" s="19">
        <v>5669.4</v>
      </c>
      <c r="I6" s="19">
        <v>3959.1</v>
      </c>
      <c r="J6" s="19">
        <v>4595</v>
      </c>
      <c r="K6" s="19">
        <v>5665.7</v>
      </c>
      <c r="L6" s="19">
        <v>5562.7</v>
      </c>
      <c r="M6" s="19">
        <v>4520.3</v>
      </c>
      <c r="N6" s="19">
        <v>6180.3</v>
      </c>
      <c r="O6" s="19">
        <v>6896.5</v>
      </c>
      <c r="P6" s="19">
        <v>6653.3</v>
      </c>
      <c r="Q6" s="19">
        <v>6479.9</v>
      </c>
      <c r="R6" s="19">
        <v>6333.7</v>
      </c>
      <c r="S6" s="19">
        <v>6602.7</v>
      </c>
      <c r="T6" s="19">
        <v>6521.9</v>
      </c>
      <c r="U6" s="19">
        <v>6929.4</v>
      </c>
      <c r="V6" s="19">
        <v>6555.5</v>
      </c>
      <c r="W6" s="19">
        <v>6638.6</v>
      </c>
      <c r="X6" s="19">
        <v>6388.3</v>
      </c>
      <c r="Y6" s="19">
        <v>6965.2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64648.100000000006</v>
      </c>
      <c r="E7" s="23">
        <v>59613.89999999998</v>
      </c>
      <c r="F7" s="23">
        <v>60998</v>
      </c>
      <c r="G7" s="23">
        <v>62352.300000000025</v>
      </c>
      <c r="H7" s="23">
        <v>64125.000000000007</v>
      </c>
      <c r="I7" s="23">
        <v>64860.5</v>
      </c>
      <c r="J7" s="23">
        <v>69388.100000000006</v>
      </c>
      <c r="K7" s="23">
        <v>73445.299999999945</v>
      </c>
      <c r="L7" s="23">
        <v>69670.599999999948</v>
      </c>
      <c r="M7" s="23">
        <v>54414.799999999952</v>
      </c>
      <c r="N7" s="23">
        <v>70361.200000000026</v>
      </c>
      <c r="O7" s="23">
        <v>76359.89999999998</v>
      </c>
      <c r="P7" s="23">
        <v>76253.5</v>
      </c>
      <c r="Q7" s="23">
        <v>74460.499999999956</v>
      </c>
      <c r="R7" s="23">
        <v>72117.599999999977</v>
      </c>
      <c r="S7" s="23">
        <v>75775.70000000007</v>
      </c>
      <c r="T7" s="23">
        <v>75201.599999999962</v>
      </c>
      <c r="U7" s="23">
        <v>77437.000000000058</v>
      </c>
      <c r="V7" s="23">
        <v>75562.8</v>
      </c>
      <c r="W7" s="23">
        <v>77056.599999999948</v>
      </c>
      <c r="X7" s="23">
        <v>74475.100000000006</v>
      </c>
      <c r="Y7" s="23">
        <v>91803.6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10554.8</v>
      </c>
      <c r="E8" s="23">
        <v>10761.4</v>
      </c>
      <c r="F8" s="23">
        <v>11652.7</v>
      </c>
      <c r="G8" s="23">
        <v>12316.6</v>
      </c>
      <c r="H8" s="23">
        <v>13635</v>
      </c>
      <c r="I8" s="23">
        <v>13768.9</v>
      </c>
      <c r="J8" s="23">
        <v>15799.9</v>
      </c>
      <c r="K8" s="23">
        <v>17884.8</v>
      </c>
      <c r="L8" s="23">
        <v>17215.900000000001</v>
      </c>
      <c r="M8" s="23">
        <v>16073.500000000002</v>
      </c>
      <c r="N8" s="23">
        <v>18639.2</v>
      </c>
      <c r="O8" s="23">
        <v>21205.1</v>
      </c>
      <c r="P8" s="23">
        <v>22669.200000000001</v>
      </c>
      <c r="Q8" s="23">
        <v>23048.6</v>
      </c>
      <c r="R8" s="23">
        <v>23487.200000000001</v>
      </c>
      <c r="S8" s="23">
        <v>25153</v>
      </c>
      <c r="T8" s="23">
        <v>26040</v>
      </c>
      <c r="U8" s="23">
        <v>28784.7</v>
      </c>
      <c r="V8" s="23">
        <v>27996.799999999999</v>
      </c>
      <c r="W8" s="23">
        <v>27395.5</v>
      </c>
      <c r="X8" s="23">
        <v>29280.3</v>
      </c>
      <c r="Y8" s="23">
        <v>30902.9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43043.1</v>
      </c>
      <c r="E9" s="23">
        <v>40996.9</v>
      </c>
      <c r="F9" s="23">
        <v>43328</v>
      </c>
      <c r="G9" s="23">
        <v>45587.1</v>
      </c>
      <c r="H9" s="23">
        <v>48156.4</v>
      </c>
      <c r="I9" s="23">
        <v>49662.7</v>
      </c>
      <c r="J9" s="23">
        <v>52762.5</v>
      </c>
      <c r="K9" s="23">
        <v>56227.1</v>
      </c>
      <c r="L9" s="23">
        <v>56101.4</v>
      </c>
      <c r="M9" s="23">
        <v>50002.8</v>
      </c>
      <c r="N9" s="23">
        <v>58891.8</v>
      </c>
      <c r="O9" s="23">
        <v>65059.4</v>
      </c>
      <c r="P9" s="23">
        <v>67854.100000000006</v>
      </c>
      <c r="Q9" s="23">
        <v>69896.899999999994</v>
      </c>
      <c r="R9" s="23">
        <v>70279.39999999998</v>
      </c>
      <c r="S9" s="23">
        <v>72166.399999999994</v>
      </c>
      <c r="T9" s="23">
        <v>74544.100000000006</v>
      </c>
      <c r="U9" s="23">
        <v>76090.899999999994</v>
      </c>
      <c r="V9" s="23">
        <v>72567.200000000012</v>
      </c>
      <c r="W9" s="23">
        <v>73772.100000000006</v>
      </c>
      <c r="X9" s="23">
        <v>71077</v>
      </c>
      <c r="Y9" s="23">
        <v>81789.7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14684.8</v>
      </c>
      <c r="E10" s="23">
        <v>14810.4</v>
      </c>
      <c r="F10" s="23">
        <v>15169</v>
      </c>
      <c r="G10" s="23">
        <v>15830.3</v>
      </c>
      <c r="H10" s="23">
        <v>18330.8</v>
      </c>
      <c r="I10" s="23">
        <v>18644.2</v>
      </c>
      <c r="J10" s="23">
        <v>19844.599999999999</v>
      </c>
      <c r="K10" s="23">
        <v>20500.599999999999</v>
      </c>
      <c r="L10" s="23">
        <v>21064.799999999999</v>
      </c>
      <c r="M10" s="23">
        <v>19502.7</v>
      </c>
      <c r="N10" s="23">
        <v>24287.200000000001</v>
      </c>
      <c r="O10" s="23">
        <v>27077.5</v>
      </c>
      <c r="P10" s="23">
        <v>27770.7</v>
      </c>
      <c r="Q10" s="23">
        <v>29219.7</v>
      </c>
      <c r="R10" s="23">
        <v>29886.1</v>
      </c>
      <c r="S10" s="23">
        <v>32394.2</v>
      </c>
      <c r="T10" s="23">
        <v>30168.7</v>
      </c>
      <c r="U10" s="23">
        <v>30478.799999999999</v>
      </c>
      <c r="V10" s="23">
        <v>31613.3</v>
      </c>
      <c r="W10" s="23">
        <v>34472.300000000003</v>
      </c>
      <c r="X10" s="23">
        <v>35923.69999999999</v>
      </c>
      <c r="Y10" s="23">
        <v>41289.199999999997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11315.3</v>
      </c>
      <c r="E11" s="23">
        <v>10474.9</v>
      </c>
      <c r="F11" s="23">
        <v>10042</v>
      </c>
      <c r="G11" s="23">
        <v>10661.6</v>
      </c>
      <c r="H11" s="23">
        <v>12229.8</v>
      </c>
      <c r="I11" s="23">
        <v>12670.1</v>
      </c>
      <c r="J11" s="23">
        <v>11680.2</v>
      </c>
      <c r="K11" s="23">
        <v>12234.2</v>
      </c>
      <c r="L11" s="23">
        <v>11958.3</v>
      </c>
      <c r="M11" s="23">
        <v>12671.4</v>
      </c>
      <c r="N11" s="23">
        <v>13456.7</v>
      </c>
      <c r="O11" s="23">
        <v>15418.5</v>
      </c>
      <c r="P11" s="23">
        <v>16878.900000000001</v>
      </c>
      <c r="Q11" s="23">
        <v>17848.099999999999</v>
      </c>
      <c r="R11" s="23">
        <v>18012.400000000001</v>
      </c>
      <c r="S11" s="23">
        <v>19232.3</v>
      </c>
      <c r="T11" s="23">
        <v>18595.400000000001</v>
      </c>
      <c r="U11" s="23">
        <v>17468.5</v>
      </c>
      <c r="V11" s="23">
        <v>16582.699999999997</v>
      </c>
      <c r="W11" s="23">
        <v>16247.300000000003</v>
      </c>
      <c r="X11" s="23">
        <v>18696.500000000004</v>
      </c>
      <c r="Y11" s="23">
        <v>21059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24877.4</v>
      </c>
      <c r="E12" s="23">
        <v>22661</v>
      </c>
      <c r="F12" s="23">
        <v>23984.799999999999</v>
      </c>
      <c r="G12" s="23">
        <v>24911.8</v>
      </c>
      <c r="H12" s="23">
        <v>24071.5</v>
      </c>
      <c r="I12" s="23">
        <v>24374.5</v>
      </c>
      <c r="J12" s="23">
        <v>26622.400000000001</v>
      </c>
      <c r="K12" s="23">
        <v>27550.1</v>
      </c>
      <c r="L12" s="23">
        <v>28300.2</v>
      </c>
      <c r="M12" s="23">
        <v>25603.3</v>
      </c>
      <c r="N12" s="23">
        <v>27673.8</v>
      </c>
      <c r="O12" s="23">
        <v>30919.5</v>
      </c>
      <c r="P12" s="23">
        <v>32357.4</v>
      </c>
      <c r="Q12" s="23">
        <v>33576.1</v>
      </c>
      <c r="R12" s="23">
        <v>33334.6</v>
      </c>
      <c r="S12" s="23">
        <v>32744.400000000001</v>
      </c>
      <c r="T12" s="23">
        <v>34085.800000000003</v>
      </c>
      <c r="U12" s="23">
        <v>35506.800000000003</v>
      </c>
      <c r="V12" s="23">
        <v>36003.300000000003</v>
      </c>
      <c r="W12" s="23">
        <v>37744.69999999999</v>
      </c>
      <c r="X12" s="23">
        <v>38126.999999999993</v>
      </c>
      <c r="Y12" s="23">
        <v>39615.600000000006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21036.3</v>
      </c>
      <c r="E13" s="23">
        <v>20670.699999999997</v>
      </c>
      <c r="F13" s="23">
        <v>21647.200000000001</v>
      </c>
      <c r="G13" s="23">
        <v>22605.9</v>
      </c>
      <c r="H13" s="23">
        <v>24523.9</v>
      </c>
      <c r="I13" s="23">
        <v>25560.6</v>
      </c>
      <c r="J13" s="23">
        <v>28767.1</v>
      </c>
      <c r="K13" s="23">
        <v>31860.400000000001</v>
      </c>
      <c r="L13" s="23">
        <v>31255.8</v>
      </c>
      <c r="M13" s="23">
        <v>27011.9</v>
      </c>
      <c r="N13" s="23">
        <v>33221.1</v>
      </c>
      <c r="O13" s="23">
        <v>37546.199999999997</v>
      </c>
      <c r="P13" s="23">
        <v>39946.300000000003</v>
      </c>
      <c r="Q13" s="23">
        <v>42581.2</v>
      </c>
      <c r="R13" s="23">
        <v>42654.3</v>
      </c>
      <c r="S13" s="23">
        <v>44575.199999999997</v>
      </c>
      <c r="T13" s="23">
        <v>46995.1</v>
      </c>
      <c r="U13" s="23">
        <v>49407.6</v>
      </c>
      <c r="V13" s="23">
        <v>49043.3</v>
      </c>
      <c r="W13" s="23">
        <v>48945.2</v>
      </c>
      <c r="X13" s="23">
        <v>49347.1</v>
      </c>
      <c r="Y13" s="23">
        <v>54366.400000000001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51270.1</v>
      </c>
      <c r="E14" s="23">
        <v>48723.1</v>
      </c>
      <c r="F14" s="23">
        <v>52453.7</v>
      </c>
      <c r="G14" s="23">
        <v>55816.9</v>
      </c>
      <c r="H14" s="23">
        <v>57291.3</v>
      </c>
      <c r="I14" s="23">
        <v>58135.000000000007</v>
      </c>
      <c r="J14" s="23">
        <v>61131.5</v>
      </c>
      <c r="K14" s="23">
        <v>64085.1</v>
      </c>
      <c r="L14" s="23">
        <v>64173.2</v>
      </c>
      <c r="M14" s="23">
        <v>59627.80000000001</v>
      </c>
      <c r="N14" s="23">
        <v>68425.899999999994</v>
      </c>
      <c r="O14" s="23">
        <v>74803.5</v>
      </c>
      <c r="P14" s="23">
        <v>79860.999999999985</v>
      </c>
      <c r="Q14" s="23">
        <v>83175.399999999994</v>
      </c>
      <c r="R14" s="23">
        <v>82475.600000000006</v>
      </c>
      <c r="S14" s="23">
        <v>84534.6</v>
      </c>
      <c r="T14" s="23">
        <v>88782.3</v>
      </c>
      <c r="U14" s="23">
        <v>91044.7</v>
      </c>
      <c r="V14" s="23">
        <v>89071.1</v>
      </c>
      <c r="W14" s="23">
        <v>88844.4</v>
      </c>
      <c r="X14" s="23">
        <v>91460.6</v>
      </c>
      <c r="Y14" s="23">
        <v>99863.4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6498.8</v>
      </c>
      <c r="E15" s="23">
        <v>6371.8</v>
      </c>
      <c r="F15" s="23">
        <v>6884.1</v>
      </c>
      <c r="G15" s="23">
        <v>7251.3</v>
      </c>
      <c r="H15" s="23">
        <v>7620.6</v>
      </c>
      <c r="I15" s="23">
        <v>7894.4</v>
      </c>
      <c r="J15" s="23">
        <v>8506.5</v>
      </c>
      <c r="K15" s="23">
        <v>8875.2999999999993</v>
      </c>
      <c r="L15" s="23">
        <v>8943.2000000000007</v>
      </c>
      <c r="M15" s="23">
        <v>8136.3</v>
      </c>
      <c r="N15" s="23">
        <v>9465</v>
      </c>
      <c r="O15" s="23">
        <v>10532.1</v>
      </c>
      <c r="P15" s="23">
        <v>11254.8</v>
      </c>
      <c r="Q15" s="23">
        <v>11835.1</v>
      </c>
      <c r="R15" s="23">
        <v>11591.4</v>
      </c>
      <c r="S15" s="23">
        <v>11808.2</v>
      </c>
      <c r="T15" s="23">
        <v>12082.2</v>
      </c>
      <c r="U15" s="23">
        <v>12446.1</v>
      </c>
      <c r="V15" s="23">
        <v>12121.7</v>
      </c>
      <c r="W15" s="23">
        <v>12395.7</v>
      </c>
      <c r="X15" s="23">
        <v>11784.3</v>
      </c>
      <c r="Y15" s="23">
        <v>12598.7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253468.79999999996</v>
      </c>
      <c r="E16" s="30">
        <f t="shared" ref="E16:S16" si="0">SUM(E6:E15)</f>
        <v>240345.59999999995</v>
      </c>
      <c r="F16" s="30">
        <f t="shared" si="0"/>
        <v>251547.50000000003</v>
      </c>
      <c r="G16" s="30">
        <f t="shared" si="0"/>
        <v>262841</v>
      </c>
      <c r="H16" s="30">
        <f t="shared" si="0"/>
        <v>275653.69999999995</v>
      </c>
      <c r="I16" s="30">
        <f t="shared" si="0"/>
        <v>279530.00000000006</v>
      </c>
      <c r="J16" s="30">
        <f t="shared" si="0"/>
        <v>299097.80000000005</v>
      </c>
      <c r="K16" s="30">
        <f t="shared" si="0"/>
        <v>318328.59999999992</v>
      </c>
      <c r="L16" s="30">
        <f t="shared" si="0"/>
        <v>314246.09999999992</v>
      </c>
      <c r="M16" s="30">
        <f t="shared" si="0"/>
        <v>277564.79999999993</v>
      </c>
      <c r="N16" s="30">
        <f t="shared" si="0"/>
        <v>330602.20000000007</v>
      </c>
      <c r="O16" s="30">
        <f t="shared" si="0"/>
        <v>365818.19999999995</v>
      </c>
      <c r="P16" s="30">
        <f t="shared" si="0"/>
        <v>381499.2</v>
      </c>
      <c r="Q16" s="30">
        <f t="shared" si="0"/>
        <v>392121.49999999988</v>
      </c>
      <c r="R16" s="30">
        <f t="shared" si="0"/>
        <v>390172.30000000005</v>
      </c>
      <c r="S16" s="30">
        <f t="shared" si="0"/>
        <v>404986.70000000013</v>
      </c>
      <c r="T16" s="30">
        <f t="shared" ref="T16:Y16" si="1">SUM(T6:T15)</f>
        <v>413017.1</v>
      </c>
      <c r="U16" s="30">
        <f t="shared" si="1"/>
        <v>425594.5</v>
      </c>
      <c r="V16" s="30">
        <f t="shared" si="1"/>
        <v>417117.7</v>
      </c>
      <c r="W16" s="30">
        <f t="shared" si="1"/>
        <v>423512.39999999997</v>
      </c>
      <c r="X16" s="30">
        <f t="shared" si="1"/>
        <v>426559.89999999997</v>
      </c>
      <c r="Y16" s="30">
        <f t="shared" si="1"/>
        <v>480253.70000000013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5540.1</v>
      </c>
      <c r="E18" s="19">
        <v>5261.5</v>
      </c>
      <c r="F18" s="19">
        <v>5388</v>
      </c>
      <c r="G18" s="19">
        <v>5507.2</v>
      </c>
      <c r="H18" s="19">
        <v>5669.4</v>
      </c>
      <c r="I18" s="19">
        <v>3959.1</v>
      </c>
      <c r="J18" s="19">
        <v>4595</v>
      </c>
      <c r="K18" s="19">
        <v>5665.7</v>
      </c>
      <c r="L18" s="19">
        <v>5562.7</v>
      </c>
      <c r="M18" s="19">
        <v>4520.3</v>
      </c>
      <c r="N18" s="19">
        <v>6180.3</v>
      </c>
      <c r="O18" s="19">
        <v>6896.5</v>
      </c>
      <c r="P18" s="19">
        <v>6653.3</v>
      </c>
      <c r="Q18" s="19">
        <v>6479.9</v>
      </c>
      <c r="R18" s="19">
        <v>6333.7</v>
      </c>
      <c r="S18" s="19">
        <v>6602.7</v>
      </c>
      <c r="T18" s="19">
        <v>6521.9</v>
      </c>
      <c r="U18" s="19">
        <v>6929.4</v>
      </c>
      <c r="V18" s="19">
        <v>6555.5</v>
      </c>
      <c r="W18" s="19">
        <v>6638.6</v>
      </c>
      <c r="X18" s="19">
        <v>6388.3</v>
      </c>
      <c r="Y18" s="19">
        <v>6965.2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524.29999999999984</v>
      </c>
      <c r="E19" s="23">
        <v>479.3</v>
      </c>
      <c r="F19" s="23">
        <v>496.7</v>
      </c>
      <c r="G19" s="23">
        <v>581.9</v>
      </c>
      <c r="H19" s="23">
        <v>781.4</v>
      </c>
      <c r="I19" s="23">
        <v>1191.9000000000003</v>
      </c>
      <c r="J19" s="23">
        <v>1672.3</v>
      </c>
      <c r="K19" s="23">
        <v>1760.4</v>
      </c>
      <c r="L19" s="23">
        <v>2066.1</v>
      </c>
      <c r="M19" s="23">
        <v>1041.3</v>
      </c>
      <c r="N19" s="23">
        <v>2769.3</v>
      </c>
      <c r="O19" s="23">
        <v>3165.3</v>
      </c>
      <c r="P19" s="23">
        <v>2722.2</v>
      </c>
      <c r="Q19" s="23">
        <v>2178.9999999999995</v>
      </c>
      <c r="R19" s="23">
        <v>1888.4</v>
      </c>
      <c r="S19" s="23">
        <v>1640</v>
      </c>
      <c r="T19" s="23">
        <v>1724.7</v>
      </c>
      <c r="U19" s="23">
        <v>2650.2</v>
      </c>
      <c r="V19" s="23">
        <v>2708.3</v>
      </c>
      <c r="W19" s="23">
        <v>3338.6</v>
      </c>
      <c r="X19" s="23">
        <v>2937.1</v>
      </c>
      <c r="Y19" s="23">
        <v>5255.1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57482.80000000001</v>
      </c>
      <c r="E20" s="23">
        <v>51987.899999999994</v>
      </c>
      <c r="F20" s="23">
        <v>52957.399999999994</v>
      </c>
      <c r="G20" s="23">
        <v>53574.200000000026</v>
      </c>
      <c r="H20" s="23">
        <v>53941.700000000019</v>
      </c>
      <c r="I20" s="23">
        <v>54173.400000000009</v>
      </c>
      <c r="J20" s="23">
        <v>57854.500000000007</v>
      </c>
      <c r="K20" s="23">
        <v>61673.099999999955</v>
      </c>
      <c r="L20" s="23">
        <v>56036.099999999933</v>
      </c>
      <c r="M20" s="23">
        <v>43257.499999999956</v>
      </c>
      <c r="N20" s="23">
        <v>55157.400000000038</v>
      </c>
      <c r="O20" s="23">
        <v>60263.199999999983</v>
      </c>
      <c r="P20" s="23">
        <v>59863.3</v>
      </c>
      <c r="Q20" s="23">
        <v>58788.199999999961</v>
      </c>
      <c r="R20" s="23">
        <v>57324.19999999999</v>
      </c>
      <c r="S20" s="23">
        <v>61970.700000000077</v>
      </c>
      <c r="T20" s="23">
        <v>61509.199999999975</v>
      </c>
      <c r="U20" s="23">
        <v>62621.700000000055</v>
      </c>
      <c r="V20" s="23">
        <v>61335.69999999999</v>
      </c>
      <c r="W20" s="23">
        <v>61060.399999999951</v>
      </c>
      <c r="X20" s="23">
        <v>59400.700000000012</v>
      </c>
      <c r="Y20" s="23">
        <v>71172.000000000015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5137.1000000000004</v>
      </c>
      <c r="E21" s="23">
        <v>5691.3</v>
      </c>
      <c r="F21" s="23">
        <v>5852</v>
      </c>
      <c r="G21" s="23">
        <v>6397.5</v>
      </c>
      <c r="H21" s="23">
        <v>7467.4</v>
      </c>
      <c r="I21" s="23">
        <v>7664.6</v>
      </c>
      <c r="J21" s="23">
        <v>7961.3</v>
      </c>
      <c r="K21" s="23">
        <v>7909.1</v>
      </c>
      <c r="L21" s="23">
        <v>9531.2000000000007</v>
      </c>
      <c r="M21" s="23">
        <v>8408.1</v>
      </c>
      <c r="N21" s="23">
        <v>10545.9</v>
      </c>
      <c r="O21" s="23">
        <v>10847</v>
      </c>
      <c r="P21" s="23">
        <v>11273.3</v>
      </c>
      <c r="Q21" s="23">
        <v>10931.7</v>
      </c>
      <c r="R21" s="23">
        <v>10454.700000000001</v>
      </c>
      <c r="S21" s="23">
        <v>9388.7999999999993</v>
      </c>
      <c r="T21" s="23">
        <v>9292.5</v>
      </c>
      <c r="U21" s="23">
        <v>9528.5000000000018</v>
      </c>
      <c r="V21" s="23">
        <v>8845.4999999999982</v>
      </c>
      <c r="W21" s="23">
        <v>10054.200000000001</v>
      </c>
      <c r="X21" s="23">
        <v>9202.1</v>
      </c>
      <c r="Y21" s="23">
        <v>11813.5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1503.9</v>
      </c>
      <c r="E22" s="23">
        <v>1455.4</v>
      </c>
      <c r="F22" s="23">
        <v>1691.9</v>
      </c>
      <c r="G22" s="23">
        <v>1798.7</v>
      </c>
      <c r="H22" s="23">
        <v>1934.5</v>
      </c>
      <c r="I22" s="23">
        <v>1830.6</v>
      </c>
      <c r="J22" s="23">
        <v>1900</v>
      </c>
      <c r="K22" s="23">
        <v>2102.6999999999994</v>
      </c>
      <c r="L22" s="23">
        <v>2037.2</v>
      </c>
      <c r="M22" s="23">
        <v>1707.9</v>
      </c>
      <c r="N22" s="23">
        <v>1888.6</v>
      </c>
      <c r="O22" s="23">
        <v>2084.4</v>
      </c>
      <c r="P22" s="23">
        <v>2394.6999999999998</v>
      </c>
      <c r="Q22" s="23">
        <v>2561.6000000000004</v>
      </c>
      <c r="R22" s="23">
        <v>2450.3000000000002</v>
      </c>
      <c r="S22" s="23">
        <v>2776.2</v>
      </c>
      <c r="T22" s="23">
        <v>2675.2</v>
      </c>
      <c r="U22" s="23">
        <v>2636.6</v>
      </c>
      <c r="V22" s="23">
        <v>2673.3</v>
      </c>
      <c r="W22" s="23">
        <v>2603.3999999999996</v>
      </c>
      <c r="X22" s="23">
        <v>2935.2</v>
      </c>
      <c r="Y22" s="23">
        <v>3563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10554.8</v>
      </c>
      <c r="E23" s="23">
        <v>10761.4</v>
      </c>
      <c r="F23" s="23">
        <v>11652.7</v>
      </c>
      <c r="G23" s="23">
        <v>12316.6</v>
      </c>
      <c r="H23" s="23">
        <v>13635</v>
      </c>
      <c r="I23" s="23">
        <v>13768.9</v>
      </c>
      <c r="J23" s="23">
        <v>15799.9</v>
      </c>
      <c r="K23" s="23">
        <v>17884.8</v>
      </c>
      <c r="L23" s="23">
        <v>17215.900000000001</v>
      </c>
      <c r="M23" s="23">
        <v>16073.500000000002</v>
      </c>
      <c r="N23" s="23">
        <v>18639.2</v>
      </c>
      <c r="O23" s="23">
        <v>21205.1</v>
      </c>
      <c r="P23" s="23">
        <v>22669.200000000001</v>
      </c>
      <c r="Q23" s="23">
        <v>23048.6</v>
      </c>
      <c r="R23" s="23">
        <v>23487.200000000001</v>
      </c>
      <c r="S23" s="23">
        <v>25153</v>
      </c>
      <c r="T23" s="23">
        <v>26040</v>
      </c>
      <c r="U23" s="23">
        <v>28784.7</v>
      </c>
      <c r="V23" s="23">
        <v>27996.799999999999</v>
      </c>
      <c r="W23" s="23">
        <v>27395.5</v>
      </c>
      <c r="X23" s="23">
        <v>29280.3</v>
      </c>
      <c r="Y23" s="23">
        <v>30902.9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24780.3</v>
      </c>
      <c r="E24" s="23">
        <v>23532.5</v>
      </c>
      <c r="F24" s="23">
        <v>25142.3</v>
      </c>
      <c r="G24" s="23">
        <v>26610.500000000004</v>
      </c>
      <c r="H24" s="23">
        <v>28528.499999999996</v>
      </c>
      <c r="I24" s="23">
        <v>29496.300000000003</v>
      </c>
      <c r="J24" s="23">
        <v>31510.900000000005</v>
      </c>
      <c r="K24" s="23">
        <v>33526.000000000007</v>
      </c>
      <c r="L24" s="23">
        <v>33261.30000000001</v>
      </c>
      <c r="M24" s="23">
        <v>30617.000000000004</v>
      </c>
      <c r="N24" s="23">
        <v>36114.1</v>
      </c>
      <c r="O24" s="23">
        <v>39460.1</v>
      </c>
      <c r="P24" s="23">
        <v>40371.500000000007</v>
      </c>
      <c r="Q24" s="23">
        <v>41784.899999999994</v>
      </c>
      <c r="R24" s="23">
        <v>42548.799999999988</v>
      </c>
      <c r="S24" s="23">
        <v>43828.399999999994</v>
      </c>
      <c r="T24" s="23">
        <v>45240.800000000003</v>
      </c>
      <c r="U24" s="23">
        <v>46257.5</v>
      </c>
      <c r="V24" s="23">
        <v>43470.8</v>
      </c>
      <c r="W24" s="23">
        <v>44582.500000000007</v>
      </c>
      <c r="X24" s="23">
        <v>46194.8</v>
      </c>
      <c r="Y24" s="23">
        <v>53329.599999999999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14738.7</v>
      </c>
      <c r="E25" s="23">
        <v>14127.9</v>
      </c>
      <c r="F25" s="23">
        <v>14702.1</v>
      </c>
      <c r="G25" s="23">
        <v>15436</v>
      </c>
      <c r="H25" s="23">
        <v>15996.3</v>
      </c>
      <c r="I25" s="23">
        <v>16361.399999999998</v>
      </c>
      <c r="J25" s="23">
        <v>17169.599999999999</v>
      </c>
      <c r="K25" s="23">
        <v>18320.5</v>
      </c>
      <c r="L25" s="23">
        <v>18523.599999999999</v>
      </c>
      <c r="M25" s="23">
        <v>15495.9</v>
      </c>
      <c r="N25" s="23">
        <v>18104.599999999999</v>
      </c>
      <c r="O25" s="23">
        <v>20252.2</v>
      </c>
      <c r="P25" s="23">
        <v>21425.200000000001</v>
      </c>
      <c r="Q25" s="23">
        <v>21666.5</v>
      </c>
      <c r="R25" s="23">
        <v>21224.799999999999</v>
      </c>
      <c r="S25" s="23">
        <v>21365.7</v>
      </c>
      <c r="T25" s="23">
        <v>21843.7</v>
      </c>
      <c r="U25" s="23">
        <v>22185.599999999999</v>
      </c>
      <c r="V25" s="23">
        <v>21612.6</v>
      </c>
      <c r="W25" s="23">
        <v>21820.7</v>
      </c>
      <c r="X25" s="23">
        <v>20105.099999999995</v>
      </c>
      <c r="Y25" s="23">
        <v>22582.3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3524.1</v>
      </c>
      <c r="E26" s="23">
        <v>3336.5</v>
      </c>
      <c r="F26" s="23">
        <v>3483.6</v>
      </c>
      <c r="G26" s="23">
        <v>3540.6</v>
      </c>
      <c r="H26" s="23">
        <v>3631.6</v>
      </c>
      <c r="I26" s="23">
        <v>3805</v>
      </c>
      <c r="J26" s="23">
        <v>4082</v>
      </c>
      <c r="K26" s="23">
        <v>4380.6000000000004</v>
      </c>
      <c r="L26" s="23">
        <v>4316.5</v>
      </c>
      <c r="M26" s="23">
        <v>3889.8999999999996</v>
      </c>
      <c r="N26" s="23">
        <v>4673.1000000000004</v>
      </c>
      <c r="O26" s="23">
        <v>5347.1</v>
      </c>
      <c r="P26" s="23">
        <v>6057.4</v>
      </c>
      <c r="Q26" s="23">
        <v>6445.5</v>
      </c>
      <c r="R26" s="23">
        <v>6505.8</v>
      </c>
      <c r="S26" s="23">
        <v>6972.3</v>
      </c>
      <c r="T26" s="23">
        <v>7459.6</v>
      </c>
      <c r="U26" s="23">
        <v>7647.8</v>
      </c>
      <c r="V26" s="23">
        <v>7483.8</v>
      </c>
      <c r="W26" s="23">
        <v>7368.9</v>
      </c>
      <c r="X26" s="23">
        <v>4777.1000000000013</v>
      </c>
      <c r="Y26" s="23">
        <v>5877.8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14684.8</v>
      </c>
      <c r="E27" s="23">
        <v>14810.4</v>
      </c>
      <c r="F27" s="23">
        <v>15169</v>
      </c>
      <c r="G27" s="23">
        <v>15830.3</v>
      </c>
      <c r="H27" s="23">
        <v>18330.8</v>
      </c>
      <c r="I27" s="23">
        <v>18644.2</v>
      </c>
      <c r="J27" s="23">
        <v>19844.599999999999</v>
      </c>
      <c r="K27" s="23">
        <v>20500.599999999999</v>
      </c>
      <c r="L27" s="23">
        <v>21064.799999999999</v>
      </c>
      <c r="M27" s="23">
        <v>19502.7</v>
      </c>
      <c r="N27" s="23">
        <v>24287.200000000001</v>
      </c>
      <c r="O27" s="23">
        <v>27077.5</v>
      </c>
      <c r="P27" s="23">
        <v>27770.7</v>
      </c>
      <c r="Q27" s="23">
        <v>29219.7</v>
      </c>
      <c r="R27" s="23">
        <v>29886.1</v>
      </c>
      <c r="S27" s="23">
        <v>32394.2</v>
      </c>
      <c r="T27" s="23">
        <v>30168.7</v>
      </c>
      <c r="U27" s="23">
        <v>30478.799999999999</v>
      </c>
      <c r="V27" s="23">
        <v>31613.3</v>
      </c>
      <c r="W27" s="23">
        <v>34472.300000000003</v>
      </c>
      <c r="X27" s="23">
        <v>35923.69999999999</v>
      </c>
      <c r="Y27" s="23">
        <v>41289.199999999997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11315.3</v>
      </c>
      <c r="E28" s="23">
        <v>10474.9</v>
      </c>
      <c r="F28" s="23">
        <v>10042</v>
      </c>
      <c r="G28" s="23">
        <v>10661.6</v>
      </c>
      <c r="H28" s="23">
        <v>12229.8</v>
      </c>
      <c r="I28" s="23">
        <v>12670.1</v>
      </c>
      <c r="J28" s="23">
        <v>11680.2</v>
      </c>
      <c r="K28" s="23">
        <v>12234.2</v>
      </c>
      <c r="L28" s="23">
        <v>11958.3</v>
      </c>
      <c r="M28" s="23">
        <v>12671.4</v>
      </c>
      <c r="N28" s="23">
        <v>13456.7</v>
      </c>
      <c r="O28" s="23">
        <v>15418.5</v>
      </c>
      <c r="P28" s="23">
        <v>16878.900000000001</v>
      </c>
      <c r="Q28" s="23">
        <v>17848.099999999999</v>
      </c>
      <c r="R28" s="23">
        <v>18012.400000000001</v>
      </c>
      <c r="S28" s="23">
        <v>19232.3</v>
      </c>
      <c r="T28" s="23">
        <v>18595.400000000001</v>
      </c>
      <c r="U28" s="23">
        <v>17468.5</v>
      </c>
      <c r="V28" s="23">
        <v>16582.699999999997</v>
      </c>
      <c r="W28" s="23">
        <v>16247.300000000003</v>
      </c>
      <c r="X28" s="23">
        <v>18696.500000000004</v>
      </c>
      <c r="Y28" s="23">
        <v>21059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24877.4</v>
      </c>
      <c r="E29" s="23">
        <v>22661</v>
      </c>
      <c r="F29" s="23">
        <v>23984.799999999999</v>
      </c>
      <c r="G29" s="23">
        <v>24911.8</v>
      </c>
      <c r="H29" s="23">
        <v>24071.5</v>
      </c>
      <c r="I29" s="23">
        <v>24374.5</v>
      </c>
      <c r="J29" s="23">
        <v>26622.400000000001</v>
      </c>
      <c r="K29" s="23">
        <v>27550.1</v>
      </c>
      <c r="L29" s="23">
        <v>28300.2</v>
      </c>
      <c r="M29" s="23">
        <v>25603.3</v>
      </c>
      <c r="N29" s="23">
        <v>27673.8</v>
      </c>
      <c r="O29" s="23">
        <v>30919.5</v>
      </c>
      <c r="P29" s="23">
        <v>32357.4</v>
      </c>
      <c r="Q29" s="23">
        <v>33576.1</v>
      </c>
      <c r="R29" s="23">
        <v>33334.6</v>
      </c>
      <c r="S29" s="23">
        <v>32744.400000000001</v>
      </c>
      <c r="T29" s="23">
        <v>34085.800000000003</v>
      </c>
      <c r="U29" s="23">
        <v>35506.800000000003</v>
      </c>
      <c r="V29" s="23">
        <v>36003.300000000003</v>
      </c>
      <c r="W29" s="23">
        <v>37744.69999999999</v>
      </c>
      <c r="X29" s="23">
        <v>38126.999999999993</v>
      </c>
      <c r="Y29" s="23">
        <v>39615.600000000006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14432.700000000003</v>
      </c>
      <c r="E30" s="23">
        <v>13999.399999999998</v>
      </c>
      <c r="F30" s="23">
        <v>14814.899999999998</v>
      </c>
      <c r="G30" s="23">
        <v>15321.399999999998</v>
      </c>
      <c r="H30" s="23">
        <v>17111.3</v>
      </c>
      <c r="I30" s="23">
        <v>17812.5</v>
      </c>
      <c r="J30" s="23">
        <v>19951.2</v>
      </c>
      <c r="K30" s="23">
        <v>22212.800000000003</v>
      </c>
      <c r="L30" s="23">
        <v>21264.6</v>
      </c>
      <c r="M30" s="23">
        <v>18417.2</v>
      </c>
      <c r="N30" s="23">
        <v>22672.2</v>
      </c>
      <c r="O30" s="23">
        <v>25380.999999999996</v>
      </c>
      <c r="P30" s="23">
        <v>27185.400000000005</v>
      </c>
      <c r="Q30" s="23">
        <v>29488</v>
      </c>
      <c r="R30" s="23">
        <v>29527.599999999999</v>
      </c>
      <c r="S30" s="23">
        <v>30540.6</v>
      </c>
      <c r="T30" s="23">
        <v>31969.1</v>
      </c>
      <c r="U30" s="23">
        <v>33815.9</v>
      </c>
      <c r="V30" s="23">
        <v>33557.599999999999</v>
      </c>
      <c r="W30" s="23">
        <v>33978.100000000006</v>
      </c>
      <c r="X30" s="23">
        <v>35226.400000000001</v>
      </c>
      <c r="Y30" s="23">
        <v>38131.299999999996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6603.6</v>
      </c>
      <c r="E31" s="23">
        <v>6671.3</v>
      </c>
      <c r="F31" s="23">
        <v>6832.3000000000011</v>
      </c>
      <c r="G31" s="23">
        <v>7284.5</v>
      </c>
      <c r="H31" s="23">
        <v>7412.6</v>
      </c>
      <c r="I31" s="23">
        <v>7748.1000000000013</v>
      </c>
      <c r="J31" s="23">
        <v>8815.9</v>
      </c>
      <c r="K31" s="23">
        <v>9647.6</v>
      </c>
      <c r="L31" s="23">
        <v>9991.2000000000007</v>
      </c>
      <c r="M31" s="23">
        <v>8594.7000000000007</v>
      </c>
      <c r="N31" s="23">
        <v>10548.9</v>
      </c>
      <c r="O31" s="23">
        <v>12165.2</v>
      </c>
      <c r="P31" s="23">
        <v>12760.9</v>
      </c>
      <c r="Q31" s="23">
        <v>13093.2</v>
      </c>
      <c r="R31" s="23">
        <v>13126.7</v>
      </c>
      <c r="S31" s="23">
        <v>14034.6</v>
      </c>
      <c r="T31" s="23">
        <v>15026</v>
      </c>
      <c r="U31" s="23">
        <v>15591.7</v>
      </c>
      <c r="V31" s="23">
        <v>15485.7</v>
      </c>
      <c r="W31" s="23">
        <v>14967.1</v>
      </c>
      <c r="X31" s="23">
        <v>14120.7</v>
      </c>
      <c r="Y31" s="23">
        <v>16235.1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14081.5</v>
      </c>
      <c r="E32" s="23">
        <v>12565.3</v>
      </c>
      <c r="F32" s="23">
        <v>13131.099999999999</v>
      </c>
      <c r="G32" s="23">
        <v>13792.499999999998</v>
      </c>
      <c r="H32" s="23">
        <v>14133.099999999995</v>
      </c>
      <c r="I32" s="23">
        <v>14229.800000000007</v>
      </c>
      <c r="J32" s="23">
        <v>15276.099999999999</v>
      </c>
      <c r="K32" s="23">
        <v>15835.099999999999</v>
      </c>
      <c r="L32" s="23">
        <v>15334.699999999995</v>
      </c>
      <c r="M32" s="23">
        <v>13990.900000000009</v>
      </c>
      <c r="N32" s="23">
        <v>16217.899999999991</v>
      </c>
      <c r="O32" s="23">
        <v>17333.099999999995</v>
      </c>
      <c r="P32" s="23">
        <v>18890.899999999991</v>
      </c>
      <c r="Q32" s="23">
        <v>19593.899999999994</v>
      </c>
      <c r="R32" s="23">
        <v>19236.000000000007</v>
      </c>
      <c r="S32" s="23">
        <v>19216.900000000001</v>
      </c>
      <c r="T32" s="23">
        <v>19737.300000000003</v>
      </c>
      <c r="U32" s="23">
        <v>20506.600000000009</v>
      </c>
      <c r="V32" s="23">
        <v>20295.500000000004</v>
      </c>
      <c r="W32" s="23">
        <v>20312.399999999994</v>
      </c>
      <c r="X32" s="23">
        <v>21107.000000000004</v>
      </c>
      <c r="Y32" s="23">
        <v>23115.299999999996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13479.3</v>
      </c>
      <c r="E33" s="23">
        <v>13134.3</v>
      </c>
      <c r="F33" s="23">
        <v>13908.7</v>
      </c>
      <c r="G33" s="23">
        <v>15026.199999999997</v>
      </c>
      <c r="H33" s="23">
        <v>15378.9</v>
      </c>
      <c r="I33" s="23">
        <v>15573.699999999997</v>
      </c>
      <c r="J33" s="23">
        <v>16198.3</v>
      </c>
      <c r="K33" s="23">
        <v>16819.5</v>
      </c>
      <c r="L33" s="23">
        <v>16842.900000000001</v>
      </c>
      <c r="M33" s="23">
        <v>15700.8</v>
      </c>
      <c r="N33" s="23">
        <v>17857.5</v>
      </c>
      <c r="O33" s="23">
        <v>19532.8</v>
      </c>
      <c r="P33" s="23">
        <v>20739.500000000004</v>
      </c>
      <c r="Q33" s="23">
        <v>21402.6</v>
      </c>
      <c r="R33" s="23">
        <v>21184.5</v>
      </c>
      <c r="S33" s="23">
        <v>21725.9</v>
      </c>
      <c r="T33" s="23">
        <v>22949.7</v>
      </c>
      <c r="U33" s="23">
        <v>23933</v>
      </c>
      <c r="V33" s="23">
        <v>23600.6</v>
      </c>
      <c r="W33" s="23">
        <v>23766.9</v>
      </c>
      <c r="X33" s="23">
        <v>24361.9</v>
      </c>
      <c r="Y33" s="23">
        <v>26393.5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23709.3</v>
      </c>
      <c r="E34" s="23">
        <v>23023.5</v>
      </c>
      <c r="F34" s="23">
        <v>25413.9</v>
      </c>
      <c r="G34" s="23">
        <v>26998.2</v>
      </c>
      <c r="H34" s="23">
        <v>27779.3</v>
      </c>
      <c r="I34" s="23">
        <v>28331.5</v>
      </c>
      <c r="J34" s="23">
        <v>29657.1</v>
      </c>
      <c r="K34" s="23">
        <v>31430.500000000004</v>
      </c>
      <c r="L34" s="23">
        <v>31995.599999999999</v>
      </c>
      <c r="M34" s="23">
        <v>29936.1</v>
      </c>
      <c r="N34" s="23">
        <v>34350.5</v>
      </c>
      <c r="O34" s="23">
        <v>37937.599999999999</v>
      </c>
      <c r="P34" s="23">
        <v>40230.6</v>
      </c>
      <c r="Q34" s="23">
        <v>42178.9</v>
      </c>
      <c r="R34" s="23">
        <v>42055.1</v>
      </c>
      <c r="S34" s="23">
        <v>43591.8</v>
      </c>
      <c r="T34" s="23">
        <v>46095.3</v>
      </c>
      <c r="U34" s="23">
        <v>46605.1</v>
      </c>
      <c r="V34" s="23">
        <v>45175</v>
      </c>
      <c r="W34" s="23">
        <v>44765.1</v>
      </c>
      <c r="X34" s="23">
        <v>45991.7</v>
      </c>
      <c r="Y34" s="23">
        <v>50354.6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2851.4</v>
      </c>
      <c r="E35" s="23">
        <v>2789.0000000000005</v>
      </c>
      <c r="F35" s="23">
        <v>3007.0000000000005</v>
      </c>
      <c r="G35" s="23">
        <v>3228.9000000000005</v>
      </c>
      <c r="H35" s="23">
        <v>3367.599999999999</v>
      </c>
      <c r="I35" s="23">
        <v>3471.4000000000005</v>
      </c>
      <c r="J35" s="23">
        <v>3843.1</v>
      </c>
      <c r="K35" s="23">
        <v>3971.9999999999982</v>
      </c>
      <c r="L35" s="23">
        <v>3977.7000000000012</v>
      </c>
      <c r="M35" s="23">
        <v>3671.3999999999996</v>
      </c>
      <c r="N35" s="23">
        <v>4184.5000000000009</v>
      </c>
      <c r="O35" s="23">
        <v>4663.6000000000004</v>
      </c>
      <c r="P35" s="23">
        <v>5040.6000000000004</v>
      </c>
      <c r="Q35" s="23">
        <v>5363.4999999999991</v>
      </c>
      <c r="R35" s="23">
        <v>5179.2</v>
      </c>
      <c r="S35" s="23">
        <v>5230.3000000000011</v>
      </c>
      <c r="T35" s="23">
        <v>5345.1</v>
      </c>
      <c r="U35" s="23">
        <v>5600.9</v>
      </c>
      <c r="V35" s="23">
        <v>5456.3</v>
      </c>
      <c r="W35" s="23">
        <v>5856.3999999999987</v>
      </c>
      <c r="X35" s="23">
        <v>5298.5999999999985</v>
      </c>
      <c r="Y35" s="23">
        <v>5724.2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3605.6</v>
      </c>
      <c r="E36" s="23">
        <v>3539.6</v>
      </c>
      <c r="F36" s="23">
        <v>3828.9</v>
      </c>
      <c r="G36" s="23">
        <v>3966.6999999999994</v>
      </c>
      <c r="H36" s="23">
        <v>4186.6000000000004</v>
      </c>
      <c r="I36" s="23">
        <v>4347.8</v>
      </c>
      <c r="J36" s="23">
        <v>4576.3</v>
      </c>
      <c r="K36" s="23">
        <v>4803.7</v>
      </c>
      <c r="L36" s="23">
        <v>4859.5</v>
      </c>
      <c r="M36" s="23">
        <v>4366.7</v>
      </c>
      <c r="N36" s="23">
        <v>5167.7</v>
      </c>
      <c r="O36" s="23">
        <v>5741.1</v>
      </c>
      <c r="P36" s="23">
        <v>6069.7</v>
      </c>
      <c r="Q36" s="23">
        <v>6297.8</v>
      </c>
      <c r="R36" s="23">
        <v>6217.9</v>
      </c>
      <c r="S36" s="23">
        <v>6405</v>
      </c>
      <c r="T36" s="23">
        <v>6524.5</v>
      </c>
      <c r="U36" s="23">
        <v>6635.5</v>
      </c>
      <c r="V36" s="23">
        <v>6427</v>
      </c>
      <c r="W36" s="23">
        <v>6300.5</v>
      </c>
      <c r="X36" s="23">
        <v>6235.4</v>
      </c>
      <c r="Y36" s="23">
        <v>6595.2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41.8</v>
      </c>
      <c r="E37" s="23">
        <v>43.2</v>
      </c>
      <c r="F37" s="23">
        <v>48.2</v>
      </c>
      <c r="G37" s="23">
        <v>55.70000000000001</v>
      </c>
      <c r="H37" s="23">
        <v>66.400000000000006</v>
      </c>
      <c r="I37" s="23">
        <v>75.2</v>
      </c>
      <c r="J37" s="23">
        <v>87.1</v>
      </c>
      <c r="K37" s="23">
        <v>99.6</v>
      </c>
      <c r="L37" s="23">
        <v>106</v>
      </c>
      <c r="M37" s="23">
        <v>98.2</v>
      </c>
      <c r="N37" s="23">
        <v>112.8</v>
      </c>
      <c r="O37" s="23">
        <v>127.4</v>
      </c>
      <c r="P37" s="23">
        <v>144.5</v>
      </c>
      <c r="Q37" s="23">
        <v>173.8</v>
      </c>
      <c r="R37" s="23">
        <v>194.3</v>
      </c>
      <c r="S37" s="23">
        <v>172.9</v>
      </c>
      <c r="T37" s="23">
        <v>212.6</v>
      </c>
      <c r="U37" s="23">
        <v>209.7</v>
      </c>
      <c r="V37" s="23">
        <v>238.4</v>
      </c>
      <c r="W37" s="23">
        <v>238.8</v>
      </c>
      <c r="X37" s="23">
        <v>250.3</v>
      </c>
      <c r="Y37" s="23">
        <v>279.3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253468.79999999999</v>
      </c>
      <c r="E39" s="30">
        <f t="shared" ref="E39:S39" si="2">SUM(E18:E38)</f>
        <v>240345.59999999998</v>
      </c>
      <c r="F39" s="30">
        <f t="shared" si="2"/>
        <v>251547.5</v>
      </c>
      <c r="G39" s="30">
        <f t="shared" si="2"/>
        <v>262841</v>
      </c>
      <c r="H39" s="30">
        <f t="shared" si="2"/>
        <v>275653.69999999995</v>
      </c>
      <c r="I39" s="30">
        <f t="shared" si="2"/>
        <v>279530.00000000006</v>
      </c>
      <c r="J39" s="30">
        <f t="shared" si="2"/>
        <v>299097.79999999993</v>
      </c>
      <c r="K39" s="30">
        <f t="shared" si="2"/>
        <v>318328.59999999998</v>
      </c>
      <c r="L39" s="30">
        <f t="shared" si="2"/>
        <v>314246.09999999992</v>
      </c>
      <c r="M39" s="30">
        <f t="shared" si="2"/>
        <v>277564.79999999999</v>
      </c>
      <c r="N39" s="30">
        <f t="shared" si="2"/>
        <v>330602.20000000007</v>
      </c>
      <c r="O39" s="30">
        <f t="shared" si="2"/>
        <v>365818.1999999999</v>
      </c>
      <c r="P39" s="30">
        <f t="shared" si="2"/>
        <v>381499.19999999995</v>
      </c>
      <c r="Q39" s="30">
        <f t="shared" si="2"/>
        <v>392121.5</v>
      </c>
      <c r="R39" s="30">
        <f t="shared" si="2"/>
        <v>390172.3</v>
      </c>
      <c r="S39" s="30">
        <f t="shared" si="2"/>
        <v>404986.70000000007</v>
      </c>
      <c r="T39" s="30">
        <f t="shared" ref="T39:Y39" si="3">SUM(T18:T38)</f>
        <v>413017.09999999992</v>
      </c>
      <c r="U39" s="30">
        <f t="shared" si="3"/>
        <v>425594.50000000012</v>
      </c>
      <c r="V39" s="30">
        <f t="shared" si="3"/>
        <v>417117.69999999995</v>
      </c>
      <c r="W39" s="30">
        <f t="shared" si="3"/>
        <v>423512.39999999997</v>
      </c>
      <c r="X39" s="30">
        <f t="shared" si="3"/>
        <v>426559.9</v>
      </c>
      <c r="Y39" s="30">
        <f t="shared" si="3"/>
        <v>480253.6999999999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4026.0999999999995</v>
      </c>
      <c r="E41" s="19">
        <v>3809.7</v>
      </c>
      <c r="F41" s="19">
        <v>4080.2999999999993</v>
      </c>
      <c r="G41" s="19">
        <v>4042.2</v>
      </c>
      <c r="H41" s="19">
        <v>4062.8999999999996</v>
      </c>
      <c r="I41" s="19">
        <v>3908.0999999999995</v>
      </c>
      <c r="J41" s="19">
        <v>4130.5</v>
      </c>
      <c r="K41" s="19">
        <v>4043.3</v>
      </c>
      <c r="L41" s="19">
        <v>3863.2000000000007</v>
      </c>
      <c r="M41" s="19">
        <v>3810.5</v>
      </c>
      <c r="N41" s="19">
        <v>4262.8</v>
      </c>
      <c r="O41" s="19">
        <v>4638.8</v>
      </c>
      <c r="P41" s="19">
        <v>4523.3999999999996</v>
      </c>
      <c r="Q41" s="19">
        <v>4809.9999999999991</v>
      </c>
      <c r="R41" s="19">
        <v>4563.3999999999996</v>
      </c>
      <c r="S41" s="19">
        <v>4660</v>
      </c>
      <c r="T41" s="19">
        <v>4800.1000000000013</v>
      </c>
      <c r="U41" s="19">
        <v>4723.5</v>
      </c>
      <c r="V41" s="19">
        <v>4686.8</v>
      </c>
      <c r="W41" s="19">
        <v>4524.1000000000004</v>
      </c>
      <c r="X41" s="19">
        <v>4814.3999999999996</v>
      </c>
      <c r="Y41" s="19">
        <v>4865.3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647.00000000000011</v>
      </c>
      <c r="E42" s="23">
        <v>613.9</v>
      </c>
      <c r="F42" s="23">
        <v>627.70000000000005</v>
      </c>
      <c r="G42" s="23">
        <v>610.79999999999995</v>
      </c>
      <c r="H42" s="23">
        <v>588.4</v>
      </c>
      <c r="I42" s="23">
        <v>556.29999999999995</v>
      </c>
      <c r="J42" s="23">
        <v>549</v>
      </c>
      <c r="K42" s="23">
        <v>569.20000000000005</v>
      </c>
      <c r="L42" s="23">
        <v>519.29999999999995</v>
      </c>
      <c r="M42" s="23">
        <v>403.6</v>
      </c>
      <c r="N42" s="23">
        <v>466.4</v>
      </c>
      <c r="O42" s="23">
        <v>448.1</v>
      </c>
      <c r="P42" s="23">
        <v>457.8</v>
      </c>
      <c r="Q42" s="23">
        <v>457.3</v>
      </c>
      <c r="R42" s="23">
        <v>454</v>
      </c>
      <c r="S42" s="23">
        <v>493</v>
      </c>
      <c r="T42" s="23">
        <v>496</v>
      </c>
      <c r="U42" s="23">
        <v>487.6</v>
      </c>
      <c r="V42" s="23">
        <v>483.2</v>
      </c>
      <c r="W42" s="23">
        <v>472.1</v>
      </c>
      <c r="X42" s="23">
        <v>435.9</v>
      </c>
      <c r="Y42" s="23">
        <v>470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8882.7999999999993</v>
      </c>
      <c r="E43" s="23">
        <v>8347.9</v>
      </c>
      <c r="F43" s="23">
        <v>8049.7</v>
      </c>
      <c r="G43" s="23">
        <v>7983.9</v>
      </c>
      <c r="H43" s="23">
        <v>7510.6</v>
      </c>
      <c r="I43" s="23">
        <v>7589.0000000000009</v>
      </c>
      <c r="J43" s="23">
        <v>7842.9</v>
      </c>
      <c r="K43" s="23">
        <v>8282.2000000000007</v>
      </c>
      <c r="L43" s="23">
        <v>6612</v>
      </c>
      <c r="M43" s="23">
        <v>5803.4</v>
      </c>
      <c r="N43" s="23">
        <v>6911.9</v>
      </c>
      <c r="O43" s="23">
        <v>6980.9</v>
      </c>
      <c r="P43" s="23">
        <v>6895</v>
      </c>
      <c r="Q43" s="23">
        <v>6744.3</v>
      </c>
      <c r="R43" s="23">
        <v>7145.5</v>
      </c>
      <c r="S43" s="23">
        <v>7240.4</v>
      </c>
      <c r="T43" s="23">
        <v>6974.5</v>
      </c>
      <c r="U43" s="23">
        <v>7254.6</v>
      </c>
      <c r="V43" s="23">
        <v>7575.8</v>
      </c>
      <c r="W43" s="23">
        <v>6805.9</v>
      </c>
      <c r="X43" s="23">
        <v>6584</v>
      </c>
      <c r="Y43" s="23">
        <v>9435.4999999999982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450.1</v>
      </c>
      <c r="E44" s="23">
        <v>434.5</v>
      </c>
      <c r="F44" s="23">
        <v>228.2</v>
      </c>
      <c r="G44" s="23">
        <v>387</v>
      </c>
      <c r="H44" s="23">
        <v>336.9</v>
      </c>
      <c r="I44" s="23">
        <v>407.7</v>
      </c>
      <c r="J44" s="23">
        <v>469.1</v>
      </c>
      <c r="K44" s="23">
        <v>594.6</v>
      </c>
      <c r="L44" s="23">
        <v>742.4</v>
      </c>
      <c r="M44" s="23">
        <v>921.5</v>
      </c>
      <c r="N44" s="23">
        <v>662.3</v>
      </c>
      <c r="O44" s="23">
        <v>816.7</v>
      </c>
      <c r="P44" s="23">
        <v>975.7</v>
      </c>
      <c r="Q44" s="23">
        <v>1161.0999999999999</v>
      </c>
      <c r="R44" s="23">
        <v>1247.9999999999998</v>
      </c>
      <c r="S44" s="23">
        <v>884.6</v>
      </c>
      <c r="T44" s="23">
        <v>770.4</v>
      </c>
      <c r="U44" s="23">
        <v>996.4</v>
      </c>
      <c r="V44" s="23">
        <v>687.5</v>
      </c>
      <c r="W44" s="23">
        <v>578.79999999999995</v>
      </c>
      <c r="X44" s="23">
        <v>20.7</v>
      </c>
      <c r="Y44" s="23">
        <v>731.4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5658.8799999999992</v>
      </c>
      <c r="E45" s="23">
        <v>5654.4070480031605</v>
      </c>
      <c r="F45" s="23">
        <v>6088.8061271503793</v>
      </c>
      <c r="G45" s="23">
        <v>5866.5554924416947</v>
      </c>
      <c r="H45" s="23">
        <v>5766.0788504950351</v>
      </c>
      <c r="I45" s="23">
        <v>6016.891994992</v>
      </c>
      <c r="J45" s="23">
        <v>6260.3740717334758</v>
      </c>
      <c r="K45" s="23">
        <v>6219.7232789950613</v>
      </c>
      <c r="L45" s="23">
        <v>5852.3680952395425</v>
      </c>
      <c r="M45" s="23">
        <v>6170.4449280364497</v>
      </c>
      <c r="N45" s="23">
        <v>6523.7869593686028</v>
      </c>
      <c r="O45" s="23">
        <v>6527.6877988128781</v>
      </c>
      <c r="P45" s="23">
        <v>6635.3097528077669</v>
      </c>
      <c r="Q45" s="23">
        <v>6470.1553856358641</v>
      </c>
      <c r="R45" s="23">
        <v>5974.4499461065334</v>
      </c>
      <c r="S45" s="23">
        <v>6273.8599733164938</v>
      </c>
      <c r="T45" s="23">
        <v>5553.3607360571132</v>
      </c>
      <c r="U45" s="23">
        <v>5278.4036390259234</v>
      </c>
      <c r="V45" s="23">
        <v>5262.5729981329814</v>
      </c>
      <c r="W45" s="23">
        <v>6058.3714819787538</v>
      </c>
      <c r="X45" s="23">
        <v>6111.4786737497898</v>
      </c>
      <c r="Y45" s="23">
        <v>6398.9694778288995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1414.7199999999993</v>
      </c>
      <c r="E46" s="23">
        <v>1410.5929519968404</v>
      </c>
      <c r="F46" s="23">
        <v>1828.2938728496201</v>
      </c>
      <c r="G46" s="23">
        <v>1610.3445075583068</v>
      </c>
      <c r="H46" s="23">
        <v>1514.7211495049605</v>
      </c>
      <c r="I46" s="23">
        <v>1756.8080050079971</v>
      </c>
      <c r="J46" s="23">
        <v>2002.5259282665263</v>
      </c>
      <c r="K46" s="23">
        <v>1960.7767210049385</v>
      </c>
      <c r="L46" s="23">
        <v>1596.7319047604633</v>
      </c>
      <c r="M46" s="23">
        <v>1910.5550719635576</v>
      </c>
      <c r="N46" s="23">
        <v>2280.0130406314001</v>
      </c>
      <c r="O46" s="23">
        <v>2284.2122011871161</v>
      </c>
      <c r="P46" s="23">
        <v>2401.0902471922273</v>
      </c>
      <c r="Q46" s="23">
        <v>2222.5446143641257</v>
      </c>
      <c r="R46" s="23">
        <v>1715.0500538934657</v>
      </c>
      <c r="S46" s="23">
        <v>2016.4400266835091</v>
      </c>
      <c r="T46" s="23">
        <v>1318.3392639428985</v>
      </c>
      <c r="U46" s="23">
        <v>1076.8963609740795</v>
      </c>
      <c r="V46" s="23">
        <v>1063.4270018670186</v>
      </c>
      <c r="W46" s="23">
        <v>1797.9285180212491</v>
      </c>
      <c r="X46" s="23">
        <v>1851.0213262502175</v>
      </c>
      <c r="Y46" s="23">
        <v>2147.0305221711005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2543.1999999999998</v>
      </c>
      <c r="E47" s="23">
        <v>2419.9999999999995</v>
      </c>
      <c r="F47" s="23">
        <v>2538.1</v>
      </c>
      <c r="G47" s="23">
        <v>2585.1999999999998</v>
      </c>
      <c r="H47" s="23">
        <v>2512.1999999999998</v>
      </c>
      <c r="I47" s="23">
        <v>2516.8999999999996</v>
      </c>
      <c r="J47" s="23">
        <v>2738.5</v>
      </c>
      <c r="K47" s="23">
        <v>3085.2</v>
      </c>
      <c r="L47" s="23">
        <v>2853.4</v>
      </c>
      <c r="M47" s="23">
        <v>2170.5</v>
      </c>
      <c r="N47" s="23">
        <v>2846.6</v>
      </c>
      <c r="O47" s="23">
        <v>3420.6</v>
      </c>
      <c r="P47" s="23">
        <v>3436.1</v>
      </c>
      <c r="Q47" s="23">
        <v>3141.7</v>
      </c>
      <c r="R47" s="23">
        <v>3126.2</v>
      </c>
      <c r="S47" s="23">
        <v>3253.5</v>
      </c>
      <c r="T47" s="23">
        <v>3225.6</v>
      </c>
      <c r="U47" s="23">
        <v>3424.7</v>
      </c>
      <c r="V47" s="23">
        <v>3191.1</v>
      </c>
      <c r="W47" s="23">
        <v>3190.4</v>
      </c>
      <c r="X47" s="23">
        <v>3291.5</v>
      </c>
      <c r="Y47" s="23">
        <v>3342.2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6849</v>
      </c>
      <c r="E48" s="23">
        <v>6366.5</v>
      </c>
      <c r="F48" s="23">
        <v>6457.3</v>
      </c>
      <c r="G48" s="23">
        <v>6344.8</v>
      </c>
      <c r="H48" s="23">
        <v>6841.1</v>
      </c>
      <c r="I48" s="23">
        <v>7171.3</v>
      </c>
      <c r="J48" s="23">
        <v>7652.1</v>
      </c>
      <c r="K48" s="23">
        <v>9030.2999999999993</v>
      </c>
      <c r="L48" s="23">
        <v>7957.4</v>
      </c>
      <c r="M48" s="23">
        <v>4696.3</v>
      </c>
      <c r="N48" s="23">
        <v>7631.6000000000013</v>
      </c>
      <c r="O48" s="23">
        <v>8408.4</v>
      </c>
      <c r="P48" s="23">
        <v>8692.5000000000018</v>
      </c>
      <c r="Q48" s="23">
        <v>8967.7000000000007</v>
      </c>
      <c r="R48" s="23">
        <v>8747.4</v>
      </c>
      <c r="S48" s="23">
        <v>8582.6</v>
      </c>
      <c r="T48" s="23">
        <v>8753.5</v>
      </c>
      <c r="U48" s="23">
        <v>8885.7999999999993</v>
      </c>
      <c r="V48" s="23">
        <v>8917.2000000000007</v>
      </c>
      <c r="W48" s="23">
        <v>8600.5</v>
      </c>
      <c r="X48" s="23">
        <v>8830.2000000000007</v>
      </c>
      <c r="Y48" s="23">
        <v>9919.4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8186.5</v>
      </c>
      <c r="E49" s="23">
        <v>5419.2</v>
      </c>
      <c r="F49" s="23">
        <v>5130.8999999999996</v>
      </c>
      <c r="G49" s="23">
        <v>5303.8</v>
      </c>
      <c r="H49" s="23">
        <v>5925.4</v>
      </c>
      <c r="I49" s="23">
        <v>5368.6</v>
      </c>
      <c r="J49" s="23">
        <v>5585.7</v>
      </c>
      <c r="K49" s="23">
        <v>5667.9</v>
      </c>
      <c r="L49" s="23">
        <v>5026.3999999999996</v>
      </c>
      <c r="M49" s="23">
        <v>3269.1</v>
      </c>
      <c r="N49" s="23">
        <v>2845</v>
      </c>
      <c r="O49" s="23">
        <v>2417.9</v>
      </c>
      <c r="P49" s="23">
        <v>3053.7</v>
      </c>
      <c r="Q49" s="23">
        <v>2926.4</v>
      </c>
      <c r="R49" s="23">
        <v>2555.6999999999998</v>
      </c>
      <c r="S49" s="23">
        <v>2432.6</v>
      </c>
      <c r="T49" s="23">
        <v>2354.1</v>
      </c>
      <c r="U49" s="23">
        <v>2331.9</v>
      </c>
      <c r="V49" s="23">
        <v>2380.9</v>
      </c>
      <c r="W49" s="23">
        <v>2375.5</v>
      </c>
      <c r="X49" s="23">
        <v>2492.6</v>
      </c>
      <c r="Y49" s="23">
        <v>3020.1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2294.9</v>
      </c>
      <c r="E50" s="23">
        <v>2413.3000000000002</v>
      </c>
      <c r="F50" s="23">
        <v>2331.3999999999996</v>
      </c>
      <c r="G50" s="23">
        <v>2308.4</v>
      </c>
      <c r="H50" s="23">
        <v>2197.8000000000006</v>
      </c>
      <c r="I50" s="23">
        <v>2192.3999999999996</v>
      </c>
      <c r="J50" s="23">
        <v>2344.6999999999998</v>
      </c>
      <c r="K50" s="23">
        <v>2534.6</v>
      </c>
      <c r="L50" s="23">
        <v>2416.6999999999998</v>
      </c>
      <c r="M50" s="23">
        <v>1742.1</v>
      </c>
      <c r="N50" s="23">
        <v>2023</v>
      </c>
      <c r="O50" s="23">
        <v>2502.9</v>
      </c>
      <c r="P50" s="23">
        <v>2344.5</v>
      </c>
      <c r="Q50" s="23">
        <v>2249.9</v>
      </c>
      <c r="R50" s="23">
        <v>1836</v>
      </c>
      <c r="S50" s="23">
        <v>2486.9</v>
      </c>
      <c r="T50" s="23">
        <v>2353.6</v>
      </c>
      <c r="U50" s="23">
        <v>2238</v>
      </c>
      <c r="V50" s="23">
        <v>2199</v>
      </c>
      <c r="W50" s="23">
        <v>1953.6</v>
      </c>
      <c r="X50" s="23">
        <v>1802.2</v>
      </c>
      <c r="Y50" s="23">
        <v>2229.6999999999998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5872.6</v>
      </c>
      <c r="E51" s="23">
        <v>6095.2</v>
      </c>
      <c r="F51" s="23">
        <v>6473.3</v>
      </c>
      <c r="G51" s="23">
        <v>6489.7</v>
      </c>
      <c r="H51" s="23">
        <v>6477</v>
      </c>
      <c r="I51" s="23">
        <v>6974</v>
      </c>
      <c r="J51" s="23">
        <v>7814.4</v>
      </c>
      <c r="K51" s="23">
        <v>8588</v>
      </c>
      <c r="L51" s="23">
        <v>8038.1</v>
      </c>
      <c r="M51" s="23">
        <v>4534.5000000000009</v>
      </c>
      <c r="N51" s="23">
        <v>7476.4</v>
      </c>
      <c r="O51" s="23">
        <v>8877.6</v>
      </c>
      <c r="P51" s="23">
        <v>8687.2000000000007</v>
      </c>
      <c r="Q51" s="23">
        <v>7173.7</v>
      </c>
      <c r="R51" s="23">
        <v>7136</v>
      </c>
      <c r="S51" s="23">
        <v>7700.5</v>
      </c>
      <c r="T51" s="23">
        <v>7969</v>
      </c>
      <c r="U51" s="23">
        <v>8955.4999999999982</v>
      </c>
      <c r="V51" s="23">
        <v>8946.7999999999993</v>
      </c>
      <c r="W51" s="23">
        <v>8690.7999999999993</v>
      </c>
      <c r="X51" s="23">
        <v>8319.7000000000007</v>
      </c>
      <c r="Y51" s="23">
        <v>11058.6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7547</v>
      </c>
      <c r="E52" s="23">
        <v>5927.3</v>
      </c>
      <c r="F52" s="23">
        <v>5887.1</v>
      </c>
      <c r="G52" s="23">
        <v>6703.6</v>
      </c>
      <c r="H52" s="23">
        <v>6898.6</v>
      </c>
      <c r="I52" s="23">
        <v>6348.5</v>
      </c>
      <c r="J52" s="23">
        <v>6749.2</v>
      </c>
      <c r="K52" s="23">
        <v>7104.5</v>
      </c>
      <c r="L52" s="23">
        <v>6821.1</v>
      </c>
      <c r="M52" s="23">
        <v>4672.3999999999996</v>
      </c>
      <c r="N52" s="23">
        <v>7743.8000000000011</v>
      </c>
      <c r="O52" s="23">
        <v>9129.7000000000025</v>
      </c>
      <c r="P52" s="23">
        <v>7975.9</v>
      </c>
      <c r="Q52" s="23">
        <v>9003.4</v>
      </c>
      <c r="R52" s="23">
        <v>9384.7999999999993</v>
      </c>
      <c r="S52" s="23">
        <v>12656.9</v>
      </c>
      <c r="T52" s="23">
        <v>13291.8</v>
      </c>
      <c r="U52" s="23">
        <v>13716</v>
      </c>
      <c r="V52" s="23">
        <v>12872.2</v>
      </c>
      <c r="W52" s="23">
        <v>12819</v>
      </c>
      <c r="X52" s="23">
        <v>11433.1</v>
      </c>
      <c r="Y52" s="23">
        <v>13788.4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3110.0000000000141</v>
      </c>
      <c r="E53" s="23">
        <v>3075.3999999999905</v>
      </c>
      <c r="F53" s="23">
        <v>3236.2999999999843</v>
      </c>
      <c r="G53" s="23">
        <v>3337.9000000000274</v>
      </c>
      <c r="H53" s="23">
        <v>3310.0000000000264</v>
      </c>
      <c r="I53" s="23">
        <v>3366.9000000000146</v>
      </c>
      <c r="J53" s="23">
        <v>3715.5000000000109</v>
      </c>
      <c r="K53" s="23">
        <v>3992.7999999999502</v>
      </c>
      <c r="L53" s="23">
        <v>3736.9999999999327</v>
      </c>
      <c r="M53" s="23">
        <v>3152.5999999999458</v>
      </c>
      <c r="N53" s="23">
        <v>3483.8000000000252</v>
      </c>
      <c r="O53" s="23">
        <v>3809.6999999999853</v>
      </c>
      <c r="P53" s="23">
        <v>3785.100000000004</v>
      </c>
      <c r="Q53" s="23">
        <v>3459.9999999999773</v>
      </c>
      <c r="R53" s="23">
        <v>3437.6999999999985</v>
      </c>
      <c r="S53" s="23">
        <v>3289.4000000000669</v>
      </c>
      <c r="T53" s="23">
        <v>3648.8999999999605</v>
      </c>
      <c r="U53" s="23">
        <v>3252.4000000000487</v>
      </c>
      <c r="V53" s="23">
        <v>3069.1999999999916</v>
      </c>
      <c r="W53" s="23">
        <v>3193.3999999999587</v>
      </c>
      <c r="X53" s="23">
        <v>3413.8999999999983</v>
      </c>
      <c r="Y53" s="23">
        <v>3765.4000000000151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57482.800000000017</v>
      </c>
      <c r="E54" s="30">
        <f t="shared" ref="E54:S54" si="4">SUM(E41:E53)</f>
        <v>51987.899999999994</v>
      </c>
      <c r="F54" s="30">
        <f t="shared" si="4"/>
        <v>52957.39999999998</v>
      </c>
      <c r="G54" s="30">
        <f t="shared" si="4"/>
        <v>53574.200000000033</v>
      </c>
      <c r="H54" s="30">
        <f t="shared" si="4"/>
        <v>53941.700000000026</v>
      </c>
      <c r="I54" s="30">
        <f t="shared" si="4"/>
        <v>54173.400000000016</v>
      </c>
      <c r="J54" s="30">
        <f t="shared" si="4"/>
        <v>57854.5</v>
      </c>
      <c r="K54" s="30">
        <f t="shared" si="4"/>
        <v>61673.099999999955</v>
      </c>
      <c r="L54" s="30">
        <f t="shared" si="4"/>
        <v>56036.09999999994</v>
      </c>
      <c r="M54" s="30">
        <f t="shared" si="4"/>
        <v>43257.499999999956</v>
      </c>
      <c r="N54" s="30">
        <f t="shared" si="4"/>
        <v>55157.400000000023</v>
      </c>
      <c r="O54" s="30">
        <f t="shared" si="4"/>
        <v>60263.199999999983</v>
      </c>
      <c r="P54" s="30">
        <f t="shared" si="4"/>
        <v>59863.299999999996</v>
      </c>
      <c r="Q54" s="30">
        <f t="shared" si="4"/>
        <v>58788.199999999968</v>
      </c>
      <c r="R54" s="30">
        <f t="shared" si="4"/>
        <v>57324.2</v>
      </c>
      <c r="S54" s="30">
        <f t="shared" si="4"/>
        <v>61970.70000000007</v>
      </c>
      <c r="T54" s="30">
        <f t="shared" ref="T54:Y54" si="5">SUM(T41:T53)</f>
        <v>61509.199999999961</v>
      </c>
      <c r="U54" s="30">
        <f t="shared" si="5"/>
        <v>62621.700000000055</v>
      </c>
      <c r="V54" s="30">
        <f t="shared" si="5"/>
        <v>61335.69999999999</v>
      </c>
      <c r="W54" s="30">
        <f t="shared" si="5"/>
        <v>61060.399999999958</v>
      </c>
      <c r="X54" s="30">
        <f t="shared" si="5"/>
        <v>59400.700000000012</v>
      </c>
      <c r="Y54" s="30">
        <f t="shared" si="5"/>
        <v>71172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4026.0999999999995</v>
      </c>
      <c r="E56" s="19">
        <v>3809.7</v>
      </c>
      <c r="F56" s="19">
        <v>4080.2999999999993</v>
      </c>
      <c r="G56" s="19">
        <v>4042.2</v>
      </c>
      <c r="H56" s="19">
        <v>4062.8999999999996</v>
      </c>
      <c r="I56" s="19">
        <v>3908.0999999999995</v>
      </c>
      <c r="J56" s="19">
        <v>4130.5</v>
      </c>
      <c r="K56" s="19">
        <v>4043.3</v>
      </c>
      <c r="L56" s="19">
        <v>3863.2000000000007</v>
      </c>
      <c r="M56" s="19">
        <v>3810.5</v>
      </c>
      <c r="N56" s="19">
        <v>4262.8</v>
      </c>
      <c r="O56" s="19">
        <v>4638.8</v>
      </c>
      <c r="P56" s="19">
        <v>4523.3999999999996</v>
      </c>
      <c r="Q56" s="19">
        <v>4809.9999999999991</v>
      </c>
      <c r="R56" s="19">
        <v>4563.3999999999996</v>
      </c>
      <c r="S56" s="19">
        <v>4660</v>
      </c>
      <c r="T56" s="19">
        <v>4800.1000000000013</v>
      </c>
      <c r="U56" s="19">
        <v>4723.5</v>
      </c>
      <c r="V56" s="19">
        <v>4686.8</v>
      </c>
      <c r="W56" s="19">
        <v>4524.1000000000004</v>
      </c>
      <c r="X56" s="19">
        <v>4814.3999999999996</v>
      </c>
      <c r="Y56" s="19">
        <v>4865.3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647.00000000000011</v>
      </c>
      <c r="E57" s="23">
        <v>613.9</v>
      </c>
      <c r="F57" s="23">
        <v>627.70000000000005</v>
      </c>
      <c r="G57" s="23">
        <v>610.79999999999995</v>
      </c>
      <c r="H57" s="23">
        <v>588.4</v>
      </c>
      <c r="I57" s="23">
        <v>556.29999999999995</v>
      </c>
      <c r="J57" s="23">
        <v>549</v>
      </c>
      <c r="K57" s="23">
        <v>569.20000000000005</v>
      </c>
      <c r="L57" s="23">
        <v>519.29999999999995</v>
      </c>
      <c r="M57" s="23">
        <v>403.6</v>
      </c>
      <c r="N57" s="23">
        <v>466.4</v>
      </c>
      <c r="O57" s="23">
        <v>448.1</v>
      </c>
      <c r="P57" s="23">
        <v>457.8</v>
      </c>
      <c r="Q57" s="23">
        <v>457.3</v>
      </c>
      <c r="R57" s="23">
        <v>454</v>
      </c>
      <c r="S57" s="23">
        <v>493</v>
      </c>
      <c r="T57" s="23">
        <v>496</v>
      </c>
      <c r="U57" s="23">
        <v>487.6</v>
      </c>
      <c r="V57" s="23">
        <v>483.2</v>
      </c>
      <c r="W57" s="23">
        <v>472.1</v>
      </c>
      <c r="X57" s="23">
        <v>435.9</v>
      </c>
      <c r="Y57" s="23">
        <v>470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1816.8</v>
      </c>
      <c r="E58" s="23">
        <v>1699</v>
      </c>
      <c r="F58" s="23">
        <v>1830.3</v>
      </c>
      <c r="G58" s="23">
        <v>2012.8</v>
      </c>
      <c r="H58" s="23">
        <v>1938.2</v>
      </c>
      <c r="I58" s="23">
        <v>2449.6999999999998</v>
      </c>
      <c r="J58" s="23">
        <v>2582.6999999999998</v>
      </c>
      <c r="K58" s="23">
        <v>2990.5</v>
      </c>
      <c r="L58" s="23">
        <v>2055.5</v>
      </c>
      <c r="M58" s="23">
        <v>1778</v>
      </c>
      <c r="N58" s="23">
        <v>2188.6999999999998</v>
      </c>
      <c r="O58" s="23">
        <v>1933.2</v>
      </c>
      <c r="P58" s="23">
        <v>1872.8</v>
      </c>
      <c r="Q58" s="23">
        <v>2000.5</v>
      </c>
      <c r="R58" s="23">
        <v>2269.6</v>
      </c>
      <c r="S58" s="23">
        <v>2417.5</v>
      </c>
      <c r="T58" s="23">
        <v>2247.6999999999998</v>
      </c>
      <c r="U58" s="23">
        <v>2493.4</v>
      </c>
      <c r="V58" s="23">
        <v>2398.4</v>
      </c>
      <c r="W58" s="23">
        <v>2168.6000000000004</v>
      </c>
      <c r="X58" s="23">
        <v>2192.8000000000002</v>
      </c>
      <c r="Y58" s="23">
        <v>4273.8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5639.1</v>
      </c>
      <c r="E59" s="23">
        <v>5348.6</v>
      </c>
      <c r="F59" s="23">
        <v>4960.2999999999993</v>
      </c>
      <c r="G59" s="23">
        <v>4766</v>
      </c>
      <c r="H59" s="23">
        <v>4350.9999999999991</v>
      </c>
      <c r="I59" s="23">
        <v>3966.1000000000004</v>
      </c>
      <c r="J59" s="23">
        <v>4099.1000000000004</v>
      </c>
      <c r="K59" s="23">
        <v>4105.3999999999996</v>
      </c>
      <c r="L59" s="23">
        <v>3440</v>
      </c>
      <c r="M59" s="23">
        <v>3156.6</v>
      </c>
      <c r="N59" s="23">
        <v>3748.2000000000007</v>
      </c>
      <c r="O59" s="23">
        <v>3999.4</v>
      </c>
      <c r="P59" s="23">
        <v>3944</v>
      </c>
      <c r="Q59" s="23">
        <v>3795.2</v>
      </c>
      <c r="R59" s="23">
        <v>3952.4</v>
      </c>
      <c r="S59" s="23">
        <v>3939.4</v>
      </c>
      <c r="T59" s="23">
        <v>3864.5</v>
      </c>
      <c r="U59" s="23">
        <v>3921.8</v>
      </c>
      <c r="V59" s="23">
        <v>4437.1000000000013</v>
      </c>
      <c r="W59" s="23">
        <v>4031.9</v>
      </c>
      <c r="X59" s="23">
        <v>3815.8</v>
      </c>
      <c r="Y59" s="23">
        <v>4534.8999999999996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1426.9000000000003</v>
      </c>
      <c r="E60" s="23">
        <v>1300.3</v>
      </c>
      <c r="F60" s="23">
        <v>1259.1000000000004</v>
      </c>
      <c r="G60" s="23">
        <v>1205.1000000000008</v>
      </c>
      <c r="H60" s="23">
        <v>1221.4000000000008</v>
      </c>
      <c r="I60" s="23">
        <v>1173.2000000000003</v>
      </c>
      <c r="J60" s="23">
        <v>1161.0999999999999</v>
      </c>
      <c r="K60" s="23">
        <v>1186.3000000000009</v>
      </c>
      <c r="L60" s="23">
        <v>1116.4999999999998</v>
      </c>
      <c r="M60" s="23">
        <v>868.79999999999984</v>
      </c>
      <c r="N60" s="23">
        <v>974.99999999999943</v>
      </c>
      <c r="O60" s="23">
        <v>1048.2999999999993</v>
      </c>
      <c r="P60" s="23">
        <v>1078.1999999999998</v>
      </c>
      <c r="Q60" s="23">
        <v>948.6000000000007</v>
      </c>
      <c r="R60" s="23">
        <v>923.49999999999966</v>
      </c>
      <c r="S60" s="23">
        <v>883.49999999999955</v>
      </c>
      <c r="T60" s="23">
        <v>862.30000000000086</v>
      </c>
      <c r="U60" s="23">
        <v>839.39999999999975</v>
      </c>
      <c r="V60" s="23">
        <v>740.29999999999882</v>
      </c>
      <c r="W60" s="23">
        <v>605.4000000000002</v>
      </c>
      <c r="X60" s="23">
        <v>575.39999999999986</v>
      </c>
      <c r="Y60" s="23">
        <v>626.80000000000018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450.1</v>
      </c>
      <c r="E61" s="23">
        <v>434.5</v>
      </c>
      <c r="F61" s="23">
        <v>228.2</v>
      </c>
      <c r="G61" s="23">
        <v>387</v>
      </c>
      <c r="H61" s="23">
        <v>336.9</v>
      </c>
      <c r="I61" s="23">
        <v>407.7</v>
      </c>
      <c r="J61" s="23">
        <v>469.1</v>
      </c>
      <c r="K61" s="23">
        <v>594.6</v>
      </c>
      <c r="L61" s="23">
        <v>742.4</v>
      </c>
      <c r="M61" s="23">
        <v>921.5</v>
      </c>
      <c r="N61" s="23">
        <v>662.3</v>
      </c>
      <c r="O61" s="23">
        <v>816.7</v>
      </c>
      <c r="P61" s="23">
        <v>975.7</v>
      </c>
      <c r="Q61" s="23">
        <v>1161.0999999999999</v>
      </c>
      <c r="R61" s="23">
        <v>1247.9999999999998</v>
      </c>
      <c r="S61" s="23">
        <v>884.6</v>
      </c>
      <c r="T61" s="23">
        <v>770.4</v>
      </c>
      <c r="U61" s="23">
        <v>996.4</v>
      </c>
      <c r="V61" s="23">
        <v>687.5</v>
      </c>
      <c r="W61" s="23">
        <v>578.79999999999995</v>
      </c>
      <c r="X61" s="23">
        <v>20.7</v>
      </c>
      <c r="Y61" s="23">
        <v>731.4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5658.8799999999992</v>
      </c>
      <c r="E62" s="23">
        <v>5654.4070480031605</v>
      </c>
      <c r="F62" s="23">
        <v>6088.8061271503793</v>
      </c>
      <c r="G62" s="23">
        <v>5866.5554924416947</v>
      </c>
      <c r="H62" s="23">
        <v>5766.0788504950351</v>
      </c>
      <c r="I62" s="23">
        <v>6016.891994992</v>
      </c>
      <c r="J62" s="23">
        <v>6260.3740717334758</v>
      </c>
      <c r="K62" s="23">
        <v>6219.7232789950613</v>
      </c>
      <c r="L62" s="23">
        <v>5852.3680952395425</v>
      </c>
      <c r="M62" s="23">
        <v>6170.4449280364497</v>
      </c>
      <c r="N62" s="23">
        <v>6523.7869593686028</v>
      </c>
      <c r="O62" s="23">
        <v>6527.6877988128781</v>
      </c>
      <c r="P62" s="23">
        <v>6635.3097528077669</v>
      </c>
      <c r="Q62" s="23">
        <v>6470.1553856358641</v>
      </c>
      <c r="R62" s="23">
        <v>5974.4499461065334</v>
      </c>
      <c r="S62" s="23">
        <v>6273.8599733164938</v>
      </c>
      <c r="T62" s="23">
        <v>5553.3607360571132</v>
      </c>
      <c r="U62" s="23">
        <v>5278.4036390259234</v>
      </c>
      <c r="V62" s="23">
        <v>5262.5729981329814</v>
      </c>
      <c r="W62" s="23">
        <v>6058.3714819787538</v>
      </c>
      <c r="X62" s="23">
        <v>6111.4786737497898</v>
      </c>
      <c r="Y62" s="23">
        <v>6398.9694778288995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1414.7199999999993</v>
      </c>
      <c r="E63" s="23">
        <v>1410.5929519968404</v>
      </c>
      <c r="F63" s="23">
        <v>1828.2938728496201</v>
      </c>
      <c r="G63" s="23">
        <v>1610.3445075583068</v>
      </c>
      <c r="H63" s="23">
        <v>1514.7211495049605</v>
      </c>
      <c r="I63" s="23">
        <v>1756.8080050079971</v>
      </c>
      <c r="J63" s="23">
        <v>2002.5259282665263</v>
      </c>
      <c r="K63" s="23">
        <v>1960.7767210049385</v>
      </c>
      <c r="L63" s="23">
        <v>1596.7319047604633</v>
      </c>
      <c r="M63" s="23">
        <v>1910.5550719635576</v>
      </c>
      <c r="N63" s="23">
        <v>2280.0130406314001</v>
      </c>
      <c r="O63" s="23">
        <v>2284.2122011871161</v>
      </c>
      <c r="P63" s="23">
        <v>2401.0902471922273</v>
      </c>
      <c r="Q63" s="23">
        <v>2222.5446143641257</v>
      </c>
      <c r="R63" s="23">
        <v>1715.0500538934657</v>
      </c>
      <c r="S63" s="23">
        <v>2016.4400266835091</v>
      </c>
      <c r="T63" s="23">
        <v>1318.3392639428985</v>
      </c>
      <c r="U63" s="23">
        <v>1076.8963609740795</v>
      </c>
      <c r="V63" s="23">
        <v>1063.4270018670186</v>
      </c>
      <c r="W63" s="23">
        <v>1797.9285180212491</v>
      </c>
      <c r="X63" s="23">
        <v>1851.0213262502175</v>
      </c>
      <c r="Y63" s="23">
        <v>2147.0305221711005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1569.8</v>
      </c>
      <c r="E64" s="23">
        <v>1455</v>
      </c>
      <c r="F64" s="23">
        <v>1522.7</v>
      </c>
      <c r="G64" s="23">
        <v>1597.1</v>
      </c>
      <c r="H64" s="23">
        <v>1512.8</v>
      </c>
      <c r="I64" s="23">
        <v>1458.4</v>
      </c>
      <c r="J64" s="23">
        <v>1584.4</v>
      </c>
      <c r="K64" s="23">
        <v>1743.3</v>
      </c>
      <c r="L64" s="23">
        <v>1542.9</v>
      </c>
      <c r="M64" s="23">
        <v>1201.5000000000002</v>
      </c>
      <c r="N64" s="23">
        <v>1565.9</v>
      </c>
      <c r="O64" s="23">
        <v>1712.8</v>
      </c>
      <c r="P64" s="23">
        <v>1671.3</v>
      </c>
      <c r="Q64" s="23">
        <v>1615.4</v>
      </c>
      <c r="R64" s="23">
        <v>1642.5</v>
      </c>
      <c r="S64" s="23">
        <v>1734.5</v>
      </c>
      <c r="T64" s="23">
        <v>1662.2</v>
      </c>
      <c r="U64" s="23">
        <v>1767.5</v>
      </c>
      <c r="V64" s="23">
        <v>1694.1</v>
      </c>
      <c r="W64" s="23">
        <v>1629.2</v>
      </c>
      <c r="X64" s="23">
        <v>1705</v>
      </c>
      <c r="Y64" s="23">
        <v>1704.8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973.39999999999975</v>
      </c>
      <c r="E65" s="23">
        <v>964.99999999999966</v>
      </c>
      <c r="F65" s="23">
        <v>1015.4</v>
      </c>
      <c r="G65" s="23">
        <v>988.09999999999968</v>
      </c>
      <c r="H65" s="23">
        <v>999.39999999999975</v>
      </c>
      <c r="I65" s="23">
        <v>1058.4999999999998</v>
      </c>
      <c r="J65" s="23">
        <v>1154.0999999999999</v>
      </c>
      <c r="K65" s="23">
        <v>1341.9</v>
      </c>
      <c r="L65" s="23">
        <v>1310.4999999999998</v>
      </c>
      <c r="M65" s="23">
        <v>969</v>
      </c>
      <c r="N65" s="23">
        <v>1280.6999999999998</v>
      </c>
      <c r="O65" s="23">
        <v>1707.8</v>
      </c>
      <c r="P65" s="23">
        <v>1764.8</v>
      </c>
      <c r="Q65" s="23">
        <v>1526.2999999999997</v>
      </c>
      <c r="R65" s="23">
        <v>1483.7</v>
      </c>
      <c r="S65" s="23">
        <v>1519</v>
      </c>
      <c r="T65" s="23">
        <v>1563.4</v>
      </c>
      <c r="U65" s="23">
        <v>1657.2</v>
      </c>
      <c r="V65" s="23">
        <v>1497</v>
      </c>
      <c r="W65" s="23">
        <v>1561.2</v>
      </c>
      <c r="X65" s="23">
        <v>1586.5</v>
      </c>
      <c r="Y65" s="23">
        <v>1637.4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1938.6999999999998</v>
      </c>
      <c r="E66" s="23">
        <v>1881.1999999999998</v>
      </c>
      <c r="F66" s="23">
        <v>1899.0999999999997</v>
      </c>
      <c r="G66" s="23">
        <v>1857.0999999999997</v>
      </c>
      <c r="H66" s="23">
        <v>2085.9999999999995</v>
      </c>
      <c r="I66" s="23">
        <v>2203.8000000000006</v>
      </c>
      <c r="J66" s="23">
        <v>2426.8000000000002</v>
      </c>
      <c r="K66" s="23">
        <v>3240.5</v>
      </c>
      <c r="L66" s="23">
        <v>2340.8000000000002</v>
      </c>
      <c r="M66" s="23">
        <v>776.9</v>
      </c>
      <c r="N66" s="23">
        <v>2744.4</v>
      </c>
      <c r="O66" s="23">
        <v>3112.8</v>
      </c>
      <c r="P66" s="23">
        <v>2955.8</v>
      </c>
      <c r="Q66" s="23">
        <v>3185.8</v>
      </c>
      <c r="R66" s="23">
        <v>3258.2</v>
      </c>
      <c r="S66" s="23">
        <v>3145.5</v>
      </c>
      <c r="T66" s="23">
        <v>3175.2</v>
      </c>
      <c r="U66" s="23">
        <v>2932.9</v>
      </c>
      <c r="V66" s="23">
        <v>3370.3</v>
      </c>
      <c r="W66" s="23">
        <v>3251.9</v>
      </c>
      <c r="X66" s="23">
        <v>3833.4</v>
      </c>
      <c r="Y66" s="23">
        <v>3755.3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4910.3</v>
      </c>
      <c r="E67" s="23">
        <v>4485.3</v>
      </c>
      <c r="F67" s="23">
        <v>4558.2</v>
      </c>
      <c r="G67" s="23">
        <v>4487.7</v>
      </c>
      <c r="H67" s="23">
        <v>4755.1000000000004</v>
      </c>
      <c r="I67" s="23">
        <v>4967.4999999999991</v>
      </c>
      <c r="J67" s="23">
        <v>5225.2999999999993</v>
      </c>
      <c r="K67" s="23">
        <v>5789.7999999999993</v>
      </c>
      <c r="L67" s="23">
        <v>5616.6</v>
      </c>
      <c r="M67" s="23">
        <v>3919.4</v>
      </c>
      <c r="N67" s="23">
        <v>4887.2000000000007</v>
      </c>
      <c r="O67" s="23">
        <v>5295.6</v>
      </c>
      <c r="P67" s="23">
        <v>5736.7000000000007</v>
      </c>
      <c r="Q67" s="23">
        <v>5781.9000000000015</v>
      </c>
      <c r="R67" s="23">
        <v>5489.1999999999989</v>
      </c>
      <c r="S67" s="23">
        <v>5437.1</v>
      </c>
      <c r="T67" s="23">
        <v>5578.3</v>
      </c>
      <c r="U67" s="23">
        <v>5952.8999999999987</v>
      </c>
      <c r="V67" s="23">
        <v>5546.9000000000015</v>
      </c>
      <c r="W67" s="23">
        <v>5348.6</v>
      </c>
      <c r="X67" s="23">
        <v>4996.8000000000011</v>
      </c>
      <c r="Y67" s="23">
        <v>6164.1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8186.5</v>
      </c>
      <c r="E68" s="23">
        <v>5419.2</v>
      </c>
      <c r="F68" s="23">
        <v>5130.8999999999996</v>
      </c>
      <c r="G68" s="23">
        <v>5303.8</v>
      </c>
      <c r="H68" s="23">
        <v>5925.4</v>
      </c>
      <c r="I68" s="23">
        <v>5368.6</v>
      </c>
      <c r="J68" s="23">
        <v>5585.7</v>
      </c>
      <c r="K68" s="23">
        <v>5667.9</v>
      </c>
      <c r="L68" s="23">
        <v>5026.3999999999996</v>
      </c>
      <c r="M68" s="23">
        <v>3269.1</v>
      </c>
      <c r="N68" s="23">
        <v>2845</v>
      </c>
      <c r="O68" s="23">
        <v>2417.9</v>
      </c>
      <c r="P68" s="23">
        <v>3053.7</v>
      </c>
      <c r="Q68" s="23">
        <v>2926.4</v>
      </c>
      <c r="R68" s="23">
        <v>2555.6999999999998</v>
      </c>
      <c r="S68" s="23">
        <v>2432.6</v>
      </c>
      <c r="T68" s="23">
        <v>2354.1</v>
      </c>
      <c r="U68" s="23">
        <v>2331.9</v>
      </c>
      <c r="V68" s="23">
        <v>2380.9</v>
      </c>
      <c r="W68" s="23">
        <v>2375.5</v>
      </c>
      <c r="X68" s="23">
        <v>2492.6</v>
      </c>
      <c r="Y68" s="23">
        <v>3020.1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2294.9</v>
      </c>
      <c r="E69" s="23">
        <v>2413.3000000000002</v>
      </c>
      <c r="F69" s="23">
        <v>2331.3999999999996</v>
      </c>
      <c r="G69" s="23">
        <v>2308.4</v>
      </c>
      <c r="H69" s="23">
        <v>2197.8000000000006</v>
      </c>
      <c r="I69" s="23">
        <v>2192.3999999999996</v>
      </c>
      <c r="J69" s="23">
        <v>2344.6999999999998</v>
      </c>
      <c r="K69" s="23">
        <v>2534.6</v>
      </c>
      <c r="L69" s="23">
        <v>2416.6999999999998</v>
      </c>
      <c r="M69" s="23">
        <v>1742.1</v>
      </c>
      <c r="N69" s="23">
        <v>2023</v>
      </c>
      <c r="O69" s="23">
        <v>2502.9</v>
      </c>
      <c r="P69" s="23">
        <v>2344.5</v>
      </c>
      <c r="Q69" s="23">
        <v>2249.9</v>
      </c>
      <c r="R69" s="23">
        <v>1836</v>
      </c>
      <c r="S69" s="23">
        <v>2486.9</v>
      </c>
      <c r="T69" s="23">
        <v>2353.6</v>
      </c>
      <c r="U69" s="23">
        <v>2238</v>
      </c>
      <c r="V69" s="23">
        <v>2199</v>
      </c>
      <c r="W69" s="23">
        <v>1953.6</v>
      </c>
      <c r="X69" s="23">
        <v>1802.2</v>
      </c>
      <c r="Y69" s="23">
        <v>2229.6999999999998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5872.6</v>
      </c>
      <c r="E70" s="23">
        <v>6095.2</v>
      </c>
      <c r="F70" s="23">
        <v>6473.3</v>
      </c>
      <c r="G70" s="23">
        <v>6489.7</v>
      </c>
      <c r="H70" s="23">
        <v>6477</v>
      </c>
      <c r="I70" s="23">
        <v>6974</v>
      </c>
      <c r="J70" s="23">
        <v>7814.4</v>
      </c>
      <c r="K70" s="23">
        <v>8588</v>
      </c>
      <c r="L70" s="23">
        <v>8038.1</v>
      </c>
      <c r="M70" s="23">
        <v>4534.5000000000009</v>
      </c>
      <c r="N70" s="23">
        <v>7476.4</v>
      </c>
      <c r="O70" s="23">
        <v>8877.6</v>
      </c>
      <c r="P70" s="23">
        <v>8687.2000000000007</v>
      </c>
      <c r="Q70" s="23">
        <v>7173.7</v>
      </c>
      <c r="R70" s="23">
        <v>7136</v>
      </c>
      <c r="S70" s="23">
        <v>7700.5</v>
      </c>
      <c r="T70" s="23">
        <v>7969</v>
      </c>
      <c r="U70" s="23">
        <v>8955.4999999999982</v>
      </c>
      <c r="V70" s="23">
        <v>8946.7999999999993</v>
      </c>
      <c r="W70" s="23">
        <v>8690.7999999999993</v>
      </c>
      <c r="X70" s="23">
        <v>8319.7000000000007</v>
      </c>
      <c r="Y70" s="23">
        <v>11058.6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6639</v>
      </c>
      <c r="E71" s="23">
        <v>4922.2</v>
      </c>
      <c r="F71" s="23">
        <v>4852.3999999999996</v>
      </c>
      <c r="G71" s="23">
        <v>5630</v>
      </c>
      <c r="H71" s="23">
        <v>5872.9</v>
      </c>
      <c r="I71" s="23">
        <v>5312.9</v>
      </c>
      <c r="J71" s="23">
        <v>5660.9</v>
      </c>
      <c r="K71" s="23">
        <v>6005.3</v>
      </c>
      <c r="L71" s="23">
        <v>5770.9</v>
      </c>
      <c r="M71" s="23">
        <v>3329.5</v>
      </c>
      <c r="N71" s="23">
        <v>6388.8</v>
      </c>
      <c r="O71" s="23">
        <v>7700.4</v>
      </c>
      <c r="P71" s="23">
        <v>6550.6</v>
      </c>
      <c r="Q71" s="23">
        <v>6687.3</v>
      </c>
      <c r="R71" s="23">
        <v>7060.3</v>
      </c>
      <c r="S71" s="23">
        <v>10101.4</v>
      </c>
      <c r="T71" s="23">
        <v>10776.4</v>
      </c>
      <c r="U71" s="23">
        <v>11018.2</v>
      </c>
      <c r="V71" s="23">
        <v>10683.5</v>
      </c>
      <c r="W71" s="23">
        <v>10478.200000000001</v>
      </c>
      <c r="X71" s="23">
        <v>9326.2000000000007</v>
      </c>
      <c r="Y71" s="23">
        <v>10928.4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908.00000000000011</v>
      </c>
      <c r="E72" s="23">
        <v>1005.1</v>
      </c>
      <c r="F72" s="23">
        <v>1034.7000000000005</v>
      </c>
      <c r="G72" s="23">
        <v>1073.6000000000001</v>
      </c>
      <c r="H72" s="23">
        <v>1025.6999999999998</v>
      </c>
      <c r="I72" s="23">
        <v>1035.5999999999997</v>
      </c>
      <c r="J72" s="23">
        <v>1088.2999999999997</v>
      </c>
      <c r="K72" s="23">
        <v>1099.1999999999996</v>
      </c>
      <c r="L72" s="23">
        <v>1050.1999999999998</v>
      </c>
      <c r="M72" s="23">
        <v>1342.8999999999996</v>
      </c>
      <c r="N72" s="23">
        <v>1355.0000000000009</v>
      </c>
      <c r="O72" s="23">
        <v>1429.3000000000018</v>
      </c>
      <c r="P72" s="23">
        <v>1425.2999999999997</v>
      </c>
      <c r="Q72" s="23">
        <v>2316.099999999999</v>
      </c>
      <c r="R72" s="23">
        <v>2324.4999999999995</v>
      </c>
      <c r="S72" s="23">
        <v>2555.5</v>
      </c>
      <c r="T72" s="23">
        <v>2515.400000000001</v>
      </c>
      <c r="U72" s="23">
        <v>2697.7999999999993</v>
      </c>
      <c r="V72" s="23">
        <v>2188.6999999999998</v>
      </c>
      <c r="W72" s="23">
        <v>2340.7999999999993</v>
      </c>
      <c r="X72" s="23">
        <v>2106.9</v>
      </c>
      <c r="Y72" s="23">
        <v>2860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2016.5</v>
      </c>
      <c r="E73" s="23">
        <v>1961.4</v>
      </c>
      <c r="F73" s="23">
        <v>2040.7</v>
      </c>
      <c r="G73" s="23">
        <v>2133.6999999999998</v>
      </c>
      <c r="H73" s="23">
        <v>2150.6</v>
      </c>
      <c r="I73" s="23">
        <v>2146.5</v>
      </c>
      <c r="J73" s="23">
        <v>2362.9</v>
      </c>
      <c r="K73" s="23">
        <v>2474.9</v>
      </c>
      <c r="L73" s="23">
        <v>2309.3000000000002</v>
      </c>
      <c r="M73" s="23">
        <v>1979.2</v>
      </c>
      <c r="N73" s="23">
        <v>2204.8000000000002</v>
      </c>
      <c r="O73" s="23">
        <v>2516.0000000000005</v>
      </c>
      <c r="P73" s="23">
        <v>2435.5</v>
      </c>
      <c r="Q73" s="23">
        <v>2180.8000000000006</v>
      </c>
      <c r="R73" s="23">
        <v>2222.9</v>
      </c>
      <c r="S73" s="23">
        <v>2101.4</v>
      </c>
      <c r="T73" s="23">
        <v>2294.1</v>
      </c>
      <c r="U73" s="23">
        <v>1994.9</v>
      </c>
      <c r="V73" s="23">
        <v>1763.8</v>
      </c>
      <c r="W73" s="23">
        <v>1924.5</v>
      </c>
      <c r="X73" s="23">
        <v>2186.1</v>
      </c>
      <c r="Y73" s="23">
        <v>2220.9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1093.5000000000136</v>
      </c>
      <c r="E74" s="23">
        <v>1113.9999999999907</v>
      </c>
      <c r="F74" s="23">
        <v>1195.5999999999844</v>
      </c>
      <c r="G74" s="23">
        <v>1204.2000000000273</v>
      </c>
      <c r="H74" s="23">
        <v>1159.4000000000265</v>
      </c>
      <c r="I74" s="23">
        <v>1220.4000000000144</v>
      </c>
      <c r="J74" s="23">
        <v>1352.6000000000111</v>
      </c>
      <c r="K74" s="23">
        <v>1517.8999999999503</v>
      </c>
      <c r="L74" s="23">
        <v>1427.6999999999325</v>
      </c>
      <c r="M74" s="23">
        <v>1173.399999999946</v>
      </c>
      <c r="N74" s="23">
        <v>1279.0000000000248</v>
      </c>
      <c r="O74" s="23">
        <v>1293.6999999999853</v>
      </c>
      <c r="P74" s="23">
        <v>1349.600000000004</v>
      </c>
      <c r="Q74" s="23">
        <v>1279.1999999999766</v>
      </c>
      <c r="R74" s="23">
        <v>1214.7999999999986</v>
      </c>
      <c r="S74" s="23">
        <v>1188.0000000000668</v>
      </c>
      <c r="T74" s="23">
        <v>1354.7999999999611</v>
      </c>
      <c r="U74" s="23">
        <v>1257.5000000000487</v>
      </c>
      <c r="V74" s="23">
        <v>1305.3999999999917</v>
      </c>
      <c r="W74" s="23">
        <v>1268.8999999999589</v>
      </c>
      <c r="X74" s="23">
        <v>1227.7999999999984</v>
      </c>
      <c r="Y74" s="23">
        <v>1544.5000000000148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57482.800000000017</v>
      </c>
      <c r="E75" s="30">
        <f t="shared" ref="E75:S75" si="6">SUM(E56:E74)</f>
        <v>51987.899999999987</v>
      </c>
      <c r="F75" s="30">
        <f t="shared" si="6"/>
        <v>52957.39999999998</v>
      </c>
      <c r="G75" s="30">
        <f t="shared" si="6"/>
        <v>53574.200000000019</v>
      </c>
      <c r="H75" s="30">
        <f t="shared" si="6"/>
        <v>53941.700000000019</v>
      </c>
      <c r="I75" s="30">
        <f t="shared" si="6"/>
        <v>54173.400000000016</v>
      </c>
      <c r="J75" s="30">
        <f t="shared" si="6"/>
        <v>57854.500000000015</v>
      </c>
      <c r="K75" s="30">
        <f t="shared" si="6"/>
        <v>61673.099999999955</v>
      </c>
      <c r="L75" s="30">
        <f t="shared" si="6"/>
        <v>56036.09999999994</v>
      </c>
      <c r="M75" s="30">
        <f t="shared" si="6"/>
        <v>43257.499999999949</v>
      </c>
      <c r="N75" s="30">
        <f t="shared" si="6"/>
        <v>55157.400000000038</v>
      </c>
      <c r="O75" s="30">
        <f t="shared" si="6"/>
        <v>60263.199999999983</v>
      </c>
      <c r="P75" s="30">
        <f t="shared" si="6"/>
        <v>59863.299999999996</v>
      </c>
      <c r="Q75" s="30">
        <f t="shared" si="6"/>
        <v>58788.199999999968</v>
      </c>
      <c r="R75" s="30">
        <f t="shared" si="6"/>
        <v>57324.2</v>
      </c>
      <c r="S75" s="30">
        <f t="shared" si="6"/>
        <v>61970.70000000007</v>
      </c>
      <c r="T75" s="30">
        <f t="shared" ref="T75:Y75" si="7">SUM(T56:T74)</f>
        <v>61509.199999999975</v>
      </c>
      <c r="U75" s="30">
        <f t="shared" si="7"/>
        <v>62621.700000000055</v>
      </c>
      <c r="V75" s="30">
        <f t="shared" si="7"/>
        <v>61335.7</v>
      </c>
      <c r="W75" s="30">
        <f t="shared" si="7"/>
        <v>61060.399999999958</v>
      </c>
      <c r="X75" s="30">
        <f t="shared" si="7"/>
        <v>59400.700000000004</v>
      </c>
      <c r="Y75" s="30">
        <f t="shared" si="7"/>
        <v>71172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328968.96631287492</v>
      </c>
      <c r="E2" s="19">
        <v>333733.65408339503</v>
      </c>
      <c r="F2" s="19">
        <v>341066.03013504244</v>
      </c>
      <c r="G2" s="19">
        <v>348943.64953188482</v>
      </c>
      <c r="H2" s="19">
        <v>364080.47326165548</v>
      </c>
      <c r="I2" s="19">
        <v>374486.84803491377</v>
      </c>
      <c r="J2" s="19">
        <v>391946.7360739932</v>
      </c>
      <c r="K2" s="19">
        <v>405427.34511775005</v>
      </c>
      <c r="L2" s="19">
        <v>403599.60877526185</v>
      </c>
      <c r="M2" s="19">
        <v>386086.70576974994</v>
      </c>
      <c r="N2" s="19">
        <v>409064.82674294198</v>
      </c>
      <c r="O2" s="19">
        <v>422135.91141013708</v>
      </c>
      <c r="P2" s="19">
        <v>419654.83927630424</v>
      </c>
      <c r="Q2" s="19">
        <v>424640.03921078681</v>
      </c>
      <c r="R2" s="19">
        <v>435926.27176731202</v>
      </c>
      <c r="S2" s="19">
        <v>455494.7</v>
      </c>
      <c r="T2" s="19">
        <v>464927.50877472881</v>
      </c>
      <c r="U2" s="19">
        <v>476863.89239343157</v>
      </c>
      <c r="V2" s="19">
        <v>486162.22860330122</v>
      </c>
      <c r="W2" s="19">
        <v>495819.73008380295</v>
      </c>
      <c r="X2" s="19">
        <v>485057.73578811367</v>
      </c>
      <c r="Y2" s="19">
        <v>514876.88293881278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148967.88663024001</v>
      </c>
      <c r="E3" s="23">
        <v>150226.14607431187</v>
      </c>
      <c r="F3" s="23">
        <v>153627.18058332757</v>
      </c>
      <c r="G3" s="23">
        <v>156147.75725593668</v>
      </c>
      <c r="H3" s="23">
        <v>160640.2217527859</v>
      </c>
      <c r="I3" s="23">
        <v>165703.10826503119</v>
      </c>
      <c r="J3" s="23">
        <v>170662.67883847066</v>
      </c>
      <c r="K3" s="23">
        <v>177469.20443412114</v>
      </c>
      <c r="L3" s="23">
        <v>178212.33585002169</v>
      </c>
      <c r="M3" s="23">
        <v>180061.48108043073</v>
      </c>
      <c r="N3" s="23">
        <v>187568.6898230183</v>
      </c>
      <c r="O3" s="23">
        <v>191300.87136846723</v>
      </c>
      <c r="P3" s="23">
        <v>192700.51227158037</v>
      </c>
      <c r="Q3" s="23">
        <v>196156.18364554332</v>
      </c>
      <c r="R3" s="23">
        <v>201803.78596618763</v>
      </c>
      <c r="S3" s="23">
        <v>209725.2</v>
      </c>
      <c r="T3" s="23">
        <v>214551.31099671876</v>
      </c>
      <c r="U3" s="23">
        <v>220143.64674136566</v>
      </c>
      <c r="V3" s="23">
        <v>224214.93203235761</v>
      </c>
      <c r="W3" s="23">
        <v>225830.56705974098</v>
      </c>
      <c r="X3" s="23">
        <v>218676.16475773661</v>
      </c>
      <c r="Y3" s="23">
        <v>232507.42248176329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292290.87386701722</v>
      </c>
      <c r="E4" s="27">
        <v>296298.63405493367</v>
      </c>
      <c r="F4" s="27">
        <v>302326.21027835202</v>
      </c>
      <c r="G4" s="27">
        <v>309381.2163800511</v>
      </c>
      <c r="H4" s="27">
        <v>323734.79118710954</v>
      </c>
      <c r="I4" s="27">
        <v>332374.16915375559</v>
      </c>
      <c r="J4" s="27">
        <v>348298.43724526634</v>
      </c>
      <c r="K4" s="27">
        <v>360140.96617264394</v>
      </c>
      <c r="L4" s="27">
        <v>358356.15969711822</v>
      </c>
      <c r="M4" s="27">
        <v>341387.12256318796</v>
      </c>
      <c r="N4" s="27">
        <v>362089.50319810741</v>
      </c>
      <c r="O4" s="27">
        <v>375290.53305429028</v>
      </c>
      <c r="P4" s="27">
        <v>373374.56937049795</v>
      </c>
      <c r="Q4" s="27">
        <v>377740.90379261511</v>
      </c>
      <c r="R4" s="27">
        <v>388080.54585782631</v>
      </c>
      <c r="S4" s="27">
        <v>404986.7</v>
      </c>
      <c r="T4" s="27">
        <v>411728.39013886533</v>
      </c>
      <c r="U4" s="27">
        <v>423148.70051104616</v>
      </c>
      <c r="V4" s="27">
        <v>431633.53580926562</v>
      </c>
      <c r="W4" s="27">
        <v>440598.8223299557</v>
      </c>
      <c r="X4" s="27">
        <v>429281.54499527003</v>
      </c>
      <c r="Y4" s="27">
        <v>457014.51206166437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6388.6390368781567</v>
      </c>
      <c r="E6" s="19">
        <v>6486.3898614330092</v>
      </c>
      <c r="F6" s="19">
        <v>6475.650209124562</v>
      </c>
      <c r="G6" s="19">
        <v>6482.3381239921373</v>
      </c>
      <c r="H6" s="19">
        <v>6658.2890966317473</v>
      </c>
      <c r="I6" s="19">
        <v>4707.5540124374265</v>
      </c>
      <c r="J6" s="19">
        <v>5350.8628921443051</v>
      </c>
      <c r="K6" s="19">
        <v>6409.8879963796808</v>
      </c>
      <c r="L6" s="19">
        <v>6343.5244209782077</v>
      </c>
      <c r="M6" s="19">
        <v>5559.6826763421677</v>
      </c>
      <c r="N6" s="19">
        <v>6768.9257863839475</v>
      </c>
      <c r="O6" s="19">
        <v>7075.0748902293899</v>
      </c>
      <c r="P6" s="19">
        <v>6511.6074224866898</v>
      </c>
      <c r="Q6" s="19">
        <v>6242.257265887657</v>
      </c>
      <c r="R6" s="19">
        <v>6299.7443778036386</v>
      </c>
      <c r="S6" s="19">
        <v>6602.7</v>
      </c>
      <c r="T6" s="19">
        <v>6501.5501480366447</v>
      </c>
      <c r="U6" s="19">
        <v>6889.5782377855994</v>
      </c>
      <c r="V6" s="19">
        <v>6783.6335978972857</v>
      </c>
      <c r="W6" s="19">
        <v>6906.4314100830197</v>
      </c>
      <c r="X6" s="19">
        <v>6429.0602419338611</v>
      </c>
      <c r="Y6" s="19">
        <v>6628.1581576818771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74549.805115431634</v>
      </c>
      <c r="E7" s="23">
        <v>73492.159376695083</v>
      </c>
      <c r="F7" s="23">
        <v>73311.379260612477</v>
      </c>
      <c r="G7" s="23">
        <v>73392.775168614753</v>
      </c>
      <c r="H7" s="23">
        <v>75310.048386339098</v>
      </c>
      <c r="I7" s="23">
        <v>77122.150747315725</v>
      </c>
      <c r="J7" s="23">
        <v>80802.221859934332</v>
      </c>
      <c r="K7" s="23">
        <v>83092.318135535636</v>
      </c>
      <c r="L7" s="23">
        <v>79450.114606972144</v>
      </c>
      <c r="M7" s="23">
        <v>66926.757272000425</v>
      </c>
      <c r="N7" s="23">
        <v>77062.560238324746</v>
      </c>
      <c r="O7" s="23">
        <v>78337.129139480472</v>
      </c>
      <c r="P7" s="23">
        <v>74629.560757907922</v>
      </c>
      <c r="Q7" s="23">
        <v>71729.748475536297</v>
      </c>
      <c r="R7" s="23">
        <v>71730.970071315591</v>
      </c>
      <c r="S7" s="23">
        <v>75775.70000000007</v>
      </c>
      <c r="T7" s="23">
        <v>74966.95343574608</v>
      </c>
      <c r="U7" s="23">
        <v>76991.986319075804</v>
      </c>
      <c r="V7" s="23">
        <v>78192.410774341086</v>
      </c>
      <c r="W7" s="23">
        <v>80165.414785376866</v>
      </c>
      <c r="X7" s="23">
        <v>74950.284805667936</v>
      </c>
      <c r="Y7" s="23">
        <v>87361.278964647674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12171.4061671164</v>
      </c>
      <c r="E8" s="23">
        <v>13266.679816559003</v>
      </c>
      <c r="F8" s="23">
        <v>14004.975722321044</v>
      </c>
      <c r="G8" s="23">
        <v>14497.451652012196</v>
      </c>
      <c r="H8" s="23">
        <v>16013.294498989995</v>
      </c>
      <c r="I8" s="23">
        <v>16371.862403538602</v>
      </c>
      <c r="J8" s="23">
        <v>18398.933320912034</v>
      </c>
      <c r="K8" s="23">
        <v>20233.963117999774</v>
      </c>
      <c r="L8" s="23">
        <v>19632.459431412575</v>
      </c>
      <c r="M8" s="23">
        <v>19769.386876575856</v>
      </c>
      <c r="N8" s="23">
        <v>20414.439674055902</v>
      </c>
      <c r="O8" s="23">
        <v>21754.175386761868</v>
      </c>
      <c r="P8" s="23">
        <v>22186.42342624491</v>
      </c>
      <c r="Q8" s="23">
        <v>22203.31962199081</v>
      </c>
      <c r="R8" s="23">
        <v>23361.28268632073</v>
      </c>
      <c r="S8" s="23">
        <v>25153</v>
      </c>
      <c r="T8" s="23">
        <v>25958.749115269206</v>
      </c>
      <c r="U8" s="23">
        <v>28619.280558372604</v>
      </c>
      <c r="V8" s="23">
        <v>28971.098026635762</v>
      </c>
      <c r="W8" s="23">
        <v>28500.759451530346</v>
      </c>
      <c r="X8" s="23">
        <v>29467.121550631</v>
      </c>
      <c r="Y8" s="23">
        <v>29407.527239853454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49635.715768352587</v>
      </c>
      <c r="E9" s="23">
        <v>50541.076976182259</v>
      </c>
      <c r="F9" s="23">
        <v>52074.419499062547</v>
      </c>
      <c r="G9" s="23">
        <v>53659.027508033483</v>
      </c>
      <c r="H9" s="23">
        <v>56556.11406022455</v>
      </c>
      <c r="I9" s="23">
        <v>59051.259794770573</v>
      </c>
      <c r="J9" s="23">
        <v>61441.763513985614</v>
      </c>
      <c r="K9" s="23">
        <v>63612.51272768413</v>
      </c>
      <c r="L9" s="23">
        <v>63976.234733324971</v>
      </c>
      <c r="M9" s="23">
        <v>61500.276735748106</v>
      </c>
      <c r="N9" s="23">
        <v>64500.788574432663</v>
      </c>
      <c r="O9" s="23">
        <v>66744.019040584346</v>
      </c>
      <c r="P9" s="23">
        <v>66409.0393047291</v>
      </c>
      <c r="Q9" s="23">
        <v>67333.513154218876</v>
      </c>
      <c r="R9" s="23">
        <v>69902.624852047447</v>
      </c>
      <c r="S9" s="23">
        <v>72166.399999999994</v>
      </c>
      <c r="T9" s="23">
        <v>74311.504989383233</v>
      </c>
      <c r="U9" s="23">
        <v>75653.622064467374</v>
      </c>
      <c r="V9" s="23">
        <v>75092.562889990382</v>
      </c>
      <c r="W9" s="23">
        <v>76748.403071097156</v>
      </c>
      <c r="X9" s="23">
        <v>71530.503391502119</v>
      </c>
      <c r="Y9" s="23">
        <v>77831.945567873627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16933.969879379136</v>
      </c>
      <c r="E10" s="23">
        <v>18258.296760195277</v>
      </c>
      <c r="F10" s="23">
        <v>18231.094658910632</v>
      </c>
      <c r="G10" s="23">
        <v>18633.308614946385</v>
      </c>
      <c r="H10" s="23">
        <v>21528.162728425799</v>
      </c>
      <c r="I10" s="23">
        <v>22168.820822582373</v>
      </c>
      <c r="J10" s="23">
        <v>23108.973612502035</v>
      </c>
      <c r="K10" s="23">
        <v>23193.347663762866</v>
      </c>
      <c r="L10" s="23">
        <v>24021.621375055591</v>
      </c>
      <c r="M10" s="23">
        <v>23987.085665088245</v>
      </c>
      <c r="N10" s="23">
        <v>26600.368001401908</v>
      </c>
      <c r="O10" s="23">
        <v>27778.632689072183</v>
      </c>
      <c r="P10" s="23">
        <v>27179.278891324771</v>
      </c>
      <c r="Q10" s="23">
        <v>28148.101765776875</v>
      </c>
      <c r="R10" s="23">
        <v>29725.877520166305</v>
      </c>
      <c r="S10" s="23">
        <v>32394.2</v>
      </c>
      <c r="T10" s="23">
        <v>30074.566606521588</v>
      </c>
      <c r="U10" s="23">
        <v>30303.644932291354</v>
      </c>
      <c r="V10" s="23">
        <v>32713.453439158915</v>
      </c>
      <c r="W10" s="23">
        <v>35863.069848733903</v>
      </c>
      <c r="X10" s="23">
        <v>36152.909445886915</v>
      </c>
      <c r="Y10" s="23">
        <v>39291.240424418327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13048.386724786087</v>
      </c>
      <c r="E11" s="23">
        <v>12913.481927116722</v>
      </c>
      <c r="F11" s="23">
        <v>12069.131291764819</v>
      </c>
      <c r="G11" s="23">
        <v>12549.407347246255</v>
      </c>
      <c r="H11" s="23">
        <v>14362.991497157891</v>
      </c>
      <c r="I11" s="23">
        <v>15065.338105373301</v>
      </c>
      <c r="J11" s="23">
        <v>13601.555767752754</v>
      </c>
      <c r="K11" s="23">
        <v>13841.158502092996</v>
      </c>
      <c r="L11" s="23">
        <v>13636.861251439714</v>
      </c>
      <c r="M11" s="23">
        <v>15585.019371502367</v>
      </c>
      <c r="N11" s="23">
        <v>14738.346622272846</v>
      </c>
      <c r="O11" s="23">
        <v>15817.739751323403</v>
      </c>
      <c r="P11" s="23">
        <v>16519.43704979643</v>
      </c>
      <c r="Q11" s="23">
        <v>17193.541861338828</v>
      </c>
      <c r="R11" s="23">
        <v>17915.833656590978</v>
      </c>
      <c r="S11" s="23">
        <v>19232.3</v>
      </c>
      <c r="T11" s="23">
        <v>18537.378006838597</v>
      </c>
      <c r="U11" s="23">
        <v>17368.112310843324</v>
      </c>
      <c r="V11" s="23">
        <v>17159.783519769859</v>
      </c>
      <c r="W11" s="23">
        <v>16902.790204115605</v>
      </c>
      <c r="X11" s="23">
        <v>18815.792122053823</v>
      </c>
      <c r="Y11" s="23">
        <v>20039.967645239569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28687.700362093219</v>
      </c>
      <c r="E12" s="23">
        <v>27936.535332116968</v>
      </c>
      <c r="F12" s="23">
        <v>28826.49872602279</v>
      </c>
      <c r="G12" s="23">
        <v>29322.833904210369</v>
      </c>
      <c r="H12" s="23">
        <v>28270.188377883216</v>
      </c>
      <c r="I12" s="23">
        <v>28982.414002211626</v>
      </c>
      <c r="J12" s="23">
        <v>31001.70016535855</v>
      </c>
      <c r="K12" s="23">
        <v>31168.797375268696</v>
      </c>
      <c r="L12" s="23">
        <v>32272.639153390883</v>
      </c>
      <c r="M12" s="23">
        <v>31490.43724248201</v>
      </c>
      <c r="N12" s="23">
        <v>30309.515464820819</v>
      </c>
      <c r="O12" s="23">
        <v>31720.115720792812</v>
      </c>
      <c r="P12" s="23">
        <v>31668.297839022864</v>
      </c>
      <c r="Q12" s="23">
        <v>32344.735904129779</v>
      </c>
      <c r="R12" s="23">
        <v>33155.889754224729</v>
      </c>
      <c r="S12" s="23">
        <v>32744.400000000001</v>
      </c>
      <c r="T12" s="23">
        <v>33979.444339218251</v>
      </c>
      <c r="U12" s="23">
        <v>35302.750104396589</v>
      </c>
      <c r="V12" s="23">
        <v>37256.226911017526</v>
      </c>
      <c r="W12" s="23">
        <v>39267.493393812023</v>
      </c>
      <c r="X12" s="23">
        <v>38370.267495924156</v>
      </c>
      <c r="Y12" s="23">
        <v>37698.624922681644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24258.285477063586</v>
      </c>
      <c r="E13" s="23">
        <v>25482.888702598746</v>
      </c>
      <c r="F13" s="23">
        <v>26017.018412576319</v>
      </c>
      <c r="G13" s="23">
        <v>26608.6373106395</v>
      </c>
      <c r="H13" s="23">
        <v>28801.498567200641</v>
      </c>
      <c r="I13" s="23">
        <v>30392.742060141973</v>
      </c>
      <c r="J13" s="23">
        <v>33499.196497193567</v>
      </c>
      <c r="K13" s="23">
        <v>36045.253988007695</v>
      </c>
      <c r="L13" s="23">
        <v>35643.110467436796</v>
      </c>
      <c r="M13" s="23">
        <v>33222.926019310005</v>
      </c>
      <c r="N13" s="23">
        <v>36385.152895820553</v>
      </c>
      <c r="O13" s="23">
        <v>38518.404530345928</v>
      </c>
      <c r="P13" s="23">
        <v>39095.580175383657</v>
      </c>
      <c r="Q13" s="23">
        <v>41019.584421089137</v>
      </c>
      <c r="R13" s="23">
        <v>42425.625876525526</v>
      </c>
      <c r="S13" s="23">
        <v>44575.199999999997</v>
      </c>
      <c r="T13" s="23">
        <v>46848.464306719965</v>
      </c>
      <c r="U13" s="23">
        <v>49123.665215056972</v>
      </c>
      <c r="V13" s="23">
        <v>50750.02328300754</v>
      </c>
      <c r="W13" s="23">
        <v>50919.872661825597</v>
      </c>
      <c r="X13" s="23">
        <v>49661.956806151</v>
      </c>
      <c r="Y13" s="23">
        <v>51735.642575058286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59122.788809705016</v>
      </c>
      <c r="E14" s="23">
        <v>60065.954928744024</v>
      </c>
      <c r="F14" s="23">
        <v>63042.281621075912</v>
      </c>
      <c r="G14" s="23">
        <v>65700.177736972822</v>
      </c>
      <c r="H14" s="23">
        <v>67284.37544040964</v>
      </c>
      <c r="I14" s="23">
        <v>69125.218487295046</v>
      </c>
      <c r="J14" s="23">
        <v>71187.437408295882</v>
      </c>
      <c r="K14" s="23">
        <v>72502.658671795449</v>
      </c>
      <c r="L14" s="23">
        <v>73181.056208732931</v>
      </c>
      <c r="M14" s="23">
        <v>73338.417071520817</v>
      </c>
      <c r="N14" s="23">
        <v>74942.937877858567</v>
      </c>
      <c r="O14" s="23">
        <v>76740.428413147849</v>
      </c>
      <c r="P14" s="23">
        <v>78160.233322893822</v>
      </c>
      <c r="Q14" s="23">
        <v>80125.039737204614</v>
      </c>
      <c r="R14" s="23">
        <v>82033.439759695248</v>
      </c>
      <c r="S14" s="23">
        <v>84534.6</v>
      </c>
      <c r="T14" s="23">
        <v>88505.278478362728</v>
      </c>
      <c r="U14" s="23">
        <v>90521.485812006606</v>
      </c>
      <c r="V14" s="23">
        <v>92170.804143340545</v>
      </c>
      <c r="W14" s="23">
        <v>92428.788414722963</v>
      </c>
      <c r="X14" s="23">
        <v>92044.159974236667</v>
      </c>
      <c r="Y14" s="23">
        <v>95031.070086120759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7494.1765262113977</v>
      </c>
      <c r="E15" s="23">
        <v>7855.1703732925689</v>
      </c>
      <c r="F15" s="23">
        <v>8273.7608768809205</v>
      </c>
      <c r="G15" s="23">
        <v>8535.2590133832418</v>
      </c>
      <c r="H15" s="23">
        <v>8949.8285338469486</v>
      </c>
      <c r="I15" s="23">
        <v>9386.8087180889652</v>
      </c>
      <c r="J15" s="23">
        <v>9905.7922071872745</v>
      </c>
      <c r="K15" s="23">
        <v>10041.06799411698</v>
      </c>
      <c r="L15" s="23">
        <v>10198.538048374407</v>
      </c>
      <c r="M15" s="23">
        <v>10007.133632617919</v>
      </c>
      <c r="N15" s="23">
        <v>10366.468062735477</v>
      </c>
      <c r="O15" s="23">
        <v>10804.813492552013</v>
      </c>
      <c r="P15" s="23">
        <v>11015.111180707798</v>
      </c>
      <c r="Q15" s="23">
        <v>11401.061585442214</v>
      </c>
      <c r="R15" s="23">
        <v>11529.257303136097</v>
      </c>
      <c r="S15" s="23">
        <v>11808.2</v>
      </c>
      <c r="T15" s="23">
        <v>12044.500712769033</v>
      </c>
      <c r="U15" s="23">
        <v>12374.574956749984</v>
      </c>
      <c r="V15" s="23">
        <v>12543.539224106709</v>
      </c>
      <c r="W15" s="23">
        <v>12895.799088658163</v>
      </c>
      <c r="X15" s="23">
        <v>11859.48916128253</v>
      </c>
      <c r="Y15" s="23">
        <v>11989.056478089167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292290.87386701722</v>
      </c>
      <c r="E16" s="30">
        <f t="shared" ref="E16:S16" si="0">SUM(E6:E15)</f>
        <v>296298.63405493367</v>
      </c>
      <c r="F16" s="30">
        <f t="shared" si="0"/>
        <v>302326.21027835202</v>
      </c>
      <c r="G16" s="30">
        <f t="shared" si="0"/>
        <v>309381.2163800511</v>
      </c>
      <c r="H16" s="30">
        <f t="shared" si="0"/>
        <v>323734.7911871096</v>
      </c>
      <c r="I16" s="30">
        <f t="shared" si="0"/>
        <v>332374.16915375559</v>
      </c>
      <c r="J16" s="30">
        <f t="shared" si="0"/>
        <v>348298.43724526634</v>
      </c>
      <c r="K16" s="30">
        <f t="shared" si="0"/>
        <v>360140.96617264394</v>
      </c>
      <c r="L16" s="30">
        <f t="shared" si="0"/>
        <v>358356.15969711822</v>
      </c>
      <c r="M16" s="30">
        <f t="shared" si="0"/>
        <v>341387.12256318791</v>
      </c>
      <c r="N16" s="30">
        <f t="shared" si="0"/>
        <v>362089.50319810741</v>
      </c>
      <c r="O16" s="30">
        <f t="shared" si="0"/>
        <v>375290.53305429028</v>
      </c>
      <c r="P16" s="30">
        <f t="shared" si="0"/>
        <v>373374.56937049795</v>
      </c>
      <c r="Q16" s="30">
        <f t="shared" si="0"/>
        <v>377740.90379261511</v>
      </c>
      <c r="R16" s="30">
        <f t="shared" si="0"/>
        <v>388080.54585782636</v>
      </c>
      <c r="S16" s="30">
        <f t="shared" si="0"/>
        <v>404986.70000000013</v>
      </c>
      <c r="T16" s="30">
        <f t="shared" ref="T16:Y16" si="1">SUM(T6:T15)</f>
        <v>411728.39013886533</v>
      </c>
      <c r="U16" s="30">
        <f t="shared" si="1"/>
        <v>423148.70051104616</v>
      </c>
      <c r="V16" s="30">
        <f t="shared" si="1"/>
        <v>431633.53580926557</v>
      </c>
      <c r="W16" s="30">
        <f t="shared" si="1"/>
        <v>440598.8223299557</v>
      </c>
      <c r="X16" s="30">
        <f t="shared" si="1"/>
        <v>429281.54499527003</v>
      </c>
      <c r="Y16" s="30">
        <f t="shared" si="1"/>
        <v>457014.51206166437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6388.6390368781567</v>
      </c>
      <c r="E18" s="19">
        <v>6486.3898614330092</v>
      </c>
      <c r="F18" s="19">
        <v>6475.650209124562</v>
      </c>
      <c r="G18" s="19">
        <v>6482.3381239921373</v>
      </c>
      <c r="H18" s="19">
        <v>6658.2890966317473</v>
      </c>
      <c r="I18" s="19">
        <v>4707.5540124374265</v>
      </c>
      <c r="J18" s="19">
        <v>5350.8628921443051</v>
      </c>
      <c r="K18" s="19">
        <v>6409.8879963796808</v>
      </c>
      <c r="L18" s="19">
        <v>6343.5244209782077</v>
      </c>
      <c r="M18" s="19">
        <v>5559.6826763421677</v>
      </c>
      <c r="N18" s="19">
        <v>6768.9257863839475</v>
      </c>
      <c r="O18" s="19">
        <v>7075.0748902293899</v>
      </c>
      <c r="P18" s="19">
        <v>6511.6074224866898</v>
      </c>
      <c r="Q18" s="19">
        <v>6242.257265887657</v>
      </c>
      <c r="R18" s="19">
        <v>6299.7443778036386</v>
      </c>
      <c r="S18" s="19">
        <v>6602.7</v>
      </c>
      <c r="T18" s="19">
        <v>6501.5501480366447</v>
      </c>
      <c r="U18" s="19">
        <v>6889.5782377855994</v>
      </c>
      <c r="V18" s="19">
        <v>6783.6335978972857</v>
      </c>
      <c r="W18" s="19">
        <v>6906.4314100830197</v>
      </c>
      <c r="X18" s="19">
        <v>6429.0602419338611</v>
      </c>
      <c r="Y18" s="19">
        <v>6628.1581576818771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604.60342720081167</v>
      </c>
      <c r="E19" s="23">
        <v>590.88219340204148</v>
      </c>
      <c r="F19" s="23">
        <v>596.96649199557714</v>
      </c>
      <c r="G19" s="23">
        <v>684.93473168779508</v>
      </c>
      <c r="H19" s="23">
        <v>917.69624653544417</v>
      </c>
      <c r="I19" s="23">
        <v>1417.2245276512767</v>
      </c>
      <c r="J19" s="23">
        <v>1947.3880336306684</v>
      </c>
      <c r="K19" s="23">
        <v>1991.6280122185767</v>
      </c>
      <c r="L19" s="23">
        <v>2356.1140824029831</v>
      </c>
      <c r="M19" s="23">
        <v>1280.7330422483242</v>
      </c>
      <c r="N19" s="23">
        <v>3033.0544116358537</v>
      </c>
      <c r="O19" s="23">
        <v>3247.2608642127293</v>
      </c>
      <c r="P19" s="23">
        <v>2664.2264328217975</v>
      </c>
      <c r="Q19" s="23">
        <v>2099.0877301145392</v>
      </c>
      <c r="R19" s="23">
        <v>1878.2760918648485</v>
      </c>
      <c r="S19" s="23">
        <v>1640</v>
      </c>
      <c r="T19" s="23">
        <v>1719.3185329917358</v>
      </c>
      <c r="U19" s="23">
        <v>2634.9698741275429</v>
      </c>
      <c r="V19" s="23">
        <v>2802.5497480261183</v>
      </c>
      <c r="W19" s="23">
        <v>3473.294355090406</v>
      </c>
      <c r="X19" s="23">
        <v>2955.8400257633398</v>
      </c>
      <c r="Y19" s="23">
        <v>5000.8088690108007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66287.0453654374</v>
      </c>
      <c r="E20" s="23">
        <v>64090.808225257642</v>
      </c>
      <c r="F20" s="23">
        <v>63647.661170136045</v>
      </c>
      <c r="G20" s="23">
        <v>63060.371717457107</v>
      </c>
      <c r="H20" s="23">
        <v>63350.519096162003</v>
      </c>
      <c r="I20" s="23">
        <v>64414.691858598599</v>
      </c>
      <c r="J20" s="23">
        <v>67371.381326128991</v>
      </c>
      <c r="K20" s="23">
        <v>69773.843194931498</v>
      </c>
      <c r="L20" s="23">
        <v>63901.768710585959</v>
      </c>
      <c r="M20" s="23">
        <v>53203.984994772705</v>
      </c>
      <c r="N20" s="23">
        <v>60410.715850346132</v>
      </c>
      <c r="O20" s="23">
        <v>61823.628380319242</v>
      </c>
      <c r="P20" s="23">
        <v>58588.416066395235</v>
      </c>
      <c r="Q20" s="23">
        <v>56632.211700559659</v>
      </c>
      <c r="R20" s="23">
        <v>57016.879022071029</v>
      </c>
      <c r="S20" s="23">
        <v>61970.70000000007</v>
      </c>
      <c r="T20" s="23">
        <v>61317.27692323026</v>
      </c>
      <c r="U20" s="23">
        <v>62261.82664200924</v>
      </c>
      <c r="V20" s="23">
        <v>63470.202924345736</v>
      </c>
      <c r="W20" s="23">
        <v>63523.855100809342</v>
      </c>
      <c r="X20" s="23">
        <v>59779.703319042739</v>
      </c>
      <c r="Y20" s="23">
        <v>67728.029690250769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5923.9142969164423</v>
      </c>
      <c r="E21" s="23">
        <v>7016.2483357167512</v>
      </c>
      <c r="F21" s="23">
        <v>7033.315705975675</v>
      </c>
      <c r="G21" s="23">
        <v>7530.2800240121478</v>
      </c>
      <c r="H21" s="23">
        <v>8769.9065157138157</v>
      </c>
      <c r="I21" s="23">
        <v>9113.565831559672</v>
      </c>
      <c r="J21" s="23">
        <v>9270.9085404196849</v>
      </c>
      <c r="K21" s="23">
        <v>8947.9579137911533</v>
      </c>
      <c r="L21" s="23">
        <v>10869.074363389631</v>
      </c>
      <c r="M21" s="23">
        <v>10341.430416333558</v>
      </c>
      <c r="N21" s="23">
        <v>11550.315429773065</v>
      </c>
      <c r="O21" s="23">
        <v>11127.867372481431</v>
      </c>
      <c r="P21" s="23">
        <v>11033.217193861572</v>
      </c>
      <c r="Q21" s="23">
        <v>10530.79272110744</v>
      </c>
      <c r="R21" s="23">
        <v>10398.651269656551</v>
      </c>
      <c r="S21" s="23">
        <v>9388.7999999999993</v>
      </c>
      <c r="T21" s="23">
        <v>9263.5052286343744</v>
      </c>
      <c r="U21" s="23">
        <v>9473.7417725546347</v>
      </c>
      <c r="V21" s="23">
        <v>9153.3263656777417</v>
      </c>
      <c r="W21" s="23">
        <v>10459.832296456587</v>
      </c>
      <c r="X21" s="23">
        <v>9260.81355795745</v>
      </c>
      <c r="Y21" s="23">
        <v>11241.851834229434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1734.2420258769805</v>
      </c>
      <c r="E22" s="23">
        <v>1794.2206223186547</v>
      </c>
      <c r="F22" s="23">
        <v>2033.4358925051681</v>
      </c>
      <c r="G22" s="23">
        <v>2117.1886954577021</v>
      </c>
      <c r="H22" s="23">
        <v>2271.9265279278434</v>
      </c>
      <c r="I22" s="23">
        <v>2176.6685295061889</v>
      </c>
      <c r="J22" s="23">
        <v>2212.5439597549898</v>
      </c>
      <c r="K22" s="23">
        <v>2378.8890145944106</v>
      </c>
      <c r="L22" s="23">
        <v>2323.1574505935614</v>
      </c>
      <c r="M22" s="23">
        <v>2100.6088186458396</v>
      </c>
      <c r="N22" s="23">
        <v>2068.474546569701</v>
      </c>
      <c r="O22" s="23">
        <v>2138.3725224670688</v>
      </c>
      <c r="P22" s="23">
        <v>2343.701064829314</v>
      </c>
      <c r="Q22" s="23">
        <v>2467.6563237546602</v>
      </c>
      <c r="R22" s="23">
        <v>2437.1636877231722</v>
      </c>
      <c r="S22" s="23">
        <v>2776.2</v>
      </c>
      <c r="T22" s="23">
        <v>2666.852750889715</v>
      </c>
      <c r="U22" s="23">
        <v>2621.4480303843784</v>
      </c>
      <c r="V22" s="23">
        <v>2766.3317362914827</v>
      </c>
      <c r="W22" s="23">
        <v>2708.4330330205362</v>
      </c>
      <c r="X22" s="23">
        <v>2953.9279029044142</v>
      </c>
      <c r="Y22" s="23">
        <v>3390.588571156683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12171.4061671164</v>
      </c>
      <c r="E23" s="23">
        <v>13266.679816559003</v>
      </c>
      <c r="F23" s="23">
        <v>14004.975722321044</v>
      </c>
      <c r="G23" s="23">
        <v>14497.451652012196</v>
      </c>
      <c r="H23" s="23">
        <v>16013.294498989995</v>
      </c>
      <c r="I23" s="23">
        <v>16371.862403538602</v>
      </c>
      <c r="J23" s="23">
        <v>18398.933320912034</v>
      </c>
      <c r="K23" s="23">
        <v>20233.963117999774</v>
      </c>
      <c r="L23" s="23">
        <v>19632.459431412575</v>
      </c>
      <c r="M23" s="23">
        <v>19769.386876575856</v>
      </c>
      <c r="N23" s="23">
        <v>20414.439674055902</v>
      </c>
      <c r="O23" s="23">
        <v>21754.175386761868</v>
      </c>
      <c r="P23" s="23">
        <v>22186.42342624491</v>
      </c>
      <c r="Q23" s="23">
        <v>22203.31962199081</v>
      </c>
      <c r="R23" s="23">
        <v>23361.28268632073</v>
      </c>
      <c r="S23" s="23">
        <v>25153</v>
      </c>
      <c r="T23" s="23">
        <v>25958.749115269206</v>
      </c>
      <c r="U23" s="23">
        <v>28619.280558372604</v>
      </c>
      <c r="V23" s="23">
        <v>28971.098026635762</v>
      </c>
      <c r="W23" s="23">
        <v>28500.759451530346</v>
      </c>
      <c r="X23" s="23">
        <v>29467.121550631</v>
      </c>
      <c r="Y23" s="23">
        <v>29407.527239853454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28575.728222514354</v>
      </c>
      <c r="E24" s="23">
        <v>29010.922629320972</v>
      </c>
      <c r="F24" s="23">
        <v>30217.657804913229</v>
      </c>
      <c r="G24" s="23">
        <v>31322.315995150493</v>
      </c>
      <c r="H24" s="23">
        <v>33504.603748766851</v>
      </c>
      <c r="I24" s="23">
        <v>35072.472384394961</v>
      </c>
      <c r="J24" s="23">
        <v>36694.342874443959</v>
      </c>
      <c r="K24" s="23">
        <v>37929.63004864804</v>
      </c>
      <c r="L24" s="23">
        <v>37930.118256149442</v>
      </c>
      <c r="M24" s="23">
        <v>37656.970666010704</v>
      </c>
      <c r="N24" s="23">
        <v>39553.688775957242</v>
      </c>
      <c r="O24" s="23">
        <v>40481.862201977921</v>
      </c>
      <c r="P24" s="23">
        <v>39511.724866896344</v>
      </c>
      <c r="Q24" s="23">
        <v>40252.48778984075</v>
      </c>
      <c r="R24" s="23">
        <v>42320.691472960731</v>
      </c>
      <c r="S24" s="23">
        <v>43828.399999999994</v>
      </c>
      <c r="T24" s="23">
        <v>45099.638132644825</v>
      </c>
      <c r="U24" s="23">
        <v>45991.668158046486</v>
      </c>
      <c r="V24" s="23">
        <v>44983.59841468589</v>
      </c>
      <c r="W24" s="23">
        <v>46381.161440669159</v>
      </c>
      <c r="X24" s="23">
        <v>46489.543707103032</v>
      </c>
      <c r="Y24" s="23">
        <v>50749.012704001521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16996.125371895108</v>
      </c>
      <c r="E25" s="23">
        <v>17416.909117806597</v>
      </c>
      <c r="F25" s="23">
        <v>17669.943752704199</v>
      </c>
      <c r="G25" s="23">
        <v>18169.191473333569</v>
      </c>
      <c r="H25" s="23">
        <v>18786.465918166017</v>
      </c>
      <c r="I25" s="23">
        <v>19454.465464144301</v>
      </c>
      <c r="J25" s="23">
        <v>19993.944616531197</v>
      </c>
      <c r="K25" s="23">
        <v>20726.892182373573</v>
      </c>
      <c r="L25" s="23">
        <v>21123.718511591836</v>
      </c>
      <c r="M25" s="23">
        <v>19058.975462763665</v>
      </c>
      <c r="N25" s="23">
        <v>19828.923157802503</v>
      </c>
      <c r="O25" s="23">
        <v>20776.601419836679</v>
      </c>
      <c r="P25" s="23">
        <v>20968.916379580332</v>
      </c>
      <c r="Q25" s="23">
        <v>20871.906518828211</v>
      </c>
      <c r="R25" s="23">
        <v>21111.011647221476</v>
      </c>
      <c r="S25" s="23">
        <v>21365.7</v>
      </c>
      <c r="T25" s="23">
        <v>21775.542551812825</v>
      </c>
      <c r="U25" s="23">
        <v>22058.104157966951</v>
      </c>
      <c r="V25" s="23">
        <v>22364.725726171135</v>
      </c>
      <c r="W25" s="23">
        <v>22701.046586629491</v>
      </c>
      <c r="X25" s="23">
        <v>20233.379626834125</v>
      </c>
      <c r="Y25" s="23">
        <v>21489.556073654661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4063.862173943126</v>
      </c>
      <c r="E26" s="23">
        <v>4113.2452290546871</v>
      </c>
      <c r="F26" s="23">
        <v>4186.8179414451233</v>
      </c>
      <c r="G26" s="23">
        <v>4167.5200395494194</v>
      </c>
      <c r="H26" s="23">
        <v>4265.0443932916805</v>
      </c>
      <c r="I26" s="23">
        <v>4524.3219462313173</v>
      </c>
      <c r="J26" s="23">
        <v>4753.4760230104575</v>
      </c>
      <c r="K26" s="23">
        <v>4955.990496662519</v>
      </c>
      <c r="L26" s="23">
        <v>4922.3979655836974</v>
      </c>
      <c r="M26" s="23">
        <v>4784.33060697374</v>
      </c>
      <c r="N26" s="23">
        <v>5118.1766406729175</v>
      </c>
      <c r="O26" s="23">
        <v>5485.5554187697489</v>
      </c>
      <c r="P26" s="23">
        <v>5928.3980582524273</v>
      </c>
      <c r="Q26" s="23">
        <v>6209.118845549915</v>
      </c>
      <c r="R26" s="23">
        <v>6470.9217318652463</v>
      </c>
      <c r="S26" s="23">
        <v>6972.3</v>
      </c>
      <c r="T26" s="23">
        <v>7436.3243049255825</v>
      </c>
      <c r="U26" s="23">
        <v>7603.8497484539357</v>
      </c>
      <c r="V26" s="23">
        <v>7744.2387491333548</v>
      </c>
      <c r="W26" s="23">
        <v>7666.195043798506</v>
      </c>
      <c r="X26" s="23">
        <v>4807.5800575649628</v>
      </c>
      <c r="Y26" s="23">
        <v>5593.3767902174432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16933.969879379136</v>
      </c>
      <c r="E27" s="23">
        <v>18258.296760195277</v>
      </c>
      <c r="F27" s="23">
        <v>18231.094658910632</v>
      </c>
      <c r="G27" s="23">
        <v>18633.308614946385</v>
      </c>
      <c r="H27" s="23">
        <v>21528.162728425799</v>
      </c>
      <c r="I27" s="23">
        <v>22168.820822582373</v>
      </c>
      <c r="J27" s="23">
        <v>23108.973612502035</v>
      </c>
      <c r="K27" s="23">
        <v>23193.347663762866</v>
      </c>
      <c r="L27" s="23">
        <v>24021.621375055591</v>
      </c>
      <c r="M27" s="23">
        <v>23987.085665088245</v>
      </c>
      <c r="N27" s="23">
        <v>26600.368001401908</v>
      </c>
      <c r="O27" s="23">
        <v>27778.632689072183</v>
      </c>
      <c r="P27" s="23">
        <v>27179.278891324771</v>
      </c>
      <c r="Q27" s="23">
        <v>28148.101765776875</v>
      </c>
      <c r="R27" s="23">
        <v>29725.877520166305</v>
      </c>
      <c r="S27" s="23">
        <v>32394.2</v>
      </c>
      <c r="T27" s="23">
        <v>30074.566606521588</v>
      </c>
      <c r="U27" s="23">
        <v>30303.644932291354</v>
      </c>
      <c r="V27" s="23">
        <v>32713.453439158915</v>
      </c>
      <c r="W27" s="23">
        <v>35863.069848733903</v>
      </c>
      <c r="X27" s="23">
        <v>36152.909445886915</v>
      </c>
      <c r="Y27" s="23">
        <v>39291.240424418327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13048.386724786087</v>
      </c>
      <c r="E28" s="23">
        <v>12913.481927116722</v>
      </c>
      <c r="F28" s="23">
        <v>12069.131291764819</v>
      </c>
      <c r="G28" s="23">
        <v>12549.407347246255</v>
      </c>
      <c r="H28" s="23">
        <v>14362.991497157891</v>
      </c>
      <c r="I28" s="23">
        <v>15065.338105373301</v>
      </c>
      <c r="J28" s="23">
        <v>13601.555767752754</v>
      </c>
      <c r="K28" s="23">
        <v>13841.158502092996</v>
      </c>
      <c r="L28" s="23">
        <v>13636.861251439714</v>
      </c>
      <c r="M28" s="23">
        <v>15585.019371502367</v>
      </c>
      <c r="N28" s="23">
        <v>14738.346622272846</v>
      </c>
      <c r="O28" s="23">
        <v>15817.739751323403</v>
      </c>
      <c r="P28" s="23">
        <v>16519.43704979643</v>
      </c>
      <c r="Q28" s="23">
        <v>17193.541861338828</v>
      </c>
      <c r="R28" s="23">
        <v>17915.833656590978</v>
      </c>
      <c r="S28" s="23">
        <v>19232.3</v>
      </c>
      <c r="T28" s="23">
        <v>18537.378006838597</v>
      </c>
      <c r="U28" s="23">
        <v>17368.112310843324</v>
      </c>
      <c r="V28" s="23">
        <v>17159.783519769859</v>
      </c>
      <c r="W28" s="23">
        <v>16902.790204115605</v>
      </c>
      <c r="X28" s="23">
        <v>18815.792122053823</v>
      </c>
      <c r="Y28" s="23">
        <v>20039.967645239569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28687.700362093219</v>
      </c>
      <c r="E29" s="23">
        <v>27936.535332116968</v>
      </c>
      <c r="F29" s="23">
        <v>28826.49872602279</v>
      </c>
      <c r="G29" s="23">
        <v>29322.833904210369</v>
      </c>
      <c r="H29" s="23">
        <v>28270.188377883216</v>
      </c>
      <c r="I29" s="23">
        <v>28982.414002211626</v>
      </c>
      <c r="J29" s="23">
        <v>31001.70016535855</v>
      </c>
      <c r="K29" s="23">
        <v>31168.797375268696</v>
      </c>
      <c r="L29" s="23">
        <v>32272.639153390883</v>
      </c>
      <c r="M29" s="23">
        <v>31490.43724248201</v>
      </c>
      <c r="N29" s="23">
        <v>30309.515464820819</v>
      </c>
      <c r="O29" s="23">
        <v>31720.115720792812</v>
      </c>
      <c r="P29" s="23">
        <v>31668.297839022864</v>
      </c>
      <c r="Q29" s="23">
        <v>32344.735904129779</v>
      </c>
      <c r="R29" s="23">
        <v>33155.889754224729</v>
      </c>
      <c r="S29" s="23">
        <v>32744.400000000001</v>
      </c>
      <c r="T29" s="23">
        <v>33979.444339218251</v>
      </c>
      <c r="U29" s="23">
        <v>35302.750104396589</v>
      </c>
      <c r="V29" s="23">
        <v>37256.226911017526</v>
      </c>
      <c r="W29" s="23">
        <v>39267.493393812023</v>
      </c>
      <c r="X29" s="23">
        <v>38370.267495924156</v>
      </c>
      <c r="Y29" s="23">
        <v>37698.624922681644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16643.257455199615</v>
      </c>
      <c r="E30" s="23">
        <v>17258.494008580303</v>
      </c>
      <c r="F30" s="23">
        <v>17805.514157973172</v>
      </c>
      <c r="G30" s="23">
        <v>18034.299704556423</v>
      </c>
      <c r="H30" s="23">
        <v>20095.9505801663</v>
      </c>
      <c r="I30" s="23">
        <v>21179.890845530968</v>
      </c>
      <c r="J30" s="23">
        <v>23233.108973612507</v>
      </c>
      <c r="K30" s="23">
        <v>25130.444620432179</v>
      </c>
      <c r="L30" s="23">
        <v>24249.466878014849</v>
      </c>
      <c r="M30" s="23">
        <v>22651.989422544739</v>
      </c>
      <c r="N30" s="23">
        <v>24831.551739244718</v>
      </c>
      <c r="O30" s="23">
        <v>26038.204275924327</v>
      </c>
      <c r="P30" s="23">
        <v>26606.443783275921</v>
      </c>
      <c r="Q30" s="23">
        <v>28406.562177887812</v>
      </c>
      <c r="R30" s="23">
        <v>29369.299475825301</v>
      </c>
      <c r="S30" s="23">
        <v>30540.6</v>
      </c>
      <c r="T30" s="23">
        <v>31869.348937824609</v>
      </c>
      <c r="U30" s="23">
        <v>33621.567340770351</v>
      </c>
      <c r="V30" s="23">
        <v>34725.415731034693</v>
      </c>
      <c r="W30" s="23">
        <v>35348.931566134706</v>
      </c>
      <c r="X30" s="23">
        <v>35451.160356661232</v>
      </c>
      <c r="Y30" s="23">
        <v>36286.149307703286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7615.0280218639728</v>
      </c>
      <c r="E31" s="23">
        <v>8224.3946940184433</v>
      </c>
      <c r="F31" s="23">
        <v>8211.5042546031455</v>
      </c>
      <c r="G31" s="23">
        <v>8574.3376060830778</v>
      </c>
      <c r="H31" s="23">
        <v>8705.5479870343406</v>
      </c>
      <c r="I31" s="23">
        <v>9212.8512146110043</v>
      </c>
      <c r="J31" s="23">
        <v>10266.087523581062</v>
      </c>
      <c r="K31" s="23">
        <v>10914.809367575517</v>
      </c>
      <c r="L31" s="23">
        <v>11393.643589421948</v>
      </c>
      <c r="M31" s="23">
        <v>10570.936596765267</v>
      </c>
      <c r="N31" s="23">
        <v>11553.601156575834</v>
      </c>
      <c r="O31" s="23">
        <v>12480.200254421601</v>
      </c>
      <c r="P31" s="23">
        <v>12489.136392107735</v>
      </c>
      <c r="Q31" s="23">
        <v>12613.022243201325</v>
      </c>
      <c r="R31" s="23">
        <v>13056.326400700225</v>
      </c>
      <c r="S31" s="23">
        <v>14034.6</v>
      </c>
      <c r="T31" s="23">
        <v>14979.115368895356</v>
      </c>
      <c r="U31" s="23">
        <v>15502.097874286623</v>
      </c>
      <c r="V31" s="23">
        <v>16024.607551972847</v>
      </c>
      <c r="W31" s="23">
        <v>15570.941095690892</v>
      </c>
      <c r="X31" s="23">
        <v>14210.796449489766</v>
      </c>
      <c r="Y31" s="23">
        <v>15449.493267354999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16238.266565188311</v>
      </c>
      <c r="E32" s="23">
        <v>15490.532077518616</v>
      </c>
      <c r="F32" s="23">
        <v>15781.813374357</v>
      </c>
      <c r="G32" s="23">
        <v>16234.683428087148</v>
      </c>
      <c r="H32" s="23">
        <v>16598.275943063836</v>
      </c>
      <c r="I32" s="23">
        <v>16919.893937051886</v>
      </c>
      <c r="J32" s="23">
        <v>17788.969886112209</v>
      </c>
      <c r="K32" s="23">
        <v>17915.035637515553</v>
      </c>
      <c r="L32" s="23">
        <v>17487.199370516922</v>
      </c>
      <c r="M32" s="23">
        <v>17207.920792079218</v>
      </c>
      <c r="N32" s="23">
        <v>17762.529571541214</v>
      </c>
      <c r="O32" s="23">
        <v>17781.915548442688</v>
      </c>
      <c r="P32" s="23">
        <v>18488.588318196045</v>
      </c>
      <c r="Q32" s="23">
        <v>18875.316693479239</v>
      </c>
      <c r="R32" s="23">
        <v>19132.873810163226</v>
      </c>
      <c r="S32" s="23">
        <v>19216.900000000001</v>
      </c>
      <c r="T32" s="23">
        <v>19675.715012012406</v>
      </c>
      <c r="U32" s="23">
        <v>20388.753007615989</v>
      </c>
      <c r="V32" s="23">
        <v>21001.790204580029</v>
      </c>
      <c r="W32" s="23">
        <v>21131.894883585439</v>
      </c>
      <c r="X32" s="23">
        <v>21241.67220175916</v>
      </c>
      <c r="Y32" s="23">
        <v>21996.764523956794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15543.831730436586</v>
      </c>
      <c r="E33" s="23">
        <v>16191.996646777454</v>
      </c>
      <c r="F33" s="23">
        <v>16716.383827700593</v>
      </c>
      <c r="G33" s="23">
        <v>17686.829808020528</v>
      </c>
      <c r="H33" s="23">
        <v>18061.375487386667</v>
      </c>
      <c r="I33" s="23">
        <v>18517.853533251684</v>
      </c>
      <c r="J33" s="23">
        <v>18862.868854368029</v>
      </c>
      <c r="K33" s="23">
        <v>19028.736282384885</v>
      </c>
      <c r="L33" s="23">
        <v>19207.102211173325</v>
      </c>
      <c r="M33" s="23">
        <v>19310.989484041569</v>
      </c>
      <c r="N33" s="23">
        <v>19558.288793481119</v>
      </c>
      <c r="O33" s="23">
        <v>20038.573597603514</v>
      </c>
      <c r="P33" s="23">
        <v>20297.819448794238</v>
      </c>
      <c r="Q33" s="23">
        <v>20617.68474187675</v>
      </c>
      <c r="R33" s="23">
        <v>21070.927699698623</v>
      </c>
      <c r="S33" s="23">
        <v>21725.9</v>
      </c>
      <c r="T33" s="23">
        <v>22878.091573375335</v>
      </c>
      <c r="U33" s="23">
        <v>23795.462228320306</v>
      </c>
      <c r="V33" s="23">
        <v>24421.90879269845</v>
      </c>
      <c r="W33" s="23">
        <v>24725.76517342544</v>
      </c>
      <c r="X33" s="23">
        <v>24517.339935189098</v>
      </c>
      <c r="Y33" s="23">
        <v>25116.334395965172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27340.690514080121</v>
      </c>
      <c r="E34" s="23">
        <v>28383.426204447951</v>
      </c>
      <c r="F34" s="23">
        <v>30544.08441901832</v>
      </c>
      <c r="G34" s="23">
        <v>31778.664500865147</v>
      </c>
      <c r="H34" s="23">
        <v>32624.724009959133</v>
      </c>
      <c r="I34" s="23">
        <v>33687.471016991476</v>
      </c>
      <c r="J34" s="23">
        <v>34535.598667815641</v>
      </c>
      <c r="K34" s="23">
        <v>35558.886751895014</v>
      </c>
      <c r="L34" s="23">
        <v>36486.754627042683</v>
      </c>
      <c r="M34" s="23">
        <v>36819.506795400033</v>
      </c>
      <c r="N34" s="23">
        <v>37622.119512836238</v>
      </c>
      <c r="O34" s="23">
        <v>38919.939267101647</v>
      </c>
      <c r="P34" s="23">
        <v>39373.825555903539</v>
      </c>
      <c r="Q34" s="23">
        <v>40632.038301848625</v>
      </c>
      <c r="R34" s="23">
        <v>41829.638249833399</v>
      </c>
      <c r="S34" s="23">
        <v>43591.8</v>
      </c>
      <c r="T34" s="23">
        <v>45951.471892974987</v>
      </c>
      <c r="U34" s="23">
        <v>46337.27057607031</v>
      </c>
      <c r="V34" s="23">
        <v>46747.105146062066</v>
      </c>
      <c r="W34" s="23">
        <v>46571.128357712078</v>
      </c>
      <c r="X34" s="23">
        <v>46285.147837288408</v>
      </c>
      <c r="Y34" s="23">
        <v>47917.971166198797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3288.129338776263</v>
      </c>
      <c r="E35" s="23">
        <v>3438.2859115340998</v>
      </c>
      <c r="F35" s="23">
        <v>3614.0089418777952</v>
      </c>
      <c r="G35" s="23">
        <v>3800.628553268125</v>
      </c>
      <c r="H35" s="23">
        <v>3954.9960069525991</v>
      </c>
      <c r="I35" s="23">
        <v>4127.6560326274366</v>
      </c>
      <c r="J35" s="23">
        <v>4475.2777324917906</v>
      </c>
      <c r="K35" s="23">
        <v>4493.7210091639308</v>
      </c>
      <c r="L35" s="23">
        <v>4536.0413269320698</v>
      </c>
      <c r="M35" s="23">
        <v>4515.5894471434713</v>
      </c>
      <c r="N35" s="23">
        <v>4583.0412687286434</v>
      </c>
      <c r="O35" s="23">
        <v>4784.3571750995125</v>
      </c>
      <c r="P35" s="23">
        <v>4933.2524271844659</v>
      </c>
      <c r="Q35" s="23">
        <v>5166.7999267872101</v>
      </c>
      <c r="R35" s="23">
        <v>5151.4337719690866</v>
      </c>
      <c r="S35" s="23">
        <v>5230.3000000000011</v>
      </c>
      <c r="T35" s="23">
        <v>5328.4220390178743</v>
      </c>
      <c r="U35" s="23">
        <v>5568.7128397860361</v>
      </c>
      <c r="V35" s="23">
        <v>5646.1810693626667</v>
      </c>
      <c r="W35" s="23">
        <v>6092.6738935935573</v>
      </c>
      <c r="X35" s="23">
        <v>5332.4074633174314</v>
      </c>
      <c r="Y35" s="23">
        <v>5447.209401912738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4157.8449687492794</v>
      </c>
      <c r="E36" s="23">
        <v>4363.6273978006802</v>
      </c>
      <c r="F36" s="23">
        <v>4601.822027787126</v>
      </c>
      <c r="G36" s="23">
        <v>4669.0678813988252</v>
      </c>
      <c r="H36" s="23">
        <v>4916.8506600272476</v>
      </c>
      <c r="I36" s="23">
        <v>5169.7363883901498</v>
      </c>
      <c r="J36" s="23">
        <v>5329.0868015930319</v>
      </c>
      <c r="K36" s="23">
        <v>5434.6645548138931</v>
      </c>
      <c r="L36" s="23">
        <v>5541.6177258783682</v>
      </c>
      <c r="M36" s="23">
        <v>5370.7644056331092</v>
      </c>
      <c r="N36" s="23">
        <v>5659.8834662227282</v>
      </c>
      <c r="O36" s="23">
        <v>5889.7574787640033</v>
      </c>
      <c r="P36" s="23">
        <v>5940.4361102411522</v>
      </c>
      <c r="Q36" s="23">
        <v>6066.835569855597</v>
      </c>
      <c r="R36" s="23">
        <v>6184.5651936064614</v>
      </c>
      <c r="S36" s="23">
        <v>6405</v>
      </c>
      <c r="T36" s="23">
        <v>6504.1420354291067</v>
      </c>
      <c r="U36" s="23">
        <v>6597.367217482948</v>
      </c>
      <c r="V36" s="23">
        <v>6650.6617548144086</v>
      </c>
      <c r="W36" s="23">
        <v>6554.6909136305949</v>
      </c>
      <c r="X36" s="23">
        <v>6275.1846708129542</v>
      </c>
      <c r="Y36" s="23">
        <v>6276.0622353333019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48.2022186858553</v>
      </c>
      <c r="E37" s="23">
        <v>53.257063957788844</v>
      </c>
      <c r="F37" s="23">
        <v>57.929907215999236</v>
      </c>
      <c r="G37" s="23">
        <v>65.562578716291782</v>
      </c>
      <c r="H37" s="23">
        <v>77.981866867101999</v>
      </c>
      <c r="I37" s="23">
        <v>89.416297071378466</v>
      </c>
      <c r="J37" s="23">
        <v>101.42767310245243</v>
      </c>
      <c r="K37" s="23">
        <v>112.68243013915601</v>
      </c>
      <c r="L37" s="23">
        <v>120.87899556396893</v>
      </c>
      <c r="M37" s="23">
        <v>120.77977984133815</v>
      </c>
      <c r="N37" s="23">
        <v>123.54332778410584</v>
      </c>
      <c r="O37" s="23">
        <v>130.69883868849769</v>
      </c>
      <c r="P37" s="23">
        <v>141.42264328217976</v>
      </c>
      <c r="Q37" s="23">
        <v>167.42608879940659</v>
      </c>
      <c r="R37" s="23">
        <v>193.25833756054865</v>
      </c>
      <c r="S37" s="23">
        <v>172.9</v>
      </c>
      <c r="T37" s="23">
        <v>211.93663832205198</v>
      </c>
      <c r="U37" s="23">
        <v>208.49489948099981</v>
      </c>
      <c r="V37" s="23">
        <v>246.69639992963357</v>
      </c>
      <c r="W37" s="23">
        <v>248.43428143401096</v>
      </c>
      <c r="X37" s="23">
        <v>251.8970271521446</v>
      </c>
      <c r="Y37" s="23">
        <v>265.78484084312703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292290.87386701728</v>
      </c>
      <c r="E39" s="30">
        <f t="shared" ref="E39:S39" si="2">SUM(E18:E38)</f>
        <v>296298.63405493367</v>
      </c>
      <c r="F39" s="30">
        <f t="shared" si="2"/>
        <v>302326.21027835197</v>
      </c>
      <c r="G39" s="30">
        <f t="shared" si="2"/>
        <v>309381.21638005116</v>
      </c>
      <c r="H39" s="30">
        <f t="shared" si="2"/>
        <v>323734.79118710948</v>
      </c>
      <c r="I39" s="30">
        <f t="shared" si="2"/>
        <v>332374.16915375559</v>
      </c>
      <c r="J39" s="30">
        <f t="shared" si="2"/>
        <v>348298.43724526634</v>
      </c>
      <c r="K39" s="30">
        <f t="shared" si="2"/>
        <v>360140.96617264388</v>
      </c>
      <c r="L39" s="30">
        <f t="shared" si="2"/>
        <v>358356.15969711822</v>
      </c>
      <c r="M39" s="30">
        <f t="shared" si="2"/>
        <v>341387.12256318796</v>
      </c>
      <c r="N39" s="30">
        <f t="shared" si="2"/>
        <v>362089.50319810741</v>
      </c>
      <c r="O39" s="30">
        <f t="shared" si="2"/>
        <v>375290.53305429028</v>
      </c>
      <c r="P39" s="30">
        <f t="shared" si="2"/>
        <v>373374.56937049801</v>
      </c>
      <c r="Q39" s="30">
        <f t="shared" si="2"/>
        <v>377740.90379261511</v>
      </c>
      <c r="R39" s="30">
        <f t="shared" si="2"/>
        <v>388080.54585782636</v>
      </c>
      <c r="S39" s="30">
        <f t="shared" si="2"/>
        <v>404986.70000000007</v>
      </c>
      <c r="T39" s="30">
        <f t="shared" ref="T39:Y39" si="3">SUM(T18:T38)</f>
        <v>411728.39013886533</v>
      </c>
      <c r="U39" s="30">
        <f t="shared" si="3"/>
        <v>423148.70051104616</v>
      </c>
      <c r="V39" s="30">
        <f t="shared" si="3"/>
        <v>431633.53580926568</v>
      </c>
      <c r="W39" s="30">
        <f t="shared" si="3"/>
        <v>440598.82232995558</v>
      </c>
      <c r="X39" s="30">
        <f t="shared" si="3"/>
        <v>429281.54499527009</v>
      </c>
      <c r="Y39" s="30">
        <f t="shared" si="3"/>
        <v>457014.51206166443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4642.7500634239714</v>
      </c>
      <c r="E41" s="19">
        <v>4696.607327777504</v>
      </c>
      <c r="F41" s="19">
        <v>4903.9709629344743</v>
      </c>
      <c r="G41" s="19">
        <v>4757.9363678095979</v>
      </c>
      <c r="H41" s="19">
        <v>4771.5742002160941</v>
      </c>
      <c r="I41" s="19">
        <v>4646.9126407533795</v>
      </c>
      <c r="J41" s="19">
        <v>4809.954118825256</v>
      </c>
      <c r="K41" s="19">
        <v>4574.3862427876456</v>
      </c>
      <c r="L41" s="19">
        <v>4405.4692043653286</v>
      </c>
      <c r="M41" s="19">
        <v>4686.6736363077298</v>
      </c>
      <c r="N41" s="19">
        <v>4668.7987382809079</v>
      </c>
      <c r="O41" s="19">
        <v>4758.9150149780462</v>
      </c>
      <c r="P41" s="19">
        <v>4427.0670216097706</v>
      </c>
      <c r="Q41" s="19">
        <v>4633.5988902482486</v>
      </c>
      <c r="R41" s="19">
        <v>4538.9351395975682</v>
      </c>
      <c r="S41" s="19">
        <v>4660</v>
      </c>
      <c r="T41" s="19">
        <v>4785.1225663672712</v>
      </c>
      <c r="U41" s="19">
        <v>4696.3550677086441</v>
      </c>
      <c r="V41" s="19">
        <v>4849.9022113683168</v>
      </c>
      <c r="W41" s="19">
        <v>4706.62283348245</v>
      </c>
      <c r="X41" s="19">
        <v>4845.1180484270271</v>
      </c>
      <c r="Y41" s="19">
        <v>4629.8710567635726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746.09654281694691</v>
      </c>
      <c r="E42" s="23">
        <v>756.81739730755953</v>
      </c>
      <c r="F42" s="23">
        <v>754.41084563242168</v>
      </c>
      <c r="G42" s="23">
        <v>718.95194039337548</v>
      </c>
      <c r="H42" s="23">
        <v>691.03208531028326</v>
      </c>
      <c r="I42" s="23">
        <v>661.46656995755097</v>
      </c>
      <c r="J42" s="23">
        <v>639.30875468709974</v>
      </c>
      <c r="K42" s="23">
        <v>643.96424934947402</v>
      </c>
      <c r="L42" s="23">
        <v>592.19304147517983</v>
      </c>
      <c r="M42" s="23">
        <v>496.4024352745833</v>
      </c>
      <c r="N42" s="23">
        <v>510.82099360378515</v>
      </c>
      <c r="O42" s="23">
        <v>459.70290122696872</v>
      </c>
      <c r="P42" s="23">
        <v>448.0504227998747</v>
      </c>
      <c r="Q42" s="23">
        <v>440.52905873399675</v>
      </c>
      <c r="R42" s="23">
        <v>451.56605894230097</v>
      </c>
      <c r="S42" s="23">
        <v>493</v>
      </c>
      <c r="T42" s="23">
        <v>494.45236410036586</v>
      </c>
      <c r="U42" s="23">
        <v>484.79786832110398</v>
      </c>
      <c r="V42" s="23">
        <v>500.01552200502914</v>
      </c>
      <c r="W42" s="23">
        <v>491.14666777636751</v>
      </c>
      <c r="X42" s="23">
        <v>438.68123905561259</v>
      </c>
      <c r="Y42" s="23">
        <v>447.25698244278442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10243.317419682187</v>
      </c>
      <c r="E43" s="23">
        <v>10291.311208639479</v>
      </c>
      <c r="F43" s="23">
        <v>9674.6550646603537</v>
      </c>
      <c r="G43" s="23">
        <v>9397.5775980790295</v>
      </c>
      <c r="H43" s="23">
        <v>8820.6417062056662</v>
      </c>
      <c r="I43" s="23">
        <v>9023.6739158868513</v>
      </c>
      <c r="J43" s="23">
        <v>9133.0321168223218</v>
      </c>
      <c r="K43" s="23">
        <v>9370.0644869329117</v>
      </c>
      <c r="L43" s="23">
        <v>7540.1124402732321</v>
      </c>
      <c r="M43" s="23">
        <v>7137.8144025582678</v>
      </c>
      <c r="N43" s="23">
        <v>7570.2050293524926</v>
      </c>
      <c r="O43" s="23">
        <v>7161.660306126636</v>
      </c>
      <c r="P43" s="23">
        <v>6748.1600375822109</v>
      </c>
      <c r="Q43" s="23">
        <v>6496.9607059254195</v>
      </c>
      <c r="R43" s="23">
        <v>7107.1922338594968</v>
      </c>
      <c r="S43" s="23">
        <v>7240.4</v>
      </c>
      <c r="T43" s="23">
        <v>6952.7379302782292</v>
      </c>
      <c r="U43" s="23">
        <v>7212.9093837618566</v>
      </c>
      <c r="V43" s="23">
        <v>7839.4403799786833</v>
      </c>
      <c r="W43" s="23">
        <v>7080.4810553255238</v>
      </c>
      <c r="X43" s="23">
        <v>6626.0088964031966</v>
      </c>
      <c r="Y43" s="23">
        <v>8978.9218251891325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519.03872321778636</v>
      </c>
      <c r="E44" s="23">
        <v>535.65264559396417</v>
      </c>
      <c r="F44" s="23">
        <v>274.26566030479307</v>
      </c>
      <c r="G44" s="23">
        <v>455.52455948303265</v>
      </c>
      <c r="H44" s="23">
        <v>395.66402029407624</v>
      </c>
      <c r="I44" s="23">
        <v>484.77425952128988</v>
      </c>
      <c r="J44" s="23">
        <v>546.26545869529775</v>
      </c>
      <c r="K44" s="23">
        <v>672.70053173435906</v>
      </c>
      <c r="L44" s="23">
        <v>846.60911610085407</v>
      </c>
      <c r="M44" s="23">
        <v>1133.3866305885247</v>
      </c>
      <c r="N44" s="23">
        <v>725.37895382458601</v>
      </c>
      <c r="O44" s="23">
        <v>837.84726496778694</v>
      </c>
      <c r="P44" s="23">
        <v>954.92092076417157</v>
      </c>
      <c r="Q44" s="23">
        <v>1118.5180190160586</v>
      </c>
      <c r="R44" s="23">
        <v>1241.3093426431533</v>
      </c>
      <c r="S44" s="23">
        <v>884.6</v>
      </c>
      <c r="T44" s="23">
        <v>767.99617198169722</v>
      </c>
      <c r="U44" s="23">
        <v>990.67390483008205</v>
      </c>
      <c r="V44" s="23">
        <v>711.42523050177465</v>
      </c>
      <c r="W44" s="23">
        <v>602.15143255446196</v>
      </c>
      <c r="X44" s="23">
        <v>20.83207535776825</v>
      </c>
      <c r="Y44" s="23">
        <v>696.00799352904801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6525.6117530385836</v>
      </c>
      <c r="E45" s="23">
        <v>6970.7666157147296</v>
      </c>
      <c r="F45" s="23">
        <v>7317.9247718263296</v>
      </c>
      <c r="G45" s="23">
        <v>6905.3232722926841</v>
      </c>
      <c r="H45" s="23">
        <v>6771.8312238631979</v>
      </c>
      <c r="I45" s="23">
        <v>7154.3643892367509</v>
      </c>
      <c r="J45" s="23">
        <v>7290.18570432666</v>
      </c>
      <c r="K45" s="23">
        <v>7036.6820669703138</v>
      </c>
      <c r="L45" s="23">
        <v>6673.8526134261701</v>
      </c>
      <c r="M45" s="23">
        <v>7589.256414779471</v>
      </c>
      <c r="N45" s="23">
        <v>7145.1272226502706</v>
      </c>
      <c r="O45" s="23">
        <v>6696.7128306587038</v>
      </c>
      <c r="P45" s="23">
        <v>6494.0003061460293</v>
      </c>
      <c r="Q45" s="23">
        <v>6232.8700238287056</v>
      </c>
      <c r="R45" s="23">
        <v>5942.420300685837</v>
      </c>
      <c r="S45" s="23">
        <v>6273.8599733164938</v>
      </c>
      <c r="T45" s="23">
        <v>5536.032952914491</v>
      </c>
      <c r="U45" s="23">
        <v>5248.0697956073127</v>
      </c>
      <c r="V45" s="23">
        <v>5445.7123028787955</v>
      </c>
      <c r="W45" s="23">
        <v>6302.7938265732646</v>
      </c>
      <c r="X45" s="23">
        <v>6150.4726704806371</v>
      </c>
      <c r="Y45" s="23">
        <v>6089.32719020688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1631.4029382596455</v>
      </c>
      <c r="E46" s="23">
        <v>1738.9823857153217</v>
      </c>
      <c r="F46" s="23">
        <v>2197.3629547252781</v>
      </c>
      <c r="G46" s="23">
        <v>1895.4818408822191</v>
      </c>
      <c r="H46" s="23">
        <v>1778.9274551427641</v>
      </c>
      <c r="I46" s="23">
        <v>2088.9264158666329</v>
      </c>
      <c r="J46" s="23">
        <v>2331.9350772836092</v>
      </c>
      <c r="K46" s="23">
        <v>2218.3241554530359</v>
      </c>
      <c r="L46" s="23">
        <v>1820.8617814376198</v>
      </c>
      <c r="M46" s="23">
        <v>2349.8617206365629</v>
      </c>
      <c r="N46" s="23">
        <v>2497.1666527549723</v>
      </c>
      <c r="O46" s="23">
        <v>2343.3585715325989</v>
      </c>
      <c r="P46" s="23">
        <v>2349.9552215708459</v>
      </c>
      <c r="Q46" s="23">
        <v>2141.0353968076579</v>
      </c>
      <c r="R46" s="23">
        <v>1705.855492787342</v>
      </c>
      <c r="S46" s="23">
        <v>2016.4400266835091</v>
      </c>
      <c r="T46" s="23">
        <v>1314.2257373848838</v>
      </c>
      <c r="U46" s="23">
        <v>1070.7076706377929</v>
      </c>
      <c r="V46" s="23">
        <v>1100.4346180728071</v>
      </c>
      <c r="W46" s="23">
        <v>1870.4651568020317</v>
      </c>
      <c r="X46" s="23">
        <v>1862.831679095684</v>
      </c>
      <c r="Y46" s="23">
        <v>2043.13700544426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2932.724463202564</v>
      </c>
      <c r="E47" s="23">
        <v>2983.3818235613194</v>
      </c>
      <c r="F47" s="23">
        <v>3050.4543050814868</v>
      </c>
      <c r="G47" s="23">
        <v>3042.9511399884645</v>
      </c>
      <c r="H47" s="23">
        <v>2950.3922581857469</v>
      </c>
      <c r="I47" s="23">
        <v>2992.7111449328781</v>
      </c>
      <c r="J47" s="23">
        <v>3188.9745440994948</v>
      </c>
      <c r="K47" s="23">
        <v>3490.4400950333747</v>
      </c>
      <c r="L47" s="23">
        <v>3253.925716436122</v>
      </c>
      <c r="M47" s="23">
        <v>2669.5775167578868</v>
      </c>
      <c r="N47" s="23">
        <v>3117.716638920529</v>
      </c>
      <c r="O47" s="23">
        <v>3509.1714883663672</v>
      </c>
      <c r="P47" s="23">
        <v>3362.922799874726</v>
      </c>
      <c r="Q47" s="23">
        <v>3026.4818364850153</v>
      </c>
      <c r="R47" s="23">
        <v>3109.4401177652453</v>
      </c>
      <c r="S47" s="23">
        <v>3253.5</v>
      </c>
      <c r="T47" s="23">
        <v>3215.5353742785082</v>
      </c>
      <c r="U47" s="23">
        <v>3405.0189902364332</v>
      </c>
      <c r="V47" s="23">
        <v>3302.1513498970376</v>
      </c>
      <c r="W47" s="23">
        <v>3319.115290984374</v>
      </c>
      <c r="X47" s="23">
        <v>3312.5012579755653</v>
      </c>
      <c r="Y47" s="23">
        <v>3180.4729504686684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7898.014253096243</v>
      </c>
      <c r="E48" s="23">
        <v>7848.6365205384882</v>
      </c>
      <c r="F48" s="23">
        <v>7760.804769001491</v>
      </c>
      <c r="G48" s="23">
        <v>7468.2486434313832</v>
      </c>
      <c r="H48" s="23">
        <v>8034.3636961525817</v>
      </c>
      <c r="I48" s="23">
        <v>8527.0091913294727</v>
      </c>
      <c r="J48" s="23">
        <v>8910.8461233900834</v>
      </c>
      <c r="K48" s="23">
        <v>10216.427197646792</v>
      </c>
      <c r="L48" s="23">
        <v>9074.3633896294941</v>
      </c>
      <c r="M48" s="23">
        <v>5776.1515281962975</v>
      </c>
      <c r="N48" s="23">
        <v>8358.450889336722</v>
      </c>
      <c r="O48" s="23">
        <v>8626.1233534408475</v>
      </c>
      <c r="P48" s="23">
        <v>8507.3794237394304</v>
      </c>
      <c r="Q48" s="23">
        <v>8638.8201181037894</v>
      </c>
      <c r="R48" s="23">
        <v>8700.5042819204482</v>
      </c>
      <c r="S48" s="23">
        <v>8582.6</v>
      </c>
      <c r="T48" s="23">
        <v>8726.1870345817588</v>
      </c>
      <c r="U48" s="23">
        <v>8834.7352303684693</v>
      </c>
      <c r="V48" s="23">
        <v>9227.5215497169829</v>
      </c>
      <c r="W48" s="23">
        <v>8947.4834065042342</v>
      </c>
      <c r="X48" s="23">
        <v>8886.5406678340696</v>
      </c>
      <c r="Y48" s="23">
        <v>9439.4061949850129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9440.3699347309666</v>
      </c>
      <c r="E49" s="23">
        <v>6680.8028009270674</v>
      </c>
      <c r="F49" s="23">
        <v>6166.6506417960672</v>
      </c>
      <c r="G49" s="23">
        <v>6242.9228904033807</v>
      </c>
      <c r="H49" s="23">
        <v>6958.9420773241891</v>
      </c>
      <c r="I49" s="23">
        <v>6383.5150592739683</v>
      </c>
      <c r="J49" s="23">
        <v>6504.5298926333935</v>
      </c>
      <c r="K49" s="23">
        <v>6412.3769657201037</v>
      </c>
      <c r="L49" s="23">
        <v>5731.9451254974847</v>
      </c>
      <c r="M49" s="23">
        <v>4020.785929524629</v>
      </c>
      <c r="N49" s="23">
        <v>3115.9642512923856</v>
      </c>
      <c r="O49" s="23">
        <v>2480.5080224875869</v>
      </c>
      <c r="P49" s="23">
        <v>2988.6666144691512</v>
      </c>
      <c r="Q49" s="23">
        <v>2819.0777115223441</v>
      </c>
      <c r="R49" s="23">
        <v>2541.9986273983227</v>
      </c>
      <c r="S49" s="23">
        <v>2432.6</v>
      </c>
      <c r="T49" s="23">
        <v>2346.7546579207083</v>
      </c>
      <c r="U49" s="23">
        <v>2318.4990753445086</v>
      </c>
      <c r="V49" s="23">
        <v>2463.7561182569825</v>
      </c>
      <c r="W49" s="23">
        <v>2471.3385073136224</v>
      </c>
      <c r="X49" s="23">
        <v>2508.5039148199585</v>
      </c>
      <c r="Y49" s="23">
        <v>2873.9591759052196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2646.3940589035724</v>
      </c>
      <c r="E50" s="23">
        <v>2975.1220474382371</v>
      </c>
      <c r="F50" s="23">
        <v>2802.0287486178549</v>
      </c>
      <c r="G50" s="23">
        <v>2717.1392586838051</v>
      </c>
      <c r="H50" s="23">
        <v>2581.1528162728432</v>
      </c>
      <c r="I50" s="23">
        <v>2606.8655545118368</v>
      </c>
      <c r="J50" s="23">
        <v>2730.3956960197497</v>
      </c>
      <c r="K50" s="23">
        <v>2867.5189501074783</v>
      </c>
      <c r="L50" s="23">
        <v>2755.9270620702237</v>
      </c>
      <c r="M50" s="23">
        <v>2142.6726523584034</v>
      </c>
      <c r="N50" s="23">
        <v>2215.6751073337423</v>
      </c>
      <c r="O50" s="23">
        <v>2567.7089745168041</v>
      </c>
      <c r="P50" s="23">
        <v>2294.5701534606951</v>
      </c>
      <c r="Q50" s="23">
        <v>2167.3875557525021</v>
      </c>
      <c r="R50" s="23">
        <v>1826.1570136961775</v>
      </c>
      <c r="S50" s="23">
        <v>2486.9</v>
      </c>
      <c r="T50" s="23">
        <v>2346.2562180375426</v>
      </c>
      <c r="U50" s="23">
        <v>2225.1386983236889</v>
      </c>
      <c r="V50" s="23">
        <v>2275.5259372704036</v>
      </c>
      <c r="W50" s="23">
        <v>2032.4171365556272</v>
      </c>
      <c r="X50" s="23">
        <v>1813.6988507135238</v>
      </c>
      <c r="Y50" s="23">
        <v>2121.8061569205879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6772.0657764247326</v>
      </c>
      <c r="E51" s="23">
        <v>7514.1772276739484</v>
      </c>
      <c r="F51" s="23">
        <v>7780.0346137204951</v>
      </c>
      <c r="G51" s="23">
        <v>7638.805513377356</v>
      </c>
      <c r="H51" s="23">
        <v>7606.7552966599333</v>
      </c>
      <c r="I51" s="23">
        <v>8292.4103161674648</v>
      </c>
      <c r="J51" s="23">
        <v>9099.8439574259974</v>
      </c>
      <c r="K51" s="23">
        <v>9716.0312252517251</v>
      </c>
      <c r="L51" s="23">
        <v>9166.3910777616857</v>
      </c>
      <c r="M51" s="23">
        <v>5577.1477768894902</v>
      </c>
      <c r="N51" s="23">
        <v>8188.4692894068166</v>
      </c>
      <c r="O51" s="23">
        <v>9107.4726086421269</v>
      </c>
      <c r="P51" s="23">
        <v>8502.1922956467279</v>
      </c>
      <c r="Q51" s="23">
        <v>6910.6129644436305</v>
      </c>
      <c r="R51" s="23">
        <v>7097.7431643441851</v>
      </c>
      <c r="S51" s="23">
        <v>7700.5</v>
      </c>
      <c r="T51" s="23">
        <v>7944.1348578947891</v>
      </c>
      <c r="U51" s="23">
        <v>8904.0346795521873</v>
      </c>
      <c r="V51" s="23">
        <v>9258.1516396411298</v>
      </c>
      <c r="W51" s="23">
        <v>9041.4265204635758</v>
      </c>
      <c r="X51" s="23">
        <v>8372.7834470543257</v>
      </c>
      <c r="Y51" s="23">
        <v>10523.480991578246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8702.9221153624385</v>
      </c>
      <c r="E52" s="23">
        <v>7307.1897036343016</v>
      </c>
      <c r="F52" s="23">
        <v>7075.5011778279895</v>
      </c>
      <c r="G52" s="23">
        <v>7890.5799404404588</v>
      </c>
      <c r="H52" s="23">
        <v>8101.8931742377981</v>
      </c>
      <c r="I52" s="23">
        <v>7548.6617281601884</v>
      </c>
      <c r="J52" s="23">
        <v>7859.4219437780939</v>
      </c>
      <c r="K52" s="23">
        <v>8037.6739450164041</v>
      </c>
      <c r="L52" s="23">
        <v>7778.5633645414009</v>
      </c>
      <c r="M52" s="23">
        <v>5746.7560420638329</v>
      </c>
      <c r="N52" s="23">
        <v>8481.3370717602738</v>
      </c>
      <c r="O52" s="23">
        <v>9366.1003734252554</v>
      </c>
      <c r="P52" s="23">
        <v>7806.0405574694641</v>
      </c>
      <c r="Q52" s="23">
        <v>8673.2108624659213</v>
      </c>
      <c r="R52" s="23">
        <v>9334.4871144530971</v>
      </c>
      <c r="S52" s="23">
        <v>12656.9</v>
      </c>
      <c r="T52" s="23">
        <v>13250.326478123474</v>
      </c>
      <c r="U52" s="23">
        <v>13637.177116267971</v>
      </c>
      <c r="V52" s="23">
        <v>13320.156875730827</v>
      </c>
      <c r="W52" s="23">
        <v>13336.176941803125</v>
      </c>
      <c r="X52" s="23">
        <v>11506.048346516918</v>
      </c>
      <c r="Y52" s="23">
        <v>13121.187610029976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3586.3373232777667</v>
      </c>
      <c r="E53" s="23">
        <v>3791.360520735725</v>
      </c>
      <c r="F53" s="23">
        <v>3889.5966540070003</v>
      </c>
      <c r="G53" s="23">
        <v>3928.9287521923179</v>
      </c>
      <c r="H53" s="23">
        <v>3887.349086296832</v>
      </c>
      <c r="I53" s="23">
        <v>4003.4006730003384</v>
      </c>
      <c r="J53" s="23">
        <v>4326.6879381419421</v>
      </c>
      <c r="K53" s="23">
        <v>4517.2530829278767</v>
      </c>
      <c r="L53" s="23">
        <v>4261.5547775711675</v>
      </c>
      <c r="M53" s="23">
        <v>3877.4983088370282</v>
      </c>
      <c r="N53" s="23">
        <v>3815.6050118286439</v>
      </c>
      <c r="O53" s="23">
        <v>3908.3466699495111</v>
      </c>
      <c r="P53" s="23">
        <v>3704.4902912621401</v>
      </c>
      <c r="Q53" s="23">
        <v>3333.1085572263692</v>
      </c>
      <c r="R53" s="23">
        <v>3419.2701339778578</v>
      </c>
      <c r="S53" s="23">
        <v>3289.4000000000669</v>
      </c>
      <c r="T53" s="23">
        <v>3637.5145793665433</v>
      </c>
      <c r="U53" s="23">
        <v>3233.7091610491843</v>
      </c>
      <c r="V53" s="23">
        <v>3176.0091890269687</v>
      </c>
      <c r="W53" s="23">
        <v>3322.2363246706882</v>
      </c>
      <c r="X53" s="23">
        <v>3435.6822253084538</v>
      </c>
      <c r="Y53" s="23">
        <v>3583.1945567873772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66287.0453654374</v>
      </c>
      <c r="E54" s="30">
        <f t="shared" ref="E54:S54" si="4">SUM(E41:E53)</f>
        <v>64090.808225257642</v>
      </c>
      <c r="F54" s="30">
        <f t="shared" si="4"/>
        <v>63647.661170136045</v>
      </c>
      <c r="G54" s="30">
        <f t="shared" si="4"/>
        <v>63060.371717457107</v>
      </c>
      <c r="H54" s="30">
        <f t="shared" si="4"/>
        <v>63350.519096162003</v>
      </c>
      <c r="I54" s="30">
        <f t="shared" si="4"/>
        <v>64414.691858598599</v>
      </c>
      <c r="J54" s="30">
        <f t="shared" si="4"/>
        <v>67371.381326128991</v>
      </c>
      <c r="K54" s="30">
        <f t="shared" si="4"/>
        <v>69773.843194931498</v>
      </c>
      <c r="L54" s="30">
        <f t="shared" si="4"/>
        <v>63901.768710585959</v>
      </c>
      <c r="M54" s="30">
        <f t="shared" si="4"/>
        <v>53203.984994772705</v>
      </c>
      <c r="N54" s="30">
        <f t="shared" si="4"/>
        <v>60410.715850346132</v>
      </c>
      <c r="O54" s="30">
        <f t="shared" si="4"/>
        <v>61823.628380319242</v>
      </c>
      <c r="P54" s="30">
        <f t="shared" si="4"/>
        <v>58588.416066395235</v>
      </c>
      <c r="Q54" s="30">
        <f t="shared" si="4"/>
        <v>56632.211700559659</v>
      </c>
      <c r="R54" s="30">
        <f t="shared" si="4"/>
        <v>57016.879022071029</v>
      </c>
      <c r="S54" s="30">
        <f t="shared" si="4"/>
        <v>61970.70000000007</v>
      </c>
      <c r="T54" s="30">
        <f t="shared" ref="T54:Y54" si="5">SUM(T41:T53)</f>
        <v>61317.27692323026</v>
      </c>
      <c r="U54" s="30">
        <f t="shared" si="5"/>
        <v>62261.82664200924</v>
      </c>
      <c r="V54" s="30">
        <f t="shared" si="5"/>
        <v>63470.202924345736</v>
      </c>
      <c r="W54" s="30">
        <f t="shared" si="5"/>
        <v>63523.855100809342</v>
      </c>
      <c r="X54" s="30">
        <f t="shared" si="5"/>
        <v>59779.703319042739</v>
      </c>
      <c r="Y54" s="30">
        <f t="shared" si="5"/>
        <v>67728.029690250769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4642.7500634239714</v>
      </c>
      <c r="E56" s="19">
        <v>4696.607327777504</v>
      </c>
      <c r="F56" s="19">
        <v>4903.9709629344743</v>
      </c>
      <c r="G56" s="19">
        <v>4757.9363678095979</v>
      </c>
      <c r="H56" s="19">
        <v>4771.5742002160941</v>
      </c>
      <c r="I56" s="19">
        <v>4646.9126407533795</v>
      </c>
      <c r="J56" s="19">
        <v>4809.954118825256</v>
      </c>
      <c r="K56" s="19">
        <v>4574.3862427876456</v>
      </c>
      <c r="L56" s="19">
        <v>4405.4692043653286</v>
      </c>
      <c r="M56" s="19">
        <v>4686.6736363077298</v>
      </c>
      <c r="N56" s="19">
        <v>4668.7987382809079</v>
      </c>
      <c r="O56" s="19">
        <v>4758.9150149780462</v>
      </c>
      <c r="P56" s="19">
        <v>4427.0670216097706</v>
      </c>
      <c r="Q56" s="19">
        <v>4633.5988902482486</v>
      </c>
      <c r="R56" s="19">
        <v>4538.9351395975682</v>
      </c>
      <c r="S56" s="19">
        <v>4660</v>
      </c>
      <c r="T56" s="19">
        <v>4785.1225663672712</v>
      </c>
      <c r="U56" s="19">
        <v>4696.3550677086441</v>
      </c>
      <c r="V56" s="19">
        <v>4849.9022113683168</v>
      </c>
      <c r="W56" s="19">
        <v>4706.62283348245</v>
      </c>
      <c r="X56" s="19">
        <v>4845.1180484270271</v>
      </c>
      <c r="Y56" s="19">
        <v>4629.8710567635726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746.09654281694691</v>
      </c>
      <c r="E57" s="23">
        <v>756.81739730755953</v>
      </c>
      <c r="F57" s="23">
        <v>754.41084563242168</v>
      </c>
      <c r="G57" s="23">
        <v>718.95194039337548</v>
      </c>
      <c r="H57" s="23">
        <v>691.03208531028326</v>
      </c>
      <c r="I57" s="23">
        <v>661.46656995755097</v>
      </c>
      <c r="J57" s="23">
        <v>639.30875468709974</v>
      </c>
      <c r="K57" s="23">
        <v>643.96424934947402</v>
      </c>
      <c r="L57" s="23">
        <v>592.19304147517983</v>
      </c>
      <c r="M57" s="23">
        <v>496.4024352745833</v>
      </c>
      <c r="N57" s="23">
        <v>510.82099360378515</v>
      </c>
      <c r="O57" s="23">
        <v>459.70290122696872</v>
      </c>
      <c r="P57" s="23">
        <v>448.0504227998747</v>
      </c>
      <c r="Q57" s="23">
        <v>440.52905873399675</v>
      </c>
      <c r="R57" s="23">
        <v>451.56605894230097</v>
      </c>
      <c r="S57" s="23">
        <v>493</v>
      </c>
      <c r="T57" s="23">
        <v>494.45236410036586</v>
      </c>
      <c r="U57" s="23">
        <v>484.79786832110398</v>
      </c>
      <c r="V57" s="23">
        <v>500.01552200502914</v>
      </c>
      <c r="W57" s="23">
        <v>491.14666777636751</v>
      </c>
      <c r="X57" s="23">
        <v>438.68123905561259</v>
      </c>
      <c r="Y57" s="23">
        <v>447.25698244278442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2095.0667681450218</v>
      </c>
      <c r="E58" s="23">
        <v>2094.5312885250751</v>
      </c>
      <c r="F58" s="23">
        <v>2199.7740493245519</v>
      </c>
      <c r="G58" s="23">
        <v>2369.1985357298399</v>
      </c>
      <c r="H58" s="23">
        <v>2276.2719030394137</v>
      </c>
      <c r="I58" s="23">
        <v>2912.8072198903697</v>
      </c>
      <c r="J58" s="23">
        <v>3007.5459393995852</v>
      </c>
      <c r="K58" s="23">
        <v>3383.3012784251614</v>
      </c>
      <c r="L58" s="23">
        <v>2344.0261828465864</v>
      </c>
      <c r="M58" s="23">
        <v>2186.8273783900127</v>
      </c>
      <c r="N58" s="23">
        <v>2397.1567510733371</v>
      </c>
      <c r="O58" s="23">
        <v>1983.2574172103903</v>
      </c>
      <c r="P58" s="23">
        <v>1832.9157532101472</v>
      </c>
      <c r="Q58" s="23">
        <v>1927.1340083038715</v>
      </c>
      <c r="R58" s="23">
        <v>2257.4324391529653</v>
      </c>
      <c r="S58" s="23">
        <v>2417.5</v>
      </c>
      <c r="T58" s="23">
        <v>2240.6866507830487</v>
      </c>
      <c r="U58" s="23">
        <v>2479.0709697945872</v>
      </c>
      <c r="V58" s="23">
        <v>2481.8651241243001</v>
      </c>
      <c r="W58" s="23">
        <v>2256.0912174112068</v>
      </c>
      <c r="X58" s="23">
        <v>2206.7910552905423</v>
      </c>
      <c r="Y58" s="23">
        <v>4066.9933863063238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6502.8021863972872</v>
      </c>
      <c r="E59" s="23">
        <v>6593.7669510330888</v>
      </c>
      <c r="F59" s="23">
        <v>5961.6124224796886</v>
      </c>
      <c r="G59" s="23">
        <v>5609.8967713078382</v>
      </c>
      <c r="H59" s="23">
        <v>5109.9262460656737</v>
      </c>
      <c r="I59" s="23">
        <v>4715.8773379626882</v>
      </c>
      <c r="J59" s="23">
        <v>4773.3889186482529</v>
      </c>
      <c r="K59" s="23">
        <v>4644.6430591695889</v>
      </c>
      <c r="L59" s="23">
        <v>3922.8655164155957</v>
      </c>
      <c r="M59" s="23">
        <v>3882.4180554701429</v>
      </c>
      <c r="N59" s="23">
        <v>4105.1870673793046</v>
      </c>
      <c r="O59" s="23">
        <v>4102.9586770076739</v>
      </c>
      <c r="P59" s="23">
        <v>3860.0062637018477</v>
      </c>
      <c r="Q59" s="23">
        <v>3656.0154902848553</v>
      </c>
      <c r="R59" s="23">
        <v>3931.2107739285252</v>
      </c>
      <c r="S59" s="23">
        <v>3939.4</v>
      </c>
      <c r="T59" s="23">
        <v>3852.4418569876289</v>
      </c>
      <c r="U59" s="23">
        <v>3899.2622641134244</v>
      </c>
      <c r="V59" s="23">
        <v>4591.5125676500729</v>
      </c>
      <c r="W59" s="23">
        <v>4194.5652400074905</v>
      </c>
      <c r="X59" s="23">
        <v>3840.146528993821</v>
      </c>
      <c r="Y59" s="23">
        <v>4315.4589142123041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1645.4484651398789</v>
      </c>
      <c r="E60" s="23">
        <v>1603.0129690813155</v>
      </c>
      <c r="F60" s="23">
        <v>1513.2685928561132</v>
      </c>
      <c r="G60" s="23">
        <v>1418.4822910413513</v>
      </c>
      <c r="H60" s="23">
        <v>1434.4435571005788</v>
      </c>
      <c r="I60" s="23">
        <v>1394.989358033793</v>
      </c>
      <c r="J60" s="23">
        <v>1352.0972587744836</v>
      </c>
      <c r="K60" s="23">
        <v>1342.1201493381614</v>
      </c>
      <c r="L60" s="23">
        <v>1273.22074101105</v>
      </c>
      <c r="M60" s="23">
        <v>1068.5689686981118</v>
      </c>
      <c r="N60" s="23">
        <v>1067.8612108998504</v>
      </c>
      <c r="O60" s="23">
        <v>1075.4442119085716</v>
      </c>
      <c r="P60" s="23">
        <v>1055.238020670216</v>
      </c>
      <c r="Q60" s="23">
        <v>913.81120733669286</v>
      </c>
      <c r="R60" s="23">
        <v>918.54902077800625</v>
      </c>
      <c r="S60" s="23">
        <v>883.49999999999955</v>
      </c>
      <c r="T60" s="23">
        <v>859.60942250755215</v>
      </c>
      <c r="U60" s="23">
        <v>834.57614985384453</v>
      </c>
      <c r="V60" s="23">
        <v>766.06268820430978</v>
      </c>
      <c r="W60" s="23">
        <v>629.82459790682697</v>
      </c>
      <c r="X60" s="23">
        <v>579.07131211883325</v>
      </c>
      <c r="Y60" s="23">
        <v>596.46952467050505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519.03872321778636</v>
      </c>
      <c r="E61" s="23">
        <v>535.65264559396417</v>
      </c>
      <c r="F61" s="23">
        <v>274.26566030479307</v>
      </c>
      <c r="G61" s="23">
        <v>455.52455948303265</v>
      </c>
      <c r="H61" s="23">
        <v>395.66402029407624</v>
      </c>
      <c r="I61" s="23">
        <v>484.77425952128988</v>
      </c>
      <c r="J61" s="23">
        <v>546.26545869529775</v>
      </c>
      <c r="K61" s="23">
        <v>672.70053173435906</v>
      </c>
      <c r="L61" s="23">
        <v>846.60911610085407</v>
      </c>
      <c r="M61" s="23">
        <v>1133.3866305885247</v>
      </c>
      <c r="N61" s="23">
        <v>725.37895382458601</v>
      </c>
      <c r="O61" s="23">
        <v>837.84726496778694</v>
      </c>
      <c r="P61" s="23">
        <v>954.92092076417157</v>
      </c>
      <c r="Q61" s="23">
        <v>1118.5180190160586</v>
      </c>
      <c r="R61" s="23">
        <v>1241.3093426431533</v>
      </c>
      <c r="S61" s="23">
        <v>884.6</v>
      </c>
      <c r="T61" s="23">
        <v>767.99617198169722</v>
      </c>
      <c r="U61" s="23">
        <v>990.67390483008205</v>
      </c>
      <c r="V61" s="23">
        <v>711.42523050177465</v>
      </c>
      <c r="W61" s="23">
        <v>602.15143255446196</v>
      </c>
      <c r="X61" s="23">
        <v>20.83207535776825</v>
      </c>
      <c r="Y61" s="23">
        <v>696.00799352904801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6525.6117530385836</v>
      </c>
      <c r="E62" s="23">
        <v>6970.7666157147296</v>
      </c>
      <c r="F62" s="23">
        <v>7317.9247718263296</v>
      </c>
      <c r="G62" s="23">
        <v>6905.3232722926841</v>
      </c>
      <c r="H62" s="23">
        <v>6771.8312238631979</v>
      </c>
      <c r="I62" s="23">
        <v>7154.3643892367509</v>
      </c>
      <c r="J62" s="23">
        <v>7290.18570432666</v>
      </c>
      <c r="K62" s="23">
        <v>7036.6820669703138</v>
      </c>
      <c r="L62" s="23">
        <v>6673.8526134261701</v>
      </c>
      <c r="M62" s="23">
        <v>7589.256414779471</v>
      </c>
      <c r="N62" s="23">
        <v>7145.1272226502706</v>
      </c>
      <c r="O62" s="23">
        <v>6696.7128306587038</v>
      </c>
      <c r="P62" s="23">
        <v>6494.0003061460293</v>
      </c>
      <c r="Q62" s="23">
        <v>6232.8700238287056</v>
      </c>
      <c r="R62" s="23">
        <v>5942.420300685837</v>
      </c>
      <c r="S62" s="23">
        <v>6273.8599733164938</v>
      </c>
      <c r="T62" s="23">
        <v>5536.032952914491</v>
      </c>
      <c r="U62" s="23">
        <v>5248.0697956073127</v>
      </c>
      <c r="V62" s="23">
        <v>5445.7123028787955</v>
      </c>
      <c r="W62" s="23">
        <v>6302.7938265732646</v>
      </c>
      <c r="X62" s="23">
        <v>6150.4726704806371</v>
      </c>
      <c r="Y62" s="23">
        <v>6089.32719020688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1631.4029382596455</v>
      </c>
      <c r="E63" s="23">
        <v>1738.9823857153217</v>
      </c>
      <c r="F63" s="23">
        <v>2197.3629547252781</v>
      </c>
      <c r="G63" s="23">
        <v>1895.4818408822191</v>
      </c>
      <c r="H63" s="23">
        <v>1778.9274551427641</v>
      </c>
      <c r="I63" s="23">
        <v>2088.9264158666329</v>
      </c>
      <c r="J63" s="23">
        <v>2331.9350772836092</v>
      </c>
      <c r="K63" s="23">
        <v>2218.3241554530359</v>
      </c>
      <c r="L63" s="23">
        <v>1820.8617814376198</v>
      </c>
      <c r="M63" s="23">
        <v>2349.8617206365629</v>
      </c>
      <c r="N63" s="23">
        <v>2497.1666527549723</v>
      </c>
      <c r="O63" s="23">
        <v>2343.3585715325989</v>
      </c>
      <c r="P63" s="23">
        <v>2349.9552215708459</v>
      </c>
      <c r="Q63" s="23">
        <v>2141.0353968076579</v>
      </c>
      <c r="R63" s="23">
        <v>1705.855492787342</v>
      </c>
      <c r="S63" s="23">
        <v>2016.4400266835091</v>
      </c>
      <c r="T63" s="23">
        <v>1314.2257373848838</v>
      </c>
      <c r="U63" s="23">
        <v>1070.7076706377929</v>
      </c>
      <c r="V63" s="23">
        <v>1100.4346180728071</v>
      </c>
      <c r="W63" s="23">
        <v>1870.4651568020317</v>
      </c>
      <c r="X63" s="23">
        <v>1862.831679095684</v>
      </c>
      <c r="Y63" s="23">
        <v>2043.13700544426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1810.2354759104221</v>
      </c>
      <c r="E64" s="23">
        <v>1793.7275013560827</v>
      </c>
      <c r="F64" s="23">
        <v>1830.080284601702</v>
      </c>
      <c r="G64" s="23">
        <v>1879.892180750262</v>
      </c>
      <c r="H64" s="23">
        <v>1776.6712077793959</v>
      </c>
      <c r="I64" s="23">
        <v>1734.1054208630101</v>
      </c>
      <c r="J64" s="23">
        <v>1845.028763071477</v>
      </c>
      <c r="K64" s="23">
        <v>1972.2819323452879</v>
      </c>
      <c r="L64" s="23">
        <v>1759.4736061853553</v>
      </c>
      <c r="M64" s="23">
        <v>1477.7688949019125</v>
      </c>
      <c r="N64" s="23">
        <v>1715.0398668185403</v>
      </c>
      <c r="O64" s="23">
        <v>1757.1504780663959</v>
      </c>
      <c r="P64" s="23">
        <v>1635.7070153460695</v>
      </c>
      <c r="Q64" s="23">
        <v>1556.157099232229</v>
      </c>
      <c r="R64" s="23">
        <v>1633.6943872527079</v>
      </c>
      <c r="S64" s="23">
        <v>1734.5</v>
      </c>
      <c r="T64" s="23">
        <v>1657.0135475960244</v>
      </c>
      <c r="U64" s="23">
        <v>1757.3425600031815</v>
      </c>
      <c r="V64" s="23">
        <v>1753.0552479899004</v>
      </c>
      <c r="W64" s="23">
        <v>1694.9293606042322</v>
      </c>
      <c r="X64" s="23">
        <v>1715.878670772699</v>
      </c>
      <c r="Y64" s="23">
        <v>1622.3057524860828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1122.4889872921419</v>
      </c>
      <c r="E65" s="23">
        <v>1189.6543222052367</v>
      </c>
      <c r="F65" s="23">
        <v>1220.3740204797848</v>
      </c>
      <c r="G65" s="23">
        <v>1163.0589592382025</v>
      </c>
      <c r="H65" s="23">
        <v>1173.721050406351</v>
      </c>
      <c r="I65" s="23">
        <v>1258.6057240698681</v>
      </c>
      <c r="J65" s="23">
        <v>1343.9457810280178</v>
      </c>
      <c r="K65" s="23">
        <v>1518.1581626880868</v>
      </c>
      <c r="L65" s="23">
        <v>1494.4521102507667</v>
      </c>
      <c r="M65" s="23">
        <v>1191.8086218559743</v>
      </c>
      <c r="N65" s="23">
        <v>1402.6767721019887</v>
      </c>
      <c r="O65" s="23">
        <v>1752.0210102999713</v>
      </c>
      <c r="P65" s="23">
        <v>1727.2157845286565</v>
      </c>
      <c r="Q65" s="23">
        <v>1470.3247372527862</v>
      </c>
      <c r="R65" s="23">
        <v>1475.7457305125374</v>
      </c>
      <c r="S65" s="23">
        <v>1519</v>
      </c>
      <c r="T65" s="23">
        <v>1558.5218266824838</v>
      </c>
      <c r="U65" s="23">
        <v>1647.6764302332517</v>
      </c>
      <c r="V65" s="23">
        <v>1549.0961019071372</v>
      </c>
      <c r="W65" s="23">
        <v>1624.1859303801418</v>
      </c>
      <c r="X65" s="23">
        <v>1596.6225872028663</v>
      </c>
      <c r="Y65" s="23">
        <v>1558.1671979825855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2235.6373532599919</v>
      </c>
      <c r="E66" s="23">
        <v>2319.1478869766752</v>
      </c>
      <c r="F66" s="23">
        <v>2282.4623816162684</v>
      </c>
      <c r="G66" s="23">
        <v>2185.9293524959685</v>
      </c>
      <c r="H66" s="23">
        <v>2449.8520223610653</v>
      </c>
      <c r="I66" s="23">
        <v>2620.4206846529773</v>
      </c>
      <c r="J66" s="23">
        <v>2826.0008850175846</v>
      </c>
      <c r="K66" s="23">
        <v>3666.1387034732434</v>
      </c>
      <c r="L66" s="23">
        <v>2669.3731397748916</v>
      </c>
      <c r="M66" s="23">
        <v>955.53778980382504</v>
      </c>
      <c r="N66" s="23">
        <v>3005.782879172873</v>
      </c>
      <c r="O66" s="23">
        <v>3193.4014526652713</v>
      </c>
      <c r="P66" s="23">
        <v>2892.8515502662071</v>
      </c>
      <c r="Q66" s="23">
        <v>3068.9645206970627</v>
      </c>
      <c r="R66" s="23">
        <v>3240.7324520832713</v>
      </c>
      <c r="S66" s="23">
        <v>3145.5</v>
      </c>
      <c r="T66" s="23">
        <v>3165.2926340554063</v>
      </c>
      <c r="U66" s="23">
        <v>2916.045258406411</v>
      </c>
      <c r="V66" s="23">
        <v>3487.5875699783728</v>
      </c>
      <c r="W66" s="23">
        <v>3383.0964815546909</v>
      </c>
      <c r="X66" s="23">
        <v>3857.858824950184</v>
      </c>
      <c r="Y66" s="23">
        <v>3573.5832897178475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5662.3768998362511</v>
      </c>
      <c r="E67" s="23">
        <v>5529.488633561813</v>
      </c>
      <c r="F67" s="23">
        <v>5478.3423873852225</v>
      </c>
      <c r="G67" s="23">
        <v>5282.3192909354148</v>
      </c>
      <c r="H67" s="23">
        <v>5584.5116737915159</v>
      </c>
      <c r="I67" s="23">
        <v>5906.5885066764949</v>
      </c>
      <c r="J67" s="23">
        <v>6084.8452383724989</v>
      </c>
      <c r="K67" s="23">
        <v>6550.2884941735483</v>
      </c>
      <c r="L67" s="23">
        <v>6404.9902498546026</v>
      </c>
      <c r="M67" s="23">
        <v>4820.6137383924724</v>
      </c>
      <c r="N67" s="23">
        <v>5352.6680101638485</v>
      </c>
      <c r="O67" s="23">
        <v>5432.7219007755757</v>
      </c>
      <c r="P67" s="23">
        <v>5614.5278734732237</v>
      </c>
      <c r="Q67" s="23">
        <v>5569.8555974067267</v>
      </c>
      <c r="R67" s="23">
        <v>5459.7718298371765</v>
      </c>
      <c r="S67" s="23">
        <v>5437.1</v>
      </c>
      <c r="T67" s="23">
        <v>5560.8944005263529</v>
      </c>
      <c r="U67" s="23">
        <v>5918.6899719620578</v>
      </c>
      <c r="V67" s="23">
        <v>5739.9339797386101</v>
      </c>
      <c r="W67" s="23">
        <v>5564.3869249495438</v>
      </c>
      <c r="X67" s="23">
        <v>5028.6818428838851</v>
      </c>
      <c r="Y67" s="23">
        <v>5865.822905267165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9440.3699347309666</v>
      </c>
      <c r="E68" s="23">
        <v>6680.8028009270674</v>
      </c>
      <c r="F68" s="23">
        <v>6166.6506417960672</v>
      </c>
      <c r="G68" s="23">
        <v>6242.9228904033807</v>
      </c>
      <c r="H68" s="23">
        <v>6958.9420773241891</v>
      </c>
      <c r="I68" s="23">
        <v>6383.5150592739683</v>
      </c>
      <c r="J68" s="23">
        <v>6504.5298926333935</v>
      </c>
      <c r="K68" s="23">
        <v>6412.3769657201037</v>
      </c>
      <c r="L68" s="23">
        <v>5731.9451254974847</v>
      </c>
      <c r="M68" s="23">
        <v>4020.785929524629</v>
      </c>
      <c r="N68" s="23">
        <v>3115.9642512923856</v>
      </c>
      <c r="O68" s="23">
        <v>2480.5080224875869</v>
      </c>
      <c r="P68" s="23">
        <v>2988.6666144691512</v>
      </c>
      <c r="Q68" s="23">
        <v>2819.0777115223441</v>
      </c>
      <c r="R68" s="23">
        <v>2541.9986273983227</v>
      </c>
      <c r="S68" s="23">
        <v>2432.6</v>
      </c>
      <c r="T68" s="23">
        <v>2346.7546579207083</v>
      </c>
      <c r="U68" s="23">
        <v>2318.4990753445086</v>
      </c>
      <c r="V68" s="23">
        <v>2463.7561182569825</v>
      </c>
      <c r="W68" s="23">
        <v>2471.3385073136224</v>
      </c>
      <c r="X68" s="23">
        <v>2508.5039148199585</v>
      </c>
      <c r="Y68" s="23">
        <v>2873.9591759052196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2646.3940589035724</v>
      </c>
      <c r="E69" s="23">
        <v>2975.1220474382371</v>
      </c>
      <c r="F69" s="23">
        <v>2802.0287486178549</v>
      </c>
      <c r="G69" s="23">
        <v>2717.1392586838051</v>
      </c>
      <c r="H69" s="23">
        <v>2581.1528162728432</v>
      </c>
      <c r="I69" s="23">
        <v>2606.8655545118368</v>
      </c>
      <c r="J69" s="23">
        <v>2730.3956960197497</v>
      </c>
      <c r="K69" s="23">
        <v>2867.5189501074783</v>
      </c>
      <c r="L69" s="23">
        <v>2755.9270620702237</v>
      </c>
      <c r="M69" s="23">
        <v>2142.6726523584034</v>
      </c>
      <c r="N69" s="23">
        <v>2215.6751073337423</v>
      </c>
      <c r="O69" s="23">
        <v>2567.7089745168041</v>
      </c>
      <c r="P69" s="23">
        <v>2294.5701534606951</v>
      </c>
      <c r="Q69" s="23">
        <v>2167.3875557525021</v>
      </c>
      <c r="R69" s="23">
        <v>1826.1570136961775</v>
      </c>
      <c r="S69" s="23">
        <v>2486.9</v>
      </c>
      <c r="T69" s="23">
        <v>2346.2562180375426</v>
      </c>
      <c r="U69" s="23">
        <v>2225.1386983236889</v>
      </c>
      <c r="V69" s="23">
        <v>2275.5259372704036</v>
      </c>
      <c r="W69" s="23">
        <v>2032.4171365556272</v>
      </c>
      <c r="X69" s="23">
        <v>1813.6988507135238</v>
      </c>
      <c r="Y69" s="23">
        <v>2121.8061569205879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6772.0657764247326</v>
      </c>
      <c r="E70" s="23">
        <v>7514.1772276739484</v>
      </c>
      <c r="F70" s="23">
        <v>7780.0346137204951</v>
      </c>
      <c r="G70" s="23">
        <v>7638.805513377356</v>
      </c>
      <c r="H70" s="23">
        <v>7606.7552966599333</v>
      </c>
      <c r="I70" s="23">
        <v>8292.4103161674648</v>
      </c>
      <c r="J70" s="23">
        <v>9099.8439574259974</v>
      </c>
      <c r="K70" s="23">
        <v>9716.0312252517251</v>
      </c>
      <c r="L70" s="23">
        <v>9166.3910777616857</v>
      </c>
      <c r="M70" s="23">
        <v>5577.1477768894902</v>
      </c>
      <c r="N70" s="23">
        <v>8188.4692894068166</v>
      </c>
      <c r="O70" s="23">
        <v>9107.4726086421269</v>
      </c>
      <c r="P70" s="23">
        <v>8502.1922956467279</v>
      </c>
      <c r="Q70" s="23">
        <v>6910.6129644436305</v>
      </c>
      <c r="R70" s="23">
        <v>7097.7431643441851</v>
      </c>
      <c r="S70" s="23">
        <v>7700.5</v>
      </c>
      <c r="T70" s="23">
        <v>7944.1348578947891</v>
      </c>
      <c r="U70" s="23">
        <v>8904.0346795521873</v>
      </c>
      <c r="V70" s="23">
        <v>9258.1516396411298</v>
      </c>
      <c r="W70" s="23">
        <v>9041.4265204635758</v>
      </c>
      <c r="X70" s="23">
        <v>8372.7834470543257</v>
      </c>
      <c r="Y70" s="23">
        <v>10523.480991578246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7655.8499965405099</v>
      </c>
      <c r="E71" s="23">
        <v>6068.1000049312097</v>
      </c>
      <c r="F71" s="23">
        <v>5831.9311571559056</v>
      </c>
      <c r="G71" s="23">
        <v>6626.8818343397252</v>
      </c>
      <c r="H71" s="23">
        <v>6897.2847277681221</v>
      </c>
      <c r="I71" s="23">
        <v>6317.2851690229609</v>
      </c>
      <c r="J71" s="23">
        <v>6592.1000535668545</v>
      </c>
      <c r="K71" s="23">
        <v>6794.0943545649961</v>
      </c>
      <c r="L71" s="23">
        <v>6580.9490141519655</v>
      </c>
      <c r="M71" s="23">
        <v>4095.0741036836598</v>
      </c>
      <c r="N71" s="23">
        <v>6997.2837991763772</v>
      </c>
      <c r="O71" s="23">
        <v>7899.7907177151301</v>
      </c>
      <c r="P71" s="23">
        <v>6411.0945818979017</v>
      </c>
      <c r="Q71" s="23">
        <v>6442.0511140867184</v>
      </c>
      <c r="R71" s="23">
        <v>7022.4489998905892</v>
      </c>
      <c r="S71" s="23">
        <v>10101.4</v>
      </c>
      <c r="T71" s="23">
        <v>10742.775113893513</v>
      </c>
      <c r="U71" s="23">
        <v>10954.880789039353</v>
      </c>
      <c r="V71" s="23">
        <v>11055.289381913759</v>
      </c>
      <c r="W71" s="23">
        <v>10900.938390795032</v>
      </c>
      <c r="X71" s="23">
        <v>9385.7053720588538</v>
      </c>
      <c r="Y71" s="23">
        <v>10399.581291335586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1047.0721188219286</v>
      </c>
      <c r="E72" s="23">
        <v>1239.0896987030919</v>
      </c>
      <c r="F72" s="23">
        <v>1243.570020672084</v>
      </c>
      <c r="G72" s="23">
        <v>1263.6981061007336</v>
      </c>
      <c r="H72" s="23">
        <v>1204.608446469676</v>
      </c>
      <c r="I72" s="23">
        <v>1231.3765591372276</v>
      </c>
      <c r="J72" s="23">
        <v>1267.3218902112394</v>
      </c>
      <c r="K72" s="23">
        <v>1243.579590451408</v>
      </c>
      <c r="L72" s="23">
        <v>1197.6143503894355</v>
      </c>
      <c r="M72" s="23">
        <v>1651.6819383801731</v>
      </c>
      <c r="N72" s="23">
        <v>1484.0532725838966</v>
      </c>
      <c r="O72" s="23">
        <v>1466.3096557101253</v>
      </c>
      <c r="P72" s="23">
        <v>1394.9459755715625</v>
      </c>
      <c r="Q72" s="23">
        <v>2231.1597483792029</v>
      </c>
      <c r="R72" s="23">
        <v>2312.0381145625079</v>
      </c>
      <c r="S72" s="23">
        <v>2555.5</v>
      </c>
      <c r="T72" s="23">
        <v>2507.5513642299611</v>
      </c>
      <c r="U72" s="23">
        <v>2682.2963272286179</v>
      </c>
      <c r="V72" s="23">
        <v>2264.867493817068</v>
      </c>
      <c r="W72" s="23">
        <v>2435.2385510080931</v>
      </c>
      <c r="X72" s="23">
        <v>2120.3429744580644</v>
      </c>
      <c r="Y72" s="23">
        <v>2721.6063186943902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2325.3534444982588</v>
      </c>
      <c r="E73" s="23">
        <v>2418.0186399723852</v>
      </c>
      <c r="F73" s="23">
        <v>2452.6465073794529</v>
      </c>
      <c r="G73" s="23">
        <v>2511.5058205915934</v>
      </c>
      <c r="H73" s="23">
        <v>2525.7199229576736</v>
      </c>
      <c r="I73" s="23">
        <v>2552.2883199961952</v>
      </c>
      <c r="J73" s="23">
        <v>2751.589538160561</v>
      </c>
      <c r="K73" s="23">
        <v>2799.977373005996</v>
      </c>
      <c r="L73" s="23">
        <v>2633.4515514705045</v>
      </c>
      <c r="M73" s="23">
        <v>2434.290634032347</v>
      </c>
      <c r="N73" s="23">
        <v>2414.7901515815302</v>
      </c>
      <c r="O73" s="23">
        <v>2581.1481800648367</v>
      </c>
      <c r="P73" s="23">
        <v>2383.6321641089885</v>
      </c>
      <c r="Q73" s="23">
        <v>2100.8217172252357</v>
      </c>
      <c r="R73" s="23">
        <v>2210.982802693482</v>
      </c>
      <c r="S73" s="23">
        <v>2101.4</v>
      </c>
      <c r="T73" s="23">
        <v>2286.941871940825</v>
      </c>
      <c r="U73" s="23">
        <v>1983.4357414146234</v>
      </c>
      <c r="V73" s="23">
        <v>1825.1808313585893</v>
      </c>
      <c r="W73" s="23">
        <v>2002.1431097979651</v>
      </c>
      <c r="X73" s="23">
        <v>2200.0483062616991</v>
      </c>
      <c r="Y73" s="23">
        <v>2113.4319836322979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1260.9838787795079</v>
      </c>
      <c r="E74" s="23">
        <v>1373.3418807633398</v>
      </c>
      <c r="F74" s="23">
        <v>1436.9501466275474</v>
      </c>
      <c r="G74" s="23">
        <v>1417.4229316007245</v>
      </c>
      <c r="H74" s="23">
        <v>1361.6291633391584</v>
      </c>
      <c r="I74" s="23">
        <v>1451.1123530041432</v>
      </c>
      <c r="J74" s="23">
        <v>1575.0983999813811</v>
      </c>
      <c r="K74" s="23">
        <v>1717.2757099218807</v>
      </c>
      <c r="L74" s="23">
        <v>1628.1032261006631</v>
      </c>
      <c r="M74" s="23">
        <v>1443.2076748046811</v>
      </c>
      <c r="N74" s="23">
        <v>1400.8148602471138</v>
      </c>
      <c r="O74" s="23">
        <v>1327.1984898846745</v>
      </c>
      <c r="P74" s="23">
        <v>1320.8581271531516</v>
      </c>
      <c r="Q74" s="23">
        <v>1232.2868400011334</v>
      </c>
      <c r="R74" s="23">
        <v>1208.2873312843758</v>
      </c>
      <c r="S74" s="23">
        <v>1188.0000000000668</v>
      </c>
      <c r="T74" s="23">
        <v>1350.5727074257184</v>
      </c>
      <c r="U74" s="23">
        <v>1250.2734196345609</v>
      </c>
      <c r="V74" s="23">
        <v>1350.8283576683793</v>
      </c>
      <c r="W74" s="23">
        <v>1320.0932148727231</v>
      </c>
      <c r="X74" s="23">
        <v>1235.6339190467547</v>
      </c>
      <c r="Y74" s="23">
        <v>1469.7625731550793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66287.0453654374</v>
      </c>
      <c r="E75" s="30">
        <f t="shared" ref="E75:S75" si="6">SUM(E56:E74)</f>
        <v>64090.808225257642</v>
      </c>
      <c r="F75" s="30">
        <f t="shared" si="6"/>
        <v>63647.661170136045</v>
      </c>
      <c r="G75" s="30">
        <f t="shared" si="6"/>
        <v>63060.371717457107</v>
      </c>
      <c r="H75" s="30">
        <f t="shared" si="6"/>
        <v>63350.519096161996</v>
      </c>
      <c r="I75" s="30">
        <f t="shared" si="6"/>
        <v>64414.691858598599</v>
      </c>
      <c r="J75" s="30">
        <f t="shared" si="6"/>
        <v>67371.381326128991</v>
      </c>
      <c r="K75" s="30">
        <f t="shared" si="6"/>
        <v>69773.843194931498</v>
      </c>
      <c r="L75" s="30">
        <f t="shared" si="6"/>
        <v>63901.768710585959</v>
      </c>
      <c r="M75" s="30">
        <f t="shared" si="6"/>
        <v>53203.984994772705</v>
      </c>
      <c r="N75" s="30">
        <f t="shared" si="6"/>
        <v>60410.715850346132</v>
      </c>
      <c r="O75" s="30">
        <f t="shared" si="6"/>
        <v>61823.628380319235</v>
      </c>
      <c r="P75" s="30">
        <f t="shared" si="6"/>
        <v>58588.416066395235</v>
      </c>
      <c r="Q75" s="30">
        <f t="shared" si="6"/>
        <v>56632.211700559666</v>
      </c>
      <c r="R75" s="30">
        <f t="shared" si="6"/>
        <v>57016.879022071029</v>
      </c>
      <c r="S75" s="30">
        <f t="shared" si="6"/>
        <v>61970.70000000007</v>
      </c>
      <c r="T75" s="30">
        <f t="shared" ref="T75:Y75" si="7">SUM(T56:T74)</f>
        <v>61317.27692323026</v>
      </c>
      <c r="U75" s="30">
        <f t="shared" si="7"/>
        <v>62261.826642009233</v>
      </c>
      <c r="V75" s="30">
        <f t="shared" si="7"/>
        <v>63470.202924345744</v>
      </c>
      <c r="W75" s="30">
        <f t="shared" si="7"/>
        <v>63523.855100809342</v>
      </c>
      <c r="X75" s="30">
        <f t="shared" si="7"/>
        <v>59779.703319042739</v>
      </c>
      <c r="Y75" s="30">
        <f t="shared" si="7"/>
        <v>67728.029690250769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8861426</v>
      </c>
      <c r="E3" s="42">
        <v>8882792</v>
      </c>
      <c r="F3" s="42">
        <v>8909128</v>
      </c>
      <c r="G3" s="42">
        <v>8940788</v>
      </c>
      <c r="H3" s="42">
        <v>8975670</v>
      </c>
      <c r="I3" s="42">
        <v>9011392</v>
      </c>
      <c r="J3" s="42">
        <v>9047752</v>
      </c>
      <c r="K3" s="42">
        <v>9113257</v>
      </c>
      <c r="L3" s="42">
        <v>9182927</v>
      </c>
      <c r="M3" s="42">
        <v>9256347</v>
      </c>
      <c r="N3" s="42">
        <v>9340682</v>
      </c>
      <c r="O3" s="42">
        <v>9415570</v>
      </c>
      <c r="P3" s="42">
        <v>9482855</v>
      </c>
      <c r="Q3" s="42">
        <v>9555893</v>
      </c>
      <c r="R3" s="42">
        <v>9644864</v>
      </c>
      <c r="S3" s="42">
        <v>9747355</v>
      </c>
      <c r="T3" s="42">
        <v>9851017</v>
      </c>
      <c r="U3" s="42">
        <v>9995153</v>
      </c>
      <c r="V3" s="42">
        <v>10120242</v>
      </c>
      <c r="W3" s="42">
        <v>10230185</v>
      </c>
      <c r="X3" s="42">
        <v>10327589</v>
      </c>
      <c r="Y3" s="42">
        <v>10379295</v>
      </c>
    </row>
    <row r="4" spans="1:25" x14ac:dyDescent="0.25">
      <c r="A4" s="43" t="s">
        <v>239</v>
      </c>
      <c r="B4" s="44"/>
      <c r="C4" s="44"/>
      <c r="D4" s="45">
        <v>4260087</v>
      </c>
      <c r="E4" s="45">
        <v>4286383</v>
      </c>
      <c r="F4" s="45">
        <v>4315284</v>
      </c>
      <c r="G4" s="45">
        <v>4346991</v>
      </c>
      <c r="H4" s="45">
        <v>4380512</v>
      </c>
      <c r="I4" s="45">
        <v>4336570</v>
      </c>
      <c r="J4" s="45">
        <v>4306403</v>
      </c>
      <c r="K4" s="45">
        <v>4329338</v>
      </c>
      <c r="L4" s="45">
        <v>4481663</v>
      </c>
      <c r="M4" s="45">
        <v>4605148</v>
      </c>
      <c r="N4" s="45">
        <v>4556430</v>
      </c>
      <c r="O4" s="45">
        <v>4568447</v>
      </c>
      <c r="P4" s="45">
        <v>4598863</v>
      </c>
      <c r="Q4" s="45">
        <v>4691160</v>
      </c>
      <c r="R4" s="45">
        <v>4734838</v>
      </c>
      <c r="S4" s="45">
        <v>4789855</v>
      </c>
      <c r="T4" s="45">
        <v>4833669</v>
      </c>
      <c r="U4" s="45">
        <v>4866189</v>
      </c>
      <c r="V4" s="45">
        <v>4965771</v>
      </c>
      <c r="W4" s="45">
        <v>5058505</v>
      </c>
      <c r="X4" s="45">
        <v>5140662</v>
      </c>
      <c r="Y4" s="45">
        <v>5202654</v>
      </c>
    </row>
    <row r="5" spans="1:25" x14ac:dyDescent="0.25">
      <c r="A5" s="46" t="s">
        <v>240</v>
      </c>
      <c r="B5" s="47"/>
      <c r="C5" s="47"/>
      <c r="D5" s="48">
        <f>D3/D4</f>
        <v>2.0801044673500799</v>
      </c>
      <c r="E5" s="48">
        <f t="shared" ref="E5:S5" si="0">E3/E4</f>
        <v>2.072328114403216</v>
      </c>
      <c r="F5" s="48">
        <f t="shared" si="0"/>
        <v>2.0645519506943226</v>
      </c>
      <c r="G5" s="48">
        <f t="shared" si="0"/>
        <v>2.0567762850210638</v>
      </c>
      <c r="H5" s="48">
        <f t="shared" si="0"/>
        <v>2.0490002081948413</v>
      </c>
      <c r="I5" s="48">
        <f t="shared" si="0"/>
        <v>2.0779998939253836</v>
      </c>
      <c r="J5" s="48">
        <f t="shared" si="0"/>
        <v>2.1009998367547116</v>
      </c>
      <c r="K5" s="48">
        <f t="shared" si="0"/>
        <v>2.1050001178009201</v>
      </c>
      <c r="L5" s="48">
        <f t="shared" si="0"/>
        <v>2.0489998913349798</v>
      </c>
      <c r="M5" s="48">
        <f t="shared" si="0"/>
        <v>2.0099998957688223</v>
      </c>
      <c r="N5" s="48">
        <f t="shared" si="0"/>
        <v>2.0500001097350338</v>
      </c>
      <c r="O5" s="48">
        <f t="shared" si="0"/>
        <v>2.0610001604483976</v>
      </c>
      <c r="P5" s="48">
        <f t="shared" si="0"/>
        <v>2.061999889972804</v>
      </c>
      <c r="Q5" s="48">
        <f t="shared" si="0"/>
        <v>2.0370000170533515</v>
      </c>
      <c r="R5" s="48">
        <f t="shared" si="0"/>
        <v>2.0369997875323294</v>
      </c>
      <c r="S5" s="48">
        <f t="shared" si="0"/>
        <v>2.0350000156580941</v>
      </c>
      <c r="T5" s="48">
        <f t="shared" ref="T5:Y5" si="1">T3/T4</f>
        <v>2.0379999126957182</v>
      </c>
      <c r="U5" s="48">
        <f t="shared" si="1"/>
        <v>2.0540001631667</v>
      </c>
      <c r="V5" s="48">
        <f t="shared" si="1"/>
        <v>2.0380001413677755</v>
      </c>
      <c r="W5" s="48">
        <f t="shared" si="1"/>
        <v>2.0223732110574173</v>
      </c>
      <c r="X5" s="48">
        <f t="shared" si="1"/>
        <v>2.0089998136426788</v>
      </c>
      <c r="Y5" s="48">
        <f t="shared" si="1"/>
        <v>1.9950000518965898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4925.62</v>
      </c>
      <c r="E8" s="42">
        <v>5422.89</v>
      </c>
      <c r="F8" s="42">
        <v>5210.8999999999996</v>
      </c>
      <c r="G8" s="42">
        <v>5224.63</v>
      </c>
      <c r="H8" s="42">
        <v>5281.26</v>
      </c>
      <c r="I8" s="42">
        <v>5085.0600000000004</v>
      </c>
      <c r="J8" s="42">
        <v>4985.68</v>
      </c>
      <c r="K8" s="42">
        <v>5069.6000000000004</v>
      </c>
      <c r="L8" s="42">
        <v>5074.88</v>
      </c>
      <c r="M8" s="42">
        <v>5294.04</v>
      </c>
      <c r="N8" s="42">
        <v>5986.18</v>
      </c>
      <c r="O8" s="42">
        <v>4895.71</v>
      </c>
      <c r="P8" s="42">
        <v>5471.41</v>
      </c>
      <c r="Q8" s="42">
        <v>5155.24</v>
      </c>
      <c r="R8" s="42">
        <v>4850.03</v>
      </c>
      <c r="S8" s="42">
        <v>4875.4799999999996</v>
      </c>
      <c r="T8" s="42">
        <v>5092.4799999999996</v>
      </c>
      <c r="U8" s="42">
        <v>5181.13</v>
      </c>
      <c r="V8" s="42">
        <v>5122.22</v>
      </c>
      <c r="W8" s="42">
        <v>5119.6099999999997</v>
      </c>
      <c r="X8" s="42">
        <v>4592.9399999999996</v>
      </c>
      <c r="Y8" s="42">
        <v>5201.47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5138.9042857142858</v>
      </c>
      <c r="E9" s="45">
        <f t="shared" si="2"/>
        <v>5138.9042857142858</v>
      </c>
      <c r="F9" s="45">
        <f t="shared" si="2"/>
        <v>5138.9042857142858</v>
      </c>
      <c r="G9" s="45">
        <f t="shared" si="2"/>
        <v>5138.9042857142858</v>
      </c>
      <c r="H9" s="45">
        <f t="shared" si="2"/>
        <v>5138.9042857142858</v>
      </c>
      <c r="I9" s="45">
        <f t="shared" si="2"/>
        <v>5138.9042857142858</v>
      </c>
      <c r="J9" s="45">
        <f t="shared" si="2"/>
        <v>5138.9042857142858</v>
      </c>
      <c r="K9" s="45">
        <f t="shared" si="2"/>
        <v>5138.9042857142858</v>
      </c>
      <c r="L9" s="45">
        <f t="shared" si="2"/>
        <v>5138.9042857142858</v>
      </c>
      <c r="M9" s="45">
        <f t="shared" si="2"/>
        <v>5138.9042857142858</v>
      </c>
      <c r="N9" s="45">
        <f t="shared" si="2"/>
        <v>5138.9042857142858</v>
      </c>
      <c r="O9" s="45">
        <f t="shared" si="2"/>
        <v>5138.9042857142858</v>
      </c>
      <c r="P9" s="45">
        <f t="shared" si="2"/>
        <v>5138.9042857142858</v>
      </c>
      <c r="Q9" s="45">
        <f t="shared" si="2"/>
        <v>5138.9042857142858</v>
      </c>
      <c r="R9" s="45">
        <f t="shared" si="2"/>
        <v>5138.9042857142858</v>
      </c>
      <c r="S9" s="45">
        <f t="shared" si="2"/>
        <v>5138.9042857142858</v>
      </c>
      <c r="T9" s="45">
        <f t="shared" si="2"/>
        <v>5138.9042857142858</v>
      </c>
      <c r="U9" s="45">
        <f t="shared" si="2"/>
        <v>5138.9042857142858</v>
      </c>
      <c r="V9" s="45">
        <f t="shared" si="2"/>
        <v>5138.9042857142858</v>
      </c>
      <c r="W9" s="45">
        <f t="shared" si="2"/>
        <v>5138.9042857142858</v>
      </c>
      <c r="X9" s="45">
        <f>AVERAGE($D8:$X8)</f>
        <v>5138.9042857142858</v>
      </c>
      <c r="Y9" s="45">
        <f t="shared" ref="Y9" si="3">AVERAGE($D8:$X8)</f>
        <v>5138.9042857142858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0.95849615523931864</v>
      </c>
      <c r="E10" s="53">
        <f t="shared" si="4"/>
        <v>1.0552619193696933</v>
      </c>
      <c r="F10" s="53">
        <f t="shared" si="4"/>
        <v>1.0140099348582645</v>
      </c>
      <c r="G10" s="53">
        <f t="shared" si="4"/>
        <v>1.0166817106370369</v>
      </c>
      <c r="H10" s="53">
        <f t="shared" si="4"/>
        <v>1.0277015695118998</v>
      </c>
      <c r="I10" s="53">
        <f t="shared" si="4"/>
        <v>0.98952222444306503</v>
      </c>
      <c r="J10" s="53">
        <f t="shared" si="4"/>
        <v>0.97018347157384577</v>
      </c>
      <c r="K10" s="53">
        <f t="shared" si="4"/>
        <v>0.98651380102428732</v>
      </c>
      <c r="L10" s="53">
        <f t="shared" si="4"/>
        <v>0.9875412574053446</v>
      </c>
      <c r="M10" s="53">
        <f t="shared" si="4"/>
        <v>1.0301884809796864</v>
      </c>
      <c r="N10" s="53">
        <f t="shared" si="4"/>
        <v>1.164874780143516</v>
      </c>
      <c r="O10" s="53">
        <f t="shared" si="4"/>
        <v>0.95267584835344277</v>
      </c>
      <c r="P10" s="53">
        <f t="shared" si="4"/>
        <v>1.0647036208107732</v>
      </c>
      <c r="Q10" s="53">
        <f t="shared" si="4"/>
        <v>1.0031788321746187</v>
      </c>
      <c r="R10" s="53">
        <f t="shared" si="4"/>
        <v>0.94378679390520426</v>
      </c>
      <c r="S10" s="53">
        <f t="shared" si="4"/>
        <v>0.94873921149950524</v>
      </c>
      <c r="T10" s="53">
        <f t="shared" ref="T10:Y10" si="5">IF(T8=0,0,T8/T9)</f>
        <v>0.99096611200886897</v>
      </c>
      <c r="U10" s="53">
        <f t="shared" si="5"/>
        <v>1.0082168711340078</v>
      </c>
      <c r="V10" s="53">
        <f t="shared" si="5"/>
        <v>0.99675333791277909</v>
      </c>
      <c r="W10" s="53">
        <f t="shared" si="5"/>
        <v>0.99624544754259725</v>
      </c>
      <c r="X10" s="53">
        <f t="shared" si="5"/>
        <v>0.89375861947224422</v>
      </c>
      <c r="Y10" s="53">
        <f t="shared" si="5"/>
        <v>1.0121749133292173</v>
      </c>
    </row>
    <row r="11" spans="1:25" x14ac:dyDescent="0.25">
      <c r="A11" s="43" t="s">
        <v>251</v>
      </c>
      <c r="B11" s="44"/>
      <c r="C11" s="44"/>
      <c r="D11" s="45">
        <v>0.1</v>
      </c>
      <c r="E11" s="45">
        <v>0.24</v>
      </c>
      <c r="F11" s="45">
        <v>0.13</v>
      </c>
      <c r="G11" s="45">
        <v>0.25</v>
      </c>
      <c r="H11" s="45">
        <v>0.03</v>
      </c>
      <c r="I11" s="45">
        <v>7.0000000000000007E-2</v>
      </c>
      <c r="J11" s="45">
        <v>0.1</v>
      </c>
      <c r="K11" s="45">
        <v>0.01</v>
      </c>
      <c r="L11" s="45">
        <v>0.02</v>
      </c>
      <c r="M11" s="45">
        <v>0.03</v>
      </c>
      <c r="N11" s="45">
        <v>1.45</v>
      </c>
      <c r="O11" s="45">
        <v>0.02</v>
      </c>
      <c r="P11" s="45">
        <v>0.01</v>
      </c>
      <c r="Q11" s="45">
        <v>0.03</v>
      </c>
      <c r="R11" s="45">
        <v>1.35</v>
      </c>
      <c r="S11" s="45">
        <v>0.13</v>
      </c>
      <c r="T11" s="45">
        <v>0.03</v>
      </c>
      <c r="U11" s="45">
        <v>0</v>
      </c>
      <c r="V11" s="45">
        <v>4.9000000000000004</v>
      </c>
      <c r="W11" s="45">
        <v>0.98</v>
      </c>
      <c r="X11" s="45">
        <v>0.08</v>
      </c>
      <c r="Y11" s="45">
        <v>0.99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0.47428571428571431</v>
      </c>
      <c r="E12" s="45">
        <f t="shared" ref="E12" si="7">AVERAGE($D11:$X11)</f>
        <v>0.47428571428571431</v>
      </c>
      <c r="F12" s="45">
        <f t="shared" ref="F12" si="8">AVERAGE($D11:$X11)</f>
        <v>0.47428571428571431</v>
      </c>
      <c r="G12" s="45">
        <f t="shared" ref="G12" si="9">AVERAGE($D11:$X11)</f>
        <v>0.47428571428571431</v>
      </c>
      <c r="H12" s="45">
        <f t="shared" ref="H12" si="10">AVERAGE($D11:$X11)</f>
        <v>0.47428571428571431</v>
      </c>
      <c r="I12" s="45">
        <f t="shared" ref="I12" si="11">AVERAGE($D11:$X11)</f>
        <v>0.47428571428571431</v>
      </c>
      <c r="J12" s="45">
        <f t="shared" ref="J12" si="12">AVERAGE($D11:$X11)</f>
        <v>0.47428571428571431</v>
      </c>
      <c r="K12" s="45">
        <f t="shared" ref="K12" si="13">AVERAGE($D11:$X11)</f>
        <v>0.47428571428571431</v>
      </c>
      <c r="L12" s="45">
        <f t="shared" ref="L12" si="14">AVERAGE($D11:$X11)</f>
        <v>0.47428571428571431</v>
      </c>
      <c r="M12" s="45">
        <f t="shared" ref="M12" si="15">AVERAGE($D11:$X11)</f>
        <v>0.47428571428571431</v>
      </c>
      <c r="N12" s="45">
        <f t="shared" ref="N12" si="16">AVERAGE($D11:$X11)</f>
        <v>0.47428571428571431</v>
      </c>
      <c r="O12" s="45">
        <f t="shared" ref="O12" si="17">AVERAGE($D11:$X11)</f>
        <v>0.47428571428571431</v>
      </c>
      <c r="P12" s="45">
        <f t="shared" ref="P12" si="18">AVERAGE($D11:$X11)</f>
        <v>0.47428571428571431</v>
      </c>
      <c r="Q12" s="45">
        <f t="shared" ref="Q12" si="19">AVERAGE($D11:$X11)</f>
        <v>0.47428571428571431</v>
      </c>
      <c r="R12" s="45">
        <f t="shared" ref="R12" si="20">AVERAGE($D11:$X11)</f>
        <v>0.47428571428571431</v>
      </c>
      <c r="S12" s="45">
        <f t="shared" ref="S12" si="21">AVERAGE($D11:$X11)</f>
        <v>0.47428571428571431</v>
      </c>
      <c r="T12" s="45">
        <f t="shared" ref="T12" si="22">AVERAGE($D11:$X11)</f>
        <v>0.47428571428571431</v>
      </c>
      <c r="U12" s="45">
        <f t="shared" ref="U12" si="23">AVERAGE($D11:$X11)</f>
        <v>0.47428571428571431</v>
      </c>
      <c r="V12" s="45">
        <f t="shared" ref="V12" si="24">AVERAGE($D11:$X11)</f>
        <v>0.47428571428571431</v>
      </c>
      <c r="W12" s="45">
        <f t="shared" ref="W12" si="25">AVERAGE($D11:$X11)</f>
        <v>0.47428571428571431</v>
      </c>
      <c r="X12" s="45">
        <f>AVERAGE($D11:$X11)</f>
        <v>0.47428571428571431</v>
      </c>
      <c r="Y12" s="45">
        <f t="shared" ref="Y12" si="26">AVERAGE($D11:$X11)</f>
        <v>0.47428571428571431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0.21084337349397592</v>
      </c>
      <c r="E13" s="55">
        <f t="shared" si="27"/>
        <v>0.50602409638554213</v>
      </c>
      <c r="F13" s="55">
        <f t="shared" ref="F13" si="28">IF(F11=0,0,F11/F12)</f>
        <v>0.2740963855421687</v>
      </c>
      <c r="G13" s="55">
        <f t="shared" ref="G13" si="29">IF(G11=0,0,G11/G12)</f>
        <v>0.52710843373493976</v>
      </c>
      <c r="H13" s="55">
        <f t="shared" ref="H13" si="30">IF(H11=0,0,H11/H12)</f>
        <v>6.3253012048192767E-2</v>
      </c>
      <c r="I13" s="55">
        <f t="shared" ref="I13" si="31">IF(I11=0,0,I11/I12)</f>
        <v>0.14759036144578314</v>
      </c>
      <c r="J13" s="55">
        <f t="shared" ref="J13" si="32">IF(J11=0,0,J11/J12)</f>
        <v>0.21084337349397592</v>
      </c>
      <c r="K13" s="55">
        <f t="shared" ref="K13" si="33">IF(K11=0,0,K11/K12)</f>
        <v>2.1084337349397589E-2</v>
      </c>
      <c r="L13" s="55">
        <f t="shared" ref="L13" si="34">IF(L11=0,0,L11/L12)</f>
        <v>4.2168674698795178E-2</v>
      </c>
      <c r="M13" s="55">
        <f t="shared" ref="M13" si="35">IF(M11=0,0,M11/M12)</f>
        <v>6.3253012048192767E-2</v>
      </c>
      <c r="N13" s="55">
        <f t="shared" ref="N13" si="36">IF(N11=0,0,N11/N12)</f>
        <v>3.0572289156626504</v>
      </c>
      <c r="O13" s="55">
        <f t="shared" ref="O13" si="37">IF(O11=0,0,O11/O12)</f>
        <v>4.2168674698795178E-2</v>
      </c>
      <c r="P13" s="55">
        <f t="shared" ref="P13" si="38">IF(P11=0,0,P11/P12)</f>
        <v>2.1084337349397589E-2</v>
      </c>
      <c r="Q13" s="55">
        <f t="shared" ref="Q13" si="39">IF(Q11=0,0,Q11/Q12)</f>
        <v>6.3253012048192767E-2</v>
      </c>
      <c r="R13" s="55">
        <f t="shared" ref="R13" si="40">IF(R11=0,0,R11/R12)</f>
        <v>2.8463855421686746</v>
      </c>
      <c r="S13" s="55">
        <f t="shared" ref="S13:Y13" si="41">IF(S11=0,0,S11/S12)</f>
        <v>0.2740963855421687</v>
      </c>
      <c r="T13" s="55">
        <f t="shared" si="41"/>
        <v>6.3253012048192767E-2</v>
      </c>
      <c r="U13" s="55">
        <f t="shared" si="41"/>
        <v>0</v>
      </c>
      <c r="V13" s="55">
        <f t="shared" si="41"/>
        <v>10.331325301204819</v>
      </c>
      <c r="W13" s="55">
        <f t="shared" si="41"/>
        <v>2.0662650602409638</v>
      </c>
      <c r="X13" s="55">
        <f t="shared" si="41"/>
        <v>0.16867469879518071</v>
      </c>
      <c r="Y13" s="55">
        <f t="shared" si="41"/>
        <v>2.0873493975903612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328968.96631287492</v>
      </c>
      <c r="E16" s="42">
        <v>333733.65408339503</v>
      </c>
      <c r="F16" s="42">
        <v>341066.03013504244</v>
      </c>
      <c r="G16" s="42">
        <v>348943.64953188482</v>
      </c>
      <c r="H16" s="42">
        <v>364080.47326165548</v>
      </c>
      <c r="I16" s="42">
        <v>374486.84803491377</v>
      </c>
      <c r="J16" s="42">
        <v>391946.7360739932</v>
      </c>
      <c r="K16" s="42">
        <v>405427.34511775005</v>
      </c>
      <c r="L16" s="42">
        <v>403599.60877526185</v>
      </c>
      <c r="M16" s="42">
        <v>386086.70576974994</v>
      </c>
      <c r="N16" s="42">
        <v>409064.82674294198</v>
      </c>
      <c r="O16" s="42">
        <v>422135.91141013708</v>
      </c>
      <c r="P16" s="42">
        <v>419654.83927630424</v>
      </c>
      <c r="Q16" s="42">
        <v>424640.03921078681</v>
      </c>
      <c r="R16" s="42">
        <v>435926.27176731202</v>
      </c>
      <c r="S16" s="42">
        <v>455494.7</v>
      </c>
      <c r="T16" s="42">
        <v>464927.50877472881</v>
      </c>
      <c r="U16" s="42">
        <v>476863.89239343157</v>
      </c>
      <c r="V16" s="42">
        <v>486162.22860330122</v>
      </c>
      <c r="W16" s="42">
        <v>495819.73008380295</v>
      </c>
      <c r="X16" s="42">
        <v>485057.73578811367</v>
      </c>
      <c r="Y16" s="42">
        <v>514876.88293881278</v>
      </c>
    </row>
    <row r="17" spans="1:25" x14ac:dyDescent="0.25">
      <c r="A17" s="46" t="s">
        <v>141</v>
      </c>
      <c r="B17" s="47"/>
      <c r="C17" s="47"/>
      <c r="D17" s="57">
        <v>148967.88663024001</v>
      </c>
      <c r="E17" s="57">
        <v>150226.14607431187</v>
      </c>
      <c r="F17" s="57">
        <v>153627.18058332757</v>
      </c>
      <c r="G17" s="57">
        <v>156147.75725593668</v>
      </c>
      <c r="H17" s="57">
        <v>160640.2217527859</v>
      </c>
      <c r="I17" s="57">
        <v>165703.10826503119</v>
      </c>
      <c r="J17" s="57">
        <v>170662.67883847066</v>
      </c>
      <c r="K17" s="57">
        <v>177469.20443412114</v>
      </c>
      <c r="L17" s="57">
        <v>178212.33585002169</v>
      </c>
      <c r="M17" s="57">
        <v>180061.48108043073</v>
      </c>
      <c r="N17" s="57">
        <v>187568.6898230183</v>
      </c>
      <c r="O17" s="57">
        <v>191300.87136846723</v>
      </c>
      <c r="P17" s="57">
        <v>192700.51227158037</v>
      </c>
      <c r="Q17" s="57">
        <v>196156.18364554332</v>
      </c>
      <c r="R17" s="57">
        <v>201803.78596618763</v>
      </c>
      <c r="S17" s="57">
        <v>209725.2</v>
      </c>
      <c r="T17" s="57">
        <v>214551.31099671876</v>
      </c>
      <c r="U17" s="57">
        <v>220143.64674136566</v>
      </c>
      <c r="V17" s="57">
        <v>224214.93203235761</v>
      </c>
      <c r="W17" s="57">
        <v>225830.56705974098</v>
      </c>
      <c r="X17" s="57">
        <v>218676.16475773661</v>
      </c>
      <c r="Y17" s="57">
        <v>232507.42248176329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37123.705181634978</v>
      </c>
      <c r="E20" s="42">
        <f t="shared" ref="E20:S20" si="42">1000000*E16/E$3</f>
        <v>37570.805900148851</v>
      </c>
      <c r="F20" s="42">
        <f t="shared" si="42"/>
        <v>38282.762368555312</v>
      </c>
      <c r="G20" s="42">
        <f t="shared" si="42"/>
        <v>39028.288058265651</v>
      </c>
      <c r="H20" s="42">
        <f t="shared" si="42"/>
        <v>40563.04133971675</v>
      </c>
      <c r="I20" s="42">
        <f t="shared" si="42"/>
        <v>41557.047794049329</v>
      </c>
      <c r="J20" s="42">
        <f t="shared" si="42"/>
        <v>43319.79215102196</v>
      </c>
      <c r="K20" s="42">
        <f t="shared" si="42"/>
        <v>44487.645319093936</v>
      </c>
      <c r="L20" s="42">
        <f t="shared" si="42"/>
        <v>43951.08539741869</v>
      </c>
      <c r="M20" s="42">
        <f t="shared" si="42"/>
        <v>41710.48317114191</v>
      </c>
      <c r="N20" s="42">
        <f t="shared" si="42"/>
        <v>43793.89285953017</v>
      </c>
      <c r="O20" s="42">
        <f t="shared" si="42"/>
        <v>44833.813716019009</v>
      </c>
      <c r="P20" s="42">
        <f t="shared" si="42"/>
        <v>44254.060541504034</v>
      </c>
      <c r="Q20" s="42">
        <f t="shared" si="42"/>
        <v>44437.504606925468</v>
      </c>
      <c r="R20" s="42">
        <f t="shared" si="42"/>
        <v>45197.762432659707</v>
      </c>
      <c r="S20" s="42">
        <f t="shared" si="42"/>
        <v>46730.082160750273</v>
      </c>
      <c r="T20" s="42">
        <f t="shared" ref="T20:Y20" si="43">1000000*T16/T$3</f>
        <v>47195.889396468287</v>
      </c>
      <c r="U20" s="42">
        <f t="shared" si="43"/>
        <v>47709.514040798735</v>
      </c>
      <c r="V20" s="42">
        <f t="shared" si="43"/>
        <v>48038.597160354584</v>
      </c>
      <c r="W20" s="42">
        <f t="shared" si="43"/>
        <v>48466.350323459737</v>
      </c>
      <c r="X20" s="42">
        <f t="shared" si="43"/>
        <v>46967.180412399604</v>
      </c>
      <c r="Y20" s="42">
        <f t="shared" si="43"/>
        <v>49606.151760674766</v>
      </c>
    </row>
    <row r="21" spans="1:25" x14ac:dyDescent="0.25">
      <c r="A21" s="46" t="s">
        <v>141</v>
      </c>
      <c r="B21" s="47"/>
      <c r="C21" s="47"/>
      <c r="D21" s="57">
        <f>1000000*D17/D$3</f>
        <v>16810.825552257618</v>
      </c>
      <c r="E21" s="57">
        <f t="shared" ref="E21:S21" si="44">1000000*E17/E$3</f>
        <v>16912.041402558098</v>
      </c>
      <c r="F21" s="57">
        <f t="shared" si="44"/>
        <v>17243.795417837478</v>
      </c>
      <c r="G21" s="57">
        <f t="shared" si="44"/>
        <v>17464.65269682456</v>
      </c>
      <c r="H21" s="57">
        <f t="shared" si="44"/>
        <v>17897.295884628766</v>
      </c>
      <c r="I21" s="57">
        <f t="shared" si="44"/>
        <v>18388.181122853293</v>
      </c>
      <c r="J21" s="57">
        <f t="shared" si="44"/>
        <v>18862.43995618698</v>
      </c>
      <c r="K21" s="57">
        <f t="shared" si="44"/>
        <v>19473.740775018323</v>
      </c>
      <c r="L21" s="57">
        <f t="shared" si="44"/>
        <v>19406.920674641289</v>
      </c>
      <c r="M21" s="57">
        <f t="shared" si="44"/>
        <v>19452.758316043113</v>
      </c>
      <c r="N21" s="57">
        <f t="shared" si="44"/>
        <v>20080.834549663323</v>
      </c>
      <c r="O21" s="57">
        <f t="shared" si="44"/>
        <v>20317.502962483122</v>
      </c>
      <c r="P21" s="57">
        <f t="shared" si="44"/>
        <v>20320.938395829144</v>
      </c>
      <c r="Q21" s="57">
        <f t="shared" si="44"/>
        <v>20527.247808817381</v>
      </c>
      <c r="R21" s="57">
        <f t="shared" si="44"/>
        <v>20923.445469649716</v>
      </c>
      <c r="S21" s="57">
        <f t="shared" si="44"/>
        <v>21516.113858580098</v>
      </c>
      <c r="T21" s="57">
        <f t="shared" ref="T21:Y21" si="45">1000000*T17/T$3</f>
        <v>21779.61026731745</v>
      </c>
      <c r="U21" s="57">
        <f t="shared" si="45"/>
        <v>22025.0402111269</v>
      </c>
      <c r="V21" s="57">
        <f t="shared" si="45"/>
        <v>22155.095899125496</v>
      </c>
      <c r="W21" s="57">
        <f t="shared" si="45"/>
        <v>22074.925043852185</v>
      </c>
      <c r="X21" s="57">
        <f t="shared" si="45"/>
        <v>21173.980176567504</v>
      </c>
      <c r="Y21" s="57">
        <f t="shared" si="45"/>
        <v>22401.080466617754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292290.87386701722</v>
      </c>
      <c r="E23" s="60">
        <v>296298.63405493367</v>
      </c>
      <c r="F23" s="60">
        <v>302326.21027835202</v>
      </c>
      <c r="G23" s="60">
        <v>309381.2163800511</v>
      </c>
      <c r="H23" s="60">
        <v>323734.79118710954</v>
      </c>
      <c r="I23" s="60">
        <v>332374.16915375559</v>
      </c>
      <c r="J23" s="60">
        <v>348298.43724526634</v>
      </c>
      <c r="K23" s="60">
        <v>360140.96617264394</v>
      </c>
      <c r="L23" s="60">
        <v>358356.15969711822</v>
      </c>
      <c r="M23" s="60">
        <v>341387.12256318796</v>
      </c>
      <c r="N23" s="60">
        <v>362089.50319810741</v>
      </c>
      <c r="O23" s="60">
        <v>375290.53305429028</v>
      </c>
      <c r="P23" s="60">
        <v>373374.56937049795</v>
      </c>
      <c r="Q23" s="60">
        <v>377740.90379261511</v>
      </c>
      <c r="R23" s="60">
        <v>388080.54585782631</v>
      </c>
      <c r="S23" s="60">
        <v>404986.7</v>
      </c>
      <c r="T23" s="60">
        <v>411728.39013886533</v>
      </c>
      <c r="U23" s="60">
        <v>423148.70051104616</v>
      </c>
      <c r="V23" s="60">
        <v>431633.53580926562</v>
      </c>
      <c r="W23" s="60">
        <v>440598.8223299557</v>
      </c>
      <c r="X23" s="60">
        <v>429281.54499527003</v>
      </c>
      <c r="Y23" s="60">
        <v>457014.51206166437</v>
      </c>
    </row>
    <row r="24" spans="1:25" x14ac:dyDescent="0.25">
      <c r="A24" s="61" t="s">
        <v>33</v>
      </c>
      <c r="B24" s="62"/>
      <c r="C24" s="62"/>
      <c r="D24" s="63">
        <v>6388.6390368781567</v>
      </c>
      <c r="E24" s="63">
        <v>6486.3898614330092</v>
      </c>
      <c r="F24" s="63">
        <v>6475.650209124562</v>
      </c>
      <c r="G24" s="63">
        <v>6482.3381239921373</v>
      </c>
      <c r="H24" s="63">
        <v>6658.2890966317473</v>
      </c>
      <c r="I24" s="63">
        <v>4707.5540124374265</v>
      </c>
      <c r="J24" s="63">
        <v>5350.8628921443051</v>
      </c>
      <c r="K24" s="63">
        <v>6409.8879963796808</v>
      </c>
      <c r="L24" s="63">
        <v>6343.5244209782077</v>
      </c>
      <c r="M24" s="63">
        <v>5559.6826763421677</v>
      </c>
      <c r="N24" s="63">
        <v>6768.9257863839475</v>
      </c>
      <c r="O24" s="63">
        <v>7075.0748902293899</v>
      </c>
      <c r="P24" s="63">
        <v>6511.6074224866898</v>
      </c>
      <c r="Q24" s="63">
        <v>6242.257265887657</v>
      </c>
      <c r="R24" s="63">
        <v>6299.7443778036386</v>
      </c>
      <c r="S24" s="63">
        <v>6602.7</v>
      </c>
      <c r="T24" s="63">
        <v>6501.5501480366447</v>
      </c>
      <c r="U24" s="63">
        <v>6889.5782377855994</v>
      </c>
      <c r="V24" s="63">
        <v>6783.6335978972857</v>
      </c>
      <c r="W24" s="63">
        <v>6906.4314100830197</v>
      </c>
      <c r="X24" s="63">
        <v>6429.0602419338611</v>
      </c>
      <c r="Y24" s="63">
        <v>6628.1581576818771</v>
      </c>
    </row>
    <row r="25" spans="1:25" x14ac:dyDescent="0.25">
      <c r="A25" s="64" t="s">
        <v>56</v>
      </c>
      <c r="B25" s="65"/>
      <c r="C25" s="65"/>
      <c r="D25" s="66">
        <v>604.60342720081167</v>
      </c>
      <c r="E25" s="66">
        <v>590.88219340204148</v>
      </c>
      <c r="F25" s="66">
        <v>596.96649199557714</v>
      </c>
      <c r="G25" s="66">
        <v>684.93473168779508</v>
      </c>
      <c r="H25" s="66">
        <v>917.69624653544417</v>
      </c>
      <c r="I25" s="66">
        <v>1417.2245276512767</v>
      </c>
      <c r="J25" s="66">
        <v>1947.3880336306684</v>
      </c>
      <c r="K25" s="66">
        <v>1991.6280122185767</v>
      </c>
      <c r="L25" s="66">
        <v>2356.1140824029831</v>
      </c>
      <c r="M25" s="66">
        <v>1280.7330422483242</v>
      </c>
      <c r="N25" s="66">
        <v>3033.0544116358537</v>
      </c>
      <c r="O25" s="66">
        <v>3247.2608642127293</v>
      </c>
      <c r="P25" s="66">
        <v>2664.2264328217975</v>
      </c>
      <c r="Q25" s="66">
        <v>2099.0877301145392</v>
      </c>
      <c r="R25" s="66">
        <v>1878.2760918648485</v>
      </c>
      <c r="S25" s="66">
        <v>1640</v>
      </c>
      <c r="T25" s="66">
        <v>1719.3185329917358</v>
      </c>
      <c r="U25" s="66">
        <v>2634.9698741275429</v>
      </c>
      <c r="V25" s="66">
        <v>2802.5497480261183</v>
      </c>
      <c r="W25" s="66">
        <v>3473.294355090406</v>
      </c>
      <c r="X25" s="66">
        <v>2955.8400257633398</v>
      </c>
      <c r="Y25" s="66">
        <v>5000.8088690108007</v>
      </c>
    </row>
    <row r="26" spans="1:25" x14ac:dyDescent="0.25">
      <c r="A26" s="67" t="s">
        <v>146</v>
      </c>
      <c r="B26" s="44"/>
      <c r="C26" s="44"/>
      <c r="D26" s="45">
        <v>202176.24945224752</v>
      </c>
      <c r="E26" s="45">
        <v>206220.96750332857</v>
      </c>
      <c r="F26" s="45">
        <v>212004.59112542664</v>
      </c>
      <c r="G26" s="45">
        <v>218543.26306249044</v>
      </c>
      <c r="H26" s="45">
        <v>229386.71489641565</v>
      </c>
      <c r="I26" s="45">
        <v>237800.38287297418</v>
      </c>
      <c r="J26" s="45">
        <v>247534.06153201207</v>
      </c>
      <c r="K26" s="45">
        <v>254500.96164724507</v>
      </c>
      <c r="L26" s="45">
        <v>256881.32191444954</v>
      </c>
      <c r="M26" s="45">
        <v>252675.11223172001</v>
      </c>
      <c r="N26" s="45">
        <v>261312.86690615962</v>
      </c>
      <c r="O26" s="45">
        <v>271589.72465017025</v>
      </c>
      <c r="P26" s="45">
        <v>273711.53695584089</v>
      </c>
      <c r="Q26" s="45">
        <v>281265.52159295609</v>
      </c>
      <c r="R26" s="45">
        <v>290333.9997413939</v>
      </c>
      <c r="S26" s="45">
        <v>301419.50000000006</v>
      </c>
      <c r="T26" s="45">
        <v>308318.56289812888</v>
      </c>
      <c r="U26" s="45">
        <v>314519.57684583112</v>
      </c>
      <c r="V26" s="45">
        <v>321803.55350435129</v>
      </c>
      <c r="W26" s="45">
        <v>329054.74293085863</v>
      </c>
      <c r="X26" s="45">
        <v>322624.64021898835</v>
      </c>
      <c r="Y26" s="45">
        <v>338477.89884379308</v>
      </c>
    </row>
    <row r="27" spans="1:25" x14ac:dyDescent="0.25">
      <c r="A27" s="68" t="s">
        <v>148</v>
      </c>
      <c r="B27" s="69"/>
      <c r="C27" s="69"/>
      <c r="D27" s="70">
        <v>83470.905694319503</v>
      </c>
      <c r="E27" s="70">
        <v>85034.395187139409</v>
      </c>
      <c r="F27" s="70">
        <v>88513.052257103031</v>
      </c>
      <c r="G27" s="70">
        <v>91837.517803123934</v>
      </c>
      <c r="H27" s="70">
        <v>94290.881758819931</v>
      </c>
      <c r="I27" s="70">
        <v>97231.661930298098</v>
      </c>
      <c r="J27" s="70">
        <v>100410.13578032932</v>
      </c>
      <c r="K27" s="70">
        <v>102679.26235999547</v>
      </c>
      <c r="L27" s="70">
        <v>103763.21401284054</v>
      </c>
      <c r="M27" s="70">
        <v>101697.31258840171</v>
      </c>
      <c r="N27" s="70">
        <v>104473.07894506265</v>
      </c>
      <c r="O27" s="70">
        <v>107786.9424268538</v>
      </c>
      <c r="P27" s="70">
        <v>109990.80018791105</v>
      </c>
      <c r="Q27" s="70">
        <v>112372.86502836994</v>
      </c>
      <c r="R27" s="70">
        <v>114766.80691075105</v>
      </c>
      <c r="S27" s="70">
        <v>118102.90000000001</v>
      </c>
      <c r="T27" s="70">
        <v>123045.56737411901</v>
      </c>
      <c r="U27" s="70">
        <v>125752.15255821354</v>
      </c>
      <c r="V27" s="70">
        <v>127925.94968800769</v>
      </c>
      <c r="W27" s="70">
        <v>128888.70393874451</v>
      </c>
      <c r="X27" s="70">
        <v>122417.52712195319</v>
      </c>
      <c r="Y27" s="70">
        <v>127561.2123519056</v>
      </c>
    </row>
    <row r="28" spans="1:25" x14ac:dyDescent="0.25">
      <c r="A28" s="68" t="s">
        <v>150</v>
      </c>
      <c r="B28" s="71"/>
      <c r="C28" s="71"/>
      <c r="D28" s="70">
        <v>87134.389630757156</v>
      </c>
      <c r="E28" s="70">
        <v>89008.087183786178</v>
      </c>
      <c r="F28" s="70">
        <v>89803.495024277683</v>
      </c>
      <c r="G28" s="70">
        <v>91848.817637157612</v>
      </c>
      <c r="H28" s="70">
        <v>97957.673697561913</v>
      </c>
      <c r="I28" s="70">
        <v>101868.46767577081</v>
      </c>
      <c r="J28" s="70">
        <v>106641.94051750241</v>
      </c>
      <c r="K28" s="70">
        <v>109795.90451408533</v>
      </c>
      <c r="L28" s="70">
        <v>111236.72896876532</v>
      </c>
      <c r="M28" s="70">
        <v>109777.01248385708</v>
      </c>
      <c r="N28" s="70">
        <v>113816.80977832296</v>
      </c>
      <c r="O28" s="70">
        <v>119855.34900898683</v>
      </c>
      <c r="P28" s="70">
        <v>120544.45270905105</v>
      </c>
      <c r="Q28" s="70">
        <v>124940.22561098961</v>
      </c>
      <c r="R28" s="70">
        <v>129601.05033867455</v>
      </c>
      <c r="S28" s="70">
        <v>135524</v>
      </c>
      <c r="T28" s="70">
        <v>136155.93193304955</v>
      </c>
      <c r="U28" s="70">
        <v>138904.03467955219</v>
      </c>
      <c r="V28" s="70">
        <v>144776.84530769789</v>
      </c>
      <c r="W28" s="70">
        <v>149756.35130355172</v>
      </c>
      <c r="X28" s="70">
        <v>149528.007567981</v>
      </c>
      <c r="Y28" s="70">
        <v>155307.32264357421</v>
      </c>
    </row>
    <row r="29" spans="1:25" x14ac:dyDescent="0.25">
      <c r="A29" s="68" t="s">
        <v>152</v>
      </c>
      <c r="B29" s="71"/>
      <c r="C29" s="71"/>
      <c r="D29" s="70">
        <v>31570.954127170844</v>
      </c>
      <c r="E29" s="70">
        <v>32178.485132402966</v>
      </c>
      <c r="F29" s="70">
        <v>33688.043844045947</v>
      </c>
      <c r="G29" s="70">
        <v>34856.927622208925</v>
      </c>
      <c r="H29" s="70">
        <v>37138.159440033851</v>
      </c>
      <c r="I29" s="70">
        <v>38700.253266905296</v>
      </c>
      <c r="J29" s="70">
        <v>40481.985234180334</v>
      </c>
      <c r="K29" s="70">
        <v>42025.794773164329</v>
      </c>
      <c r="L29" s="70">
        <v>41881.378932843669</v>
      </c>
      <c r="M29" s="70">
        <v>41200.787159461222</v>
      </c>
      <c r="N29" s="70">
        <v>43022.978182774052</v>
      </c>
      <c r="O29" s="70">
        <v>43947.433214329663</v>
      </c>
      <c r="P29" s="70">
        <v>43176.284058878809</v>
      </c>
      <c r="Q29" s="70">
        <v>43952.430953596544</v>
      </c>
      <c r="R29" s="70">
        <v>45966.142491968276</v>
      </c>
      <c r="S29" s="70">
        <v>47792.600000000057</v>
      </c>
      <c r="T29" s="70">
        <v>49117.063590960257</v>
      </c>
      <c r="U29" s="70">
        <v>49863.38960806543</v>
      </c>
      <c r="V29" s="70">
        <v>49100.758508645755</v>
      </c>
      <c r="W29" s="70">
        <v>50409.687688562415</v>
      </c>
      <c r="X29" s="70">
        <v>50679.105529054199</v>
      </c>
      <c r="Y29" s="70">
        <v>55609.363848313282</v>
      </c>
    </row>
    <row r="30" spans="1:25" x14ac:dyDescent="0.25">
      <c r="A30" s="64" t="s">
        <v>154</v>
      </c>
      <c r="B30" s="65"/>
      <c r="C30" s="65"/>
      <c r="D30" s="66">
        <v>6442.9530201342286</v>
      </c>
      <c r="E30" s="66">
        <v>7551.900981310715</v>
      </c>
      <c r="F30" s="66">
        <v>7307.5813662804685</v>
      </c>
      <c r="G30" s="66">
        <v>7985.8045834951809</v>
      </c>
      <c r="H30" s="66">
        <v>9165.5705360078919</v>
      </c>
      <c r="I30" s="66">
        <v>9598.3400910809614</v>
      </c>
      <c r="J30" s="66">
        <v>9817.1739991149825</v>
      </c>
      <c r="K30" s="66">
        <v>9620.6584455255124</v>
      </c>
      <c r="L30" s="66">
        <v>11715.683479490484</v>
      </c>
      <c r="M30" s="66">
        <v>11474.817046922082</v>
      </c>
      <c r="N30" s="66">
        <v>12275.694383597651</v>
      </c>
      <c r="O30" s="66">
        <v>11965.714637449219</v>
      </c>
      <c r="P30" s="66">
        <v>11988.138114625744</v>
      </c>
      <c r="Q30" s="66">
        <v>11649.310740123499</v>
      </c>
      <c r="R30" s="66">
        <v>11639.960612299705</v>
      </c>
      <c r="S30" s="66">
        <v>10273.4</v>
      </c>
      <c r="T30" s="66">
        <v>10031.501400616071</v>
      </c>
      <c r="U30" s="66">
        <v>10464.415677384717</v>
      </c>
      <c r="V30" s="66">
        <v>9864.7515961795161</v>
      </c>
      <c r="W30" s="66">
        <v>11061.983729011048</v>
      </c>
      <c r="X30" s="66">
        <v>9281.6456333152182</v>
      </c>
      <c r="Y30" s="66">
        <v>11937.859827758482</v>
      </c>
    </row>
    <row r="31" spans="1:25" x14ac:dyDescent="0.25">
      <c r="A31" s="64" t="s">
        <v>37</v>
      </c>
      <c r="B31" s="65"/>
      <c r="C31" s="65"/>
      <c r="D31" s="66">
        <v>12171.4061671164</v>
      </c>
      <c r="E31" s="66">
        <v>13266.679816559003</v>
      </c>
      <c r="F31" s="66">
        <v>14004.975722321044</v>
      </c>
      <c r="G31" s="66">
        <v>14497.451652012196</v>
      </c>
      <c r="H31" s="66">
        <v>16013.294498989995</v>
      </c>
      <c r="I31" s="66">
        <v>16371.862403538602</v>
      </c>
      <c r="J31" s="66">
        <v>18398.933320912034</v>
      </c>
      <c r="K31" s="66">
        <v>20233.963117999774</v>
      </c>
      <c r="L31" s="66">
        <v>19632.459431412575</v>
      </c>
      <c r="M31" s="66">
        <v>19769.386876575856</v>
      </c>
      <c r="N31" s="66">
        <v>20414.439674055902</v>
      </c>
      <c r="O31" s="66">
        <v>21754.175386761868</v>
      </c>
      <c r="P31" s="66">
        <v>22186.42342624491</v>
      </c>
      <c r="Q31" s="66">
        <v>22203.31962199081</v>
      </c>
      <c r="R31" s="66">
        <v>23361.28268632073</v>
      </c>
      <c r="S31" s="66">
        <v>25153</v>
      </c>
      <c r="T31" s="66">
        <v>25958.749115269206</v>
      </c>
      <c r="U31" s="66">
        <v>28619.280558372604</v>
      </c>
      <c r="V31" s="66">
        <v>28971.098026635762</v>
      </c>
      <c r="W31" s="66">
        <v>28500.759451530346</v>
      </c>
      <c r="X31" s="66">
        <v>29467.121550631</v>
      </c>
      <c r="Y31" s="66">
        <v>29407.527239853454</v>
      </c>
    </row>
    <row r="32" spans="1:25" x14ac:dyDescent="0.25">
      <c r="A32" s="64" t="s">
        <v>58</v>
      </c>
      <c r="B32" s="65"/>
      <c r="C32" s="65"/>
      <c r="D32" s="66">
        <v>64507.022763440102</v>
      </c>
      <c r="E32" s="66">
        <v>62181.813698900332</v>
      </c>
      <c r="F32" s="66">
        <v>61936.445363203704</v>
      </c>
      <c r="G32" s="66">
        <v>61187.424226373347</v>
      </c>
      <c r="H32" s="66">
        <v>61593.225912528767</v>
      </c>
      <c r="I32" s="66">
        <v>62478.805246073163</v>
      </c>
      <c r="J32" s="66">
        <v>65250.017467452315</v>
      </c>
      <c r="K32" s="66">
        <v>67383.866953275254</v>
      </c>
      <c r="L32" s="66">
        <v>61427.056368384445</v>
      </c>
      <c r="M32" s="66">
        <v>50627.390689379499</v>
      </c>
      <c r="N32" s="66">
        <v>58284.522036274437</v>
      </c>
      <c r="O32" s="66">
        <v>59658.582625466785</v>
      </c>
      <c r="P32" s="66">
        <v>56312.637018477915</v>
      </c>
      <c r="Q32" s="66">
        <v>54281.406841542463</v>
      </c>
      <c r="R32" s="66">
        <v>54567.282348143504</v>
      </c>
      <c r="S32" s="66">
        <v>59898.100000000006</v>
      </c>
      <c r="T32" s="66">
        <v>59198.708043822844</v>
      </c>
      <c r="U32" s="66">
        <v>60020.879317544597</v>
      </c>
      <c r="V32" s="66">
        <v>61407.949336175581</v>
      </c>
      <c r="W32" s="66">
        <v>61601.610453382156</v>
      </c>
      <c r="X32" s="66">
        <v>58523.237324638212</v>
      </c>
      <c r="Y32" s="66">
        <v>65562.259123566648</v>
      </c>
    </row>
    <row r="33" spans="1:25" x14ac:dyDescent="0.25">
      <c r="A33" s="72" t="s">
        <v>158</v>
      </c>
      <c r="B33" s="65"/>
      <c r="C33" s="65"/>
      <c r="D33" s="66">
        <v>2235.6373532599919</v>
      </c>
      <c r="E33" s="66">
        <v>2319.1478869766752</v>
      </c>
      <c r="F33" s="66">
        <v>2282.4623816162684</v>
      </c>
      <c r="G33" s="66">
        <v>2185.9293524959685</v>
      </c>
      <c r="H33" s="66">
        <v>2449.8520223610653</v>
      </c>
      <c r="I33" s="66">
        <v>2620.4206846529773</v>
      </c>
      <c r="J33" s="66">
        <v>2826.0008850175846</v>
      </c>
      <c r="K33" s="66">
        <v>3666.1387034732434</v>
      </c>
      <c r="L33" s="66">
        <v>2669.3731397748916</v>
      </c>
      <c r="M33" s="66">
        <v>955.53778980382504</v>
      </c>
      <c r="N33" s="66">
        <v>3005.782879172873</v>
      </c>
      <c r="O33" s="66">
        <v>3193.4014526652713</v>
      </c>
      <c r="P33" s="66">
        <v>2892.8515502662071</v>
      </c>
      <c r="Q33" s="66">
        <v>3068.9645206970627</v>
      </c>
      <c r="R33" s="66">
        <v>3240.7324520832713</v>
      </c>
      <c r="S33" s="66">
        <v>3145.5</v>
      </c>
      <c r="T33" s="66">
        <v>3165.2926340554063</v>
      </c>
      <c r="U33" s="66">
        <v>2916.045258406411</v>
      </c>
      <c r="V33" s="66">
        <v>3487.5875699783728</v>
      </c>
      <c r="W33" s="66">
        <v>3383.0964815546909</v>
      </c>
      <c r="X33" s="66">
        <v>3857.858824950184</v>
      </c>
      <c r="Y33" s="66">
        <v>3573.5832897178475</v>
      </c>
    </row>
    <row r="34" spans="1:25" x14ac:dyDescent="0.25">
      <c r="A34" s="73" t="s">
        <v>5</v>
      </c>
      <c r="B34" s="65"/>
      <c r="C34" s="65"/>
      <c r="D34" s="66">
        <v>1776.6306374646138</v>
      </c>
      <c r="E34" s="66">
        <v>1842.995324266672</v>
      </c>
      <c r="F34" s="66">
        <v>1813.841851464327</v>
      </c>
      <c r="G34" s="66">
        <v>1737.1283644525345</v>
      </c>
      <c r="H34" s="66">
        <v>1946.8641252726211</v>
      </c>
      <c r="I34" s="66">
        <v>2082.4127243230346</v>
      </c>
      <c r="J34" s="66">
        <v>2245.7845171101271</v>
      </c>
      <c r="K34" s="66">
        <v>2913.4306296535974</v>
      </c>
      <c r="L34" s="66">
        <v>2121.3145754760781</v>
      </c>
      <c r="M34" s="66">
        <v>634.68193131935595</v>
      </c>
      <c r="N34" s="66">
        <v>2279.3240180622629</v>
      </c>
      <c r="O34" s="66">
        <v>2382.7022996630913</v>
      </c>
      <c r="P34" s="66">
        <v>2046.8221365795437</v>
      </c>
      <c r="Q34" s="66">
        <v>2282.6408687555222</v>
      </c>
      <c r="R34" s="66">
        <v>2451.0385843229956</v>
      </c>
      <c r="S34" s="66">
        <v>2462.4337583964357</v>
      </c>
      <c r="T34" s="66">
        <v>2620.9720142324763</v>
      </c>
      <c r="U34" s="66">
        <v>2241.7662838446113</v>
      </c>
      <c r="V34" s="66">
        <v>2650.0208732354899</v>
      </c>
      <c r="W34" s="66">
        <v>2511.7099735949482</v>
      </c>
      <c r="X34" s="66">
        <v>2957.8747193387194</v>
      </c>
      <c r="Y34" s="66">
        <v>2694.2570288250004</v>
      </c>
    </row>
    <row r="35" spans="1:25" x14ac:dyDescent="0.25">
      <c r="A35" s="74" t="s">
        <v>270</v>
      </c>
      <c r="B35" s="44"/>
      <c r="C35" s="44"/>
      <c r="D35" s="45">
        <v>1167.79257882256</v>
      </c>
      <c r="E35" s="45">
        <v>1287.2122533740358</v>
      </c>
      <c r="F35" s="45">
        <v>1271.2939414899547</v>
      </c>
      <c r="G35" s="45">
        <v>1248.3446802335168</v>
      </c>
      <c r="H35" s="45">
        <v>1408.0753156056203</v>
      </c>
      <c r="I35" s="45">
        <v>1500.82960343575</v>
      </c>
      <c r="J35" s="45">
        <v>1550.7616454165857</v>
      </c>
      <c r="K35" s="45">
        <v>2017.2094798670255</v>
      </c>
      <c r="L35" s="45">
        <v>1477.5299133458875</v>
      </c>
      <c r="M35" s="45">
        <v>443.0861282820282</v>
      </c>
      <c r="N35" s="45">
        <v>1637.3100933294418</v>
      </c>
      <c r="O35" s="45">
        <v>1639.2859534607676</v>
      </c>
      <c r="P35" s="45">
        <v>1429.8996870385749</v>
      </c>
      <c r="Q35" s="45">
        <v>1617.118124638652</v>
      </c>
      <c r="R35" s="45">
        <v>1744.4939702075712</v>
      </c>
      <c r="S35" s="45">
        <v>1639.8407730953852</v>
      </c>
      <c r="T35" s="45">
        <v>1774.4977798932211</v>
      </c>
      <c r="U35" s="45">
        <v>1477.8246186303666</v>
      </c>
      <c r="V35" s="45">
        <v>1696.0930163447508</v>
      </c>
      <c r="W35" s="45">
        <v>1739.6824246696701</v>
      </c>
      <c r="X35" s="45">
        <v>2062.172395537074</v>
      </c>
      <c r="Y35" s="45">
        <v>1884.129034236397</v>
      </c>
    </row>
    <row r="36" spans="1:25" x14ac:dyDescent="0.25">
      <c r="A36" s="74" t="s">
        <v>15</v>
      </c>
      <c r="B36" s="44"/>
      <c r="C36" s="44"/>
      <c r="D36" s="45">
        <v>608.83805864205374</v>
      </c>
      <c r="E36" s="45">
        <v>555.78307089263626</v>
      </c>
      <c r="F36" s="45">
        <v>542.54790997437226</v>
      </c>
      <c r="G36" s="45">
        <v>488.78368421901769</v>
      </c>
      <c r="H36" s="45">
        <v>538.78880966700081</v>
      </c>
      <c r="I36" s="45">
        <v>581.58312088728462</v>
      </c>
      <c r="J36" s="45">
        <v>695.02287169354145</v>
      </c>
      <c r="K36" s="45">
        <v>896.22114978657191</v>
      </c>
      <c r="L36" s="45">
        <v>643.78466213019055</v>
      </c>
      <c r="M36" s="45">
        <v>191.59580303732776</v>
      </c>
      <c r="N36" s="45">
        <v>642.01392473282112</v>
      </c>
      <c r="O36" s="45">
        <v>743.41634620232367</v>
      </c>
      <c r="P36" s="45">
        <v>616.92244954096873</v>
      </c>
      <c r="Q36" s="45">
        <v>665.52274411687017</v>
      </c>
      <c r="R36" s="45">
        <v>706.54461411542434</v>
      </c>
      <c r="S36" s="45">
        <v>822.59298530105048</v>
      </c>
      <c r="T36" s="45">
        <v>846.47423433925519</v>
      </c>
      <c r="U36" s="45">
        <v>763.94166521424472</v>
      </c>
      <c r="V36" s="45">
        <v>953.92785689073912</v>
      </c>
      <c r="W36" s="45">
        <v>772.0275489252781</v>
      </c>
      <c r="X36" s="45">
        <v>895.70232380164543</v>
      </c>
      <c r="Y36" s="45">
        <v>810.12799458860331</v>
      </c>
    </row>
    <row r="37" spans="1:25" x14ac:dyDescent="0.25">
      <c r="A37" s="73" t="s">
        <v>269</v>
      </c>
      <c r="B37" s="65"/>
      <c r="C37" s="65"/>
      <c r="D37" s="66">
        <v>459.00671579537811</v>
      </c>
      <c r="E37" s="66">
        <v>476.15256271000339</v>
      </c>
      <c r="F37" s="66">
        <v>468.62053015194147</v>
      </c>
      <c r="G37" s="66">
        <v>448.80098804343402</v>
      </c>
      <c r="H37" s="66">
        <v>502.98789708844402</v>
      </c>
      <c r="I37" s="66">
        <v>538.00796032994276</v>
      </c>
      <c r="J37" s="66">
        <v>580.21636790745742</v>
      </c>
      <c r="K37" s="66">
        <v>752.70807381964596</v>
      </c>
      <c r="L37" s="66">
        <v>548.05856429881351</v>
      </c>
      <c r="M37" s="66">
        <v>320.85585848446908</v>
      </c>
      <c r="N37" s="66">
        <v>726.45886111061009</v>
      </c>
      <c r="O37" s="66">
        <v>810.69915300218008</v>
      </c>
      <c r="P37" s="66">
        <v>846.02941368666347</v>
      </c>
      <c r="Q37" s="66">
        <v>786.32365194154045</v>
      </c>
      <c r="R37" s="66">
        <v>789.69386776027568</v>
      </c>
      <c r="S37" s="66">
        <v>683.06624160356432</v>
      </c>
      <c r="T37" s="66">
        <v>544.32061982292998</v>
      </c>
      <c r="U37" s="66">
        <v>674.27897456179971</v>
      </c>
      <c r="V37" s="66">
        <v>837.56669674288287</v>
      </c>
      <c r="W37" s="66">
        <v>871.38650795974263</v>
      </c>
      <c r="X37" s="66">
        <v>899.98410561146466</v>
      </c>
      <c r="Y37" s="66">
        <v>879.32626089284713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272.77496381027061</v>
      </c>
      <c r="E39" s="45">
        <v>282.96426520976974</v>
      </c>
      <c r="F39" s="45">
        <v>278.48818710951156</v>
      </c>
      <c r="G39" s="45">
        <v>266.70998279279229</v>
      </c>
      <c r="H39" s="45">
        <v>298.91176033787775</v>
      </c>
      <c r="I39" s="45">
        <v>319.72321288227079</v>
      </c>
      <c r="J39" s="45">
        <v>344.80649914638354</v>
      </c>
      <c r="K39" s="45">
        <v>447.3135371016719</v>
      </c>
      <c r="L39" s="45">
        <v>325.69600813675731</v>
      </c>
      <c r="M39" s="45">
        <v>149.23807627036149</v>
      </c>
      <c r="N39" s="45">
        <v>372.63725163852291</v>
      </c>
      <c r="O39" s="45">
        <v>431.3895132694887</v>
      </c>
      <c r="P39" s="45">
        <v>475.32621835208721</v>
      </c>
      <c r="Q39" s="45">
        <v>478.3327300469644</v>
      </c>
      <c r="R39" s="45">
        <v>432.12209808500745</v>
      </c>
      <c r="S39" s="45">
        <v>427.2023720101015</v>
      </c>
      <c r="T39" s="45">
        <v>469.85390067461964</v>
      </c>
      <c r="U39" s="45">
        <v>470.34656071145861</v>
      </c>
      <c r="V39" s="45">
        <v>489.60417395009694</v>
      </c>
      <c r="W39" s="45">
        <v>471.38650795974269</v>
      </c>
      <c r="X39" s="45">
        <v>445.96355063947243</v>
      </c>
      <c r="Y39" s="45">
        <v>450.10591798534438</v>
      </c>
    </row>
    <row r="40" spans="1:25" x14ac:dyDescent="0.25">
      <c r="A40" s="75" t="s">
        <v>273</v>
      </c>
      <c r="B40" s="76"/>
      <c r="C40" s="76"/>
      <c r="D40" s="45">
        <v>226.95615758121141</v>
      </c>
      <c r="E40" s="45">
        <v>237.27880007673417</v>
      </c>
      <c r="F40" s="45">
        <v>228.47296393095232</v>
      </c>
      <c r="G40" s="45">
        <v>216.42697596571773</v>
      </c>
      <c r="H40" s="45">
        <v>243.68218470149611</v>
      </c>
      <c r="I40" s="45">
        <v>259.10335944519477</v>
      </c>
      <c r="J40" s="45">
        <v>274.81017614874906</v>
      </c>
      <c r="K40" s="45">
        <v>352.07978995275124</v>
      </c>
      <c r="L40" s="45">
        <v>265.6391830446783</v>
      </c>
      <c r="M40" s="45">
        <v>111.80888083349548</v>
      </c>
      <c r="N40" s="45">
        <v>294.81507358523487</v>
      </c>
      <c r="O40" s="45">
        <v>353.40899670448329</v>
      </c>
      <c r="P40" s="45">
        <v>399.87283265229166</v>
      </c>
      <c r="Q40" s="45">
        <v>403.45513426319565</v>
      </c>
      <c r="R40" s="45">
        <v>432.12209808500745</v>
      </c>
      <c r="S40" s="45">
        <v>427.2023720101015</v>
      </c>
      <c r="T40" s="45">
        <v>469.85390067461964</v>
      </c>
      <c r="U40" s="45">
        <v>470.34656071145861</v>
      </c>
      <c r="V40" s="45">
        <v>489.60417395009694</v>
      </c>
      <c r="W40" s="45">
        <v>471.38650795974269</v>
      </c>
      <c r="X40" s="45">
        <v>445.96355063947243</v>
      </c>
      <c r="Y40" s="45">
        <v>450.10591798534438</v>
      </c>
    </row>
    <row r="41" spans="1:25" x14ac:dyDescent="0.25">
      <c r="A41" s="75" t="s">
        <v>274</v>
      </c>
      <c r="B41" s="76"/>
      <c r="C41" s="76"/>
      <c r="D41" s="45">
        <v>45.818806229059192</v>
      </c>
      <c r="E41" s="45">
        <v>45.685465133035564</v>
      </c>
      <c r="F41" s="45">
        <v>50.015223178559239</v>
      </c>
      <c r="G41" s="45">
        <v>50.283006827074558</v>
      </c>
      <c r="H41" s="45">
        <v>55.229575636381639</v>
      </c>
      <c r="I41" s="45">
        <v>60.619853437076017</v>
      </c>
      <c r="J41" s="45">
        <v>69.996322997634479</v>
      </c>
      <c r="K41" s="45">
        <v>95.233747148920656</v>
      </c>
      <c r="L41" s="45">
        <v>60.056825092079009</v>
      </c>
      <c r="M41" s="45">
        <v>37.42919543686601</v>
      </c>
      <c r="N41" s="45">
        <v>77.822178053288042</v>
      </c>
      <c r="O41" s="45">
        <v>77.980516565005416</v>
      </c>
      <c r="P41" s="45">
        <v>75.453385699795547</v>
      </c>
      <c r="Q41" s="45">
        <v>74.877595783768754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</row>
    <row r="42" spans="1:25" x14ac:dyDescent="0.25">
      <c r="A42" s="74" t="s">
        <v>13</v>
      </c>
      <c r="B42" s="44"/>
      <c r="C42" s="44"/>
      <c r="D42" s="45">
        <v>186.23175198510751</v>
      </c>
      <c r="E42" s="45">
        <v>193.18829750023366</v>
      </c>
      <c r="F42" s="45">
        <v>190.13234304242991</v>
      </c>
      <c r="G42" s="45">
        <v>182.09100525064173</v>
      </c>
      <c r="H42" s="45">
        <v>204.07613675056626</v>
      </c>
      <c r="I42" s="45">
        <v>218.28474744767198</v>
      </c>
      <c r="J42" s="45">
        <v>235.40986876107388</v>
      </c>
      <c r="K42" s="45">
        <v>305.39453671797406</v>
      </c>
      <c r="L42" s="45">
        <v>222.36255616205619</v>
      </c>
      <c r="M42" s="45">
        <v>171.61778221410759</v>
      </c>
      <c r="N42" s="45">
        <v>353.82160947208718</v>
      </c>
      <c r="O42" s="45">
        <v>379.30963973269138</v>
      </c>
      <c r="P42" s="45">
        <v>370.70319533457621</v>
      </c>
      <c r="Q42" s="45">
        <v>307.9909218945761</v>
      </c>
      <c r="R42" s="45">
        <v>357.57176967526823</v>
      </c>
      <c r="S42" s="45">
        <v>255.86386959346282</v>
      </c>
      <c r="T42" s="45">
        <v>74.466719148310403</v>
      </c>
      <c r="U42" s="45">
        <v>203.93241385034111</v>
      </c>
      <c r="V42" s="45">
        <v>347.96252279278593</v>
      </c>
      <c r="W42" s="45">
        <v>400</v>
      </c>
      <c r="X42" s="45">
        <v>454.02055497199223</v>
      </c>
      <c r="Y42" s="45">
        <v>429.22034290750275</v>
      </c>
    </row>
    <row r="43" spans="1:25" x14ac:dyDescent="0.25">
      <c r="A43" s="72" t="s">
        <v>271</v>
      </c>
      <c r="B43" s="65"/>
      <c r="C43" s="65"/>
      <c r="D43" s="66">
        <v>8157.0146912982291</v>
      </c>
      <c r="E43" s="66">
        <v>8709.7490014300511</v>
      </c>
      <c r="F43" s="66">
        <v>9515.2877265516072</v>
      </c>
      <c r="G43" s="66">
        <v>8800.8051131749035</v>
      </c>
      <c r="H43" s="66">
        <v>8550.7586790059613</v>
      </c>
      <c r="I43" s="66">
        <v>9243.2908051033846</v>
      </c>
      <c r="J43" s="66">
        <v>9622.1207816102688</v>
      </c>
      <c r="K43" s="66">
        <v>9255.0062224233498</v>
      </c>
      <c r="L43" s="66">
        <v>8494.7143948637895</v>
      </c>
      <c r="M43" s="66">
        <v>9939.1181354160344</v>
      </c>
      <c r="N43" s="66">
        <v>9642.2938754052429</v>
      </c>
      <c r="O43" s="66">
        <v>9040.0714021913027</v>
      </c>
      <c r="P43" s="66">
        <v>8843.9555277168747</v>
      </c>
      <c r="Q43" s="66">
        <v>8373.9054206363635</v>
      </c>
      <c r="R43" s="66">
        <v>7648.275793473179</v>
      </c>
      <c r="S43" s="66">
        <v>8290.3000000000029</v>
      </c>
      <c r="T43" s="66">
        <v>6850.2586902993753</v>
      </c>
      <c r="U43" s="66">
        <v>6318.7774662451056</v>
      </c>
      <c r="V43" s="66">
        <v>6546.1469209516026</v>
      </c>
      <c r="W43" s="66">
        <v>8173.2589833752963</v>
      </c>
      <c r="X43" s="66">
        <v>8013.3043495763213</v>
      </c>
      <c r="Y43" s="66">
        <v>8132.4641956511405</v>
      </c>
    </row>
    <row r="44" spans="1:25" x14ac:dyDescent="0.25">
      <c r="A44" s="73" t="s">
        <v>272</v>
      </c>
      <c r="B44" s="65"/>
      <c r="C44" s="65"/>
      <c r="D44" s="66">
        <v>6525.6117530385836</v>
      </c>
      <c r="E44" s="66">
        <v>6970.7666157147296</v>
      </c>
      <c r="F44" s="66">
        <v>7317.9247718263296</v>
      </c>
      <c r="G44" s="66">
        <v>6905.3232722926841</v>
      </c>
      <c r="H44" s="66">
        <v>6771.8312238631979</v>
      </c>
      <c r="I44" s="66">
        <v>7154.3643892367509</v>
      </c>
      <c r="J44" s="66">
        <v>7290.18570432666</v>
      </c>
      <c r="K44" s="66">
        <v>7036.6820669703138</v>
      </c>
      <c r="L44" s="66">
        <v>6673.8526134261701</v>
      </c>
      <c r="M44" s="66">
        <v>7589.256414779471</v>
      </c>
      <c r="N44" s="66">
        <v>7145.1272226502706</v>
      </c>
      <c r="O44" s="66">
        <v>6696.7128306587038</v>
      </c>
      <c r="P44" s="66">
        <v>6494.0003061460293</v>
      </c>
      <c r="Q44" s="66">
        <v>6232.8700238287056</v>
      </c>
      <c r="R44" s="66">
        <v>5942.420300685837</v>
      </c>
      <c r="S44" s="66">
        <v>6273.8599733164938</v>
      </c>
      <c r="T44" s="66">
        <v>5536.032952914491</v>
      </c>
      <c r="U44" s="66">
        <v>5248.0697956073127</v>
      </c>
      <c r="V44" s="66">
        <v>5445.7123028787955</v>
      </c>
      <c r="W44" s="66">
        <v>6302.7938265732646</v>
      </c>
      <c r="X44" s="66">
        <v>6150.4726704806371</v>
      </c>
      <c r="Y44" s="66">
        <v>6089.32719020688</v>
      </c>
    </row>
    <row r="45" spans="1:25" x14ac:dyDescent="0.25">
      <c r="A45" s="74" t="s">
        <v>20</v>
      </c>
      <c r="B45" s="44"/>
      <c r="C45" s="44"/>
      <c r="D45" s="45">
        <v>3797.3174475455635</v>
      </c>
      <c r="E45" s="45">
        <v>3924.700858236652</v>
      </c>
      <c r="F45" s="45">
        <v>4021.2424573977883</v>
      </c>
      <c r="G45" s="45">
        <v>3906.234365257556</v>
      </c>
      <c r="H45" s="45">
        <v>3868.2929100514111</v>
      </c>
      <c r="I45" s="45">
        <v>3976.0498157943834</v>
      </c>
      <c r="J45" s="45">
        <v>4224.8566646624095</v>
      </c>
      <c r="K45" s="45">
        <v>4150.7506849503388</v>
      </c>
      <c r="L45" s="45">
        <v>4042.3227833775736</v>
      </c>
      <c r="M45" s="45">
        <v>4596.9468893529383</v>
      </c>
      <c r="N45" s="45">
        <v>4547.2073984481149</v>
      </c>
      <c r="O45" s="45">
        <v>4191.7509370505823</v>
      </c>
      <c r="P45" s="45">
        <v>4018.8661353771422</v>
      </c>
      <c r="Q45" s="45">
        <v>3840.470268632218</v>
      </c>
      <c r="R45" s="45">
        <v>3632.1959501683637</v>
      </c>
      <c r="S45" s="45">
        <v>4221.6798289587296</v>
      </c>
      <c r="T45" s="45">
        <v>3405.1319022223015</v>
      </c>
      <c r="U45" s="45">
        <v>3309.3581023016877</v>
      </c>
      <c r="V45" s="45">
        <v>3198.2970799877276</v>
      </c>
      <c r="W45" s="45">
        <v>3998.8007581299653</v>
      </c>
      <c r="X45" s="45">
        <v>3323.0849341645962</v>
      </c>
      <c r="Y45" s="45">
        <v>3269.5351795629172</v>
      </c>
    </row>
    <row r="46" spans="1:25" x14ac:dyDescent="0.25">
      <c r="A46" s="74" t="s">
        <v>12</v>
      </c>
      <c r="B46" s="44"/>
      <c r="C46" s="44"/>
      <c r="D46" s="45">
        <v>2728.2943054930201</v>
      </c>
      <c r="E46" s="45">
        <v>3046.0657574780776</v>
      </c>
      <c r="F46" s="45">
        <v>3296.6823144285413</v>
      </c>
      <c r="G46" s="45">
        <v>2999.0889070351282</v>
      </c>
      <c r="H46" s="45">
        <v>2903.5383138117868</v>
      </c>
      <c r="I46" s="45">
        <v>3178.3145734423674</v>
      </c>
      <c r="J46" s="45">
        <v>3065.3290396642506</v>
      </c>
      <c r="K46" s="45">
        <v>2885.931382019975</v>
      </c>
      <c r="L46" s="45">
        <v>2631.5298300485965</v>
      </c>
      <c r="M46" s="45">
        <v>2992.3095254265327</v>
      </c>
      <c r="N46" s="45">
        <v>2597.9198242021557</v>
      </c>
      <c r="O46" s="45">
        <v>2504.9618936081215</v>
      </c>
      <c r="P46" s="45">
        <v>2475.1341707688871</v>
      </c>
      <c r="Q46" s="45">
        <v>2392.3997551964876</v>
      </c>
      <c r="R46" s="45">
        <v>2310.2243505174733</v>
      </c>
      <c r="S46" s="45">
        <v>2052.1801443577642</v>
      </c>
      <c r="T46" s="45">
        <v>2130.9010506921895</v>
      </c>
      <c r="U46" s="45">
        <v>1938.711693305625</v>
      </c>
      <c r="V46" s="45">
        <v>2247.415222891068</v>
      </c>
      <c r="W46" s="45">
        <v>2303.9930684432993</v>
      </c>
      <c r="X46" s="45">
        <v>2827.3877363160409</v>
      </c>
      <c r="Y46" s="45">
        <v>2819.7920106439628</v>
      </c>
    </row>
    <row r="47" spans="1:25" x14ac:dyDescent="0.25">
      <c r="A47" s="73" t="s">
        <v>11</v>
      </c>
      <c r="B47" s="65"/>
      <c r="C47" s="65"/>
      <c r="D47" s="66">
        <v>1631.4029382596455</v>
      </c>
      <c r="E47" s="66">
        <v>1738.9823857153217</v>
      </c>
      <c r="F47" s="66">
        <v>2197.3629547252781</v>
      </c>
      <c r="G47" s="66">
        <v>1895.4818408822191</v>
      </c>
      <c r="H47" s="66">
        <v>1778.9274551427641</v>
      </c>
      <c r="I47" s="66">
        <v>2088.9264158666329</v>
      </c>
      <c r="J47" s="66">
        <v>2331.9350772836092</v>
      </c>
      <c r="K47" s="66">
        <v>2218.3241554530359</v>
      </c>
      <c r="L47" s="66">
        <v>1820.8617814376198</v>
      </c>
      <c r="M47" s="66">
        <v>2349.8617206365629</v>
      </c>
      <c r="N47" s="66">
        <v>2497.1666527549723</v>
      </c>
      <c r="O47" s="66">
        <v>2343.3585715325989</v>
      </c>
      <c r="P47" s="66">
        <v>2349.9552215708459</v>
      </c>
      <c r="Q47" s="66">
        <v>2141.0353968076579</v>
      </c>
      <c r="R47" s="66">
        <v>1705.855492787342</v>
      </c>
      <c r="S47" s="66">
        <v>2016.4400266835091</v>
      </c>
      <c r="T47" s="66">
        <v>1314.2257373848838</v>
      </c>
      <c r="U47" s="66">
        <v>1070.7076706377929</v>
      </c>
      <c r="V47" s="66">
        <v>1100.4346180728071</v>
      </c>
      <c r="W47" s="66">
        <v>1870.4651568020317</v>
      </c>
      <c r="X47" s="66">
        <v>1862.831679095684</v>
      </c>
      <c r="Y47" s="66">
        <v>2043.13700544426</v>
      </c>
    </row>
    <row r="48" spans="1:25" x14ac:dyDescent="0.25">
      <c r="A48" s="72" t="s">
        <v>4</v>
      </c>
      <c r="B48" s="65"/>
      <c r="C48" s="65"/>
      <c r="D48" s="66">
        <v>1122.4889872921419</v>
      </c>
      <c r="E48" s="66">
        <v>1189.6543222052367</v>
      </c>
      <c r="F48" s="66">
        <v>1220.3740204797848</v>
      </c>
      <c r="G48" s="66">
        <v>1163.0589592382025</v>
      </c>
      <c r="H48" s="66">
        <v>1173.721050406351</v>
      </c>
      <c r="I48" s="66">
        <v>1258.6057240698681</v>
      </c>
      <c r="J48" s="66">
        <v>1343.9457810280178</v>
      </c>
      <c r="K48" s="66">
        <v>1518.1581626880868</v>
      </c>
      <c r="L48" s="66">
        <v>1494.4521102507667</v>
      </c>
      <c r="M48" s="66">
        <v>1191.8086218559743</v>
      </c>
      <c r="N48" s="66">
        <v>1402.6767721019887</v>
      </c>
      <c r="O48" s="66">
        <v>1752.0210102999713</v>
      </c>
      <c r="P48" s="66">
        <v>1727.2157845286565</v>
      </c>
      <c r="Q48" s="66">
        <v>1470.3247372527862</v>
      </c>
      <c r="R48" s="66">
        <v>1475.7457305125374</v>
      </c>
      <c r="S48" s="66">
        <v>1519</v>
      </c>
      <c r="T48" s="66">
        <v>1558.5218266824838</v>
      </c>
      <c r="U48" s="66">
        <v>1647.6764302332517</v>
      </c>
      <c r="V48" s="66">
        <v>1549.0961019071372</v>
      </c>
      <c r="W48" s="66">
        <v>1624.1859303801418</v>
      </c>
      <c r="X48" s="66">
        <v>1596.6225872028663</v>
      </c>
      <c r="Y48" s="66">
        <v>1558.1671979825855</v>
      </c>
    </row>
    <row r="49" spans="1:25" x14ac:dyDescent="0.25">
      <c r="A49" s="77" t="s">
        <v>10</v>
      </c>
      <c r="B49" s="44"/>
      <c r="C49" s="44"/>
      <c r="D49" s="45">
        <v>635.09719510021716</v>
      </c>
      <c r="E49" s="45">
        <v>656.42826109876364</v>
      </c>
      <c r="F49" s="45">
        <v>657.12408217722259</v>
      </c>
      <c r="G49" s="45">
        <v>601.55507120207187</v>
      </c>
      <c r="H49" s="45">
        <v>626.76817124521699</v>
      </c>
      <c r="I49" s="45">
        <v>669.00294302783209</v>
      </c>
      <c r="J49" s="45">
        <v>752.13086844128384</v>
      </c>
      <c r="K49" s="45">
        <v>836.2221433889149</v>
      </c>
      <c r="L49" s="45">
        <v>846.89824638784899</v>
      </c>
      <c r="M49" s="45">
        <v>660.93553369550136</v>
      </c>
      <c r="N49" s="45">
        <v>699.24154090791967</v>
      </c>
      <c r="O49" s="45">
        <v>671.34023635252231</v>
      </c>
      <c r="P49" s="45">
        <v>687.17866120197368</v>
      </c>
      <c r="Q49" s="45">
        <v>786.65943034886322</v>
      </c>
      <c r="R49" s="45">
        <v>946.28004261242586</v>
      </c>
      <c r="S49" s="45">
        <v>832.35637655148696</v>
      </c>
      <c r="T49" s="45">
        <v>1036.8197398888908</v>
      </c>
      <c r="U49" s="45">
        <v>1057.6497632306455</v>
      </c>
      <c r="V49" s="45">
        <v>1078.0878650554068</v>
      </c>
      <c r="W49" s="45">
        <v>1035.9410054089976</v>
      </c>
      <c r="X49" s="45">
        <v>1016.9492461875773</v>
      </c>
      <c r="Y49" s="45">
        <v>1023.5922203553403</v>
      </c>
    </row>
    <row r="50" spans="1:25" x14ac:dyDescent="0.25">
      <c r="A50" s="77" t="s">
        <v>18</v>
      </c>
      <c r="B50" s="44"/>
      <c r="C50" s="44"/>
      <c r="D50" s="45">
        <v>284.19584072019984</v>
      </c>
      <c r="E50" s="45">
        <v>294.75316719167336</v>
      </c>
      <c r="F50" s="45">
        <v>296.09476421337195</v>
      </c>
      <c r="G50" s="45">
        <v>290.58918873624316</v>
      </c>
      <c r="H50" s="45">
        <v>292.39803381510239</v>
      </c>
      <c r="I50" s="45">
        <v>303.81203970716979</v>
      </c>
      <c r="J50" s="45">
        <v>325.44032076479738</v>
      </c>
      <c r="K50" s="45">
        <v>364.74000062008309</v>
      </c>
      <c r="L50" s="45">
        <v>326.11705744340185</v>
      </c>
      <c r="M50" s="45">
        <v>237.68205457755633</v>
      </c>
      <c r="N50" s="45">
        <v>286.54941942858994</v>
      </c>
      <c r="O50" s="45">
        <v>326.61679239184571</v>
      </c>
      <c r="P50" s="45">
        <v>323.9727027967246</v>
      </c>
      <c r="Q50" s="45">
        <v>289.28146164338688</v>
      </c>
      <c r="R50" s="45">
        <v>287.66481083600866</v>
      </c>
      <c r="S50" s="45">
        <v>275.16048105892389</v>
      </c>
      <c r="T50" s="45">
        <v>349.6715533281847</v>
      </c>
      <c r="U50" s="45">
        <v>364.63887263921055</v>
      </c>
      <c r="V50" s="45">
        <v>359.86485205812971</v>
      </c>
      <c r="W50" s="45">
        <v>364.66865411300068</v>
      </c>
      <c r="X50" s="45">
        <v>318.86447131098242</v>
      </c>
      <c r="Y50" s="45">
        <v>335.60715033107499</v>
      </c>
    </row>
    <row r="51" spans="1:25" x14ac:dyDescent="0.25">
      <c r="A51" s="77" t="s">
        <v>9</v>
      </c>
      <c r="B51" s="44"/>
      <c r="C51" s="44"/>
      <c r="D51" s="45">
        <v>203.19595147172492</v>
      </c>
      <c r="E51" s="45">
        <v>238.47289391479967</v>
      </c>
      <c r="F51" s="45">
        <v>267.15517408919027</v>
      </c>
      <c r="G51" s="45">
        <v>270.9146992998875</v>
      </c>
      <c r="H51" s="45">
        <v>254.55484534603158</v>
      </c>
      <c r="I51" s="45">
        <v>285.7907413348662</v>
      </c>
      <c r="J51" s="45">
        <v>266.37459182193658</v>
      </c>
      <c r="K51" s="45">
        <v>317.19601867908881</v>
      </c>
      <c r="L51" s="45">
        <v>321.4368064195159</v>
      </c>
      <c r="M51" s="45">
        <v>293.19103358291659</v>
      </c>
      <c r="N51" s="45">
        <v>416.8858117654791</v>
      </c>
      <c r="O51" s="45">
        <v>754.06398155560316</v>
      </c>
      <c r="P51" s="45">
        <v>716.06442052995817</v>
      </c>
      <c r="Q51" s="45">
        <v>394.38384526053613</v>
      </c>
      <c r="R51" s="45">
        <v>241.80087706410291</v>
      </c>
      <c r="S51" s="45">
        <v>411.48314238958915</v>
      </c>
      <c r="T51" s="45">
        <v>172.03053346540833</v>
      </c>
      <c r="U51" s="45">
        <v>225.3877943633957</v>
      </c>
      <c r="V51" s="45">
        <v>111.1433847936006</v>
      </c>
      <c r="W51" s="45">
        <v>223.57627085814352</v>
      </c>
      <c r="X51" s="45">
        <v>260.80886970430657</v>
      </c>
      <c r="Y51" s="45">
        <v>198.9678272961703</v>
      </c>
    </row>
    <row r="52" spans="1:25" x14ac:dyDescent="0.25">
      <c r="A52" s="72" t="s">
        <v>3</v>
      </c>
      <c r="B52" s="65"/>
      <c r="C52" s="65"/>
      <c r="D52" s="66">
        <v>8148.250651537166</v>
      </c>
      <c r="E52" s="66">
        <v>8196.7799201144044</v>
      </c>
      <c r="F52" s="66">
        <v>7474.8810153358017</v>
      </c>
      <c r="G52" s="66">
        <v>7028.3790623491896</v>
      </c>
      <c r="H52" s="66">
        <v>6544.3698031662525</v>
      </c>
      <c r="I52" s="66">
        <v>6110.8666959964812</v>
      </c>
      <c r="J52" s="66">
        <v>6125.4861774227365</v>
      </c>
      <c r="K52" s="66">
        <v>5986.7632085077503</v>
      </c>
      <c r="L52" s="66">
        <v>5196.0862574266457</v>
      </c>
      <c r="M52" s="66">
        <v>4950.9870241682547</v>
      </c>
      <c r="N52" s="66">
        <v>5173.0482782791551</v>
      </c>
      <c r="O52" s="66">
        <v>5178.4028889162455</v>
      </c>
      <c r="P52" s="66">
        <v>4915.2442843720637</v>
      </c>
      <c r="Q52" s="66">
        <v>4569.8266976215482</v>
      </c>
      <c r="R52" s="66">
        <v>4849.7597947065315</v>
      </c>
      <c r="S52" s="66">
        <v>4822.8999999999996</v>
      </c>
      <c r="T52" s="66">
        <v>4712.051279495181</v>
      </c>
      <c r="U52" s="66">
        <v>4733.8384139672689</v>
      </c>
      <c r="V52" s="66">
        <v>5357.5752558543827</v>
      </c>
      <c r="W52" s="66">
        <v>4824.3898379143175</v>
      </c>
      <c r="X52" s="66">
        <v>4419.2178411126542</v>
      </c>
      <c r="Y52" s="66">
        <v>4911.9284388828091</v>
      </c>
    </row>
    <row r="53" spans="1:25" x14ac:dyDescent="0.25">
      <c r="A53" s="73" t="s">
        <v>21</v>
      </c>
      <c r="B53" s="65"/>
      <c r="C53" s="65"/>
      <c r="D53" s="66">
        <v>6502.8021863972872</v>
      </c>
      <c r="E53" s="66">
        <v>6593.7669510330888</v>
      </c>
      <c r="F53" s="66">
        <v>5961.6124224796886</v>
      </c>
      <c r="G53" s="66">
        <v>5609.8967713078382</v>
      </c>
      <c r="H53" s="66">
        <v>5109.9262460656737</v>
      </c>
      <c r="I53" s="66">
        <v>4715.8773379626882</v>
      </c>
      <c r="J53" s="66">
        <v>4773.3889186482529</v>
      </c>
      <c r="K53" s="66">
        <v>4644.6430591695889</v>
      </c>
      <c r="L53" s="66">
        <v>3922.8655164155957</v>
      </c>
      <c r="M53" s="66">
        <v>3882.4180554701429</v>
      </c>
      <c r="N53" s="66">
        <v>4105.1870673793046</v>
      </c>
      <c r="O53" s="66">
        <v>4102.9586770076739</v>
      </c>
      <c r="P53" s="66">
        <v>3860.0062637018477</v>
      </c>
      <c r="Q53" s="66">
        <v>3656.0154902848553</v>
      </c>
      <c r="R53" s="66">
        <v>3931.2107739285252</v>
      </c>
      <c r="S53" s="66">
        <v>3939.4</v>
      </c>
      <c r="T53" s="66">
        <v>3852.4418569876289</v>
      </c>
      <c r="U53" s="66">
        <v>3899.2622641134244</v>
      </c>
      <c r="V53" s="66">
        <v>4591.5125676500729</v>
      </c>
      <c r="W53" s="66">
        <v>4194.5652400074905</v>
      </c>
      <c r="X53" s="66">
        <v>3840.146528993821</v>
      </c>
      <c r="Y53" s="66">
        <v>4315.4589142123041</v>
      </c>
    </row>
    <row r="54" spans="1:25" x14ac:dyDescent="0.25">
      <c r="A54" s="74" t="s">
        <v>8</v>
      </c>
      <c r="B54" s="44"/>
      <c r="C54" s="44"/>
      <c r="D54" s="45">
        <v>1140.5985478798427</v>
      </c>
      <c r="E54" s="45">
        <v>1131.0616697903292</v>
      </c>
      <c r="F54" s="45">
        <v>1036.8337921203499</v>
      </c>
      <c r="G54" s="45">
        <v>977.86263215382439</v>
      </c>
      <c r="H54" s="45">
        <v>876.84465481465611</v>
      </c>
      <c r="I54" s="45">
        <v>796.57618306187499</v>
      </c>
      <c r="J54" s="45">
        <v>806.73065681466267</v>
      </c>
      <c r="K54" s="45">
        <v>834.34481604618713</v>
      </c>
      <c r="L54" s="45">
        <v>675.53507988635249</v>
      </c>
      <c r="M54" s="45">
        <v>413.20259012052401</v>
      </c>
      <c r="N54" s="45">
        <v>1111.100936293456</v>
      </c>
      <c r="O54" s="45">
        <v>811.19846951357192</v>
      </c>
      <c r="P54" s="45">
        <v>487.89615599887969</v>
      </c>
      <c r="Q54" s="45">
        <v>626.36721415680324</v>
      </c>
      <c r="R54" s="45">
        <v>870.03746716471039</v>
      </c>
      <c r="S54" s="45">
        <v>821.02274273031185</v>
      </c>
      <c r="T54" s="45">
        <v>797.47829563490416</v>
      </c>
      <c r="U54" s="45">
        <v>949.66968802997235</v>
      </c>
      <c r="V54" s="45">
        <v>916.03334373127882</v>
      </c>
      <c r="W54" s="45">
        <v>933.66083777787105</v>
      </c>
      <c r="X54" s="45">
        <v>953.24364522407836</v>
      </c>
      <c r="Y54" s="45">
        <v>927.87497351210413</v>
      </c>
    </row>
    <row r="55" spans="1:25" x14ac:dyDescent="0.25">
      <c r="A55" s="74" t="s">
        <v>17</v>
      </c>
      <c r="B55" s="44"/>
      <c r="C55" s="44"/>
      <c r="D55" s="45">
        <v>5362.2036385174442</v>
      </c>
      <c r="E55" s="45">
        <v>5462.7052812427592</v>
      </c>
      <c r="F55" s="45">
        <v>4924.7786303593384</v>
      </c>
      <c r="G55" s="45">
        <v>4632.0341391540142</v>
      </c>
      <c r="H55" s="45">
        <v>4233.0815912510179</v>
      </c>
      <c r="I55" s="45">
        <v>3919.3011549008133</v>
      </c>
      <c r="J55" s="45">
        <v>3966.6582618335901</v>
      </c>
      <c r="K55" s="45">
        <v>3810.2982431234018</v>
      </c>
      <c r="L55" s="45">
        <v>3247.3304365292433</v>
      </c>
      <c r="M55" s="45">
        <v>3469.2154653496191</v>
      </c>
      <c r="N55" s="45">
        <v>2994.0861310858486</v>
      </c>
      <c r="O55" s="45">
        <v>3291.7602074941019</v>
      </c>
      <c r="P55" s="45">
        <v>3372.110107702968</v>
      </c>
      <c r="Q55" s="45">
        <v>3029.6482761280522</v>
      </c>
      <c r="R55" s="45">
        <v>3061.1733067638147</v>
      </c>
      <c r="S55" s="45">
        <v>3118.377257269688</v>
      </c>
      <c r="T55" s="45">
        <v>3054.9635613527248</v>
      </c>
      <c r="U55" s="45">
        <v>2949.5925760834521</v>
      </c>
      <c r="V55" s="45">
        <v>3675.4792239187941</v>
      </c>
      <c r="W55" s="45">
        <v>3260.9044022296193</v>
      </c>
      <c r="X55" s="45">
        <v>2886.9028837697424</v>
      </c>
      <c r="Y55" s="45">
        <v>3387.5839407001999</v>
      </c>
    </row>
    <row r="56" spans="1:25" x14ac:dyDescent="0.25">
      <c r="A56" s="73" t="s">
        <v>16</v>
      </c>
      <c r="B56" s="65"/>
      <c r="C56" s="65"/>
      <c r="D56" s="66">
        <v>1645.4484651398789</v>
      </c>
      <c r="E56" s="66">
        <v>1603.0129690813155</v>
      </c>
      <c r="F56" s="66">
        <v>1513.2685928561132</v>
      </c>
      <c r="G56" s="66">
        <v>1418.4822910413513</v>
      </c>
      <c r="H56" s="66">
        <v>1434.4435571005788</v>
      </c>
      <c r="I56" s="66">
        <v>1394.989358033793</v>
      </c>
      <c r="J56" s="66">
        <v>1352.0972587744836</v>
      </c>
      <c r="K56" s="66">
        <v>1342.1201493381614</v>
      </c>
      <c r="L56" s="66">
        <v>1273.22074101105</v>
      </c>
      <c r="M56" s="66">
        <v>1068.5689686981118</v>
      </c>
      <c r="N56" s="66">
        <v>1067.8612108998504</v>
      </c>
      <c r="O56" s="66">
        <v>1075.4442119085716</v>
      </c>
      <c r="P56" s="66">
        <v>1055.238020670216</v>
      </c>
      <c r="Q56" s="66">
        <v>913.81120733669286</v>
      </c>
      <c r="R56" s="66">
        <v>918.54902077800625</v>
      </c>
      <c r="S56" s="66">
        <v>883.49999999999955</v>
      </c>
      <c r="T56" s="66">
        <v>859.60942250755215</v>
      </c>
      <c r="U56" s="66">
        <v>834.57614985384453</v>
      </c>
      <c r="V56" s="66">
        <v>766.06268820430978</v>
      </c>
      <c r="W56" s="66">
        <v>629.82459790682697</v>
      </c>
      <c r="X56" s="66">
        <v>579.07131211883325</v>
      </c>
      <c r="Y56" s="66">
        <v>596.46952467050505</v>
      </c>
    </row>
    <row r="57" spans="1:25" x14ac:dyDescent="0.25">
      <c r="A57" s="72" t="s">
        <v>2</v>
      </c>
      <c r="B57" s="65"/>
      <c r="C57" s="65"/>
      <c r="D57" s="66">
        <v>4642.7500634239714</v>
      </c>
      <c r="E57" s="66">
        <v>4696.607327777504</v>
      </c>
      <c r="F57" s="66">
        <v>4903.9709629344743</v>
      </c>
      <c r="G57" s="66">
        <v>4757.9363678095979</v>
      </c>
      <c r="H57" s="66">
        <v>4771.5742002160941</v>
      </c>
      <c r="I57" s="66">
        <v>4646.9126407533795</v>
      </c>
      <c r="J57" s="66">
        <v>4809.954118825256</v>
      </c>
      <c r="K57" s="66">
        <v>4574.3862427876456</v>
      </c>
      <c r="L57" s="66">
        <v>4405.4692043653286</v>
      </c>
      <c r="M57" s="66">
        <v>4686.6736363077298</v>
      </c>
      <c r="N57" s="66">
        <v>4668.7987382809079</v>
      </c>
      <c r="O57" s="66">
        <v>4758.9150149780462</v>
      </c>
      <c r="P57" s="66">
        <v>4427.0670216097706</v>
      </c>
      <c r="Q57" s="66">
        <v>4633.5988902482486</v>
      </c>
      <c r="R57" s="66">
        <v>4538.9351395975682</v>
      </c>
      <c r="S57" s="66">
        <v>4660</v>
      </c>
      <c r="T57" s="66">
        <v>4785.1225663672712</v>
      </c>
      <c r="U57" s="66">
        <v>4696.3550677086441</v>
      </c>
      <c r="V57" s="66">
        <v>4849.9022113683168</v>
      </c>
      <c r="W57" s="66">
        <v>4706.62283348245</v>
      </c>
      <c r="X57" s="66">
        <v>4845.1180484270271</v>
      </c>
      <c r="Y57" s="66">
        <v>4629.8710567635726</v>
      </c>
    </row>
    <row r="58" spans="1:25" x14ac:dyDescent="0.25">
      <c r="A58" s="72" t="s">
        <v>275</v>
      </c>
      <c r="B58" s="65"/>
      <c r="C58" s="65"/>
      <c r="D58" s="66">
        <v>8702.9221153624385</v>
      </c>
      <c r="E58" s="66">
        <v>7307.1897036343016</v>
      </c>
      <c r="F58" s="66">
        <v>7075.5011778279895</v>
      </c>
      <c r="G58" s="66">
        <v>7890.5799404404588</v>
      </c>
      <c r="H58" s="66">
        <v>8101.8931742377981</v>
      </c>
      <c r="I58" s="66">
        <v>7548.6617281601884</v>
      </c>
      <c r="J58" s="66">
        <v>7859.4219437780939</v>
      </c>
      <c r="K58" s="66">
        <v>8037.6739450164041</v>
      </c>
      <c r="L58" s="66">
        <v>7778.5633645414009</v>
      </c>
      <c r="M58" s="66">
        <v>5746.7560420638329</v>
      </c>
      <c r="N58" s="66">
        <v>8481.3370717602738</v>
      </c>
      <c r="O58" s="66">
        <v>9366.1003734252554</v>
      </c>
      <c r="P58" s="66">
        <v>7806.0405574694641</v>
      </c>
      <c r="Q58" s="66">
        <v>8673.2108624659213</v>
      </c>
      <c r="R58" s="66">
        <v>9334.4871144530971</v>
      </c>
      <c r="S58" s="66">
        <v>12656.9</v>
      </c>
      <c r="T58" s="66">
        <v>13250.326478123474</v>
      </c>
      <c r="U58" s="66">
        <v>13637.177116267971</v>
      </c>
      <c r="V58" s="66">
        <v>13320.156875730827</v>
      </c>
      <c r="W58" s="66">
        <v>13336.176941803125</v>
      </c>
      <c r="X58" s="66">
        <v>11506.048346516918</v>
      </c>
      <c r="Y58" s="66">
        <v>13121.187610029976</v>
      </c>
    </row>
    <row r="59" spans="1:25" x14ac:dyDescent="0.25">
      <c r="A59" s="72" t="s">
        <v>276</v>
      </c>
      <c r="B59" s="65"/>
      <c r="C59" s="65"/>
      <c r="D59" s="66">
        <v>24521.20666989552</v>
      </c>
      <c r="E59" s="66">
        <v>22699.590709601067</v>
      </c>
      <c r="F59" s="66">
        <v>22227.05639151964</v>
      </c>
      <c r="G59" s="66">
        <v>21881.186953399956</v>
      </c>
      <c r="H59" s="66">
        <v>22731.361864048482</v>
      </c>
      <c r="I59" s="66">
        <v>23189.379436629766</v>
      </c>
      <c r="J59" s="66">
        <v>24419.614784451638</v>
      </c>
      <c r="K59" s="66">
        <v>25546.215635252855</v>
      </c>
      <c r="L59" s="66">
        <v>24059.253515183995</v>
      </c>
      <c r="M59" s="66">
        <v>16561.220097164995</v>
      </c>
      <c r="N59" s="66">
        <v>18872.776658196792</v>
      </c>
      <c r="O59" s="66">
        <v>19588.411506422093</v>
      </c>
      <c r="P59" s="66">
        <v>19399.956937049799</v>
      </c>
      <c r="Q59" s="66">
        <v>17466.933829125202</v>
      </c>
      <c r="R59" s="66">
        <v>16925.670635275863</v>
      </c>
      <c r="S59" s="66">
        <v>18057.099999999999</v>
      </c>
      <c r="T59" s="66">
        <v>18198.040134379393</v>
      </c>
      <c r="U59" s="66">
        <v>19366.362425182444</v>
      </c>
      <c r="V59" s="66">
        <v>19737.367674907127</v>
      </c>
      <c r="W59" s="66">
        <v>19109.56908928237</v>
      </c>
      <c r="X59" s="66">
        <v>17723.668055471695</v>
      </c>
      <c r="Y59" s="66">
        <v>21385.069229671219</v>
      </c>
    </row>
    <row r="60" spans="1:25" x14ac:dyDescent="0.25">
      <c r="A60" s="72" t="s">
        <v>1</v>
      </c>
      <c r="B60" s="65"/>
      <c r="C60" s="65"/>
      <c r="D60" s="66">
        <v>746.09654281694691</v>
      </c>
      <c r="E60" s="66">
        <v>756.81739730755953</v>
      </c>
      <c r="F60" s="66">
        <v>754.41084563242168</v>
      </c>
      <c r="G60" s="66">
        <v>718.95194039337548</v>
      </c>
      <c r="H60" s="66">
        <v>691.03208531028326</v>
      </c>
      <c r="I60" s="66">
        <v>661.46656995755097</v>
      </c>
      <c r="J60" s="66">
        <v>639.30875468709974</v>
      </c>
      <c r="K60" s="66">
        <v>643.96424934947402</v>
      </c>
      <c r="L60" s="66">
        <v>592.19304147517983</v>
      </c>
      <c r="M60" s="66">
        <v>496.4024352745833</v>
      </c>
      <c r="N60" s="66">
        <v>510.82099360378515</v>
      </c>
      <c r="O60" s="66">
        <v>459.70290122696872</v>
      </c>
      <c r="P60" s="66">
        <v>448.0504227998747</v>
      </c>
      <c r="Q60" s="66">
        <v>440.52905873399675</v>
      </c>
      <c r="R60" s="66">
        <v>451.56605894230097</v>
      </c>
      <c r="S60" s="66">
        <v>493</v>
      </c>
      <c r="T60" s="66">
        <v>494.45236410036586</v>
      </c>
      <c r="U60" s="66">
        <v>484.79786832110398</v>
      </c>
      <c r="V60" s="66">
        <v>500.01552200502914</v>
      </c>
      <c r="W60" s="66">
        <v>491.14666777636751</v>
      </c>
      <c r="X60" s="66">
        <v>438.68123905561259</v>
      </c>
      <c r="Y60" s="66">
        <v>447.25698244278442</v>
      </c>
    </row>
    <row r="61" spans="1:25" x14ac:dyDescent="0.25">
      <c r="A61" s="72" t="s">
        <v>0</v>
      </c>
      <c r="B61" s="65"/>
      <c r="C61" s="65"/>
      <c r="D61" s="66">
        <v>2095.0667681450218</v>
      </c>
      <c r="E61" s="66">
        <v>2094.5312885250751</v>
      </c>
      <c r="F61" s="66">
        <v>2199.7740493245519</v>
      </c>
      <c r="G61" s="66">
        <v>2369.1985357298399</v>
      </c>
      <c r="H61" s="66">
        <v>2276.2719030394137</v>
      </c>
      <c r="I61" s="66">
        <v>2912.8072198903697</v>
      </c>
      <c r="J61" s="66">
        <v>3007.5459393995852</v>
      </c>
      <c r="K61" s="66">
        <v>3383.3012784251614</v>
      </c>
      <c r="L61" s="66">
        <v>2344.0261828465864</v>
      </c>
      <c r="M61" s="66">
        <v>2186.8273783900127</v>
      </c>
      <c r="N61" s="66">
        <v>2397.1567510733371</v>
      </c>
      <c r="O61" s="66">
        <v>1983.2574172103903</v>
      </c>
      <c r="P61" s="66">
        <v>1832.9157532101472</v>
      </c>
      <c r="Q61" s="66">
        <v>1927.1340083038715</v>
      </c>
      <c r="R61" s="66">
        <v>2257.4324391529653</v>
      </c>
      <c r="S61" s="66">
        <v>2417.5</v>
      </c>
      <c r="T61" s="66">
        <v>2240.6866507830487</v>
      </c>
      <c r="U61" s="66">
        <v>2479.0709697945872</v>
      </c>
      <c r="V61" s="66">
        <v>2481.8651241243001</v>
      </c>
      <c r="W61" s="66">
        <v>2256.0912174112068</v>
      </c>
      <c r="X61" s="66">
        <v>2206.7910552905423</v>
      </c>
      <c r="Y61" s="66">
        <v>4066.9933863063238</v>
      </c>
    </row>
    <row r="62" spans="1:25" x14ac:dyDescent="0.25">
      <c r="A62" s="78" t="s">
        <v>277</v>
      </c>
      <c r="B62" s="79"/>
      <c r="C62" s="79"/>
      <c r="D62" s="80">
        <v>4135.5889204086807</v>
      </c>
      <c r="E62" s="80">
        <v>4211.7461413284682</v>
      </c>
      <c r="F62" s="80">
        <v>4282.7267919811547</v>
      </c>
      <c r="G62" s="80">
        <v>4391.398001341855</v>
      </c>
      <c r="H62" s="80">
        <v>4302.391130737069</v>
      </c>
      <c r="I62" s="80">
        <v>4286.3937408592055</v>
      </c>
      <c r="J62" s="80">
        <v>4596.618301232038</v>
      </c>
      <c r="K62" s="80">
        <v>4772.2593053512837</v>
      </c>
      <c r="L62" s="80">
        <v>4392.9251576558599</v>
      </c>
      <c r="M62" s="80">
        <v>3912.0595289342596</v>
      </c>
      <c r="N62" s="80">
        <v>4129.8300184000709</v>
      </c>
      <c r="O62" s="80">
        <v>4338.2986581312325</v>
      </c>
      <c r="P62" s="80">
        <v>4019.339179455058</v>
      </c>
      <c r="Q62" s="80">
        <v>3656.9788164574647</v>
      </c>
      <c r="R62" s="80">
        <v>3844.6771899461901</v>
      </c>
      <c r="S62" s="80">
        <v>3835.9</v>
      </c>
      <c r="T62" s="80">
        <v>3943.9554195368491</v>
      </c>
      <c r="U62" s="80">
        <v>3740.7783014178049</v>
      </c>
      <c r="V62" s="80">
        <v>3578.2360793484895</v>
      </c>
      <c r="W62" s="80">
        <v>3697.0724704021973</v>
      </c>
      <c r="X62" s="80">
        <v>3915.9269770343981</v>
      </c>
      <c r="Y62" s="80">
        <v>3735.7377361183808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2.1857127977881301E-2</v>
      </c>
      <c r="E66" s="83">
        <f t="shared" ref="E66:S66" si="49">E24/E$23</f>
        <v>2.1891393060659316E-2</v>
      </c>
      <c r="F66" s="83">
        <f t="shared" si="49"/>
        <v>2.1419413828402192E-2</v>
      </c>
      <c r="G66" s="83">
        <f t="shared" si="49"/>
        <v>2.095259111021492E-2</v>
      </c>
      <c r="H66" s="83">
        <f t="shared" si="49"/>
        <v>2.0567110109532358E-2</v>
      </c>
      <c r="I66" s="83">
        <f t="shared" si="49"/>
        <v>1.416341716452617E-2</v>
      </c>
      <c r="J66" s="83">
        <f t="shared" si="49"/>
        <v>1.5362867931492644E-2</v>
      </c>
      <c r="K66" s="83">
        <f t="shared" si="49"/>
        <v>1.7798275115713764E-2</v>
      </c>
      <c r="L66" s="83">
        <f t="shared" si="49"/>
        <v>1.7701731222758216E-2</v>
      </c>
      <c r="M66" s="83">
        <f t="shared" si="49"/>
        <v>1.6285566469523512E-2</v>
      </c>
      <c r="N66" s="83">
        <f t="shared" si="49"/>
        <v>1.8694067976559137E-2</v>
      </c>
      <c r="O66" s="83">
        <f t="shared" si="49"/>
        <v>1.8852260494420452E-2</v>
      </c>
      <c r="P66" s="83">
        <f t="shared" si="49"/>
        <v>1.7439879297256718E-2</v>
      </c>
      <c r="Q66" s="83">
        <f t="shared" si="49"/>
        <v>1.6525235163080833E-2</v>
      </c>
      <c r="R66" s="83">
        <f t="shared" si="49"/>
        <v>1.6233084716675172E-2</v>
      </c>
      <c r="S66" s="83">
        <f t="shared" si="49"/>
        <v>1.6303498361798053E-2</v>
      </c>
      <c r="T66" s="83">
        <f t="shared" ref="T66:Y66" si="50">T24/T$23</f>
        <v>1.579087161282184E-2</v>
      </c>
      <c r="U66" s="83">
        <f t="shared" si="50"/>
        <v>1.6281695369653508E-2</v>
      </c>
      <c r="V66" s="83">
        <f t="shared" si="50"/>
        <v>1.5716187541310281E-2</v>
      </c>
      <c r="W66" s="83">
        <f t="shared" si="50"/>
        <v>1.5675101838812749E-2</v>
      </c>
      <c r="X66" s="83">
        <f t="shared" si="50"/>
        <v>1.4976325716505466E-2</v>
      </c>
      <c r="Y66" s="83">
        <f t="shared" si="50"/>
        <v>1.4503167804849813E-2</v>
      </c>
    </row>
    <row r="67" spans="1:25" x14ac:dyDescent="0.25">
      <c r="A67" s="64" t="s">
        <v>56</v>
      </c>
      <c r="B67" s="65"/>
      <c r="C67" s="65"/>
      <c r="D67" s="83">
        <f t="shared" si="46"/>
        <v>2.0684991604489385E-3</v>
      </c>
      <c r="E67" s="83">
        <f t="shared" ref="E67:S67" si="51">E25/E$23</f>
        <v>1.9942116685306489E-3</v>
      </c>
      <c r="F67" s="83">
        <f t="shared" si="51"/>
        <v>1.9745773661038173E-3</v>
      </c>
      <c r="G67" s="83">
        <f t="shared" si="51"/>
        <v>2.2138859614748083E-3</v>
      </c>
      <c r="H67" s="83">
        <f t="shared" si="51"/>
        <v>2.8347161674231107E-3</v>
      </c>
      <c r="I67" s="83">
        <f t="shared" si="51"/>
        <v>4.2639430472578982E-3</v>
      </c>
      <c r="J67" s="83">
        <f t="shared" si="51"/>
        <v>5.5911477784189659E-3</v>
      </c>
      <c r="K67" s="83">
        <f t="shared" si="51"/>
        <v>5.5301345842001005E-3</v>
      </c>
      <c r="L67" s="83">
        <f t="shared" si="51"/>
        <v>6.5747832669999732E-3</v>
      </c>
      <c r="M67" s="83">
        <f t="shared" si="51"/>
        <v>3.7515563933178848E-3</v>
      </c>
      <c r="N67" s="83">
        <f t="shared" si="51"/>
        <v>8.3765322795795061E-3</v>
      </c>
      <c r="O67" s="83">
        <f t="shared" si="51"/>
        <v>8.6526586156730305E-3</v>
      </c>
      <c r="P67" s="83">
        <f t="shared" si="51"/>
        <v>7.1355326564249673E-3</v>
      </c>
      <c r="Q67" s="83">
        <f t="shared" si="51"/>
        <v>5.5569510980652678E-3</v>
      </c>
      <c r="R67" s="83">
        <f t="shared" si="51"/>
        <v>4.8399130332932401E-3</v>
      </c>
      <c r="S67" s="83">
        <f t="shared" si="51"/>
        <v>4.0495157001452144E-3</v>
      </c>
      <c r="T67" s="83">
        <f t="shared" ref="T67:Y67" si="52">T25/T$23</f>
        <v>4.1758561570453137E-3</v>
      </c>
      <c r="U67" s="83">
        <f t="shared" si="52"/>
        <v>6.2270541560100045E-3</v>
      </c>
      <c r="V67" s="83">
        <f t="shared" si="52"/>
        <v>6.4928915747281876E-3</v>
      </c>
      <c r="W67" s="83">
        <f t="shared" si="52"/>
        <v>7.8831221942970257E-3</v>
      </c>
      <c r="X67" s="83">
        <f t="shared" si="52"/>
        <v>6.8855511265826915E-3</v>
      </c>
      <c r="Y67" s="83">
        <f t="shared" si="52"/>
        <v>1.0942341516577593E-2</v>
      </c>
    </row>
    <row r="68" spans="1:25" x14ac:dyDescent="0.25">
      <c r="A68" s="64" t="s">
        <v>146</v>
      </c>
      <c r="B68" s="65"/>
      <c r="C68" s="65"/>
      <c r="D68" s="83">
        <f t="shared" si="46"/>
        <v>0.69169538815033649</v>
      </c>
      <c r="E68" s="83">
        <f t="shared" ref="E68:S68" si="53">E26/E$23</f>
        <v>0.69599027400543223</v>
      </c>
      <c r="F68" s="83">
        <f t="shared" si="53"/>
        <v>0.70124449656625476</v>
      </c>
      <c r="G68" s="83">
        <f t="shared" si="53"/>
        <v>0.70638827275805527</v>
      </c>
      <c r="H68" s="83">
        <f t="shared" si="53"/>
        <v>0.70856367971842926</v>
      </c>
      <c r="I68" s="83">
        <f t="shared" si="53"/>
        <v>0.71545987908274611</v>
      </c>
      <c r="J68" s="83">
        <f t="shared" si="53"/>
        <v>0.71069529765849171</v>
      </c>
      <c r="K68" s="83">
        <f t="shared" si="53"/>
        <v>0.70667040284787463</v>
      </c>
      <c r="L68" s="83">
        <f t="shared" si="53"/>
        <v>0.71683244438037574</v>
      </c>
      <c r="M68" s="83">
        <f t="shared" si="53"/>
        <v>0.74014248204383248</v>
      </c>
      <c r="N68" s="83">
        <f t="shared" si="53"/>
        <v>0.72168031549699296</v>
      </c>
      <c r="O68" s="83">
        <f t="shared" si="53"/>
        <v>0.72367859226249531</v>
      </c>
      <c r="P68" s="83">
        <f t="shared" si="53"/>
        <v>0.73307493174297611</v>
      </c>
      <c r="Q68" s="83">
        <f t="shared" si="53"/>
        <v>0.74459905922016512</v>
      </c>
      <c r="R68" s="83">
        <f t="shared" si="53"/>
        <v>0.74812819874706638</v>
      </c>
      <c r="S68" s="83">
        <f t="shared" si="53"/>
        <v>0.7442701204755614</v>
      </c>
      <c r="T68" s="83">
        <f t="shared" ref="T68:Y68" si="54">T26/T$23</f>
        <v>0.74883969695201491</v>
      </c>
      <c r="U68" s="83">
        <f t="shared" si="54"/>
        <v>0.74328380653415405</v>
      </c>
      <c r="V68" s="83">
        <f t="shared" si="54"/>
        <v>0.74554807911531906</v>
      </c>
      <c r="W68" s="83">
        <f t="shared" si="54"/>
        <v>0.74683527566135</v>
      </c>
      <c r="X68" s="83">
        <f t="shared" si="54"/>
        <v>0.75154556253412463</v>
      </c>
      <c r="Y68" s="83">
        <f t="shared" si="54"/>
        <v>0.74062833873013356</v>
      </c>
    </row>
    <row r="69" spans="1:25" x14ac:dyDescent="0.25">
      <c r="A69" s="68" t="s">
        <v>148</v>
      </c>
      <c r="B69" s="69"/>
      <c r="C69" s="69"/>
      <c r="D69" s="84">
        <f t="shared" si="46"/>
        <v>0.28557479263720026</v>
      </c>
      <c r="E69" s="84">
        <f t="shared" ref="E69:S69" si="55">E27/E$23</f>
        <v>0.28698881943334931</v>
      </c>
      <c r="F69" s="84">
        <f t="shared" si="55"/>
        <v>0.29277333306830716</v>
      </c>
      <c r="G69" s="84">
        <f t="shared" si="55"/>
        <v>0.29684257783222556</v>
      </c>
      <c r="H69" s="84">
        <f t="shared" si="55"/>
        <v>0.29125964933537979</v>
      </c>
      <c r="I69" s="84">
        <f t="shared" si="55"/>
        <v>0.29253675812971774</v>
      </c>
      <c r="J69" s="84">
        <f t="shared" si="55"/>
        <v>0.28828764370717536</v>
      </c>
      <c r="K69" s="84">
        <f t="shared" si="55"/>
        <v>0.28510853250383411</v>
      </c>
      <c r="L69" s="84">
        <f t="shared" si="55"/>
        <v>0.28955331506103027</v>
      </c>
      <c r="M69" s="84">
        <f t="shared" si="55"/>
        <v>0.29789440159559144</v>
      </c>
      <c r="N69" s="84">
        <f t="shared" si="55"/>
        <v>0.28852832800265699</v>
      </c>
      <c r="O69" s="84">
        <f t="shared" si="55"/>
        <v>0.28720932966156415</v>
      </c>
      <c r="P69" s="84">
        <f t="shared" si="55"/>
        <v>0.29458567671963665</v>
      </c>
      <c r="Q69" s="84">
        <f t="shared" si="55"/>
        <v>0.29748662085603567</v>
      </c>
      <c r="R69" s="84">
        <f t="shared" si="55"/>
        <v>0.29572934829048603</v>
      </c>
      <c r="S69" s="84">
        <f t="shared" si="55"/>
        <v>0.2916216754772441</v>
      </c>
      <c r="T69" s="84">
        <f t="shared" ref="T69:Y69" si="56">T27/T$23</f>
        <v>0.29885130664081466</v>
      </c>
      <c r="U69" s="84">
        <f t="shared" si="56"/>
        <v>0.29718194196588538</v>
      </c>
      <c r="V69" s="84">
        <f t="shared" si="56"/>
        <v>0.29637629858430842</v>
      </c>
      <c r="W69" s="84">
        <f t="shared" si="56"/>
        <v>0.29253074998512441</v>
      </c>
      <c r="X69" s="84">
        <f t="shared" si="56"/>
        <v>0.2851683901838874</v>
      </c>
      <c r="Y69" s="84">
        <f t="shared" si="56"/>
        <v>0.27911851590107478</v>
      </c>
    </row>
    <row r="70" spans="1:25" x14ac:dyDescent="0.25">
      <c r="A70" s="68" t="s">
        <v>150</v>
      </c>
      <c r="B70" s="71"/>
      <c r="C70" s="71"/>
      <c r="D70" s="84">
        <f t="shared" si="46"/>
        <v>0.29810848514688987</v>
      </c>
      <c r="E70" s="84">
        <f t="shared" ref="E70:S70" si="57">E28/E$23</f>
        <v>0.30039992410928262</v>
      </c>
      <c r="F70" s="84">
        <f t="shared" si="57"/>
        <v>0.29704171180393363</v>
      </c>
      <c r="G70" s="84">
        <f t="shared" si="57"/>
        <v>0.29687910181440486</v>
      </c>
      <c r="H70" s="84">
        <f t="shared" si="57"/>
        <v>0.30258617968850049</v>
      </c>
      <c r="I70" s="84">
        <f t="shared" si="57"/>
        <v>0.30648731799806822</v>
      </c>
      <c r="J70" s="84">
        <f t="shared" si="57"/>
        <v>0.30617978467243834</v>
      </c>
      <c r="K70" s="84">
        <f t="shared" si="57"/>
        <v>0.30486924517621106</v>
      </c>
      <c r="L70" s="84">
        <f t="shared" si="57"/>
        <v>0.31040830737437958</v>
      </c>
      <c r="M70" s="84">
        <f t="shared" si="57"/>
        <v>0.32156166776190642</v>
      </c>
      <c r="N70" s="84">
        <f t="shared" si="57"/>
        <v>0.31433335894316494</v>
      </c>
      <c r="O70" s="84">
        <f t="shared" si="57"/>
        <v>0.31936683303345759</v>
      </c>
      <c r="P70" s="84">
        <f t="shared" si="57"/>
        <v>0.32285126679164727</v>
      </c>
      <c r="Q70" s="84">
        <f t="shared" si="57"/>
        <v>0.33075641095935826</v>
      </c>
      <c r="R70" s="84">
        <f t="shared" si="57"/>
        <v>0.33395399929723357</v>
      </c>
      <c r="S70" s="84">
        <f t="shared" si="57"/>
        <v>0.33463814984541468</v>
      </c>
      <c r="T70" s="84">
        <f t="shared" ref="T70:Y70" si="58">T28/T$23</f>
        <v>0.33069357176736752</v>
      </c>
      <c r="U70" s="84">
        <f t="shared" si="58"/>
        <v>0.32826293572872772</v>
      </c>
      <c r="V70" s="84">
        <f t="shared" si="58"/>
        <v>0.33541611875976496</v>
      </c>
      <c r="W70" s="84">
        <f t="shared" si="58"/>
        <v>0.33989276347044378</v>
      </c>
      <c r="X70" s="84">
        <f t="shared" si="58"/>
        <v>0.34832153702211577</v>
      </c>
      <c r="Y70" s="84">
        <f t="shared" si="58"/>
        <v>0.33983017725839482</v>
      </c>
    </row>
    <row r="71" spans="1:25" x14ac:dyDescent="0.25">
      <c r="A71" s="68" t="s">
        <v>152</v>
      </c>
      <c r="B71" s="71"/>
      <c r="C71" s="71"/>
      <c r="D71" s="84">
        <f t="shared" si="46"/>
        <v>0.10801211036624632</v>
      </c>
      <c r="E71" s="84">
        <f t="shared" ref="E71:S71" si="59">E29/E$23</f>
        <v>0.10860153046280019</v>
      </c>
      <c r="F71" s="84">
        <f t="shared" si="59"/>
        <v>0.11142945169401401</v>
      </c>
      <c r="G71" s="84">
        <f t="shared" si="59"/>
        <v>0.11266659311142491</v>
      </c>
      <c r="H71" s="84">
        <f t="shared" si="59"/>
        <v>0.11471785069454907</v>
      </c>
      <c r="I71" s="84">
        <f t="shared" si="59"/>
        <v>0.1164358029549602</v>
      </c>
      <c r="J71" s="84">
        <f t="shared" si="59"/>
        <v>0.11622786927887807</v>
      </c>
      <c r="K71" s="84">
        <f t="shared" si="59"/>
        <v>0.11669262516782958</v>
      </c>
      <c r="L71" s="84">
        <f t="shared" si="59"/>
        <v>0.1168708219449659</v>
      </c>
      <c r="M71" s="84">
        <f t="shared" si="59"/>
        <v>0.12068641268633469</v>
      </c>
      <c r="N71" s="84">
        <f t="shared" si="59"/>
        <v>0.11881862855117123</v>
      </c>
      <c r="O71" s="84">
        <f t="shared" si="59"/>
        <v>0.11710242956747363</v>
      </c>
      <c r="P71" s="84">
        <f t="shared" si="59"/>
        <v>0.11563798823169226</v>
      </c>
      <c r="Q71" s="84">
        <f t="shared" si="59"/>
        <v>0.11635602740477115</v>
      </c>
      <c r="R71" s="84">
        <f t="shared" si="59"/>
        <v>0.11844485115934675</v>
      </c>
      <c r="S71" s="84">
        <f t="shared" si="59"/>
        <v>0.11801029515290269</v>
      </c>
      <c r="T71" s="84">
        <f t="shared" ref="T71:Y71" si="60">T29/T$23</f>
        <v>0.1192948185438326</v>
      </c>
      <c r="U71" s="84">
        <f t="shared" si="60"/>
        <v>0.11783892883954103</v>
      </c>
      <c r="V71" s="84">
        <f t="shared" si="60"/>
        <v>0.11375566177124585</v>
      </c>
      <c r="W71" s="84">
        <f t="shared" si="60"/>
        <v>0.11441176220578185</v>
      </c>
      <c r="X71" s="84">
        <f t="shared" si="60"/>
        <v>0.11805563532812155</v>
      </c>
      <c r="Y71" s="84">
        <f t="shared" si="60"/>
        <v>0.12167964557066403</v>
      </c>
    </row>
    <row r="72" spans="1:25" x14ac:dyDescent="0.25">
      <c r="A72" s="64" t="s">
        <v>154</v>
      </c>
      <c r="B72" s="65"/>
      <c r="C72" s="65"/>
      <c r="D72" s="83">
        <f t="shared" si="46"/>
        <v>2.204294966481082E-2</v>
      </c>
      <c r="E72" s="83">
        <f t="shared" ref="E72:S72" si="61">E30/E$23</f>
        <v>2.5487464717473502E-2</v>
      </c>
      <c r="F72" s="83">
        <f t="shared" si="61"/>
        <v>2.4171180393365074E-2</v>
      </c>
      <c r="G72" s="83">
        <f t="shared" si="61"/>
        <v>2.5812183030805697E-2</v>
      </c>
      <c r="H72" s="83">
        <f t="shared" si="61"/>
        <v>2.8311972594599669E-2</v>
      </c>
      <c r="I72" s="83">
        <f t="shared" si="61"/>
        <v>2.8878116838979714E-2</v>
      </c>
      <c r="J72" s="83">
        <f t="shared" si="61"/>
        <v>2.8186098326366826E-2</v>
      </c>
      <c r="K72" s="83">
        <f t="shared" si="61"/>
        <v>2.6713590924598043E-2</v>
      </c>
      <c r="L72" s="83">
        <f t="shared" si="61"/>
        <v>3.2692848057621092E-2</v>
      </c>
      <c r="M72" s="83">
        <f t="shared" si="61"/>
        <v>3.3612331246613406E-2</v>
      </c>
      <c r="N72" s="83">
        <f t="shared" si="61"/>
        <v>3.3902375725267407E-2</v>
      </c>
      <c r="O72" s="83">
        <f t="shared" si="61"/>
        <v>3.18838701846983E-2</v>
      </c>
      <c r="P72" s="83">
        <f t="shared" si="61"/>
        <v>3.2107537840184205E-2</v>
      </c>
      <c r="Q72" s="83">
        <f t="shared" si="61"/>
        <v>3.0839420944783702E-2</v>
      </c>
      <c r="R72" s="83">
        <f t="shared" si="61"/>
        <v>2.9993672026435502E-2</v>
      </c>
      <c r="S72" s="83">
        <f t="shared" si="61"/>
        <v>2.5367252801141368E-2</v>
      </c>
      <c r="T72" s="83">
        <f t="shared" ref="T72:Y72" si="62">T30/T$23</f>
        <v>2.4364366511701329E-2</v>
      </c>
      <c r="U72" s="83">
        <f t="shared" si="62"/>
        <v>2.4729877853214739E-2</v>
      </c>
      <c r="V72" s="83">
        <f t="shared" si="62"/>
        <v>2.2854460503594066E-2</v>
      </c>
      <c r="W72" s="83">
        <f t="shared" si="62"/>
        <v>2.5106702897010807E-2</v>
      </c>
      <c r="X72" s="83">
        <f t="shared" si="62"/>
        <v>2.1621347904479532E-2</v>
      </c>
      <c r="Y72" s="83">
        <f t="shared" si="62"/>
        <v>2.6121402083940221E-2</v>
      </c>
    </row>
    <row r="73" spans="1:25" x14ac:dyDescent="0.25">
      <c r="A73" s="64" t="s">
        <v>37</v>
      </c>
      <c r="B73" s="65"/>
      <c r="C73" s="65"/>
      <c r="D73" s="83">
        <f t="shared" si="46"/>
        <v>4.1641417010693231E-2</v>
      </c>
      <c r="E73" s="83">
        <f t="shared" ref="E73:S73" si="63">E31/E$23</f>
        <v>4.4774691111466161E-2</v>
      </c>
      <c r="F73" s="83">
        <f t="shared" si="63"/>
        <v>4.6324054105089496E-2</v>
      </c>
      <c r="G73" s="83">
        <f t="shared" si="63"/>
        <v>4.6859508219798285E-2</v>
      </c>
      <c r="H73" s="83">
        <f t="shared" si="63"/>
        <v>4.9464237193260964E-2</v>
      </c>
      <c r="I73" s="83">
        <f t="shared" si="63"/>
        <v>4.9257324795191931E-2</v>
      </c>
      <c r="J73" s="83">
        <f t="shared" si="63"/>
        <v>5.2825196307027332E-2</v>
      </c>
      <c r="K73" s="83">
        <f t="shared" si="63"/>
        <v>5.6183453198989979E-2</v>
      </c>
      <c r="L73" s="83">
        <f t="shared" si="63"/>
        <v>5.4784769007475365E-2</v>
      </c>
      <c r="M73" s="83">
        <f t="shared" si="63"/>
        <v>5.7908999988471169E-2</v>
      </c>
      <c r="N73" s="83">
        <f t="shared" si="63"/>
        <v>5.6379540124052413E-2</v>
      </c>
      <c r="O73" s="83">
        <f t="shared" si="63"/>
        <v>5.7966224753169739E-2</v>
      </c>
      <c r="P73" s="83">
        <f t="shared" si="63"/>
        <v>5.9421356584758236E-2</v>
      </c>
      <c r="Q73" s="83">
        <f t="shared" si="63"/>
        <v>5.8779230417102868E-2</v>
      </c>
      <c r="R73" s="83">
        <f t="shared" si="63"/>
        <v>6.0196995019892494E-2</v>
      </c>
      <c r="S73" s="83">
        <f t="shared" si="63"/>
        <v>6.2108212442532063E-2</v>
      </c>
      <c r="T73" s="83">
        <f t="shared" ref="T73:Y73" si="64">T31/T$23</f>
        <v>6.3048236985829398E-2</v>
      </c>
      <c r="U73" s="83">
        <f t="shared" si="64"/>
        <v>6.7634097715078542E-2</v>
      </c>
      <c r="V73" s="83">
        <f t="shared" si="64"/>
        <v>6.711966430578227E-2</v>
      </c>
      <c r="W73" s="83">
        <f t="shared" si="64"/>
        <v>6.4686417682221345E-2</v>
      </c>
      <c r="X73" s="83">
        <f t="shared" si="64"/>
        <v>6.8642879933158277E-2</v>
      </c>
      <c r="Y73" s="83">
        <f t="shared" si="64"/>
        <v>6.4347031579350664E-2</v>
      </c>
    </row>
    <row r="74" spans="1:25" x14ac:dyDescent="0.25">
      <c r="A74" s="64" t="s">
        <v>58</v>
      </c>
      <c r="B74" s="65"/>
      <c r="C74" s="65"/>
      <c r="D74" s="83">
        <f t="shared" si="46"/>
        <v>0.22069461803582921</v>
      </c>
      <c r="E74" s="83">
        <f t="shared" ref="E74:S74" si="65">E32/E$23</f>
        <v>0.20986196543643817</v>
      </c>
      <c r="F74" s="83">
        <f t="shared" si="65"/>
        <v>0.20486627774078456</v>
      </c>
      <c r="G74" s="83">
        <f t="shared" si="65"/>
        <v>0.19777355891965104</v>
      </c>
      <c r="H74" s="83">
        <f t="shared" si="65"/>
        <v>0.19025828421675453</v>
      </c>
      <c r="I74" s="83">
        <f t="shared" si="65"/>
        <v>0.18797731907129822</v>
      </c>
      <c r="J74" s="83">
        <f t="shared" si="65"/>
        <v>0.1873393919982026</v>
      </c>
      <c r="K74" s="83">
        <f t="shared" si="65"/>
        <v>0.18710414332862332</v>
      </c>
      <c r="L74" s="83">
        <f t="shared" si="65"/>
        <v>0.17141342406476967</v>
      </c>
      <c r="M74" s="83">
        <f t="shared" si="65"/>
        <v>0.1482990638582414</v>
      </c>
      <c r="N74" s="83">
        <f t="shared" si="65"/>
        <v>0.16096716839754852</v>
      </c>
      <c r="O74" s="83">
        <f t="shared" si="65"/>
        <v>0.15896639368954307</v>
      </c>
      <c r="P74" s="83">
        <f t="shared" si="65"/>
        <v>0.15082076187839974</v>
      </c>
      <c r="Q74" s="83">
        <f t="shared" si="65"/>
        <v>0.14370010315680215</v>
      </c>
      <c r="R74" s="83">
        <f t="shared" si="65"/>
        <v>0.14060813645663722</v>
      </c>
      <c r="S74" s="83">
        <f t="shared" si="65"/>
        <v>0.147901400218822</v>
      </c>
      <c r="T74" s="83">
        <f t="shared" ref="T74:Y74" si="66">T32/T$23</f>
        <v>0.14378097178058732</v>
      </c>
      <c r="U74" s="83">
        <f t="shared" si="66"/>
        <v>0.14184346837188921</v>
      </c>
      <c r="V74" s="83">
        <f t="shared" si="66"/>
        <v>0.14226871695926591</v>
      </c>
      <c r="W74" s="83">
        <f t="shared" si="66"/>
        <v>0.13981337972630789</v>
      </c>
      <c r="X74" s="83">
        <f t="shared" si="66"/>
        <v>0.1363283327851493</v>
      </c>
      <c r="Y74" s="83">
        <f t="shared" si="66"/>
        <v>0.14345771828514806</v>
      </c>
    </row>
    <row r="75" spans="1:25" x14ac:dyDescent="0.25">
      <c r="A75" s="85" t="s">
        <v>158</v>
      </c>
      <c r="B75" s="86"/>
      <c r="C75" s="86"/>
      <c r="D75" s="87">
        <f t="shared" si="46"/>
        <v>7.6486731305785947E-3</v>
      </c>
      <c r="E75" s="87">
        <f t="shared" ref="E75:S75" si="67">E33/E$23</f>
        <v>7.8270623635298495E-3</v>
      </c>
      <c r="F75" s="87">
        <f t="shared" si="67"/>
        <v>7.5496675578171114E-3</v>
      </c>
      <c r="G75" s="87">
        <f t="shared" si="67"/>
        <v>7.0654882609638521E-3</v>
      </c>
      <c r="H75" s="87">
        <f t="shared" si="67"/>
        <v>7.5674659908428572E-3</v>
      </c>
      <c r="I75" s="87">
        <f t="shared" si="67"/>
        <v>7.8839480556648685E-3</v>
      </c>
      <c r="J75" s="87">
        <f t="shared" si="67"/>
        <v>8.113734036158074E-3</v>
      </c>
      <c r="K75" s="87">
        <f t="shared" si="67"/>
        <v>1.0179732515394471E-2</v>
      </c>
      <c r="L75" s="87">
        <f t="shared" si="67"/>
        <v>7.4489389048901502E-3</v>
      </c>
      <c r="M75" s="87">
        <f t="shared" si="67"/>
        <v>2.7989860385754968E-3</v>
      </c>
      <c r="N75" s="87">
        <f t="shared" si="67"/>
        <v>8.3012151764265338E-3</v>
      </c>
      <c r="O75" s="87">
        <f t="shared" si="67"/>
        <v>8.5091447063049344E-3</v>
      </c>
      <c r="P75" s="87">
        <f t="shared" si="67"/>
        <v>7.747853730754874E-3</v>
      </c>
      <c r="Q75" s="87">
        <f t="shared" si="67"/>
        <v>8.1245226288280542E-3</v>
      </c>
      <c r="R75" s="87">
        <f t="shared" si="67"/>
        <v>8.3506696913132998E-3</v>
      </c>
      <c r="S75" s="87">
        <f t="shared" si="67"/>
        <v>7.7669217285407152E-3</v>
      </c>
      <c r="T75" s="87">
        <f t="shared" ref="T75:Y75" si="68">T33/T$23</f>
        <v>7.6878172840785528E-3</v>
      </c>
      <c r="U75" s="87">
        <f t="shared" si="68"/>
        <v>6.8913014618375004E-3</v>
      </c>
      <c r="V75" s="87">
        <f t="shared" si="68"/>
        <v>8.0799735901880936E-3</v>
      </c>
      <c r="W75" s="87">
        <f t="shared" si="68"/>
        <v>7.6784056381820221E-3</v>
      </c>
      <c r="X75" s="87">
        <f t="shared" si="68"/>
        <v>8.9867800512893961E-3</v>
      </c>
      <c r="Y75" s="87">
        <f t="shared" si="68"/>
        <v>7.8194087833159849E-3</v>
      </c>
    </row>
    <row r="76" spans="1:25" x14ac:dyDescent="0.25">
      <c r="A76" s="88" t="s">
        <v>5</v>
      </c>
      <c r="B76" s="44"/>
      <c r="C76" s="44"/>
      <c r="D76" s="89">
        <f t="shared" si="46"/>
        <v>6.0782966432024917E-3</v>
      </c>
      <c r="E76" s="89">
        <f t="shared" ref="E76:S76" si="69">E34/E$23</f>
        <v>6.2200601435272946E-3</v>
      </c>
      <c r="F76" s="89">
        <f t="shared" si="69"/>
        <v>5.9996182593441737E-3</v>
      </c>
      <c r="G76" s="89">
        <f t="shared" si="69"/>
        <v>5.6148475488524991E-3</v>
      </c>
      <c r="H76" s="89">
        <f t="shared" si="69"/>
        <v>6.0137624323095655E-3</v>
      </c>
      <c r="I76" s="89">
        <f t="shared" si="69"/>
        <v>6.2652664303756858E-3</v>
      </c>
      <c r="J76" s="89">
        <f t="shared" si="69"/>
        <v>6.4478742278383542E-3</v>
      </c>
      <c r="K76" s="89">
        <f t="shared" si="69"/>
        <v>8.0896951563598583E-3</v>
      </c>
      <c r="L76" s="89">
        <f t="shared" si="69"/>
        <v>5.9195705670833402E-3</v>
      </c>
      <c r="M76" s="89">
        <f t="shared" si="69"/>
        <v>1.8591267489941174E-3</v>
      </c>
      <c r="N76" s="89">
        <f t="shared" si="69"/>
        <v>6.2949187919849551E-3</v>
      </c>
      <c r="O76" s="89">
        <f t="shared" si="69"/>
        <v>6.3489539165071471E-3</v>
      </c>
      <c r="P76" s="89">
        <f t="shared" si="69"/>
        <v>5.4819537924889871E-3</v>
      </c>
      <c r="Q76" s="89">
        <f t="shared" si="69"/>
        <v>6.0428744831105795E-3</v>
      </c>
      <c r="R76" s="89">
        <f t="shared" si="69"/>
        <v>6.315798641504014E-3</v>
      </c>
      <c r="S76" s="89">
        <f t="shared" si="69"/>
        <v>6.0802830275572895E-3</v>
      </c>
      <c r="T76" s="89">
        <f t="shared" ref="T76:Y76" si="70">T34/T$23</f>
        <v>6.3657791811453429E-3</v>
      </c>
      <c r="U76" s="89">
        <f t="shared" si="70"/>
        <v>5.2978215013709832E-3</v>
      </c>
      <c r="V76" s="89">
        <f t="shared" si="70"/>
        <v>6.1395157080809089E-3</v>
      </c>
      <c r="W76" s="89">
        <f t="shared" si="70"/>
        <v>5.70067337064732E-3</v>
      </c>
      <c r="X76" s="89">
        <f t="shared" si="70"/>
        <v>6.8902908914272344E-3</v>
      </c>
      <c r="Y76" s="89">
        <f t="shared" si="70"/>
        <v>5.8953423966140225E-3</v>
      </c>
    </row>
    <row r="77" spans="1:25" x14ac:dyDescent="0.25">
      <c r="A77" s="88" t="s">
        <v>269</v>
      </c>
      <c r="B77" s="44"/>
      <c r="C77" s="44"/>
      <c r="D77" s="89">
        <f>D37/D$23</f>
        <v>1.5703764873761031E-3</v>
      </c>
      <c r="E77" s="89">
        <f t="shared" ref="E77:S77" si="71">E37/E$23</f>
        <v>1.6070022200025561E-3</v>
      </c>
      <c r="F77" s="89">
        <f t="shared" si="71"/>
        <v>1.5500492984729379E-3</v>
      </c>
      <c r="G77" s="89">
        <f t="shared" si="71"/>
        <v>1.4506407121113534E-3</v>
      </c>
      <c r="H77" s="89">
        <f t="shared" si="71"/>
        <v>1.553703558533291E-3</v>
      </c>
      <c r="I77" s="89">
        <f t="shared" si="71"/>
        <v>1.6186816252891825E-3</v>
      </c>
      <c r="J77" s="89">
        <f t="shared" si="71"/>
        <v>1.66585980831972E-3</v>
      </c>
      <c r="K77" s="89">
        <f t="shared" si="71"/>
        <v>2.090037359034611E-3</v>
      </c>
      <c r="L77" s="89">
        <f t="shared" si="71"/>
        <v>1.5293683378068102E-3</v>
      </c>
      <c r="M77" s="89">
        <f t="shared" si="71"/>
        <v>9.398592895813792E-4</v>
      </c>
      <c r="N77" s="89">
        <f t="shared" si="71"/>
        <v>2.0062963844415778E-3</v>
      </c>
      <c r="O77" s="89">
        <f t="shared" si="71"/>
        <v>2.1601907897977877E-3</v>
      </c>
      <c r="P77" s="89">
        <f t="shared" si="71"/>
        <v>2.2658999382658869E-3</v>
      </c>
      <c r="Q77" s="89">
        <f t="shared" si="71"/>
        <v>2.0816481457174752E-3</v>
      </c>
      <c r="R77" s="89">
        <f t="shared" si="71"/>
        <v>2.0348710498092858E-3</v>
      </c>
      <c r="S77" s="89">
        <f t="shared" si="71"/>
        <v>1.6866387009834257E-3</v>
      </c>
      <c r="T77" s="89">
        <f t="shared" ref="T77:Y77" si="72">T37/T$23</f>
        <v>1.3220381029332097E-3</v>
      </c>
      <c r="U77" s="89">
        <f t="shared" si="72"/>
        <v>1.5934799604665165E-3</v>
      </c>
      <c r="V77" s="89">
        <f t="shared" si="72"/>
        <v>1.9404578821071838E-3</v>
      </c>
      <c r="W77" s="89">
        <f t="shared" si="72"/>
        <v>1.9777322675347021E-3</v>
      </c>
      <c r="X77" s="89">
        <f t="shared" si="72"/>
        <v>2.0964891598621621E-3</v>
      </c>
      <c r="Y77" s="89">
        <f t="shared" si="72"/>
        <v>1.9240663867019627E-3</v>
      </c>
    </row>
    <row r="78" spans="1:25" x14ac:dyDescent="0.25">
      <c r="A78" s="68" t="s">
        <v>271</v>
      </c>
      <c r="B78" s="44"/>
      <c r="C78" s="44"/>
      <c r="D78" s="89">
        <f>D43/D$23</f>
        <v>2.7907182264641638E-2</v>
      </c>
      <c r="E78" s="89">
        <f t="shared" ref="E78:S78" si="73">E43/E$23</f>
        <v>2.9395170953826492E-2</v>
      </c>
      <c r="F78" s="89">
        <f t="shared" si="73"/>
        <v>3.1473578548783028E-2</v>
      </c>
      <c r="G78" s="89">
        <f t="shared" si="73"/>
        <v>2.8446475245490627E-2</v>
      </c>
      <c r="H78" s="89">
        <f t="shared" si="73"/>
        <v>2.6412850616552564E-2</v>
      </c>
      <c r="I78" s="89">
        <f t="shared" si="73"/>
        <v>2.7809895181197003E-2</v>
      </c>
      <c r="J78" s="89">
        <f t="shared" si="73"/>
        <v>2.7626080833760735E-2</v>
      </c>
      <c r="K78" s="89">
        <f t="shared" si="73"/>
        <v>2.5698287869830104E-2</v>
      </c>
      <c r="L78" s="89">
        <f t="shared" si="73"/>
        <v>2.3704669684047018E-2</v>
      </c>
      <c r="M78" s="89">
        <f t="shared" si="73"/>
        <v>2.9113922226449492E-2</v>
      </c>
      <c r="N78" s="89">
        <f t="shared" si="73"/>
        <v>2.6629586856953776E-2</v>
      </c>
      <c r="O78" s="89">
        <f t="shared" si="73"/>
        <v>2.4088194627823314E-2</v>
      </c>
      <c r="P78" s="89">
        <f t="shared" si="73"/>
        <v>2.3686550325662529E-2</v>
      </c>
      <c r="Q78" s="89">
        <f t="shared" si="73"/>
        <v>2.2168384034030243E-2</v>
      </c>
      <c r="R78" s="89">
        <f t="shared" si="73"/>
        <v>1.9707959791097421E-2</v>
      </c>
      <c r="S78" s="89">
        <f t="shared" si="73"/>
        <v>2.0470548785923099E-2</v>
      </c>
      <c r="T78" s="89">
        <f t="shared" ref="T78:Y78" si="74">T43/T$23</f>
        <v>1.6637809911502485E-2</v>
      </c>
      <c r="U78" s="89">
        <f t="shared" si="74"/>
        <v>1.4932758764504716E-2</v>
      </c>
      <c r="V78" s="89">
        <f t="shared" si="74"/>
        <v>1.5165983126585134E-2</v>
      </c>
      <c r="W78" s="89">
        <f t="shared" si="74"/>
        <v>1.8550342327639052E-2</v>
      </c>
      <c r="X78" s="89">
        <f t="shared" si="74"/>
        <v>1.8666780445137969E-2</v>
      </c>
      <c r="Y78" s="89">
        <f t="shared" si="74"/>
        <v>1.7794761393821641E-2</v>
      </c>
    </row>
    <row r="79" spans="1:25" x14ac:dyDescent="0.25">
      <c r="A79" s="88" t="s">
        <v>272</v>
      </c>
      <c r="B79" s="44"/>
      <c r="C79" s="44"/>
      <c r="D79" s="89">
        <f>D44/D$23</f>
        <v>2.2325745811713312E-2</v>
      </c>
      <c r="E79" s="89">
        <f t="shared" ref="E79:S79" si="75">E44/E$23</f>
        <v>2.3526151708219995E-2</v>
      </c>
      <c r="F79" s="89">
        <f t="shared" si="75"/>
        <v>2.4205393125156793E-2</v>
      </c>
      <c r="G79" s="89">
        <f t="shared" si="75"/>
        <v>2.2319788360422064E-2</v>
      </c>
      <c r="H79" s="89">
        <f t="shared" si="75"/>
        <v>2.0917835858887564E-2</v>
      </c>
      <c r="I79" s="89">
        <f t="shared" si="75"/>
        <v>2.1525031284627769E-2</v>
      </c>
      <c r="J79" s="89">
        <f t="shared" si="75"/>
        <v>2.0930859644348692E-2</v>
      </c>
      <c r="K79" s="89">
        <f t="shared" si="75"/>
        <v>1.9538688257966959E-2</v>
      </c>
      <c r="L79" s="89">
        <f t="shared" si="75"/>
        <v>1.8623518621995766E-2</v>
      </c>
      <c r="M79" s="89">
        <f t="shared" si="75"/>
        <v>2.2230646422156015E-2</v>
      </c>
      <c r="N79" s="89">
        <f t="shared" si="75"/>
        <v>1.973304158099554E-2</v>
      </c>
      <c r="O79" s="89">
        <f t="shared" si="75"/>
        <v>1.7844076097943945E-2</v>
      </c>
      <c r="P79" s="89">
        <f t="shared" si="75"/>
        <v>1.7392722587118839E-2</v>
      </c>
      <c r="Q79" s="89">
        <f t="shared" si="75"/>
        <v>1.6500384155512679E-2</v>
      </c>
      <c r="R79" s="89">
        <f t="shared" si="75"/>
        <v>1.5312337513725433E-2</v>
      </c>
      <c r="S79" s="89">
        <f t="shared" si="75"/>
        <v>1.5491521013693768E-2</v>
      </c>
      <c r="T79" s="89">
        <f t="shared" ref="T79:Y79" si="76">T44/T$23</f>
        <v>1.3445837317769927E-2</v>
      </c>
      <c r="U79" s="89">
        <f t="shared" si="76"/>
        <v>1.2402424465132709E-2</v>
      </c>
      <c r="V79" s="89">
        <f t="shared" si="76"/>
        <v>1.2616518067041943E-2</v>
      </c>
      <c r="W79" s="89">
        <f t="shared" si="76"/>
        <v>1.4305062808028178E-2</v>
      </c>
      <c r="X79" s="89">
        <f t="shared" si="76"/>
        <v>1.4327363340411955E-2</v>
      </c>
      <c r="Y79" s="89">
        <f t="shared" si="76"/>
        <v>1.3324144046842117E-2</v>
      </c>
    </row>
    <row r="80" spans="1:25" x14ac:dyDescent="0.25">
      <c r="A80" s="88" t="s">
        <v>11</v>
      </c>
      <c r="B80" s="44"/>
      <c r="C80" s="44"/>
      <c r="D80" s="89">
        <f>D47/D$23</f>
        <v>5.5814364529283263E-3</v>
      </c>
      <c r="E80" s="89">
        <f t="shared" ref="E80:S80" si="77">E47/E$23</f>
        <v>5.8690192456064948E-3</v>
      </c>
      <c r="F80" s="89">
        <f t="shared" si="77"/>
        <v>7.2681854236262347E-3</v>
      </c>
      <c r="G80" s="89">
        <f t="shared" si="77"/>
        <v>6.1266868850685654E-3</v>
      </c>
      <c r="H80" s="89">
        <f t="shared" si="77"/>
        <v>5.4950147576649996E-3</v>
      </c>
      <c r="I80" s="89">
        <f t="shared" si="77"/>
        <v>6.2848638965692302E-3</v>
      </c>
      <c r="J80" s="89">
        <f t="shared" si="77"/>
        <v>6.6952211894120463E-3</v>
      </c>
      <c r="K80" s="89">
        <f t="shared" si="77"/>
        <v>6.1595996118631461E-3</v>
      </c>
      <c r="L80" s="89">
        <f t="shared" si="77"/>
        <v>5.0811510620512503E-3</v>
      </c>
      <c r="M80" s="89">
        <f t="shared" si="77"/>
        <v>6.8832758042934759E-3</v>
      </c>
      <c r="N80" s="89">
        <f t="shared" si="77"/>
        <v>6.8965452759582359E-3</v>
      </c>
      <c r="O80" s="89">
        <f t="shared" si="77"/>
        <v>6.2441185298793668E-3</v>
      </c>
      <c r="P80" s="89">
        <f t="shared" si="77"/>
        <v>6.2938277385436916E-3</v>
      </c>
      <c r="Q80" s="89">
        <f t="shared" si="77"/>
        <v>5.6679998785175659E-3</v>
      </c>
      <c r="R80" s="89">
        <f t="shared" si="77"/>
        <v>4.3956222773719866E-3</v>
      </c>
      <c r="S80" s="89">
        <f t="shared" si="77"/>
        <v>4.979027772229333E-3</v>
      </c>
      <c r="T80" s="89">
        <f t="shared" ref="T80:Y80" si="78">T47/T$23</f>
        <v>3.1919725937325561E-3</v>
      </c>
      <c r="U80" s="89">
        <f t="shared" si="78"/>
        <v>2.5303342993720063E-3</v>
      </c>
      <c r="V80" s="89">
        <f t="shared" si="78"/>
        <v>2.5494650595431901E-3</v>
      </c>
      <c r="W80" s="89">
        <f t="shared" si="78"/>
        <v>4.2452795196108754E-3</v>
      </c>
      <c r="X80" s="89">
        <f t="shared" si="78"/>
        <v>4.3394171047260125E-3</v>
      </c>
      <c r="Y80" s="89">
        <f t="shared" si="78"/>
        <v>4.4706173469795246E-3</v>
      </c>
    </row>
    <row r="81" spans="1:25" x14ac:dyDescent="0.25">
      <c r="A81" s="68" t="s">
        <v>4</v>
      </c>
      <c r="B81" s="44"/>
      <c r="C81" s="44"/>
      <c r="D81" s="89">
        <f>D48/D$23</f>
        <v>3.8403148632099875E-3</v>
      </c>
      <c r="E81" s="89">
        <f t="shared" ref="E81:S81" si="79">E48/E$23</f>
        <v>4.0150516589444523E-3</v>
      </c>
      <c r="F81" s="89">
        <f t="shared" si="79"/>
        <v>4.0366133632812893E-3</v>
      </c>
      <c r="G81" s="89">
        <f t="shared" si="79"/>
        <v>3.7593069574381457E-3</v>
      </c>
      <c r="H81" s="89">
        <f t="shared" si="79"/>
        <v>3.6255635240883747E-3</v>
      </c>
      <c r="I81" s="89">
        <f t="shared" si="79"/>
        <v>3.7867134117983751E-3</v>
      </c>
      <c r="J81" s="89">
        <f t="shared" si="79"/>
        <v>3.8586041087564E-3</v>
      </c>
      <c r="K81" s="89">
        <f t="shared" si="79"/>
        <v>4.2154553502261501E-3</v>
      </c>
      <c r="L81" s="89">
        <f t="shared" si="79"/>
        <v>4.1702983744269229E-3</v>
      </c>
      <c r="M81" s="89">
        <f t="shared" si="79"/>
        <v>3.4910766783107943E-3</v>
      </c>
      <c r="N81" s="89">
        <f t="shared" si="79"/>
        <v>3.8738399200005319E-3</v>
      </c>
      <c r="O81" s="89">
        <f t="shared" si="79"/>
        <v>4.6684391317873197E-3</v>
      </c>
      <c r="P81" s="89">
        <f t="shared" si="79"/>
        <v>4.6259598971636114E-3</v>
      </c>
      <c r="Q81" s="89">
        <f t="shared" si="79"/>
        <v>3.892415998612675E-3</v>
      </c>
      <c r="R81" s="89">
        <f t="shared" si="79"/>
        <v>3.8026789702908176E-3</v>
      </c>
      <c r="S81" s="89">
        <f t="shared" si="79"/>
        <v>3.7507404564149885E-3</v>
      </c>
      <c r="T81" s="89">
        <f t="shared" ref="T81:Y81" si="80">T48/T$23</f>
        <v>3.7853154264072845E-3</v>
      </c>
      <c r="U81" s="89">
        <f t="shared" si="80"/>
        <v>3.8938473124065275E-3</v>
      </c>
      <c r="V81" s="89">
        <f t="shared" si="80"/>
        <v>3.5889150712137127E-3</v>
      </c>
      <c r="W81" s="89">
        <f t="shared" si="80"/>
        <v>3.686314733641801E-3</v>
      </c>
      <c r="X81" s="89">
        <f t="shared" si="80"/>
        <v>3.7192900692259163E-3</v>
      </c>
      <c r="Y81" s="89">
        <f t="shared" si="80"/>
        <v>3.4094479646903293E-3</v>
      </c>
    </row>
    <row r="82" spans="1:25" x14ac:dyDescent="0.25">
      <c r="A82" s="68" t="s">
        <v>3</v>
      </c>
      <c r="B82" s="44"/>
      <c r="C82" s="44"/>
      <c r="D82" s="89">
        <f>D52/D$23</f>
        <v>2.7877198298173186E-2</v>
      </c>
      <c r="E82" s="89">
        <f t="shared" ref="E82:S82" si="81">E52/E$23</f>
        <v>2.7663913963891996E-2</v>
      </c>
      <c r="F82" s="89">
        <f t="shared" si="81"/>
        <v>2.472455500452201E-2</v>
      </c>
      <c r="G82" s="89">
        <f t="shared" si="81"/>
        <v>2.2717536457402005E-2</v>
      </c>
      <c r="H82" s="89">
        <f t="shared" si="81"/>
        <v>2.0215219313217996E-2</v>
      </c>
      <c r="I82" s="89">
        <f t="shared" si="81"/>
        <v>1.8385504239258759E-2</v>
      </c>
      <c r="J82" s="89">
        <f t="shared" si="81"/>
        <v>1.7586889639442351E-2</v>
      </c>
      <c r="K82" s="89">
        <f t="shared" si="81"/>
        <v>1.6623388536248396E-2</v>
      </c>
      <c r="L82" s="89">
        <f t="shared" si="81"/>
        <v>1.449978217708987E-2</v>
      </c>
      <c r="M82" s="89">
        <f t="shared" si="81"/>
        <v>1.4502559402344966E-2</v>
      </c>
      <c r="N82" s="89">
        <f t="shared" si="81"/>
        <v>1.4286656289643564E-2</v>
      </c>
      <c r="O82" s="89">
        <f t="shared" si="81"/>
        <v>1.3798384006044532E-2</v>
      </c>
      <c r="P82" s="89">
        <f t="shared" si="81"/>
        <v>1.3164378850597852E-2</v>
      </c>
      <c r="Q82" s="89">
        <f t="shared" si="81"/>
        <v>1.2097780917394229E-2</v>
      </c>
      <c r="R82" s="89">
        <f t="shared" si="81"/>
        <v>1.2496786676040303E-2</v>
      </c>
      <c r="S82" s="89">
        <f t="shared" si="81"/>
        <v>1.1908786140384361E-2</v>
      </c>
      <c r="T82" s="89">
        <f t="shared" ref="T82:Y82" si="82">T52/T$23</f>
        <v>1.14445624648471E-2</v>
      </c>
      <c r="U82" s="89">
        <f t="shared" si="82"/>
        <v>1.1187174646288897E-2</v>
      </c>
      <c r="V82" s="89">
        <f t="shared" si="82"/>
        <v>1.2412323907616481E-2</v>
      </c>
      <c r="W82" s="89">
        <f t="shared" si="82"/>
        <v>1.0949620365306896E-2</v>
      </c>
      <c r="X82" s="89">
        <f t="shared" si="82"/>
        <v>1.0294451025518339E-2</v>
      </c>
      <c r="Y82" s="89">
        <f t="shared" si="82"/>
        <v>1.07478609743142E-2</v>
      </c>
    </row>
    <row r="83" spans="1:25" x14ac:dyDescent="0.25">
      <c r="A83" s="88" t="s">
        <v>21</v>
      </c>
      <c r="B83" s="44"/>
      <c r="C83" s="44"/>
      <c r="D83" s="89">
        <f>D53/D$23</f>
        <v>2.2247708593720411E-2</v>
      </c>
      <c r="E83" s="89">
        <f t="shared" ref="E83:S83" si="83">E53/E$23</f>
        <v>2.225378787878788E-2</v>
      </c>
      <c r="F83" s="89">
        <f t="shared" si="83"/>
        <v>1.9719138532483922E-2</v>
      </c>
      <c r="G83" s="89">
        <f t="shared" si="83"/>
        <v>1.8132635319451681E-2</v>
      </c>
      <c r="H83" s="89">
        <f t="shared" si="83"/>
        <v>1.5784297471791598E-2</v>
      </c>
      <c r="I83" s="89">
        <f t="shared" si="83"/>
        <v>1.4188459199370373E-2</v>
      </c>
      <c r="J83" s="89">
        <f t="shared" si="83"/>
        <v>1.370488181457704E-2</v>
      </c>
      <c r="K83" s="89">
        <f t="shared" si="83"/>
        <v>1.2896736265607301E-2</v>
      </c>
      <c r="L83" s="89">
        <f t="shared" si="83"/>
        <v>1.0946834344165293E-2</v>
      </c>
      <c r="M83" s="89">
        <f t="shared" si="83"/>
        <v>1.1372479507487982E-2</v>
      </c>
      <c r="N83" s="89">
        <f t="shared" si="83"/>
        <v>1.1337492611966891E-2</v>
      </c>
      <c r="O83" s="89">
        <f t="shared" si="83"/>
        <v>1.0932752935747867E-2</v>
      </c>
      <c r="P83" s="89">
        <f t="shared" si="83"/>
        <v>1.0338160604268632E-2</v>
      </c>
      <c r="Q83" s="89">
        <f t="shared" si="83"/>
        <v>9.6786327707100994E-3</v>
      </c>
      <c r="R83" s="89">
        <f t="shared" si="83"/>
        <v>1.0129883643713302E-2</v>
      </c>
      <c r="S83" s="89">
        <f t="shared" si="83"/>
        <v>9.7272330177756456E-3</v>
      </c>
      <c r="T83" s="89">
        <f t="shared" ref="T83:Y83" si="84">T53/T$23</f>
        <v>9.3567554466873169E-3</v>
      </c>
      <c r="U83" s="89">
        <f t="shared" si="84"/>
        <v>9.2148747223002175E-3</v>
      </c>
      <c r="V83" s="89">
        <f t="shared" si="84"/>
        <v>1.0637525091838589E-2</v>
      </c>
      <c r="W83" s="89">
        <f t="shared" si="84"/>
        <v>9.5201462814311928E-3</v>
      </c>
      <c r="X83" s="89">
        <f t="shared" si="84"/>
        <v>8.9455197265378202E-3</v>
      </c>
      <c r="Y83" s="89">
        <f t="shared" si="84"/>
        <v>9.4427174637072026E-3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5.6294897044527779E-3</v>
      </c>
      <c r="E84" s="89">
        <f t="shared" ref="E84:S84" si="86">E56/E$23</f>
        <v>5.4101260851041159E-3</v>
      </c>
      <c r="F84" s="89">
        <f t="shared" si="86"/>
        <v>5.0054164720380852E-3</v>
      </c>
      <c r="G84" s="89">
        <f t="shared" si="86"/>
        <v>4.5849011379503228E-3</v>
      </c>
      <c r="H84" s="89">
        <f t="shared" si="86"/>
        <v>4.4309218414264008E-3</v>
      </c>
      <c r="I84" s="89">
        <f t="shared" si="86"/>
        <v>4.1970450398883851E-3</v>
      </c>
      <c r="J84" s="89">
        <f t="shared" si="86"/>
        <v>3.8820078248653117E-3</v>
      </c>
      <c r="K84" s="89">
        <f t="shared" si="86"/>
        <v>3.726652270641095E-3</v>
      </c>
      <c r="L84" s="89">
        <f t="shared" si="86"/>
        <v>3.5529478329245777E-3</v>
      </c>
      <c r="M84" s="89">
        <f t="shared" si="86"/>
        <v>3.1300798948569841E-3</v>
      </c>
      <c r="N84" s="89">
        <f t="shared" si="86"/>
        <v>2.9491636776766746E-3</v>
      </c>
      <c r="O84" s="89">
        <f t="shared" si="86"/>
        <v>2.8656310702966643E-3</v>
      </c>
      <c r="P84" s="89">
        <f t="shared" si="86"/>
        <v>2.8262182463292189E-3</v>
      </c>
      <c r="Q84" s="89">
        <f t="shared" si="86"/>
        <v>2.4191481466841296E-3</v>
      </c>
      <c r="R84" s="89">
        <f t="shared" si="86"/>
        <v>2.3669030323269996E-3</v>
      </c>
      <c r="S84" s="89">
        <f t="shared" si="86"/>
        <v>2.1815531226087167E-3</v>
      </c>
      <c r="T84" s="89">
        <f t="shared" ref="T84:Y84" si="87">T56/T$23</f>
        <v>2.0878070181597828E-3</v>
      </c>
      <c r="U84" s="89">
        <f t="shared" si="87"/>
        <v>1.9722999239886788E-3</v>
      </c>
      <c r="V84" s="89">
        <f t="shared" si="87"/>
        <v>1.774798815777894E-3</v>
      </c>
      <c r="W84" s="89">
        <f t="shared" si="87"/>
        <v>1.4294740838757028E-3</v>
      </c>
      <c r="X84" s="89">
        <f t="shared" si="87"/>
        <v>1.3489312989805179E-3</v>
      </c>
      <c r="Y84" s="89">
        <f t="shared" si="87"/>
        <v>1.3051435106069985E-3</v>
      </c>
    </row>
    <row r="85" spans="1:25" x14ac:dyDescent="0.25">
      <c r="A85" s="68" t="s">
        <v>2</v>
      </c>
      <c r="B85" s="44"/>
      <c r="C85" s="44"/>
      <c r="D85" s="89">
        <f t="shared" si="85"/>
        <v>1.5884006236665024E-2</v>
      </c>
      <c r="E85" s="89">
        <f t="shared" ref="E85:S85" si="88">E57/E$23</f>
        <v>1.5850924668477394E-2</v>
      </c>
      <c r="F85" s="89">
        <f t="shared" si="88"/>
        <v>1.6220793289537759E-2</v>
      </c>
      <c r="G85" s="89">
        <f t="shared" si="88"/>
        <v>1.53788792463885E-2</v>
      </c>
      <c r="H85" s="89">
        <f t="shared" si="88"/>
        <v>1.4739145529336263E-2</v>
      </c>
      <c r="I85" s="89">
        <f t="shared" si="88"/>
        <v>1.3980968053518405E-2</v>
      </c>
      <c r="J85" s="89">
        <f t="shared" si="88"/>
        <v>1.3809864198265584E-2</v>
      </c>
      <c r="K85" s="89">
        <f t="shared" si="88"/>
        <v>1.2701654830888585E-2</v>
      </c>
      <c r="L85" s="89">
        <f t="shared" si="88"/>
        <v>1.2293549546040511E-2</v>
      </c>
      <c r="M85" s="89">
        <f t="shared" si="88"/>
        <v>1.3728325781943532E-2</v>
      </c>
      <c r="N85" s="89">
        <f t="shared" si="88"/>
        <v>1.2894046077128345E-2</v>
      </c>
      <c r="O85" s="89">
        <f t="shared" si="88"/>
        <v>1.2680615671937592E-2</v>
      </c>
      <c r="P85" s="89">
        <f t="shared" si="88"/>
        <v>1.1856905597705053E-2</v>
      </c>
      <c r="Q85" s="89">
        <f t="shared" si="88"/>
        <v>1.2266606141208784E-2</v>
      </c>
      <c r="R85" s="89">
        <f t="shared" si="88"/>
        <v>1.1695858470732031E-2</v>
      </c>
      <c r="S85" s="89">
        <f t="shared" si="88"/>
        <v>1.1506550708949207E-2</v>
      </c>
      <c r="T85" s="89">
        <f t="shared" ref="T85:Y85" si="89">T57/T$23</f>
        <v>1.162203695682334E-2</v>
      </c>
      <c r="U85" s="89">
        <f t="shared" si="89"/>
        <v>1.1098592674482401E-2</v>
      </c>
      <c r="V85" s="89">
        <f t="shared" si="89"/>
        <v>1.1236157084678977E-2</v>
      </c>
      <c r="W85" s="89">
        <f t="shared" si="89"/>
        <v>1.0682331851440479E-2</v>
      </c>
      <c r="X85" s="89">
        <f t="shared" si="89"/>
        <v>1.1286574288863064E-2</v>
      </c>
      <c r="Y85" s="89">
        <f t="shared" si="89"/>
        <v>1.0130687176381983E-2</v>
      </c>
    </row>
    <row r="86" spans="1:25" x14ac:dyDescent="0.25">
      <c r="A86" s="68" t="s">
        <v>275</v>
      </c>
      <c r="B86" s="44"/>
      <c r="C86" s="44"/>
      <c r="D86" s="89">
        <f t="shared" si="85"/>
        <v>2.9774867754926836E-2</v>
      </c>
      <c r="E86" s="89">
        <f t="shared" ref="E86:S86" si="90">E58/E$23</f>
        <v>2.4661570671566279E-2</v>
      </c>
      <c r="F86" s="89">
        <f t="shared" si="90"/>
        <v>2.3403532136077678E-2</v>
      </c>
      <c r="G86" s="89">
        <f t="shared" si="90"/>
        <v>2.5504392389315213E-2</v>
      </c>
      <c r="H86" s="89">
        <f t="shared" si="90"/>
        <v>2.5026328324270632E-2</v>
      </c>
      <c r="I86" s="89">
        <f t="shared" si="90"/>
        <v>2.2711336886917326E-2</v>
      </c>
      <c r="J86" s="89">
        <f t="shared" si="90"/>
        <v>2.2565194394609387E-2</v>
      </c>
      <c r="K86" s="89">
        <f t="shared" si="90"/>
        <v>2.2318132897892303E-2</v>
      </c>
      <c r="L86" s="89">
        <f t="shared" si="90"/>
        <v>2.1706235972379615E-2</v>
      </c>
      <c r="M86" s="89">
        <f t="shared" si="90"/>
        <v>1.683354661686208E-2</v>
      </c>
      <c r="N86" s="89">
        <f t="shared" si="90"/>
        <v>2.3423316602248868E-2</v>
      </c>
      <c r="O86" s="89">
        <f t="shared" si="90"/>
        <v>2.4956932159198208E-2</v>
      </c>
      <c r="P86" s="89">
        <f t="shared" si="90"/>
        <v>2.0906727982653698E-2</v>
      </c>
      <c r="Q86" s="89">
        <f t="shared" si="90"/>
        <v>2.2960740484773215E-2</v>
      </c>
      <c r="R86" s="89">
        <f t="shared" si="90"/>
        <v>2.4052963267766573E-2</v>
      </c>
      <c r="S86" s="89">
        <f t="shared" si="90"/>
        <v>3.1252631259248757E-2</v>
      </c>
      <c r="T86" s="89">
        <f t="shared" ref="T86:Y86" si="91">T58/T$23</f>
        <v>3.2182202625508728E-2</v>
      </c>
      <c r="U86" s="89">
        <f t="shared" si="91"/>
        <v>3.2227860087477633E-2</v>
      </c>
      <c r="V86" s="89">
        <f t="shared" si="91"/>
        <v>3.0859874802723543E-2</v>
      </c>
      <c r="W86" s="89">
        <f t="shared" si="91"/>
        <v>3.026829911001425E-2</v>
      </c>
      <c r="X86" s="89">
        <f t="shared" si="91"/>
        <v>2.6803035165752807E-2</v>
      </c>
      <c r="Y86" s="89">
        <f t="shared" si="91"/>
        <v>2.8710658554010098E-2</v>
      </c>
    </row>
    <row r="87" spans="1:25" x14ac:dyDescent="0.25">
      <c r="A87" s="68" t="s">
        <v>276</v>
      </c>
      <c r="B87" s="44"/>
      <c r="C87" s="44"/>
      <c r="D87" s="89">
        <f t="shared" si="85"/>
        <v>8.3893165549369389E-2</v>
      </c>
      <c r="E87" s="89">
        <f t="shared" ref="E87:S87" si="92">E59/E$23</f>
        <v>7.6610514192895565E-2</v>
      </c>
      <c r="F87" s="89">
        <f t="shared" si="92"/>
        <v>7.3520110515906539E-2</v>
      </c>
      <c r="G87" s="89">
        <f t="shared" si="92"/>
        <v>7.0725647825110996E-2</v>
      </c>
      <c r="H87" s="89">
        <f t="shared" si="92"/>
        <v>7.0215999277354155E-2</v>
      </c>
      <c r="I87" s="89">
        <f t="shared" si="92"/>
        <v>6.9768897792723508E-2</v>
      </c>
      <c r="J87" s="89">
        <f t="shared" si="92"/>
        <v>7.0111181025069386E-2</v>
      </c>
      <c r="K87" s="89">
        <f t="shared" si="92"/>
        <v>7.0933934305620047E-2</v>
      </c>
      <c r="L87" s="89">
        <f t="shared" si="92"/>
        <v>6.7137826054165836E-2</v>
      </c>
      <c r="M87" s="89">
        <f t="shared" si="92"/>
        <v>4.8511554779280368E-2</v>
      </c>
      <c r="N87" s="89">
        <f t="shared" si="92"/>
        <v>5.2121855208465032E-2</v>
      </c>
      <c r="O87" s="89">
        <f t="shared" si="92"/>
        <v>5.2195325437608082E-2</v>
      </c>
      <c r="P87" s="89">
        <f t="shared" si="92"/>
        <v>5.1958431367614938E-2</v>
      </c>
      <c r="Q87" s="89">
        <f t="shared" si="92"/>
        <v>4.624051473841654E-2</v>
      </c>
      <c r="R87" s="89">
        <f t="shared" si="92"/>
        <v>4.3613808566112973E-2</v>
      </c>
      <c r="S87" s="89">
        <f t="shared" si="92"/>
        <v>4.4586896310422043E-2</v>
      </c>
      <c r="T87" s="89">
        <f t="shared" ref="T87:Y87" si="93">T59/T$23</f>
        <v>4.4199138486033629E-2</v>
      </c>
      <c r="U87" s="89">
        <f t="shared" si="93"/>
        <v>4.5767273778209064E-2</v>
      </c>
      <c r="V87" s="89">
        <f t="shared" si="93"/>
        <v>4.5727141284102782E-2</v>
      </c>
      <c r="W87" s="89">
        <f t="shared" si="93"/>
        <v>4.3371811545541518E-2</v>
      </c>
      <c r="X87" s="89">
        <f t="shared" si="93"/>
        <v>4.1286815755536332E-2</v>
      </c>
      <c r="Y87" s="89">
        <f t="shared" si="93"/>
        <v>4.6792976295653738E-2</v>
      </c>
    </row>
    <row r="88" spans="1:25" x14ac:dyDescent="0.25">
      <c r="A88" s="68" t="s">
        <v>1</v>
      </c>
      <c r="B88" s="44"/>
      <c r="C88" s="44"/>
      <c r="D88" s="89">
        <f t="shared" si="85"/>
        <v>2.5525824085646837E-3</v>
      </c>
      <c r="E88" s="89">
        <f t="shared" ref="E88:S88" si="94">E60/E$23</f>
        <v>2.554238563135751E-3</v>
      </c>
      <c r="F88" s="89">
        <f t="shared" si="94"/>
        <v>2.4953537602242126E-3</v>
      </c>
      <c r="G88" s="89">
        <f t="shared" si="94"/>
        <v>2.3238383661605302E-3</v>
      </c>
      <c r="H88" s="89">
        <f t="shared" si="94"/>
        <v>2.1345623149625777E-3</v>
      </c>
      <c r="I88" s="89">
        <f t="shared" si="94"/>
        <v>1.9901262834042858E-3</v>
      </c>
      <c r="J88" s="89">
        <f t="shared" si="94"/>
        <v>1.835520020541776E-3</v>
      </c>
      <c r="K88" s="89">
        <f t="shared" si="94"/>
        <v>1.788089414523232E-3</v>
      </c>
      <c r="L88" s="89">
        <f t="shared" si="94"/>
        <v>1.6525264752689057E-3</v>
      </c>
      <c r="M88" s="89">
        <f t="shared" si="94"/>
        <v>1.4540748682830098E-3</v>
      </c>
      <c r="N88" s="89">
        <f t="shared" si="94"/>
        <v>1.4107589120701555E-3</v>
      </c>
      <c r="O88" s="89">
        <f t="shared" si="94"/>
        <v>1.22492538643512E-3</v>
      </c>
      <c r="P88" s="89">
        <f t="shared" si="94"/>
        <v>1.2000025163879766E-3</v>
      </c>
      <c r="Q88" s="89">
        <f t="shared" si="94"/>
        <v>1.1662201639032802E-3</v>
      </c>
      <c r="R88" s="89">
        <f t="shared" si="94"/>
        <v>1.163588496671855E-3</v>
      </c>
      <c r="S88" s="89">
        <f t="shared" si="94"/>
        <v>1.2173239269338968E-3</v>
      </c>
      <c r="T88" s="89">
        <f t="shared" ref="T88:Y88" si="95">T60/T$23</f>
        <v>1.2009187997300838E-3</v>
      </c>
      <c r="U88" s="89">
        <f t="shared" si="95"/>
        <v>1.1456914974230163E-3</v>
      </c>
      <c r="V88" s="89">
        <f t="shared" si="95"/>
        <v>1.1584260269942991E-3</v>
      </c>
      <c r="W88" s="89">
        <f t="shared" si="95"/>
        <v>1.1147253303563248E-3</v>
      </c>
      <c r="X88" s="89">
        <f t="shared" si="95"/>
        <v>1.0218963385916022E-3</v>
      </c>
      <c r="Y88" s="89">
        <f t="shared" si="95"/>
        <v>9.7864940967659392E-4</v>
      </c>
    </row>
    <row r="89" spans="1:25" x14ac:dyDescent="0.25">
      <c r="A89" s="68" t="s">
        <v>0</v>
      </c>
      <c r="B89" s="44"/>
      <c r="C89" s="44"/>
      <c r="D89" s="89">
        <f t="shared" si="85"/>
        <v>7.1677460894595318E-3</v>
      </c>
      <c r="E89" s="89">
        <f t="shared" ref="E89:S89" si="96">E61/E$23</f>
        <v>7.0689873249187834E-3</v>
      </c>
      <c r="F89" s="89">
        <f t="shared" si="96"/>
        <v>7.2761605660958666E-3</v>
      </c>
      <c r="G89" s="89">
        <f t="shared" si="96"/>
        <v>7.6578615969350294E-3</v>
      </c>
      <c r="H89" s="89">
        <f t="shared" si="96"/>
        <v>7.0312859939844806E-3</v>
      </c>
      <c r="I89" s="89">
        <f t="shared" si="96"/>
        <v>8.7636389654062175E-3</v>
      </c>
      <c r="J89" s="89">
        <f t="shared" si="96"/>
        <v>8.6349682277836876E-3</v>
      </c>
      <c r="K89" s="89">
        <f t="shared" si="96"/>
        <v>9.3943805237732339E-3</v>
      </c>
      <c r="L89" s="89">
        <f t="shared" si="96"/>
        <v>6.5410517425673713E-3</v>
      </c>
      <c r="M89" s="89">
        <f t="shared" si="96"/>
        <v>6.405711387034667E-3</v>
      </c>
      <c r="N89" s="89">
        <f t="shared" si="96"/>
        <v>6.6203431193137844E-3</v>
      </c>
      <c r="O89" s="89">
        <f t="shared" si="96"/>
        <v>5.2845921826743447E-3</v>
      </c>
      <c r="P89" s="89">
        <f t="shared" si="96"/>
        <v>4.909053544542164E-3</v>
      </c>
      <c r="Q89" s="89">
        <f t="shared" si="96"/>
        <v>5.1017350489580403E-3</v>
      </c>
      <c r="R89" s="89">
        <f t="shared" si="96"/>
        <v>5.8169172952564803E-3</v>
      </c>
      <c r="S89" s="89">
        <f t="shared" si="96"/>
        <v>5.9693318323786925E-3</v>
      </c>
      <c r="T89" s="89">
        <f t="shared" ref="T89:Y89" si="97">T61/T$23</f>
        <v>5.442147552728446E-3</v>
      </c>
      <c r="U89" s="89">
        <f t="shared" si="97"/>
        <v>5.8586283422365649E-3</v>
      </c>
      <c r="V89" s="89">
        <f t="shared" si="97"/>
        <v>5.7499358094849481E-3</v>
      </c>
      <c r="W89" s="89">
        <f t="shared" si="97"/>
        <v>5.1205112294232706E-3</v>
      </c>
      <c r="X89" s="89">
        <f t="shared" si="97"/>
        <v>5.1406613701850557E-3</v>
      </c>
      <c r="Y89" s="89">
        <f t="shared" si="97"/>
        <v>8.8990464831400582E-3</v>
      </c>
    </row>
    <row r="90" spans="1:25" x14ac:dyDescent="0.25">
      <c r="A90" s="90" t="s">
        <v>278</v>
      </c>
      <c r="B90" s="47"/>
      <c r="C90" s="47"/>
      <c r="D90" s="91">
        <f t="shared" si="85"/>
        <v>1.4148881440240376E-2</v>
      </c>
      <c r="E90" s="91">
        <f t="shared" ref="E90:S90" si="98">E62/E$23</f>
        <v>1.4214531075251639E-2</v>
      </c>
      <c r="F90" s="91">
        <f t="shared" si="98"/>
        <v>1.4165912998539042E-2</v>
      </c>
      <c r="G90" s="91">
        <f t="shared" si="98"/>
        <v>1.4194132574446147E-2</v>
      </c>
      <c r="H90" s="91">
        <f t="shared" si="98"/>
        <v>1.3289863332144641E-2</v>
      </c>
      <c r="I90" s="91">
        <f t="shared" si="98"/>
        <v>1.2896290201409512E-2</v>
      </c>
      <c r="J90" s="91">
        <f t="shared" si="98"/>
        <v>1.3197355513815213E-2</v>
      </c>
      <c r="K90" s="91">
        <f t="shared" si="98"/>
        <v>1.3251087084226803E-2</v>
      </c>
      <c r="L90" s="91">
        <f t="shared" si="98"/>
        <v>1.225854513389347E-2</v>
      </c>
      <c r="M90" s="91">
        <f t="shared" si="98"/>
        <v>1.1459306079157012E-2</v>
      </c>
      <c r="N90" s="91">
        <f t="shared" si="98"/>
        <v>1.1405550235297893E-2</v>
      </c>
      <c r="O90" s="91">
        <f t="shared" si="98"/>
        <v>1.1559840379729604E-2</v>
      </c>
      <c r="P90" s="91">
        <f t="shared" si="98"/>
        <v>1.0764898065317045E-2</v>
      </c>
      <c r="Q90" s="91">
        <f t="shared" si="98"/>
        <v>9.681183000677088E-3</v>
      </c>
      <c r="R90" s="91">
        <f t="shared" si="98"/>
        <v>9.9069052313554805E-3</v>
      </c>
      <c r="S90" s="91">
        <f t="shared" si="98"/>
        <v>9.4716690696262373E-3</v>
      </c>
      <c r="T90" s="91">
        <f t="shared" ref="T90:Y90" si="99">T62/T$23</f>
        <v>9.5790222729276817E-3</v>
      </c>
      <c r="U90" s="91">
        <f t="shared" si="99"/>
        <v>8.8403398070228817E-3</v>
      </c>
      <c r="V90" s="91">
        <f t="shared" si="99"/>
        <v>8.2899862556779537E-3</v>
      </c>
      <c r="W90" s="91">
        <f t="shared" si="99"/>
        <v>8.3910175947622782E-3</v>
      </c>
      <c r="X90" s="91">
        <f t="shared" si="99"/>
        <v>9.1220482750488264E-3</v>
      </c>
      <c r="Y90" s="91">
        <f t="shared" si="99"/>
        <v>8.1742212501434153E-3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1.4483699857537724E-2</v>
      </c>
      <c r="F93" s="92">
        <f t="shared" ref="F93:F94" si="101">IF(E16=0,"",F16/E16-1)</f>
        <v>2.1970742123043951E-2</v>
      </c>
      <c r="G93" s="92">
        <f t="shared" ref="G93:G94" si="102">IF(F16=0,"",G16/F16-1)</f>
        <v>2.3097050719836476E-2</v>
      </c>
      <c r="H93" s="92">
        <f t="shared" ref="H93:H94" si="103">IF(G16=0,"",H16/G16-1)</f>
        <v>4.337899185177041E-2</v>
      </c>
      <c r="I93" s="92">
        <f t="shared" ref="I93:I94" si="104">IF(H16=0,"",I16/H16-1)</f>
        <v>2.8582622627441712E-2</v>
      </c>
      <c r="J93" s="92">
        <f t="shared" ref="J93:J94" si="105">IF(I16=0,"",J16/I16-1)</f>
        <v>4.6623501281015889E-2</v>
      </c>
      <c r="K93" s="92">
        <f t="shared" ref="K93:K94" si="106">IF(J16=0,"",K16/J16-1)</f>
        <v>3.4393982148666069E-2</v>
      </c>
      <c r="L93" s="92">
        <f t="shared" ref="L93:L94" si="107">IF(K16=0,"",L16/K16-1)</f>
        <v>-4.5081723383936234E-3</v>
      </c>
      <c r="M93" s="92">
        <f t="shared" ref="M93:M94" si="108">IF(L16=0,"",M16/L16-1)</f>
        <v>-4.3391773987728754E-2</v>
      </c>
      <c r="N93" s="92">
        <f t="shared" ref="N93:N94" si="109">IF(M16=0,"",N16/M16-1)</f>
        <v>5.951544207506454E-2</v>
      </c>
      <c r="O93" s="92">
        <f t="shared" ref="O93:O94" si="110">IF(N16=0,"",O16/N16-1)</f>
        <v>3.1953577557058077E-2</v>
      </c>
      <c r="P93" s="92">
        <f t="shared" ref="P93:P94" si="111">IF(O16=0,"",P16/O16-1)</f>
        <v>-5.8774249400977974E-3</v>
      </c>
      <c r="Q93" s="92">
        <f t="shared" ref="Q93:Q94" si="112">IF(P16=0,"",Q16/P16-1)</f>
        <v>1.1879286184521387E-2</v>
      </c>
      <c r="R93" s="92">
        <f t="shared" ref="R93:R94" si="113">IF(Q16=0,"",R16/Q16-1)</f>
        <v>2.6578352285152373E-2</v>
      </c>
      <c r="S93" s="92">
        <f t="shared" ref="S93:S94" si="114">IF(R16=0,"",S16/R16-1)</f>
        <v>4.4889306976967802E-2</v>
      </c>
      <c r="T93" s="92">
        <f t="shared" ref="T93:T94" si="115">IF(S16=0,"",T16/S16-1)</f>
        <v>2.070893201332269E-2</v>
      </c>
      <c r="U93" s="92">
        <f t="shared" ref="U93:U94" si="116">IF(T16=0,"",U16/T16-1)</f>
        <v>2.5673644586357014E-2</v>
      </c>
      <c r="V93" s="92">
        <f t="shared" ref="V93:V94" si="117">IF(U16=0,"",V16/U16-1)</f>
        <v>1.9498931158742794E-2</v>
      </c>
      <c r="W93" s="92">
        <f t="shared" ref="W93:W94" si="118">IF(V16=0,"",W16/V16-1)</f>
        <v>1.9864771288890193E-2</v>
      </c>
      <c r="X93" s="92">
        <f t="shared" ref="X93:X94" si="119">IF(W16=0,"",X16/W16-1)</f>
        <v>-2.1705457937041595E-2</v>
      </c>
      <c r="Y93" s="92">
        <f t="shared" ref="Y93:Y94" si="120">IF(X16=0,"",Y16/X16-1)</f>
        <v>6.1475459415670342E-2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8.4465146988024209E-3</v>
      </c>
      <c r="F94" s="93">
        <f t="shared" si="101"/>
        <v>2.2639431270062182E-2</v>
      </c>
      <c r="G94" s="93">
        <f t="shared" si="102"/>
        <v>1.6407101028856896E-2</v>
      </c>
      <c r="H94" s="93">
        <f t="shared" si="103"/>
        <v>2.8770598923721691E-2</v>
      </c>
      <c r="I94" s="93">
        <f t="shared" si="104"/>
        <v>3.1516929303276875E-2</v>
      </c>
      <c r="J94" s="93">
        <f t="shared" si="105"/>
        <v>2.9930461928975749E-2</v>
      </c>
      <c r="K94" s="93">
        <f t="shared" si="106"/>
        <v>3.9882917823484743E-2</v>
      </c>
      <c r="L94" s="93">
        <f t="shared" si="107"/>
        <v>4.1873823589286818E-3</v>
      </c>
      <c r="M94" s="93">
        <f t="shared" si="108"/>
        <v>1.0376078746676898E-2</v>
      </c>
      <c r="N94" s="93">
        <f t="shared" si="109"/>
        <v>4.1692474689987824E-2</v>
      </c>
      <c r="O94" s="93">
        <f t="shared" si="110"/>
        <v>1.9897678812868191E-2</v>
      </c>
      <c r="P94" s="93">
        <f t="shared" si="111"/>
        <v>7.3164376779930596E-3</v>
      </c>
      <c r="Q94" s="93">
        <f t="shared" si="112"/>
        <v>1.793286033974173E-2</v>
      </c>
      <c r="R94" s="93">
        <f t="shared" si="113"/>
        <v>2.8791355009483599E-2</v>
      </c>
      <c r="S94" s="93">
        <f t="shared" si="114"/>
        <v>3.9253049668451778E-2</v>
      </c>
      <c r="T94" s="93">
        <f t="shared" si="115"/>
        <v>2.3011593250209073E-2</v>
      </c>
      <c r="U94" s="93">
        <f t="shared" si="116"/>
        <v>2.6065260187258632E-2</v>
      </c>
      <c r="V94" s="93">
        <f t="shared" si="117"/>
        <v>1.8493766916540144E-2</v>
      </c>
      <c r="W94" s="93">
        <f t="shared" si="118"/>
        <v>7.2057423327640535E-3</v>
      </c>
      <c r="X94" s="93">
        <f t="shared" si="119"/>
        <v>-3.1680398252340036E-2</v>
      </c>
      <c r="Y94" s="93">
        <f t="shared" si="120"/>
        <v>6.3249955656346168E-2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1.2043537042607744E-2</v>
      </c>
      <c r="F95" s="92">
        <f t="shared" ref="F95:F96" si="122">IF(E20=0,"",F20/E20-1)</f>
        <v>1.8949725760437852E-2</v>
      </c>
      <c r="G95" s="92">
        <f t="shared" ref="G95:G96" si="123">IF(F20=0,"",G20/F20-1)</f>
        <v>1.9474187430181367E-2</v>
      </c>
      <c r="H95" s="92">
        <f t="shared" ref="H95:H96" si="124">IF(G20=0,"",H20/G20-1)</f>
        <v>3.932412508485772E-2</v>
      </c>
      <c r="I95" s="92">
        <f t="shared" ref="I95:I96" si="125">IF(H20=0,"",I20/H20-1)</f>
        <v>2.4505224990595265E-2</v>
      </c>
      <c r="J95" s="92">
        <f t="shared" ref="J95:J96" si="126">IF(I20=0,"",J20/I20-1)</f>
        <v>4.2417458663294161E-2</v>
      </c>
      <c r="K95" s="92">
        <f t="shared" ref="K95:K96" si="127">IF(J20=0,"",K20/J20-1)</f>
        <v>2.6958882074054946E-2</v>
      </c>
      <c r="L95" s="92">
        <f t="shared" ref="L95:L96" si="128">IF(K20=0,"",L20/K20-1)</f>
        <v>-1.2060874830004953E-2</v>
      </c>
      <c r="M95" s="92">
        <f t="shared" ref="M95:M96" si="129">IF(L20=0,"",M20/L20-1)</f>
        <v>-5.0979451497422446E-2</v>
      </c>
      <c r="N95" s="92">
        <f t="shared" ref="N95:N96" si="130">IF(M20=0,"",N20/M20-1)</f>
        <v>4.9949306025534046E-2</v>
      </c>
      <c r="O95" s="92">
        <f t="shared" ref="O95:O96" si="131">IF(N20=0,"",O20/N20-1)</f>
        <v>2.3745796242056194E-2</v>
      </c>
      <c r="P95" s="92">
        <f t="shared" ref="P95:P96" si="132">IF(O20=0,"",P20/O20-1)</f>
        <v>-1.2931159017325111E-2</v>
      </c>
      <c r="Q95" s="92">
        <f t="shared" ref="Q95:Q96" si="133">IF(P20=0,"",Q20/P20-1)</f>
        <v>4.1452482139889835E-3</v>
      </c>
      <c r="R95" s="92">
        <f t="shared" ref="R95:R96" si="134">IF(Q20=0,"",R20/Q20-1)</f>
        <v>1.7108472504456351E-2</v>
      </c>
      <c r="S95" s="92">
        <f t="shared" ref="S95:S96" si="135">IF(R20=0,"",S20/R20-1)</f>
        <v>3.3902557242154963E-2</v>
      </c>
      <c r="T95" s="92">
        <f t="shared" ref="T95:T96" si="136">IF(S20=0,"",T20/S20-1)</f>
        <v>9.9680380213253983E-3</v>
      </c>
      <c r="U95" s="92">
        <f t="shared" ref="U95:U96" si="137">IF(T20=0,"",U20/T20-1)</f>
        <v>1.0882825832897236E-2</v>
      </c>
      <c r="V95" s="92">
        <f t="shared" ref="V95:V96" si="138">IF(U20=0,"",V20/U20-1)</f>
        <v>6.897641407003885E-3</v>
      </c>
      <c r="W95" s="92">
        <f t="shared" ref="W95:W96" si="139">IF(V20=0,"",W20/V20-1)</f>
        <v>8.904364165283507E-3</v>
      </c>
      <c r="X95" s="92">
        <f t="shared" ref="X95:X96" si="140">IF(W20=0,"",X20/W20-1)</f>
        <v>-3.093218080286253E-2</v>
      </c>
      <c r="Y95" s="92">
        <f t="shared" ref="Y95:Y96" si="141">IF(X20=0,"",Y20/X20-1)</f>
        <v>5.6187561720832058E-2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6.0208732751312333E-3</v>
      </c>
      <c r="F96" s="93">
        <f t="shared" si="122"/>
        <v>1.9616438215980248E-2</v>
      </c>
      <c r="G96" s="93">
        <f t="shared" si="123"/>
        <v>1.2807927352154858E-2</v>
      </c>
      <c r="H96" s="93">
        <f t="shared" si="124"/>
        <v>2.4772504516100025E-2</v>
      </c>
      <c r="I96" s="93">
        <f t="shared" si="125"/>
        <v>2.7427899800557487E-2</v>
      </c>
      <c r="J96" s="93">
        <f t="shared" si="126"/>
        <v>2.5791503257723836E-2</v>
      </c>
      <c r="K96" s="93">
        <f t="shared" si="127"/>
        <v>3.2408363936545337E-2</v>
      </c>
      <c r="L96" s="93">
        <f t="shared" si="128"/>
        <v>-3.4312924850449233E-3</v>
      </c>
      <c r="M96" s="93">
        <f t="shared" si="129"/>
        <v>2.3619224384072712E-3</v>
      </c>
      <c r="N96" s="93">
        <f t="shared" si="130"/>
        <v>3.22872583628524E-2</v>
      </c>
      <c r="O96" s="93">
        <f t="shared" si="131"/>
        <v>1.1785785706987406E-2</v>
      </c>
      <c r="P96" s="93">
        <f t="shared" si="132"/>
        <v>1.6908738009613344E-4</v>
      </c>
      <c r="Q96" s="93">
        <f t="shared" si="133"/>
        <v>1.0152553438702583E-2</v>
      </c>
      <c r="R96" s="93">
        <f t="shared" si="134"/>
        <v>1.9301060937265468E-2</v>
      </c>
      <c r="S96" s="93">
        <f t="shared" si="135"/>
        <v>2.8325563769603379E-2</v>
      </c>
      <c r="T96" s="93">
        <f t="shared" si="136"/>
        <v>1.2246468412894895E-2</v>
      </c>
      <c r="U96" s="93">
        <f t="shared" si="137"/>
        <v>1.1268794105913971E-2</v>
      </c>
      <c r="V96" s="93">
        <f t="shared" si="138"/>
        <v>5.9049012738188189E-3</v>
      </c>
      <c r="W96" s="93">
        <f t="shared" si="139"/>
        <v>-3.6186191943531343E-3</v>
      </c>
      <c r="X96" s="93">
        <f t="shared" si="140"/>
        <v>-4.0813043101842528E-2</v>
      </c>
      <c r="Y96" s="93">
        <f t="shared" si="141"/>
        <v>5.7953218044864308E-2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1.3711547455771189E-2</v>
      </c>
      <c r="F97" s="89">
        <f t="shared" ref="F97:F106" si="143">IF(E23=0,"",F23/E23-1)</f>
        <v>2.0342909249797092E-2</v>
      </c>
      <c r="G97" s="89">
        <f t="shared" ref="G97:G106" si="144">IF(F23=0,"",G23/F23-1)</f>
        <v>2.3335740871436528E-2</v>
      </c>
      <c r="H97" s="89">
        <f t="shared" ref="H97:H106" si="145">IF(G23=0,"",H23/G23-1)</f>
        <v>4.6394461095615291E-2</v>
      </c>
      <c r="I97" s="89">
        <f t="shared" ref="I97:I106" si="146">IF(H23=0,"",I23/H23-1)</f>
        <v>2.6686591005452787E-2</v>
      </c>
      <c r="J97" s="89">
        <f t="shared" ref="J97:J106" si="147">IF(I23=0,"",J23/I23-1)</f>
        <v>4.7910666860950357E-2</v>
      </c>
      <c r="K97" s="89">
        <f t="shared" ref="K97:K106" si="148">IF(J23=0,"",K23/J23-1)</f>
        <v>3.4001096935839081E-2</v>
      </c>
      <c r="L97" s="89">
        <f t="shared" ref="L97:L106" si="149">IF(K23=0,"",L23/K23-1)</f>
        <v>-4.955855187743663E-3</v>
      </c>
      <c r="M97" s="89">
        <f t="shared" ref="M97:M106" si="150">IF(L23=0,"",M23/L23-1)</f>
        <v>-4.7352436046508739E-2</v>
      </c>
      <c r="N97" s="89">
        <f t="shared" ref="N97:N106" si="151">IF(M23=0,"",N23/M23-1)</f>
        <v>6.0641949466291312E-2</v>
      </c>
      <c r="O97" s="89">
        <f t="shared" ref="O97:O106" si="152">IF(N23=0,"",O23/N23-1)</f>
        <v>3.6457919214963441E-2</v>
      </c>
      <c r="P97" s="89">
        <f t="shared" ref="P97:P106" si="153">IF(O23=0,"",P23/O23-1)</f>
        <v>-5.1052811489789018E-3</v>
      </c>
      <c r="Q97" s="89">
        <f t="shared" ref="Q97:Q106" si="154">IF(P23=0,"",Q23/P23-1)</f>
        <v>1.1694246958165122E-2</v>
      </c>
      <c r="R97" s="89">
        <f t="shared" ref="R97:R106" si="155">IF(Q23=0,"",R23/Q23-1)</f>
        <v>2.7372312506796392E-2</v>
      </c>
      <c r="S97" s="89">
        <f t="shared" ref="S97:S106" si="156">IF(R23=0,"",S23/R23-1)</f>
        <v>4.3563518765940223E-2</v>
      </c>
      <c r="T97" s="89">
        <f t="shared" ref="T97:T106" si="157">IF(S23=0,"",T23/S23-1)</f>
        <v>1.664669516027395E-2</v>
      </c>
      <c r="U97" s="89">
        <f t="shared" ref="U97:U106" si="158">IF(T23=0,"",U23/T23-1)</f>
        <v>2.7737485793313921E-2</v>
      </c>
      <c r="V97" s="89">
        <f t="shared" ref="V97:V106" si="159">IF(U23=0,"",V23/U23-1)</f>
        <v>2.0051663370281192E-2</v>
      </c>
      <c r="W97" s="89">
        <f t="shared" ref="W97:W106" si="160">IF(V23=0,"",W23/V23-1)</f>
        <v>2.0770597687413517E-2</v>
      </c>
      <c r="X97" s="89">
        <f t="shared" ref="X97:X106" si="161">IF(W23=0,"",X23/W23-1)</f>
        <v>-2.5686127064158071E-2</v>
      </c>
      <c r="Y97" s="89">
        <f t="shared" ref="Y97:Y106" si="162">IF(X23=0,"",Y23/X23-1)</f>
        <v>6.4603212948974864E-2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1.5300727430457295E-2</v>
      </c>
      <c r="F98" s="83">
        <f t="shared" si="143"/>
        <v>-1.6557210617732521E-3</v>
      </c>
      <c r="G98" s="83">
        <f t="shared" si="144"/>
        <v>1.0327788950292849E-3</v>
      </c>
      <c r="H98" s="83">
        <f t="shared" si="145"/>
        <v>2.7143134047326045E-2</v>
      </c>
      <c r="I98" s="83">
        <f t="shared" si="146"/>
        <v>-0.29297842972621091</v>
      </c>
      <c r="J98" s="83">
        <f t="shared" si="147"/>
        <v>0.13665459344858233</v>
      </c>
      <c r="K98" s="83">
        <f t="shared" si="148"/>
        <v>0.19791669597629746</v>
      </c>
      <c r="L98" s="83">
        <f t="shared" si="149"/>
        <v>-1.0353312794069924E-2</v>
      </c>
      <c r="M98" s="83">
        <f t="shared" si="150"/>
        <v>-0.12356565414075715</v>
      </c>
      <c r="N98" s="83">
        <f t="shared" si="151"/>
        <v>0.2175021814081961</v>
      </c>
      <c r="O98" s="83">
        <f t="shared" si="152"/>
        <v>4.5228609901629913E-2</v>
      </c>
      <c r="P98" s="83">
        <f t="shared" si="153"/>
        <v>-7.964120189326096E-2</v>
      </c>
      <c r="Q98" s="83">
        <f t="shared" si="154"/>
        <v>-4.1364618461008473E-2</v>
      </c>
      <c r="R98" s="83">
        <f t="shared" si="155"/>
        <v>9.2093467903244797E-3</v>
      </c>
      <c r="S98" s="83">
        <f t="shared" si="156"/>
        <v>4.8090145254748418E-2</v>
      </c>
      <c r="T98" s="83">
        <f t="shared" si="157"/>
        <v>-1.5319468090834842E-2</v>
      </c>
      <c r="U98" s="83">
        <f t="shared" si="158"/>
        <v>5.9682395876948346E-2</v>
      </c>
      <c r="V98" s="83">
        <f t="shared" si="159"/>
        <v>-1.5377521849924691E-2</v>
      </c>
      <c r="W98" s="83">
        <f t="shared" si="160"/>
        <v>1.8102070286313499E-2</v>
      </c>
      <c r="X98" s="83">
        <f t="shared" si="161"/>
        <v>-6.9119801501571709E-2</v>
      </c>
      <c r="Y98" s="83">
        <f t="shared" si="162"/>
        <v>3.0968432127823409E-2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-2.2694601422119987E-2</v>
      </c>
      <c r="F99" s="83">
        <f t="shared" si="143"/>
        <v>1.0296974018636273E-2</v>
      </c>
      <c r="G99" s="83">
        <f t="shared" si="144"/>
        <v>0.14735875609726801</v>
      </c>
      <c r="H99" s="83">
        <f t="shared" si="145"/>
        <v>0.33983021166715455</v>
      </c>
      <c r="I99" s="83">
        <f t="shared" si="146"/>
        <v>0.54432856514526384</v>
      </c>
      <c r="J99" s="83">
        <f t="shared" si="147"/>
        <v>0.37408575397577648</v>
      </c>
      <c r="K99" s="83">
        <f t="shared" si="148"/>
        <v>2.2717598046152254E-2</v>
      </c>
      <c r="L99" s="83">
        <f t="shared" si="149"/>
        <v>0.18300911010906429</v>
      </c>
      <c r="M99" s="83">
        <f t="shared" si="150"/>
        <v>-0.4564214645573893</v>
      </c>
      <c r="N99" s="83">
        <f t="shared" si="151"/>
        <v>1.368217506367551</v>
      </c>
      <c r="O99" s="83">
        <f t="shared" si="152"/>
        <v>7.0624005871805284E-2</v>
      </c>
      <c r="P99" s="83">
        <f t="shared" si="153"/>
        <v>-0.17954653345421434</v>
      </c>
      <c r="Q99" s="83">
        <f t="shared" si="154"/>
        <v>-0.2121211229440042</v>
      </c>
      <c r="R99" s="83">
        <f t="shared" si="155"/>
        <v>-0.1051940969792825</v>
      </c>
      <c r="S99" s="83">
        <f t="shared" si="156"/>
        <v>-0.12685892819317945</v>
      </c>
      <c r="T99" s="83">
        <f t="shared" si="157"/>
        <v>4.8364959141302233E-2</v>
      </c>
      <c r="U99" s="83">
        <f t="shared" si="158"/>
        <v>0.53256643464577169</v>
      </c>
      <c r="V99" s="83">
        <f t="shared" si="159"/>
        <v>6.3598402222364125E-2</v>
      </c>
      <c r="W99" s="83">
        <f t="shared" si="160"/>
        <v>0.23933370229616946</v>
      </c>
      <c r="X99" s="83">
        <f t="shared" si="161"/>
        <v>-0.14898084539500467</v>
      </c>
      <c r="Y99" s="83">
        <f t="shared" si="162"/>
        <v>0.69184016233062273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2.0005901098864687E-2</v>
      </c>
      <c r="F100" s="83">
        <f t="shared" si="143"/>
        <v>2.8045759323695796E-2</v>
      </c>
      <c r="G100" s="83">
        <f t="shared" si="144"/>
        <v>3.0842124231146295E-2</v>
      </c>
      <c r="H100" s="83">
        <f t="shared" si="145"/>
        <v>4.961695767681773E-2</v>
      </c>
      <c r="I100" s="83">
        <f t="shared" si="146"/>
        <v>3.6678968005439572E-2</v>
      </c>
      <c r="J100" s="83">
        <f t="shared" si="147"/>
        <v>4.0932140400452344E-2</v>
      </c>
      <c r="K100" s="83">
        <f t="shared" si="148"/>
        <v>2.8145217963597258E-2</v>
      </c>
      <c r="L100" s="83">
        <f t="shared" si="149"/>
        <v>9.3530501880925154E-3</v>
      </c>
      <c r="M100" s="83">
        <f t="shared" si="150"/>
        <v>-1.6374135929315803E-2</v>
      </c>
      <c r="N100" s="83">
        <f t="shared" si="151"/>
        <v>3.4185221481244366E-2</v>
      </c>
      <c r="O100" s="83">
        <f t="shared" si="152"/>
        <v>3.932779072720205E-2</v>
      </c>
      <c r="P100" s="83">
        <f t="shared" si="153"/>
        <v>7.8125647367686124E-3</v>
      </c>
      <c r="Q100" s="83">
        <f t="shared" si="154"/>
        <v>2.7598342112754803E-2</v>
      </c>
      <c r="R100" s="83">
        <f t="shared" si="155"/>
        <v>3.2241698509928307E-2</v>
      </c>
      <c r="S100" s="83">
        <f t="shared" si="156"/>
        <v>3.8181887992726482E-2</v>
      </c>
      <c r="T100" s="83">
        <f t="shared" si="157"/>
        <v>2.2888575218686258E-2</v>
      </c>
      <c r="U100" s="83">
        <f t="shared" si="158"/>
        <v>2.0112360051934619E-2</v>
      </c>
      <c r="V100" s="83">
        <f t="shared" si="159"/>
        <v>2.3159056525408506E-2</v>
      </c>
      <c r="W100" s="83">
        <f t="shared" si="160"/>
        <v>2.2532968786527885E-2</v>
      </c>
      <c r="X100" s="83">
        <f t="shared" si="161"/>
        <v>-1.9541133656357568E-2</v>
      </c>
      <c r="Y100" s="83">
        <f t="shared" si="162"/>
        <v>4.9138400011989214E-2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1.8730951579051913E-2</v>
      </c>
      <c r="F101" s="84">
        <f t="shared" si="143"/>
        <v>4.0908823568486241E-2</v>
      </c>
      <c r="G101" s="84">
        <f t="shared" si="144"/>
        <v>3.7559043115634072E-2</v>
      </c>
      <c r="H101" s="84">
        <f t="shared" si="145"/>
        <v>2.6714179720704001E-2</v>
      </c>
      <c r="I101" s="84">
        <f t="shared" si="146"/>
        <v>3.1188383400636566E-2</v>
      </c>
      <c r="J101" s="84">
        <f t="shared" si="147"/>
        <v>3.2689699907729297E-2</v>
      </c>
      <c r="K101" s="84">
        <f t="shared" si="148"/>
        <v>2.2598580930419221E-2</v>
      </c>
      <c r="L101" s="84">
        <f t="shared" si="149"/>
        <v>1.0556675495434709E-2</v>
      </c>
      <c r="M101" s="84">
        <f t="shared" si="150"/>
        <v>-1.9909767098995057E-2</v>
      </c>
      <c r="N101" s="84">
        <f t="shared" si="151"/>
        <v>2.7294392408335089E-2</v>
      </c>
      <c r="O101" s="84">
        <f t="shared" si="152"/>
        <v>3.1719783845307603E-2</v>
      </c>
      <c r="P101" s="84">
        <f t="shared" si="153"/>
        <v>2.0446426175905641E-2</v>
      </c>
      <c r="Q101" s="84">
        <f t="shared" si="154"/>
        <v>2.1656946184492876E-2</v>
      </c>
      <c r="R101" s="84">
        <f t="shared" si="155"/>
        <v>2.1303558308108705E-2</v>
      </c>
      <c r="S101" s="84">
        <f t="shared" si="156"/>
        <v>2.9068449136546048E-2</v>
      </c>
      <c r="T101" s="84">
        <f t="shared" si="157"/>
        <v>4.1850516575960395E-2</v>
      </c>
      <c r="U101" s="84">
        <f t="shared" si="158"/>
        <v>2.199660858863095E-2</v>
      </c>
      <c r="V101" s="84">
        <f t="shared" si="159"/>
        <v>1.7286361192011102E-2</v>
      </c>
      <c r="W101" s="84">
        <f t="shared" si="160"/>
        <v>7.5258714364430102E-3</v>
      </c>
      <c r="X101" s="84">
        <f t="shared" si="161"/>
        <v>-5.020747838279771E-2</v>
      </c>
      <c r="Y101" s="84">
        <f t="shared" si="162"/>
        <v>4.2017555417765085E-2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2.1503536789194921E-2</v>
      </c>
      <c r="F102" s="84">
        <f t="shared" si="143"/>
        <v>8.9363547252636621E-3</v>
      </c>
      <c r="G102" s="84">
        <f t="shared" si="144"/>
        <v>2.2775534652933027E-2</v>
      </c>
      <c r="H102" s="84">
        <f t="shared" si="145"/>
        <v>6.6509904183382318E-2</v>
      </c>
      <c r="I102" s="84">
        <f t="shared" si="146"/>
        <v>3.992330391882537E-2</v>
      </c>
      <c r="J102" s="84">
        <f t="shared" si="147"/>
        <v>4.6859179789812133E-2</v>
      </c>
      <c r="K102" s="84">
        <f t="shared" si="148"/>
        <v>2.9575268241347041E-2</v>
      </c>
      <c r="L102" s="84">
        <f t="shared" si="149"/>
        <v>1.3122752265273707E-2</v>
      </c>
      <c r="M102" s="84">
        <f t="shared" si="150"/>
        <v>-1.312261245400459E-2</v>
      </c>
      <c r="N102" s="84">
        <f t="shared" si="151"/>
        <v>3.6800029469374884E-2</v>
      </c>
      <c r="O102" s="84">
        <f t="shared" si="152"/>
        <v>5.3054897975307158E-2</v>
      </c>
      <c r="P102" s="84">
        <f t="shared" si="153"/>
        <v>5.7494613779194292E-3</v>
      </c>
      <c r="Q102" s="84">
        <f t="shared" si="154"/>
        <v>3.6465990787218461E-2</v>
      </c>
      <c r="R102" s="84">
        <f t="shared" si="155"/>
        <v>3.7304436620730685E-2</v>
      </c>
      <c r="S102" s="84">
        <f t="shared" si="156"/>
        <v>4.5701401692714194E-2</v>
      </c>
      <c r="T102" s="84">
        <f t="shared" si="157"/>
        <v>4.6628784056665928E-3</v>
      </c>
      <c r="U102" s="84">
        <f t="shared" si="158"/>
        <v>2.0183496286110714E-2</v>
      </c>
      <c r="V102" s="84">
        <f t="shared" si="159"/>
        <v>4.22796259424294E-2</v>
      </c>
      <c r="W102" s="84">
        <f t="shared" si="160"/>
        <v>3.439435349810771E-2</v>
      </c>
      <c r="X102" s="84">
        <f t="shared" si="161"/>
        <v>-1.5247682891784686E-3</v>
      </c>
      <c r="Y102" s="84">
        <f t="shared" si="162"/>
        <v>3.8650385099030515E-2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1.9243352696435068E-2</v>
      </c>
      <c r="F103" s="84">
        <f t="shared" si="143"/>
        <v>4.6912050254438231E-2</v>
      </c>
      <c r="G103" s="84">
        <f t="shared" si="144"/>
        <v>3.4697288556562178E-2</v>
      </c>
      <c r="H103" s="84">
        <f t="shared" si="145"/>
        <v>6.5445579213110339E-2</v>
      </c>
      <c r="I103" s="84">
        <f t="shared" si="146"/>
        <v>4.2061692082337121E-2</v>
      </c>
      <c r="J103" s="84">
        <f t="shared" si="147"/>
        <v>4.6039284419843618E-2</v>
      </c>
      <c r="K103" s="84">
        <f t="shared" si="148"/>
        <v>3.8135717160444615E-2</v>
      </c>
      <c r="L103" s="84">
        <f t="shared" si="149"/>
        <v>-3.4363619082078412E-3</v>
      </c>
      <c r="M103" s="84">
        <f t="shared" si="150"/>
        <v>-1.6250462394606591E-2</v>
      </c>
      <c r="N103" s="84">
        <f t="shared" si="151"/>
        <v>4.4227092464528051E-2</v>
      </c>
      <c r="O103" s="84">
        <f t="shared" si="152"/>
        <v>2.1487471825596627E-2</v>
      </c>
      <c r="P103" s="84">
        <f t="shared" si="153"/>
        <v>-1.7547080660888503E-2</v>
      </c>
      <c r="Q103" s="84">
        <f t="shared" si="154"/>
        <v>1.7976231897569361E-2</v>
      </c>
      <c r="R103" s="84">
        <f t="shared" si="155"/>
        <v>4.5815703356607118E-2</v>
      </c>
      <c r="S103" s="84">
        <f t="shared" si="156"/>
        <v>3.9734844148623605E-2</v>
      </c>
      <c r="T103" s="84">
        <f t="shared" si="157"/>
        <v>2.7712733581353621E-2</v>
      </c>
      <c r="U103" s="84">
        <f t="shared" si="158"/>
        <v>1.5194841925414426E-2</v>
      </c>
      <c r="V103" s="84">
        <f t="shared" si="159"/>
        <v>-1.5294409493900929E-2</v>
      </c>
      <c r="W103" s="84">
        <f t="shared" si="160"/>
        <v>2.6658023616604298E-2</v>
      </c>
      <c r="X103" s="84">
        <f t="shared" si="161"/>
        <v>5.3445647621599424E-3</v>
      </c>
      <c r="Y103" s="84">
        <f t="shared" si="162"/>
        <v>9.7283846425280318E-2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0.17211796480760055</v>
      </c>
      <c r="F104" s="83">
        <f t="shared" si="143"/>
        <v>-3.2352068126274891E-2</v>
      </c>
      <c r="G104" s="83">
        <f t="shared" si="144"/>
        <v>9.2810901886669628E-2</v>
      </c>
      <c r="H104" s="83">
        <f t="shared" si="145"/>
        <v>0.14773288529386441</v>
      </c>
      <c r="I104" s="83">
        <f t="shared" si="146"/>
        <v>4.7216870283512513E-2</v>
      </c>
      <c r="J104" s="83">
        <f t="shared" si="147"/>
        <v>2.2799140888680069E-2</v>
      </c>
      <c r="K104" s="83">
        <f t="shared" si="148"/>
        <v>-2.0017527814744418E-2</v>
      </c>
      <c r="L104" s="83">
        <f t="shared" si="149"/>
        <v>0.21776316515418448</v>
      </c>
      <c r="M104" s="83">
        <f t="shared" si="150"/>
        <v>-2.0559315467173822E-2</v>
      </c>
      <c r="N104" s="83">
        <f t="shared" si="151"/>
        <v>6.9794344729042113E-2</v>
      </c>
      <c r="O104" s="83">
        <f t="shared" si="152"/>
        <v>-2.5251504025924243E-2</v>
      </c>
      <c r="P104" s="83">
        <f t="shared" si="153"/>
        <v>1.8739772638691754E-3</v>
      </c>
      <c r="Q104" s="83">
        <f t="shared" si="154"/>
        <v>-2.8263552793812874E-2</v>
      </c>
      <c r="R104" s="83">
        <f t="shared" si="155"/>
        <v>-8.0263356625809301E-4</v>
      </c>
      <c r="S104" s="83">
        <f t="shared" si="156"/>
        <v>-0.11740251172806282</v>
      </c>
      <c r="T104" s="83">
        <f t="shared" si="157"/>
        <v>-2.354610930986123E-2</v>
      </c>
      <c r="U104" s="83">
        <f t="shared" si="158"/>
        <v>4.3155481864565193E-2</v>
      </c>
      <c r="V104" s="83">
        <f t="shared" si="159"/>
        <v>-5.7305070793505553E-2</v>
      </c>
      <c r="W104" s="83">
        <f t="shared" si="160"/>
        <v>0.12136465081342784</v>
      </c>
      <c r="X104" s="83">
        <f t="shared" si="161"/>
        <v>-0.16094202805837921</v>
      </c>
      <c r="Y104" s="83">
        <f t="shared" si="162"/>
        <v>0.28617922935014239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8.99874373103835E-2</v>
      </c>
      <c r="F105" s="83">
        <f t="shared" si="143"/>
        <v>5.5650389997392358E-2</v>
      </c>
      <c r="G105" s="83">
        <f t="shared" si="144"/>
        <v>3.5164354402003495E-2</v>
      </c>
      <c r="H105" s="83">
        <f t="shared" si="145"/>
        <v>0.10455926209399746</v>
      </c>
      <c r="I105" s="83">
        <f t="shared" si="146"/>
        <v>2.2391888475617794E-2</v>
      </c>
      <c r="J105" s="83">
        <f t="shared" si="147"/>
        <v>0.12381431430399159</v>
      </c>
      <c r="K105" s="83">
        <f t="shared" si="148"/>
        <v>9.9735662121350543E-2</v>
      </c>
      <c r="L105" s="83">
        <f t="shared" si="149"/>
        <v>-2.9727428239310738E-2</v>
      </c>
      <c r="M105" s="83">
        <f t="shared" si="150"/>
        <v>6.9745436450103782E-3</v>
      </c>
      <c r="N105" s="83">
        <f t="shared" si="151"/>
        <v>3.2628872180368473E-2</v>
      </c>
      <c r="O105" s="83">
        <f t="shared" si="152"/>
        <v>6.5626866771591796E-2</v>
      </c>
      <c r="P105" s="83">
        <f t="shared" si="153"/>
        <v>1.986965866543855E-2</v>
      </c>
      <c r="Q105" s="83">
        <f t="shared" si="154"/>
        <v>7.615556334290563E-4</v>
      </c>
      <c r="R105" s="83">
        <f t="shared" si="155"/>
        <v>5.2152699868493579E-2</v>
      </c>
      <c r="S105" s="83">
        <f t="shared" si="156"/>
        <v>7.6696016127933531E-2</v>
      </c>
      <c r="T105" s="83">
        <f t="shared" si="157"/>
        <v>3.2033917038492676E-2</v>
      </c>
      <c r="U105" s="83">
        <f t="shared" si="158"/>
        <v>0.10249074141783066</v>
      </c>
      <c r="V105" s="83">
        <f t="shared" si="159"/>
        <v>1.2293022794391373E-2</v>
      </c>
      <c r="W105" s="83">
        <f t="shared" si="160"/>
        <v>-1.6234751429614169E-2</v>
      </c>
      <c r="X105" s="83">
        <f t="shared" si="161"/>
        <v>3.3906538551861765E-2</v>
      </c>
      <c r="Y105" s="83">
        <f t="shared" si="162"/>
        <v>-2.0224001409553383E-3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-3.604582826689684E-2</v>
      </c>
      <c r="F106" s="83">
        <f t="shared" si="143"/>
        <v>-3.9459822912976117E-3</v>
      </c>
      <c r="G106" s="83">
        <f t="shared" si="144"/>
        <v>-1.209338269960436E-2</v>
      </c>
      <c r="H106" s="83">
        <f t="shared" si="145"/>
        <v>6.6321093147194699E-3</v>
      </c>
      <c r="I106" s="83">
        <f t="shared" si="146"/>
        <v>1.4377869001406918E-2</v>
      </c>
      <c r="J106" s="83">
        <f t="shared" si="147"/>
        <v>4.4354436844058043E-2</v>
      </c>
      <c r="K106" s="83">
        <f t="shared" si="148"/>
        <v>3.2702665357711824E-2</v>
      </c>
      <c r="L106" s="83">
        <f t="shared" si="149"/>
        <v>-8.8401138940591317E-2</v>
      </c>
      <c r="M106" s="83">
        <f t="shared" si="150"/>
        <v>-0.17581284726128221</v>
      </c>
      <c r="N106" s="83">
        <f t="shared" si="151"/>
        <v>0.15124483491307461</v>
      </c>
      <c r="O106" s="83">
        <f t="shared" si="152"/>
        <v>2.3575051166022654E-2</v>
      </c>
      <c r="P106" s="83">
        <f t="shared" si="153"/>
        <v>-5.6084899435082547E-2</v>
      </c>
      <c r="Q106" s="83">
        <f t="shared" si="154"/>
        <v>-3.6070592401292512E-2</v>
      </c>
      <c r="R106" s="83">
        <f t="shared" si="155"/>
        <v>5.266545641227971E-3</v>
      </c>
      <c r="S106" s="83">
        <f t="shared" si="156"/>
        <v>9.7692562694353446E-2</v>
      </c>
      <c r="T106" s="83">
        <f t="shared" si="157"/>
        <v>-1.1676362959378683E-2</v>
      </c>
      <c r="U106" s="83">
        <f t="shared" si="158"/>
        <v>1.3888331365494055E-2</v>
      </c>
      <c r="V106" s="83">
        <f t="shared" si="159"/>
        <v>2.3109791699195137E-2</v>
      </c>
      <c r="W106" s="83">
        <f t="shared" si="160"/>
        <v>3.1536815558907971E-3</v>
      </c>
      <c r="X106" s="83">
        <f t="shared" si="161"/>
        <v>-4.9972283290767971E-2</v>
      </c>
      <c r="Y106" s="83">
        <f t="shared" si="162"/>
        <v>0.12027738246744279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3.7354239762951158E-2</v>
      </c>
      <c r="F107" s="87">
        <f t="shared" ref="F107:F108" si="164">IF(E33=0,"",F33/E33-1)</f>
        <v>-1.5818527816365946E-2</v>
      </c>
      <c r="G107" s="87">
        <f t="shared" ref="G107:G108" si="165">IF(F33=0,"",G33/F33-1)</f>
        <v>-4.2293371359725329E-2</v>
      </c>
      <c r="H107" s="87">
        <f t="shared" ref="H107:H108" si="166">IF(G33=0,"",H33/G33-1)</f>
        <v>0.12073705381362898</v>
      </c>
      <c r="I107" s="87">
        <f t="shared" ref="I107:I108" si="167">IF(H33=0,"",I33/H33-1)</f>
        <v>6.9624067386537591E-2</v>
      </c>
      <c r="J107" s="87">
        <f t="shared" ref="J107:J108" si="168">IF(I33=0,"",J33/I33-1)</f>
        <v>7.8453128373100256E-2</v>
      </c>
      <c r="K107" s="87">
        <f t="shared" ref="K107:K108" si="169">IF(J33=0,"",K33/J33-1)</f>
        <v>0.2972885900035489</v>
      </c>
      <c r="L107" s="87">
        <f t="shared" ref="L107:L108" si="170">IF(K33=0,"",L33/K33-1)</f>
        <v>-0.27188430234623462</v>
      </c>
      <c r="M107" s="87">
        <f t="shared" ref="M107:M108" si="171">IF(L33=0,"",M33/L33-1)</f>
        <v>-0.64203663565581337</v>
      </c>
      <c r="N107" s="87">
        <f t="shared" ref="N107:N108" si="172">IF(M33=0,"",N33/M33-1)</f>
        <v>2.1456452180608889</v>
      </c>
      <c r="O107" s="87">
        <f t="shared" ref="O107:O108" si="173">IF(N33=0,"",O33/N33-1)</f>
        <v>6.2419203593317096E-2</v>
      </c>
      <c r="P107" s="87">
        <f t="shared" ref="P107:P108" si="174">IF(O33=0,"",P33/O33-1)</f>
        <v>-9.4115915851488041E-2</v>
      </c>
      <c r="Q107" s="87">
        <f t="shared" ref="Q107:Q108" si="175">IF(P33=0,"",Q33/P33-1)</f>
        <v>6.0878675372972202E-2</v>
      </c>
      <c r="R107" s="87">
        <f t="shared" ref="R107:R108" si="176">IF(Q33=0,"",R33/Q33-1)</f>
        <v>5.5969344131483911E-2</v>
      </c>
      <c r="S107" s="87">
        <f t="shared" ref="S107:S108" si="177">IF(R33=0,"",S33/R33-1)</f>
        <v>-2.9386088944816202E-2</v>
      </c>
      <c r="T107" s="87">
        <f t="shared" ref="T107:T108" si="178">IF(S33=0,"",T33/S33-1)</f>
        <v>6.2923649834387696E-3</v>
      </c>
      <c r="U107" s="87">
        <f t="shared" ref="U107:U108" si="179">IF(T33=0,"",U33/T33-1)</f>
        <v>-7.8743864932847241E-2</v>
      </c>
      <c r="V107" s="87">
        <f t="shared" ref="V107:V108" si="180">IF(U33=0,"",V33/U33-1)</f>
        <v>0.19599912241564588</v>
      </c>
      <c r="W107" s="87">
        <f t="shared" ref="W107:W108" si="181">IF(V33=0,"",W33/V33-1)</f>
        <v>-2.9960850108297077E-2</v>
      </c>
      <c r="X107" s="87">
        <f t="shared" ref="X107:X108" si="182">IF(W33=0,"",X33/W33-1)</f>
        <v>0.14033366946050485</v>
      </c>
      <c r="Y107" s="87">
        <f t="shared" ref="Y107:Y108" si="183">IF(X33=0,"",Y33/X33-1)</f>
        <v>-7.3687386742568917E-2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3.735423976295138E-2</v>
      </c>
      <c r="F108" s="89">
        <f t="shared" si="164"/>
        <v>-1.5818527816366168E-2</v>
      </c>
      <c r="G108" s="89">
        <f t="shared" si="165"/>
        <v>-4.2293371359725329E-2</v>
      </c>
      <c r="H108" s="89">
        <f t="shared" si="166"/>
        <v>0.12073705381362876</v>
      </c>
      <c r="I108" s="89">
        <f t="shared" si="167"/>
        <v>6.9624067386537591E-2</v>
      </c>
      <c r="J108" s="89">
        <f t="shared" si="168"/>
        <v>7.8453128373100256E-2</v>
      </c>
      <c r="K108" s="89">
        <f t="shared" si="169"/>
        <v>0.29728859000354868</v>
      </c>
      <c r="L108" s="89">
        <f t="shared" si="170"/>
        <v>-0.27188430234623462</v>
      </c>
      <c r="M108" s="89">
        <f t="shared" si="171"/>
        <v>-0.70080725477647898</v>
      </c>
      <c r="N108" s="89">
        <f t="shared" si="172"/>
        <v>2.5912855015804199</v>
      </c>
      <c r="O108" s="89">
        <f t="shared" si="173"/>
        <v>4.5354798519919859E-2</v>
      </c>
      <c r="P108" s="89">
        <f t="shared" si="174"/>
        <v>-0.14096606325139327</v>
      </c>
      <c r="Q108" s="89">
        <f t="shared" si="175"/>
        <v>0.11521212711235207</v>
      </c>
      <c r="R108" s="89">
        <f t="shared" si="176"/>
        <v>7.377319747161204E-2</v>
      </c>
      <c r="S108" s="89">
        <f t="shared" si="177"/>
        <v>4.6491206406640284E-3</v>
      </c>
      <c r="T108" s="89">
        <f t="shared" si="178"/>
        <v>6.4382749503597791E-2</v>
      </c>
      <c r="U108" s="89">
        <f t="shared" si="179"/>
        <v>-0.14468133514157777</v>
      </c>
      <c r="V108" s="89">
        <f t="shared" si="180"/>
        <v>0.18211291352402958</v>
      </c>
      <c r="W108" s="89">
        <f t="shared" si="181"/>
        <v>-5.2192381213840733E-2</v>
      </c>
      <c r="X108" s="89">
        <f t="shared" si="182"/>
        <v>0.17763386315864582</v>
      </c>
      <c r="Y108" s="89">
        <f t="shared" si="183"/>
        <v>-8.9124021646412088E-2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3.7354239762950936E-2</v>
      </c>
      <c r="F109" s="89">
        <f t="shared" ref="F109" si="185">IF(E37=0,"",F37/E37-1)</f>
        <v>-1.5818527816365502E-2</v>
      </c>
      <c r="G109" s="89">
        <f t="shared" ref="G109" si="186">IF(F37=0,"",G37/F37-1)</f>
        <v>-4.229337135972544E-2</v>
      </c>
      <c r="H109" s="89">
        <f t="shared" ref="H109" si="187">IF(G37=0,"",H37/G37-1)</f>
        <v>0.12073705381362898</v>
      </c>
      <c r="I109" s="89">
        <f t="shared" ref="I109" si="188">IF(H37=0,"",I37/H37-1)</f>
        <v>6.9624067386537813E-2</v>
      </c>
      <c r="J109" s="89">
        <f t="shared" ref="J109" si="189">IF(I37=0,"",J37/I37-1)</f>
        <v>7.8453128373100034E-2</v>
      </c>
      <c r="K109" s="89">
        <f t="shared" ref="K109" si="190">IF(J37=0,"",K37/J37-1)</f>
        <v>0.29728859000354912</v>
      </c>
      <c r="L109" s="89">
        <f t="shared" ref="L109" si="191">IF(K37=0,"",L37/K37-1)</f>
        <v>-0.27188430234623451</v>
      </c>
      <c r="M109" s="89">
        <f t="shared" ref="M109" si="192">IF(L37=0,"",M37/L37-1)</f>
        <v>-0.41455917417334354</v>
      </c>
      <c r="N109" s="89">
        <f t="shared" ref="N109" si="193">IF(M37=0,"",N37/M37-1)</f>
        <v>1.2641283987830758</v>
      </c>
      <c r="O109" s="89">
        <f t="shared" ref="O109" si="194">IF(N37=0,"",O37/N37-1)</f>
        <v>0.11596016842961143</v>
      </c>
      <c r="P109" s="89">
        <f t="shared" ref="P109" si="195">IF(O37=0,"",P37/O37-1)</f>
        <v>4.3579989634438876E-2</v>
      </c>
      <c r="Q109" s="89">
        <f t="shared" ref="Q109" si="196">IF(P37=0,"",Q37/P37-1)</f>
        <v>-7.0571732825397637E-2</v>
      </c>
      <c r="R109" s="89">
        <f t="shared" ref="R109" si="197">IF(Q37=0,"",R37/Q37-1)</f>
        <v>4.2860415179089006E-3</v>
      </c>
      <c r="S109" s="89">
        <f t="shared" ref="S109" si="198">IF(R37=0,"",S37/R37-1)</f>
        <v>-0.135024001717435</v>
      </c>
      <c r="T109" s="89">
        <f t="shared" ref="T109" si="199">IF(S37=0,"",T37/S37-1)</f>
        <v>-0.20312176671901616</v>
      </c>
      <c r="U109" s="89">
        <f t="shared" ref="U109" si="200">IF(T37=0,"",U37/T37-1)</f>
        <v>0.23875331928661048</v>
      </c>
      <c r="V109" s="89">
        <f t="shared" ref="V109" si="201">IF(U37=0,"",V37/U37-1)</f>
        <v>0.24216641529895022</v>
      </c>
      <c r="W109" s="89">
        <f t="shared" ref="W109" si="202">IF(V37=0,"",W37/V37-1)</f>
        <v>4.0378648468686329E-2</v>
      </c>
      <c r="X109" s="89">
        <f t="shared" ref="X109" si="203">IF(W37=0,"",X37/W37-1)</f>
        <v>3.2818499472387019E-2</v>
      </c>
      <c r="Y109" s="89">
        <f t="shared" ref="Y109" si="204">IF(X37=0,"",Y37/X37-1)</f>
        <v>-2.2953566168351647E-2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6.7761838252108353E-2</v>
      </c>
      <c r="F110" s="89">
        <f t="shared" ref="F110:F111" si="206">IF(E43=0,"",F43/E43-1)</f>
        <v>9.2487019429525974E-2</v>
      </c>
      <c r="G110" s="89">
        <f t="shared" ref="G110:G111" si="207">IF(F43=0,"",G43/F43-1)</f>
        <v>-7.5087862176043352E-2</v>
      </c>
      <c r="H110" s="89">
        <f t="shared" ref="H110:H111" si="208">IF(G43=0,"",H43/G43-1)</f>
        <v>-2.8411768122739156E-2</v>
      </c>
      <c r="I110" s="89">
        <f t="shared" ref="I110:I111" si="209">IF(H43=0,"",I43/H43-1)</f>
        <v>8.0990722822963823E-2</v>
      </c>
      <c r="J110" s="89">
        <f t="shared" ref="J110:J111" si="210">IF(I43=0,"",J43/I43-1)</f>
        <v>4.098431873394337E-2</v>
      </c>
      <c r="K110" s="89">
        <f t="shared" ref="K110:K111" si="211">IF(J43=0,"",K43/J43-1)</f>
        <v>-3.8153185510677257E-2</v>
      </c>
      <c r="L110" s="89">
        <f t="shared" ref="L110:L111" si="212">IF(K43=0,"",L43/K43-1)</f>
        <v>-8.2149250825731324E-2</v>
      </c>
      <c r="M110" s="89">
        <f t="shared" ref="M110:M111" si="213">IF(L43=0,"",M43/L43-1)</f>
        <v>0.17003558606109026</v>
      </c>
      <c r="N110" s="89">
        <f t="shared" ref="N110:N111" si="214">IF(M43=0,"",N43/M43-1)</f>
        <v>-2.9864245093648489E-2</v>
      </c>
      <c r="O110" s="89">
        <f t="shared" ref="O110:O111" si="215">IF(N43=0,"",O43/N43-1)</f>
        <v>-6.245634918367704E-2</v>
      </c>
      <c r="P110" s="89">
        <f t="shared" ref="P110:P111" si="216">IF(O43=0,"",P43/O43-1)</f>
        <v>-2.1694062552082283E-2</v>
      </c>
      <c r="Q110" s="89">
        <f t="shared" ref="Q110:Q111" si="217">IF(P43=0,"",Q43/P43-1)</f>
        <v>-5.3149306959694553E-2</v>
      </c>
      <c r="R110" s="89">
        <f t="shared" ref="R110:R111" si="218">IF(Q43=0,"",R43/Q43-1)</f>
        <v>-8.665366883353709E-2</v>
      </c>
      <c r="S110" s="89">
        <f t="shared" ref="S110:S111" si="219">IF(R43=0,"",S43/R43-1)</f>
        <v>8.394365264321535E-2</v>
      </c>
      <c r="T110" s="89">
        <f t="shared" ref="T110:T111" si="220">IF(S43=0,"",T43/S43-1)</f>
        <v>-0.17370195405481437</v>
      </c>
      <c r="U110" s="89">
        <f t="shared" ref="U110:U111" si="221">IF(T43=0,"",U43/T43-1)</f>
        <v>-7.7585569842332891E-2</v>
      </c>
      <c r="V110" s="89">
        <f t="shared" ref="V110:V111" si="222">IF(U43=0,"",V43/U43-1)</f>
        <v>3.5983140080672937E-2</v>
      </c>
      <c r="W110" s="89">
        <f t="shared" ref="W110:W111" si="223">IF(V43=0,"",W43/V43-1)</f>
        <v>0.24856027248883739</v>
      </c>
      <c r="X110" s="89">
        <f t="shared" ref="X110:X111" si="224">IF(W43=0,"",X43/W43-1)</f>
        <v>-1.9570483955583473E-2</v>
      </c>
      <c r="Y110" s="89">
        <f t="shared" ref="Y110:Y111" si="225">IF(X43=0,"",Y43/X43-1)</f>
        <v>1.4870250882349056E-2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6.8216571797864667E-2</v>
      </c>
      <c r="F111" s="89">
        <f t="shared" si="206"/>
        <v>4.980200532448964E-2</v>
      </c>
      <c r="G111" s="89">
        <f t="shared" si="207"/>
        <v>-5.6382309520609186E-2</v>
      </c>
      <c r="H111" s="89">
        <f t="shared" si="208"/>
        <v>-1.9331759450729513E-2</v>
      </c>
      <c r="I111" s="89">
        <f t="shared" si="209"/>
        <v>5.6488880588982715E-2</v>
      </c>
      <c r="J111" s="89">
        <f t="shared" si="210"/>
        <v>1.8984399969093513E-2</v>
      </c>
      <c r="K111" s="89">
        <f t="shared" si="211"/>
        <v>-3.47732756939092E-2</v>
      </c>
      <c r="L111" s="89">
        <f t="shared" si="212"/>
        <v>-5.1562575954261058E-2</v>
      </c>
      <c r="M111" s="89">
        <f t="shared" si="213"/>
        <v>0.13716272359861992</v>
      </c>
      <c r="N111" s="89">
        <f t="shared" si="214"/>
        <v>-5.8520778302376786E-2</v>
      </c>
      <c r="O111" s="89">
        <f t="shared" si="215"/>
        <v>-6.2758069663207627E-2</v>
      </c>
      <c r="P111" s="89">
        <f t="shared" si="216"/>
        <v>-3.0270452032021056E-2</v>
      </c>
      <c r="Q111" s="89">
        <f t="shared" si="217"/>
        <v>-4.0211005544638745E-2</v>
      </c>
      <c r="R111" s="89">
        <f t="shared" si="218"/>
        <v>-4.6599675916946581E-2</v>
      </c>
      <c r="S111" s="89">
        <f t="shared" si="219"/>
        <v>5.5775198632854073E-2</v>
      </c>
      <c r="T111" s="89">
        <f t="shared" si="220"/>
        <v>-0.11760336117479075</v>
      </c>
      <c r="U111" s="89">
        <f t="shared" si="221"/>
        <v>-5.2016156651592538E-2</v>
      </c>
      <c r="V111" s="89">
        <f t="shared" si="222"/>
        <v>3.7660037874669872E-2</v>
      </c>
      <c r="W111" s="89">
        <f t="shared" si="223"/>
        <v>0.1573864861060299</v>
      </c>
      <c r="X111" s="89">
        <f t="shared" si="224"/>
        <v>-2.4167243968924557E-2</v>
      </c>
      <c r="Y111" s="89">
        <f t="shared" si="225"/>
        <v>-9.9415904353541418E-3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6.5942904069083097E-2</v>
      </c>
      <c r="F112" s="89">
        <f t="shared" ref="F112:F113" si="227">IF(E47=0,"",F47/E47-1)</f>
        <v>0.2635912662343638</v>
      </c>
      <c r="G112" s="89">
        <f t="shared" ref="G112:G113" si="228">IF(F47=0,"",G47/F47-1)</f>
        <v>-0.1373833636331605</v>
      </c>
      <c r="H112" s="89">
        <f t="shared" ref="H112:H113" si="229">IF(G47=0,"",H47/G47-1)</f>
        <v>-6.1490636958677958E-2</v>
      </c>
      <c r="I112" s="89">
        <f t="shared" ref="I112:I113" si="230">IF(H47=0,"",I47/H47-1)</f>
        <v>0.17426172148149255</v>
      </c>
      <c r="J112" s="89">
        <f t="shared" ref="J112:J113" si="231">IF(I47=0,"",J47/I47-1)</f>
        <v>0.11633184375054184</v>
      </c>
      <c r="K112" s="89">
        <f t="shared" ref="K112:K113" si="232">IF(J47=0,"",K47/J47-1)</f>
        <v>-4.8719590411116731E-2</v>
      </c>
      <c r="L112" s="89">
        <f t="shared" ref="L112:L113" si="233">IF(K47=0,"",L47/K47-1)</f>
        <v>-0.17917235992692182</v>
      </c>
      <c r="M112" s="89">
        <f t="shared" ref="M112:M113" si="234">IF(L47=0,"",M47/L47-1)</f>
        <v>0.29052174338091907</v>
      </c>
      <c r="N112" s="89">
        <f t="shared" ref="N112:N113" si="235">IF(M47=0,"",N47/M47-1)</f>
        <v>6.2686638462498667E-2</v>
      </c>
      <c r="O112" s="89">
        <f t="shared" ref="O112:O113" si="236">IF(N47=0,"",O47/N47-1)</f>
        <v>-6.1593038275073231E-2</v>
      </c>
      <c r="P112" s="89">
        <f t="shared" ref="P112:P113" si="237">IF(O47=0,"",P47/O47-1)</f>
        <v>2.8150408214875355E-3</v>
      </c>
      <c r="Q112" s="89">
        <f t="shared" ref="Q112:Q113" si="238">IF(P47=0,"",Q47/P47-1)</f>
        <v>-8.8903747120565924E-2</v>
      </c>
      <c r="R112" s="89">
        <f t="shared" ref="R112:R113" si="239">IF(Q47=0,"",R47/Q47-1)</f>
        <v>-0.20325675356380424</v>
      </c>
      <c r="S112" s="89">
        <f t="shared" ref="S112:S113" si="240">IF(R47=0,"",S47/R47-1)</f>
        <v>0.18206966252966517</v>
      </c>
      <c r="T112" s="89">
        <f t="shared" ref="T112:T113" si="241">IF(S47=0,"",T47/S47-1)</f>
        <v>-0.34824456964067274</v>
      </c>
      <c r="U112" s="89">
        <f t="shared" ref="U112:U113" si="242">IF(T47=0,"",U47/T47-1)</f>
        <v>-0.18529394138305044</v>
      </c>
      <c r="V112" s="89">
        <f t="shared" ref="V112:V113" si="243">IF(U47=0,"",V47/U47-1)</f>
        <v>2.7763831576275599E-2</v>
      </c>
      <c r="W112" s="89">
        <f t="shared" ref="W112:W113" si="244">IF(V47=0,"",W47/V47-1)</f>
        <v>0.69975128561275213</v>
      </c>
      <c r="X112" s="89">
        <f t="shared" ref="X112:X113" si="245">IF(W47=0,"",X47/W47-1)</f>
        <v>-4.0810584888941737E-3</v>
      </c>
      <c r="Y112" s="89">
        <f t="shared" ref="Y112:Y113" si="246">IF(X47=0,"",Y47/X47-1)</f>
        <v>9.6790992107298468E-2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5.9836074717420917E-2</v>
      </c>
      <c r="F113" s="89">
        <f t="shared" si="227"/>
        <v>2.5822373525784981E-2</v>
      </c>
      <c r="G113" s="89">
        <f t="shared" si="228"/>
        <v>-4.6965160090059244E-2</v>
      </c>
      <c r="H113" s="89">
        <f t="shared" si="229"/>
        <v>9.1672834669809244E-3</v>
      </c>
      <c r="I113" s="89">
        <f t="shared" si="230"/>
        <v>7.2320994527728111E-2</v>
      </c>
      <c r="J113" s="89">
        <f t="shared" si="231"/>
        <v>6.7805235051840773E-2</v>
      </c>
      <c r="K113" s="89">
        <f t="shared" si="232"/>
        <v>0.12962753715169195</v>
      </c>
      <c r="L113" s="89">
        <f t="shared" si="233"/>
        <v>-1.5615008383148665E-2</v>
      </c>
      <c r="M113" s="89">
        <f t="shared" si="234"/>
        <v>-0.20251133262745324</v>
      </c>
      <c r="N113" s="89">
        <f t="shared" si="235"/>
        <v>0.17693121729362438</v>
      </c>
      <c r="O113" s="89">
        <f t="shared" si="236"/>
        <v>0.24905540973240115</v>
      </c>
      <c r="P113" s="89">
        <f t="shared" si="237"/>
        <v>-1.4158064101678636E-2</v>
      </c>
      <c r="Q113" s="89">
        <f t="shared" si="238"/>
        <v>-0.14873129899398985</v>
      </c>
      <c r="R113" s="89">
        <f t="shared" si="239"/>
        <v>3.686936036919386E-3</v>
      </c>
      <c r="S113" s="89">
        <f t="shared" si="240"/>
        <v>2.931010986048399E-2</v>
      </c>
      <c r="T113" s="89">
        <f t="shared" si="241"/>
        <v>2.6018319079976093E-2</v>
      </c>
      <c r="U113" s="89">
        <f t="shared" si="242"/>
        <v>5.7204590929948784E-2</v>
      </c>
      <c r="V113" s="89">
        <f t="shared" si="243"/>
        <v>-5.982990744861183E-2</v>
      </c>
      <c r="W113" s="89">
        <f t="shared" si="244"/>
        <v>4.8473318330966908E-2</v>
      </c>
      <c r="X113" s="89">
        <f t="shared" si="245"/>
        <v>-1.697055901156852E-2</v>
      </c>
      <c r="Y113" s="89">
        <f t="shared" si="246"/>
        <v>-2.4085459850377688E-2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5.955789856327387E-3</v>
      </c>
      <c r="F114" s="89">
        <f t="shared" ref="F114:F115" si="248">IF(E52=0,"",F52/E52-1)</f>
        <v>-8.807103665271121E-2</v>
      </c>
      <c r="G114" s="89">
        <f t="shared" ref="G114:G115" si="249">IF(F52=0,"",G52/F52-1)</f>
        <v>-5.9733653561916067E-2</v>
      </c>
      <c r="H114" s="89">
        <f t="shared" ref="H114:H115" si="250">IF(G52=0,"",H52/G52-1)</f>
        <v>-6.8864990759499589E-2</v>
      </c>
      <c r="I114" s="89">
        <f t="shared" ref="I114:I115" si="251">IF(H52=0,"",I52/H52-1)</f>
        <v>-6.6240619067711726E-2</v>
      </c>
      <c r="J114" s="89">
        <f t="shared" ref="J114:J115" si="252">IF(I52=0,"",J52/I52-1)</f>
        <v>2.3923744623381982E-3</v>
      </c>
      <c r="K114" s="89">
        <f t="shared" ref="K114:K115" si="253">IF(J52=0,"",K52/J52-1)</f>
        <v>-2.2646850371859539E-2</v>
      </c>
      <c r="L114" s="89">
        <f t="shared" ref="L114:L115" si="254">IF(K52=0,"",L52/K52-1)</f>
        <v>-0.1320708575808508</v>
      </c>
      <c r="M114" s="89">
        <f t="shared" ref="M114:M115" si="255">IF(L52=0,"",M52/L52-1)</f>
        <v>-4.7169970072778566E-2</v>
      </c>
      <c r="N114" s="89">
        <f t="shared" ref="N114:N115" si="256">IF(M52=0,"",N52/M52-1)</f>
        <v>4.4851915997135006E-2</v>
      </c>
      <c r="O114" s="89">
        <f t="shared" ref="O114:O115" si="257">IF(N52=0,"",O52/N52-1)</f>
        <v>1.0350977506963233E-3</v>
      </c>
      <c r="P114" s="89">
        <f t="shared" ref="P114:P115" si="258">IF(O52=0,"",P52/O52-1)</f>
        <v>-5.0818487898545261E-2</v>
      </c>
      <c r="Q114" s="89">
        <f t="shared" ref="Q114:Q115" si="259">IF(P52=0,"",Q52/P52-1)</f>
        <v>-7.0274754776433968E-2</v>
      </c>
      <c r="R114" s="89">
        <f t="shared" ref="R114:R115" si="260">IF(Q52=0,"",R52/Q52-1)</f>
        <v>6.1256829986721328E-2</v>
      </c>
      <c r="S114" s="89">
        <f t="shared" ref="S114:S115" si="261">IF(R52=0,"",S52/R52-1)</f>
        <v>-5.5383762997600616E-3</v>
      </c>
      <c r="T114" s="89">
        <f t="shared" ref="T114:T115" si="262">IF(S52=0,"",T52/S52-1)</f>
        <v>-2.2983831409487787E-2</v>
      </c>
      <c r="U114" s="89">
        <f t="shared" ref="U114:U115" si="263">IF(T52=0,"",U52/T52-1)</f>
        <v>4.6237048749651066E-3</v>
      </c>
      <c r="V114" s="89">
        <f t="shared" ref="V114:V115" si="264">IF(U52=0,"",V52/U52-1)</f>
        <v>0.13176132925170569</v>
      </c>
      <c r="W114" s="89">
        <f t="shared" ref="W114:W115" si="265">IF(V52=0,"",W52/V52-1)</f>
        <v>-9.9519911989558674E-2</v>
      </c>
      <c r="X114" s="89">
        <f t="shared" ref="X114:X115" si="266">IF(W52=0,"",X52/W52-1)</f>
        <v>-8.3984091338859868E-2</v>
      </c>
      <c r="Y114" s="89">
        <f t="shared" ref="Y114:Y115" si="267">IF(X52=0,"",Y52/X52-1)</f>
        <v>0.11149271556301055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1.3988548633092845E-2</v>
      </c>
      <c r="F115" s="89">
        <f t="shared" si="248"/>
        <v>-9.5871530378300096E-2</v>
      </c>
      <c r="G115" s="89">
        <f t="shared" si="249"/>
        <v>-5.8996732133343999E-2</v>
      </c>
      <c r="H115" s="89">
        <f t="shared" si="250"/>
        <v>-8.9122945684008803E-2</v>
      </c>
      <c r="I115" s="89">
        <f t="shared" si="251"/>
        <v>-7.7114402268795734E-2</v>
      </c>
      <c r="J115" s="89">
        <f t="shared" si="252"/>
        <v>1.2195308860686094E-2</v>
      </c>
      <c r="K115" s="89">
        <f t="shared" si="253"/>
        <v>-2.6971583852237746E-2</v>
      </c>
      <c r="L115" s="89">
        <f t="shared" si="254"/>
        <v>-0.15540000244562158</v>
      </c>
      <c r="M115" s="89">
        <f t="shared" si="255"/>
        <v>-1.0310692726068882E-2</v>
      </c>
      <c r="N115" s="89">
        <f t="shared" si="256"/>
        <v>5.737893465524424E-2</v>
      </c>
      <c r="O115" s="89">
        <f t="shared" si="257"/>
        <v>-5.4282310039854842E-4</v>
      </c>
      <c r="P115" s="89">
        <f t="shared" si="258"/>
        <v>-5.9213955691850617E-2</v>
      </c>
      <c r="Q115" s="89">
        <f t="shared" si="259"/>
        <v>-5.2847264869813948E-2</v>
      </c>
      <c r="R115" s="89">
        <f t="shared" si="260"/>
        <v>7.5271914020864417E-2</v>
      </c>
      <c r="S115" s="89">
        <f t="shared" si="261"/>
        <v>2.0831307559963097E-3</v>
      </c>
      <c r="T115" s="89">
        <f t="shared" si="262"/>
        <v>-2.2073956189361588E-2</v>
      </c>
      <c r="U115" s="89">
        <f t="shared" si="263"/>
        <v>1.2153436408357976E-2</v>
      </c>
      <c r="V115" s="89">
        <f t="shared" si="264"/>
        <v>0.17753366063825049</v>
      </c>
      <c r="W115" s="89">
        <f t="shared" si="265"/>
        <v>-8.6452410135891111E-2</v>
      </c>
      <c r="X115" s="89">
        <f t="shared" si="266"/>
        <v>-8.4494742776497267E-2</v>
      </c>
      <c r="Y115" s="89">
        <f t="shared" si="267"/>
        <v>0.12377454392164111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-2.5789623289694363E-2</v>
      </c>
      <c r="F116" s="89">
        <f t="shared" ref="F116:F122" si="269">IF(E56=0,"",F56/E56-1)</f>
        <v>-5.5984809827605231E-2</v>
      </c>
      <c r="G116" s="89">
        <f t="shared" ref="G116:G122" si="270">IF(F56=0,"",G56/F56-1)</f>
        <v>-6.2636799747402438E-2</v>
      </c>
      <c r="H116" s="89">
        <f t="shared" ref="H116:H122" si="271">IF(G56=0,"",H56/G56-1)</f>
        <v>1.1252354830252997E-2</v>
      </c>
      <c r="I116" s="89">
        <f t="shared" ref="I116:I122" si="272">IF(H56=0,"",I56/H56-1)</f>
        <v>-2.7504880810043209E-2</v>
      </c>
      <c r="J116" s="89">
        <f t="shared" ref="J116:J122" si="273">IF(I56=0,"",J56/I56-1)</f>
        <v>-3.0747259118711012E-2</v>
      </c>
      <c r="K116" s="89">
        <f t="shared" ref="K116:K122" si="274">IF(J56=0,"",K56/J56-1)</f>
        <v>-7.3789879918588763E-3</v>
      </c>
      <c r="L116" s="89">
        <f t="shared" ref="L116:L122" si="275">IF(K56=0,"",L56/K56-1)</f>
        <v>-5.1336244643289008E-2</v>
      </c>
      <c r="M116" s="89">
        <f t="shared" ref="M116:M122" si="276">IF(L56=0,"",M56/L56-1)</f>
        <v>-0.16073549991844038</v>
      </c>
      <c r="N116" s="89">
        <f t="shared" ref="N116:N122" si="277">IF(M56=0,"",N56/M56-1)</f>
        <v>-6.6234171026291477E-4</v>
      </c>
      <c r="O116" s="89">
        <f t="shared" ref="O116:O122" si="278">IF(N56=0,"",O56/N56-1)</f>
        <v>7.1011110164129754E-3</v>
      </c>
      <c r="P116" s="89">
        <f t="shared" ref="P116:P122" si="279">IF(O56=0,"",P56/O56-1)</f>
        <v>-1.8788693095010522E-2</v>
      </c>
      <c r="Q116" s="89">
        <f t="shared" ref="Q116:Q122" si="280">IF(P56=0,"",Q56/P56-1)</f>
        <v>-0.13402361416403319</v>
      </c>
      <c r="R116" s="89">
        <f t="shared" ref="R116:R122" si="281">IF(Q56=0,"",R56/Q56-1)</f>
        <v>5.1846742557708492E-3</v>
      </c>
      <c r="S116" s="89">
        <f t="shared" ref="S116:S122" si="282">IF(R56=0,"",S56/R56-1)</f>
        <v>-3.8156940985381915E-2</v>
      </c>
      <c r="T116" s="89">
        <f t="shared" ref="T116:T122" si="283">IF(S56=0,"",T56/S56-1)</f>
        <v>-2.7040834739612274E-2</v>
      </c>
      <c r="U116" s="89">
        <f t="shared" ref="U116:U122" si="284">IF(T56=0,"",U56/T56-1)</f>
        <v>-2.9121682473748911E-2</v>
      </c>
      <c r="V116" s="89">
        <f t="shared" ref="V116:V122" si="285">IF(U56=0,"",V56/U56-1)</f>
        <v>-8.2093721060125135E-2</v>
      </c>
      <c r="W116" s="89">
        <f t="shared" ref="W116:W122" si="286">IF(V56=0,"",W56/V56-1)</f>
        <v>-0.17784196044951872</v>
      </c>
      <c r="X116" s="89">
        <f t="shared" ref="X116:X122" si="287">IF(W56=0,"",X56/W56-1)</f>
        <v>-8.0583206747828373E-2</v>
      </c>
      <c r="Y116" s="89">
        <f t="shared" ref="Y116:Y122" si="288">IF(X56=0,"",Y56/X56-1)</f>
        <v>3.0045025867386554E-2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1.1600293709072451E-2</v>
      </c>
      <c r="F117" s="89">
        <f t="shared" si="269"/>
        <v>4.4151793131723682E-2</v>
      </c>
      <c r="G117" s="89">
        <f t="shared" si="270"/>
        <v>-2.97788458024415E-2</v>
      </c>
      <c r="H117" s="89">
        <f t="shared" si="271"/>
        <v>2.8663335009615487E-3</v>
      </c>
      <c r="I117" s="89">
        <f t="shared" si="272"/>
        <v>-2.6125876750919819E-2</v>
      </c>
      <c r="J117" s="89">
        <f t="shared" si="273"/>
        <v>3.5085978729620271E-2</v>
      </c>
      <c r="K117" s="89">
        <f t="shared" si="274"/>
        <v>-4.8975077561684399E-2</v>
      </c>
      <c r="L117" s="89">
        <f t="shared" si="275"/>
        <v>-3.692671091966615E-2</v>
      </c>
      <c r="M117" s="89">
        <f t="shared" si="276"/>
        <v>6.383075647510128E-2</v>
      </c>
      <c r="N117" s="89">
        <f t="shared" si="277"/>
        <v>-3.8139839497985939E-3</v>
      </c>
      <c r="O117" s="89">
        <f t="shared" si="278"/>
        <v>1.9301812253813333E-2</v>
      </c>
      <c r="P117" s="89">
        <f t="shared" si="279"/>
        <v>-6.9731859536013685E-2</v>
      </c>
      <c r="Q117" s="89">
        <f t="shared" si="280"/>
        <v>4.6652076336395565E-2</v>
      </c>
      <c r="R117" s="89">
        <f t="shared" si="281"/>
        <v>-2.0429854394584557E-2</v>
      </c>
      <c r="S117" s="89">
        <f t="shared" si="282"/>
        <v>2.6672524871806269E-2</v>
      </c>
      <c r="T117" s="89">
        <f t="shared" si="283"/>
        <v>2.6850336130315622E-2</v>
      </c>
      <c r="U117" s="89">
        <f t="shared" si="284"/>
        <v>-1.8550726220168068E-2</v>
      </c>
      <c r="V117" s="89">
        <f t="shared" si="285"/>
        <v>3.2694960548327545E-2</v>
      </c>
      <c r="W117" s="89">
        <f t="shared" si="286"/>
        <v>-2.9542735428771283E-2</v>
      </c>
      <c r="X117" s="89">
        <f t="shared" si="287"/>
        <v>2.9425602994855637E-2</v>
      </c>
      <c r="Y117" s="89">
        <f t="shared" si="288"/>
        <v>-4.4425541238016786E-2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-0.1603751467871215</v>
      </c>
      <c r="F118" s="89">
        <f t="shared" si="269"/>
        <v>-3.1706926356527942E-2</v>
      </c>
      <c r="G118" s="89">
        <f t="shared" si="270"/>
        <v>0.11519731848347714</v>
      </c>
      <c r="H118" s="89">
        <f t="shared" si="271"/>
        <v>2.6780443946119226E-2</v>
      </c>
      <c r="I118" s="89">
        <f t="shared" si="272"/>
        <v>-6.8284218784414707E-2</v>
      </c>
      <c r="J118" s="89">
        <f t="shared" si="273"/>
        <v>4.1167590602002813E-2</v>
      </c>
      <c r="K118" s="89">
        <f t="shared" si="274"/>
        <v>2.2680039640755378E-2</v>
      </c>
      <c r="L118" s="89">
        <f t="shared" si="275"/>
        <v>-3.223701063858897E-2</v>
      </c>
      <c r="M118" s="89">
        <f t="shared" si="276"/>
        <v>-0.26120598718004484</v>
      </c>
      <c r="N118" s="89">
        <f t="shared" si="277"/>
        <v>0.47584776692806519</v>
      </c>
      <c r="O118" s="89">
        <f t="shared" si="278"/>
        <v>0.10431884668408209</v>
      </c>
      <c r="P118" s="89">
        <f t="shared" si="279"/>
        <v>-0.16656449896503356</v>
      </c>
      <c r="Q118" s="89">
        <f t="shared" si="280"/>
        <v>0.11108964892152362</v>
      </c>
      <c r="R118" s="89">
        <f t="shared" si="281"/>
        <v>7.6243534542542513E-2</v>
      </c>
      <c r="S118" s="89">
        <f t="shared" si="282"/>
        <v>0.35592880945784677</v>
      </c>
      <c r="T118" s="89">
        <f t="shared" si="283"/>
        <v>4.6885610072251005E-2</v>
      </c>
      <c r="U118" s="89">
        <f t="shared" si="284"/>
        <v>2.9195555202597756E-2</v>
      </c>
      <c r="V118" s="89">
        <f t="shared" si="285"/>
        <v>-2.3246764182520252E-2</v>
      </c>
      <c r="W118" s="89">
        <f t="shared" si="286"/>
        <v>1.2026934984141757E-3</v>
      </c>
      <c r="X118" s="89">
        <f t="shared" si="287"/>
        <v>-0.13723037743669619</v>
      </c>
      <c r="Y118" s="89">
        <f t="shared" si="288"/>
        <v>0.14037306422425977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-7.4287370308363965E-2</v>
      </c>
      <c r="F119" s="89">
        <f t="shared" si="269"/>
        <v>-2.0816865120020123E-2</v>
      </c>
      <c r="G119" s="89">
        <f t="shared" si="270"/>
        <v>-1.5560739669137846E-2</v>
      </c>
      <c r="H119" s="89">
        <f t="shared" si="271"/>
        <v>3.8854149569633956E-2</v>
      </c>
      <c r="I119" s="89">
        <f t="shared" si="272"/>
        <v>2.0149147918219423E-2</v>
      </c>
      <c r="J119" s="89">
        <f t="shared" si="273"/>
        <v>5.3051671830363967E-2</v>
      </c>
      <c r="K119" s="89">
        <f t="shared" si="274"/>
        <v>4.6135078736726953E-2</v>
      </c>
      <c r="L119" s="89">
        <f t="shared" si="275"/>
        <v>-5.8206747382845481E-2</v>
      </c>
      <c r="M119" s="89">
        <f t="shared" si="276"/>
        <v>-0.31164863088070993</v>
      </c>
      <c r="N119" s="89">
        <f t="shared" si="277"/>
        <v>0.13957646522839817</v>
      </c>
      <c r="O119" s="89">
        <f t="shared" si="278"/>
        <v>3.7918895623368032E-2</v>
      </c>
      <c r="P119" s="89">
        <f t="shared" si="279"/>
        <v>-9.6207172955555809E-3</v>
      </c>
      <c r="Q119" s="89">
        <f t="shared" si="280"/>
        <v>-9.9640587564033822E-2</v>
      </c>
      <c r="R119" s="89">
        <f t="shared" si="281"/>
        <v>-3.0987876815953275E-2</v>
      </c>
      <c r="S119" s="89">
        <f t="shared" si="282"/>
        <v>6.6846944449341361E-2</v>
      </c>
      <c r="T119" s="89">
        <f t="shared" si="283"/>
        <v>7.805247485996869E-3</v>
      </c>
      <c r="U119" s="89">
        <f t="shared" si="284"/>
        <v>6.4200445881855028E-2</v>
      </c>
      <c r="V119" s="89">
        <f t="shared" si="285"/>
        <v>1.9157198526980945E-2</v>
      </c>
      <c r="W119" s="89">
        <f t="shared" si="286"/>
        <v>-3.1807614671073958E-2</v>
      </c>
      <c r="X119" s="89">
        <f t="shared" si="287"/>
        <v>-7.2523929102512263E-2</v>
      </c>
      <c r="Y119" s="89">
        <f t="shared" si="288"/>
        <v>0.20658258565552212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1.4369259037356086E-2</v>
      </c>
      <c r="F120" s="89">
        <f t="shared" si="269"/>
        <v>-3.1798313354044483E-3</v>
      </c>
      <c r="G120" s="89">
        <f t="shared" si="270"/>
        <v>-4.700211488783812E-2</v>
      </c>
      <c r="H120" s="89">
        <f t="shared" si="271"/>
        <v>-3.883410491640904E-2</v>
      </c>
      <c r="I120" s="89">
        <f t="shared" si="272"/>
        <v>-4.2784576839810518E-2</v>
      </c>
      <c r="J120" s="89">
        <f t="shared" si="273"/>
        <v>-3.349801226065463E-2</v>
      </c>
      <c r="K120" s="89">
        <f t="shared" si="274"/>
        <v>7.2820755671534343E-3</v>
      </c>
      <c r="L120" s="89">
        <f t="shared" si="275"/>
        <v>-8.0394537315686243E-2</v>
      </c>
      <c r="M120" s="89">
        <f t="shared" si="276"/>
        <v>-0.16175571053989046</v>
      </c>
      <c r="N120" s="89">
        <f t="shared" si="277"/>
        <v>2.9046107159458767E-2</v>
      </c>
      <c r="O120" s="89">
        <f t="shared" si="278"/>
        <v>-0.10007046111434059</v>
      </c>
      <c r="P120" s="89">
        <f t="shared" si="279"/>
        <v>-2.5347846176286937E-2</v>
      </c>
      <c r="Q120" s="89">
        <f t="shared" si="280"/>
        <v>-1.6786869698452223E-2</v>
      </c>
      <c r="R120" s="89">
        <f t="shared" si="281"/>
        <v>2.5053966337709177E-2</v>
      </c>
      <c r="S120" s="89">
        <f t="shared" si="282"/>
        <v>9.1756101321585959E-2</v>
      </c>
      <c r="T120" s="89">
        <f t="shared" si="283"/>
        <v>2.9459718060158568E-3</v>
      </c>
      <c r="U120" s="89">
        <f t="shared" si="284"/>
        <v>-1.9525633772280226E-2</v>
      </c>
      <c r="V120" s="89">
        <f t="shared" si="285"/>
        <v>3.1389687699381108E-2</v>
      </c>
      <c r="W120" s="89">
        <f t="shared" si="286"/>
        <v>-1.7737157824817329E-2</v>
      </c>
      <c r="X120" s="89">
        <f t="shared" si="287"/>
        <v>-0.10682232449685247</v>
      </c>
      <c r="Y120" s="89">
        <f t="shared" si="288"/>
        <v>1.9548917582237202E-2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-2.5559071819980517E-4</v>
      </c>
      <c r="F121" s="89">
        <f t="shared" si="269"/>
        <v>5.024644958805391E-2</v>
      </c>
      <c r="G121" s="89">
        <f t="shared" si="270"/>
        <v>7.701904041340546E-2</v>
      </c>
      <c r="H121" s="89">
        <f t="shared" si="271"/>
        <v>-3.9222813659978817E-2</v>
      </c>
      <c r="I121" s="89">
        <f t="shared" si="272"/>
        <v>0.2796394033599483</v>
      </c>
      <c r="J121" s="89">
        <f t="shared" si="273"/>
        <v>3.2524884881595773E-2</v>
      </c>
      <c r="K121" s="89">
        <f t="shared" si="274"/>
        <v>0.12493752268355718</v>
      </c>
      <c r="L121" s="89">
        <f t="shared" si="275"/>
        <v>-0.30717781540943068</v>
      </c>
      <c r="M121" s="89">
        <f t="shared" si="276"/>
        <v>-6.7063587261500412E-2</v>
      </c>
      <c r="N121" s="89">
        <f t="shared" si="277"/>
        <v>9.6180144240819443E-2</v>
      </c>
      <c r="O121" s="89">
        <f t="shared" si="278"/>
        <v>-0.17266260693115776</v>
      </c>
      <c r="P121" s="89">
        <f t="shared" si="279"/>
        <v>-7.5805421270886075E-2</v>
      </c>
      <c r="Q121" s="89">
        <f t="shared" si="280"/>
        <v>5.1403483727340715E-2</v>
      </c>
      <c r="R121" s="89">
        <f t="shared" si="281"/>
        <v>0.17139359765634543</v>
      </c>
      <c r="S121" s="89">
        <f t="shared" si="282"/>
        <v>7.0906910909411369E-2</v>
      </c>
      <c r="T121" s="89">
        <f t="shared" si="283"/>
        <v>-7.313892418488166E-2</v>
      </c>
      <c r="U121" s="89">
        <f t="shared" si="284"/>
        <v>0.1063889584597788</v>
      </c>
      <c r="V121" s="89">
        <f t="shared" si="285"/>
        <v>1.1270973537091944E-3</v>
      </c>
      <c r="W121" s="89">
        <f t="shared" si="286"/>
        <v>-9.0969450563013643E-2</v>
      </c>
      <c r="X121" s="89">
        <f t="shared" si="287"/>
        <v>-2.1852025193039304E-2</v>
      </c>
      <c r="Y121" s="89">
        <f t="shared" si="288"/>
        <v>0.84294447657658766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1.8415084861060471E-2</v>
      </c>
      <c r="F122" s="91">
        <f t="shared" si="269"/>
        <v>1.6853022065165923E-2</v>
      </c>
      <c r="G122" s="91">
        <f t="shared" si="270"/>
        <v>2.5374303484446692E-2</v>
      </c>
      <c r="H122" s="91">
        <f t="shared" si="271"/>
        <v>-2.0268459059640809E-2</v>
      </c>
      <c r="I122" s="91">
        <f t="shared" si="272"/>
        <v>-3.7182555913094495E-3</v>
      </c>
      <c r="J122" s="91">
        <f t="shared" si="273"/>
        <v>7.237425657276364E-2</v>
      </c>
      <c r="K122" s="91">
        <f t="shared" si="274"/>
        <v>3.8210917811506873E-2</v>
      </c>
      <c r="L122" s="91">
        <f t="shared" si="275"/>
        <v>-7.9487329464697054E-2</v>
      </c>
      <c r="M122" s="91">
        <f t="shared" si="276"/>
        <v>-0.10946365154515825</v>
      </c>
      <c r="N122" s="91">
        <f t="shared" si="277"/>
        <v>5.5666455956292049E-2</v>
      </c>
      <c r="O122" s="91">
        <f t="shared" si="278"/>
        <v>5.0478745808507641E-2</v>
      </c>
      <c r="P122" s="91">
        <f t="shared" si="279"/>
        <v>-7.3521789026293027E-2</v>
      </c>
      <c r="Q122" s="91">
        <f t="shared" si="280"/>
        <v>-9.0154213620439516E-2</v>
      </c>
      <c r="R122" s="91">
        <f t="shared" si="281"/>
        <v>5.1326076225552075E-2</v>
      </c>
      <c r="S122" s="91">
        <f t="shared" si="282"/>
        <v>-2.2829458788223844E-3</v>
      </c>
      <c r="T122" s="91">
        <f t="shared" si="283"/>
        <v>2.8169508990549597E-2</v>
      </c>
      <c r="U122" s="91">
        <f t="shared" si="284"/>
        <v>-5.1516078785419972E-2</v>
      </c>
      <c r="V122" s="91">
        <f t="shared" si="285"/>
        <v>-4.3451444852454779E-2</v>
      </c>
      <c r="W122" s="91">
        <f t="shared" si="286"/>
        <v>3.3210886151297414E-2</v>
      </c>
      <c r="X122" s="91">
        <f t="shared" si="287"/>
        <v>5.9196704523455601E-2</v>
      </c>
      <c r="Y122" s="91">
        <f t="shared" si="288"/>
        <v>-4.6014453786489606E-2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0197E3-F2E3-48D0-B929-10F47CDBA995}"/>
</file>

<file path=customXml/itemProps2.xml><?xml version="1.0" encoding="utf-8"?>
<ds:datastoreItem xmlns:ds="http://schemas.openxmlformats.org/officeDocument/2006/customXml" ds:itemID="{216CA7A1-4F5F-47AE-A289-832B172A3086}"/>
</file>

<file path=customXml/itemProps3.xml><?xml version="1.0" encoding="utf-8"?>
<ds:datastoreItem xmlns:ds="http://schemas.openxmlformats.org/officeDocument/2006/customXml" ds:itemID="{4827961A-E348-48B3-95C8-5CDD2665BE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2024-05-20T16:55:40Z</dcterms:created>
  <dcterms:modified xsi:type="dcterms:W3CDTF">2024-05-20T16:55:40Z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